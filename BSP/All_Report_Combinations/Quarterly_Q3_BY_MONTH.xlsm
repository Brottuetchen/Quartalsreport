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rapp\Repos\Quartalsreport\BSP\All_Report_Combinations\"/>
    </mc:Choice>
  </mc:AlternateContent>
  <xr:revisionPtr revIDLastSave="0" documentId="8_{FEBDB30A-2072-48DB-B4E6-98510E54A68F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Übersicht" sheetId="1" r:id="rId1"/>
    <sheet name="Projekt-Budget-Übersicht" sheetId="2" r:id="rId2"/>
    <sheet name="A. Kokott" sheetId="3" r:id="rId3"/>
    <sheet name="C. Trapp SV" sheetId="4" r:id="rId4"/>
    <sheet name="D. Brucker" sheetId="5" r:id="rId5"/>
    <sheet name="E. Bieler" sheetId="6" r:id="rId6"/>
    <sheet name="E. Iago Barros de Oliveira" sheetId="7" r:id="rId7"/>
    <sheet name="H. Bektas" sheetId="8" r:id="rId8"/>
    <sheet name="J. Dorchies" sheetId="9" r:id="rId9"/>
    <sheet name="J. Dorn" sheetId="10" r:id="rId10"/>
    <sheet name="M. Bandlofsky" sheetId="11" r:id="rId11"/>
    <sheet name="M. Bandlofsky CAD" sheetId="12" r:id="rId12"/>
    <sheet name="M. Warner" sheetId="13" r:id="rId13"/>
    <sheet name="O. Haag BS-CAD" sheetId="14" r:id="rId14"/>
    <sheet name="P. Bergner" sheetId="15" r:id="rId15"/>
    <sheet name="R. Böttiger" sheetId="16" r:id="rId16"/>
    <sheet name="R. Wagen CAD" sheetId="17" r:id="rId17"/>
    <sheet name="S. Roßkopf" sheetId="18" r:id="rId18"/>
    <sheet name="S. Schüler" sheetId="19" r:id="rId19"/>
    <sheet name="T. Trautmann" sheetId="20" r:id="rId20"/>
    <sheet name="U. Sutter ADM" sheetId="21" r:id="rId21"/>
  </sheets>
  <definedNames>
    <definedName name="_xlnm._FilterDatabase" localSheetId="1" hidden="1">'Projekt-Budget-Übersicht'!$A$5:$M$5401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9" i="21" l="1"/>
  <c r="F99" i="21" s="1"/>
  <c r="G98" i="21"/>
  <c r="F98" i="21" s="1"/>
  <c r="F97" i="21"/>
  <c r="Q95" i="21"/>
  <c r="L95" i="21"/>
  <c r="K95" i="21"/>
  <c r="H95" i="21"/>
  <c r="I95" i="21" s="1"/>
  <c r="C95" i="21"/>
  <c r="Q94" i="21"/>
  <c r="L94" i="21"/>
  <c r="H94" i="21"/>
  <c r="I94" i="21" s="1"/>
  <c r="F94" i="21"/>
  <c r="C94" i="21"/>
  <c r="Q93" i="21"/>
  <c r="L93" i="21"/>
  <c r="K93" i="21"/>
  <c r="H93" i="21"/>
  <c r="I93" i="21" s="1"/>
  <c r="C93" i="21"/>
  <c r="N93" i="21" s="1"/>
  <c r="Q92" i="21"/>
  <c r="L92" i="21"/>
  <c r="I92" i="21"/>
  <c r="H92" i="21"/>
  <c r="C92" i="21"/>
  <c r="M92" i="21" s="1"/>
  <c r="Q91" i="21"/>
  <c r="L91" i="21"/>
  <c r="H91" i="21"/>
  <c r="I91" i="21" s="1"/>
  <c r="C91" i="21"/>
  <c r="Q90" i="21"/>
  <c r="L90" i="21"/>
  <c r="K90" i="21"/>
  <c r="I90" i="21"/>
  <c r="H90" i="21"/>
  <c r="C90" i="21"/>
  <c r="Q89" i="21"/>
  <c r="L89" i="21"/>
  <c r="H89" i="21"/>
  <c r="I89" i="21" s="1"/>
  <c r="C89" i="21"/>
  <c r="Q88" i="21"/>
  <c r="L88" i="21"/>
  <c r="I88" i="21"/>
  <c r="H88" i="21"/>
  <c r="F88" i="21"/>
  <c r="C88" i="21"/>
  <c r="N88" i="21" s="1"/>
  <c r="Q87" i="21"/>
  <c r="L87" i="21"/>
  <c r="K87" i="21"/>
  <c r="I87" i="21"/>
  <c r="H87" i="21"/>
  <c r="C87" i="21"/>
  <c r="Q86" i="21"/>
  <c r="L86" i="21"/>
  <c r="K86" i="21"/>
  <c r="H86" i="21"/>
  <c r="I86" i="21" s="1"/>
  <c r="C86" i="21"/>
  <c r="Q85" i="21"/>
  <c r="L85" i="21"/>
  <c r="K85" i="21"/>
  <c r="I85" i="21"/>
  <c r="H85" i="21"/>
  <c r="C85" i="21"/>
  <c r="N85" i="21" s="1"/>
  <c r="O85" i="21" s="1"/>
  <c r="Q84" i="21"/>
  <c r="L84" i="21"/>
  <c r="H84" i="21"/>
  <c r="I84" i="21" s="1"/>
  <c r="C84" i="21"/>
  <c r="Q83" i="21"/>
  <c r="L83" i="21"/>
  <c r="K83" i="21"/>
  <c r="H83" i="21"/>
  <c r="I83" i="21" s="1"/>
  <c r="C83" i="21"/>
  <c r="Q82" i="21"/>
  <c r="L82" i="21"/>
  <c r="K82" i="21"/>
  <c r="I82" i="21"/>
  <c r="H82" i="21"/>
  <c r="C82" i="21"/>
  <c r="Q81" i="21"/>
  <c r="L81" i="21"/>
  <c r="H81" i="21"/>
  <c r="I81" i="21" s="1"/>
  <c r="C81" i="21"/>
  <c r="Q80" i="21"/>
  <c r="L80" i="21"/>
  <c r="I80" i="21"/>
  <c r="H80" i="21"/>
  <c r="C80" i="21"/>
  <c r="N80" i="21" s="1"/>
  <c r="Q79" i="21"/>
  <c r="L79" i="21"/>
  <c r="K79" i="21"/>
  <c r="I79" i="21"/>
  <c r="H79" i="21"/>
  <c r="C79" i="21"/>
  <c r="Q78" i="21"/>
  <c r="L78" i="21"/>
  <c r="I78" i="21"/>
  <c r="H78" i="21"/>
  <c r="C78" i="21"/>
  <c r="Q77" i="21"/>
  <c r="L77" i="21"/>
  <c r="N77" i="21" s="1"/>
  <c r="K77" i="21"/>
  <c r="H77" i="21"/>
  <c r="I77" i="21" s="1"/>
  <c r="F77" i="21"/>
  <c r="C77" i="21"/>
  <c r="Q76" i="21"/>
  <c r="L76" i="21"/>
  <c r="I76" i="21"/>
  <c r="H76" i="21"/>
  <c r="C76" i="21"/>
  <c r="Q75" i="21"/>
  <c r="L75" i="21"/>
  <c r="I75" i="21"/>
  <c r="H75" i="21"/>
  <c r="C75" i="21"/>
  <c r="C70" i="21"/>
  <c r="D69" i="21"/>
  <c r="C69" i="21"/>
  <c r="D68" i="21"/>
  <c r="C68" i="21"/>
  <c r="H62" i="21"/>
  <c r="F62" i="21"/>
  <c r="E70" i="21" s="1"/>
  <c r="H61" i="21"/>
  <c r="F61" i="21"/>
  <c r="D70" i="21" s="1"/>
  <c r="R59" i="21"/>
  <c r="M59" i="21"/>
  <c r="P59" i="21" s="1"/>
  <c r="L59" i="21"/>
  <c r="I59" i="21"/>
  <c r="C59" i="21"/>
  <c r="N59" i="21" s="1"/>
  <c r="O59" i="21" s="1"/>
  <c r="R58" i="21"/>
  <c r="M58" i="21"/>
  <c r="P58" i="21" s="1"/>
  <c r="L58" i="21"/>
  <c r="I58" i="21"/>
  <c r="C58" i="21"/>
  <c r="N58" i="21" s="1"/>
  <c r="O58" i="21" s="1"/>
  <c r="R57" i="21"/>
  <c r="L57" i="21"/>
  <c r="I57" i="21"/>
  <c r="C57" i="21"/>
  <c r="N57" i="21" s="1"/>
  <c r="R56" i="21"/>
  <c r="M56" i="21"/>
  <c r="L56" i="21"/>
  <c r="K56" i="21"/>
  <c r="I56" i="21"/>
  <c r="C56" i="21"/>
  <c r="N56" i="21" s="1"/>
  <c r="O56" i="21" s="1"/>
  <c r="R55" i="21"/>
  <c r="N55" i="21"/>
  <c r="O55" i="21" s="1"/>
  <c r="L55" i="21"/>
  <c r="K55" i="21"/>
  <c r="I55" i="21"/>
  <c r="C55" i="21"/>
  <c r="M55" i="21" s="1"/>
  <c r="R54" i="21"/>
  <c r="M54" i="21"/>
  <c r="P54" i="21" s="1"/>
  <c r="L54" i="21"/>
  <c r="I54" i="21"/>
  <c r="C54" i="21"/>
  <c r="N54" i="21" s="1"/>
  <c r="O54" i="21" s="1"/>
  <c r="R53" i="21"/>
  <c r="L53" i="21"/>
  <c r="I53" i="21"/>
  <c r="C53" i="21"/>
  <c r="N53" i="21" s="1"/>
  <c r="R52" i="21"/>
  <c r="M52" i="21"/>
  <c r="L52" i="21"/>
  <c r="K52" i="21"/>
  <c r="I52" i="21"/>
  <c r="C52" i="21"/>
  <c r="N52" i="21" s="1"/>
  <c r="O52" i="21" s="1"/>
  <c r="R51" i="21"/>
  <c r="N51" i="21"/>
  <c r="O51" i="21" s="1"/>
  <c r="M51" i="21"/>
  <c r="L51" i="21"/>
  <c r="K51" i="21"/>
  <c r="F63" i="21" s="1"/>
  <c r="F70" i="21" s="1"/>
  <c r="I51" i="21"/>
  <c r="C51" i="21"/>
  <c r="H45" i="21"/>
  <c r="F45" i="21"/>
  <c r="E69" i="21" s="1"/>
  <c r="H44" i="21"/>
  <c r="F44" i="21"/>
  <c r="R42" i="21"/>
  <c r="L42" i="21"/>
  <c r="N42" i="21" s="1"/>
  <c r="I42" i="21"/>
  <c r="C42" i="21"/>
  <c r="R41" i="21"/>
  <c r="P41" i="21"/>
  <c r="M41" i="21"/>
  <c r="L41" i="21"/>
  <c r="I41" i="21"/>
  <c r="C41" i="21"/>
  <c r="N41" i="21" s="1"/>
  <c r="O41" i="21" s="1"/>
  <c r="R40" i="21"/>
  <c r="M40" i="21"/>
  <c r="L40" i="21"/>
  <c r="K40" i="21"/>
  <c r="K92" i="21" s="1"/>
  <c r="I40" i="21"/>
  <c r="F92" i="21" s="1"/>
  <c r="C40" i="21"/>
  <c r="N40" i="21" s="1"/>
  <c r="O40" i="21" s="1"/>
  <c r="R39" i="21"/>
  <c r="L39" i="21"/>
  <c r="K39" i="21"/>
  <c r="K91" i="21" s="1"/>
  <c r="I39" i="21"/>
  <c r="F91" i="21" s="1"/>
  <c r="C39" i="21"/>
  <c r="M39" i="21" s="1"/>
  <c r="R38" i="21"/>
  <c r="M38" i="21"/>
  <c r="P38" i="21" s="1"/>
  <c r="L38" i="21"/>
  <c r="I38" i="21"/>
  <c r="C38" i="21"/>
  <c r="N38" i="21" s="1"/>
  <c r="O38" i="21" s="1"/>
  <c r="R37" i="21"/>
  <c r="M37" i="21"/>
  <c r="P37" i="21" s="1"/>
  <c r="L37" i="21"/>
  <c r="I37" i="21"/>
  <c r="C37" i="21"/>
  <c r="N37" i="21" s="1"/>
  <c r="O37" i="21" s="1"/>
  <c r="R36" i="21"/>
  <c r="L36" i="21"/>
  <c r="I36" i="21"/>
  <c r="F86" i="21" s="1"/>
  <c r="C36" i="21"/>
  <c r="N36" i="21" s="1"/>
  <c r="R35" i="21"/>
  <c r="M35" i="21"/>
  <c r="L35" i="21"/>
  <c r="K35" i="21"/>
  <c r="K84" i="21" s="1"/>
  <c r="I35" i="21"/>
  <c r="F84" i="21" s="1"/>
  <c r="C35" i="21"/>
  <c r="N35" i="21" s="1"/>
  <c r="O35" i="21" s="1"/>
  <c r="R34" i="21"/>
  <c r="L34" i="21"/>
  <c r="N34" i="21" s="1"/>
  <c r="O34" i="21" s="1"/>
  <c r="I34" i="21"/>
  <c r="F83" i="21" s="1"/>
  <c r="N83" i="21" s="1"/>
  <c r="C34" i="21"/>
  <c r="M34" i="21" s="1"/>
  <c r="P34" i="21" s="1"/>
  <c r="R33" i="21"/>
  <c r="L33" i="21"/>
  <c r="I33" i="21"/>
  <c r="F82" i="21" s="1"/>
  <c r="N82" i="21" s="1"/>
  <c r="C33" i="21"/>
  <c r="N33" i="21" s="1"/>
  <c r="R32" i="21"/>
  <c r="N32" i="21"/>
  <c r="L32" i="21"/>
  <c r="K32" i="21"/>
  <c r="K81" i="21" s="1"/>
  <c r="I32" i="21"/>
  <c r="F81" i="21" s="1"/>
  <c r="C32" i="21"/>
  <c r="M32" i="21" s="1"/>
  <c r="R31" i="21"/>
  <c r="M31" i="21"/>
  <c r="L31" i="21"/>
  <c r="K31" i="21"/>
  <c r="I31" i="21"/>
  <c r="C31" i="21"/>
  <c r="N31" i="21" s="1"/>
  <c r="O31" i="21" s="1"/>
  <c r="R30" i="21"/>
  <c r="N30" i="21"/>
  <c r="O30" i="21" s="1"/>
  <c r="M30" i="21"/>
  <c r="P30" i="21" s="1"/>
  <c r="L30" i="21"/>
  <c r="I30" i="21"/>
  <c r="C30" i="21"/>
  <c r="R29" i="21"/>
  <c r="M29" i="21"/>
  <c r="L29" i="21"/>
  <c r="K29" i="21"/>
  <c r="I29" i="21"/>
  <c r="F76" i="21" s="1"/>
  <c r="C29" i="21"/>
  <c r="N29" i="21" s="1"/>
  <c r="O29" i="21" s="1"/>
  <c r="R28" i="21"/>
  <c r="L28" i="21"/>
  <c r="K28" i="21"/>
  <c r="F46" i="21" s="1"/>
  <c r="I28" i="21"/>
  <c r="C28" i="21"/>
  <c r="N28" i="21" s="1"/>
  <c r="H22" i="21"/>
  <c r="F22" i="21" s="1"/>
  <c r="H21" i="21"/>
  <c r="F21" i="21"/>
  <c r="B105" i="21" s="1"/>
  <c r="R19" i="21"/>
  <c r="N19" i="21"/>
  <c r="L19" i="21"/>
  <c r="I19" i="21"/>
  <c r="F95" i="21" s="1"/>
  <c r="C19" i="21"/>
  <c r="M19" i="21" s="1"/>
  <c r="P19" i="21" s="1"/>
  <c r="R18" i="21"/>
  <c r="L18" i="21"/>
  <c r="K18" i="21"/>
  <c r="K94" i="21" s="1"/>
  <c r="I18" i="21"/>
  <c r="C18" i="21"/>
  <c r="M18" i="21" s="1"/>
  <c r="R17" i="21"/>
  <c r="M17" i="21"/>
  <c r="P17" i="21" s="1"/>
  <c r="L17" i="21"/>
  <c r="I17" i="21"/>
  <c r="F93" i="21" s="1"/>
  <c r="C17" i="21"/>
  <c r="N17" i="21" s="1"/>
  <c r="O17" i="21" s="1"/>
  <c r="R16" i="21"/>
  <c r="M16" i="21"/>
  <c r="P16" i="21" s="1"/>
  <c r="L16" i="21"/>
  <c r="I16" i="21"/>
  <c r="F90" i="21" s="1"/>
  <c r="C16" i="21"/>
  <c r="N16" i="21" s="1"/>
  <c r="O16" i="21" s="1"/>
  <c r="R15" i="21"/>
  <c r="L15" i="21"/>
  <c r="K15" i="21"/>
  <c r="K89" i="21" s="1"/>
  <c r="I15" i="21"/>
  <c r="F89" i="21" s="1"/>
  <c r="C15" i="21"/>
  <c r="N15" i="21" s="1"/>
  <c r="R14" i="21"/>
  <c r="N14" i="21"/>
  <c r="L14" i="21"/>
  <c r="K14" i="21"/>
  <c r="K88" i="21" s="1"/>
  <c r="I14" i="21"/>
  <c r="C14" i="21"/>
  <c r="M14" i="21" s="1"/>
  <c r="R13" i="21"/>
  <c r="M13" i="21"/>
  <c r="P13" i="21" s="1"/>
  <c r="L13" i="21"/>
  <c r="I13" i="21"/>
  <c r="F87" i="21" s="1"/>
  <c r="M87" i="21" s="1"/>
  <c r="P87" i="21" s="1"/>
  <c r="C13" i="21"/>
  <c r="N13" i="21" s="1"/>
  <c r="O13" i="21" s="1"/>
  <c r="R12" i="21"/>
  <c r="M12" i="21"/>
  <c r="P12" i="21" s="1"/>
  <c r="L12" i="21"/>
  <c r="I12" i="21"/>
  <c r="F85" i="21" s="1"/>
  <c r="M85" i="21" s="1"/>
  <c r="C12" i="21"/>
  <c r="N12" i="21" s="1"/>
  <c r="O12" i="21" s="1"/>
  <c r="R11" i="21"/>
  <c r="L11" i="21"/>
  <c r="K11" i="21"/>
  <c r="K80" i="21" s="1"/>
  <c r="I11" i="21"/>
  <c r="F80" i="21" s="1"/>
  <c r="C11" i="21"/>
  <c r="N11" i="21" s="1"/>
  <c r="R10" i="21"/>
  <c r="L10" i="21"/>
  <c r="K10" i="21"/>
  <c r="I10" i="21"/>
  <c r="F79" i="21" s="1"/>
  <c r="C10" i="21"/>
  <c r="N10" i="21" s="1"/>
  <c r="R9" i="21"/>
  <c r="L9" i="21"/>
  <c r="K9" i="21"/>
  <c r="K78" i="21" s="1"/>
  <c r="I9" i="21"/>
  <c r="C9" i="21"/>
  <c r="N9" i="21" s="1"/>
  <c r="R8" i="21"/>
  <c r="L8" i="21"/>
  <c r="I8" i="21"/>
  <c r="C8" i="21"/>
  <c r="N8" i="21" s="1"/>
  <c r="R7" i="21"/>
  <c r="L7" i="21"/>
  <c r="K7" i="21"/>
  <c r="K76" i="21" s="1"/>
  <c r="I7" i="21"/>
  <c r="C7" i="21"/>
  <c r="N7" i="21" s="1"/>
  <c r="R6" i="21"/>
  <c r="L6" i="21"/>
  <c r="K6" i="21"/>
  <c r="F23" i="21" s="1"/>
  <c r="I6" i="21"/>
  <c r="F75" i="21" s="1"/>
  <c r="C6" i="21"/>
  <c r="G159" i="20"/>
  <c r="F159" i="20"/>
  <c r="G158" i="20"/>
  <c r="F158" i="20"/>
  <c r="F157" i="20"/>
  <c r="Q155" i="20"/>
  <c r="L155" i="20"/>
  <c r="K155" i="20"/>
  <c r="H155" i="20"/>
  <c r="I155" i="20" s="1"/>
  <c r="C155" i="20"/>
  <c r="Q154" i="20"/>
  <c r="L154" i="20"/>
  <c r="I154" i="20"/>
  <c r="H154" i="20"/>
  <c r="C154" i="20"/>
  <c r="Q153" i="20"/>
  <c r="L153" i="20"/>
  <c r="H153" i="20"/>
  <c r="I153" i="20" s="1"/>
  <c r="C153" i="20"/>
  <c r="Q152" i="20"/>
  <c r="L152" i="20"/>
  <c r="K152" i="20"/>
  <c r="I152" i="20"/>
  <c r="H152" i="20"/>
  <c r="C152" i="20"/>
  <c r="Q151" i="20"/>
  <c r="L151" i="20"/>
  <c r="K151" i="20"/>
  <c r="I151" i="20"/>
  <c r="H151" i="20"/>
  <c r="C151" i="20"/>
  <c r="Q150" i="20"/>
  <c r="L150" i="20"/>
  <c r="K150" i="20"/>
  <c r="I150" i="20"/>
  <c r="H150" i="20"/>
  <c r="C150" i="20"/>
  <c r="N150" i="20" s="1"/>
  <c r="O150" i="20" s="1"/>
  <c r="Q149" i="20"/>
  <c r="L149" i="20"/>
  <c r="H149" i="20"/>
  <c r="I149" i="20" s="1"/>
  <c r="C149" i="20"/>
  <c r="Q148" i="20"/>
  <c r="L148" i="20"/>
  <c r="H148" i="20"/>
  <c r="I148" i="20" s="1"/>
  <c r="F148" i="20"/>
  <c r="M148" i="20" s="1"/>
  <c r="C148" i="20"/>
  <c r="Q147" i="20"/>
  <c r="L147" i="20"/>
  <c r="K147" i="20"/>
  <c r="I147" i="20"/>
  <c r="H147" i="20"/>
  <c r="C147" i="20"/>
  <c r="Q146" i="20"/>
  <c r="L146" i="20"/>
  <c r="K146" i="20"/>
  <c r="H146" i="20"/>
  <c r="I146" i="20" s="1"/>
  <c r="C146" i="20"/>
  <c r="Q145" i="20"/>
  <c r="L145" i="20"/>
  <c r="I145" i="20"/>
  <c r="H145" i="20"/>
  <c r="C145" i="20"/>
  <c r="Q144" i="20"/>
  <c r="L144" i="20"/>
  <c r="K144" i="20"/>
  <c r="I144" i="20"/>
  <c r="H144" i="20"/>
  <c r="C144" i="20"/>
  <c r="N144" i="20" s="1"/>
  <c r="Q143" i="20"/>
  <c r="L143" i="20"/>
  <c r="I143" i="20"/>
  <c r="H143" i="20"/>
  <c r="C143" i="20"/>
  <c r="Q142" i="20"/>
  <c r="L142" i="20"/>
  <c r="H142" i="20"/>
  <c r="I142" i="20" s="1"/>
  <c r="C142" i="20"/>
  <c r="Q141" i="20"/>
  <c r="L141" i="20"/>
  <c r="H141" i="20"/>
  <c r="I141" i="20" s="1"/>
  <c r="C141" i="20"/>
  <c r="Q140" i="20"/>
  <c r="L140" i="20"/>
  <c r="K140" i="20"/>
  <c r="I140" i="20"/>
  <c r="H140" i="20"/>
  <c r="C140" i="20"/>
  <c r="Q139" i="20"/>
  <c r="L139" i="20"/>
  <c r="K139" i="20"/>
  <c r="H139" i="20"/>
  <c r="I139" i="20" s="1"/>
  <c r="C139" i="20"/>
  <c r="Q138" i="20"/>
  <c r="L138" i="20"/>
  <c r="K138" i="20"/>
  <c r="I138" i="20"/>
  <c r="H138" i="20"/>
  <c r="C138" i="20"/>
  <c r="Q137" i="20"/>
  <c r="L137" i="20"/>
  <c r="H137" i="20"/>
  <c r="I137" i="20" s="1"/>
  <c r="C137" i="20"/>
  <c r="N137" i="20" s="1"/>
  <c r="Q136" i="20"/>
  <c r="L136" i="20"/>
  <c r="K136" i="20"/>
  <c r="I136" i="20"/>
  <c r="H136" i="20"/>
  <c r="C136" i="20"/>
  <c r="N136" i="20" s="1"/>
  <c r="Q135" i="20"/>
  <c r="L135" i="20"/>
  <c r="K135" i="20"/>
  <c r="I135" i="20"/>
  <c r="H135" i="20"/>
  <c r="C135" i="20"/>
  <c r="Q134" i="20"/>
  <c r="L134" i="20"/>
  <c r="K134" i="20"/>
  <c r="H134" i="20"/>
  <c r="I134" i="20" s="1"/>
  <c r="C134" i="20"/>
  <c r="Q133" i="20"/>
  <c r="L133" i="20"/>
  <c r="K133" i="20"/>
  <c r="I133" i="20"/>
  <c r="H133" i="20"/>
  <c r="C133" i="20"/>
  <c r="Q132" i="20"/>
  <c r="L132" i="20"/>
  <c r="H132" i="20"/>
  <c r="I132" i="20" s="1"/>
  <c r="C132" i="20"/>
  <c r="Q131" i="20"/>
  <c r="L131" i="20"/>
  <c r="K131" i="20"/>
  <c r="H131" i="20"/>
  <c r="I131" i="20" s="1"/>
  <c r="C131" i="20"/>
  <c r="Q130" i="20"/>
  <c r="L130" i="20"/>
  <c r="I130" i="20"/>
  <c r="H130" i="20"/>
  <c r="C130" i="20"/>
  <c r="Q129" i="20"/>
  <c r="L129" i="20"/>
  <c r="H129" i="20"/>
  <c r="I129" i="20" s="1"/>
  <c r="C129" i="20"/>
  <c r="Q128" i="20"/>
  <c r="L128" i="20"/>
  <c r="K128" i="20"/>
  <c r="I128" i="20"/>
  <c r="H128" i="20"/>
  <c r="C128" i="20"/>
  <c r="Q127" i="20"/>
  <c r="L127" i="20"/>
  <c r="K127" i="20"/>
  <c r="I127" i="20"/>
  <c r="H127" i="20"/>
  <c r="C127" i="20"/>
  <c r="N127" i="20" s="1"/>
  <c r="Q126" i="20"/>
  <c r="L126" i="20"/>
  <c r="I126" i="20"/>
  <c r="H126" i="20"/>
  <c r="C126" i="20"/>
  <c r="Q125" i="20"/>
  <c r="L125" i="20"/>
  <c r="K125" i="20"/>
  <c r="H125" i="20"/>
  <c r="I125" i="20" s="1"/>
  <c r="C125" i="20"/>
  <c r="Q124" i="20"/>
  <c r="N124" i="20"/>
  <c r="L124" i="20"/>
  <c r="K124" i="20"/>
  <c r="H124" i="20"/>
  <c r="I124" i="20" s="1"/>
  <c r="F124" i="20"/>
  <c r="M124" i="20" s="1"/>
  <c r="C124" i="20"/>
  <c r="Q123" i="20"/>
  <c r="L123" i="20"/>
  <c r="K123" i="20"/>
  <c r="I123" i="20"/>
  <c r="H123" i="20"/>
  <c r="C123" i="20"/>
  <c r="N123" i="20" s="1"/>
  <c r="Q122" i="20"/>
  <c r="L122" i="20"/>
  <c r="N122" i="20" s="1"/>
  <c r="K122" i="20"/>
  <c r="H122" i="20"/>
  <c r="I122" i="20" s="1"/>
  <c r="C122" i="20"/>
  <c r="Q121" i="20"/>
  <c r="L121" i="20"/>
  <c r="K121" i="20"/>
  <c r="I121" i="20"/>
  <c r="H121" i="20"/>
  <c r="C121" i="20"/>
  <c r="Q120" i="20"/>
  <c r="L120" i="20"/>
  <c r="K120" i="20"/>
  <c r="I120" i="20"/>
  <c r="H120" i="20"/>
  <c r="C120" i="20"/>
  <c r="Q119" i="20"/>
  <c r="L119" i="20"/>
  <c r="I119" i="20"/>
  <c r="H119" i="20"/>
  <c r="C119" i="20"/>
  <c r="Q118" i="20"/>
  <c r="L118" i="20"/>
  <c r="K118" i="20"/>
  <c r="I118" i="20"/>
  <c r="H118" i="20"/>
  <c r="F118" i="20"/>
  <c r="N118" i="20" s="1"/>
  <c r="C118" i="20"/>
  <c r="Q117" i="20"/>
  <c r="L117" i="20"/>
  <c r="K117" i="20"/>
  <c r="H117" i="20"/>
  <c r="I117" i="20" s="1"/>
  <c r="C117" i="20"/>
  <c r="Q116" i="20"/>
  <c r="L116" i="20"/>
  <c r="K116" i="20"/>
  <c r="I116" i="20"/>
  <c r="H116" i="20"/>
  <c r="C116" i="20"/>
  <c r="Q115" i="20"/>
  <c r="L115" i="20"/>
  <c r="K115" i="20"/>
  <c r="H115" i="20"/>
  <c r="I115" i="20" s="1"/>
  <c r="C115" i="20"/>
  <c r="Q114" i="20"/>
  <c r="L114" i="20"/>
  <c r="I114" i="20"/>
  <c r="H114" i="20"/>
  <c r="C114" i="20"/>
  <c r="Q113" i="20"/>
  <c r="L113" i="20"/>
  <c r="H113" i="20"/>
  <c r="I113" i="20" s="1"/>
  <c r="C113" i="20"/>
  <c r="Q112" i="20"/>
  <c r="L112" i="20"/>
  <c r="I112" i="20"/>
  <c r="H112" i="20"/>
  <c r="C112" i="20"/>
  <c r="C107" i="20"/>
  <c r="C106" i="20"/>
  <c r="C105" i="20"/>
  <c r="H99" i="20"/>
  <c r="F99" i="20" s="1"/>
  <c r="E107" i="20" s="1"/>
  <c r="H98" i="20"/>
  <c r="F98" i="20" s="1"/>
  <c r="R96" i="20"/>
  <c r="N96" i="20"/>
  <c r="L96" i="20"/>
  <c r="I96" i="20"/>
  <c r="C96" i="20"/>
  <c r="M96" i="20" s="1"/>
  <c r="P96" i="20" s="1"/>
  <c r="R95" i="20"/>
  <c r="N95" i="20"/>
  <c r="L95" i="20"/>
  <c r="M95" i="20" s="1"/>
  <c r="P95" i="20" s="1"/>
  <c r="I95" i="20"/>
  <c r="C95" i="20"/>
  <c r="R94" i="20"/>
  <c r="L94" i="20"/>
  <c r="N94" i="20" s="1"/>
  <c r="K94" i="20"/>
  <c r="K148" i="20" s="1"/>
  <c r="N148" i="20" s="1"/>
  <c r="I94" i="20"/>
  <c r="C94" i="20"/>
  <c r="M94" i="20" s="1"/>
  <c r="R93" i="20"/>
  <c r="L93" i="20"/>
  <c r="I93" i="20"/>
  <c r="C93" i="20"/>
  <c r="N93" i="20" s="1"/>
  <c r="R92" i="20"/>
  <c r="M92" i="20"/>
  <c r="L92" i="20"/>
  <c r="N92" i="20" s="1"/>
  <c r="O92" i="20" s="1"/>
  <c r="K92" i="20"/>
  <c r="I92" i="20"/>
  <c r="C92" i="20"/>
  <c r="R91" i="20"/>
  <c r="N91" i="20"/>
  <c r="O91" i="20" s="1"/>
  <c r="M91" i="20"/>
  <c r="L91" i="20"/>
  <c r="K91" i="20"/>
  <c r="I91" i="20"/>
  <c r="R90" i="20"/>
  <c r="M90" i="20"/>
  <c r="L90" i="20"/>
  <c r="N90" i="20" s="1"/>
  <c r="O90" i="20" s="1"/>
  <c r="K90" i="20"/>
  <c r="K141" i="20" s="1"/>
  <c r="I90" i="20"/>
  <c r="F141" i="20" s="1"/>
  <c r="C90" i="20"/>
  <c r="R89" i="20"/>
  <c r="L89" i="20"/>
  <c r="I89" i="20"/>
  <c r="C89" i="20"/>
  <c r="N89" i="20" s="1"/>
  <c r="R88" i="20"/>
  <c r="L88" i="20"/>
  <c r="K88" i="20"/>
  <c r="I88" i="20"/>
  <c r="F139" i="20" s="1"/>
  <c r="N139" i="20" s="1"/>
  <c r="C88" i="20"/>
  <c r="N88" i="20" s="1"/>
  <c r="R87" i="20"/>
  <c r="L87" i="20"/>
  <c r="M87" i="20" s="1"/>
  <c r="K87" i="20"/>
  <c r="K137" i="20" s="1"/>
  <c r="I87" i="20"/>
  <c r="F137" i="20" s="1"/>
  <c r="C87" i="20"/>
  <c r="N87" i="20" s="1"/>
  <c r="O87" i="20" s="1"/>
  <c r="R86" i="20"/>
  <c r="L86" i="20"/>
  <c r="N86" i="20" s="1"/>
  <c r="I86" i="20"/>
  <c r="C86" i="20"/>
  <c r="R85" i="20"/>
  <c r="M85" i="20"/>
  <c r="P85" i="20" s="1"/>
  <c r="L85" i="20"/>
  <c r="N85" i="20" s="1"/>
  <c r="O85" i="20" s="1"/>
  <c r="I85" i="20"/>
  <c r="C85" i="20"/>
  <c r="R84" i="20"/>
  <c r="N84" i="20"/>
  <c r="O84" i="20" s="1"/>
  <c r="M84" i="20"/>
  <c r="P84" i="20" s="1"/>
  <c r="L84" i="20"/>
  <c r="I84" i="20"/>
  <c r="C84" i="20"/>
  <c r="R83" i="20"/>
  <c r="L83" i="20"/>
  <c r="N83" i="20" s="1"/>
  <c r="I83" i="20"/>
  <c r="C83" i="20"/>
  <c r="R82" i="20"/>
  <c r="L82" i="20"/>
  <c r="N82" i="20" s="1"/>
  <c r="O82" i="20" s="1"/>
  <c r="K82" i="20"/>
  <c r="M82" i="20" s="1"/>
  <c r="I82" i="20"/>
  <c r="C82" i="20"/>
  <c r="R81" i="20"/>
  <c r="N81" i="20"/>
  <c r="L81" i="20"/>
  <c r="I81" i="20"/>
  <c r="C81" i="20"/>
  <c r="M81" i="20" s="1"/>
  <c r="P81" i="20" s="1"/>
  <c r="R80" i="20"/>
  <c r="L80" i="20"/>
  <c r="K80" i="20"/>
  <c r="I80" i="20"/>
  <c r="C80" i="20"/>
  <c r="M80" i="20" s="1"/>
  <c r="R79" i="20"/>
  <c r="M79" i="20"/>
  <c r="P79" i="20" s="1"/>
  <c r="L79" i="20"/>
  <c r="I79" i="20"/>
  <c r="F120" i="20" s="1"/>
  <c r="C79" i="20"/>
  <c r="N79" i="20" s="1"/>
  <c r="O79" i="20" s="1"/>
  <c r="R78" i="20"/>
  <c r="M78" i="20"/>
  <c r="P78" i="20" s="1"/>
  <c r="L78" i="20"/>
  <c r="I78" i="20"/>
  <c r="C78" i="20"/>
  <c r="N78" i="20" s="1"/>
  <c r="O78" i="20" s="1"/>
  <c r="R77" i="20"/>
  <c r="L77" i="20"/>
  <c r="I77" i="20"/>
  <c r="C77" i="20"/>
  <c r="N77" i="20" s="1"/>
  <c r="R76" i="20"/>
  <c r="M76" i="20"/>
  <c r="P76" i="20" s="1"/>
  <c r="L76" i="20"/>
  <c r="I76" i="20"/>
  <c r="C76" i="20"/>
  <c r="N76" i="20" s="1"/>
  <c r="O76" i="20" s="1"/>
  <c r="R75" i="20"/>
  <c r="L75" i="20"/>
  <c r="I75" i="20"/>
  <c r="F116" i="20" s="1"/>
  <c r="C75" i="20"/>
  <c r="N75" i="20" s="1"/>
  <c r="R74" i="20"/>
  <c r="L74" i="20"/>
  <c r="I74" i="20"/>
  <c r="C74" i="20"/>
  <c r="N74" i="20" s="1"/>
  <c r="R73" i="20"/>
  <c r="L73" i="20"/>
  <c r="K73" i="20"/>
  <c r="I73" i="20"/>
  <c r="C73" i="20"/>
  <c r="N73" i="20" s="1"/>
  <c r="R72" i="20"/>
  <c r="L72" i="20"/>
  <c r="K72" i="20"/>
  <c r="F100" i="20" s="1"/>
  <c r="F107" i="20" s="1"/>
  <c r="I72" i="20"/>
  <c r="C72" i="20"/>
  <c r="H66" i="20"/>
  <c r="F66" i="20" s="1"/>
  <c r="E106" i="20" s="1"/>
  <c r="H65" i="20"/>
  <c r="F65" i="20" s="1"/>
  <c r="R63" i="20"/>
  <c r="N63" i="20"/>
  <c r="O63" i="20" s="1"/>
  <c r="M63" i="20"/>
  <c r="P63" i="20" s="1"/>
  <c r="L63" i="20"/>
  <c r="I63" i="20"/>
  <c r="F155" i="20" s="1"/>
  <c r="C63" i="20"/>
  <c r="R62" i="20"/>
  <c r="N62" i="20"/>
  <c r="L62" i="20"/>
  <c r="K62" i="20"/>
  <c r="K154" i="20" s="1"/>
  <c r="I62" i="20"/>
  <c r="F154" i="20" s="1"/>
  <c r="N154" i="20" s="1"/>
  <c r="C62" i="20"/>
  <c r="M62" i="20" s="1"/>
  <c r="R61" i="20"/>
  <c r="N61" i="20"/>
  <c r="L61" i="20"/>
  <c r="M61" i="20" s="1"/>
  <c r="K61" i="20"/>
  <c r="K153" i="20" s="1"/>
  <c r="I61" i="20"/>
  <c r="F153" i="20" s="1"/>
  <c r="C61" i="20"/>
  <c r="R60" i="20"/>
  <c r="O60" i="20"/>
  <c r="N60" i="20"/>
  <c r="M60" i="20"/>
  <c r="P60" i="20" s="1"/>
  <c r="L60" i="20"/>
  <c r="I60" i="20"/>
  <c r="F152" i="20" s="1"/>
  <c r="C60" i="20"/>
  <c r="R59" i="20"/>
  <c r="L59" i="20"/>
  <c r="K59" i="20"/>
  <c r="I59" i="20"/>
  <c r="F151" i="20" s="1"/>
  <c r="C59" i="20"/>
  <c r="N59" i="20" s="1"/>
  <c r="R58" i="20"/>
  <c r="L58" i="20"/>
  <c r="N58" i="20" s="1"/>
  <c r="I58" i="20"/>
  <c r="F150" i="20" s="1"/>
  <c r="M150" i="20" s="1"/>
  <c r="C58" i="20"/>
  <c r="R57" i="20"/>
  <c r="L57" i="20"/>
  <c r="K57" i="20"/>
  <c r="K149" i="20" s="1"/>
  <c r="I57" i="20"/>
  <c r="F149" i="20" s="1"/>
  <c r="C57" i="20"/>
  <c r="R56" i="20"/>
  <c r="L56" i="20"/>
  <c r="I56" i="20"/>
  <c r="C56" i="20"/>
  <c r="R55" i="20"/>
  <c r="L55" i="20"/>
  <c r="I55" i="20"/>
  <c r="F146" i="20" s="1"/>
  <c r="C55" i="20"/>
  <c r="R54" i="20"/>
  <c r="L54" i="20"/>
  <c r="K54" i="20"/>
  <c r="K145" i="20" s="1"/>
  <c r="I54" i="20"/>
  <c r="F145" i="20" s="1"/>
  <c r="C54" i="20"/>
  <c r="R53" i="20"/>
  <c r="L53" i="20"/>
  <c r="I53" i="20"/>
  <c r="F144" i="20" s="1"/>
  <c r="C53" i="20"/>
  <c r="R52" i="20"/>
  <c r="L52" i="20"/>
  <c r="K52" i="20"/>
  <c r="K143" i="20" s="1"/>
  <c r="I52" i="20"/>
  <c r="F143" i="20" s="1"/>
  <c r="M143" i="20" s="1"/>
  <c r="C52" i="20"/>
  <c r="N52" i="20" s="1"/>
  <c r="R51" i="20"/>
  <c r="L51" i="20"/>
  <c r="K51" i="20"/>
  <c r="I51" i="20"/>
  <c r="C51" i="20"/>
  <c r="R50" i="20"/>
  <c r="L50" i="20"/>
  <c r="N50" i="20" s="1"/>
  <c r="K50" i="20"/>
  <c r="I50" i="20"/>
  <c r="R49" i="20"/>
  <c r="M49" i="20"/>
  <c r="P49" i="20" s="1"/>
  <c r="L49" i="20"/>
  <c r="I49" i="20"/>
  <c r="C49" i="20"/>
  <c r="N49" i="20" s="1"/>
  <c r="R48" i="20"/>
  <c r="L48" i="20"/>
  <c r="M48" i="20" s="1"/>
  <c r="P48" i="20" s="1"/>
  <c r="I48" i="20"/>
  <c r="C48" i="20"/>
  <c r="R47" i="20"/>
  <c r="L47" i="20"/>
  <c r="N47" i="20" s="1"/>
  <c r="I47" i="20"/>
  <c r="F136" i="20" s="1"/>
  <c r="C47" i="20"/>
  <c r="R46" i="20"/>
  <c r="M46" i="20"/>
  <c r="P46" i="20" s="1"/>
  <c r="L46" i="20"/>
  <c r="I46" i="20"/>
  <c r="C46" i="20"/>
  <c r="N46" i="20" s="1"/>
  <c r="O46" i="20" s="1"/>
  <c r="R45" i="20"/>
  <c r="L45" i="20"/>
  <c r="I45" i="20"/>
  <c r="F134" i="20" s="1"/>
  <c r="C45" i="20"/>
  <c r="R44" i="20"/>
  <c r="L44" i="20"/>
  <c r="I44" i="20"/>
  <c r="F133" i="20" s="1"/>
  <c r="M133" i="20" s="1"/>
  <c r="P133" i="20" s="1"/>
  <c r="C44" i="20"/>
  <c r="R43" i="20"/>
  <c r="M43" i="20"/>
  <c r="P43" i="20" s="1"/>
  <c r="L43" i="20"/>
  <c r="I43" i="20"/>
  <c r="C43" i="20"/>
  <c r="N43" i="20" s="1"/>
  <c r="O43" i="20" s="1"/>
  <c r="R42" i="20"/>
  <c r="L42" i="20"/>
  <c r="M42" i="20" s="1"/>
  <c r="K42" i="20"/>
  <c r="I42" i="20"/>
  <c r="F131" i="20" s="1"/>
  <c r="C42" i="20"/>
  <c r="R41" i="20"/>
  <c r="L41" i="20"/>
  <c r="N41" i="20" s="1"/>
  <c r="K41" i="20"/>
  <c r="K130" i="20" s="1"/>
  <c r="I41" i="20"/>
  <c r="F130" i="20" s="1"/>
  <c r="N130" i="20" s="1"/>
  <c r="C41" i="20"/>
  <c r="R40" i="20"/>
  <c r="L40" i="20"/>
  <c r="I40" i="20"/>
  <c r="C40" i="20"/>
  <c r="R39" i="20"/>
  <c r="L39" i="20"/>
  <c r="N39" i="20" s="1"/>
  <c r="I39" i="20"/>
  <c r="F128" i="20" s="1"/>
  <c r="C39" i="20"/>
  <c r="R38" i="20"/>
  <c r="O38" i="20"/>
  <c r="N38" i="20"/>
  <c r="M38" i="20"/>
  <c r="P38" i="20" s="1"/>
  <c r="L38" i="20"/>
  <c r="I38" i="20"/>
  <c r="C38" i="20"/>
  <c r="R37" i="20"/>
  <c r="L37" i="20"/>
  <c r="N37" i="20" s="1"/>
  <c r="I37" i="20"/>
  <c r="C37" i="20"/>
  <c r="R36" i="20"/>
  <c r="N36" i="20"/>
  <c r="L36" i="20"/>
  <c r="I36" i="20"/>
  <c r="F123" i="20" s="1"/>
  <c r="C36" i="20"/>
  <c r="R35" i="20"/>
  <c r="N35" i="20"/>
  <c r="O35" i="20" s="1"/>
  <c r="M35" i="20"/>
  <c r="P35" i="20" s="1"/>
  <c r="L35" i="20"/>
  <c r="I35" i="20"/>
  <c r="F122" i="20" s="1"/>
  <c r="C35" i="20"/>
  <c r="R34" i="20"/>
  <c r="L34" i="20"/>
  <c r="M34" i="20" s="1"/>
  <c r="P34" i="20" s="1"/>
  <c r="I34" i="20"/>
  <c r="C34" i="20"/>
  <c r="R33" i="20"/>
  <c r="N33" i="20"/>
  <c r="O33" i="20" s="1"/>
  <c r="L33" i="20"/>
  <c r="I33" i="20"/>
  <c r="C33" i="20"/>
  <c r="M33" i="20" s="1"/>
  <c r="P33" i="20" s="1"/>
  <c r="R32" i="20"/>
  <c r="O32" i="20"/>
  <c r="N32" i="20"/>
  <c r="M32" i="20"/>
  <c r="P32" i="20" s="1"/>
  <c r="L32" i="20"/>
  <c r="I32" i="20"/>
  <c r="F117" i="20" s="1"/>
  <c r="C32" i="20"/>
  <c r="R31" i="20"/>
  <c r="L31" i="20"/>
  <c r="I31" i="20"/>
  <c r="C31" i="20"/>
  <c r="R30" i="20"/>
  <c r="N30" i="20"/>
  <c r="O30" i="20" s="1"/>
  <c r="L30" i="20"/>
  <c r="K30" i="20"/>
  <c r="I30" i="20"/>
  <c r="C30" i="20"/>
  <c r="M30" i="20" s="1"/>
  <c r="R29" i="20"/>
  <c r="N29" i="20"/>
  <c r="O29" i="20" s="1"/>
  <c r="L29" i="20"/>
  <c r="K29" i="20"/>
  <c r="I29" i="20"/>
  <c r="C29" i="20"/>
  <c r="M29" i="20" s="1"/>
  <c r="R28" i="20"/>
  <c r="L28" i="20"/>
  <c r="K28" i="20"/>
  <c r="I28" i="20"/>
  <c r="C28" i="20"/>
  <c r="M28" i="20" s="1"/>
  <c r="H22" i="20"/>
  <c r="F22" i="20" s="1"/>
  <c r="H21" i="20"/>
  <c r="F21" i="20" s="1"/>
  <c r="R19" i="20"/>
  <c r="L19" i="20"/>
  <c r="M19" i="20" s="1"/>
  <c r="P19" i="20" s="1"/>
  <c r="I19" i="20"/>
  <c r="F147" i="20" s="1"/>
  <c r="C19" i="20"/>
  <c r="N19" i="20" s="1"/>
  <c r="O19" i="20" s="1"/>
  <c r="R18" i="20"/>
  <c r="N18" i="20"/>
  <c r="L18" i="20"/>
  <c r="I18" i="20"/>
  <c r="C18" i="20"/>
  <c r="R17" i="20"/>
  <c r="L17" i="20"/>
  <c r="I17" i="20"/>
  <c r="F138" i="20" s="1"/>
  <c r="M138" i="20" s="1"/>
  <c r="P138" i="20" s="1"/>
  <c r="C17" i="20"/>
  <c r="M17" i="20" s="1"/>
  <c r="P17" i="20" s="1"/>
  <c r="R16" i="20"/>
  <c r="L16" i="20"/>
  <c r="N16" i="20" s="1"/>
  <c r="I16" i="20"/>
  <c r="F135" i="20" s="1"/>
  <c r="M135" i="20" s="1"/>
  <c r="P135" i="20" s="1"/>
  <c r="C16" i="20"/>
  <c r="M16" i="20" s="1"/>
  <c r="P16" i="20" s="1"/>
  <c r="R15" i="20"/>
  <c r="L15" i="20"/>
  <c r="N15" i="20" s="1"/>
  <c r="K15" i="20"/>
  <c r="K132" i="20" s="1"/>
  <c r="I15" i="20"/>
  <c r="F132" i="20" s="1"/>
  <c r="C15" i="20"/>
  <c r="R14" i="20"/>
  <c r="L14" i="20"/>
  <c r="N14" i="20" s="1"/>
  <c r="K14" i="20"/>
  <c r="K129" i="20" s="1"/>
  <c r="I14" i="20"/>
  <c r="F129" i="20" s="1"/>
  <c r="C14" i="20"/>
  <c r="R13" i="20"/>
  <c r="L13" i="20"/>
  <c r="N13" i="20" s="1"/>
  <c r="I13" i="20"/>
  <c r="F127" i="20" s="1"/>
  <c r="C13" i="20"/>
  <c r="R12" i="20"/>
  <c r="L12" i="20"/>
  <c r="N12" i="20" s="1"/>
  <c r="O12" i="20" s="1"/>
  <c r="I12" i="20"/>
  <c r="F125" i="20" s="1"/>
  <c r="C12" i="20"/>
  <c r="M12" i="20" s="1"/>
  <c r="P12" i="20" s="1"/>
  <c r="R11" i="20"/>
  <c r="N11" i="20"/>
  <c r="O11" i="20" s="1"/>
  <c r="M11" i="20"/>
  <c r="P11" i="20" s="1"/>
  <c r="L11" i="20"/>
  <c r="I11" i="20"/>
  <c r="F121" i="20" s="1"/>
  <c r="C11" i="20"/>
  <c r="R10" i="20"/>
  <c r="L10" i="20"/>
  <c r="K10" i="20"/>
  <c r="K119" i="20" s="1"/>
  <c r="I10" i="20"/>
  <c r="C10" i="20"/>
  <c r="R9" i="20"/>
  <c r="L9" i="20"/>
  <c r="I9" i="20"/>
  <c r="F115" i="20" s="1"/>
  <c r="N115" i="20" s="1"/>
  <c r="C9" i="20"/>
  <c r="N9" i="20" s="1"/>
  <c r="R8" i="20"/>
  <c r="L8" i="20"/>
  <c r="K8" i="20"/>
  <c r="K114" i="20" s="1"/>
  <c r="I8" i="20"/>
  <c r="C8" i="20"/>
  <c r="R7" i="20"/>
  <c r="L7" i="20"/>
  <c r="N7" i="20" s="1"/>
  <c r="K7" i="20"/>
  <c r="K113" i="20" s="1"/>
  <c r="I7" i="20"/>
  <c r="C7" i="20"/>
  <c r="R6" i="20"/>
  <c r="L6" i="20"/>
  <c r="K6" i="20"/>
  <c r="I6" i="20"/>
  <c r="F112" i="20" s="1"/>
  <c r="C6" i="20"/>
  <c r="N6" i="20" s="1"/>
  <c r="G192" i="19"/>
  <c r="F192" i="19" s="1"/>
  <c r="G191" i="19"/>
  <c r="F191" i="19"/>
  <c r="F190" i="19"/>
  <c r="Q188" i="19"/>
  <c r="L188" i="19"/>
  <c r="K188" i="19"/>
  <c r="H188" i="19"/>
  <c r="I188" i="19" s="1"/>
  <c r="C188" i="19"/>
  <c r="Q187" i="19"/>
  <c r="L187" i="19"/>
  <c r="K187" i="19"/>
  <c r="I187" i="19"/>
  <c r="H187" i="19"/>
  <c r="C187" i="19"/>
  <c r="Q186" i="19"/>
  <c r="L186" i="19"/>
  <c r="K186" i="19"/>
  <c r="H186" i="19"/>
  <c r="I186" i="19" s="1"/>
  <c r="C186" i="19"/>
  <c r="Q185" i="19"/>
  <c r="L185" i="19"/>
  <c r="M185" i="19" s="1"/>
  <c r="K185" i="19"/>
  <c r="I185" i="19"/>
  <c r="H185" i="19"/>
  <c r="C185" i="19"/>
  <c r="Q184" i="19"/>
  <c r="L184" i="19"/>
  <c r="H184" i="19"/>
  <c r="I184" i="19" s="1"/>
  <c r="C184" i="19"/>
  <c r="Q183" i="19"/>
  <c r="L183" i="19"/>
  <c r="K183" i="19"/>
  <c r="H183" i="19"/>
  <c r="I183" i="19" s="1"/>
  <c r="C183" i="19"/>
  <c r="Q182" i="19"/>
  <c r="L182" i="19"/>
  <c r="K182" i="19"/>
  <c r="H182" i="19"/>
  <c r="I182" i="19" s="1"/>
  <c r="C182" i="19"/>
  <c r="Q181" i="19"/>
  <c r="L181" i="19"/>
  <c r="H181" i="19"/>
  <c r="I181" i="19" s="1"/>
  <c r="C181" i="19"/>
  <c r="Q180" i="19"/>
  <c r="M180" i="19"/>
  <c r="L180" i="19"/>
  <c r="H180" i="19"/>
  <c r="I180" i="19" s="1"/>
  <c r="C180" i="19"/>
  <c r="Q179" i="19"/>
  <c r="L179" i="19"/>
  <c r="K179" i="19"/>
  <c r="I179" i="19"/>
  <c r="H179" i="19"/>
  <c r="C179" i="19"/>
  <c r="Q178" i="19"/>
  <c r="L178" i="19"/>
  <c r="K178" i="19"/>
  <c r="I178" i="19"/>
  <c r="H178" i="19"/>
  <c r="C178" i="19"/>
  <c r="Q177" i="19"/>
  <c r="L177" i="19"/>
  <c r="K177" i="19"/>
  <c r="I177" i="19"/>
  <c r="H177" i="19"/>
  <c r="C177" i="19"/>
  <c r="Q176" i="19"/>
  <c r="L176" i="19"/>
  <c r="K176" i="19"/>
  <c r="H176" i="19"/>
  <c r="I176" i="19" s="1"/>
  <c r="C176" i="19"/>
  <c r="Q175" i="19"/>
  <c r="L175" i="19"/>
  <c r="K175" i="19"/>
  <c r="I175" i="19"/>
  <c r="H175" i="19"/>
  <c r="C175" i="19"/>
  <c r="Q174" i="19"/>
  <c r="L174" i="19"/>
  <c r="K174" i="19"/>
  <c r="I174" i="19"/>
  <c r="H174" i="19"/>
  <c r="C174" i="19"/>
  <c r="Q173" i="19"/>
  <c r="L173" i="19"/>
  <c r="K173" i="19"/>
  <c r="I173" i="19"/>
  <c r="H173" i="19"/>
  <c r="C173" i="19"/>
  <c r="Q172" i="19"/>
  <c r="L172" i="19"/>
  <c r="K172" i="19"/>
  <c r="H172" i="19"/>
  <c r="I172" i="19" s="1"/>
  <c r="C172" i="19"/>
  <c r="Q171" i="19"/>
  <c r="L171" i="19"/>
  <c r="K171" i="19"/>
  <c r="I171" i="19"/>
  <c r="H171" i="19"/>
  <c r="C171" i="19"/>
  <c r="Q170" i="19"/>
  <c r="L170" i="19"/>
  <c r="K170" i="19"/>
  <c r="I170" i="19"/>
  <c r="H170" i="19"/>
  <c r="C170" i="19"/>
  <c r="Q169" i="19"/>
  <c r="L169" i="19"/>
  <c r="K169" i="19"/>
  <c r="I169" i="19"/>
  <c r="H169" i="19"/>
  <c r="C169" i="19"/>
  <c r="Q168" i="19"/>
  <c r="L168" i="19"/>
  <c r="N168" i="19" s="1"/>
  <c r="O168" i="19" s="1"/>
  <c r="I168" i="19"/>
  <c r="H168" i="19"/>
  <c r="C168" i="19"/>
  <c r="Q167" i="19"/>
  <c r="L167" i="19"/>
  <c r="I167" i="19"/>
  <c r="H167" i="19"/>
  <c r="C167" i="19"/>
  <c r="Q166" i="19"/>
  <c r="L166" i="19"/>
  <c r="I166" i="19"/>
  <c r="H166" i="19"/>
  <c r="C166" i="19"/>
  <c r="Q165" i="19"/>
  <c r="L165" i="19"/>
  <c r="K165" i="19"/>
  <c r="I165" i="19"/>
  <c r="H165" i="19"/>
  <c r="C165" i="19"/>
  <c r="Q164" i="19"/>
  <c r="L164" i="19"/>
  <c r="H164" i="19"/>
  <c r="I164" i="19" s="1"/>
  <c r="C164" i="19"/>
  <c r="N164" i="19" s="1"/>
  <c r="Q163" i="19"/>
  <c r="L163" i="19"/>
  <c r="I163" i="19"/>
  <c r="H163" i="19"/>
  <c r="C163" i="19"/>
  <c r="Q162" i="19"/>
  <c r="L162" i="19"/>
  <c r="H162" i="19"/>
  <c r="I162" i="19" s="1"/>
  <c r="C162" i="19"/>
  <c r="Q161" i="19"/>
  <c r="N161" i="19"/>
  <c r="O161" i="19" s="1"/>
  <c r="L161" i="19"/>
  <c r="M161" i="19" s="1"/>
  <c r="P161" i="19" s="1"/>
  <c r="K161" i="19"/>
  <c r="H161" i="19"/>
  <c r="I161" i="19" s="1"/>
  <c r="F161" i="19"/>
  <c r="C161" i="19"/>
  <c r="Q160" i="19"/>
  <c r="L160" i="19"/>
  <c r="K160" i="19"/>
  <c r="H160" i="19"/>
  <c r="I160" i="19" s="1"/>
  <c r="C160" i="19"/>
  <c r="Q159" i="19"/>
  <c r="L159" i="19"/>
  <c r="N159" i="19" s="1"/>
  <c r="K159" i="19"/>
  <c r="I159" i="19"/>
  <c r="H159" i="19"/>
  <c r="C159" i="19"/>
  <c r="Q158" i="19"/>
  <c r="L158" i="19"/>
  <c r="K158" i="19"/>
  <c r="I158" i="19"/>
  <c r="H158" i="19"/>
  <c r="C158" i="19"/>
  <c r="Q157" i="19"/>
  <c r="L157" i="19"/>
  <c r="K157" i="19"/>
  <c r="H157" i="19"/>
  <c r="I157" i="19" s="1"/>
  <c r="C157" i="19"/>
  <c r="Q156" i="19"/>
  <c r="L156" i="19"/>
  <c r="H156" i="19"/>
  <c r="I156" i="19" s="1"/>
  <c r="C156" i="19"/>
  <c r="Q155" i="19"/>
  <c r="L155" i="19"/>
  <c r="K155" i="19"/>
  <c r="H155" i="19"/>
  <c r="I155" i="19" s="1"/>
  <c r="C155" i="19"/>
  <c r="N155" i="19" s="1"/>
  <c r="Q154" i="19"/>
  <c r="L154" i="19"/>
  <c r="K154" i="19"/>
  <c r="H154" i="19"/>
  <c r="I154" i="19" s="1"/>
  <c r="C154" i="19"/>
  <c r="Q153" i="19"/>
  <c r="L153" i="19"/>
  <c r="K153" i="19"/>
  <c r="I153" i="19"/>
  <c r="H153" i="19"/>
  <c r="C153" i="19"/>
  <c r="N153" i="19" s="1"/>
  <c r="Q152" i="19"/>
  <c r="L152" i="19"/>
  <c r="H152" i="19"/>
  <c r="I152" i="19" s="1"/>
  <c r="C152" i="19"/>
  <c r="Q151" i="19"/>
  <c r="L151" i="19"/>
  <c r="K151" i="19"/>
  <c r="H151" i="19"/>
  <c r="I151" i="19" s="1"/>
  <c r="C151" i="19"/>
  <c r="Q150" i="19"/>
  <c r="L150" i="19"/>
  <c r="N150" i="19" s="1"/>
  <c r="K150" i="19"/>
  <c r="I150" i="19"/>
  <c r="H150" i="19"/>
  <c r="C150" i="19"/>
  <c r="Q149" i="19"/>
  <c r="L149" i="19"/>
  <c r="K149" i="19"/>
  <c r="I149" i="19"/>
  <c r="H149" i="19"/>
  <c r="C149" i="19"/>
  <c r="Q148" i="19"/>
  <c r="L148" i="19"/>
  <c r="H148" i="19"/>
  <c r="I148" i="19" s="1"/>
  <c r="C148" i="19"/>
  <c r="Q147" i="19"/>
  <c r="L147" i="19"/>
  <c r="K147" i="19"/>
  <c r="I147" i="19"/>
  <c r="H147" i="19"/>
  <c r="F147" i="19"/>
  <c r="C147" i="19"/>
  <c r="Q146" i="19"/>
  <c r="L146" i="19"/>
  <c r="I146" i="19"/>
  <c r="H146" i="19"/>
  <c r="C146" i="19"/>
  <c r="Q145" i="19"/>
  <c r="L145" i="19"/>
  <c r="K145" i="19"/>
  <c r="H145" i="19"/>
  <c r="I145" i="19" s="1"/>
  <c r="C145" i="19"/>
  <c r="Q144" i="19"/>
  <c r="L144" i="19"/>
  <c r="K144" i="19"/>
  <c r="I144" i="19"/>
  <c r="H144" i="19"/>
  <c r="C144" i="19"/>
  <c r="Q143" i="19"/>
  <c r="L143" i="19"/>
  <c r="H143" i="19"/>
  <c r="I143" i="19" s="1"/>
  <c r="C143" i="19"/>
  <c r="Q142" i="19"/>
  <c r="L142" i="19"/>
  <c r="H142" i="19"/>
  <c r="I142" i="19" s="1"/>
  <c r="C142" i="19"/>
  <c r="Q141" i="19"/>
  <c r="L141" i="19"/>
  <c r="K141" i="19"/>
  <c r="I141" i="19"/>
  <c r="H141" i="19"/>
  <c r="C141" i="19"/>
  <c r="Q140" i="19"/>
  <c r="L140" i="19"/>
  <c r="I140" i="19"/>
  <c r="H140" i="19"/>
  <c r="C140" i="19"/>
  <c r="Q139" i="19"/>
  <c r="L139" i="19"/>
  <c r="I139" i="19"/>
  <c r="H139" i="19"/>
  <c r="C139" i="19"/>
  <c r="Q138" i="19"/>
  <c r="L138" i="19"/>
  <c r="K138" i="19"/>
  <c r="H138" i="19"/>
  <c r="I138" i="19" s="1"/>
  <c r="C138" i="19"/>
  <c r="Q137" i="19"/>
  <c r="L137" i="19"/>
  <c r="M137" i="19" s="1"/>
  <c r="P137" i="19" s="1"/>
  <c r="K137" i="19"/>
  <c r="I137" i="19"/>
  <c r="H137" i="19"/>
  <c r="C137" i="19"/>
  <c r="Q136" i="19"/>
  <c r="L136" i="19"/>
  <c r="H136" i="19"/>
  <c r="I136" i="19" s="1"/>
  <c r="C136" i="19"/>
  <c r="Q135" i="19"/>
  <c r="L135" i="19"/>
  <c r="K135" i="19"/>
  <c r="H135" i="19"/>
  <c r="I135" i="19" s="1"/>
  <c r="F135" i="19"/>
  <c r="C135" i="19"/>
  <c r="N135" i="19" s="1"/>
  <c r="Q134" i="19"/>
  <c r="L134" i="19"/>
  <c r="H134" i="19"/>
  <c r="I134" i="19" s="1"/>
  <c r="C134" i="19"/>
  <c r="Q133" i="19"/>
  <c r="L133" i="19"/>
  <c r="H133" i="19"/>
  <c r="I133" i="19" s="1"/>
  <c r="C133" i="19"/>
  <c r="C128" i="19"/>
  <c r="E127" i="19"/>
  <c r="C127" i="19"/>
  <c r="C126" i="19"/>
  <c r="F121" i="19"/>
  <c r="F128" i="19" s="1"/>
  <c r="H120" i="19"/>
  <c r="F120" i="19" s="1"/>
  <c r="H119" i="19"/>
  <c r="F119" i="19"/>
  <c r="D128" i="19" s="1"/>
  <c r="R117" i="19"/>
  <c r="N117" i="19"/>
  <c r="M117" i="19"/>
  <c r="P117" i="19" s="1"/>
  <c r="L117" i="19"/>
  <c r="I117" i="19"/>
  <c r="R116" i="19"/>
  <c r="L116" i="19"/>
  <c r="N116" i="19" s="1"/>
  <c r="I116" i="19"/>
  <c r="R115" i="19"/>
  <c r="O115" i="19"/>
  <c r="N115" i="19"/>
  <c r="L115" i="19"/>
  <c r="M115" i="19" s="1"/>
  <c r="P115" i="19" s="1"/>
  <c r="I115" i="19"/>
  <c r="F185" i="19" s="1"/>
  <c r="N185" i="19" s="1"/>
  <c r="C115" i="19"/>
  <c r="R114" i="19"/>
  <c r="L114" i="19"/>
  <c r="N114" i="19" s="1"/>
  <c r="I114" i="19"/>
  <c r="C114" i="19"/>
  <c r="R113" i="19"/>
  <c r="L113" i="19"/>
  <c r="M113" i="19" s="1"/>
  <c r="K113" i="19"/>
  <c r="K181" i="19" s="1"/>
  <c r="I113" i="19"/>
  <c r="F181" i="19" s="1"/>
  <c r="C113" i="19"/>
  <c r="N113" i="19" s="1"/>
  <c r="O113" i="19" s="1"/>
  <c r="R112" i="19"/>
  <c r="L112" i="19"/>
  <c r="M112" i="19" s="1"/>
  <c r="P112" i="19" s="1"/>
  <c r="I112" i="19"/>
  <c r="F178" i="19" s="1"/>
  <c r="C112" i="19"/>
  <c r="R111" i="19"/>
  <c r="L111" i="19"/>
  <c r="M111" i="19" s="1"/>
  <c r="P111" i="19" s="1"/>
  <c r="I111" i="19"/>
  <c r="C111" i="19"/>
  <c r="R110" i="19"/>
  <c r="L110" i="19"/>
  <c r="I110" i="19"/>
  <c r="C110" i="19"/>
  <c r="N110" i="19" s="1"/>
  <c r="R109" i="19"/>
  <c r="N109" i="19"/>
  <c r="O109" i="19" s="1"/>
  <c r="L109" i="19"/>
  <c r="K109" i="19"/>
  <c r="M109" i="19" s="1"/>
  <c r="I109" i="19"/>
  <c r="C109" i="19"/>
  <c r="R108" i="19"/>
  <c r="L108" i="19"/>
  <c r="M108" i="19" s="1"/>
  <c r="P108" i="19" s="1"/>
  <c r="I108" i="19"/>
  <c r="C108" i="19"/>
  <c r="R107" i="19"/>
  <c r="L107" i="19"/>
  <c r="I107" i="19"/>
  <c r="C107" i="19"/>
  <c r="R106" i="19"/>
  <c r="N106" i="19"/>
  <c r="L106" i="19"/>
  <c r="M106" i="19" s="1"/>
  <c r="K106" i="19"/>
  <c r="I106" i="19"/>
  <c r="C106" i="19"/>
  <c r="R105" i="19"/>
  <c r="L105" i="19"/>
  <c r="M105" i="19" s="1"/>
  <c r="P105" i="19" s="1"/>
  <c r="I105" i="19"/>
  <c r="C105" i="19"/>
  <c r="R104" i="19"/>
  <c r="L104" i="19"/>
  <c r="M104" i="19" s="1"/>
  <c r="K104" i="19"/>
  <c r="K162" i="19" s="1"/>
  <c r="I104" i="19"/>
  <c r="F162" i="19" s="1"/>
  <c r="C104" i="19"/>
  <c r="N104" i="19" s="1"/>
  <c r="O104" i="19" s="1"/>
  <c r="R103" i="19"/>
  <c r="L103" i="19"/>
  <c r="M103" i="19" s="1"/>
  <c r="P103" i="19" s="1"/>
  <c r="I103" i="19"/>
  <c r="C103" i="19"/>
  <c r="R102" i="19"/>
  <c r="N102" i="19"/>
  <c r="O102" i="19" s="1"/>
  <c r="M102" i="19"/>
  <c r="P102" i="19" s="1"/>
  <c r="L102" i="19"/>
  <c r="I102" i="19"/>
  <c r="F159" i="19" s="1"/>
  <c r="C102" i="19"/>
  <c r="R101" i="19"/>
  <c r="M101" i="19"/>
  <c r="P101" i="19" s="1"/>
  <c r="L101" i="19"/>
  <c r="I101" i="19"/>
  <c r="F158" i="19" s="1"/>
  <c r="N158" i="19" s="1"/>
  <c r="C101" i="19"/>
  <c r="N101" i="19" s="1"/>
  <c r="R100" i="19"/>
  <c r="L100" i="19"/>
  <c r="I100" i="19"/>
  <c r="F157" i="19" s="1"/>
  <c r="C100" i="19"/>
  <c r="R99" i="19"/>
  <c r="M99" i="19"/>
  <c r="P99" i="19" s="1"/>
  <c r="L99" i="19"/>
  <c r="N99" i="19" s="1"/>
  <c r="O99" i="19" s="1"/>
  <c r="I99" i="19"/>
  <c r="C99" i="19"/>
  <c r="R98" i="19"/>
  <c r="M98" i="19"/>
  <c r="P98" i="19" s="1"/>
  <c r="L98" i="19"/>
  <c r="I98" i="19"/>
  <c r="C98" i="19"/>
  <c r="N98" i="19" s="1"/>
  <c r="O98" i="19" s="1"/>
  <c r="R97" i="19"/>
  <c r="L97" i="19"/>
  <c r="K97" i="19"/>
  <c r="I97" i="19"/>
  <c r="C97" i="19"/>
  <c r="R96" i="19"/>
  <c r="N96" i="19"/>
  <c r="O96" i="19" s="1"/>
  <c r="M96" i="19"/>
  <c r="P96" i="19" s="1"/>
  <c r="L96" i="19"/>
  <c r="I96" i="19"/>
  <c r="C96" i="19"/>
  <c r="R95" i="19"/>
  <c r="N95" i="19"/>
  <c r="O95" i="19" s="1"/>
  <c r="M95" i="19"/>
  <c r="P95" i="19" s="1"/>
  <c r="L95" i="19"/>
  <c r="I95" i="19"/>
  <c r="C95" i="19"/>
  <c r="R94" i="19"/>
  <c r="N94" i="19"/>
  <c r="O94" i="19" s="1"/>
  <c r="M94" i="19"/>
  <c r="L94" i="19"/>
  <c r="K94" i="19"/>
  <c r="I94" i="19"/>
  <c r="C94" i="19"/>
  <c r="R93" i="19"/>
  <c r="O93" i="19"/>
  <c r="N93" i="19"/>
  <c r="M93" i="19"/>
  <c r="L93" i="19"/>
  <c r="K93" i="19"/>
  <c r="I93" i="19"/>
  <c r="C93" i="19"/>
  <c r="H86" i="19"/>
  <c r="F86" i="19" s="1"/>
  <c r="R84" i="19"/>
  <c r="P84" i="19"/>
  <c r="O84" i="19"/>
  <c r="N84" i="19"/>
  <c r="L84" i="19"/>
  <c r="I84" i="19"/>
  <c r="C84" i="19"/>
  <c r="M84" i="19" s="1"/>
  <c r="R83" i="19"/>
  <c r="L83" i="19"/>
  <c r="N83" i="19" s="1"/>
  <c r="I83" i="19"/>
  <c r="C83" i="19"/>
  <c r="R82" i="19"/>
  <c r="P82" i="19"/>
  <c r="O82" i="19"/>
  <c r="N82" i="19"/>
  <c r="L82" i="19"/>
  <c r="K82" i="19"/>
  <c r="K184" i="19" s="1"/>
  <c r="I82" i="19"/>
  <c r="F184" i="19" s="1"/>
  <c r="C82" i="19"/>
  <c r="M82" i="19" s="1"/>
  <c r="P62" i="20" s="1"/>
  <c r="R81" i="19"/>
  <c r="L81" i="19"/>
  <c r="I81" i="19"/>
  <c r="C81" i="19"/>
  <c r="R80" i="19"/>
  <c r="L80" i="19"/>
  <c r="N80" i="19" s="1"/>
  <c r="I80" i="19"/>
  <c r="C80" i="19"/>
  <c r="R79" i="19"/>
  <c r="L79" i="19"/>
  <c r="I79" i="19"/>
  <c r="F179" i="19" s="1"/>
  <c r="C79" i="19"/>
  <c r="R78" i="19"/>
  <c r="L78" i="19"/>
  <c r="N78" i="19" s="1"/>
  <c r="I78" i="19"/>
  <c r="F177" i="19" s="1"/>
  <c r="M177" i="19" s="1"/>
  <c r="P177" i="19" s="1"/>
  <c r="C78" i="19"/>
  <c r="R77" i="19"/>
  <c r="P77" i="19"/>
  <c r="O77" i="19"/>
  <c r="N77" i="19"/>
  <c r="M77" i="19"/>
  <c r="L77" i="19"/>
  <c r="I77" i="19"/>
  <c r="C77" i="19"/>
  <c r="R76" i="19"/>
  <c r="O76" i="19"/>
  <c r="N76" i="19"/>
  <c r="M76" i="19"/>
  <c r="P76" i="19" s="1"/>
  <c r="L76" i="19"/>
  <c r="I76" i="19"/>
  <c r="F174" i="19" s="1"/>
  <c r="C76" i="19"/>
  <c r="R75" i="19"/>
  <c r="N75" i="19"/>
  <c r="O75" i="19" s="1"/>
  <c r="L75" i="19"/>
  <c r="I75" i="19"/>
  <c r="C75" i="19"/>
  <c r="M75" i="19" s="1"/>
  <c r="P75" i="19" s="1"/>
  <c r="R74" i="19"/>
  <c r="L74" i="19"/>
  <c r="I74" i="19"/>
  <c r="C74" i="19"/>
  <c r="N74" i="19" s="1"/>
  <c r="R73" i="19"/>
  <c r="L73" i="19"/>
  <c r="N73" i="19" s="1"/>
  <c r="I73" i="19"/>
  <c r="C73" i="19"/>
  <c r="R72" i="19"/>
  <c r="L72" i="19"/>
  <c r="K72" i="19"/>
  <c r="K168" i="19" s="1"/>
  <c r="I72" i="19"/>
  <c r="C72" i="19"/>
  <c r="R71" i="19"/>
  <c r="M71" i="19"/>
  <c r="P71" i="19" s="1"/>
  <c r="L71" i="19"/>
  <c r="N71" i="19" s="1"/>
  <c r="O71" i="19" s="1"/>
  <c r="I71" i="19"/>
  <c r="C71" i="19"/>
  <c r="R70" i="19"/>
  <c r="L70" i="19"/>
  <c r="M70" i="19" s="1"/>
  <c r="P70" i="19" s="1"/>
  <c r="I70" i="19"/>
  <c r="F166" i="19" s="1"/>
  <c r="C70" i="19"/>
  <c r="N70" i="19" s="1"/>
  <c r="O70" i="19" s="1"/>
  <c r="R69" i="19"/>
  <c r="M69" i="19"/>
  <c r="P69" i="19" s="1"/>
  <c r="L69" i="19"/>
  <c r="I69" i="19"/>
  <c r="F165" i="19" s="1"/>
  <c r="C69" i="19"/>
  <c r="R68" i="19"/>
  <c r="L68" i="19"/>
  <c r="K68" i="19"/>
  <c r="K164" i="19" s="1"/>
  <c r="I68" i="19"/>
  <c r="C68" i="19"/>
  <c r="R67" i="19"/>
  <c r="L67" i="19"/>
  <c r="N67" i="19" s="1"/>
  <c r="K67" i="19"/>
  <c r="K163" i="19" s="1"/>
  <c r="I67" i="19"/>
  <c r="C67" i="19"/>
  <c r="R66" i="19"/>
  <c r="N66" i="19"/>
  <c r="M66" i="19"/>
  <c r="P66" i="19" s="1"/>
  <c r="L66" i="19"/>
  <c r="I66" i="19"/>
  <c r="C66" i="19"/>
  <c r="R65" i="19"/>
  <c r="N65" i="19"/>
  <c r="O65" i="19" s="1"/>
  <c r="M65" i="19"/>
  <c r="P65" i="19" s="1"/>
  <c r="L65" i="19"/>
  <c r="I65" i="19"/>
  <c r="F153" i="19" s="1"/>
  <c r="C65" i="19"/>
  <c r="R64" i="19"/>
  <c r="N64" i="19"/>
  <c r="L64" i="19"/>
  <c r="M64" i="19" s="1"/>
  <c r="K64" i="19"/>
  <c r="K152" i="19" s="1"/>
  <c r="I64" i="19"/>
  <c r="F152" i="19" s="1"/>
  <c r="C64" i="19"/>
  <c r="R63" i="19"/>
  <c r="O63" i="19"/>
  <c r="N63" i="19"/>
  <c r="M63" i="19"/>
  <c r="P63" i="19" s="1"/>
  <c r="L63" i="19"/>
  <c r="I63" i="19"/>
  <c r="C63" i="19"/>
  <c r="R62" i="19"/>
  <c r="L62" i="19"/>
  <c r="K62" i="19"/>
  <c r="I62" i="19"/>
  <c r="C62" i="19"/>
  <c r="R61" i="19"/>
  <c r="N61" i="19"/>
  <c r="O61" i="19" s="1"/>
  <c r="L61" i="19"/>
  <c r="M61" i="19" s="1"/>
  <c r="P61" i="19" s="1"/>
  <c r="I61" i="19"/>
  <c r="C61" i="19"/>
  <c r="R60" i="19"/>
  <c r="N60" i="19"/>
  <c r="L60" i="19"/>
  <c r="M60" i="19" s="1"/>
  <c r="K60" i="19"/>
  <c r="K146" i="19" s="1"/>
  <c r="I60" i="19"/>
  <c r="C60" i="19"/>
  <c r="R59" i="19"/>
  <c r="N59" i="19"/>
  <c r="M59" i="19"/>
  <c r="L59" i="19"/>
  <c r="I59" i="19"/>
  <c r="F145" i="19" s="1"/>
  <c r="C59" i="19"/>
  <c r="R58" i="19"/>
  <c r="N58" i="19"/>
  <c r="O58" i="19" s="1"/>
  <c r="L58" i="19"/>
  <c r="K58" i="19"/>
  <c r="I58" i="19"/>
  <c r="F144" i="19" s="1"/>
  <c r="C58" i="19"/>
  <c r="M58" i="19" s="1"/>
  <c r="R57" i="19"/>
  <c r="L57" i="19"/>
  <c r="K57" i="19"/>
  <c r="K143" i="19" s="1"/>
  <c r="I57" i="19"/>
  <c r="F143" i="19" s="1"/>
  <c r="C57" i="19"/>
  <c r="M57" i="19" s="1"/>
  <c r="P32" i="21" s="1"/>
  <c r="R56" i="19"/>
  <c r="L56" i="19"/>
  <c r="K56" i="19"/>
  <c r="I56" i="19"/>
  <c r="C56" i="19"/>
  <c r="R55" i="19"/>
  <c r="L55" i="19"/>
  <c r="I55" i="19"/>
  <c r="F141" i="19" s="1"/>
  <c r="C55" i="19"/>
  <c r="N55" i="19" s="1"/>
  <c r="R54" i="19"/>
  <c r="L54" i="19"/>
  <c r="I54" i="19"/>
  <c r="C54" i="19"/>
  <c r="R53" i="19"/>
  <c r="L53" i="19"/>
  <c r="I53" i="19"/>
  <c r="F138" i="19" s="1"/>
  <c r="C53" i="19"/>
  <c r="H47" i="19"/>
  <c r="F47" i="19" s="1"/>
  <c r="H46" i="19"/>
  <c r="F46" i="19"/>
  <c r="R44" i="19"/>
  <c r="L44" i="19"/>
  <c r="I44" i="19"/>
  <c r="F188" i="19" s="1"/>
  <c r="N188" i="19" s="1"/>
  <c r="C44" i="19"/>
  <c r="R43" i="19"/>
  <c r="L43" i="19"/>
  <c r="I43" i="19"/>
  <c r="F187" i="19" s="1"/>
  <c r="C43" i="19"/>
  <c r="R42" i="19"/>
  <c r="L42" i="19"/>
  <c r="I42" i="19"/>
  <c r="F186" i="19" s="1"/>
  <c r="C42" i="19"/>
  <c r="N42" i="19" s="1"/>
  <c r="R41" i="19"/>
  <c r="L41" i="19"/>
  <c r="K41" i="19"/>
  <c r="F48" i="19" s="1"/>
  <c r="I41" i="19"/>
  <c r="R40" i="19"/>
  <c r="L40" i="19"/>
  <c r="I40" i="19"/>
  <c r="F183" i="19" s="1"/>
  <c r="C40" i="19"/>
  <c r="R39" i="19"/>
  <c r="L39" i="19"/>
  <c r="I39" i="19"/>
  <c r="F182" i="19" s="1"/>
  <c r="C39" i="19"/>
  <c r="N39" i="19" s="1"/>
  <c r="R38" i="19"/>
  <c r="L38" i="19"/>
  <c r="K38" i="19"/>
  <c r="K180" i="19" s="1"/>
  <c r="I38" i="19"/>
  <c r="F180" i="19" s="1"/>
  <c r="C38" i="19"/>
  <c r="R37" i="19"/>
  <c r="L37" i="19"/>
  <c r="I37" i="19"/>
  <c r="F176" i="19" s="1"/>
  <c r="C37" i="19"/>
  <c r="R36" i="19"/>
  <c r="N36" i="19"/>
  <c r="L36" i="19"/>
  <c r="M36" i="19" s="1"/>
  <c r="P36" i="19" s="1"/>
  <c r="I36" i="19"/>
  <c r="F175" i="19" s="1"/>
  <c r="M175" i="19" s="1"/>
  <c r="P175" i="19" s="1"/>
  <c r="C36" i="19"/>
  <c r="R35" i="19"/>
  <c r="L35" i="19"/>
  <c r="I35" i="19"/>
  <c r="F173" i="19" s="1"/>
  <c r="C35" i="19"/>
  <c r="R34" i="19"/>
  <c r="L34" i="19"/>
  <c r="I34" i="19"/>
  <c r="F172" i="19" s="1"/>
  <c r="C34" i="19"/>
  <c r="R33" i="19"/>
  <c r="L33" i="19"/>
  <c r="I33" i="19"/>
  <c r="F171" i="19" s="1"/>
  <c r="M171" i="19" s="1"/>
  <c r="P171" i="19" s="1"/>
  <c r="C33" i="19"/>
  <c r="N33" i="19" s="1"/>
  <c r="R32" i="19"/>
  <c r="L32" i="19"/>
  <c r="I32" i="19"/>
  <c r="F170" i="19" s="1"/>
  <c r="M170" i="19" s="1"/>
  <c r="P170" i="19" s="1"/>
  <c r="C32" i="19"/>
  <c r="R31" i="19"/>
  <c r="L31" i="19"/>
  <c r="I31" i="19"/>
  <c r="F169" i="19" s="1"/>
  <c r="M169" i="19" s="1"/>
  <c r="P169" i="19" s="1"/>
  <c r="C31" i="19"/>
  <c r="R30" i="19"/>
  <c r="L30" i="19"/>
  <c r="N30" i="19" s="1"/>
  <c r="I30" i="19"/>
  <c r="F168" i="19" s="1"/>
  <c r="M168" i="19" s="1"/>
  <c r="C30" i="19"/>
  <c r="R29" i="19"/>
  <c r="M29" i="19"/>
  <c r="L29" i="19"/>
  <c r="K29" i="19"/>
  <c r="K167" i="19" s="1"/>
  <c r="I29" i="19"/>
  <c r="F167" i="19" s="1"/>
  <c r="C29" i="19"/>
  <c r="R28" i="19"/>
  <c r="M28" i="19"/>
  <c r="L28" i="19"/>
  <c r="K28" i="19"/>
  <c r="K166" i="19" s="1"/>
  <c r="I28" i="19"/>
  <c r="C28" i="19"/>
  <c r="R27" i="19"/>
  <c r="L27" i="19"/>
  <c r="I27" i="19"/>
  <c r="F164" i="19" s="1"/>
  <c r="C27" i="19"/>
  <c r="N27" i="19" s="1"/>
  <c r="R26" i="19"/>
  <c r="L26" i="19"/>
  <c r="N26" i="19" s="1"/>
  <c r="I26" i="19"/>
  <c r="F163" i="19" s="1"/>
  <c r="N163" i="19" s="1"/>
  <c r="C26" i="19"/>
  <c r="R25" i="19"/>
  <c r="M25" i="19"/>
  <c r="P25" i="19" s="1"/>
  <c r="L25" i="19"/>
  <c r="I25" i="19"/>
  <c r="C25" i="19"/>
  <c r="N25" i="19" s="1"/>
  <c r="O25" i="19" s="1"/>
  <c r="R24" i="19"/>
  <c r="L24" i="19"/>
  <c r="N24" i="19" s="1"/>
  <c r="I24" i="19"/>
  <c r="F160" i="19" s="1"/>
  <c r="M160" i="19" s="1"/>
  <c r="P160" i="19" s="1"/>
  <c r="C24" i="19"/>
  <c r="R23" i="19"/>
  <c r="L23" i="19"/>
  <c r="K23" i="19"/>
  <c r="K156" i="19" s="1"/>
  <c r="I23" i="19"/>
  <c r="C23" i="19"/>
  <c r="M23" i="19" s="1"/>
  <c r="R22" i="19"/>
  <c r="L22" i="19"/>
  <c r="I22" i="19"/>
  <c r="F155" i="19" s="1"/>
  <c r="C22" i="19"/>
  <c r="N22" i="19" s="1"/>
  <c r="R21" i="19"/>
  <c r="L21" i="19"/>
  <c r="M21" i="19" s="1"/>
  <c r="P21" i="19" s="1"/>
  <c r="I21" i="19"/>
  <c r="F154" i="19" s="1"/>
  <c r="C21" i="19"/>
  <c r="N21" i="19" s="1"/>
  <c r="O21" i="19" s="1"/>
  <c r="R20" i="19"/>
  <c r="P20" i="19"/>
  <c r="O20" i="19"/>
  <c r="N20" i="19"/>
  <c r="M20" i="19"/>
  <c r="L20" i="19"/>
  <c r="I20" i="19"/>
  <c r="F151" i="19" s="1"/>
  <c r="M151" i="19" s="1"/>
  <c r="P151" i="19" s="1"/>
  <c r="C20" i="19"/>
  <c r="R19" i="19"/>
  <c r="L19" i="19"/>
  <c r="I19" i="19"/>
  <c r="F150" i="19" s="1"/>
  <c r="C19" i="19"/>
  <c r="N19" i="19" s="1"/>
  <c r="R18" i="19"/>
  <c r="L18" i="19"/>
  <c r="I18" i="19"/>
  <c r="F149" i="19" s="1"/>
  <c r="N149" i="19" s="1"/>
  <c r="C18" i="19"/>
  <c r="N18" i="19" s="1"/>
  <c r="R17" i="19"/>
  <c r="N17" i="19"/>
  <c r="O17" i="19" s="1"/>
  <c r="M17" i="19"/>
  <c r="P17" i="19" s="1"/>
  <c r="L17" i="19"/>
  <c r="I17" i="19"/>
  <c r="C17" i="19"/>
  <c r="R16" i="19"/>
  <c r="L16" i="19"/>
  <c r="I16" i="19"/>
  <c r="C16" i="19"/>
  <c r="N16" i="19" s="1"/>
  <c r="R15" i="19"/>
  <c r="L15" i="19"/>
  <c r="I15" i="19"/>
  <c r="F146" i="19" s="1"/>
  <c r="C15" i="19"/>
  <c r="N15" i="19" s="1"/>
  <c r="R14" i="19"/>
  <c r="N14" i="19"/>
  <c r="O14" i="19" s="1"/>
  <c r="M14" i="19"/>
  <c r="L14" i="19"/>
  <c r="K14" i="19"/>
  <c r="I14" i="19"/>
  <c r="C14" i="19"/>
  <c r="R13" i="19"/>
  <c r="L13" i="19"/>
  <c r="K13" i="19"/>
  <c r="K140" i="19" s="1"/>
  <c r="I13" i="19"/>
  <c r="F140" i="19" s="1"/>
  <c r="C13" i="19"/>
  <c r="M13" i="19" s="1"/>
  <c r="R12" i="19"/>
  <c r="L12" i="19"/>
  <c r="K12" i="19"/>
  <c r="K139" i="19" s="1"/>
  <c r="I12" i="19"/>
  <c r="F139" i="19" s="1"/>
  <c r="M139" i="19" s="1"/>
  <c r="C12" i="19"/>
  <c r="M12" i="19" s="1"/>
  <c r="R11" i="19"/>
  <c r="P11" i="19"/>
  <c r="O11" i="19"/>
  <c r="N11" i="19"/>
  <c r="L11" i="19"/>
  <c r="M11" i="19" s="1"/>
  <c r="I11" i="19"/>
  <c r="C11" i="19"/>
  <c r="R10" i="19"/>
  <c r="L10" i="19"/>
  <c r="I10" i="19"/>
  <c r="F137" i="19" s="1"/>
  <c r="N137" i="19" s="1"/>
  <c r="C10" i="19"/>
  <c r="N10" i="19" s="1"/>
  <c r="R9" i="19"/>
  <c r="L9" i="19"/>
  <c r="K9" i="19"/>
  <c r="I9" i="19"/>
  <c r="C9" i="19"/>
  <c r="N9" i="19" s="1"/>
  <c r="R8" i="19"/>
  <c r="N8" i="19"/>
  <c r="O8" i="19" s="1"/>
  <c r="L8" i="19"/>
  <c r="M8" i="19" s="1"/>
  <c r="P8" i="19" s="1"/>
  <c r="I8" i="19"/>
  <c r="C8" i="19"/>
  <c r="R7" i="19"/>
  <c r="N7" i="19"/>
  <c r="O7" i="19" s="1"/>
  <c r="L7" i="19"/>
  <c r="K7" i="19"/>
  <c r="K134" i="19" s="1"/>
  <c r="I7" i="19"/>
  <c r="C7" i="19"/>
  <c r="M7" i="19" s="1"/>
  <c r="R6" i="19"/>
  <c r="L6" i="19"/>
  <c r="K6" i="19"/>
  <c r="K133" i="19" s="1"/>
  <c r="I6" i="19"/>
  <c r="F133" i="19" s="1"/>
  <c r="C6" i="19"/>
  <c r="N6" i="19" s="1"/>
  <c r="B51" i="18"/>
  <c r="G44" i="18"/>
  <c r="F44" i="18" s="1"/>
  <c r="G43" i="18"/>
  <c r="F43" i="18" s="1"/>
  <c r="F42" i="18"/>
  <c r="Q40" i="18"/>
  <c r="L40" i="18"/>
  <c r="I40" i="18"/>
  <c r="H40" i="18"/>
  <c r="C40" i="18"/>
  <c r="Q39" i="18"/>
  <c r="L39" i="18"/>
  <c r="H39" i="18"/>
  <c r="I39" i="18" s="1"/>
  <c r="F39" i="18"/>
  <c r="C39" i="18"/>
  <c r="Q38" i="18"/>
  <c r="L38" i="18"/>
  <c r="K38" i="18"/>
  <c r="H38" i="18"/>
  <c r="I38" i="18" s="1"/>
  <c r="C38" i="18"/>
  <c r="N38" i="18" s="1"/>
  <c r="Q37" i="18"/>
  <c r="L37" i="18"/>
  <c r="N37" i="18" s="1"/>
  <c r="H37" i="18"/>
  <c r="I37" i="18" s="1"/>
  <c r="C37" i="18"/>
  <c r="Q36" i="18"/>
  <c r="L36" i="18"/>
  <c r="H36" i="18"/>
  <c r="I36" i="18" s="1"/>
  <c r="C36" i="18"/>
  <c r="E31" i="18"/>
  <c r="C31" i="18"/>
  <c r="E30" i="18"/>
  <c r="C30" i="18"/>
  <c r="H23" i="18"/>
  <c r="F23" i="18" s="1"/>
  <c r="R21" i="18"/>
  <c r="N21" i="18"/>
  <c r="O21" i="18" s="1"/>
  <c r="M21" i="18"/>
  <c r="L21" i="18"/>
  <c r="K21" i="18"/>
  <c r="I21" i="18"/>
  <c r="C21" i="18"/>
  <c r="R20" i="18"/>
  <c r="L20" i="18"/>
  <c r="K20" i="18"/>
  <c r="N20" i="18" s="1"/>
  <c r="I20" i="18"/>
  <c r="C20" i="18"/>
  <c r="R19" i="18"/>
  <c r="L19" i="18"/>
  <c r="K19" i="18"/>
  <c r="K37" i="18" s="1"/>
  <c r="I19" i="18"/>
  <c r="F37" i="18" s="1"/>
  <c r="C19" i="18"/>
  <c r="N19" i="18" s="1"/>
  <c r="R18" i="18"/>
  <c r="O18" i="18"/>
  <c r="N18" i="18"/>
  <c r="M18" i="18"/>
  <c r="L18" i="18"/>
  <c r="K18" i="18"/>
  <c r="I18" i="18"/>
  <c r="C18" i="18"/>
  <c r="H11" i="18"/>
  <c r="F11" i="18"/>
  <c r="D30" i="18" s="1"/>
  <c r="R9" i="18"/>
  <c r="L9" i="18"/>
  <c r="K9" i="18"/>
  <c r="K40" i="18" s="1"/>
  <c r="M40" i="18" s="1"/>
  <c r="I9" i="18"/>
  <c r="F40" i="18" s="1"/>
  <c r="C9" i="18"/>
  <c r="N9" i="18" s="1"/>
  <c r="R8" i="18"/>
  <c r="N8" i="18"/>
  <c r="M8" i="18"/>
  <c r="L8" i="18"/>
  <c r="K8" i="18"/>
  <c r="I8" i="18"/>
  <c r="C8" i="18"/>
  <c r="R7" i="18"/>
  <c r="M7" i="18"/>
  <c r="L7" i="18"/>
  <c r="K7" i="18"/>
  <c r="F38" i="18" s="1"/>
  <c r="I7" i="18"/>
  <c r="C7" i="18"/>
  <c r="R6" i="18"/>
  <c r="N6" i="18"/>
  <c r="L6" i="18"/>
  <c r="M6" i="18" s="1"/>
  <c r="K6" i="18"/>
  <c r="K36" i="18" s="1"/>
  <c r="I6" i="18"/>
  <c r="F36" i="18" s="1"/>
  <c r="N36" i="18" s="1"/>
  <c r="C6" i="18"/>
  <c r="G104" i="17"/>
  <c r="F104" i="17" s="1"/>
  <c r="G103" i="17"/>
  <c r="F103" i="17"/>
  <c r="F102" i="17"/>
  <c r="Q100" i="17"/>
  <c r="M100" i="17"/>
  <c r="L100" i="17"/>
  <c r="K100" i="17"/>
  <c r="I100" i="17"/>
  <c r="H100" i="17"/>
  <c r="F100" i="17"/>
  <c r="C100" i="17"/>
  <c r="N100" i="17" s="1"/>
  <c r="O100" i="17" s="1"/>
  <c r="Q99" i="17"/>
  <c r="L99" i="17"/>
  <c r="K99" i="17"/>
  <c r="I99" i="17"/>
  <c r="H99" i="17"/>
  <c r="C99" i="17"/>
  <c r="Q98" i="17"/>
  <c r="L98" i="17"/>
  <c r="K98" i="17"/>
  <c r="H98" i="17"/>
  <c r="I98" i="17" s="1"/>
  <c r="C98" i="17"/>
  <c r="Q97" i="17"/>
  <c r="L97" i="17"/>
  <c r="K97" i="17"/>
  <c r="I97" i="17"/>
  <c r="H97" i="17"/>
  <c r="C97" i="17"/>
  <c r="Q96" i="17"/>
  <c r="L96" i="17"/>
  <c r="H96" i="17"/>
  <c r="I96" i="17" s="1"/>
  <c r="C96" i="17"/>
  <c r="Q95" i="17"/>
  <c r="L95" i="17"/>
  <c r="K95" i="17"/>
  <c r="I95" i="17"/>
  <c r="H95" i="17"/>
  <c r="C95" i="17"/>
  <c r="Q94" i="17"/>
  <c r="M94" i="17"/>
  <c r="P94" i="17" s="1"/>
  <c r="L94" i="17"/>
  <c r="N94" i="17" s="1"/>
  <c r="K94" i="17"/>
  <c r="I94" i="17"/>
  <c r="H94" i="17"/>
  <c r="C94" i="17"/>
  <c r="Q93" i="17"/>
  <c r="L93" i="17"/>
  <c r="K93" i="17"/>
  <c r="N93" i="17" s="1"/>
  <c r="I93" i="17"/>
  <c r="H93" i="17"/>
  <c r="F93" i="17"/>
  <c r="C93" i="17"/>
  <c r="Q92" i="17"/>
  <c r="L92" i="17"/>
  <c r="K92" i="17"/>
  <c r="I92" i="17"/>
  <c r="H92" i="17"/>
  <c r="C92" i="17"/>
  <c r="Q91" i="17"/>
  <c r="L91" i="17"/>
  <c r="I91" i="17"/>
  <c r="H91" i="17"/>
  <c r="C91" i="17"/>
  <c r="N91" i="17" s="1"/>
  <c r="Q90" i="17"/>
  <c r="L90" i="17"/>
  <c r="H90" i="17"/>
  <c r="I90" i="17" s="1"/>
  <c r="C90" i="17"/>
  <c r="Q89" i="17"/>
  <c r="L89" i="17"/>
  <c r="K89" i="17"/>
  <c r="I89" i="17"/>
  <c r="H89" i="17"/>
  <c r="C89" i="17"/>
  <c r="Q88" i="17"/>
  <c r="L88" i="17"/>
  <c r="K88" i="17"/>
  <c r="N88" i="17" s="1"/>
  <c r="I88" i="17"/>
  <c r="H88" i="17"/>
  <c r="F88" i="17"/>
  <c r="C88" i="17"/>
  <c r="Q87" i="17"/>
  <c r="L87" i="17"/>
  <c r="K87" i="17"/>
  <c r="H87" i="17"/>
  <c r="I87" i="17" s="1"/>
  <c r="F87" i="17"/>
  <c r="M87" i="17" s="1"/>
  <c r="P87" i="17" s="1"/>
  <c r="C87" i="17"/>
  <c r="N87" i="17" s="1"/>
  <c r="O87" i="17" s="1"/>
  <c r="Q86" i="17"/>
  <c r="L86" i="17"/>
  <c r="N86" i="17" s="1"/>
  <c r="O86" i="17" s="1"/>
  <c r="K86" i="17"/>
  <c r="I86" i="17"/>
  <c r="H86" i="17"/>
  <c r="C86" i="17"/>
  <c r="Q85" i="17"/>
  <c r="L85" i="17"/>
  <c r="M85" i="17" s="1"/>
  <c r="P85" i="17" s="1"/>
  <c r="K85" i="17"/>
  <c r="I85" i="17"/>
  <c r="H85" i="17"/>
  <c r="C85" i="17"/>
  <c r="Q84" i="17"/>
  <c r="L84" i="17"/>
  <c r="K84" i="17"/>
  <c r="I84" i="17"/>
  <c r="H84" i="17"/>
  <c r="C84" i="17"/>
  <c r="Q83" i="17"/>
  <c r="L83" i="17"/>
  <c r="K83" i="17"/>
  <c r="H83" i="17"/>
  <c r="I83" i="17" s="1"/>
  <c r="C83" i="17"/>
  <c r="Q82" i="17"/>
  <c r="L82" i="17"/>
  <c r="K82" i="17"/>
  <c r="I82" i="17"/>
  <c r="H82" i="17"/>
  <c r="C82" i="17"/>
  <c r="Q81" i="17"/>
  <c r="L81" i="17"/>
  <c r="M81" i="17" s="1"/>
  <c r="P81" i="17" s="1"/>
  <c r="K81" i="17"/>
  <c r="I81" i="17"/>
  <c r="H81" i="17"/>
  <c r="C81" i="17"/>
  <c r="Q80" i="17"/>
  <c r="L80" i="17"/>
  <c r="K80" i="17"/>
  <c r="I80" i="17"/>
  <c r="H80" i="17"/>
  <c r="C80" i="17"/>
  <c r="Q79" i="17"/>
  <c r="L79" i="17"/>
  <c r="I79" i="17"/>
  <c r="H79" i="17"/>
  <c r="C79" i="17"/>
  <c r="Q78" i="17"/>
  <c r="L78" i="17"/>
  <c r="H78" i="17"/>
  <c r="I78" i="17" s="1"/>
  <c r="C78" i="17"/>
  <c r="D73" i="17"/>
  <c r="C73" i="17"/>
  <c r="C72" i="17"/>
  <c r="E71" i="17"/>
  <c r="C71" i="17"/>
  <c r="H65" i="17"/>
  <c r="F65" i="17" s="1"/>
  <c r="E73" i="17" s="1"/>
  <c r="H64" i="17"/>
  <c r="F64" i="17" s="1"/>
  <c r="R62" i="17"/>
  <c r="L62" i="17"/>
  <c r="M62" i="17" s="1"/>
  <c r="P62" i="17" s="1"/>
  <c r="I62" i="17"/>
  <c r="C62" i="17"/>
  <c r="R61" i="17"/>
  <c r="M61" i="17"/>
  <c r="P61" i="17" s="1"/>
  <c r="L61" i="17"/>
  <c r="I61" i="17"/>
  <c r="C61" i="17"/>
  <c r="N61" i="17" s="1"/>
  <c r="O61" i="17" s="1"/>
  <c r="R60" i="17"/>
  <c r="P60" i="17"/>
  <c r="M60" i="17"/>
  <c r="L60" i="17"/>
  <c r="I60" i="17"/>
  <c r="C60" i="17"/>
  <c r="R59" i="17"/>
  <c r="L59" i="17"/>
  <c r="I59" i="17"/>
  <c r="C59" i="17"/>
  <c r="R58" i="17"/>
  <c r="L58" i="17"/>
  <c r="I58" i="17"/>
  <c r="C58" i="17"/>
  <c r="N58" i="17" s="1"/>
  <c r="R57" i="17"/>
  <c r="L57" i="17"/>
  <c r="K57" i="17"/>
  <c r="M57" i="17" s="1"/>
  <c r="I57" i="17"/>
  <c r="F78" i="17" s="1"/>
  <c r="C57" i="17"/>
  <c r="H51" i="17"/>
  <c r="F51" i="17" s="1"/>
  <c r="H50" i="17"/>
  <c r="F50" i="17" s="1"/>
  <c r="D72" i="17" s="1"/>
  <c r="R48" i="17"/>
  <c r="L48" i="17"/>
  <c r="I48" i="17"/>
  <c r="F99" i="17" s="1"/>
  <c r="C48" i="17"/>
  <c r="N48" i="17" s="1"/>
  <c r="R47" i="17"/>
  <c r="L47" i="17"/>
  <c r="N47" i="17" s="1"/>
  <c r="I47" i="17"/>
  <c r="F98" i="17" s="1"/>
  <c r="C47" i="17"/>
  <c r="M47" i="17" s="1"/>
  <c r="P47" i="17" s="1"/>
  <c r="R46" i="17"/>
  <c r="L46" i="17"/>
  <c r="I46" i="17"/>
  <c r="F97" i="17" s="1"/>
  <c r="C46" i="17"/>
  <c r="N46" i="17" s="1"/>
  <c r="R45" i="17"/>
  <c r="N45" i="17"/>
  <c r="O45" i="17" s="1"/>
  <c r="M45" i="17"/>
  <c r="P45" i="17" s="1"/>
  <c r="L45" i="17"/>
  <c r="I45" i="17"/>
  <c r="F95" i="17" s="1"/>
  <c r="N95" i="17" s="1"/>
  <c r="C45" i="17"/>
  <c r="R44" i="17"/>
  <c r="M44" i="17"/>
  <c r="L44" i="17"/>
  <c r="K44" i="17"/>
  <c r="K91" i="17" s="1"/>
  <c r="I44" i="17"/>
  <c r="F91" i="17" s="1"/>
  <c r="C44" i="17"/>
  <c r="N44" i="17" s="1"/>
  <c r="R43" i="17"/>
  <c r="L43" i="17"/>
  <c r="N43" i="17" s="1"/>
  <c r="I43" i="17"/>
  <c r="R42" i="17"/>
  <c r="L42" i="17"/>
  <c r="K42" i="17"/>
  <c r="K90" i="17" s="1"/>
  <c r="I42" i="17"/>
  <c r="F90" i="17" s="1"/>
  <c r="C42" i="17"/>
  <c r="R41" i="17"/>
  <c r="L41" i="17"/>
  <c r="K41" i="17"/>
  <c r="I41" i="17"/>
  <c r="F89" i="17" s="1"/>
  <c r="N89" i="17" s="1"/>
  <c r="C41" i="17"/>
  <c r="N41" i="17" s="1"/>
  <c r="R40" i="17"/>
  <c r="N40" i="17"/>
  <c r="L40" i="17"/>
  <c r="M40" i="17" s="1"/>
  <c r="I40" i="17"/>
  <c r="C40" i="17"/>
  <c r="R39" i="17"/>
  <c r="L39" i="17"/>
  <c r="I39" i="17"/>
  <c r="F86" i="17" s="1"/>
  <c r="M86" i="17" s="1"/>
  <c r="P86" i="17" s="1"/>
  <c r="C39" i="17"/>
  <c r="R38" i="17"/>
  <c r="M38" i="17"/>
  <c r="P38" i="17" s="1"/>
  <c r="L38" i="17"/>
  <c r="I38" i="17"/>
  <c r="C38" i="17"/>
  <c r="N38" i="17" s="1"/>
  <c r="O38" i="17" s="1"/>
  <c r="R37" i="17"/>
  <c r="N37" i="17"/>
  <c r="L37" i="17"/>
  <c r="M37" i="17" s="1"/>
  <c r="I37" i="17"/>
  <c r="F84" i="17" s="1"/>
  <c r="C37" i="17"/>
  <c r="R36" i="17"/>
  <c r="L36" i="17"/>
  <c r="I36" i="17"/>
  <c r="C36" i="17"/>
  <c r="R35" i="17"/>
  <c r="M35" i="17"/>
  <c r="P35" i="17" s="1"/>
  <c r="L35" i="17"/>
  <c r="I35" i="17"/>
  <c r="C35" i="17"/>
  <c r="N35" i="17" s="1"/>
  <c r="O35" i="17" s="1"/>
  <c r="R34" i="17"/>
  <c r="L34" i="17"/>
  <c r="N34" i="17" s="1"/>
  <c r="I34" i="17"/>
  <c r="C34" i="17"/>
  <c r="R33" i="17"/>
  <c r="L33" i="17"/>
  <c r="I33" i="17"/>
  <c r="R32" i="17"/>
  <c r="L32" i="17"/>
  <c r="K32" i="17"/>
  <c r="K79" i="17" s="1"/>
  <c r="I32" i="17"/>
  <c r="F79" i="17" s="1"/>
  <c r="C32" i="17"/>
  <c r="R31" i="17"/>
  <c r="L31" i="17"/>
  <c r="K31" i="17"/>
  <c r="I31" i="17"/>
  <c r="C31" i="17"/>
  <c r="F26" i="17"/>
  <c r="F71" i="17" s="1"/>
  <c r="H24" i="17"/>
  <c r="F24" i="17" s="1"/>
  <c r="R22" i="17"/>
  <c r="P22" i="17"/>
  <c r="O22" i="17"/>
  <c r="N22" i="17"/>
  <c r="M22" i="17"/>
  <c r="L22" i="17"/>
  <c r="I22" i="17"/>
  <c r="R21" i="17"/>
  <c r="L21" i="17"/>
  <c r="N21" i="17" s="1"/>
  <c r="I21" i="17"/>
  <c r="C21" i="17"/>
  <c r="R20" i="17"/>
  <c r="L20" i="17"/>
  <c r="I20" i="17"/>
  <c r="C20" i="17"/>
  <c r="R19" i="17"/>
  <c r="L19" i="17"/>
  <c r="K19" i="17"/>
  <c r="K96" i="17" s="1"/>
  <c r="I19" i="17"/>
  <c r="F96" i="17" s="1"/>
  <c r="C19" i="17"/>
  <c r="N19" i="17" s="1"/>
  <c r="R18" i="17"/>
  <c r="L18" i="17"/>
  <c r="I18" i="17"/>
  <c r="F94" i="17" s="1"/>
  <c r="C18" i="17"/>
  <c r="N18" i="17" s="1"/>
  <c r="R17" i="17"/>
  <c r="M17" i="17"/>
  <c r="P17" i="17" s="1"/>
  <c r="L17" i="17"/>
  <c r="N17" i="17" s="1"/>
  <c r="O17" i="17" s="1"/>
  <c r="I17" i="17"/>
  <c r="C17" i="17"/>
  <c r="R16" i="17"/>
  <c r="L16" i="17"/>
  <c r="I16" i="17"/>
  <c r="F92" i="17" s="1"/>
  <c r="C16" i="17"/>
  <c r="N16" i="17" s="1"/>
  <c r="R15" i="17"/>
  <c r="N15" i="17"/>
  <c r="O15" i="17" s="1"/>
  <c r="M15" i="17"/>
  <c r="L15" i="17"/>
  <c r="K15" i="17"/>
  <c r="I15" i="17"/>
  <c r="R14" i="17"/>
  <c r="M14" i="17"/>
  <c r="P14" i="17" s="1"/>
  <c r="L14" i="17"/>
  <c r="N14" i="17" s="1"/>
  <c r="O14" i="17" s="1"/>
  <c r="I14" i="17"/>
  <c r="R13" i="17"/>
  <c r="L13" i="17"/>
  <c r="N13" i="17" s="1"/>
  <c r="I13" i="17"/>
  <c r="R12" i="17"/>
  <c r="L12" i="17"/>
  <c r="I12" i="17"/>
  <c r="C12" i="17"/>
  <c r="N12" i="17" s="1"/>
  <c r="R11" i="17"/>
  <c r="P11" i="17"/>
  <c r="M11" i="17"/>
  <c r="L11" i="17"/>
  <c r="I11" i="17"/>
  <c r="F85" i="17" s="1"/>
  <c r="N85" i="17" s="1"/>
  <c r="C11" i="17"/>
  <c r="N11" i="17" s="1"/>
  <c r="O11" i="17" s="1"/>
  <c r="R10" i="17"/>
  <c r="O10" i="17"/>
  <c r="N10" i="17"/>
  <c r="M10" i="17"/>
  <c r="P10" i="17" s="1"/>
  <c r="L10" i="17"/>
  <c r="I10" i="17"/>
  <c r="C10" i="17"/>
  <c r="R9" i="17"/>
  <c r="L9" i="17"/>
  <c r="I9" i="17"/>
  <c r="F83" i="17" s="1"/>
  <c r="M83" i="17" s="1"/>
  <c r="P83" i="17" s="1"/>
  <c r="C9" i="17"/>
  <c r="R8" i="17"/>
  <c r="L8" i="17"/>
  <c r="I8" i="17"/>
  <c r="C8" i="17"/>
  <c r="R7" i="17"/>
  <c r="N7" i="17"/>
  <c r="O7" i="17" s="1"/>
  <c r="M7" i="17"/>
  <c r="P7" i="17" s="1"/>
  <c r="L7" i="17"/>
  <c r="I7" i="17"/>
  <c r="F81" i="17" s="1"/>
  <c r="C7" i="17"/>
  <c r="R6" i="17"/>
  <c r="L6" i="17"/>
  <c r="I6" i="17"/>
  <c r="F80" i="17" s="1"/>
  <c r="C6" i="17"/>
  <c r="G115" i="16"/>
  <c r="F115" i="16" s="1"/>
  <c r="G114" i="16"/>
  <c r="F114" i="16"/>
  <c r="F113" i="16"/>
  <c r="Q111" i="16"/>
  <c r="L111" i="16"/>
  <c r="K111" i="16"/>
  <c r="H111" i="16"/>
  <c r="I111" i="16" s="1"/>
  <c r="C111" i="16"/>
  <c r="Q110" i="16"/>
  <c r="L110" i="16"/>
  <c r="K110" i="16"/>
  <c r="I110" i="16"/>
  <c r="H110" i="16"/>
  <c r="C110" i="16"/>
  <c r="Q109" i="16"/>
  <c r="M109" i="16"/>
  <c r="P109" i="16" s="1"/>
  <c r="L109" i="16"/>
  <c r="N109" i="16" s="1"/>
  <c r="K109" i="16"/>
  <c r="I109" i="16"/>
  <c r="H109" i="16"/>
  <c r="F109" i="16"/>
  <c r="C109" i="16"/>
  <c r="Q108" i="16"/>
  <c r="L108" i="16"/>
  <c r="I108" i="16"/>
  <c r="H108" i="16"/>
  <c r="C108" i="16"/>
  <c r="Q107" i="16"/>
  <c r="L107" i="16"/>
  <c r="K107" i="16"/>
  <c r="H107" i="16"/>
  <c r="I107" i="16" s="1"/>
  <c r="C107" i="16"/>
  <c r="Q106" i="16"/>
  <c r="L106" i="16"/>
  <c r="K106" i="16"/>
  <c r="I106" i="16"/>
  <c r="H106" i="16"/>
  <c r="F106" i="16"/>
  <c r="C106" i="16"/>
  <c r="M106" i="16" s="1"/>
  <c r="P106" i="16" s="1"/>
  <c r="Q105" i="16"/>
  <c r="L105" i="16"/>
  <c r="H105" i="16"/>
  <c r="I105" i="16" s="1"/>
  <c r="C105" i="16"/>
  <c r="Q104" i="16"/>
  <c r="L104" i="16"/>
  <c r="K104" i="16"/>
  <c r="I104" i="16"/>
  <c r="H104" i="16"/>
  <c r="C104" i="16"/>
  <c r="Q103" i="16"/>
  <c r="L103" i="16"/>
  <c r="K103" i="16"/>
  <c r="I103" i="16"/>
  <c r="H103" i="16"/>
  <c r="C103" i="16"/>
  <c r="Q102" i="16"/>
  <c r="L102" i="16"/>
  <c r="I102" i="16"/>
  <c r="H102" i="16"/>
  <c r="C102" i="16"/>
  <c r="Q101" i="16"/>
  <c r="M101" i="16"/>
  <c r="P101" i="16" s="1"/>
  <c r="L101" i="16"/>
  <c r="N101" i="16" s="1"/>
  <c r="K101" i="16"/>
  <c r="H101" i="16"/>
  <c r="I101" i="16" s="1"/>
  <c r="C101" i="16"/>
  <c r="Q100" i="16"/>
  <c r="L100" i="16"/>
  <c r="K100" i="16"/>
  <c r="I100" i="16"/>
  <c r="H100" i="16"/>
  <c r="C100" i="16"/>
  <c r="Q99" i="16"/>
  <c r="L99" i="16"/>
  <c r="I99" i="16"/>
  <c r="H99" i="16"/>
  <c r="C99" i="16"/>
  <c r="Q98" i="16"/>
  <c r="L98" i="16"/>
  <c r="I98" i="16"/>
  <c r="H98" i="16"/>
  <c r="C98" i="16"/>
  <c r="Q97" i="16"/>
  <c r="L97" i="16"/>
  <c r="I97" i="16"/>
  <c r="H97" i="16"/>
  <c r="C97" i="16"/>
  <c r="Q96" i="16"/>
  <c r="L96" i="16"/>
  <c r="K96" i="16"/>
  <c r="I96" i="16"/>
  <c r="H96" i="16"/>
  <c r="C96" i="16"/>
  <c r="Q95" i="16"/>
  <c r="L95" i="16"/>
  <c r="I95" i="16"/>
  <c r="H95" i="16"/>
  <c r="C95" i="16"/>
  <c r="Q94" i="16"/>
  <c r="N94" i="16"/>
  <c r="L94" i="16"/>
  <c r="K94" i="16"/>
  <c r="I94" i="16"/>
  <c r="H94" i="16"/>
  <c r="C94" i="16"/>
  <c r="Q93" i="16"/>
  <c r="L93" i="16"/>
  <c r="K93" i="16"/>
  <c r="H93" i="16"/>
  <c r="I93" i="16" s="1"/>
  <c r="C93" i="16"/>
  <c r="N93" i="16" s="1"/>
  <c r="Q92" i="16"/>
  <c r="L92" i="16"/>
  <c r="I92" i="16"/>
  <c r="H92" i="16"/>
  <c r="C92" i="16"/>
  <c r="Q91" i="16"/>
  <c r="L91" i="16"/>
  <c r="K91" i="16"/>
  <c r="H91" i="16"/>
  <c r="I91" i="16" s="1"/>
  <c r="C91" i="16"/>
  <c r="Q90" i="16"/>
  <c r="L90" i="16"/>
  <c r="K90" i="16"/>
  <c r="H90" i="16"/>
  <c r="I90" i="16" s="1"/>
  <c r="C90" i="16"/>
  <c r="Q89" i="16"/>
  <c r="L89" i="16"/>
  <c r="I89" i="16"/>
  <c r="H89" i="16"/>
  <c r="C89" i="16"/>
  <c r="Q88" i="16"/>
  <c r="L88" i="16"/>
  <c r="H88" i="16"/>
  <c r="I88" i="16" s="1"/>
  <c r="C88" i="16"/>
  <c r="Q87" i="16"/>
  <c r="L87" i="16"/>
  <c r="K87" i="16"/>
  <c r="H87" i="16"/>
  <c r="I87" i="16" s="1"/>
  <c r="C87" i="16"/>
  <c r="Q86" i="16"/>
  <c r="L86" i="16"/>
  <c r="K86" i="16"/>
  <c r="I86" i="16"/>
  <c r="H86" i="16"/>
  <c r="C86" i="16"/>
  <c r="Q85" i="16"/>
  <c r="L85" i="16"/>
  <c r="K85" i="16"/>
  <c r="H85" i="16"/>
  <c r="I85" i="16" s="1"/>
  <c r="C85" i="16"/>
  <c r="E80" i="16"/>
  <c r="C80" i="16"/>
  <c r="C79" i="16"/>
  <c r="E78" i="16"/>
  <c r="D78" i="16"/>
  <c r="C78" i="16"/>
  <c r="H71" i="16"/>
  <c r="F71" i="16"/>
  <c r="R69" i="16"/>
  <c r="M69" i="16"/>
  <c r="P69" i="16" s="1"/>
  <c r="L69" i="16"/>
  <c r="I69" i="16"/>
  <c r="C69" i="16"/>
  <c r="N69" i="16" s="1"/>
  <c r="R68" i="16"/>
  <c r="L68" i="16"/>
  <c r="I68" i="16"/>
  <c r="C68" i="16"/>
  <c r="N68" i="16" s="1"/>
  <c r="R67" i="16"/>
  <c r="N67" i="16"/>
  <c r="O67" i="16" s="1"/>
  <c r="M67" i="16"/>
  <c r="P67" i="16" s="1"/>
  <c r="L67" i="16"/>
  <c r="I67" i="16"/>
  <c r="C67" i="16"/>
  <c r="R66" i="16"/>
  <c r="L66" i="16"/>
  <c r="I66" i="16"/>
  <c r="C66" i="16"/>
  <c r="N66" i="16" s="1"/>
  <c r="R65" i="16"/>
  <c r="L65" i="16"/>
  <c r="I65" i="16"/>
  <c r="F107" i="16" s="1"/>
  <c r="N107" i="16" s="1"/>
  <c r="C65" i="16"/>
  <c r="N65" i="16" s="1"/>
  <c r="R64" i="16"/>
  <c r="L64" i="16"/>
  <c r="I64" i="16"/>
  <c r="C64" i="16"/>
  <c r="N64" i="16" s="1"/>
  <c r="R63" i="16"/>
  <c r="L63" i="16"/>
  <c r="I63" i="16"/>
  <c r="C63" i="16"/>
  <c r="R62" i="16"/>
  <c r="L62" i="16"/>
  <c r="I62" i="16"/>
  <c r="F101" i="16" s="1"/>
  <c r="C62" i="16"/>
  <c r="N62" i="16" s="1"/>
  <c r="R61" i="16"/>
  <c r="M61" i="16"/>
  <c r="L61" i="16"/>
  <c r="N61" i="16" s="1"/>
  <c r="K61" i="16"/>
  <c r="I61" i="16"/>
  <c r="C61" i="16"/>
  <c r="R60" i="16"/>
  <c r="N60" i="16"/>
  <c r="O60" i="16" s="1"/>
  <c r="M60" i="16"/>
  <c r="L60" i="16"/>
  <c r="K60" i="16"/>
  <c r="I60" i="16"/>
  <c r="F98" i="16" s="1"/>
  <c r="C60" i="16"/>
  <c r="R59" i="16"/>
  <c r="M59" i="16"/>
  <c r="P59" i="16" s="1"/>
  <c r="L59" i="16"/>
  <c r="N59" i="16" s="1"/>
  <c r="O59" i="16" s="1"/>
  <c r="I59" i="16"/>
  <c r="C59" i="16"/>
  <c r="R58" i="16"/>
  <c r="P58" i="16"/>
  <c r="L58" i="16"/>
  <c r="M58" i="16" s="1"/>
  <c r="I58" i="16"/>
  <c r="R57" i="16"/>
  <c r="N57" i="16"/>
  <c r="M57" i="16"/>
  <c r="P57" i="16" s="1"/>
  <c r="L57" i="16"/>
  <c r="I57" i="16"/>
  <c r="R56" i="16"/>
  <c r="L56" i="16"/>
  <c r="I56" i="16"/>
  <c r="F90" i="16" s="1"/>
  <c r="C56" i="16"/>
  <c r="R55" i="16"/>
  <c r="L55" i="16"/>
  <c r="I55" i="16"/>
  <c r="C55" i="16"/>
  <c r="N55" i="16" s="1"/>
  <c r="H49" i="16"/>
  <c r="F49" i="16" s="1"/>
  <c r="H48" i="16"/>
  <c r="F48" i="16" s="1"/>
  <c r="R46" i="16"/>
  <c r="L46" i="16"/>
  <c r="N46" i="16" s="1"/>
  <c r="K46" i="16"/>
  <c r="I46" i="16"/>
  <c r="C46" i="16"/>
  <c r="R45" i="16"/>
  <c r="O45" i="16"/>
  <c r="M45" i="16"/>
  <c r="P45" i="16" s="1"/>
  <c r="L45" i="16"/>
  <c r="I45" i="16"/>
  <c r="C45" i="16"/>
  <c r="N45" i="16" s="1"/>
  <c r="R44" i="16"/>
  <c r="L44" i="16"/>
  <c r="N44" i="16" s="1"/>
  <c r="K44" i="16"/>
  <c r="I44" i="16"/>
  <c r="C44" i="16"/>
  <c r="R43" i="16"/>
  <c r="P43" i="16"/>
  <c r="N43" i="16"/>
  <c r="O43" i="16" s="1"/>
  <c r="L43" i="16"/>
  <c r="I43" i="16"/>
  <c r="C43" i="16"/>
  <c r="M43" i="16" s="1"/>
  <c r="R42" i="16"/>
  <c r="N42" i="16"/>
  <c r="O42" i="16" s="1"/>
  <c r="L42" i="16"/>
  <c r="K42" i="16"/>
  <c r="K105" i="16" s="1"/>
  <c r="I42" i="16"/>
  <c r="F105" i="16" s="1"/>
  <c r="C42" i="16"/>
  <c r="M42" i="16" s="1"/>
  <c r="R41" i="16"/>
  <c r="O41" i="16"/>
  <c r="N41" i="16"/>
  <c r="L41" i="16"/>
  <c r="M41" i="16" s="1"/>
  <c r="P41" i="16" s="1"/>
  <c r="I41" i="16"/>
  <c r="C41" i="16"/>
  <c r="R40" i="16"/>
  <c r="M40" i="16"/>
  <c r="L40" i="16"/>
  <c r="K40" i="16"/>
  <c r="I40" i="16"/>
  <c r="C40" i="16"/>
  <c r="R39" i="16"/>
  <c r="L39" i="16"/>
  <c r="K39" i="16"/>
  <c r="I39" i="16"/>
  <c r="C39" i="16"/>
  <c r="N39" i="16" s="1"/>
  <c r="R38" i="16"/>
  <c r="P38" i="16"/>
  <c r="N38" i="16"/>
  <c r="O38" i="16" s="1"/>
  <c r="L38" i="16"/>
  <c r="I38" i="16"/>
  <c r="C38" i="16"/>
  <c r="M38" i="16" s="1"/>
  <c r="R37" i="16"/>
  <c r="L37" i="16"/>
  <c r="N37" i="16" s="1"/>
  <c r="I37" i="16"/>
  <c r="F96" i="16" s="1"/>
  <c r="C37" i="16"/>
  <c r="R36" i="16"/>
  <c r="L36" i="16"/>
  <c r="I36" i="16"/>
  <c r="C36" i="16"/>
  <c r="R35" i="16"/>
  <c r="L35" i="16"/>
  <c r="K35" i="16"/>
  <c r="I35" i="16"/>
  <c r="C35" i="16"/>
  <c r="R34" i="16"/>
  <c r="L34" i="16"/>
  <c r="N34" i="16" s="1"/>
  <c r="I34" i="16"/>
  <c r="C34" i="16"/>
  <c r="R33" i="16"/>
  <c r="L33" i="16"/>
  <c r="I33" i="16"/>
  <c r="C33" i="16"/>
  <c r="N33" i="16" s="1"/>
  <c r="R32" i="16"/>
  <c r="M32" i="16"/>
  <c r="P32" i="16" s="1"/>
  <c r="L32" i="16"/>
  <c r="I32" i="16"/>
  <c r="F86" i="16" s="1"/>
  <c r="N86" i="16" s="1"/>
  <c r="C32" i="16"/>
  <c r="N32" i="16" s="1"/>
  <c r="R31" i="16"/>
  <c r="M31" i="16"/>
  <c r="L31" i="16"/>
  <c r="N31" i="16" s="1"/>
  <c r="K31" i="16"/>
  <c r="I31" i="16"/>
  <c r="F85" i="16" s="1"/>
  <c r="C31" i="16"/>
  <c r="H24" i="16"/>
  <c r="F24" i="16"/>
  <c r="R22" i="16"/>
  <c r="L22" i="16"/>
  <c r="N22" i="16" s="1"/>
  <c r="I22" i="16"/>
  <c r="F111" i="16" s="1"/>
  <c r="C22" i="16"/>
  <c r="R21" i="16"/>
  <c r="N21" i="16"/>
  <c r="O21" i="16" s="1"/>
  <c r="M21" i="16"/>
  <c r="P21" i="16" s="1"/>
  <c r="L21" i="16"/>
  <c r="I21" i="16"/>
  <c r="C21" i="16"/>
  <c r="R20" i="16"/>
  <c r="M20" i="16"/>
  <c r="L20" i="16"/>
  <c r="K20" i="16"/>
  <c r="N20" i="16" s="1"/>
  <c r="I20" i="16"/>
  <c r="F108" i="16" s="1"/>
  <c r="C20" i="16"/>
  <c r="R19" i="16"/>
  <c r="N19" i="16"/>
  <c r="L19" i="16"/>
  <c r="I19" i="16"/>
  <c r="C19" i="16"/>
  <c r="M19" i="16" s="1"/>
  <c r="R18" i="16"/>
  <c r="N18" i="16"/>
  <c r="L18" i="16"/>
  <c r="I18" i="16"/>
  <c r="F104" i="16" s="1"/>
  <c r="C18" i="16"/>
  <c r="R17" i="16"/>
  <c r="L17" i="16"/>
  <c r="I17" i="16"/>
  <c r="F102" i="16" s="1"/>
  <c r="C17" i="16"/>
  <c r="R16" i="16"/>
  <c r="L16" i="16"/>
  <c r="N16" i="16" s="1"/>
  <c r="I16" i="16"/>
  <c r="C16" i="16"/>
  <c r="R15" i="16"/>
  <c r="N15" i="16"/>
  <c r="O15" i="16" s="1"/>
  <c r="L15" i="16"/>
  <c r="K15" i="16"/>
  <c r="K99" i="16" s="1"/>
  <c r="I15" i="16"/>
  <c r="F99" i="16" s="1"/>
  <c r="C15" i="16"/>
  <c r="M15" i="16" s="1"/>
  <c r="P29" i="19" s="1"/>
  <c r="R14" i="16"/>
  <c r="L14" i="16"/>
  <c r="N14" i="16" s="1"/>
  <c r="K14" i="16"/>
  <c r="K97" i="16" s="1"/>
  <c r="I14" i="16"/>
  <c r="F97" i="16" s="1"/>
  <c r="M97" i="16" s="1"/>
  <c r="C14" i="16"/>
  <c r="R13" i="16"/>
  <c r="L13" i="16"/>
  <c r="N13" i="16" s="1"/>
  <c r="K13" i="16"/>
  <c r="K95" i="16" s="1"/>
  <c r="I13" i="16"/>
  <c r="F95" i="16" s="1"/>
  <c r="C13" i="16"/>
  <c r="R12" i="16"/>
  <c r="L12" i="16"/>
  <c r="I12" i="16"/>
  <c r="F94" i="16" s="1"/>
  <c r="C12" i="16"/>
  <c r="R11" i="16"/>
  <c r="L11" i="16"/>
  <c r="I11" i="16"/>
  <c r="F93" i="16" s="1"/>
  <c r="C11" i="16"/>
  <c r="N11" i="16" s="1"/>
  <c r="R10" i="16"/>
  <c r="L10" i="16"/>
  <c r="K10" i="16"/>
  <c r="K92" i="16" s="1"/>
  <c r="I10" i="16"/>
  <c r="F92" i="16" s="1"/>
  <c r="C10" i="16"/>
  <c r="R9" i="16"/>
  <c r="L9" i="16"/>
  <c r="I9" i="16"/>
  <c r="F91" i="16" s="1"/>
  <c r="N91" i="16" s="1"/>
  <c r="C9" i="16"/>
  <c r="N9" i="16" s="1"/>
  <c r="R8" i="16"/>
  <c r="L8" i="16"/>
  <c r="K8" i="16"/>
  <c r="K89" i="16" s="1"/>
  <c r="I8" i="16"/>
  <c r="F89" i="16" s="1"/>
  <c r="C8" i="16"/>
  <c r="N8" i="16" s="1"/>
  <c r="R7" i="16"/>
  <c r="L7" i="16"/>
  <c r="M7" i="16" s="1"/>
  <c r="K7" i="16"/>
  <c r="F26" i="16" s="1"/>
  <c r="I7" i="16"/>
  <c r="F88" i="16" s="1"/>
  <c r="C7" i="16"/>
  <c r="N7" i="16" s="1"/>
  <c r="O7" i="16" s="1"/>
  <c r="R6" i="16"/>
  <c r="L6" i="16"/>
  <c r="I6" i="16"/>
  <c r="F87" i="16" s="1"/>
  <c r="C6" i="16"/>
  <c r="N6" i="16" s="1"/>
  <c r="B112" i="15"/>
  <c r="G105" i="15"/>
  <c r="F105" i="15"/>
  <c r="G104" i="15"/>
  <c r="F104" i="15"/>
  <c r="F103" i="15"/>
  <c r="Q101" i="15"/>
  <c r="L101" i="15"/>
  <c r="K101" i="15"/>
  <c r="I101" i="15"/>
  <c r="H101" i="15"/>
  <c r="C101" i="15"/>
  <c r="Q100" i="15"/>
  <c r="L100" i="15"/>
  <c r="M100" i="15" s="1"/>
  <c r="K100" i="15"/>
  <c r="I100" i="15"/>
  <c r="H100" i="15"/>
  <c r="C100" i="15"/>
  <c r="Q99" i="15"/>
  <c r="M99" i="15"/>
  <c r="P99" i="15" s="1"/>
  <c r="L99" i="15"/>
  <c r="K99" i="15"/>
  <c r="H99" i="15"/>
  <c r="I99" i="15" s="1"/>
  <c r="F99" i="15"/>
  <c r="C99" i="15"/>
  <c r="Q98" i="15"/>
  <c r="L98" i="15"/>
  <c r="K98" i="15"/>
  <c r="H98" i="15"/>
  <c r="I98" i="15" s="1"/>
  <c r="F98" i="15"/>
  <c r="N98" i="15" s="1"/>
  <c r="C98" i="15"/>
  <c r="Q97" i="15"/>
  <c r="L97" i="15"/>
  <c r="K97" i="15"/>
  <c r="M97" i="15" s="1"/>
  <c r="P97" i="15" s="1"/>
  <c r="I97" i="15"/>
  <c r="H97" i="15"/>
  <c r="F97" i="15"/>
  <c r="C97" i="15"/>
  <c r="N97" i="15" s="1"/>
  <c r="O97" i="15" s="1"/>
  <c r="Q96" i="15"/>
  <c r="L96" i="15"/>
  <c r="K96" i="15"/>
  <c r="H96" i="15"/>
  <c r="I96" i="15" s="1"/>
  <c r="F96" i="15"/>
  <c r="M96" i="15" s="1"/>
  <c r="P96" i="15" s="1"/>
  <c r="C96" i="15"/>
  <c r="N96" i="15" s="1"/>
  <c r="Q95" i="15"/>
  <c r="N95" i="15"/>
  <c r="L95" i="15"/>
  <c r="K95" i="15"/>
  <c r="H95" i="15"/>
  <c r="I95" i="15" s="1"/>
  <c r="C95" i="15"/>
  <c r="Q94" i="15"/>
  <c r="L94" i="15"/>
  <c r="K94" i="15"/>
  <c r="I94" i="15"/>
  <c r="H94" i="15"/>
  <c r="C94" i="15"/>
  <c r="Q93" i="15"/>
  <c r="L93" i="15"/>
  <c r="K93" i="15"/>
  <c r="M93" i="15" s="1"/>
  <c r="P93" i="15" s="1"/>
  <c r="H93" i="15"/>
  <c r="I93" i="15" s="1"/>
  <c r="C93" i="15"/>
  <c r="Q92" i="15"/>
  <c r="L92" i="15"/>
  <c r="I92" i="15"/>
  <c r="H92" i="15"/>
  <c r="C92" i="15"/>
  <c r="Q91" i="15"/>
  <c r="L91" i="15"/>
  <c r="K91" i="15"/>
  <c r="I91" i="15"/>
  <c r="H91" i="15"/>
  <c r="C91" i="15"/>
  <c r="Q90" i="15"/>
  <c r="L90" i="15"/>
  <c r="H90" i="15"/>
  <c r="I90" i="15" s="1"/>
  <c r="C90" i="15"/>
  <c r="Q89" i="15"/>
  <c r="L89" i="15"/>
  <c r="N89" i="15" s="1"/>
  <c r="K89" i="15"/>
  <c r="H89" i="15"/>
  <c r="I89" i="15" s="1"/>
  <c r="C89" i="15"/>
  <c r="Q88" i="15"/>
  <c r="L88" i="15"/>
  <c r="I88" i="15"/>
  <c r="H88" i="15"/>
  <c r="C88" i="15"/>
  <c r="Q87" i="15"/>
  <c r="N87" i="15"/>
  <c r="O87" i="15" s="1"/>
  <c r="L87" i="15"/>
  <c r="K87" i="15"/>
  <c r="H87" i="15"/>
  <c r="I87" i="15" s="1"/>
  <c r="C87" i="15"/>
  <c r="M87" i="15" s="1"/>
  <c r="P87" i="15" s="1"/>
  <c r="Q86" i="15"/>
  <c r="L86" i="15"/>
  <c r="K86" i="15"/>
  <c r="H86" i="15"/>
  <c r="I86" i="15" s="1"/>
  <c r="F86" i="15"/>
  <c r="C86" i="15"/>
  <c r="Q85" i="15"/>
  <c r="L85" i="15"/>
  <c r="K85" i="15"/>
  <c r="H85" i="15"/>
  <c r="I85" i="15" s="1"/>
  <c r="C85" i="15"/>
  <c r="Q84" i="15"/>
  <c r="L84" i="15"/>
  <c r="K84" i="15"/>
  <c r="I84" i="15"/>
  <c r="H84" i="15"/>
  <c r="C84" i="15"/>
  <c r="Q83" i="15"/>
  <c r="L83" i="15"/>
  <c r="N83" i="15" s="1"/>
  <c r="O83" i="15" s="1"/>
  <c r="K83" i="15"/>
  <c r="I83" i="15"/>
  <c r="H83" i="15"/>
  <c r="F83" i="15"/>
  <c r="C83" i="15"/>
  <c r="M83" i="15" s="1"/>
  <c r="P83" i="15" s="1"/>
  <c r="Q82" i="15"/>
  <c r="L82" i="15"/>
  <c r="I82" i="15"/>
  <c r="H82" i="15"/>
  <c r="C82" i="15"/>
  <c r="Q81" i="15"/>
  <c r="L81" i="15"/>
  <c r="H81" i="15"/>
  <c r="I81" i="15" s="1"/>
  <c r="C81" i="15"/>
  <c r="Q80" i="15"/>
  <c r="L80" i="15"/>
  <c r="N80" i="15" s="1"/>
  <c r="K80" i="15"/>
  <c r="H80" i="15"/>
  <c r="I80" i="15" s="1"/>
  <c r="C80" i="15"/>
  <c r="Q79" i="15"/>
  <c r="L79" i="15"/>
  <c r="K79" i="15"/>
  <c r="I79" i="15"/>
  <c r="H79" i="15"/>
  <c r="F79" i="15"/>
  <c r="C79" i="15"/>
  <c r="Q78" i="15"/>
  <c r="L78" i="15"/>
  <c r="K78" i="15"/>
  <c r="H78" i="15"/>
  <c r="I78" i="15" s="1"/>
  <c r="F78" i="15"/>
  <c r="C78" i="15"/>
  <c r="Q77" i="15"/>
  <c r="L77" i="15"/>
  <c r="K77" i="15"/>
  <c r="I77" i="15"/>
  <c r="H77" i="15"/>
  <c r="C77" i="15"/>
  <c r="Q76" i="15"/>
  <c r="L76" i="15"/>
  <c r="K76" i="15"/>
  <c r="I76" i="15"/>
  <c r="H76" i="15"/>
  <c r="C76" i="15"/>
  <c r="Q75" i="15"/>
  <c r="L75" i="15"/>
  <c r="H75" i="15"/>
  <c r="I75" i="15" s="1"/>
  <c r="C75" i="15"/>
  <c r="Q74" i="15"/>
  <c r="L74" i="15"/>
  <c r="K74" i="15"/>
  <c r="I74" i="15"/>
  <c r="H74" i="15"/>
  <c r="C74" i="15"/>
  <c r="Q73" i="15"/>
  <c r="L73" i="15"/>
  <c r="I73" i="15"/>
  <c r="H73" i="15"/>
  <c r="C73" i="15"/>
  <c r="E65" i="15"/>
  <c r="C65" i="15"/>
  <c r="C64" i="15"/>
  <c r="E63" i="15"/>
  <c r="C63" i="15"/>
  <c r="H57" i="15"/>
  <c r="F57" i="15" s="1"/>
  <c r="H56" i="15"/>
  <c r="F56" i="15"/>
  <c r="R54" i="15"/>
  <c r="N54" i="15"/>
  <c r="M54" i="15"/>
  <c r="P54" i="15" s="1"/>
  <c r="L54" i="15"/>
  <c r="I54" i="15"/>
  <c r="R53" i="15"/>
  <c r="N53" i="15"/>
  <c r="L53" i="15"/>
  <c r="K53" i="15"/>
  <c r="I53" i="15"/>
  <c r="F101" i="15" s="1"/>
  <c r="C53" i="15"/>
  <c r="R52" i="15"/>
  <c r="L52" i="15"/>
  <c r="I52" i="15"/>
  <c r="C52" i="15"/>
  <c r="M52" i="15" s="1"/>
  <c r="P52" i="15" s="1"/>
  <c r="R51" i="15"/>
  <c r="L51" i="15"/>
  <c r="I51" i="15"/>
  <c r="C51" i="15"/>
  <c r="R50" i="15"/>
  <c r="L50" i="15"/>
  <c r="I50" i="15"/>
  <c r="F95" i="15" s="1"/>
  <c r="C50" i="15"/>
  <c r="R49" i="15"/>
  <c r="L49" i="15"/>
  <c r="N49" i="15" s="1"/>
  <c r="I49" i="15"/>
  <c r="F93" i="15" s="1"/>
  <c r="C49" i="15"/>
  <c r="R48" i="15"/>
  <c r="L48" i="15"/>
  <c r="K48" i="15"/>
  <c r="I48" i="15"/>
  <c r="C48" i="15"/>
  <c r="R47" i="15"/>
  <c r="P47" i="15"/>
  <c r="L47" i="15"/>
  <c r="I47" i="15"/>
  <c r="F87" i="15" s="1"/>
  <c r="C47" i="15"/>
  <c r="M47" i="15" s="1"/>
  <c r="R46" i="15"/>
  <c r="M46" i="15"/>
  <c r="P46" i="15" s="1"/>
  <c r="L46" i="15"/>
  <c r="I46" i="15"/>
  <c r="C46" i="15"/>
  <c r="R45" i="15"/>
  <c r="N45" i="15"/>
  <c r="M45" i="15"/>
  <c r="P45" i="15" s="1"/>
  <c r="L45" i="15"/>
  <c r="I45" i="15"/>
  <c r="F80" i="15" s="1"/>
  <c r="C45" i="15"/>
  <c r="R44" i="15"/>
  <c r="N44" i="15"/>
  <c r="M44" i="15"/>
  <c r="P44" i="15" s="1"/>
  <c r="L44" i="15"/>
  <c r="I44" i="15"/>
  <c r="C44" i="15"/>
  <c r="R43" i="15"/>
  <c r="L43" i="15"/>
  <c r="I43" i="15"/>
  <c r="F76" i="15" s="1"/>
  <c r="C43" i="15"/>
  <c r="N43" i="15" s="1"/>
  <c r="R42" i="15"/>
  <c r="L42" i="15"/>
  <c r="K42" i="15"/>
  <c r="I42" i="15"/>
  <c r="C42" i="15"/>
  <c r="H36" i="15"/>
  <c r="F36" i="15"/>
  <c r="E64" i="15" s="1"/>
  <c r="H35" i="15"/>
  <c r="F35" i="15"/>
  <c r="R33" i="15"/>
  <c r="L33" i="15"/>
  <c r="I33" i="15"/>
  <c r="F100" i="15" s="1"/>
  <c r="C33" i="15"/>
  <c r="R32" i="15"/>
  <c r="L32" i="15"/>
  <c r="K32" i="15"/>
  <c r="F92" i="15" s="1"/>
  <c r="I32" i="15"/>
  <c r="C32" i="15"/>
  <c r="R31" i="15"/>
  <c r="L31" i="15"/>
  <c r="N31" i="15" s="1"/>
  <c r="I31" i="15"/>
  <c r="F91" i="15" s="1"/>
  <c r="C31" i="15"/>
  <c r="R30" i="15"/>
  <c r="N30" i="15"/>
  <c r="O30" i="15" s="1"/>
  <c r="M30" i="15"/>
  <c r="P30" i="15" s="1"/>
  <c r="L30" i="15"/>
  <c r="I30" i="15"/>
  <c r="C30" i="15"/>
  <c r="R29" i="15"/>
  <c r="L29" i="15"/>
  <c r="I29" i="15"/>
  <c r="C29" i="15"/>
  <c r="R28" i="15"/>
  <c r="L28" i="15"/>
  <c r="N28" i="15" s="1"/>
  <c r="I28" i="15"/>
  <c r="F85" i="15" s="1"/>
  <c r="C28" i="15"/>
  <c r="M28" i="15" s="1"/>
  <c r="P28" i="15" s="1"/>
  <c r="R27" i="15"/>
  <c r="L27" i="15"/>
  <c r="I27" i="15"/>
  <c r="F84" i="15" s="1"/>
  <c r="N84" i="15" s="1"/>
  <c r="C27" i="15"/>
  <c r="R26" i="15"/>
  <c r="N26" i="15"/>
  <c r="O26" i="15" s="1"/>
  <c r="L26" i="15"/>
  <c r="M26" i="15" s="1"/>
  <c r="P26" i="15" s="1"/>
  <c r="I26" i="15"/>
  <c r="C26" i="15"/>
  <c r="R25" i="15"/>
  <c r="L25" i="15"/>
  <c r="K25" i="15"/>
  <c r="K82" i="15" s="1"/>
  <c r="I25" i="15"/>
  <c r="C25" i="15"/>
  <c r="R24" i="15"/>
  <c r="L24" i="15"/>
  <c r="I24" i="15"/>
  <c r="C24" i="15"/>
  <c r="R23" i="15"/>
  <c r="P23" i="15"/>
  <c r="N23" i="15"/>
  <c r="O23" i="15" s="1"/>
  <c r="M23" i="15"/>
  <c r="L23" i="15"/>
  <c r="I23" i="15"/>
  <c r="F77" i="15" s="1"/>
  <c r="C23" i="15"/>
  <c r="R22" i="15"/>
  <c r="M22" i="15"/>
  <c r="O22" i="15" s="1"/>
  <c r="L22" i="15"/>
  <c r="K22" i="15"/>
  <c r="I22" i="15"/>
  <c r="F74" i="15" s="1"/>
  <c r="C22" i="15"/>
  <c r="N22" i="15" s="1"/>
  <c r="R21" i="15"/>
  <c r="L21" i="15"/>
  <c r="K21" i="15"/>
  <c r="I21" i="15"/>
  <c r="C21" i="15"/>
  <c r="N21" i="15" s="1"/>
  <c r="H14" i="15"/>
  <c r="F14" i="15" s="1"/>
  <c r="R12" i="15"/>
  <c r="N12" i="15"/>
  <c r="L12" i="15"/>
  <c r="I12" i="15"/>
  <c r="C12" i="15"/>
  <c r="R11" i="15"/>
  <c r="L11" i="15"/>
  <c r="I11" i="15"/>
  <c r="C11" i="15"/>
  <c r="R10" i="15"/>
  <c r="L10" i="15"/>
  <c r="M10" i="15" s="1"/>
  <c r="P10" i="15" s="1"/>
  <c r="I10" i="15"/>
  <c r="F94" i="15" s="1"/>
  <c r="C10" i="15"/>
  <c r="R9" i="15"/>
  <c r="L9" i="15"/>
  <c r="K9" i="15"/>
  <c r="K90" i="15" s="1"/>
  <c r="I9" i="15"/>
  <c r="F90" i="15" s="1"/>
  <c r="C9" i="15"/>
  <c r="R8" i="15"/>
  <c r="N8" i="15"/>
  <c r="O8" i="15" s="1"/>
  <c r="M8" i="15"/>
  <c r="L8" i="15"/>
  <c r="K8" i="15"/>
  <c r="I8" i="15"/>
  <c r="F89" i="15" s="1"/>
  <c r="C8" i="15"/>
  <c r="R7" i="15"/>
  <c r="L7" i="15"/>
  <c r="M7" i="15" s="1"/>
  <c r="K7" i="15"/>
  <c r="I7" i="15"/>
  <c r="C7" i="15"/>
  <c r="R6" i="15"/>
  <c r="L6" i="15"/>
  <c r="K6" i="15"/>
  <c r="I6" i="15"/>
  <c r="F81" i="15" s="1"/>
  <c r="C6" i="15"/>
  <c r="G220" i="14"/>
  <c r="F220" i="14" s="1"/>
  <c r="G219" i="14"/>
  <c r="F219" i="14" s="1"/>
  <c r="F218" i="14"/>
  <c r="Q216" i="14"/>
  <c r="L216" i="14"/>
  <c r="I216" i="14"/>
  <c r="H216" i="14"/>
  <c r="C216" i="14"/>
  <c r="Q215" i="14"/>
  <c r="L215" i="14"/>
  <c r="N215" i="14" s="1"/>
  <c r="K215" i="14"/>
  <c r="H215" i="14"/>
  <c r="I215" i="14" s="1"/>
  <c r="F215" i="14"/>
  <c r="C215" i="14"/>
  <c r="Q214" i="14"/>
  <c r="L214" i="14"/>
  <c r="K214" i="14"/>
  <c r="H214" i="14"/>
  <c r="I214" i="14" s="1"/>
  <c r="C214" i="14"/>
  <c r="Q213" i="14"/>
  <c r="L213" i="14"/>
  <c r="N213" i="14" s="1"/>
  <c r="K213" i="14"/>
  <c r="I213" i="14"/>
  <c r="H213" i="14"/>
  <c r="C213" i="14"/>
  <c r="Q212" i="14"/>
  <c r="L212" i="14"/>
  <c r="K212" i="14"/>
  <c r="H212" i="14"/>
  <c r="I212" i="14" s="1"/>
  <c r="F212" i="14"/>
  <c r="C212" i="14"/>
  <c r="Q211" i="14"/>
  <c r="L211" i="14"/>
  <c r="K211" i="14"/>
  <c r="H211" i="14"/>
  <c r="I211" i="14" s="1"/>
  <c r="C211" i="14"/>
  <c r="Q210" i="14"/>
  <c r="L210" i="14"/>
  <c r="K210" i="14"/>
  <c r="H210" i="14"/>
  <c r="I210" i="14" s="1"/>
  <c r="C210" i="14"/>
  <c r="Q209" i="14"/>
  <c r="P209" i="14"/>
  <c r="N209" i="14"/>
  <c r="O209" i="14" s="1"/>
  <c r="L209" i="14"/>
  <c r="K209" i="14"/>
  <c r="I209" i="14"/>
  <c r="H209" i="14"/>
  <c r="C209" i="14"/>
  <c r="Q208" i="14"/>
  <c r="L208" i="14"/>
  <c r="N208" i="14" s="1"/>
  <c r="K208" i="14"/>
  <c r="I208" i="14"/>
  <c r="H208" i="14"/>
  <c r="C208" i="14"/>
  <c r="Q207" i="14"/>
  <c r="L207" i="14"/>
  <c r="K207" i="14"/>
  <c r="H207" i="14"/>
  <c r="I207" i="14" s="1"/>
  <c r="C207" i="14"/>
  <c r="Q206" i="14"/>
  <c r="L206" i="14"/>
  <c r="H206" i="14"/>
  <c r="I206" i="14" s="1"/>
  <c r="C206" i="14"/>
  <c r="Q205" i="14"/>
  <c r="L205" i="14"/>
  <c r="K205" i="14"/>
  <c r="H205" i="14"/>
  <c r="I205" i="14" s="1"/>
  <c r="F205" i="14"/>
  <c r="C205" i="14"/>
  <c r="Q204" i="14"/>
  <c r="L204" i="14"/>
  <c r="K204" i="14"/>
  <c r="H204" i="14"/>
  <c r="I204" i="14" s="1"/>
  <c r="C204" i="14"/>
  <c r="Q203" i="14"/>
  <c r="N203" i="14"/>
  <c r="M203" i="14"/>
  <c r="P203" i="14" s="1"/>
  <c r="L203" i="14"/>
  <c r="K203" i="14"/>
  <c r="I203" i="14"/>
  <c r="H203" i="14"/>
  <c r="F203" i="14"/>
  <c r="C203" i="14"/>
  <c r="Q202" i="14"/>
  <c r="L202" i="14"/>
  <c r="M202" i="14" s="1"/>
  <c r="P202" i="14" s="1"/>
  <c r="K202" i="14"/>
  <c r="I202" i="14"/>
  <c r="H202" i="14"/>
  <c r="C202" i="14"/>
  <c r="Q201" i="14"/>
  <c r="M201" i="14"/>
  <c r="P201" i="14" s="1"/>
  <c r="L201" i="14"/>
  <c r="K201" i="14"/>
  <c r="I201" i="14"/>
  <c r="H201" i="14"/>
  <c r="F201" i="14"/>
  <c r="C201" i="14"/>
  <c r="Q200" i="14"/>
  <c r="L200" i="14"/>
  <c r="K200" i="14"/>
  <c r="I200" i="14"/>
  <c r="H200" i="14"/>
  <c r="C200" i="14"/>
  <c r="Q199" i="14"/>
  <c r="L199" i="14"/>
  <c r="K199" i="14"/>
  <c r="H199" i="14"/>
  <c r="I199" i="14" s="1"/>
  <c r="F199" i="14"/>
  <c r="C199" i="14"/>
  <c r="N199" i="14" s="1"/>
  <c r="Q198" i="14"/>
  <c r="L198" i="14"/>
  <c r="K198" i="14"/>
  <c r="H198" i="14"/>
  <c r="I198" i="14" s="1"/>
  <c r="C198" i="14"/>
  <c r="Q197" i="14"/>
  <c r="L197" i="14"/>
  <c r="K197" i="14"/>
  <c r="H197" i="14"/>
  <c r="I197" i="14" s="1"/>
  <c r="C197" i="14"/>
  <c r="Q196" i="14"/>
  <c r="L196" i="14"/>
  <c r="K196" i="14"/>
  <c r="I196" i="14"/>
  <c r="H196" i="14"/>
  <c r="C196" i="14"/>
  <c r="Q195" i="14"/>
  <c r="L195" i="14"/>
  <c r="M195" i="14" s="1"/>
  <c r="P195" i="14" s="1"/>
  <c r="K195" i="14"/>
  <c r="H195" i="14"/>
  <c r="I195" i="14" s="1"/>
  <c r="C195" i="14"/>
  <c r="Q194" i="14"/>
  <c r="L194" i="14"/>
  <c r="K194" i="14"/>
  <c r="I194" i="14"/>
  <c r="H194" i="14"/>
  <c r="C194" i="14"/>
  <c r="Q193" i="14"/>
  <c r="L193" i="14"/>
  <c r="K193" i="14"/>
  <c r="N193" i="14" s="1"/>
  <c r="H193" i="14"/>
  <c r="I193" i="14" s="1"/>
  <c r="C193" i="14"/>
  <c r="Q192" i="14"/>
  <c r="L192" i="14"/>
  <c r="K192" i="14"/>
  <c r="I192" i="14"/>
  <c r="H192" i="14"/>
  <c r="F192" i="14"/>
  <c r="C192" i="14"/>
  <c r="N192" i="14" s="1"/>
  <c r="Q191" i="14"/>
  <c r="L191" i="14"/>
  <c r="K191" i="14"/>
  <c r="H191" i="14"/>
  <c r="I191" i="14" s="1"/>
  <c r="C191" i="14"/>
  <c r="Q190" i="14"/>
  <c r="L190" i="14"/>
  <c r="H190" i="14"/>
  <c r="I190" i="14" s="1"/>
  <c r="C190" i="14"/>
  <c r="Q189" i="14"/>
  <c r="L189" i="14"/>
  <c r="K189" i="14"/>
  <c r="I189" i="14"/>
  <c r="H189" i="14"/>
  <c r="C189" i="14"/>
  <c r="Q188" i="14"/>
  <c r="L188" i="14"/>
  <c r="K188" i="14"/>
  <c r="H188" i="14"/>
  <c r="I188" i="14" s="1"/>
  <c r="C188" i="14"/>
  <c r="Q187" i="14"/>
  <c r="L187" i="14"/>
  <c r="M187" i="14" s="1"/>
  <c r="P187" i="14" s="1"/>
  <c r="K187" i="14"/>
  <c r="H187" i="14"/>
  <c r="I187" i="14" s="1"/>
  <c r="C187" i="14"/>
  <c r="Q186" i="14"/>
  <c r="L186" i="14"/>
  <c r="K186" i="14"/>
  <c r="I186" i="14"/>
  <c r="H186" i="14"/>
  <c r="F186" i="14"/>
  <c r="M186" i="14" s="1"/>
  <c r="P186" i="14" s="1"/>
  <c r="C186" i="14"/>
  <c r="Q185" i="14"/>
  <c r="L185" i="14"/>
  <c r="K185" i="14"/>
  <c r="I185" i="14"/>
  <c r="H185" i="14"/>
  <c r="C185" i="14"/>
  <c r="Q184" i="14"/>
  <c r="L184" i="14"/>
  <c r="I184" i="14"/>
  <c r="H184" i="14"/>
  <c r="C184" i="14"/>
  <c r="Q183" i="14"/>
  <c r="L183" i="14"/>
  <c r="K183" i="14"/>
  <c r="H183" i="14"/>
  <c r="I183" i="14" s="1"/>
  <c r="C183" i="14"/>
  <c r="Q182" i="14"/>
  <c r="L182" i="14"/>
  <c r="N182" i="14" s="1"/>
  <c r="K182" i="14"/>
  <c r="H182" i="14"/>
  <c r="I182" i="14" s="1"/>
  <c r="C182" i="14"/>
  <c r="Q181" i="14"/>
  <c r="L181" i="14"/>
  <c r="K181" i="14"/>
  <c r="I181" i="14"/>
  <c r="H181" i="14"/>
  <c r="C181" i="14"/>
  <c r="Q180" i="14"/>
  <c r="L180" i="14"/>
  <c r="K180" i="14"/>
  <c r="H180" i="14"/>
  <c r="I180" i="14" s="1"/>
  <c r="F180" i="14"/>
  <c r="C180" i="14"/>
  <c r="Q179" i="14"/>
  <c r="L179" i="14"/>
  <c r="I179" i="14"/>
  <c r="H179" i="14"/>
  <c r="C179" i="14"/>
  <c r="Q178" i="14"/>
  <c r="L178" i="14"/>
  <c r="K178" i="14"/>
  <c r="I178" i="14"/>
  <c r="H178" i="14"/>
  <c r="C178" i="14"/>
  <c r="Q177" i="14"/>
  <c r="L177" i="14"/>
  <c r="K177" i="14"/>
  <c r="H177" i="14"/>
  <c r="I177" i="14" s="1"/>
  <c r="C177" i="14"/>
  <c r="Q176" i="14"/>
  <c r="N176" i="14"/>
  <c r="O176" i="14" s="1"/>
  <c r="L176" i="14"/>
  <c r="K176" i="14"/>
  <c r="H176" i="14"/>
  <c r="I176" i="14" s="1"/>
  <c r="C176" i="14"/>
  <c r="Q175" i="14"/>
  <c r="L175" i="14"/>
  <c r="K175" i="14"/>
  <c r="H175" i="14"/>
  <c r="I175" i="14" s="1"/>
  <c r="F175" i="14"/>
  <c r="C175" i="14"/>
  <c r="Q174" i="14"/>
  <c r="L174" i="14"/>
  <c r="K174" i="14"/>
  <c r="H174" i="14"/>
  <c r="I174" i="14" s="1"/>
  <c r="F174" i="14"/>
  <c r="C174" i="14"/>
  <c r="Q173" i="14"/>
  <c r="L173" i="14"/>
  <c r="K173" i="14"/>
  <c r="I173" i="14"/>
  <c r="H173" i="14"/>
  <c r="C173" i="14"/>
  <c r="Q172" i="14"/>
  <c r="M172" i="14"/>
  <c r="P172" i="14" s="1"/>
  <c r="L172" i="14"/>
  <c r="K172" i="14"/>
  <c r="I172" i="14"/>
  <c r="H172" i="14"/>
  <c r="C172" i="14"/>
  <c r="Q171" i="14"/>
  <c r="L171" i="14"/>
  <c r="M171" i="14" s="1"/>
  <c r="P171" i="14" s="1"/>
  <c r="K171" i="14"/>
  <c r="H171" i="14"/>
  <c r="I171" i="14" s="1"/>
  <c r="C171" i="14"/>
  <c r="Q170" i="14"/>
  <c r="L170" i="14"/>
  <c r="H170" i="14"/>
  <c r="I170" i="14" s="1"/>
  <c r="C170" i="14"/>
  <c r="Q169" i="14"/>
  <c r="L169" i="14"/>
  <c r="K169" i="14"/>
  <c r="I169" i="14"/>
  <c r="H169" i="14"/>
  <c r="C169" i="14"/>
  <c r="Q168" i="14"/>
  <c r="L168" i="14"/>
  <c r="K168" i="14"/>
  <c r="I168" i="14"/>
  <c r="H168" i="14"/>
  <c r="C168" i="14"/>
  <c r="Q167" i="14"/>
  <c r="L167" i="14"/>
  <c r="K167" i="14"/>
  <c r="H167" i="14"/>
  <c r="I167" i="14" s="1"/>
  <c r="F167" i="14"/>
  <c r="C167" i="14"/>
  <c r="Q166" i="14"/>
  <c r="M166" i="14"/>
  <c r="P166" i="14" s="1"/>
  <c r="L166" i="14"/>
  <c r="N166" i="14" s="1"/>
  <c r="O166" i="14" s="1"/>
  <c r="K166" i="14"/>
  <c r="I166" i="14"/>
  <c r="H166" i="14"/>
  <c r="C166" i="14"/>
  <c r="Q165" i="14"/>
  <c r="L165" i="14"/>
  <c r="N165" i="14" s="1"/>
  <c r="K165" i="14"/>
  <c r="I165" i="14"/>
  <c r="H165" i="14"/>
  <c r="C165" i="14"/>
  <c r="Q164" i="14"/>
  <c r="L164" i="14"/>
  <c r="K164" i="14"/>
  <c r="I164" i="14"/>
  <c r="H164" i="14"/>
  <c r="F164" i="14"/>
  <c r="N164" i="14" s="1"/>
  <c r="C164" i="14"/>
  <c r="Q163" i="14"/>
  <c r="L163" i="14"/>
  <c r="H163" i="14"/>
  <c r="I163" i="14" s="1"/>
  <c r="C163" i="14"/>
  <c r="Q162" i="14"/>
  <c r="L162" i="14"/>
  <c r="K162" i="14"/>
  <c r="H162" i="14"/>
  <c r="I162" i="14" s="1"/>
  <c r="C162" i="14"/>
  <c r="Q161" i="14"/>
  <c r="L161" i="14"/>
  <c r="K161" i="14"/>
  <c r="I161" i="14"/>
  <c r="H161" i="14"/>
  <c r="F161" i="14"/>
  <c r="C161" i="14"/>
  <c r="Q160" i="14"/>
  <c r="L160" i="14"/>
  <c r="K160" i="14"/>
  <c r="H160" i="14"/>
  <c r="I160" i="14" s="1"/>
  <c r="C160" i="14"/>
  <c r="Q159" i="14"/>
  <c r="L159" i="14"/>
  <c r="K159" i="14"/>
  <c r="H159" i="14"/>
  <c r="I159" i="14" s="1"/>
  <c r="C159" i="14"/>
  <c r="Q158" i="14"/>
  <c r="L158" i="14"/>
  <c r="K158" i="14"/>
  <c r="N158" i="14" s="1"/>
  <c r="H158" i="14"/>
  <c r="I158" i="14" s="1"/>
  <c r="C158" i="14"/>
  <c r="Q157" i="14"/>
  <c r="L157" i="14"/>
  <c r="N157" i="14" s="1"/>
  <c r="K157" i="14"/>
  <c r="I157" i="14"/>
  <c r="H157" i="14"/>
  <c r="F157" i="14"/>
  <c r="C157" i="14"/>
  <c r="Q156" i="14"/>
  <c r="L156" i="14"/>
  <c r="I156" i="14"/>
  <c r="H156" i="14"/>
  <c r="C156" i="14"/>
  <c r="Q155" i="14"/>
  <c r="M155" i="14"/>
  <c r="P155" i="14" s="1"/>
  <c r="L155" i="14"/>
  <c r="K155" i="14"/>
  <c r="H155" i="14"/>
  <c r="I155" i="14" s="1"/>
  <c r="C155" i="14"/>
  <c r="Q154" i="14"/>
  <c r="L154" i="14"/>
  <c r="K154" i="14"/>
  <c r="I154" i="14"/>
  <c r="H154" i="14"/>
  <c r="C154" i="14"/>
  <c r="Q153" i="14"/>
  <c r="L153" i="14"/>
  <c r="H153" i="14"/>
  <c r="I153" i="14" s="1"/>
  <c r="C153" i="14"/>
  <c r="Q152" i="14"/>
  <c r="L152" i="14"/>
  <c r="I152" i="14"/>
  <c r="H152" i="14"/>
  <c r="C152" i="14"/>
  <c r="Q151" i="14"/>
  <c r="L151" i="14"/>
  <c r="K151" i="14"/>
  <c r="I151" i="14"/>
  <c r="H151" i="14"/>
  <c r="C151" i="14"/>
  <c r="Q150" i="14"/>
  <c r="L150" i="14"/>
  <c r="K150" i="14"/>
  <c r="H150" i="14"/>
  <c r="I150" i="14" s="1"/>
  <c r="C150" i="14"/>
  <c r="Q149" i="14"/>
  <c r="L149" i="14"/>
  <c r="K149" i="14"/>
  <c r="H149" i="14"/>
  <c r="I149" i="14" s="1"/>
  <c r="C149" i="14"/>
  <c r="Q148" i="14"/>
  <c r="L148" i="14"/>
  <c r="K148" i="14"/>
  <c r="I148" i="14"/>
  <c r="H148" i="14"/>
  <c r="C148" i="14"/>
  <c r="Q147" i="14"/>
  <c r="L147" i="14"/>
  <c r="K147" i="14"/>
  <c r="H147" i="14"/>
  <c r="I147" i="14" s="1"/>
  <c r="C147" i="14"/>
  <c r="Q146" i="14"/>
  <c r="L146" i="14"/>
  <c r="K146" i="14"/>
  <c r="H146" i="14"/>
  <c r="I146" i="14" s="1"/>
  <c r="C146" i="14"/>
  <c r="Q145" i="14"/>
  <c r="L145" i="14"/>
  <c r="K145" i="14"/>
  <c r="H145" i="14"/>
  <c r="I145" i="14" s="1"/>
  <c r="C145" i="14"/>
  <c r="Q144" i="14"/>
  <c r="L144" i="14"/>
  <c r="H144" i="14"/>
  <c r="I144" i="14" s="1"/>
  <c r="C144" i="14"/>
  <c r="Q143" i="14"/>
  <c r="L143" i="14"/>
  <c r="H143" i="14"/>
  <c r="I143" i="14" s="1"/>
  <c r="C143" i="14"/>
  <c r="Q142" i="14"/>
  <c r="L142" i="14"/>
  <c r="I142" i="14"/>
  <c r="H142" i="14"/>
  <c r="C142" i="14"/>
  <c r="C137" i="14"/>
  <c r="C136" i="14"/>
  <c r="C135" i="14"/>
  <c r="H129" i="14"/>
  <c r="F129" i="14" s="1"/>
  <c r="E137" i="14" s="1"/>
  <c r="H128" i="14"/>
  <c r="F128" i="14" s="1"/>
  <c r="R126" i="14"/>
  <c r="L126" i="14"/>
  <c r="I126" i="14"/>
  <c r="F213" i="14" s="1"/>
  <c r="C126" i="14"/>
  <c r="R125" i="14"/>
  <c r="L125" i="14"/>
  <c r="I125" i="14"/>
  <c r="C125" i="14"/>
  <c r="R124" i="14"/>
  <c r="P124" i="14"/>
  <c r="N124" i="14"/>
  <c r="O124" i="14" s="1"/>
  <c r="M124" i="14"/>
  <c r="L124" i="14"/>
  <c r="I124" i="14"/>
  <c r="F211" i="14" s="1"/>
  <c r="N211" i="14" s="1"/>
  <c r="C124" i="14"/>
  <c r="R123" i="14"/>
  <c r="L123" i="14"/>
  <c r="I123" i="14"/>
  <c r="F208" i="14" s="1"/>
  <c r="C123" i="14"/>
  <c r="R122" i="14"/>
  <c r="P122" i="14"/>
  <c r="L122" i="14"/>
  <c r="I122" i="14"/>
  <c r="C122" i="14"/>
  <c r="M122" i="14" s="1"/>
  <c r="R121" i="14"/>
  <c r="P121" i="14"/>
  <c r="L121" i="14"/>
  <c r="I121" i="14"/>
  <c r="C121" i="14"/>
  <c r="M121" i="14" s="1"/>
  <c r="R120" i="14"/>
  <c r="M120" i="14"/>
  <c r="L120" i="14"/>
  <c r="I120" i="14"/>
  <c r="F202" i="14" s="1"/>
  <c r="C120" i="14"/>
  <c r="N120" i="14" s="1"/>
  <c r="R119" i="14"/>
  <c r="N119" i="14"/>
  <c r="M119" i="14"/>
  <c r="P119" i="14" s="1"/>
  <c r="L119" i="14"/>
  <c r="I119" i="14"/>
  <c r="F200" i="14" s="1"/>
  <c r="N200" i="14" s="1"/>
  <c r="C119" i="14"/>
  <c r="R118" i="14"/>
  <c r="L118" i="14"/>
  <c r="N118" i="14" s="1"/>
  <c r="I118" i="14"/>
  <c r="F194" i="14" s="1"/>
  <c r="C118" i="14"/>
  <c r="R117" i="14"/>
  <c r="L117" i="14"/>
  <c r="I117" i="14"/>
  <c r="F193" i="14" s="1"/>
  <c r="C117" i="14"/>
  <c r="N117" i="14" s="1"/>
  <c r="R116" i="14"/>
  <c r="L116" i="14"/>
  <c r="I116" i="14"/>
  <c r="C116" i="14"/>
  <c r="R115" i="14"/>
  <c r="N115" i="14"/>
  <c r="O115" i="14" s="1"/>
  <c r="M115" i="14"/>
  <c r="P115" i="14" s="1"/>
  <c r="L115" i="14"/>
  <c r="I115" i="14"/>
  <c r="R114" i="14"/>
  <c r="L114" i="14"/>
  <c r="K114" i="14"/>
  <c r="N114" i="14" s="1"/>
  <c r="I114" i="14"/>
  <c r="R113" i="14"/>
  <c r="N113" i="14"/>
  <c r="M113" i="14"/>
  <c r="P113" i="14" s="1"/>
  <c r="L113" i="14"/>
  <c r="I113" i="14"/>
  <c r="F182" i="14" s="1"/>
  <c r="C113" i="14"/>
  <c r="R112" i="14"/>
  <c r="M112" i="14"/>
  <c r="P112" i="14" s="1"/>
  <c r="L112" i="14"/>
  <c r="I112" i="14"/>
  <c r="C112" i="14"/>
  <c r="R111" i="14"/>
  <c r="L111" i="14"/>
  <c r="N111" i="14" s="1"/>
  <c r="I111" i="14"/>
  <c r="C111" i="14"/>
  <c r="R110" i="14"/>
  <c r="L110" i="14"/>
  <c r="K110" i="14"/>
  <c r="I110" i="14"/>
  <c r="C110" i="14"/>
  <c r="R109" i="14"/>
  <c r="L109" i="14"/>
  <c r="K109" i="14"/>
  <c r="I109" i="14"/>
  <c r="F178" i="14" s="1"/>
  <c r="M178" i="14" s="1"/>
  <c r="C109" i="14"/>
  <c r="R108" i="14"/>
  <c r="P108" i="14"/>
  <c r="M108" i="14"/>
  <c r="L108" i="14"/>
  <c r="N108" i="14" s="1"/>
  <c r="I108" i="14"/>
  <c r="R107" i="14"/>
  <c r="N107" i="14"/>
  <c r="O107" i="14" s="1"/>
  <c r="M107" i="14"/>
  <c r="P107" i="14" s="1"/>
  <c r="L107" i="14"/>
  <c r="I107" i="14"/>
  <c r="F176" i="14" s="1"/>
  <c r="M176" i="14" s="1"/>
  <c r="P176" i="14" s="1"/>
  <c r="C107" i="14"/>
  <c r="R106" i="14"/>
  <c r="L106" i="14"/>
  <c r="N106" i="14" s="1"/>
  <c r="K106" i="14"/>
  <c r="I106" i="14"/>
  <c r="C106" i="14"/>
  <c r="R105" i="14"/>
  <c r="L105" i="14"/>
  <c r="M105" i="14" s="1"/>
  <c r="P105" i="14" s="1"/>
  <c r="I105" i="14"/>
  <c r="C105" i="14"/>
  <c r="R104" i="14"/>
  <c r="L104" i="14"/>
  <c r="I104" i="14"/>
  <c r="C104" i="14"/>
  <c r="R103" i="14"/>
  <c r="L103" i="14"/>
  <c r="I103" i="14"/>
  <c r="F168" i="14" s="1"/>
  <c r="C103" i="14"/>
  <c r="R102" i="14"/>
  <c r="L102" i="14"/>
  <c r="I102" i="14"/>
  <c r="F166" i="14" s="1"/>
  <c r="C102" i="14"/>
  <c r="R101" i="14"/>
  <c r="L101" i="14"/>
  <c r="N101" i="14" s="1"/>
  <c r="O101" i="14" s="1"/>
  <c r="I101" i="14"/>
  <c r="F165" i="14" s="1"/>
  <c r="C101" i="14"/>
  <c r="M101" i="14" s="1"/>
  <c r="P101" i="14" s="1"/>
  <c r="R100" i="14"/>
  <c r="L100" i="14"/>
  <c r="N100" i="14" s="1"/>
  <c r="K100" i="14"/>
  <c r="K163" i="14" s="1"/>
  <c r="I100" i="14"/>
  <c r="F163" i="14" s="1"/>
  <c r="C100" i="14"/>
  <c r="R99" i="14"/>
  <c r="L99" i="14"/>
  <c r="I99" i="14"/>
  <c r="C99" i="14"/>
  <c r="R98" i="14"/>
  <c r="P98" i="14"/>
  <c r="N98" i="14"/>
  <c r="O98" i="14" s="1"/>
  <c r="M98" i="14"/>
  <c r="L98" i="14"/>
  <c r="I98" i="14"/>
  <c r="R97" i="14"/>
  <c r="L97" i="14"/>
  <c r="I97" i="14"/>
  <c r="C97" i="14"/>
  <c r="R96" i="14"/>
  <c r="L96" i="14"/>
  <c r="M96" i="14" s="1"/>
  <c r="P96" i="14" s="1"/>
  <c r="I96" i="14"/>
  <c r="C96" i="14"/>
  <c r="R95" i="14"/>
  <c r="L95" i="14"/>
  <c r="I95" i="14"/>
  <c r="C95" i="14"/>
  <c r="M95" i="14" s="1"/>
  <c r="P95" i="14" s="1"/>
  <c r="R94" i="14"/>
  <c r="L94" i="14"/>
  <c r="K94" i="14"/>
  <c r="K144" i="14" s="1"/>
  <c r="I94" i="14"/>
  <c r="C94" i="14"/>
  <c r="R93" i="14"/>
  <c r="L93" i="14"/>
  <c r="K93" i="14"/>
  <c r="I93" i="14"/>
  <c r="C93" i="14"/>
  <c r="N93" i="14" s="1"/>
  <c r="R92" i="14"/>
  <c r="L92" i="14"/>
  <c r="K92" i="14"/>
  <c r="F130" i="14" s="1"/>
  <c r="F137" i="14" s="1"/>
  <c r="I92" i="14"/>
  <c r="C92" i="14"/>
  <c r="H86" i="14"/>
  <c r="F86" i="14" s="1"/>
  <c r="E136" i="14" s="1"/>
  <c r="H85" i="14"/>
  <c r="F85" i="14"/>
  <c r="R83" i="14"/>
  <c r="N83" i="14"/>
  <c r="L83" i="14"/>
  <c r="K83" i="14"/>
  <c r="K216" i="14" s="1"/>
  <c r="I83" i="14"/>
  <c r="F216" i="14" s="1"/>
  <c r="C83" i="14"/>
  <c r="R82" i="14"/>
  <c r="L82" i="14"/>
  <c r="I82" i="14"/>
  <c r="C82" i="14"/>
  <c r="M82" i="14" s="1"/>
  <c r="P82" i="14" s="1"/>
  <c r="R81" i="14"/>
  <c r="L81" i="14"/>
  <c r="K81" i="14"/>
  <c r="I81" i="14"/>
  <c r="F214" i="14" s="1"/>
  <c r="N214" i="14" s="1"/>
  <c r="C81" i="14"/>
  <c r="R80" i="14"/>
  <c r="L80" i="14"/>
  <c r="I80" i="14"/>
  <c r="F209" i="14" s="1"/>
  <c r="M209" i="14" s="1"/>
  <c r="C80" i="14"/>
  <c r="N80" i="14" s="1"/>
  <c r="R79" i="14"/>
  <c r="M79" i="14"/>
  <c r="P79" i="14" s="1"/>
  <c r="L79" i="14"/>
  <c r="N79" i="14" s="1"/>
  <c r="O79" i="14" s="1"/>
  <c r="I79" i="14"/>
  <c r="R78" i="14"/>
  <c r="P78" i="14"/>
  <c r="L78" i="14"/>
  <c r="N78" i="14" s="1"/>
  <c r="I78" i="14"/>
  <c r="C78" i="14"/>
  <c r="M78" i="14" s="1"/>
  <c r="R77" i="14"/>
  <c r="L77" i="14"/>
  <c r="I77" i="14"/>
  <c r="C77" i="14"/>
  <c r="N77" i="14" s="1"/>
  <c r="R76" i="14"/>
  <c r="L76" i="14"/>
  <c r="I76" i="14"/>
  <c r="C76" i="14"/>
  <c r="R75" i="14"/>
  <c r="N75" i="14"/>
  <c r="O75" i="14" s="1"/>
  <c r="L75" i="14"/>
  <c r="I75" i="14"/>
  <c r="C75" i="14"/>
  <c r="M75" i="14" s="1"/>
  <c r="P75" i="14" s="1"/>
  <c r="R74" i="14"/>
  <c r="L74" i="14"/>
  <c r="I74" i="14"/>
  <c r="F196" i="14" s="1"/>
  <c r="C74" i="14"/>
  <c r="N74" i="14" s="1"/>
  <c r="R73" i="14"/>
  <c r="L73" i="14"/>
  <c r="N73" i="14" s="1"/>
  <c r="I73" i="14"/>
  <c r="F195" i="14" s="1"/>
  <c r="C73" i="14"/>
  <c r="R72" i="14"/>
  <c r="L72" i="14"/>
  <c r="N72" i="14" s="1"/>
  <c r="K72" i="14"/>
  <c r="I72" i="14"/>
  <c r="F191" i="14" s="1"/>
  <c r="C72" i="14"/>
  <c r="R71" i="14"/>
  <c r="N71" i="14"/>
  <c r="L71" i="14"/>
  <c r="M71" i="14" s="1"/>
  <c r="K71" i="14"/>
  <c r="K190" i="14" s="1"/>
  <c r="I71" i="14"/>
  <c r="F190" i="14" s="1"/>
  <c r="C71" i="14"/>
  <c r="R70" i="14"/>
  <c r="L70" i="14"/>
  <c r="N70" i="14" s="1"/>
  <c r="I70" i="14"/>
  <c r="F188" i="14" s="1"/>
  <c r="C70" i="14"/>
  <c r="R69" i="14"/>
  <c r="P69" i="14"/>
  <c r="L69" i="14"/>
  <c r="M69" i="14" s="1"/>
  <c r="I69" i="14"/>
  <c r="F187" i="14" s="1"/>
  <c r="C69" i="14"/>
  <c r="R68" i="14"/>
  <c r="L68" i="14"/>
  <c r="N68" i="14" s="1"/>
  <c r="I68" i="14"/>
  <c r="F185" i="14" s="1"/>
  <c r="C68" i="14"/>
  <c r="R67" i="14"/>
  <c r="L67" i="14"/>
  <c r="K67" i="14"/>
  <c r="K184" i="14" s="1"/>
  <c r="I67" i="14"/>
  <c r="C67" i="14"/>
  <c r="R66" i="14"/>
  <c r="L66" i="14"/>
  <c r="I66" i="14"/>
  <c r="C66" i="14"/>
  <c r="N66" i="14" s="1"/>
  <c r="R65" i="14"/>
  <c r="L65" i="14"/>
  <c r="I65" i="14"/>
  <c r="F171" i="14" s="1"/>
  <c r="C65" i="14"/>
  <c r="R64" i="14"/>
  <c r="L64" i="14"/>
  <c r="K64" i="14"/>
  <c r="K170" i="14" s="1"/>
  <c r="I64" i="14"/>
  <c r="F170" i="14" s="1"/>
  <c r="N170" i="14" s="1"/>
  <c r="C64" i="14"/>
  <c r="R63" i="14"/>
  <c r="L63" i="14"/>
  <c r="I63" i="14"/>
  <c r="F169" i="14" s="1"/>
  <c r="C63" i="14"/>
  <c r="R62" i="14"/>
  <c r="L62" i="14"/>
  <c r="I62" i="14"/>
  <c r="C62" i="14"/>
  <c r="N62" i="14" s="1"/>
  <c r="R61" i="14"/>
  <c r="P61" i="14"/>
  <c r="N61" i="14"/>
  <c r="O61" i="14" s="1"/>
  <c r="M61" i="14"/>
  <c r="L61" i="14"/>
  <c r="I61" i="14"/>
  <c r="F162" i="14" s="1"/>
  <c r="C61" i="14"/>
  <c r="R60" i="14"/>
  <c r="N60" i="14"/>
  <c r="M60" i="14"/>
  <c r="P60" i="14" s="1"/>
  <c r="L60" i="14"/>
  <c r="I60" i="14"/>
  <c r="C60" i="14"/>
  <c r="R59" i="14"/>
  <c r="N59" i="14"/>
  <c r="M59" i="14"/>
  <c r="P59" i="14" s="1"/>
  <c r="L59" i="14"/>
  <c r="I59" i="14"/>
  <c r="C59" i="14"/>
  <c r="R58" i="14"/>
  <c r="L58" i="14"/>
  <c r="K58" i="14"/>
  <c r="I58" i="14"/>
  <c r="C58" i="14"/>
  <c r="R57" i="14"/>
  <c r="L57" i="14"/>
  <c r="N57" i="14" s="1"/>
  <c r="K57" i="14"/>
  <c r="I57" i="14"/>
  <c r="C57" i="14"/>
  <c r="R56" i="14"/>
  <c r="N56" i="14"/>
  <c r="O56" i="14" s="1"/>
  <c r="M56" i="14"/>
  <c r="L56" i="14"/>
  <c r="K56" i="14"/>
  <c r="I56" i="14"/>
  <c r="C56" i="14"/>
  <c r="R55" i="14"/>
  <c r="N55" i="14"/>
  <c r="L55" i="14"/>
  <c r="M55" i="14" s="1"/>
  <c r="P55" i="14" s="1"/>
  <c r="I55" i="14"/>
  <c r="C55" i="14"/>
  <c r="R54" i="14"/>
  <c r="L54" i="14"/>
  <c r="I54" i="14"/>
  <c r="C54" i="14"/>
  <c r="R53" i="14"/>
  <c r="P53" i="14"/>
  <c r="O53" i="14"/>
  <c r="N53" i="14"/>
  <c r="M53" i="14"/>
  <c r="L53" i="14"/>
  <c r="I53" i="14"/>
  <c r="F146" i="14" s="1"/>
  <c r="C53" i="14"/>
  <c r="R52" i="14"/>
  <c r="L52" i="14"/>
  <c r="K52" i="14"/>
  <c r="K143" i="14" s="1"/>
  <c r="I52" i="14"/>
  <c r="C52" i="14"/>
  <c r="R51" i="14"/>
  <c r="L51" i="14"/>
  <c r="N51" i="14" s="1"/>
  <c r="K51" i="14"/>
  <c r="I51" i="14"/>
  <c r="C51" i="14"/>
  <c r="F47" i="14"/>
  <c r="G135" i="14" s="1"/>
  <c r="F46" i="14"/>
  <c r="H45" i="14"/>
  <c r="F45" i="14" s="1"/>
  <c r="B227" i="14" s="1"/>
  <c r="H44" i="14"/>
  <c r="F44" i="14" s="1"/>
  <c r="D135" i="14" s="1"/>
  <c r="R42" i="14"/>
  <c r="L42" i="14"/>
  <c r="I42" i="14"/>
  <c r="F210" i="14" s="1"/>
  <c r="N210" i="14" s="1"/>
  <c r="C42" i="14"/>
  <c r="R41" i="14"/>
  <c r="N41" i="14"/>
  <c r="O41" i="14" s="1"/>
  <c r="M41" i="14"/>
  <c r="L41" i="14"/>
  <c r="K41" i="14"/>
  <c r="I41" i="14"/>
  <c r="C41" i="14"/>
  <c r="R40" i="14"/>
  <c r="N40" i="14"/>
  <c r="M40" i="14"/>
  <c r="L40" i="14"/>
  <c r="K40" i="14"/>
  <c r="K206" i="14" s="1"/>
  <c r="I40" i="14"/>
  <c r="C40" i="14"/>
  <c r="R39" i="14"/>
  <c r="N39" i="14"/>
  <c r="O39" i="14" s="1"/>
  <c r="L39" i="14"/>
  <c r="M39" i="14" s="1"/>
  <c r="P39" i="14" s="1"/>
  <c r="I39" i="14"/>
  <c r="R38" i="14"/>
  <c r="L38" i="14"/>
  <c r="I38" i="14"/>
  <c r="F204" i="14" s="1"/>
  <c r="C38" i="14"/>
  <c r="R37" i="14"/>
  <c r="L37" i="14"/>
  <c r="I37" i="14"/>
  <c r="R36" i="14"/>
  <c r="L36" i="14"/>
  <c r="I36" i="14"/>
  <c r="C36" i="14"/>
  <c r="R35" i="14"/>
  <c r="L35" i="14"/>
  <c r="I35" i="14"/>
  <c r="F198" i="14" s="1"/>
  <c r="C35" i="14"/>
  <c r="N35" i="14" s="1"/>
  <c r="R34" i="14"/>
  <c r="L34" i="14"/>
  <c r="I34" i="14"/>
  <c r="F197" i="14" s="1"/>
  <c r="C34" i="14"/>
  <c r="R33" i="14"/>
  <c r="L33" i="14"/>
  <c r="I33" i="14"/>
  <c r="C33" i="14"/>
  <c r="N33" i="14" s="1"/>
  <c r="R32" i="14"/>
  <c r="P32" i="14"/>
  <c r="M32" i="14"/>
  <c r="L32" i="14"/>
  <c r="I32" i="14"/>
  <c r="F189" i="14" s="1"/>
  <c r="C32" i="14"/>
  <c r="N32" i="14" s="1"/>
  <c r="O32" i="14" s="1"/>
  <c r="R31" i="14"/>
  <c r="M31" i="14"/>
  <c r="P31" i="14" s="1"/>
  <c r="L31" i="14"/>
  <c r="I31" i="14"/>
  <c r="C31" i="14"/>
  <c r="N31" i="14" s="1"/>
  <c r="R30" i="14"/>
  <c r="L30" i="14"/>
  <c r="N30" i="14" s="1"/>
  <c r="K30" i="14"/>
  <c r="I30" i="14"/>
  <c r="R29" i="14"/>
  <c r="N29" i="14"/>
  <c r="M29" i="14"/>
  <c r="P29" i="14" s="1"/>
  <c r="L29" i="14"/>
  <c r="I29" i="14"/>
  <c r="R28" i="14"/>
  <c r="N28" i="14"/>
  <c r="L28" i="14"/>
  <c r="I28" i="14"/>
  <c r="F183" i="14" s="1"/>
  <c r="M183" i="14" s="1"/>
  <c r="P183" i="14" s="1"/>
  <c r="C28" i="14"/>
  <c r="R27" i="14"/>
  <c r="L27" i="14"/>
  <c r="N27" i="14" s="1"/>
  <c r="I27" i="14"/>
  <c r="F181" i="14" s="1"/>
  <c r="C27" i="14"/>
  <c r="R26" i="14"/>
  <c r="L26" i="14"/>
  <c r="K26" i="14"/>
  <c r="K179" i="14" s="1"/>
  <c r="I26" i="14"/>
  <c r="C26" i="14"/>
  <c r="R25" i="14"/>
  <c r="M25" i="14"/>
  <c r="P25" i="14" s="1"/>
  <c r="L25" i="14"/>
  <c r="I25" i="14"/>
  <c r="F177" i="14" s="1"/>
  <c r="M177" i="14" s="1"/>
  <c r="P177" i="14" s="1"/>
  <c r="C25" i="14"/>
  <c r="N25" i="14" s="1"/>
  <c r="O25" i="14" s="1"/>
  <c r="R24" i="14"/>
  <c r="M24" i="14"/>
  <c r="P24" i="14" s="1"/>
  <c r="L24" i="14"/>
  <c r="I24" i="14"/>
  <c r="C24" i="14"/>
  <c r="R23" i="14"/>
  <c r="L23" i="14"/>
  <c r="I23" i="14"/>
  <c r="C23" i="14"/>
  <c r="R22" i="14"/>
  <c r="L22" i="14"/>
  <c r="I22" i="14"/>
  <c r="F172" i="14" s="1"/>
  <c r="C22" i="14"/>
  <c r="N22" i="14" s="1"/>
  <c r="R21" i="14"/>
  <c r="L21" i="14"/>
  <c r="I21" i="14"/>
  <c r="C21" i="14"/>
  <c r="R20" i="14"/>
  <c r="L20" i="14"/>
  <c r="I20" i="14"/>
  <c r="C20" i="14"/>
  <c r="N20" i="14" s="1"/>
  <c r="R19" i="14"/>
  <c r="M19" i="14"/>
  <c r="P19" i="14" s="1"/>
  <c r="L19" i="14"/>
  <c r="I19" i="14"/>
  <c r="F160" i="14" s="1"/>
  <c r="C19" i="14"/>
  <c r="R18" i="14"/>
  <c r="O18" i="14"/>
  <c r="N18" i="14"/>
  <c r="M18" i="14"/>
  <c r="L18" i="14"/>
  <c r="K18" i="14"/>
  <c r="I18" i="14"/>
  <c r="C18" i="14"/>
  <c r="R17" i="14"/>
  <c r="L17" i="14"/>
  <c r="N17" i="14" s="1"/>
  <c r="I17" i="14"/>
  <c r="F158" i="14" s="1"/>
  <c r="C17" i="14"/>
  <c r="R16" i="14"/>
  <c r="L16" i="14"/>
  <c r="N16" i="14" s="1"/>
  <c r="K16" i="14"/>
  <c r="K156" i="14" s="1"/>
  <c r="I16" i="14"/>
  <c r="C16" i="14"/>
  <c r="R15" i="14"/>
  <c r="P15" i="14"/>
  <c r="O15" i="14"/>
  <c r="N15" i="14"/>
  <c r="L15" i="14"/>
  <c r="M15" i="14" s="1"/>
  <c r="I15" i="14"/>
  <c r="R14" i="14"/>
  <c r="P14" i="14"/>
  <c r="M14" i="14"/>
  <c r="L14" i="14"/>
  <c r="I14" i="14"/>
  <c r="F155" i="14" s="1"/>
  <c r="C14" i="14"/>
  <c r="N14" i="14" s="1"/>
  <c r="O14" i="14" s="1"/>
  <c r="R13" i="14"/>
  <c r="L13" i="14"/>
  <c r="I13" i="14"/>
  <c r="F154" i="14" s="1"/>
  <c r="C13" i="14"/>
  <c r="M13" i="14" s="1"/>
  <c r="P13" i="14" s="1"/>
  <c r="R12" i="14"/>
  <c r="P12" i="14"/>
  <c r="O12" i="14"/>
  <c r="N12" i="14"/>
  <c r="M12" i="14"/>
  <c r="L12" i="14"/>
  <c r="I12" i="14"/>
  <c r="R11" i="14"/>
  <c r="L11" i="14"/>
  <c r="N11" i="14" s="1"/>
  <c r="K11" i="14"/>
  <c r="I11" i="14"/>
  <c r="F151" i="14" s="1"/>
  <c r="C11" i="14"/>
  <c r="R10" i="14"/>
  <c r="M10" i="14"/>
  <c r="P10" i="14" s="1"/>
  <c r="L10" i="14"/>
  <c r="I10" i="14"/>
  <c r="F150" i="14" s="1"/>
  <c r="N150" i="14" s="1"/>
  <c r="C10" i="14"/>
  <c r="N10" i="14" s="1"/>
  <c r="R9" i="14"/>
  <c r="N9" i="14"/>
  <c r="O9" i="14" s="1"/>
  <c r="M9" i="14"/>
  <c r="P9" i="14" s="1"/>
  <c r="L9" i="14"/>
  <c r="I9" i="14"/>
  <c r="C9" i="14"/>
  <c r="R8" i="14"/>
  <c r="L8" i="14"/>
  <c r="I8" i="14"/>
  <c r="F147" i="14" s="1"/>
  <c r="C8" i="14"/>
  <c r="N8" i="14" s="1"/>
  <c r="R7" i="14"/>
  <c r="L7" i="14"/>
  <c r="I7" i="14"/>
  <c r="F145" i="14" s="1"/>
  <c r="C7" i="14"/>
  <c r="R6" i="14"/>
  <c r="L6" i="14"/>
  <c r="K6" i="14"/>
  <c r="I6" i="14"/>
  <c r="C6" i="14"/>
  <c r="B63" i="13"/>
  <c r="G56" i="13"/>
  <c r="F56" i="13" s="1"/>
  <c r="G55" i="13"/>
  <c r="F55" i="13" s="1"/>
  <c r="F54" i="13"/>
  <c r="Q52" i="13"/>
  <c r="L52" i="13"/>
  <c r="N52" i="13" s="1"/>
  <c r="O52" i="13" s="1"/>
  <c r="H52" i="13"/>
  <c r="I52" i="13" s="1"/>
  <c r="C52" i="13"/>
  <c r="M52" i="13" s="1"/>
  <c r="Q51" i="13"/>
  <c r="L51" i="13"/>
  <c r="K51" i="13"/>
  <c r="H51" i="13"/>
  <c r="I51" i="13" s="1"/>
  <c r="C51" i="13"/>
  <c r="Q50" i="13"/>
  <c r="L50" i="13"/>
  <c r="K50" i="13"/>
  <c r="H50" i="13"/>
  <c r="I50" i="13" s="1"/>
  <c r="F50" i="13"/>
  <c r="C50" i="13"/>
  <c r="Q49" i="13"/>
  <c r="L49" i="13"/>
  <c r="H49" i="13"/>
  <c r="I49" i="13" s="1"/>
  <c r="C49" i="13"/>
  <c r="Q48" i="13"/>
  <c r="L48" i="13"/>
  <c r="K48" i="13"/>
  <c r="H48" i="13"/>
  <c r="I48" i="13" s="1"/>
  <c r="C48" i="13"/>
  <c r="Q47" i="13"/>
  <c r="L47" i="13"/>
  <c r="K47" i="13"/>
  <c r="H47" i="13"/>
  <c r="I47" i="13" s="1"/>
  <c r="F47" i="13"/>
  <c r="C47" i="13"/>
  <c r="Q46" i="13"/>
  <c r="L46" i="13"/>
  <c r="I46" i="13"/>
  <c r="H46" i="13"/>
  <c r="C46" i="13"/>
  <c r="Q45" i="13"/>
  <c r="N45" i="13"/>
  <c r="O45" i="13" s="1"/>
  <c r="M45" i="13"/>
  <c r="P45" i="13" s="1"/>
  <c r="L45" i="13"/>
  <c r="K45" i="13"/>
  <c r="H45" i="13"/>
  <c r="I45" i="13" s="1"/>
  <c r="F45" i="13"/>
  <c r="C45" i="13"/>
  <c r="Q44" i="13"/>
  <c r="L44" i="13"/>
  <c r="K44" i="13"/>
  <c r="H44" i="13"/>
  <c r="I44" i="13" s="1"/>
  <c r="C44" i="13"/>
  <c r="Q43" i="13"/>
  <c r="L43" i="13"/>
  <c r="K43" i="13"/>
  <c r="H43" i="13"/>
  <c r="I43" i="13" s="1"/>
  <c r="C43" i="13"/>
  <c r="F38" i="13"/>
  <c r="E38" i="13"/>
  <c r="C38" i="13"/>
  <c r="E37" i="13"/>
  <c r="C37" i="13"/>
  <c r="F32" i="13"/>
  <c r="H30" i="13"/>
  <c r="F30" i="13" s="1"/>
  <c r="R28" i="13"/>
  <c r="L28" i="13"/>
  <c r="I28" i="13"/>
  <c r="C28" i="13"/>
  <c r="R27" i="13"/>
  <c r="L27" i="13"/>
  <c r="N27" i="13" s="1"/>
  <c r="I27" i="13"/>
  <c r="C27" i="13"/>
  <c r="R26" i="13"/>
  <c r="L26" i="13"/>
  <c r="I26" i="13"/>
  <c r="C26" i="13"/>
  <c r="R25" i="13"/>
  <c r="M25" i="13"/>
  <c r="P25" i="13" s="1"/>
  <c r="L25" i="13"/>
  <c r="I25" i="13"/>
  <c r="F48" i="13" s="1"/>
  <c r="C25" i="13"/>
  <c r="N25" i="13" s="1"/>
  <c r="O25" i="13" s="1"/>
  <c r="R24" i="13"/>
  <c r="L24" i="13"/>
  <c r="N24" i="13" s="1"/>
  <c r="K24" i="13"/>
  <c r="I24" i="13"/>
  <c r="C24" i="13"/>
  <c r="R23" i="13"/>
  <c r="O23" i="13"/>
  <c r="N23" i="13"/>
  <c r="M23" i="13"/>
  <c r="P23" i="13" s="1"/>
  <c r="L23" i="13"/>
  <c r="I23" i="13"/>
  <c r="C23" i="13"/>
  <c r="R22" i="13"/>
  <c r="L22" i="13"/>
  <c r="I22" i="13"/>
  <c r="C22" i="13"/>
  <c r="M22" i="13" s="1"/>
  <c r="H15" i="13"/>
  <c r="F15" i="13" s="1"/>
  <c r="R13" i="13"/>
  <c r="L13" i="13"/>
  <c r="K13" i="13"/>
  <c r="K52" i="13" s="1"/>
  <c r="I13" i="13"/>
  <c r="F52" i="13" s="1"/>
  <c r="C13" i="13"/>
  <c r="R12" i="13"/>
  <c r="M12" i="13"/>
  <c r="L12" i="13"/>
  <c r="K12" i="13"/>
  <c r="N12" i="13" s="1"/>
  <c r="I12" i="13"/>
  <c r="C12" i="13"/>
  <c r="R11" i="13"/>
  <c r="O11" i="13"/>
  <c r="M11" i="13"/>
  <c r="P11" i="13" s="1"/>
  <c r="L11" i="13"/>
  <c r="I11" i="13"/>
  <c r="C11" i="13"/>
  <c r="N11" i="13" s="1"/>
  <c r="R10" i="13"/>
  <c r="L10" i="13"/>
  <c r="K10" i="13"/>
  <c r="K49" i="13" s="1"/>
  <c r="I10" i="13"/>
  <c r="C10" i="13"/>
  <c r="R9" i="13"/>
  <c r="L9" i="13"/>
  <c r="I9" i="13"/>
  <c r="C9" i="13"/>
  <c r="R8" i="13"/>
  <c r="L8" i="13"/>
  <c r="K8" i="13"/>
  <c r="I8" i="13"/>
  <c r="C8" i="13"/>
  <c r="R7" i="13"/>
  <c r="L7" i="13"/>
  <c r="I7" i="13"/>
  <c r="C7" i="13"/>
  <c r="N7" i="13" s="1"/>
  <c r="R6" i="13"/>
  <c r="O6" i="13"/>
  <c r="N6" i="13"/>
  <c r="M6" i="13"/>
  <c r="P6" i="13" s="1"/>
  <c r="L6" i="13"/>
  <c r="I6" i="13"/>
  <c r="F43" i="13" s="1"/>
  <c r="C6" i="13"/>
  <c r="B48" i="12"/>
  <c r="G41" i="12"/>
  <c r="F41" i="12"/>
  <c r="G40" i="12"/>
  <c r="F40" i="12" s="1"/>
  <c r="F39" i="12"/>
  <c r="Q37" i="12"/>
  <c r="L37" i="12"/>
  <c r="K37" i="12"/>
  <c r="I37" i="12"/>
  <c r="H37" i="12"/>
  <c r="F37" i="12"/>
  <c r="C37" i="12"/>
  <c r="Q36" i="12"/>
  <c r="L36" i="12"/>
  <c r="H36" i="12"/>
  <c r="I36" i="12" s="1"/>
  <c r="C36" i="12"/>
  <c r="Q35" i="12"/>
  <c r="M35" i="12"/>
  <c r="P35" i="12" s="1"/>
  <c r="L35" i="12"/>
  <c r="K35" i="12"/>
  <c r="I35" i="12"/>
  <c r="H35" i="12"/>
  <c r="F35" i="12"/>
  <c r="N35" i="12" s="1"/>
  <c r="O35" i="12" s="1"/>
  <c r="C35" i="12"/>
  <c r="Q34" i="12"/>
  <c r="N34" i="12"/>
  <c r="O34" i="12" s="1"/>
  <c r="L34" i="12"/>
  <c r="M34" i="12" s="1"/>
  <c r="K34" i="12"/>
  <c r="H34" i="12"/>
  <c r="I34" i="12" s="1"/>
  <c r="C34" i="12"/>
  <c r="Q33" i="12"/>
  <c r="L33" i="12"/>
  <c r="K33" i="12"/>
  <c r="I33" i="12"/>
  <c r="H33" i="12"/>
  <c r="C33" i="12"/>
  <c r="E28" i="12"/>
  <c r="C28" i="12"/>
  <c r="E27" i="12"/>
  <c r="C27" i="12"/>
  <c r="F23" i="12"/>
  <c r="G28" i="12" s="1"/>
  <c r="F22" i="12"/>
  <c r="F28" i="12" s="1"/>
  <c r="H20" i="12"/>
  <c r="F20" i="12" s="1"/>
  <c r="D28" i="12" s="1"/>
  <c r="R18" i="12"/>
  <c r="L18" i="12"/>
  <c r="I18" i="12"/>
  <c r="C18" i="12"/>
  <c r="R17" i="12"/>
  <c r="N17" i="12"/>
  <c r="M17" i="12"/>
  <c r="L17" i="12"/>
  <c r="K17" i="12"/>
  <c r="I17" i="12"/>
  <c r="F34" i="12" s="1"/>
  <c r="C17" i="12"/>
  <c r="H10" i="12"/>
  <c r="F10" i="12" s="1"/>
  <c r="R8" i="12"/>
  <c r="P8" i="12"/>
  <c r="O8" i="12"/>
  <c r="N8" i="12"/>
  <c r="L8" i="12"/>
  <c r="I8" i="12"/>
  <c r="C8" i="12"/>
  <c r="M8" i="12" s="1"/>
  <c r="R7" i="12"/>
  <c r="M7" i="12"/>
  <c r="L7" i="12"/>
  <c r="K7" i="12"/>
  <c r="K36" i="12" s="1"/>
  <c r="I7" i="12"/>
  <c r="C7" i="12"/>
  <c r="R6" i="12"/>
  <c r="L6" i="12"/>
  <c r="K6" i="12"/>
  <c r="F12" i="12" s="1"/>
  <c r="F42" i="12" s="1"/>
  <c r="I6" i="12"/>
  <c r="F33" i="12" s="1"/>
  <c r="C6" i="12"/>
  <c r="G110" i="11"/>
  <c r="F110" i="11" s="1"/>
  <c r="G109" i="11"/>
  <c r="F109" i="11" s="1"/>
  <c r="F108" i="11"/>
  <c r="Q106" i="11"/>
  <c r="L106" i="11"/>
  <c r="H106" i="11"/>
  <c r="I106" i="11" s="1"/>
  <c r="C106" i="11"/>
  <c r="Q105" i="11"/>
  <c r="L105" i="11"/>
  <c r="H105" i="11"/>
  <c r="I105" i="11" s="1"/>
  <c r="C105" i="11"/>
  <c r="Q104" i="11"/>
  <c r="M104" i="11"/>
  <c r="P104" i="11" s="1"/>
  <c r="L104" i="11"/>
  <c r="K104" i="11"/>
  <c r="H104" i="11"/>
  <c r="I104" i="11" s="1"/>
  <c r="C104" i="11"/>
  <c r="N104" i="11" s="1"/>
  <c r="Q103" i="11"/>
  <c r="L103" i="11"/>
  <c r="H103" i="11"/>
  <c r="I103" i="11" s="1"/>
  <c r="C103" i="11"/>
  <c r="Q102" i="11"/>
  <c r="L102" i="11"/>
  <c r="K102" i="11"/>
  <c r="I102" i="11"/>
  <c r="H102" i="11"/>
  <c r="C102" i="11"/>
  <c r="M102" i="11" s="1"/>
  <c r="Q101" i="11"/>
  <c r="L101" i="11"/>
  <c r="H101" i="11"/>
  <c r="I101" i="11" s="1"/>
  <c r="C101" i="11"/>
  <c r="Q100" i="11"/>
  <c r="L100" i="11"/>
  <c r="K100" i="11"/>
  <c r="I100" i="11"/>
  <c r="H100" i="11"/>
  <c r="C100" i="11"/>
  <c r="Q99" i="11"/>
  <c r="M99" i="11"/>
  <c r="P99" i="11" s="1"/>
  <c r="L99" i="11"/>
  <c r="K99" i="11"/>
  <c r="I99" i="11"/>
  <c r="H99" i="11"/>
  <c r="F99" i="11"/>
  <c r="C99" i="11"/>
  <c r="Q98" i="11"/>
  <c r="L98" i="11"/>
  <c r="K98" i="11"/>
  <c r="H98" i="11"/>
  <c r="I98" i="11" s="1"/>
  <c r="F98" i="11"/>
  <c r="C98" i="11"/>
  <c r="Q97" i="11"/>
  <c r="L97" i="11"/>
  <c r="H97" i="11"/>
  <c r="I97" i="11" s="1"/>
  <c r="F97" i="11"/>
  <c r="M97" i="11" s="1"/>
  <c r="C97" i="11"/>
  <c r="Q96" i="11"/>
  <c r="L96" i="11"/>
  <c r="K96" i="11"/>
  <c r="H96" i="11"/>
  <c r="I96" i="11" s="1"/>
  <c r="C96" i="11"/>
  <c r="Q95" i="11"/>
  <c r="L95" i="11"/>
  <c r="K95" i="11"/>
  <c r="H95" i="11"/>
  <c r="I95" i="11" s="1"/>
  <c r="F95" i="11"/>
  <c r="C95" i="11"/>
  <c r="Q94" i="11"/>
  <c r="L94" i="11"/>
  <c r="K94" i="11"/>
  <c r="H94" i="11"/>
  <c r="I94" i="11" s="1"/>
  <c r="F94" i="11"/>
  <c r="C94" i="11"/>
  <c r="Q93" i="11"/>
  <c r="L93" i="11"/>
  <c r="K93" i="11"/>
  <c r="I93" i="11"/>
  <c r="H93" i="11"/>
  <c r="C93" i="11"/>
  <c r="Q92" i="11"/>
  <c r="L92" i="11"/>
  <c r="K92" i="11"/>
  <c r="H92" i="11"/>
  <c r="I92" i="11" s="1"/>
  <c r="F92" i="11"/>
  <c r="C92" i="11"/>
  <c r="M92" i="11" s="1"/>
  <c r="P92" i="11" s="1"/>
  <c r="Q91" i="11"/>
  <c r="L91" i="11"/>
  <c r="H91" i="11"/>
  <c r="I91" i="11" s="1"/>
  <c r="C91" i="11"/>
  <c r="Q90" i="11"/>
  <c r="L90" i="11"/>
  <c r="I90" i="11"/>
  <c r="H90" i="11"/>
  <c r="C90" i="11"/>
  <c r="Q89" i="11"/>
  <c r="M89" i="11"/>
  <c r="P89" i="11" s="1"/>
  <c r="L89" i="11"/>
  <c r="N89" i="11" s="1"/>
  <c r="K89" i="11"/>
  <c r="I89" i="11"/>
  <c r="H89" i="11"/>
  <c r="C89" i="11"/>
  <c r="Q88" i="11"/>
  <c r="L88" i="11"/>
  <c r="N88" i="11" s="1"/>
  <c r="K88" i="11"/>
  <c r="H88" i="11"/>
  <c r="I88" i="11" s="1"/>
  <c r="F88" i="11"/>
  <c r="M88" i="11" s="1"/>
  <c r="C88" i="11"/>
  <c r="Q87" i="11"/>
  <c r="L87" i="11"/>
  <c r="K87" i="11"/>
  <c r="H87" i="11"/>
  <c r="I87" i="11" s="1"/>
  <c r="C87" i="11"/>
  <c r="Q86" i="11"/>
  <c r="L86" i="11"/>
  <c r="H86" i="11"/>
  <c r="I86" i="11" s="1"/>
  <c r="C86" i="11"/>
  <c r="Q85" i="11"/>
  <c r="L85" i="11"/>
  <c r="N85" i="11" s="1"/>
  <c r="K85" i="11"/>
  <c r="I85" i="11"/>
  <c r="H85" i="11"/>
  <c r="C85" i="11"/>
  <c r="Q84" i="11"/>
  <c r="L84" i="11"/>
  <c r="M84" i="11" s="1"/>
  <c r="P84" i="11" s="1"/>
  <c r="K84" i="11"/>
  <c r="H84" i="11"/>
  <c r="I84" i="11" s="1"/>
  <c r="F84" i="11"/>
  <c r="C84" i="11"/>
  <c r="Q83" i="11"/>
  <c r="L83" i="11"/>
  <c r="K83" i="11"/>
  <c r="H83" i="11"/>
  <c r="I83" i="11" s="1"/>
  <c r="F83" i="11"/>
  <c r="C83" i="11"/>
  <c r="Q82" i="11"/>
  <c r="L82" i="11"/>
  <c r="H82" i="11"/>
  <c r="I82" i="11" s="1"/>
  <c r="C82" i="11"/>
  <c r="C74" i="11"/>
  <c r="E73" i="11"/>
  <c r="C73" i="11"/>
  <c r="C72" i="11"/>
  <c r="H66" i="11"/>
  <c r="F66" i="11"/>
  <c r="E74" i="11" s="1"/>
  <c r="H65" i="11"/>
  <c r="F65" i="11" s="1"/>
  <c r="D74" i="11" s="1"/>
  <c r="R63" i="11"/>
  <c r="O63" i="11"/>
  <c r="N63" i="11"/>
  <c r="L63" i="11"/>
  <c r="M63" i="11" s="1"/>
  <c r="P63" i="11" s="1"/>
  <c r="I63" i="11"/>
  <c r="R62" i="11"/>
  <c r="M62" i="11"/>
  <c r="L62" i="11"/>
  <c r="N62" i="11" s="1"/>
  <c r="O62" i="11" s="1"/>
  <c r="K62" i="11"/>
  <c r="K103" i="11" s="1"/>
  <c r="I62" i="11"/>
  <c r="C62" i="11"/>
  <c r="R61" i="11"/>
  <c r="N61" i="11"/>
  <c r="O61" i="11" s="1"/>
  <c r="M61" i="11"/>
  <c r="L61" i="11"/>
  <c r="K61" i="11"/>
  <c r="K101" i="11" s="1"/>
  <c r="I61" i="11"/>
  <c r="C61" i="11"/>
  <c r="R60" i="11"/>
  <c r="M60" i="11"/>
  <c r="P60" i="11" s="1"/>
  <c r="L60" i="11"/>
  <c r="I60" i="11"/>
  <c r="F100" i="11" s="1"/>
  <c r="C60" i="11"/>
  <c r="R59" i="11"/>
  <c r="M59" i="11"/>
  <c r="P59" i="11" s="1"/>
  <c r="L59" i="11"/>
  <c r="N59" i="11" s="1"/>
  <c r="O59" i="11" s="1"/>
  <c r="I59" i="11"/>
  <c r="C59" i="11"/>
  <c r="R58" i="11"/>
  <c r="P58" i="11"/>
  <c r="N58" i="11"/>
  <c r="O58" i="11" s="1"/>
  <c r="M58" i="11"/>
  <c r="P55" i="21" s="1"/>
  <c r="L58" i="11"/>
  <c r="K58" i="11"/>
  <c r="K97" i="11" s="1"/>
  <c r="I58" i="11"/>
  <c r="C58" i="11"/>
  <c r="R57" i="11"/>
  <c r="L57" i="11"/>
  <c r="I57" i="11"/>
  <c r="F96" i="11" s="1"/>
  <c r="C57" i="11"/>
  <c r="N57" i="11" s="1"/>
  <c r="R56" i="11"/>
  <c r="O56" i="11"/>
  <c r="N56" i="11"/>
  <c r="M56" i="11"/>
  <c r="P56" i="11" s="1"/>
  <c r="L56" i="11"/>
  <c r="I56" i="11"/>
  <c r="C56" i="11"/>
  <c r="R55" i="11"/>
  <c r="P55" i="11"/>
  <c r="N55" i="11"/>
  <c r="O55" i="11" s="1"/>
  <c r="M55" i="11"/>
  <c r="L55" i="11"/>
  <c r="I55" i="11"/>
  <c r="C55" i="11"/>
  <c r="R54" i="11"/>
  <c r="N54" i="11"/>
  <c r="O54" i="11" s="1"/>
  <c r="L54" i="11"/>
  <c r="M54" i="11" s="1"/>
  <c r="P54" i="11" s="1"/>
  <c r="I54" i="11"/>
  <c r="F93" i="11" s="1"/>
  <c r="C54" i="11"/>
  <c r="R53" i="11"/>
  <c r="N53" i="11"/>
  <c r="O53" i="11" s="1"/>
  <c r="M53" i="11"/>
  <c r="P53" i="11" s="1"/>
  <c r="L53" i="11"/>
  <c r="I53" i="11"/>
  <c r="C53" i="11"/>
  <c r="R52" i="11"/>
  <c r="L52" i="11"/>
  <c r="N52" i="11" s="1"/>
  <c r="I52" i="11"/>
  <c r="C52" i="11"/>
  <c r="R51" i="11"/>
  <c r="M51" i="11"/>
  <c r="L51" i="11"/>
  <c r="K51" i="11"/>
  <c r="I51" i="11"/>
  <c r="C51" i="11"/>
  <c r="R50" i="11"/>
  <c r="N50" i="11"/>
  <c r="O50" i="11" s="1"/>
  <c r="L50" i="11"/>
  <c r="K50" i="11"/>
  <c r="M50" i="11" s="1"/>
  <c r="I50" i="11"/>
  <c r="R49" i="11"/>
  <c r="L49" i="11"/>
  <c r="N49" i="11" s="1"/>
  <c r="K49" i="11"/>
  <c r="I49" i="11"/>
  <c r="C49" i="11"/>
  <c r="R48" i="11"/>
  <c r="L48" i="11"/>
  <c r="K48" i="11"/>
  <c r="K86" i="11" s="1"/>
  <c r="I48" i="11"/>
  <c r="C48" i="11"/>
  <c r="R47" i="11"/>
  <c r="L47" i="11"/>
  <c r="K47" i="11"/>
  <c r="I47" i="11"/>
  <c r="C47" i="11"/>
  <c r="R46" i="11"/>
  <c r="L46" i="11"/>
  <c r="I46" i="11"/>
  <c r="C46" i="11"/>
  <c r="R45" i="11"/>
  <c r="L45" i="11"/>
  <c r="K45" i="11"/>
  <c r="I45" i="11"/>
  <c r="C45" i="11"/>
  <c r="H39" i="11"/>
  <c r="F39" i="11"/>
  <c r="H38" i="11"/>
  <c r="F38" i="11"/>
  <c r="D73" i="11" s="1"/>
  <c r="R36" i="11"/>
  <c r="L36" i="11"/>
  <c r="K36" i="11"/>
  <c r="K105" i="11" s="1"/>
  <c r="I36" i="11"/>
  <c r="F105" i="11" s="1"/>
  <c r="C36" i="11"/>
  <c r="R35" i="11"/>
  <c r="M35" i="11"/>
  <c r="L35" i="11"/>
  <c r="K35" i="11"/>
  <c r="I35" i="11"/>
  <c r="C35" i="11"/>
  <c r="N35" i="11" s="1"/>
  <c r="O35" i="11" s="1"/>
  <c r="R34" i="11"/>
  <c r="L34" i="11"/>
  <c r="N34" i="11" s="1"/>
  <c r="K34" i="11"/>
  <c r="I34" i="11"/>
  <c r="C34" i="11"/>
  <c r="M34" i="11" s="1"/>
  <c r="R33" i="11"/>
  <c r="M33" i="11"/>
  <c r="P33" i="11" s="1"/>
  <c r="L33" i="11"/>
  <c r="N33" i="11" s="1"/>
  <c r="O33" i="11" s="1"/>
  <c r="I33" i="11"/>
  <c r="C33" i="11"/>
  <c r="R32" i="11"/>
  <c r="L32" i="11"/>
  <c r="K32" i="11"/>
  <c r="I32" i="11"/>
  <c r="C32" i="11"/>
  <c r="R31" i="11"/>
  <c r="L31" i="11"/>
  <c r="K31" i="11"/>
  <c r="K90" i="11" s="1"/>
  <c r="I31" i="11"/>
  <c r="C31" i="11"/>
  <c r="R30" i="11"/>
  <c r="M30" i="11"/>
  <c r="P30" i="11" s="1"/>
  <c r="L30" i="11"/>
  <c r="N30" i="11" s="1"/>
  <c r="I30" i="11"/>
  <c r="F89" i="11" s="1"/>
  <c r="C30" i="11"/>
  <c r="R29" i="11"/>
  <c r="L29" i="11"/>
  <c r="N29" i="11" s="1"/>
  <c r="I29" i="11"/>
  <c r="R28" i="11"/>
  <c r="L28" i="11"/>
  <c r="N28" i="11" s="1"/>
  <c r="I28" i="11"/>
  <c r="C28" i="11"/>
  <c r="R27" i="11"/>
  <c r="L27" i="11"/>
  <c r="I27" i="11"/>
  <c r="F85" i="11" s="1"/>
  <c r="C27" i="11"/>
  <c r="N27" i="11" s="1"/>
  <c r="R26" i="11"/>
  <c r="L26" i="11"/>
  <c r="K26" i="11"/>
  <c r="F40" i="11" s="1"/>
  <c r="F73" i="11" s="1"/>
  <c r="I26" i="11"/>
  <c r="C26" i="11"/>
  <c r="H20" i="11"/>
  <c r="F20" i="11" s="1"/>
  <c r="H19" i="11"/>
  <c r="F19" i="11"/>
  <c r="R17" i="11"/>
  <c r="L17" i="11"/>
  <c r="K17" i="11"/>
  <c r="M17" i="11" s="1"/>
  <c r="I17" i="11"/>
  <c r="C17" i="11"/>
  <c r="R16" i="11"/>
  <c r="N16" i="11"/>
  <c r="O16" i="11" s="1"/>
  <c r="M16" i="11"/>
  <c r="L16" i="11"/>
  <c r="K16" i="11"/>
  <c r="I16" i="11"/>
  <c r="C16" i="11"/>
  <c r="R15" i="11"/>
  <c r="N15" i="11"/>
  <c r="M15" i="11"/>
  <c r="P15" i="11" s="1"/>
  <c r="L15" i="11"/>
  <c r="I15" i="11"/>
  <c r="F104" i="11" s="1"/>
  <c r="C15" i="11"/>
  <c r="R14" i="11"/>
  <c r="L14" i="11"/>
  <c r="K14" i="11"/>
  <c r="I14" i="11"/>
  <c r="C14" i="11"/>
  <c r="M14" i="11" s="1"/>
  <c r="R13" i="11"/>
  <c r="L13" i="11"/>
  <c r="K13" i="11"/>
  <c r="I13" i="11"/>
  <c r="F102" i="11" s="1"/>
  <c r="C13" i="11"/>
  <c r="M13" i="11" s="1"/>
  <c r="R12" i="11"/>
  <c r="O12" i="11"/>
  <c r="N12" i="11"/>
  <c r="M12" i="11"/>
  <c r="L12" i="11"/>
  <c r="K12" i="11"/>
  <c r="I12" i="11"/>
  <c r="R11" i="11"/>
  <c r="L11" i="11"/>
  <c r="K11" i="11"/>
  <c r="I11" i="11"/>
  <c r="F91" i="11" s="1"/>
  <c r="C11" i="11"/>
  <c r="R10" i="11"/>
  <c r="O10" i="11"/>
  <c r="N10" i="11"/>
  <c r="L10" i="11"/>
  <c r="K10" i="11"/>
  <c r="I10" i="11"/>
  <c r="C10" i="11"/>
  <c r="M10" i="11" s="1"/>
  <c r="R9" i="11"/>
  <c r="O9" i="11"/>
  <c r="N9" i="11"/>
  <c r="L9" i="11"/>
  <c r="M9" i="11" s="1"/>
  <c r="P9" i="11" s="1"/>
  <c r="I9" i="11"/>
  <c r="C9" i="11"/>
  <c r="R8" i="11"/>
  <c r="M8" i="11"/>
  <c r="P8" i="11" s="1"/>
  <c r="L8" i="11"/>
  <c r="I8" i="11"/>
  <c r="F87" i="11" s="1"/>
  <c r="C8" i="11"/>
  <c r="N8" i="11" s="1"/>
  <c r="R7" i="11"/>
  <c r="L7" i="11"/>
  <c r="M7" i="11" s="1"/>
  <c r="P7" i="11" s="1"/>
  <c r="I7" i="11"/>
  <c r="C7" i="11"/>
  <c r="R6" i="11"/>
  <c r="L6" i="11"/>
  <c r="N6" i="11" s="1"/>
  <c r="K6" i="11"/>
  <c r="I6" i="11"/>
  <c r="C6" i="11"/>
  <c r="G162" i="10"/>
  <c r="F162" i="10" s="1"/>
  <c r="G161" i="10"/>
  <c r="F161" i="10" s="1"/>
  <c r="F160" i="10"/>
  <c r="Q158" i="10"/>
  <c r="L158" i="10"/>
  <c r="H158" i="10"/>
  <c r="I158" i="10" s="1"/>
  <c r="C158" i="10"/>
  <c r="Q157" i="10"/>
  <c r="L157" i="10"/>
  <c r="H157" i="10"/>
  <c r="I157" i="10" s="1"/>
  <c r="C157" i="10"/>
  <c r="Q156" i="10"/>
  <c r="L156" i="10"/>
  <c r="I156" i="10"/>
  <c r="H156" i="10"/>
  <c r="C156" i="10"/>
  <c r="Q155" i="10"/>
  <c r="L155" i="10"/>
  <c r="M155" i="10" s="1"/>
  <c r="K155" i="10"/>
  <c r="H155" i="10"/>
  <c r="I155" i="10" s="1"/>
  <c r="C155" i="10"/>
  <c r="Q154" i="10"/>
  <c r="L154" i="10"/>
  <c r="I154" i="10"/>
  <c r="H154" i="10"/>
  <c r="C154" i="10"/>
  <c r="Q153" i="10"/>
  <c r="L153" i="10"/>
  <c r="H153" i="10"/>
  <c r="I153" i="10" s="1"/>
  <c r="C153" i="10"/>
  <c r="Q152" i="10"/>
  <c r="L152" i="10"/>
  <c r="I152" i="10"/>
  <c r="H152" i="10"/>
  <c r="F152" i="10"/>
  <c r="C152" i="10"/>
  <c r="Q151" i="10"/>
  <c r="N151" i="10"/>
  <c r="O151" i="10" s="1"/>
  <c r="M151" i="10"/>
  <c r="L151" i="10"/>
  <c r="H151" i="10"/>
  <c r="I151" i="10" s="1"/>
  <c r="F151" i="10"/>
  <c r="C151" i="10"/>
  <c r="Q150" i="10"/>
  <c r="M150" i="10"/>
  <c r="P150" i="10" s="1"/>
  <c r="L150" i="10"/>
  <c r="K150" i="10"/>
  <c r="N150" i="10" s="1"/>
  <c r="I150" i="10"/>
  <c r="H150" i="10"/>
  <c r="C150" i="10"/>
  <c r="Q149" i="10"/>
  <c r="L149" i="10"/>
  <c r="K149" i="10"/>
  <c r="I149" i="10"/>
  <c r="H149" i="10"/>
  <c r="C149" i="10"/>
  <c r="Q148" i="10"/>
  <c r="L148" i="10"/>
  <c r="N148" i="10" s="1"/>
  <c r="K148" i="10"/>
  <c r="H148" i="10"/>
  <c r="I148" i="10" s="1"/>
  <c r="F148" i="10"/>
  <c r="C148" i="10"/>
  <c r="Q147" i="10"/>
  <c r="L147" i="10"/>
  <c r="K147" i="10"/>
  <c r="H147" i="10"/>
  <c r="I147" i="10" s="1"/>
  <c r="C147" i="10"/>
  <c r="Q146" i="10"/>
  <c r="L146" i="10"/>
  <c r="K146" i="10"/>
  <c r="H146" i="10"/>
  <c r="I146" i="10" s="1"/>
  <c r="C146" i="10"/>
  <c r="N146" i="10" s="1"/>
  <c r="Q145" i="10"/>
  <c r="L145" i="10"/>
  <c r="K145" i="10"/>
  <c r="I145" i="10"/>
  <c r="H145" i="10"/>
  <c r="C145" i="10"/>
  <c r="Q144" i="10"/>
  <c r="L144" i="10"/>
  <c r="K144" i="10"/>
  <c r="I144" i="10"/>
  <c r="H144" i="10"/>
  <c r="C144" i="10"/>
  <c r="Q143" i="10"/>
  <c r="L143" i="10"/>
  <c r="N143" i="10" s="1"/>
  <c r="K143" i="10"/>
  <c r="H143" i="10"/>
  <c r="I143" i="10" s="1"/>
  <c r="C143" i="10"/>
  <c r="Q142" i="10"/>
  <c r="L142" i="10"/>
  <c r="K142" i="10"/>
  <c r="I142" i="10"/>
  <c r="H142" i="10"/>
  <c r="C142" i="10"/>
  <c r="Q141" i="10"/>
  <c r="L141" i="10"/>
  <c r="H141" i="10"/>
  <c r="I141" i="10" s="1"/>
  <c r="C141" i="10"/>
  <c r="Q140" i="10"/>
  <c r="L140" i="10"/>
  <c r="K140" i="10"/>
  <c r="I140" i="10"/>
  <c r="H140" i="10"/>
  <c r="C140" i="10"/>
  <c r="Q139" i="10"/>
  <c r="L139" i="10"/>
  <c r="N139" i="10" s="1"/>
  <c r="K139" i="10"/>
  <c r="I139" i="10"/>
  <c r="H139" i="10"/>
  <c r="C139" i="10"/>
  <c r="Q138" i="10"/>
  <c r="L138" i="10"/>
  <c r="I138" i="10"/>
  <c r="H138" i="10"/>
  <c r="C138" i="10"/>
  <c r="Q137" i="10"/>
  <c r="L137" i="10"/>
  <c r="K137" i="10"/>
  <c r="H137" i="10"/>
  <c r="I137" i="10" s="1"/>
  <c r="C137" i="10"/>
  <c r="Q136" i="10"/>
  <c r="M136" i="10"/>
  <c r="P136" i="10" s="1"/>
  <c r="L136" i="10"/>
  <c r="N136" i="10" s="1"/>
  <c r="O136" i="10" s="1"/>
  <c r="K136" i="10"/>
  <c r="I136" i="10"/>
  <c r="H136" i="10"/>
  <c r="C136" i="10"/>
  <c r="Q135" i="10"/>
  <c r="L135" i="10"/>
  <c r="K135" i="10"/>
  <c r="I135" i="10"/>
  <c r="H135" i="10"/>
  <c r="C135" i="10"/>
  <c r="Q134" i="10"/>
  <c r="L134" i="10"/>
  <c r="K134" i="10"/>
  <c r="H134" i="10"/>
  <c r="I134" i="10" s="1"/>
  <c r="C134" i="10"/>
  <c r="Q133" i="10"/>
  <c r="L133" i="10"/>
  <c r="I133" i="10"/>
  <c r="H133" i="10"/>
  <c r="C133" i="10"/>
  <c r="Q132" i="10"/>
  <c r="L132" i="10"/>
  <c r="K132" i="10"/>
  <c r="H132" i="10"/>
  <c r="I132" i="10" s="1"/>
  <c r="C132" i="10"/>
  <c r="Q131" i="10"/>
  <c r="L131" i="10"/>
  <c r="K131" i="10"/>
  <c r="I131" i="10"/>
  <c r="H131" i="10"/>
  <c r="C131" i="10"/>
  <c r="Q130" i="10"/>
  <c r="L130" i="10"/>
  <c r="I130" i="10"/>
  <c r="H130" i="10"/>
  <c r="C130" i="10"/>
  <c r="Q129" i="10"/>
  <c r="L129" i="10"/>
  <c r="K129" i="10"/>
  <c r="H129" i="10"/>
  <c r="I129" i="10" s="1"/>
  <c r="C129" i="10"/>
  <c r="Q128" i="10"/>
  <c r="L128" i="10"/>
  <c r="H128" i="10"/>
  <c r="I128" i="10" s="1"/>
  <c r="C128" i="10"/>
  <c r="Q127" i="10"/>
  <c r="L127" i="10"/>
  <c r="H127" i="10"/>
  <c r="I127" i="10" s="1"/>
  <c r="C127" i="10"/>
  <c r="Q126" i="10"/>
  <c r="L126" i="10"/>
  <c r="K126" i="10"/>
  <c r="I126" i="10"/>
  <c r="H126" i="10"/>
  <c r="F126" i="10"/>
  <c r="C126" i="10"/>
  <c r="N126" i="10" s="1"/>
  <c r="Q125" i="10"/>
  <c r="L125" i="10"/>
  <c r="N125" i="10" s="1"/>
  <c r="K125" i="10"/>
  <c r="I125" i="10"/>
  <c r="H125" i="10"/>
  <c r="C125" i="10"/>
  <c r="Q124" i="10"/>
  <c r="L124" i="10"/>
  <c r="K124" i="10"/>
  <c r="H124" i="10"/>
  <c r="I124" i="10" s="1"/>
  <c r="C124" i="10"/>
  <c r="Q123" i="10"/>
  <c r="L123" i="10"/>
  <c r="K123" i="10"/>
  <c r="I123" i="10"/>
  <c r="H123" i="10"/>
  <c r="F123" i="10"/>
  <c r="C123" i="10"/>
  <c r="Q122" i="10"/>
  <c r="L122" i="10"/>
  <c r="K122" i="10"/>
  <c r="H122" i="10"/>
  <c r="I122" i="10" s="1"/>
  <c r="C122" i="10"/>
  <c r="Q121" i="10"/>
  <c r="L121" i="10"/>
  <c r="N121" i="10" s="1"/>
  <c r="K121" i="10"/>
  <c r="H121" i="10"/>
  <c r="I121" i="10" s="1"/>
  <c r="C121" i="10"/>
  <c r="Q120" i="10"/>
  <c r="L120" i="10"/>
  <c r="H120" i="10"/>
  <c r="I120" i="10" s="1"/>
  <c r="C120" i="10"/>
  <c r="Q119" i="10"/>
  <c r="L119" i="10"/>
  <c r="I119" i="10"/>
  <c r="H119" i="10"/>
  <c r="F119" i="10"/>
  <c r="C119" i="10"/>
  <c r="Q118" i="10"/>
  <c r="L118" i="10"/>
  <c r="I118" i="10"/>
  <c r="H118" i="10"/>
  <c r="C118" i="10"/>
  <c r="C113" i="10"/>
  <c r="C112" i="10"/>
  <c r="C111" i="10"/>
  <c r="H105" i="10"/>
  <c r="F105" i="10"/>
  <c r="E113" i="10" s="1"/>
  <c r="H104" i="10"/>
  <c r="F104" i="10" s="1"/>
  <c r="R102" i="10"/>
  <c r="L102" i="10"/>
  <c r="K102" i="10"/>
  <c r="K154" i="10" s="1"/>
  <c r="I102" i="10"/>
  <c r="C102" i="10"/>
  <c r="N102" i="10" s="1"/>
  <c r="R101" i="10"/>
  <c r="O101" i="10"/>
  <c r="M101" i="10"/>
  <c r="P101" i="10" s="1"/>
  <c r="L101" i="10"/>
  <c r="N101" i="10" s="1"/>
  <c r="I101" i="10"/>
  <c r="R100" i="10"/>
  <c r="L100" i="10"/>
  <c r="N100" i="10" s="1"/>
  <c r="K100" i="10"/>
  <c r="I100" i="10"/>
  <c r="R99" i="10"/>
  <c r="L99" i="10"/>
  <c r="N99" i="10" s="1"/>
  <c r="I99" i="10"/>
  <c r="R98" i="10"/>
  <c r="L98" i="10"/>
  <c r="I98" i="10"/>
  <c r="F150" i="10" s="1"/>
  <c r="C98" i="10"/>
  <c r="R97" i="10"/>
  <c r="L97" i="10"/>
  <c r="I97" i="10"/>
  <c r="C97" i="10"/>
  <c r="M97" i="10" s="1"/>
  <c r="P97" i="10" s="1"/>
  <c r="R96" i="10"/>
  <c r="L96" i="10"/>
  <c r="I96" i="10"/>
  <c r="C96" i="10"/>
  <c r="R95" i="10"/>
  <c r="L95" i="10"/>
  <c r="I95" i="10"/>
  <c r="C95" i="10"/>
  <c r="N95" i="10" s="1"/>
  <c r="R94" i="10"/>
  <c r="M94" i="10"/>
  <c r="P94" i="10" s="1"/>
  <c r="L94" i="10"/>
  <c r="N94" i="10" s="1"/>
  <c r="O94" i="10" s="1"/>
  <c r="I94" i="10"/>
  <c r="R93" i="10"/>
  <c r="M93" i="10"/>
  <c r="P93" i="10" s="1"/>
  <c r="L93" i="10"/>
  <c r="I93" i="10"/>
  <c r="C93" i="10"/>
  <c r="R92" i="10"/>
  <c r="N92" i="10"/>
  <c r="L92" i="10"/>
  <c r="M92" i="10" s="1"/>
  <c r="O92" i="10" s="1"/>
  <c r="K92" i="10"/>
  <c r="I92" i="10"/>
  <c r="C92" i="10"/>
  <c r="R91" i="10"/>
  <c r="L91" i="10"/>
  <c r="K91" i="10"/>
  <c r="M91" i="10" s="1"/>
  <c r="I91" i="10"/>
  <c r="R90" i="10"/>
  <c r="L90" i="10"/>
  <c r="N90" i="10" s="1"/>
  <c r="K90" i="10"/>
  <c r="K141" i="10" s="1"/>
  <c r="I90" i="10"/>
  <c r="C90" i="10"/>
  <c r="R89" i="10"/>
  <c r="N89" i="10"/>
  <c r="L89" i="10"/>
  <c r="M89" i="10" s="1"/>
  <c r="K89" i="10"/>
  <c r="K133" i="10" s="1"/>
  <c r="I89" i="10"/>
  <c r="C89" i="10"/>
  <c r="R88" i="10"/>
  <c r="L88" i="10"/>
  <c r="M88" i="10" s="1"/>
  <c r="P88" i="10" s="1"/>
  <c r="I88" i="10"/>
  <c r="C88" i="10"/>
  <c r="R87" i="10"/>
  <c r="N87" i="10"/>
  <c r="O87" i="10" s="1"/>
  <c r="L87" i="10"/>
  <c r="I87" i="10"/>
  <c r="C87" i="10"/>
  <c r="M87" i="10" s="1"/>
  <c r="P87" i="10" s="1"/>
  <c r="R86" i="10"/>
  <c r="M86" i="10"/>
  <c r="P86" i="10" s="1"/>
  <c r="L86" i="10"/>
  <c r="N86" i="10" s="1"/>
  <c r="O86" i="10" s="1"/>
  <c r="I86" i="10"/>
  <c r="C86" i="10"/>
  <c r="R85" i="10"/>
  <c r="L85" i="10"/>
  <c r="K85" i="10"/>
  <c r="I85" i="10"/>
  <c r="C85" i="10"/>
  <c r="R84" i="10"/>
  <c r="L84" i="10"/>
  <c r="K84" i="10"/>
  <c r="I84" i="10"/>
  <c r="C84" i="10"/>
  <c r="R83" i="10"/>
  <c r="L83" i="10"/>
  <c r="K83" i="10"/>
  <c r="I83" i="10"/>
  <c r="C83" i="10"/>
  <c r="M83" i="10" s="1"/>
  <c r="H77" i="10"/>
  <c r="F77" i="10" s="1"/>
  <c r="E112" i="10" s="1"/>
  <c r="H76" i="10"/>
  <c r="F76" i="10" s="1"/>
  <c r="R74" i="10"/>
  <c r="N74" i="10"/>
  <c r="L74" i="10"/>
  <c r="M74" i="10" s="1"/>
  <c r="K74" i="10"/>
  <c r="K158" i="10" s="1"/>
  <c r="I74" i="10"/>
  <c r="C74" i="10"/>
  <c r="R73" i="10"/>
  <c r="L73" i="10"/>
  <c r="K73" i="10"/>
  <c r="M73" i="10" s="1"/>
  <c r="I73" i="10"/>
  <c r="C73" i="10"/>
  <c r="R72" i="10"/>
  <c r="N72" i="10"/>
  <c r="O72" i="10" s="1"/>
  <c r="M72" i="10"/>
  <c r="L72" i="10"/>
  <c r="K72" i="10"/>
  <c r="I72" i="10"/>
  <c r="F155" i="10" s="1"/>
  <c r="C72" i="10"/>
  <c r="R71" i="10"/>
  <c r="L71" i="10"/>
  <c r="K71" i="10"/>
  <c r="K151" i="10" s="1"/>
  <c r="I71" i="10"/>
  <c r="C71" i="10"/>
  <c r="N71" i="10" s="1"/>
  <c r="R70" i="10"/>
  <c r="N70" i="10"/>
  <c r="O70" i="10" s="1"/>
  <c r="M70" i="10"/>
  <c r="P70" i="10" s="1"/>
  <c r="L70" i="10"/>
  <c r="I70" i="10"/>
  <c r="R69" i="10"/>
  <c r="P69" i="10"/>
  <c r="O69" i="10"/>
  <c r="N69" i="10"/>
  <c r="M69" i="10"/>
  <c r="L69" i="10"/>
  <c r="I69" i="10"/>
  <c r="R68" i="10"/>
  <c r="N68" i="10"/>
  <c r="O68" i="10" s="1"/>
  <c r="L68" i="10"/>
  <c r="M68" i="10" s="1"/>
  <c r="P68" i="10" s="1"/>
  <c r="I68" i="10"/>
  <c r="R67" i="10"/>
  <c r="L67" i="10"/>
  <c r="N67" i="10" s="1"/>
  <c r="I67" i="10"/>
  <c r="R66" i="10"/>
  <c r="M66" i="10"/>
  <c r="P66" i="10" s="1"/>
  <c r="L66" i="10"/>
  <c r="N66" i="10" s="1"/>
  <c r="I66" i="10"/>
  <c r="C66" i="10"/>
  <c r="R65" i="10"/>
  <c r="L65" i="10"/>
  <c r="I65" i="10"/>
  <c r="C65" i="10"/>
  <c r="N65" i="10" s="1"/>
  <c r="R64" i="10"/>
  <c r="N64" i="10"/>
  <c r="L64" i="10"/>
  <c r="K64" i="10"/>
  <c r="I64" i="10"/>
  <c r="R63" i="10"/>
  <c r="N63" i="10"/>
  <c r="O63" i="10" s="1"/>
  <c r="M63" i="10"/>
  <c r="P63" i="10" s="1"/>
  <c r="L63" i="10"/>
  <c r="I63" i="10"/>
  <c r="F145" i="10" s="1"/>
  <c r="N145" i="10" s="1"/>
  <c r="C63" i="10"/>
  <c r="R62" i="10"/>
  <c r="N62" i="10"/>
  <c r="M62" i="10"/>
  <c r="P62" i="10" s="1"/>
  <c r="L62" i="10"/>
  <c r="I62" i="10"/>
  <c r="F144" i="10" s="1"/>
  <c r="C62" i="10"/>
  <c r="R61" i="10"/>
  <c r="L61" i="10"/>
  <c r="I61" i="10"/>
  <c r="C61" i="10"/>
  <c r="R60" i="10"/>
  <c r="P60" i="10"/>
  <c r="N60" i="10"/>
  <c r="O60" i="10" s="1"/>
  <c r="M60" i="10"/>
  <c r="L60" i="10"/>
  <c r="I60" i="10"/>
  <c r="R59" i="10"/>
  <c r="L59" i="10"/>
  <c r="I59" i="10"/>
  <c r="F141" i="10" s="1"/>
  <c r="C59" i="10"/>
  <c r="N59" i="10" s="1"/>
  <c r="R58" i="10"/>
  <c r="M58" i="10"/>
  <c r="L58" i="10"/>
  <c r="K58" i="10"/>
  <c r="I58" i="10"/>
  <c r="F139" i="10" s="1"/>
  <c r="C58" i="10"/>
  <c r="R57" i="10"/>
  <c r="N57" i="10"/>
  <c r="O57" i="10" s="1"/>
  <c r="L57" i="10"/>
  <c r="M57" i="10" s="1"/>
  <c r="P57" i="10" s="1"/>
  <c r="I57" i="10"/>
  <c r="F137" i="10" s="1"/>
  <c r="C57" i="10"/>
  <c r="R56" i="10"/>
  <c r="L56" i="10"/>
  <c r="I56" i="10"/>
  <c r="F136" i="10" s="1"/>
  <c r="C56" i="10"/>
  <c r="N56" i="10" s="1"/>
  <c r="R55" i="10"/>
  <c r="L55" i="10"/>
  <c r="I55" i="10"/>
  <c r="F135" i="10" s="1"/>
  <c r="M135" i="10" s="1"/>
  <c r="P135" i="10" s="1"/>
  <c r="C55" i="10"/>
  <c r="R54" i="10"/>
  <c r="L54" i="10"/>
  <c r="N54" i="10" s="1"/>
  <c r="I54" i="10"/>
  <c r="C54" i="10"/>
  <c r="R53" i="10"/>
  <c r="L53" i="10"/>
  <c r="N53" i="10" s="1"/>
  <c r="I53" i="10"/>
  <c r="C53" i="10"/>
  <c r="R52" i="10"/>
  <c r="L52" i="10"/>
  <c r="K52" i="10"/>
  <c r="K128" i="10" s="1"/>
  <c r="I52" i="10"/>
  <c r="F128" i="10" s="1"/>
  <c r="C52" i="10"/>
  <c r="M52" i="10" s="1"/>
  <c r="R51" i="10"/>
  <c r="L51" i="10"/>
  <c r="N51" i="10" s="1"/>
  <c r="K51" i="10"/>
  <c r="K127" i="10" s="1"/>
  <c r="I51" i="10"/>
  <c r="C51" i="10"/>
  <c r="R50" i="10"/>
  <c r="N50" i="10"/>
  <c r="L50" i="10"/>
  <c r="M50" i="10" s="1"/>
  <c r="P50" i="10" s="1"/>
  <c r="I50" i="10"/>
  <c r="C50" i="10"/>
  <c r="R49" i="10"/>
  <c r="L49" i="10"/>
  <c r="I49" i="10"/>
  <c r="F124" i="10" s="1"/>
  <c r="N124" i="10" s="1"/>
  <c r="C49" i="10"/>
  <c r="N49" i="10" s="1"/>
  <c r="R48" i="10"/>
  <c r="N48" i="10"/>
  <c r="M48" i="10"/>
  <c r="L48" i="10"/>
  <c r="I48" i="10"/>
  <c r="C48" i="10"/>
  <c r="R47" i="10"/>
  <c r="N47" i="10"/>
  <c r="O47" i="10" s="1"/>
  <c r="M47" i="10"/>
  <c r="P47" i="10" s="1"/>
  <c r="L47" i="10"/>
  <c r="I47" i="10"/>
  <c r="C47" i="10"/>
  <c r="R46" i="10"/>
  <c r="L46" i="10"/>
  <c r="K46" i="10"/>
  <c r="F78" i="10" s="1"/>
  <c r="F112" i="10" s="1"/>
  <c r="I46" i="10"/>
  <c r="C46" i="10"/>
  <c r="N46" i="10" s="1"/>
  <c r="R45" i="10"/>
  <c r="O45" i="10"/>
  <c r="N45" i="10"/>
  <c r="L45" i="10"/>
  <c r="K45" i="10"/>
  <c r="I45" i="10"/>
  <c r="C45" i="10"/>
  <c r="M45" i="10" s="1"/>
  <c r="H39" i="10"/>
  <c r="F39" i="10"/>
  <c r="H38" i="10"/>
  <c r="F38" i="10" s="1"/>
  <c r="R36" i="10"/>
  <c r="L36" i="10"/>
  <c r="K36" i="10"/>
  <c r="K157" i="10" s="1"/>
  <c r="I36" i="10"/>
  <c r="C36" i="10"/>
  <c r="N36" i="10" s="1"/>
  <c r="R35" i="10"/>
  <c r="L35" i="10"/>
  <c r="K35" i="10"/>
  <c r="K156" i="10" s="1"/>
  <c r="I35" i="10"/>
  <c r="F156" i="10" s="1"/>
  <c r="N156" i="10" s="1"/>
  <c r="C35" i="10"/>
  <c r="R34" i="10"/>
  <c r="L34" i="10"/>
  <c r="K34" i="10"/>
  <c r="K153" i="10" s="1"/>
  <c r="I34" i="10"/>
  <c r="F153" i="10" s="1"/>
  <c r="C34" i="10"/>
  <c r="M34" i="10" s="1"/>
  <c r="R33" i="10"/>
  <c r="N33" i="10"/>
  <c r="L33" i="10"/>
  <c r="M33" i="10" s="1"/>
  <c r="K33" i="10"/>
  <c r="K152" i="10" s="1"/>
  <c r="I33" i="10"/>
  <c r="C33" i="10"/>
  <c r="R32" i="10"/>
  <c r="L32" i="10"/>
  <c r="I32" i="10"/>
  <c r="R31" i="10"/>
  <c r="L31" i="10"/>
  <c r="N31" i="10" s="1"/>
  <c r="I31" i="10"/>
  <c r="R30" i="10"/>
  <c r="N30" i="10"/>
  <c r="L30" i="10"/>
  <c r="M30" i="10" s="1"/>
  <c r="P30" i="10" s="1"/>
  <c r="I30" i="10"/>
  <c r="R29" i="10"/>
  <c r="M29" i="10"/>
  <c r="P29" i="10" s="1"/>
  <c r="L29" i="10"/>
  <c r="N29" i="10" s="1"/>
  <c r="I29" i="10"/>
  <c r="R28" i="10"/>
  <c r="L28" i="10"/>
  <c r="I28" i="10"/>
  <c r="R27" i="10"/>
  <c r="N27" i="10"/>
  <c r="O27" i="10" s="1"/>
  <c r="M27" i="10"/>
  <c r="P27" i="10" s="1"/>
  <c r="L27" i="10"/>
  <c r="I27" i="10"/>
  <c r="C27" i="10"/>
  <c r="R26" i="10"/>
  <c r="L26" i="10"/>
  <c r="I26" i="10"/>
  <c r="F146" i="10" s="1"/>
  <c r="C26" i="10"/>
  <c r="R25" i="10"/>
  <c r="P25" i="10"/>
  <c r="N25" i="10"/>
  <c r="O25" i="10" s="1"/>
  <c r="L25" i="10"/>
  <c r="I25" i="10"/>
  <c r="C25" i="10"/>
  <c r="M25" i="10" s="1"/>
  <c r="R24" i="10"/>
  <c r="L24" i="10"/>
  <c r="I24" i="10"/>
  <c r="F143" i="10" s="1"/>
  <c r="C24" i="10"/>
  <c r="R23" i="10"/>
  <c r="L23" i="10"/>
  <c r="K23" i="10"/>
  <c r="I23" i="10"/>
  <c r="C23" i="10"/>
  <c r="R22" i="10"/>
  <c r="L22" i="10"/>
  <c r="K22" i="10"/>
  <c r="I22" i="10"/>
  <c r="R21" i="10"/>
  <c r="M21" i="10"/>
  <c r="P21" i="10" s="1"/>
  <c r="L21" i="10"/>
  <c r="I21" i="10"/>
  <c r="F140" i="10" s="1"/>
  <c r="C21" i="10"/>
  <c r="N21" i="10" s="1"/>
  <c r="O21" i="10" s="1"/>
  <c r="R20" i="10"/>
  <c r="L20" i="10"/>
  <c r="K20" i="10"/>
  <c r="K138" i="10" s="1"/>
  <c r="I20" i="10"/>
  <c r="F138" i="10" s="1"/>
  <c r="N138" i="10" s="1"/>
  <c r="C20" i="10"/>
  <c r="R19" i="10"/>
  <c r="L19" i="10"/>
  <c r="I19" i="10"/>
  <c r="C19" i="10"/>
  <c r="N19" i="10" s="1"/>
  <c r="R18" i="10"/>
  <c r="N18" i="10"/>
  <c r="L18" i="10"/>
  <c r="M18" i="10" s="1"/>
  <c r="P18" i="10" s="1"/>
  <c r="I18" i="10"/>
  <c r="F134" i="10" s="1"/>
  <c r="C18" i="10"/>
  <c r="R17" i="10"/>
  <c r="M17" i="10"/>
  <c r="P17" i="10" s="1"/>
  <c r="L17" i="10"/>
  <c r="I17" i="10"/>
  <c r="F133" i="10" s="1"/>
  <c r="N133" i="10" s="1"/>
  <c r="C17" i="10"/>
  <c r="R16" i="10"/>
  <c r="P16" i="10"/>
  <c r="M16" i="10"/>
  <c r="L16" i="10"/>
  <c r="I16" i="10"/>
  <c r="F132" i="10" s="1"/>
  <c r="C16" i="10"/>
  <c r="N16" i="10" s="1"/>
  <c r="R15" i="10"/>
  <c r="L15" i="10"/>
  <c r="M15" i="10" s="1"/>
  <c r="P15" i="10" s="1"/>
  <c r="I15" i="10"/>
  <c r="F131" i="10" s="1"/>
  <c r="M131" i="10" s="1"/>
  <c r="P131" i="10" s="1"/>
  <c r="C15" i="10"/>
  <c r="N15" i="10" s="1"/>
  <c r="O15" i="10" s="1"/>
  <c r="R14" i="10"/>
  <c r="L14" i="10"/>
  <c r="M14" i="10" s="1"/>
  <c r="K14" i="10"/>
  <c r="F40" i="10" s="1"/>
  <c r="I14" i="10"/>
  <c r="C14" i="10"/>
  <c r="R13" i="10"/>
  <c r="L13" i="10"/>
  <c r="I13" i="10"/>
  <c r="F129" i="10" s="1"/>
  <c r="N129" i="10" s="1"/>
  <c r="C13" i="10"/>
  <c r="M13" i="10" s="1"/>
  <c r="P13" i="10" s="1"/>
  <c r="R12" i="10"/>
  <c r="O12" i="10"/>
  <c r="N12" i="10"/>
  <c r="L12" i="10"/>
  <c r="M12" i="10" s="1"/>
  <c r="P12" i="10" s="1"/>
  <c r="I12" i="10"/>
  <c r="F127" i="10" s="1"/>
  <c r="C12" i="10"/>
  <c r="R11" i="10"/>
  <c r="M11" i="10"/>
  <c r="P11" i="10" s="1"/>
  <c r="L11" i="10"/>
  <c r="I11" i="10"/>
  <c r="F125" i="10" s="1"/>
  <c r="C11" i="10"/>
  <c r="N11" i="10" s="1"/>
  <c r="O11" i="10" s="1"/>
  <c r="R10" i="10"/>
  <c r="L10" i="10"/>
  <c r="K10" i="10"/>
  <c r="I10" i="10"/>
  <c r="C10" i="10"/>
  <c r="M10" i="10" s="1"/>
  <c r="R9" i="10"/>
  <c r="N9" i="10"/>
  <c r="M9" i="10"/>
  <c r="L9" i="10"/>
  <c r="K9" i="10"/>
  <c r="I9" i="10"/>
  <c r="C9" i="10"/>
  <c r="R8" i="10"/>
  <c r="L8" i="10"/>
  <c r="I8" i="10"/>
  <c r="F121" i="10" s="1"/>
  <c r="C8" i="10"/>
  <c r="R7" i="10"/>
  <c r="L7" i="10"/>
  <c r="K7" i="10"/>
  <c r="I7" i="10"/>
  <c r="F120" i="10" s="1"/>
  <c r="C7" i="10"/>
  <c r="N7" i="10" s="1"/>
  <c r="R6" i="10"/>
  <c r="N6" i="10"/>
  <c r="L6" i="10"/>
  <c r="K6" i="10"/>
  <c r="K119" i="10" s="1"/>
  <c r="I6" i="10"/>
  <c r="C6" i="10"/>
  <c r="M6" i="10" s="1"/>
  <c r="B57" i="9"/>
  <c r="G50" i="9"/>
  <c r="F50" i="9" s="1"/>
  <c r="G49" i="9"/>
  <c r="F49" i="9"/>
  <c r="F48" i="9"/>
  <c r="Q46" i="9"/>
  <c r="L46" i="9"/>
  <c r="H46" i="9"/>
  <c r="I46" i="9" s="1"/>
  <c r="C46" i="9"/>
  <c r="Q45" i="9"/>
  <c r="L45" i="9"/>
  <c r="I45" i="9"/>
  <c r="H45" i="9"/>
  <c r="C45" i="9"/>
  <c r="Q44" i="9"/>
  <c r="L44" i="9"/>
  <c r="M44" i="9" s="1"/>
  <c r="P44" i="9" s="1"/>
  <c r="K44" i="9"/>
  <c r="I44" i="9"/>
  <c r="H44" i="9"/>
  <c r="C44" i="9"/>
  <c r="Q43" i="9"/>
  <c r="L43" i="9"/>
  <c r="K43" i="9"/>
  <c r="H43" i="9"/>
  <c r="I43" i="9" s="1"/>
  <c r="C43" i="9"/>
  <c r="Q42" i="9"/>
  <c r="N42" i="9"/>
  <c r="M42" i="9"/>
  <c r="L42" i="9"/>
  <c r="K42" i="9"/>
  <c r="I42" i="9"/>
  <c r="H42" i="9"/>
  <c r="F42" i="9"/>
  <c r="C42" i="9"/>
  <c r="Q41" i="9"/>
  <c r="L41" i="9"/>
  <c r="K41" i="9"/>
  <c r="H41" i="9"/>
  <c r="I41" i="9" s="1"/>
  <c r="C41" i="9"/>
  <c r="Q40" i="9"/>
  <c r="L40" i="9"/>
  <c r="I40" i="9"/>
  <c r="H40" i="9"/>
  <c r="F40" i="9"/>
  <c r="C40" i="9"/>
  <c r="Q39" i="9"/>
  <c r="L39" i="9"/>
  <c r="K39" i="9"/>
  <c r="H39" i="9"/>
  <c r="I39" i="9" s="1"/>
  <c r="F39" i="9"/>
  <c r="C39" i="9"/>
  <c r="Q38" i="9"/>
  <c r="L38" i="9"/>
  <c r="I38" i="9"/>
  <c r="H38" i="9"/>
  <c r="C38" i="9"/>
  <c r="E33" i="9"/>
  <c r="C33" i="9"/>
  <c r="E32" i="9"/>
  <c r="C32" i="9"/>
  <c r="H25" i="9"/>
  <c r="F25" i="9" s="1"/>
  <c r="D33" i="9" s="1"/>
  <c r="R23" i="9"/>
  <c r="M23" i="9"/>
  <c r="L23" i="9"/>
  <c r="K23" i="9"/>
  <c r="I23" i="9"/>
  <c r="C23" i="9"/>
  <c r="H17" i="9"/>
  <c r="F17" i="9"/>
  <c r="H16" i="9"/>
  <c r="F16" i="9"/>
  <c r="R14" i="9"/>
  <c r="M14" i="9"/>
  <c r="L14" i="9"/>
  <c r="K14" i="9"/>
  <c r="K45" i="9" s="1"/>
  <c r="I14" i="9"/>
  <c r="F45" i="9" s="1"/>
  <c r="N45" i="9" s="1"/>
  <c r="C14" i="9"/>
  <c r="R13" i="9"/>
  <c r="N13" i="9"/>
  <c r="M13" i="9"/>
  <c r="P13" i="9" s="1"/>
  <c r="L13" i="9"/>
  <c r="I13" i="9"/>
  <c r="R12" i="9"/>
  <c r="L12" i="9"/>
  <c r="I12" i="9"/>
  <c r="F44" i="9" s="1"/>
  <c r="N44" i="9" s="1"/>
  <c r="C12" i="9"/>
  <c r="R11" i="9"/>
  <c r="L11" i="9"/>
  <c r="K11" i="9"/>
  <c r="I11" i="9"/>
  <c r="C11" i="9"/>
  <c r="R10" i="9"/>
  <c r="P10" i="9"/>
  <c r="N10" i="9"/>
  <c r="O10" i="9" s="1"/>
  <c r="M10" i="9"/>
  <c r="L10" i="9"/>
  <c r="I10" i="9"/>
  <c r="C10" i="9"/>
  <c r="R9" i="9"/>
  <c r="N9" i="9"/>
  <c r="M9" i="9"/>
  <c r="L9" i="9"/>
  <c r="K9" i="9"/>
  <c r="I9" i="9"/>
  <c r="F41" i="9" s="1"/>
  <c r="M41" i="9" s="1"/>
  <c r="C9" i="9"/>
  <c r="R8" i="9"/>
  <c r="L8" i="9"/>
  <c r="K8" i="9"/>
  <c r="K40" i="9" s="1"/>
  <c r="I8" i="9"/>
  <c r="C8" i="9"/>
  <c r="R7" i="9"/>
  <c r="L7" i="9"/>
  <c r="K7" i="9"/>
  <c r="I7" i="9"/>
  <c r="C7" i="9"/>
  <c r="R6" i="9"/>
  <c r="L6" i="9"/>
  <c r="K6" i="9"/>
  <c r="I6" i="9"/>
  <c r="C6" i="9"/>
  <c r="B108" i="8"/>
  <c r="G101" i="8"/>
  <c r="F101" i="8"/>
  <c r="G100" i="8"/>
  <c r="F100" i="8" s="1"/>
  <c r="F99" i="8"/>
  <c r="Q97" i="8"/>
  <c r="L97" i="8"/>
  <c r="K97" i="8"/>
  <c r="H97" i="8"/>
  <c r="I97" i="8" s="1"/>
  <c r="C97" i="8"/>
  <c r="N97" i="8" s="1"/>
  <c r="Q96" i="8"/>
  <c r="L96" i="8"/>
  <c r="K96" i="8"/>
  <c r="H96" i="8"/>
  <c r="I96" i="8" s="1"/>
  <c r="C96" i="8"/>
  <c r="Q95" i="8"/>
  <c r="M95" i="8"/>
  <c r="P95" i="8" s="1"/>
  <c r="L95" i="8"/>
  <c r="N95" i="8" s="1"/>
  <c r="K95" i="8"/>
  <c r="I95" i="8"/>
  <c r="H95" i="8"/>
  <c r="C95" i="8"/>
  <c r="Q94" i="8"/>
  <c r="L94" i="8"/>
  <c r="K94" i="8"/>
  <c r="I94" i="8"/>
  <c r="H94" i="8"/>
  <c r="F94" i="8"/>
  <c r="C94" i="8"/>
  <c r="Q93" i="8"/>
  <c r="L93" i="8"/>
  <c r="K93" i="8"/>
  <c r="I93" i="8"/>
  <c r="H93" i="8"/>
  <c r="F93" i="8"/>
  <c r="C93" i="8"/>
  <c r="Q92" i="8"/>
  <c r="L92" i="8"/>
  <c r="K92" i="8"/>
  <c r="I92" i="8"/>
  <c r="H92" i="8"/>
  <c r="F92" i="8"/>
  <c r="N92" i="8" s="1"/>
  <c r="O92" i="8" s="1"/>
  <c r="C92" i="8"/>
  <c r="M92" i="8" s="1"/>
  <c r="P92" i="8" s="1"/>
  <c r="Q91" i="8"/>
  <c r="L91" i="8"/>
  <c r="I91" i="8"/>
  <c r="H91" i="8"/>
  <c r="C91" i="8"/>
  <c r="Q90" i="8"/>
  <c r="L90" i="8"/>
  <c r="K90" i="8"/>
  <c r="H90" i="8"/>
  <c r="I90" i="8" s="1"/>
  <c r="F90" i="8"/>
  <c r="C90" i="8"/>
  <c r="Q89" i="8"/>
  <c r="L89" i="8"/>
  <c r="H89" i="8"/>
  <c r="I89" i="8" s="1"/>
  <c r="C89" i="8"/>
  <c r="Q88" i="8"/>
  <c r="L88" i="8"/>
  <c r="I88" i="8"/>
  <c r="H88" i="8"/>
  <c r="C88" i="8"/>
  <c r="Q87" i="8"/>
  <c r="M87" i="8"/>
  <c r="P87" i="8" s="1"/>
  <c r="L87" i="8"/>
  <c r="K87" i="8"/>
  <c r="H87" i="8"/>
  <c r="I87" i="8" s="1"/>
  <c r="C87" i="8"/>
  <c r="Q86" i="8"/>
  <c r="L86" i="8"/>
  <c r="K86" i="8"/>
  <c r="I86" i="8"/>
  <c r="H86" i="8"/>
  <c r="C86" i="8"/>
  <c r="N86" i="8" s="1"/>
  <c r="Q85" i="8"/>
  <c r="L85" i="8"/>
  <c r="K85" i="8"/>
  <c r="M85" i="8" s="1"/>
  <c r="P85" i="8" s="1"/>
  <c r="I85" i="8"/>
  <c r="H85" i="8"/>
  <c r="C85" i="8"/>
  <c r="Q84" i="8"/>
  <c r="L84" i="8"/>
  <c r="K84" i="8"/>
  <c r="H84" i="8"/>
  <c r="I84" i="8" s="1"/>
  <c r="F84" i="8"/>
  <c r="N84" i="8" s="1"/>
  <c r="C84" i="8"/>
  <c r="Q83" i="8"/>
  <c r="L83" i="8"/>
  <c r="H83" i="8"/>
  <c r="I83" i="8" s="1"/>
  <c r="C83" i="8"/>
  <c r="Q82" i="8"/>
  <c r="L82" i="8"/>
  <c r="N82" i="8" s="1"/>
  <c r="K82" i="8"/>
  <c r="I82" i="8"/>
  <c r="H82" i="8"/>
  <c r="C82" i="8"/>
  <c r="Q81" i="8"/>
  <c r="L81" i="8"/>
  <c r="K81" i="8"/>
  <c r="I81" i="8"/>
  <c r="H81" i="8"/>
  <c r="C81" i="8"/>
  <c r="Q80" i="8"/>
  <c r="L80" i="8"/>
  <c r="K80" i="8"/>
  <c r="I80" i="8"/>
  <c r="H80" i="8"/>
  <c r="F80" i="8"/>
  <c r="C80" i="8"/>
  <c r="Q79" i="8"/>
  <c r="L79" i="8"/>
  <c r="K79" i="8"/>
  <c r="I79" i="8"/>
  <c r="H79" i="8"/>
  <c r="C79" i="8"/>
  <c r="N79" i="8" s="1"/>
  <c r="Q78" i="8"/>
  <c r="L78" i="8"/>
  <c r="H78" i="8"/>
  <c r="I78" i="8" s="1"/>
  <c r="F78" i="8"/>
  <c r="C78" i="8"/>
  <c r="Q77" i="8"/>
  <c r="L77" i="8"/>
  <c r="I77" i="8"/>
  <c r="H77" i="8"/>
  <c r="C77" i="8"/>
  <c r="Q76" i="8"/>
  <c r="L76" i="8"/>
  <c r="K76" i="8"/>
  <c r="H76" i="8"/>
  <c r="I76" i="8" s="1"/>
  <c r="C76" i="8"/>
  <c r="Q75" i="8"/>
  <c r="P75" i="8"/>
  <c r="N75" i="8"/>
  <c r="O75" i="8" s="1"/>
  <c r="L75" i="8"/>
  <c r="K75" i="8"/>
  <c r="H75" i="8"/>
  <c r="I75" i="8" s="1"/>
  <c r="F75" i="8"/>
  <c r="C75" i="8"/>
  <c r="M75" i="8" s="1"/>
  <c r="Q74" i="8"/>
  <c r="L74" i="8"/>
  <c r="K74" i="8"/>
  <c r="I74" i="8"/>
  <c r="H74" i="8"/>
  <c r="C74" i="8"/>
  <c r="Q73" i="8"/>
  <c r="L73" i="8"/>
  <c r="M73" i="8" s="1"/>
  <c r="P73" i="8" s="1"/>
  <c r="K73" i="8"/>
  <c r="H73" i="8"/>
  <c r="I73" i="8" s="1"/>
  <c r="C73" i="8"/>
  <c r="Q72" i="8"/>
  <c r="L72" i="8"/>
  <c r="K72" i="8"/>
  <c r="H72" i="8"/>
  <c r="I72" i="8" s="1"/>
  <c r="C72" i="8"/>
  <c r="Q71" i="8"/>
  <c r="L71" i="8"/>
  <c r="K71" i="8"/>
  <c r="I71" i="8"/>
  <c r="H71" i="8"/>
  <c r="F71" i="8"/>
  <c r="C71" i="8"/>
  <c r="E66" i="8"/>
  <c r="D66" i="8"/>
  <c r="C66" i="8"/>
  <c r="E65" i="8"/>
  <c r="C65" i="8"/>
  <c r="E64" i="8"/>
  <c r="C64" i="8"/>
  <c r="F59" i="8"/>
  <c r="F66" i="8" s="1"/>
  <c r="H57" i="8"/>
  <c r="F57" i="8"/>
  <c r="F60" i="8" s="1"/>
  <c r="G66" i="8" s="1"/>
  <c r="R55" i="8"/>
  <c r="O55" i="8"/>
  <c r="N55" i="8"/>
  <c r="M55" i="8"/>
  <c r="P55" i="8" s="1"/>
  <c r="L55" i="8"/>
  <c r="I55" i="8"/>
  <c r="F96" i="8" s="1"/>
  <c r="N96" i="8" s="1"/>
  <c r="C55" i="8"/>
  <c r="R54" i="8"/>
  <c r="P54" i="8"/>
  <c r="N54" i="8"/>
  <c r="O54" i="8" s="1"/>
  <c r="L54" i="8"/>
  <c r="I54" i="8"/>
  <c r="C54" i="8"/>
  <c r="M54" i="8" s="1"/>
  <c r="R53" i="8"/>
  <c r="P53" i="8"/>
  <c r="N53" i="8"/>
  <c r="O53" i="8" s="1"/>
  <c r="M53" i="8"/>
  <c r="L53" i="8"/>
  <c r="I53" i="8"/>
  <c r="C53" i="8"/>
  <c r="R52" i="8"/>
  <c r="L52" i="8"/>
  <c r="I52" i="8"/>
  <c r="C52" i="8"/>
  <c r="R51" i="8"/>
  <c r="O51" i="8"/>
  <c r="N51" i="8"/>
  <c r="L51" i="8"/>
  <c r="K51" i="8"/>
  <c r="K78" i="8" s="1"/>
  <c r="I51" i="8"/>
  <c r="C51" i="8"/>
  <c r="M51" i="8" s="1"/>
  <c r="R50" i="8"/>
  <c r="N50" i="8"/>
  <c r="O50" i="8" s="1"/>
  <c r="M50" i="8"/>
  <c r="L50" i="8"/>
  <c r="K50" i="8"/>
  <c r="K77" i="8" s="1"/>
  <c r="I50" i="8"/>
  <c r="F77" i="8" s="1"/>
  <c r="C50" i="8"/>
  <c r="R49" i="8"/>
  <c r="L49" i="8"/>
  <c r="I49" i="8"/>
  <c r="F76" i="8" s="1"/>
  <c r="C49" i="8"/>
  <c r="R48" i="8"/>
  <c r="L48" i="8"/>
  <c r="I48" i="8"/>
  <c r="C48" i="8"/>
  <c r="R47" i="8"/>
  <c r="N47" i="8"/>
  <c r="L47" i="8"/>
  <c r="I47" i="8"/>
  <c r="C47" i="8"/>
  <c r="F43" i="8"/>
  <c r="G65" i="8" s="1"/>
  <c r="F42" i="8"/>
  <c r="F65" i="8" s="1"/>
  <c r="H40" i="8"/>
  <c r="F40" i="8" s="1"/>
  <c r="D65" i="8" s="1"/>
  <c r="R38" i="8"/>
  <c r="L38" i="8"/>
  <c r="N38" i="8" s="1"/>
  <c r="I38" i="8"/>
  <c r="R37" i="8"/>
  <c r="P37" i="8"/>
  <c r="O37" i="8"/>
  <c r="N37" i="8"/>
  <c r="M37" i="8"/>
  <c r="L37" i="8"/>
  <c r="I37" i="8"/>
  <c r="F95" i="8" s="1"/>
  <c r="C37" i="8"/>
  <c r="R36" i="8"/>
  <c r="P36" i="8"/>
  <c r="O36" i="8"/>
  <c r="N36" i="8"/>
  <c r="M36" i="8"/>
  <c r="L36" i="8"/>
  <c r="I36" i="8"/>
  <c r="C36" i="8"/>
  <c r="R35" i="8"/>
  <c r="L35" i="8"/>
  <c r="K35" i="8"/>
  <c r="K88" i="8" s="1"/>
  <c r="I35" i="8"/>
  <c r="F88" i="8" s="1"/>
  <c r="C35" i="8"/>
  <c r="R34" i="8"/>
  <c r="P34" i="8"/>
  <c r="N34" i="8"/>
  <c r="O34" i="8" s="1"/>
  <c r="L34" i="8"/>
  <c r="M34" i="8" s="1"/>
  <c r="I34" i="8"/>
  <c r="R33" i="8"/>
  <c r="L33" i="8"/>
  <c r="N33" i="8" s="1"/>
  <c r="O33" i="8" s="1"/>
  <c r="I33" i="8"/>
  <c r="F79" i="8" s="1"/>
  <c r="C33" i="8"/>
  <c r="M33" i="8" s="1"/>
  <c r="P33" i="8" s="1"/>
  <c r="R32" i="8"/>
  <c r="L32" i="8"/>
  <c r="I32" i="8"/>
  <c r="C32" i="8"/>
  <c r="R31" i="8"/>
  <c r="P31" i="8"/>
  <c r="N31" i="8"/>
  <c r="O31" i="8" s="1"/>
  <c r="M31" i="8"/>
  <c r="L31" i="8"/>
  <c r="I31" i="8"/>
  <c r="F73" i="8" s="1"/>
  <c r="N73" i="8" s="1"/>
  <c r="C31" i="8"/>
  <c r="H24" i="8"/>
  <c r="F24" i="8" s="1"/>
  <c r="R22" i="8"/>
  <c r="O22" i="8"/>
  <c r="L22" i="8"/>
  <c r="N22" i="8" s="1"/>
  <c r="K22" i="8"/>
  <c r="M22" i="8" s="1"/>
  <c r="I22" i="8"/>
  <c r="R21" i="8"/>
  <c r="N21" i="8"/>
  <c r="O21" i="8" s="1"/>
  <c r="M21" i="8"/>
  <c r="P21" i="8" s="1"/>
  <c r="L21" i="8"/>
  <c r="I21" i="8"/>
  <c r="F97" i="8" s="1"/>
  <c r="C21" i="8"/>
  <c r="R20" i="8"/>
  <c r="P20" i="8"/>
  <c r="O20" i="8"/>
  <c r="N20" i="8"/>
  <c r="M20" i="8"/>
  <c r="L20" i="8"/>
  <c r="I20" i="8"/>
  <c r="C20" i="8"/>
  <c r="R19" i="8"/>
  <c r="L19" i="8"/>
  <c r="I19" i="8"/>
  <c r="C19" i="8"/>
  <c r="R18" i="8"/>
  <c r="M18" i="8"/>
  <c r="L18" i="8"/>
  <c r="K18" i="8"/>
  <c r="N18" i="8" s="1"/>
  <c r="I18" i="8"/>
  <c r="C18" i="8"/>
  <c r="R17" i="8"/>
  <c r="N17" i="8"/>
  <c r="L17" i="8"/>
  <c r="M17" i="8" s="1"/>
  <c r="O17" i="8" s="1"/>
  <c r="K17" i="8"/>
  <c r="I17" i="8"/>
  <c r="C17" i="8"/>
  <c r="R16" i="8"/>
  <c r="L16" i="8"/>
  <c r="K16" i="8"/>
  <c r="K89" i="8" s="1"/>
  <c r="I16" i="8"/>
  <c r="C16" i="8"/>
  <c r="R15" i="8"/>
  <c r="L15" i="8"/>
  <c r="I15" i="8"/>
  <c r="F87" i="8" s="1"/>
  <c r="N87" i="8" s="1"/>
  <c r="O87" i="8" s="1"/>
  <c r="C15" i="8"/>
  <c r="R14" i="8"/>
  <c r="L14" i="8"/>
  <c r="N14" i="8" s="1"/>
  <c r="I14" i="8"/>
  <c r="F86" i="8" s="1"/>
  <c r="C14" i="8"/>
  <c r="R13" i="8"/>
  <c r="L13" i="8"/>
  <c r="I13" i="8"/>
  <c r="F85" i="8" s="1"/>
  <c r="C13" i="8"/>
  <c r="R12" i="8"/>
  <c r="N12" i="8"/>
  <c r="M12" i="8"/>
  <c r="P12" i="8" s="1"/>
  <c r="L12" i="8"/>
  <c r="I12" i="8"/>
  <c r="C12" i="8"/>
  <c r="R11" i="8"/>
  <c r="N11" i="8"/>
  <c r="M11" i="8"/>
  <c r="L11" i="8"/>
  <c r="K11" i="8"/>
  <c r="K83" i="8" s="1"/>
  <c r="I11" i="8"/>
  <c r="C11" i="8"/>
  <c r="R10" i="8"/>
  <c r="N10" i="8"/>
  <c r="L10" i="8"/>
  <c r="M10" i="8" s="1"/>
  <c r="K10" i="8"/>
  <c r="I10" i="8"/>
  <c r="F82" i="8" s="1"/>
  <c r="C10" i="8"/>
  <c r="R9" i="8"/>
  <c r="L9" i="8"/>
  <c r="M9" i="8" s="1"/>
  <c r="K9" i="8"/>
  <c r="I9" i="8"/>
  <c r="F81" i="8" s="1"/>
  <c r="N81" i="8" s="1"/>
  <c r="C9" i="8"/>
  <c r="R8" i="8"/>
  <c r="O8" i="8"/>
  <c r="N8" i="8"/>
  <c r="M8" i="8"/>
  <c r="L8" i="8"/>
  <c r="K8" i="8"/>
  <c r="I8" i="8"/>
  <c r="C8" i="8"/>
  <c r="R7" i="8"/>
  <c r="L7" i="8"/>
  <c r="K7" i="8"/>
  <c r="I7" i="8"/>
  <c r="F74" i="8" s="1"/>
  <c r="N74" i="8" s="1"/>
  <c r="C7" i="8"/>
  <c r="R6" i="8"/>
  <c r="M6" i="8"/>
  <c r="L6" i="8"/>
  <c r="K6" i="8"/>
  <c r="I6" i="8"/>
  <c r="F72" i="8" s="1"/>
  <c r="C6" i="8"/>
  <c r="N6" i="8" s="1"/>
  <c r="O6" i="8" s="1"/>
  <c r="B32" i="7"/>
  <c r="B31" i="7"/>
  <c r="G25" i="7"/>
  <c r="F25" i="7"/>
  <c r="G24" i="7"/>
  <c r="F24" i="7"/>
  <c r="F23" i="7"/>
  <c r="Q21" i="7"/>
  <c r="L21" i="7"/>
  <c r="K21" i="7"/>
  <c r="I21" i="7"/>
  <c r="H21" i="7"/>
  <c r="C21" i="7"/>
  <c r="E16" i="7"/>
  <c r="C16" i="7"/>
  <c r="F11" i="7"/>
  <c r="H9" i="7"/>
  <c r="F9" i="7"/>
  <c r="R7" i="7"/>
  <c r="L7" i="7"/>
  <c r="K7" i="7"/>
  <c r="I7" i="7"/>
  <c r="F21" i="7" s="1"/>
  <c r="C7" i="7"/>
  <c r="R6" i="7"/>
  <c r="P6" i="7"/>
  <c r="O6" i="7"/>
  <c r="N6" i="7"/>
  <c r="M6" i="7"/>
  <c r="L6" i="7"/>
  <c r="I6" i="7"/>
  <c r="G119" i="6"/>
  <c r="F119" i="6" s="1"/>
  <c r="G118" i="6"/>
  <c r="F118" i="6" s="1"/>
  <c r="F117" i="6"/>
  <c r="Q115" i="6"/>
  <c r="L115" i="6"/>
  <c r="K115" i="6"/>
  <c r="I115" i="6"/>
  <c r="H115" i="6"/>
  <c r="C115" i="6"/>
  <c r="Q114" i="6"/>
  <c r="L114" i="6"/>
  <c r="K114" i="6"/>
  <c r="H114" i="6"/>
  <c r="I114" i="6" s="1"/>
  <c r="F114" i="6"/>
  <c r="C114" i="6"/>
  <c r="Q113" i="6"/>
  <c r="L113" i="6"/>
  <c r="I113" i="6"/>
  <c r="H113" i="6"/>
  <c r="C113" i="6"/>
  <c r="Q112" i="6"/>
  <c r="L112" i="6"/>
  <c r="I112" i="6"/>
  <c r="H112" i="6"/>
  <c r="C112" i="6"/>
  <c r="Q111" i="6"/>
  <c r="L111" i="6"/>
  <c r="K111" i="6"/>
  <c r="H111" i="6"/>
  <c r="I111" i="6" s="1"/>
  <c r="F111" i="6"/>
  <c r="N111" i="6" s="1"/>
  <c r="C111" i="6"/>
  <c r="Q110" i="6"/>
  <c r="L110" i="6"/>
  <c r="H110" i="6"/>
  <c r="I110" i="6" s="1"/>
  <c r="C110" i="6"/>
  <c r="Q109" i="6"/>
  <c r="L109" i="6"/>
  <c r="H109" i="6"/>
  <c r="I109" i="6" s="1"/>
  <c r="C109" i="6"/>
  <c r="Q108" i="6"/>
  <c r="L108" i="6"/>
  <c r="H108" i="6"/>
  <c r="I108" i="6" s="1"/>
  <c r="C108" i="6"/>
  <c r="Q107" i="6"/>
  <c r="L107" i="6"/>
  <c r="H107" i="6"/>
  <c r="I107" i="6" s="1"/>
  <c r="C107" i="6"/>
  <c r="M107" i="6" s="1"/>
  <c r="Q106" i="6"/>
  <c r="L106" i="6"/>
  <c r="H106" i="6"/>
  <c r="I106" i="6" s="1"/>
  <c r="F106" i="6"/>
  <c r="M106" i="6" s="1"/>
  <c r="C106" i="6"/>
  <c r="N106" i="6" s="1"/>
  <c r="Q105" i="6"/>
  <c r="L105" i="6"/>
  <c r="H105" i="6"/>
  <c r="I105" i="6" s="1"/>
  <c r="C105" i="6"/>
  <c r="Q104" i="6"/>
  <c r="L104" i="6"/>
  <c r="K104" i="6"/>
  <c r="I104" i="6"/>
  <c r="H104" i="6"/>
  <c r="C104" i="6"/>
  <c r="Q103" i="6"/>
  <c r="L103" i="6"/>
  <c r="I103" i="6"/>
  <c r="H103" i="6"/>
  <c r="C103" i="6"/>
  <c r="Q102" i="6"/>
  <c r="O102" i="6"/>
  <c r="M102" i="6"/>
  <c r="L102" i="6"/>
  <c r="N102" i="6" s="1"/>
  <c r="K102" i="6"/>
  <c r="I102" i="6"/>
  <c r="H102" i="6"/>
  <c r="C102" i="6"/>
  <c r="Q101" i="6"/>
  <c r="L101" i="6"/>
  <c r="K101" i="6"/>
  <c r="I101" i="6"/>
  <c r="H101" i="6"/>
  <c r="F101" i="6"/>
  <c r="C101" i="6"/>
  <c r="Q100" i="6"/>
  <c r="L100" i="6"/>
  <c r="H100" i="6"/>
  <c r="I100" i="6" s="1"/>
  <c r="C100" i="6"/>
  <c r="Q99" i="6"/>
  <c r="L99" i="6"/>
  <c r="H99" i="6"/>
  <c r="I99" i="6" s="1"/>
  <c r="C99" i="6"/>
  <c r="Q98" i="6"/>
  <c r="L98" i="6"/>
  <c r="N98" i="6" s="1"/>
  <c r="K98" i="6"/>
  <c r="I98" i="6"/>
  <c r="H98" i="6"/>
  <c r="C98" i="6"/>
  <c r="Q97" i="6"/>
  <c r="L97" i="6"/>
  <c r="K97" i="6"/>
  <c r="I97" i="6"/>
  <c r="H97" i="6"/>
  <c r="C97" i="6"/>
  <c r="Q96" i="6"/>
  <c r="L96" i="6"/>
  <c r="K96" i="6"/>
  <c r="I96" i="6"/>
  <c r="H96" i="6"/>
  <c r="C96" i="6"/>
  <c r="Q95" i="6"/>
  <c r="L95" i="6"/>
  <c r="K95" i="6"/>
  <c r="I95" i="6"/>
  <c r="H95" i="6"/>
  <c r="F95" i="6"/>
  <c r="M95" i="6" s="1"/>
  <c r="C95" i="6"/>
  <c r="Q94" i="6"/>
  <c r="L94" i="6"/>
  <c r="K94" i="6"/>
  <c r="H94" i="6"/>
  <c r="I94" i="6" s="1"/>
  <c r="C94" i="6"/>
  <c r="Q93" i="6"/>
  <c r="L93" i="6"/>
  <c r="K93" i="6"/>
  <c r="H93" i="6"/>
  <c r="I93" i="6" s="1"/>
  <c r="C93" i="6"/>
  <c r="Q92" i="6"/>
  <c r="L92" i="6"/>
  <c r="K92" i="6"/>
  <c r="H92" i="6"/>
  <c r="I92" i="6" s="1"/>
  <c r="F92" i="6"/>
  <c r="C92" i="6"/>
  <c r="Q91" i="6"/>
  <c r="L91" i="6"/>
  <c r="H91" i="6"/>
  <c r="I91" i="6" s="1"/>
  <c r="C91" i="6"/>
  <c r="Q90" i="6"/>
  <c r="L90" i="6"/>
  <c r="K90" i="6"/>
  <c r="H90" i="6"/>
  <c r="I90" i="6" s="1"/>
  <c r="C90" i="6"/>
  <c r="Q89" i="6"/>
  <c r="O89" i="6"/>
  <c r="N89" i="6"/>
  <c r="M89" i="6"/>
  <c r="P89" i="6" s="1"/>
  <c r="L89" i="6"/>
  <c r="K89" i="6"/>
  <c r="H89" i="6"/>
  <c r="I89" i="6" s="1"/>
  <c r="F89" i="6"/>
  <c r="C89" i="6"/>
  <c r="Q88" i="6"/>
  <c r="L88" i="6"/>
  <c r="K88" i="6"/>
  <c r="H88" i="6"/>
  <c r="I88" i="6" s="1"/>
  <c r="C88" i="6"/>
  <c r="N88" i="6" s="1"/>
  <c r="Q87" i="6"/>
  <c r="L87" i="6"/>
  <c r="H87" i="6"/>
  <c r="I87" i="6" s="1"/>
  <c r="C87" i="6"/>
  <c r="Q86" i="6"/>
  <c r="L86" i="6"/>
  <c r="N86" i="6" s="1"/>
  <c r="K86" i="6"/>
  <c r="I86" i="6"/>
  <c r="H86" i="6"/>
  <c r="C86" i="6"/>
  <c r="Q85" i="6"/>
  <c r="L85" i="6"/>
  <c r="H85" i="6"/>
  <c r="I85" i="6" s="1"/>
  <c r="C85" i="6"/>
  <c r="Q84" i="6"/>
  <c r="L84" i="6"/>
  <c r="I84" i="6"/>
  <c r="H84" i="6"/>
  <c r="C84" i="6"/>
  <c r="Q83" i="6"/>
  <c r="L83" i="6"/>
  <c r="K83" i="6"/>
  <c r="H83" i="6"/>
  <c r="I83" i="6" s="1"/>
  <c r="C83" i="6"/>
  <c r="N83" i="6" s="1"/>
  <c r="Q82" i="6"/>
  <c r="L82" i="6"/>
  <c r="H82" i="6"/>
  <c r="I82" i="6" s="1"/>
  <c r="C82" i="6"/>
  <c r="Q81" i="6"/>
  <c r="L81" i="6"/>
  <c r="M81" i="6" s="1"/>
  <c r="P81" i="6" s="1"/>
  <c r="K81" i="6"/>
  <c r="H81" i="6"/>
  <c r="I81" i="6" s="1"/>
  <c r="F81" i="6"/>
  <c r="C81" i="6"/>
  <c r="Q80" i="6"/>
  <c r="L80" i="6"/>
  <c r="H80" i="6"/>
  <c r="I80" i="6" s="1"/>
  <c r="C80" i="6"/>
  <c r="Q79" i="6"/>
  <c r="L79" i="6"/>
  <c r="K79" i="6"/>
  <c r="I79" i="6"/>
  <c r="H79" i="6"/>
  <c r="C79" i="6"/>
  <c r="Q78" i="6"/>
  <c r="L78" i="6"/>
  <c r="I78" i="6"/>
  <c r="H78" i="6"/>
  <c r="F78" i="6"/>
  <c r="C78" i="6"/>
  <c r="E73" i="6"/>
  <c r="D73" i="6"/>
  <c r="C73" i="6"/>
  <c r="E72" i="6"/>
  <c r="C72" i="6"/>
  <c r="E71" i="6"/>
  <c r="D71" i="6"/>
  <c r="C71" i="6"/>
  <c r="H64" i="6"/>
  <c r="F64" i="6"/>
  <c r="R62" i="6"/>
  <c r="L62" i="6"/>
  <c r="K62" i="6"/>
  <c r="N62" i="6" s="1"/>
  <c r="I62" i="6"/>
  <c r="C62" i="6"/>
  <c r="R61" i="6"/>
  <c r="N61" i="6"/>
  <c r="M61" i="6"/>
  <c r="L61" i="6"/>
  <c r="I61" i="6"/>
  <c r="F83" i="6" s="1"/>
  <c r="C61" i="6"/>
  <c r="H54" i="6"/>
  <c r="F54" i="6" s="1"/>
  <c r="D72" i="6" s="1"/>
  <c r="R52" i="6"/>
  <c r="L52" i="6"/>
  <c r="K52" i="6"/>
  <c r="I52" i="6"/>
  <c r="C52" i="6"/>
  <c r="N52" i="6" s="1"/>
  <c r="R51" i="6"/>
  <c r="L51" i="6"/>
  <c r="K51" i="6"/>
  <c r="K85" i="6" s="1"/>
  <c r="I51" i="6"/>
  <c r="C51" i="6"/>
  <c r="R50" i="6"/>
  <c r="L50" i="6"/>
  <c r="M50" i="6" s="1"/>
  <c r="K50" i="6"/>
  <c r="I50" i="6"/>
  <c r="C50" i="6"/>
  <c r="H44" i="6"/>
  <c r="F44" i="6" s="1"/>
  <c r="B126" i="6" s="1"/>
  <c r="H43" i="6"/>
  <c r="F43" i="6"/>
  <c r="R41" i="6"/>
  <c r="L41" i="6"/>
  <c r="K41" i="6"/>
  <c r="I41" i="6"/>
  <c r="F115" i="6" s="1"/>
  <c r="C41" i="6"/>
  <c r="R40" i="6"/>
  <c r="N40" i="6"/>
  <c r="O40" i="6" s="1"/>
  <c r="M40" i="6"/>
  <c r="P40" i="6" s="1"/>
  <c r="L40" i="6"/>
  <c r="I40" i="6"/>
  <c r="C40" i="6"/>
  <c r="R39" i="6"/>
  <c r="N39" i="6"/>
  <c r="L39" i="6"/>
  <c r="M39" i="6" s="1"/>
  <c r="P39" i="6" s="1"/>
  <c r="I39" i="6"/>
  <c r="R38" i="6"/>
  <c r="N38" i="6"/>
  <c r="O38" i="6" s="1"/>
  <c r="L38" i="6"/>
  <c r="M38" i="6" s="1"/>
  <c r="K38" i="6"/>
  <c r="K113" i="6" s="1"/>
  <c r="I38" i="6"/>
  <c r="F113" i="6" s="1"/>
  <c r="N113" i="6" s="1"/>
  <c r="C38" i="6"/>
  <c r="R37" i="6"/>
  <c r="L37" i="6"/>
  <c r="N37" i="6" s="1"/>
  <c r="K37" i="6"/>
  <c r="K112" i="6" s="1"/>
  <c r="I37" i="6"/>
  <c r="C37" i="6"/>
  <c r="R36" i="6"/>
  <c r="L36" i="6"/>
  <c r="K36" i="6"/>
  <c r="I36" i="6"/>
  <c r="C36" i="6"/>
  <c r="N36" i="6" s="1"/>
  <c r="R35" i="6"/>
  <c r="L35" i="6"/>
  <c r="K35" i="6"/>
  <c r="K110" i="6" s="1"/>
  <c r="I35" i="6"/>
  <c r="F110" i="6" s="1"/>
  <c r="C35" i="6"/>
  <c r="R34" i="6"/>
  <c r="N34" i="6"/>
  <c r="M34" i="6"/>
  <c r="P14" i="11" s="1"/>
  <c r="L34" i="6"/>
  <c r="K34" i="6"/>
  <c r="K109" i="6" s="1"/>
  <c r="I34" i="6"/>
  <c r="F109" i="6" s="1"/>
  <c r="M109" i="6" s="1"/>
  <c r="C34" i="6"/>
  <c r="R33" i="6"/>
  <c r="L33" i="6"/>
  <c r="K33" i="6"/>
  <c r="K108" i="6" s="1"/>
  <c r="I33" i="6"/>
  <c r="F108" i="6" s="1"/>
  <c r="C33" i="6"/>
  <c r="R32" i="6"/>
  <c r="M32" i="6"/>
  <c r="L32" i="6"/>
  <c r="K32" i="6"/>
  <c r="K107" i="6" s="1"/>
  <c r="I32" i="6"/>
  <c r="F107" i="6" s="1"/>
  <c r="C32" i="6"/>
  <c r="R31" i="6"/>
  <c r="L31" i="6"/>
  <c r="M31" i="6" s="1"/>
  <c r="K31" i="6"/>
  <c r="K106" i="6" s="1"/>
  <c r="I31" i="6"/>
  <c r="C31" i="6"/>
  <c r="R30" i="6"/>
  <c r="L30" i="6"/>
  <c r="M30" i="6" s="1"/>
  <c r="K30" i="6"/>
  <c r="K105" i="6" s="1"/>
  <c r="I30" i="6"/>
  <c r="F105" i="6" s="1"/>
  <c r="C30" i="6"/>
  <c r="R29" i="6"/>
  <c r="M29" i="6"/>
  <c r="P29" i="6" s="1"/>
  <c r="L29" i="6"/>
  <c r="I29" i="6"/>
  <c r="F104" i="6" s="1"/>
  <c r="N104" i="6" s="1"/>
  <c r="C29" i="6"/>
  <c r="R28" i="6"/>
  <c r="L28" i="6"/>
  <c r="N28" i="6" s="1"/>
  <c r="K28" i="6"/>
  <c r="K103" i="6" s="1"/>
  <c r="I28" i="6"/>
  <c r="C28" i="6"/>
  <c r="R27" i="6"/>
  <c r="L27" i="6"/>
  <c r="K27" i="6"/>
  <c r="I27" i="6"/>
  <c r="F102" i="6" s="1"/>
  <c r="C27" i="6"/>
  <c r="M27" i="6" s="1"/>
  <c r="P10" i="8" s="1"/>
  <c r="R26" i="6"/>
  <c r="L26" i="6"/>
  <c r="K26" i="6"/>
  <c r="I26" i="6"/>
  <c r="C26" i="6"/>
  <c r="N26" i="6" s="1"/>
  <c r="R25" i="6"/>
  <c r="N25" i="6"/>
  <c r="O25" i="6" s="1"/>
  <c r="M25" i="6"/>
  <c r="L25" i="6"/>
  <c r="K25" i="6"/>
  <c r="K100" i="6" s="1"/>
  <c r="I25" i="6"/>
  <c r="C25" i="6"/>
  <c r="R24" i="6"/>
  <c r="L24" i="6"/>
  <c r="K24" i="6"/>
  <c r="K99" i="6" s="1"/>
  <c r="I24" i="6"/>
  <c r="F99" i="6" s="1"/>
  <c r="C24" i="6"/>
  <c r="N24" i="6" s="1"/>
  <c r="R23" i="6"/>
  <c r="L23" i="6"/>
  <c r="I23" i="6"/>
  <c r="F98" i="6" s="1"/>
  <c r="C23" i="6"/>
  <c r="R22" i="6"/>
  <c r="L22" i="6"/>
  <c r="N22" i="6" s="1"/>
  <c r="K22" i="6"/>
  <c r="I22" i="6"/>
  <c r="F97" i="6" s="1"/>
  <c r="C22" i="6"/>
  <c r="R21" i="6"/>
  <c r="M21" i="6"/>
  <c r="P21" i="6" s="1"/>
  <c r="L21" i="6"/>
  <c r="N21" i="6" s="1"/>
  <c r="O21" i="6" s="1"/>
  <c r="I21" i="6"/>
  <c r="F96" i="6" s="1"/>
  <c r="C21" i="6"/>
  <c r="R20" i="6"/>
  <c r="L20" i="6"/>
  <c r="K20" i="6"/>
  <c r="I20" i="6"/>
  <c r="F94" i="6" s="1"/>
  <c r="N94" i="6" s="1"/>
  <c r="C20" i="6"/>
  <c r="R19" i="6"/>
  <c r="L19" i="6"/>
  <c r="M19" i="6" s="1"/>
  <c r="K19" i="6"/>
  <c r="I19" i="6"/>
  <c r="F93" i="6" s="1"/>
  <c r="C19" i="6"/>
  <c r="R18" i="6"/>
  <c r="L18" i="6"/>
  <c r="N18" i="6" s="1"/>
  <c r="K18" i="6"/>
  <c r="I18" i="6"/>
  <c r="C18" i="6"/>
  <c r="R17" i="6"/>
  <c r="L17" i="6"/>
  <c r="K17" i="6"/>
  <c r="K91" i="6" s="1"/>
  <c r="I17" i="6"/>
  <c r="C17" i="6"/>
  <c r="R16" i="6"/>
  <c r="M16" i="6"/>
  <c r="P16" i="6" s="1"/>
  <c r="L16" i="6"/>
  <c r="I16" i="6"/>
  <c r="F90" i="6" s="1"/>
  <c r="C16" i="6"/>
  <c r="N16" i="6" s="1"/>
  <c r="O16" i="6" s="1"/>
  <c r="R15" i="6"/>
  <c r="L15" i="6"/>
  <c r="N15" i="6" s="1"/>
  <c r="I15" i="6"/>
  <c r="C15" i="6"/>
  <c r="R14" i="6"/>
  <c r="L14" i="6"/>
  <c r="I14" i="6"/>
  <c r="F88" i="6" s="1"/>
  <c r="C14" i="6"/>
  <c r="R13" i="6"/>
  <c r="L13" i="6"/>
  <c r="K13" i="6"/>
  <c r="K87" i="6" s="1"/>
  <c r="I13" i="6"/>
  <c r="C13" i="6"/>
  <c r="R12" i="6"/>
  <c r="L12" i="6"/>
  <c r="I12" i="6"/>
  <c r="F86" i="6" s="1"/>
  <c r="C12" i="6"/>
  <c r="N12" i="6" s="1"/>
  <c r="R11" i="6"/>
  <c r="N11" i="6"/>
  <c r="L11" i="6"/>
  <c r="M11" i="6" s="1"/>
  <c r="K11" i="6"/>
  <c r="I11" i="6"/>
  <c r="F84" i="6" s="1"/>
  <c r="C11" i="6"/>
  <c r="R10" i="6"/>
  <c r="L10" i="6"/>
  <c r="K10" i="6"/>
  <c r="I10" i="6"/>
  <c r="C10" i="6"/>
  <c r="R9" i="6"/>
  <c r="L9" i="6"/>
  <c r="I9" i="6"/>
  <c r="C9" i="6"/>
  <c r="R8" i="6"/>
  <c r="L8" i="6"/>
  <c r="N8" i="6" s="1"/>
  <c r="K8" i="6"/>
  <c r="K80" i="6" s="1"/>
  <c r="I8" i="6"/>
  <c r="F80" i="6" s="1"/>
  <c r="C8" i="6"/>
  <c r="R7" i="6"/>
  <c r="N7" i="6"/>
  <c r="O7" i="6" s="1"/>
  <c r="M7" i="6"/>
  <c r="L7" i="6"/>
  <c r="K7" i="6"/>
  <c r="I7" i="6"/>
  <c r="F79" i="6" s="1"/>
  <c r="N79" i="6" s="1"/>
  <c r="C7" i="6"/>
  <c r="R6" i="6"/>
  <c r="N6" i="6"/>
  <c r="L6" i="6"/>
  <c r="K6" i="6"/>
  <c r="K78" i="6" s="1"/>
  <c r="I6" i="6"/>
  <c r="C6" i="6"/>
  <c r="M6" i="6" s="1"/>
  <c r="G71" i="5"/>
  <c r="F71" i="5" s="1"/>
  <c r="G70" i="5"/>
  <c r="F70" i="5" s="1"/>
  <c r="F69" i="5"/>
  <c r="Q67" i="5"/>
  <c r="L67" i="5"/>
  <c r="K67" i="5"/>
  <c r="I67" i="5"/>
  <c r="H67" i="5"/>
  <c r="F67" i="5"/>
  <c r="C67" i="5"/>
  <c r="Q66" i="5"/>
  <c r="L66" i="5"/>
  <c r="K66" i="5"/>
  <c r="H66" i="5"/>
  <c r="I66" i="5" s="1"/>
  <c r="F66" i="5"/>
  <c r="C66" i="5"/>
  <c r="N66" i="5" s="1"/>
  <c r="Q65" i="5"/>
  <c r="L65" i="5"/>
  <c r="I65" i="5"/>
  <c r="H65" i="5"/>
  <c r="C65" i="5"/>
  <c r="N65" i="5" s="1"/>
  <c r="Q64" i="5"/>
  <c r="L64" i="5"/>
  <c r="H64" i="5"/>
  <c r="I64" i="5" s="1"/>
  <c r="C64" i="5"/>
  <c r="Q63" i="5"/>
  <c r="L63" i="5"/>
  <c r="H63" i="5"/>
  <c r="I63" i="5" s="1"/>
  <c r="C63" i="5"/>
  <c r="N63" i="5" s="1"/>
  <c r="Q62" i="5"/>
  <c r="L62" i="5"/>
  <c r="K62" i="5"/>
  <c r="I62" i="5"/>
  <c r="H62" i="5"/>
  <c r="C62" i="5"/>
  <c r="Q61" i="5"/>
  <c r="M61" i="5"/>
  <c r="P61" i="5" s="1"/>
  <c r="L61" i="5"/>
  <c r="N61" i="5" s="1"/>
  <c r="O61" i="5" s="1"/>
  <c r="K61" i="5"/>
  <c r="H61" i="5"/>
  <c r="I61" i="5" s="1"/>
  <c r="C61" i="5"/>
  <c r="Q60" i="5"/>
  <c r="L60" i="5"/>
  <c r="M60" i="5" s="1"/>
  <c r="K60" i="5"/>
  <c r="I60" i="5"/>
  <c r="H60" i="5"/>
  <c r="C60" i="5"/>
  <c r="Q59" i="5"/>
  <c r="L59" i="5"/>
  <c r="K59" i="5"/>
  <c r="H59" i="5"/>
  <c r="I59" i="5" s="1"/>
  <c r="F59" i="5"/>
  <c r="C59" i="5"/>
  <c r="M59" i="5" s="1"/>
  <c r="Q58" i="5"/>
  <c r="L58" i="5"/>
  <c r="K58" i="5"/>
  <c r="H58" i="5"/>
  <c r="I58" i="5" s="1"/>
  <c r="F58" i="5"/>
  <c r="N58" i="5" s="1"/>
  <c r="C58" i="5"/>
  <c r="M58" i="5" s="1"/>
  <c r="P58" i="5" s="1"/>
  <c r="Q57" i="5"/>
  <c r="L57" i="5"/>
  <c r="K57" i="5"/>
  <c r="I57" i="5"/>
  <c r="H57" i="5"/>
  <c r="C57" i="5"/>
  <c r="Q56" i="5"/>
  <c r="L56" i="5"/>
  <c r="K56" i="5"/>
  <c r="H56" i="5"/>
  <c r="I56" i="5" s="1"/>
  <c r="F56" i="5"/>
  <c r="M56" i="5" s="1"/>
  <c r="P56" i="5" s="1"/>
  <c r="C56" i="5"/>
  <c r="Q55" i="5"/>
  <c r="N55" i="5"/>
  <c r="L55" i="5"/>
  <c r="K55" i="5"/>
  <c r="I55" i="5"/>
  <c r="H55" i="5"/>
  <c r="F55" i="5"/>
  <c r="C55" i="5"/>
  <c r="Q54" i="5"/>
  <c r="L54" i="5"/>
  <c r="H54" i="5"/>
  <c r="I54" i="5" s="1"/>
  <c r="C54" i="5"/>
  <c r="E49" i="5"/>
  <c r="C49" i="5"/>
  <c r="E48" i="5"/>
  <c r="C48" i="5"/>
  <c r="D47" i="5"/>
  <c r="C47" i="5"/>
  <c r="F42" i="5"/>
  <c r="F49" i="5" s="1"/>
  <c r="H41" i="5"/>
  <c r="F41" i="5"/>
  <c r="H40" i="5"/>
  <c r="F40" i="5" s="1"/>
  <c r="R38" i="5"/>
  <c r="N38" i="5"/>
  <c r="O38" i="5" s="1"/>
  <c r="L38" i="5"/>
  <c r="I38" i="5"/>
  <c r="C38" i="5"/>
  <c r="M38" i="5" s="1"/>
  <c r="P38" i="5" s="1"/>
  <c r="R37" i="5"/>
  <c r="L37" i="5"/>
  <c r="K37" i="5"/>
  <c r="K64" i="5" s="1"/>
  <c r="I37" i="5"/>
  <c r="C37" i="5"/>
  <c r="R36" i="5"/>
  <c r="L36" i="5"/>
  <c r="I36" i="5"/>
  <c r="F62" i="5" s="1"/>
  <c r="C36" i="5"/>
  <c r="N36" i="5" s="1"/>
  <c r="R35" i="5"/>
  <c r="L35" i="5"/>
  <c r="I35" i="5"/>
  <c r="F61" i="5" s="1"/>
  <c r="C35" i="5"/>
  <c r="R34" i="5"/>
  <c r="L34" i="5"/>
  <c r="I34" i="5"/>
  <c r="C34" i="5"/>
  <c r="R33" i="5"/>
  <c r="L33" i="5"/>
  <c r="K33" i="5"/>
  <c r="I33" i="5"/>
  <c r="F54" i="5" s="1"/>
  <c r="C33" i="5"/>
  <c r="N33" i="5" s="1"/>
  <c r="F28" i="5"/>
  <c r="F48" i="5" s="1"/>
  <c r="H26" i="5"/>
  <c r="F26" i="5" s="1"/>
  <c r="D48" i="5" s="1"/>
  <c r="R24" i="5"/>
  <c r="L24" i="5"/>
  <c r="I24" i="5"/>
  <c r="C24" i="5"/>
  <c r="H18" i="5"/>
  <c r="F18" i="5" s="1"/>
  <c r="H17" i="5"/>
  <c r="F17" i="5"/>
  <c r="B77" i="5" s="1"/>
  <c r="R15" i="5"/>
  <c r="L15" i="5"/>
  <c r="I15" i="5"/>
  <c r="C15" i="5"/>
  <c r="R14" i="5"/>
  <c r="L14" i="5"/>
  <c r="K14" i="5"/>
  <c r="K65" i="5" s="1"/>
  <c r="I14" i="5"/>
  <c r="F65" i="5" s="1"/>
  <c r="C14" i="5"/>
  <c r="M14" i="5" s="1"/>
  <c r="R13" i="5"/>
  <c r="L13" i="5"/>
  <c r="I13" i="5"/>
  <c r="C13" i="5"/>
  <c r="N13" i="5" s="1"/>
  <c r="R12" i="5"/>
  <c r="L12" i="5"/>
  <c r="K12" i="5"/>
  <c r="K63" i="5" s="1"/>
  <c r="I12" i="5"/>
  <c r="F63" i="5" s="1"/>
  <c r="C12" i="5"/>
  <c r="R11" i="5"/>
  <c r="L11" i="5"/>
  <c r="K11" i="5"/>
  <c r="F19" i="5" s="1"/>
  <c r="I11" i="5"/>
  <c r="F60" i="5" s="1"/>
  <c r="C11" i="5"/>
  <c r="R10" i="5"/>
  <c r="L10" i="5"/>
  <c r="I10" i="5"/>
  <c r="C10" i="5"/>
  <c r="N10" i="5" s="1"/>
  <c r="R9" i="5"/>
  <c r="L9" i="5"/>
  <c r="I9" i="5"/>
  <c r="C9" i="5"/>
  <c r="R8" i="5"/>
  <c r="N8" i="5"/>
  <c r="O8" i="5" s="1"/>
  <c r="M8" i="5"/>
  <c r="P8" i="5" s="1"/>
  <c r="L8" i="5"/>
  <c r="I8" i="5"/>
  <c r="F57" i="5" s="1"/>
  <c r="N57" i="5" s="1"/>
  <c r="C8" i="5"/>
  <c r="R7" i="5"/>
  <c r="L7" i="5"/>
  <c r="K7" i="5"/>
  <c r="I7" i="5"/>
  <c r="C7" i="5"/>
  <c r="N7" i="5" s="1"/>
  <c r="R6" i="5"/>
  <c r="N6" i="5"/>
  <c r="L6" i="5"/>
  <c r="M6" i="5" s="1"/>
  <c r="K6" i="5"/>
  <c r="K54" i="5" s="1"/>
  <c r="I6" i="5"/>
  <c r="C6" i="5"/>
  <c r="G116" i="4"/>
  <c r="F116" i="4"/>
  <c r="G115" i="4"/>
  <c r="F115" i="4"/>
  <c r="F114" i="4"/>
  <c r="Q112" i="4"/>
  <c r="L112" i="4"/>
  <c r="K112" i="4"/>
  <c r="H112" i="4"/>
  <c r="I112" i="4" s="1"/>
  <c r="C112" i="4"/>
  <c r="Q111" i="4"/>
  <c r="L111" i="4"/>
  <c r="I111" i="4"/>
  <c r="H111" i="4"/>
  <c r="C111" i="4"/>
  <c r="Q110" i="4"/>
  <c r="L110" i="4"/>
  <c r="N110" i="4" s="1"/>
  <c r="O110" i="4" s="1"/>
  <c r="K110" i="4"/>
  <c r="H110" i="4"/>
  <c r="I110" i="4" s="1"/>
  <c r="C110" i="4"/>
  <c r="Q109" i="4"/>
  <c r="L109" i="4"/>
  <c r="K109" i="4"/>
  <c r="I109" i="4"/>
  <c r="H109" i="4"/>
  <c r="F109" i="4"/>
  <c r="C109" i="4"/>
  <c r="Q108" i="4"/>
  <c r="L108" i="4"/>
  <c r="H108" i="4"/>
  <c r="I108" i="4" s="1"/>
  <c r="C108" i="4"/>
  <c r="Q107" i="4"/>
  <c r="L107" i="4"/>
  <c r="I107" i="4"/>
  <c r="H107" i="4"/>
  <c r="F107" i="4"/>
  <c r="C107" i="4"/>
  <c r="Q106" i="4"/>
  <c r="M106" i="4"/>
  <c r="L106" i="4"/>
  <c r="K106" i="4"/>
  <c r="N106" i="4" s="1"/>
  <c r="I106" i="4"/>
  <c r="H106" i="4"/>
  <c r="F106" i="4"/>
  <c r="C106" i="4"/>
  <c r="Q105" i="4"/>
  <c r="L105" i="4"/>
  <c r="K105" i="4"/>
  <c r="I105" i="4"/>
  <c r="H105" i="4"/>
  <c r="C105" i="4"/>
  <c r="Q104" i="4"/>
  <c r="L104" i="4"/>
  <c r="K104" i="4"/>
  <c r="H104" i="4"/>
  <c r="I104" i="4" s="1"/>
  <c r="F104" i="4"/>
  <c r="C104" i="4"/>
  <c r="Q103" i="4"/>
  <c r="L103" i="4"/>
  <c r="H103" i="4"/>
  <c r="I103" i="4" s="1"/>
  <c r="C103" i="4"/>
  <c r="Q102" i="4"/>
  <c r="L102" i="4"/>
  <c r="K102" i="4"/>
  <c r="I102" i="4"/>
  <c r="H102" i="4"/>
  <c r="C102" i="4"/>
  <c r="Q101" i="4"/>
  <c r="N101" i="4"/>
  <c r="L101" i="4"/>
  <c r="K101" i="4"/>
  <c r="H101" i="4"/>
  <c r="I101" i="4" s="1"/>
  <c r="C101" i="4"/>
  <c r="Q100" i="4"/>
  <c r="L100" i="4"/>
  <c r="K100" i="4"/>
  <c r="H100" i="4"/>
  <c r="I100" i="4" s="1"/>
  <c r="F100" i="4"/>
  <c r="C100" i="4"/>
  <c r="Q99" i="4"/>
  <c r="L99" i="4"/>
  <c r="I99" i="4"/>
  <c r="H99" i="4"/>
  <c r="C99" i="4"/>
  <c r="Q98" i="4"/>
  <c r="L98" i="4"/>
  <c r="I98" i="4"/>
  <c r="H98" i="4"/>
  <c r="C98" i="4"/>
  <c r="Q97" i="4"/>
  <c r="N97" i="4"/>
  <c r="L97" i="4"/>
  <c r="K97" i="4"/>
  <c r="I97" i="4"/>
  <c r="H97" i="4"/>
  <c r="F97" i="4"/>
  <c r="C97" i="4"/>
  <c r="Q96" i="4"/>
  <c r="L96" i="4"/>
  <c r="I96" i="4"/>
  <c r="H96" i="4"/>
  <c r="C96" i="4"/>
  <c r="Q95" i="4"/>
  <c r="L95" i="4"/>
  <c r="H95" i="4"/>
  <c r="I95" i="4" s="1"/>
  <c r="C95" i="4"/>
  <c r="Q94" i="4"/>
  <c r="N94" i="4"/>
  <c r="L94" i="4"/>
  <c r="I94" i="4"/>
  <c r="H94" i="4"/>
  <c r="C94" i="4"/>
  <c r="Q93" i="4"/>
  <c r="L93" i="4"/>
  <c r="K93" i="4"/>
  <c r="I93" i="4"/>
  <c r="H93" i="4"/>
  <c r="C93" i="4"/>
  <c r="Q92" i="4"/>
  <c r="L92" i="4"/>
  <c r="K92" i="4"/>
  <c r="H92" i="4"/>
  <c r="I92" i="4" s="1"/>
  <c r="C92" i="4"/>
  <c r="Q91" i="4"/>
  <c r="L91" i="4"/>
  <c r="K91" i="4"/>
  <c r="I91" i="4"/>
  <c r="H91" i="4"/>
  <c r="C91" i="4"/>
  <c r="Q90" i="4"/>
  <c r="L90" i="4"/>
  <c r="K90" i="4"/>
  <c r="I90" i="4"/>
  <c r="H90" i="4"/>
  <c r="C90" i="4"/>
  <c r="M90" i="4" s="1"/>
  <c r="Q89" i="4"/>
  <c r="L89" i="4"/>
  <c r="I89" i="4"/>
  <c r="H89" i="4"/>
  <c r="C89" i="4"/>
  <c r="Q88" i="4"/>
  <c r="L88" i="4"/>
  <c r="K88" i="4"/>
  <c r="H88" i="4"/>
  <c r="I88" i="4" s="1"/>
  <c r="C88" i="4"/>
  <c r="Q87" i="4"/>
  <c r="L87" i="4"/>
  <c r="K87" i="4"/>
  <c r="H87" i="4"/>
  <c r="I87" i="4" s="1"/>
  <c r="C87" i="4"/>
  <c r="M87" i="4" s="1"/>
  <c r="P87" i="4" s="1"/>
  <c r="Q86" i="4"/>
  <c r="L86" i="4"/>
  <c r="H86" i="4"/>
  <c r="I86" i="4" s="1"/>
  <c r="F86" i="4"/>
  <c r="C86" i="4"/>
  <c r="Q85" i="4"/>
  <c r="M85" i="4"/>
  <c r="L85" i="4"/>
  <c r="K85" i="4"/>
  <c r="I85" i="4"/>
  <c r="H85" i="4"/>
  <c r="C85" i="4"/>
  <c r="Q84" i="4"/>
  <c r="L84" i="4"/>
  <c r="H84" i="4"/>
  <c r="I84" i="4" s="1"/>
  <c r="C84" i="4"/>
  <c r="C76" i="4"/>
  <c r="E75" i="4"/>
  <c r="C75" i="4"/>
  <c r="C74" i="4"/>
  <c r="H68" i="4"/>
  <c r="F68" i="4" s="1"/>
  <c r="E76" i="4" s="1"/>
  <c r="H67" i="4"/>
  <c r="F67" i="4" s="1"/>
  <c r="R65" i="4"/>
  <c r="L65" i="4"/>
  <c r="M65" i="4" s="1"/>
  <c r="P65" i="4" s="1"/>
  <c r="I65" i="4"/>
  <c r="F110" i="4" s="1"/>
  <c r="M110" i="4" s="1"/>
  <c r="C65" i="4"/>
  <c r="R64" i="4"/>
  <c r="P64" i="4"/>
  <c r="N64" i="4"/>
  <c r="O64" i="4" s="1"/>
  <c r="M64" i="4"/>
  <c r="P21" i="18" s="1"/>
  <c r="L64" i="4"/>
  <c r="K64" i="4"/>
  <c r="I64" i="4"/>
  <c r="C64" i="4"/>
  <c r="R63" i="4"/>
  <c r="L63" i="4"/>
  <c r="K63" i="4"/>
  <c r="K103" i="4" s="1"/>
  <c r="I63" i="4"/>
  <c r="C63" i="4"/>
  <c r="N63" i="4" s="1"/>
  <c r="R62" i="4"/>
  <c r="L62" i="4"/>
  <c r="K62" i="4"/>
  <c r="I62" i="4"/>
  <c r="C62" i="4"/>
  <c r="N62" i="4" s="1"/>
  <c r="R61" i="4"/>
  <c r="P61" i="4"/>
  <c r="L61" i="4"/>
  <c r="K61" i="4"/>
  <c r="I61" i="4"/>
  <c r="C61" i="4"/>
  <c r="M61" i="4" s="1"/>
  <c r="P18" i="18" s="1"/>
  <c r="R60" i="4"/>
  <c r="N60" i="4"/>
  <c r="O60" i="4" s="1"/>
  <c r="M60" i="4"/>
  <c r="P94" i="19" s="1"/>
  <c r="L60" i="4"/>
  <c r="K60" i="4"/>
  <c r="I60" i="4"/>
  <c r="C60" i="4"/>
  <c r="R59" i="4"/>
  <c r="L59" i="4"/>
  <c r="I59" i="4"/>
  <c r="F87" i="4" s="1"/>
  <c r="C59" i="4"/>
  <c r="R58" i="4"/>
  <c r="L58" i="4"/>
  <c r="K58" i="4"/>
  <c r="I58" i="4"/>
  <c r="C58" i="4"/>
  <c r="N58" i="4" s="1"/>
  <c r="R57" i="4"/>
  <c r="L57" i="4"/>
  <c r="K57" i="4"/>
  <c r="I57" i="4"/>
  <c r="C57" i="4"/>
  <c r="R56" i="4"/>
  <c r="M56" i="4"/>
  <c r="L56" i="4"/>
  <c r="N56" i="4" s="1"/>
  <c r="K56" i="4"/>
  <c r="I56" i="4"/>
  <c r="F84" i="4" s="1"/>
  <c r="C56" i="4"/>
  <c r="H50" i="4"/>
  <c r="F50" i="4"/>
  <c r="H49" i="4"/>
  <c r="F49" i="4" s="1"/>
  <c r="D75" i="4" s="1"/>
  <c r="R47" i="4"/>
  <c r="L47" i="4"/>
  <c r="K47" i="4"/>
  <c r="K111" i="4" s="1"/>
  <c r="I47" i="4"/>
  <c r="F111" i="4" s="1"/>
  <c r="C47" i="4"/>
  <c r="N47" i="4" s="1"/>
  <c r="R46" i="4"/>
  <c r="N46" i="4"/>
  <c r="O46" i="4" s="1"/>
  <c r="M46" i="4"/>
  <c r="L46" i="4"/>
  <c r="K46" i="4"/>
  <c r="K107" i="4" s="1"/>
  <c r="I46" i="4"/>
  <c r="C46" i="4"/>
  <c r="R45" i="4"/>
  <c r="L45" i="4"/>
  <c r="K45" i="4"/>
  <c r="I45" i="4"/>
  <c r="C45" i="4"/>
  <c r="N45" i="4" s="1"/>
  <c r="R44" i="4"/>
  <c r="N44" i="4"/>
  <c r="O44" i="4" s="1"/>
  <c r="L44" i="4"/>
  <c r="I44" i="4"/>
  <c r="C44" i="4"/>
  <c r="M44" i="4" s="1"/>
  <c r="P44" i="4" s="1"/>
  <c r="R43" i="4"/>
  <c r="L43" i="4"/>
  <c r="K43" i="4"/>
  <c r="I43" i="4"/>
  <c r="C43" i="4"/>
  <c r="M43" i="4" s="1"/>
  <c r="R42" i="4"/>
  <c r="P42" i="4"/>
  <c r="N42" i="4"/>
  <c r="O42" i="4" s="1"/>
  <c r="L42" i="4"/>
  <c r="K42" i="4"/>
  <c r="I42" i="4"/>
  <c r="C42" i="4"/>
  <c r="M42" i="4" s="1"/>
  <c r="P8" i="18" s="1"/>
  <c r="R41" i="4"/>
  <c r="P41" i="4"/>
  <c r="O41" i="4"/>
  <c r="N41" i="4"/>
  <c r="M41" i="4"/>
  <c r="L41" i="4"/>
  <c r="I41" i="4"/>
  <c r="F102" i="4" s="1"/>
  <c r="C41" i="4"/>
  <c r="R40" i="4"/>
  <c r="L40" i="4"/>
  <c r="I40" i="4"/>
  <c r="C40" i="4"/>
  <c r="N40" i="4" s="1"/>
  <c r="R39" i="4"/>
  <c r="L39" i="4"/>
  <c r="M39" i="4" s="1"/>
  <c r="K39" i="4"/>
  <c r="I39" i="4"/>
  <c r="C39" i="4"/>
  <c r="R38" i="4"/>
  <c r="L38" i="4"/>
  <c r="K38" i="4"/>
  <c r="K98" i="4" s="1"/>
  <c r="I38" i="4"/>
  <c r="C38" i="4"/>
  <c r="R37" i="4"/>
  <c r="L37" i="4"/>
  <c r="I37" i="4"/>
  <c r="C37" i="4"/>
  <c r="N37" i="4" s="1"/>
  <c r="R36" i="4"/>
  <c r="L36" i="4"/>
  <c r="K36" i="4"/>
  <c r="K96" i="4" s="1"/>
  <c r="I36" i="4"/>
  <c r="C36" i="4"/>
  <c r="R35" i="4"/>
  <c r="L35" i="4"/>
  <c r="K35" i="4"/>
  <c r="K94" i="4" s="1"/>
  <c r="I35" i="4"/>
  <c r="F94" i="4" s="1"/>
  <c r="C35" i="4"/>
  <c r="R34" i="4"/>
  <c r="L34" i="4"/>
  <c r="M34" i="4" s="1"/>
  <c r="P34" i="4" s="1"/>
  <c r="I34" i="4"/>
  <c r="C34" i="4"/>
  <c r="N34" i="4" s="1"/>
  <c r="R33" i="4"/>
  <c r="L33" i="4"/>
  <c r="I33" i="4"/>
  <c r="C33" i="4"/>
  <c r="R32" i="4"/>
  <c r="L32" i="4"/>
  <c r="M32" i="4" s="1"/>
  <c r="K32" i="4"/>
  <c r="I32" i="4"/>
  <c r="C32" i="4"/>
  <c r="H26" i="4"/>
  <c r="F26" i="4"/>
  <c r="E74" i="4" s="1"/>
  <c r="H25" i="4"/>
  <c r="F25" i="4" s="1"/>
  <c r="B122" i="4" s="1"/>
  <c r="R23" i="4"/>
  <c r="N23" i="4"/>
  <c r="O23" i="4" s="1"/>
  <c r="M23" i="4"/>
  <c r="P23" i="4" s="1"/>
  <c r="L23" i="4"/>
  <c r="I23" i="4"/>
  <c r="F112" i="4" s="1"/>
  <c r="C23" i="4"/>
  <c r="R22" i="4"/>
  <c r="P22" i="4"/>
  <c r="O22" i="4"/>
  <c r="N22" i="4"/>
  <c r="M22" i="4"/>
  <c r="L22" i="4"/>
  <c r="I22" i="4"/>
  <c r="C22" i="4"/>
  <c r="R21" i="4"/>
  <c r="L21" i="4"/>
  <c r="K21" i="4"/>
  <c r="K108" i="4" s="1"/>
  <c r="I21" i="4"/>
  <c r="C21" i="4"/>
  <c r="N21" i="4" s="1"/>
  <c r="R20" i="4"/>
  <c r="L20" i="4"/>
  <c r="I20" i="4"/>
  <c r="F105" i="4" s="1"/>
  <c r="C20" i="4"/>
  <c r="M20" i="4" s="1"/>
  <c r="P20" i="4" s="1"/>
  <c r="R19" i="4"/>
  <c r="L19" i="4"/>
  <c r="K19" i="4"/>
  <c r="I19" i="4"/>
  <c r="F103" i="4" s="1"/>
  <c r="C19" i="4"/>
  <c r="M19" i="4" s="1"/>
  <c r="P8" i="15" s="1"/>
  <c r="R18" i="4"/>
  <c r="N18" i="4"/>
  <c r="O18" i="4" s="1"/>
  <c r="M18" i="4"/>
  <c r="P18" i="4" s="1"/>
  <c r="L18" i="4"/>
  <c r="I18" i="4"/>
  <c r="F101" i="4" s="1"/>
  <c r="M101" i="4" s="1"/>
  <c r="P101" i="4" s="1"/>
  <c r="C18" i="4"/>
  <c r="R17" i="4"/>
  <c r="L17" i="4"/>
  <c r="K17" i="4"/>
  <c r="K99" i="4" s="1"/>
  <c r="I17" i="4"/>
  <c r="C17" i="4"/>
  <c r="R16" i="4"/>
  <c r="L16" i="4"/>
  <c r="I16" i="4"/>
  <c r="F98" i="4" s="1"/>
  <c r="C16" i="4"/>
  <c r="N16" i="4" s="1"/>
  <c r="R15" i="4"/>
  <c r="L15" i="4"/>
  <c r="N15" i="4" s="1"/>
  <c r="I15" i="4"/>
  <c r="C15" i="4"/>
  <c r="M15" i="4" s="1"/>
  <c r="P15" i="4" s="1"/>
  <c r="R14" i="4"/>
  <c r="L14" i="4"/>
  <c r="I14" i="4"/>
  <c r="F96" i="4" s="1"/>
  <c r="C14" i="4"/>
  <c r="R13" i="4"/>
  <c r="L13" i="4"/>
  <c r="K13" i="4"/>
  <c r="K95" i="4" s="1"/>
  <c r="I13" i="4"/>
  <c r="F95" i="4" s="1"/>
  <c r="C13" i="4"/>
  <c r="N13" i="4" s="1"/>
  <c r="R12" i="4"/>
  <c r="L12" i="4"/>
  <c r="I12" i="4"/>
  <c r="F93" i="4" s="1"/>
  <c r="C12" i="4"/>
  <c r="R11" i="4"/>
  <c r="L11" i="4"/>
  <c r="I11" i="4"/>
  <c r="F92" i="4" s="1"/>
  <c r="M92" i="4" s="1"/>
  <c r="P92" i="4" s="1"/>
  <c r="C11" i="4"/>
  <c r="N11" i="4" s="1"/>
  <c r="R10" i="4"/>
  <c r="L10" i="4"/>
  <c r="I10" i="4"/>
  <c r="F91" i="4" s="1"/>
  <c r="C10" i="4"/>
  <c r="N10" i="4" s="1"/>
  <c r="R9" i="4"/>
  <c r="L9" i="4"/>
  <c r="K9" i="4"/>
  <c r="I9" i="4"/>
  <c r="F90" i="4" s="1"/>
  <c r="C9" i="4"/>
  <c r="R8" i="4"/>
  <c r="L8" i="4"/>
  <c r="K8" i="4"/>
  <c r="K89" i="4" s="1"/>
  <c r="I8" i="4"/>
  <c r="C8" i="4"/>
  <c r="R7" i="4"/>
  <c r="M7" i="4"/>
  <c r="L7" i="4"/>
  <c r="K7" i="4"/>
  <c r="I7" i="4"/>
  <c r="C7" i="4"/>
  <c r="N7" i="4" s="1"/>
  <c r="O7" i="4" s="1"/>
  <c r="R6" i="4"/>
  <c r="L6" i="4"/>
  <c r="M6" i="4" s="1"/>
  <c r="K6" i="4"/>
  <c r="I6" i="4"/>
  <c r="F85" i="4" s="1"/>
  <c r="N85" i="4" s="1"/>
  <c r="C6" i="4"/>
  <c r="G221" i="3"/>
  <c r="F221" i="3" s="1"/>
  <c r="G220" i="3"/>
  <c r="F220" i="3" s="1"/>
  <c r="F219" i="3"/>
  <c r="Q217" i="3"/>
  <c r="L217" i="3"/>
  <c r="K217" i="3"/>
  <c r="I217" i="3"/>
  <c r="H217" i="3"/>
  <c r="C217" i="3"/>
  <c r="M217" i="3" s="1"/>
  <c r="P217" i="3" s="1"/>
  <c r="Q216" i="3"/>
  <c r="N216" i="3"/>
  <c r="O216" i="3" s="1"/>
  <c r="L216" i="3"/>
  <c r="K216" i="3"/>
  <c r="H216" i="3"/>
  <c r="I216" i="3" s="1"/>
  <c r="C216" i="3"/>
  <c r="M216" i="3" s="1"/>
  <c r="P216" i="3" s="1"/>
  <c r="Q215" i="3"/>
  <c r="L215" i="3"/>
  <c r="K215" i="3"/>
  <c r="H215" i="3"/>
  <c r="I215" i="3" s="1"/>
  <c r="C215" i="3"/>
  <c r="Q214" i="3"/>
  <c r="L214" i="3"/>
  <c r="N214" i="3" s="1"/>
  <c r="K214" i="3"/>
  <c r="I214" i="3"/>
  <c r="H214" i="3"/>
  <c r="C214" i="3"/>
  <c r="Q213" i="3"/>
  <c r="L213" i="3"/>
  <c r="K213" i="3"/>
  <c r="I213" i="3"/>
  <c r="H213" i="3"/>
  <c r="C213" i="3"/>
  <c r="Q212" i="3"/>
  <c r="L212" i="3"/>
  <c r="K212" i="3"/>
  <c r="I212" i="3"/>
  <c r="H212" i="3"/>
  <c r="C212" i="3"/>
  <c r="Q211" i="3"/>
  <c r="N211" i="3"/>
  <c r="L211" i="3"/>
  <c r="K211" i="3"/>
  <c r="I211" i="3"/>
  <c r="H211" i="3"/>
  <c r="F211" i="3"/>
  <c r="M211" i="3" s="1"/>
  <c r="P211" i="3" s="1"/>
  <c r="C211" i="3"/>
  <c r="Q210" i="3"/>
  <c r="L210" i="3"/>
  <c r="K210" i="3"/>
  <c r="H210" i="3"/>
  <c r="I210" i="3" s="1"/>
  <c r="F210" i="3"/>
  <c r="C210" i="3"/>
  <c r="Q209" i="3"/>
  <c r="L209" i="3"/>
  <c r="K209" i="3"/>
  <c r="H209" i="3"/>
  <c r="I209" i="3" s="1"/>
  <c r="C209" i="3"/>
  <c r="Q208" i="3"/>
  <c r="N208" i="3"/>
  <c r="O208" i="3" s="1"/>
  <c r="M208" i="3"/>
  <c r="P208" i="3" s="1"/>
  <c r="L208" i="3"/>
  <c r="K208" i="3"/>
  <c r="H208" i="3"/>
  <c r="I208" i="3" s="1"/>
  <c r="C208" i="3"/>
  <c r="Q207" i="3"/>
  <c r="L207" i="3"/>
  <c r="K207" i="3"/>
  <c r="I207" i="3"/>
  <c r="H207" i="3"/>
  <c r="F207" i="3"/>
  <c r="C207" i="3"/>
  <c r="N207" i="3" s="1"/>
  <c r="Q206" i="3"/>
  <c r="L206" i="3"/>
  <c r="K206" i="3"/>
  <c r="H206" i="3"/>
  <c r="I206" i="3" s="1"/>
  <c r="F206" i="3"/>
  <c r="C206" i="3"/>
  <c r="Q205" i="3"/>
  <c r="L205" i="3"/>
  <c r="K205" i="3"/>
  <c r="H205" i="3"/>
  <c r="I205" i="3" s="1"/>
  <c r="C205" i="3"/>
  <c r="Q204" i="3"/>
  <c r="M204" i="3"/>
  <c r="P204" i="3" s="1"/>
  <c r="L204" i="3"/>
  <c r="K204" i="3"/>
  <c r="I204" i="3"/>
  <c r="H204" i="3"/>
  <c r="F204" i="3"/>
  <c r="C204" i="3"/>
  <c r="N204" i="3" s="1"/>
  <c r="O204" i="3" s="1"/>
  <c r="Q203" i="3"/>
  <c r="N203" i="3"/>
  <c r="M203" i="3"/>
  <c r="P203" i="3" s="1"/>
  <c r="L203" i="3"/>
  <c r="K203" i="3"/>
  <c r="I203" i="3"/>
  <c r="H203" i="3"/>
  <c r="C203" i="3"/>
  <c r="Q202" i="3"/>
  <c r="L202" i="3"/>
  <c r="K202" i="3"/>
  <c r="H202" i="3"/>
  <c r="I202" i="3" s="1"/>
  <c r="F202" i="3"/>
  <c r="C202" i="3"/>
  <c r="Q201" i="3"/>
  <c r="L201" i="3"/>
  <c r="I201" i="3"/>
  <c r="H201" i="3"/>
  <c r="C201" i="3"/>
  <c r="Q200" i="3"/>
  <c r="L200" i="3"/>
  <c r="N200" i="3" s="1"/>
  <c r="K200" i="3"/>
  <c r="H200" i="3"/>
  <c r="I200" i="3" s="1"/>
  <c r="F200" i="3"/>
  <c r="C200" i="3"/>
  <c r="Q199" i="3"/>
  <c r="L199" i="3"/>
  <c r="K199" i="3"/>
  <c r="I199" i="3"/>
  <c r="H199" i="3"/>
  <c r="C199" i="3"/>
  <c r="Q198" i="3"/>
  <c r="M198" i="3"/>
  <c r="L198" i="3"/>
  <c r="H198" i="3"/>
  <c r="I198" i="3" s="1"/>
  <c r="C198" i="3"/>
  <c r="Q197" i="3"/>
  <c r="L197" i="3"/>
  <c r="K197" i="3"/>
  <c r="I197" i="3"/>
  <c r="H197" i="3"/>
  <c r="C197" i="3"/>
  <c r="Q196" i="3"/>
  <c r="L196" i="3"/>
  <c r="K196" i="3"/>
  <c r="I196" i="3"/>
  <c r="H196" i="3"/>
  <c r="C196" i="3"/>
  <c r="Q195" i="3"/>
  <c r="L195" i="3"/>
  <c r="K195" i="3"/>
  <c r="I195" i="3"/>
  <c r="H195" i="3"/>
  <c r="F195" i="3"/>
  <c r="M195" i="3" s="1"/>
  <c r="C195" i="3"/>
  <c r="Q194" i="3"/>
  <c r="L194" i="3"/>
  <c r="K194" i="3"/>
  <c r="H194" i="3"/>
  <c r="I194" i="3" s="1"/>
  <c r="C194" i="3"/>
  <c r="Q193" i="3"/>
  <c r="L193" i="3"/>
  <c r="K193" i="3"/>
  <c r="N193" i="3" s="1"/>
  <c r="I193" i="3"/>
  <c r="H193" i="3"/>
  <c r="F193" i="3"/>
  <c r="C193" i="3"/>
  <c r="M193" i="3" s="1"/>
  <c r="P193" i="3" s="1"/>
  <c r="Q192" i="3"/>
  <c r="L192" i="3"/>
  <c r="K192" i="3"/>
  <c r="H192" i="3"/>
  <c r="I192" i="3" s="1"/>
  <c r="C192" i="3"/>
  <c r="Q191" i="3"/>
  <c r="L191" i="3"/>
  <c r="N191" i="3" s="1"/>
  <c r="K191" i="3"/>
  <c r="H191" i="3"/>
  <c r="I191" i="3" s="1"/>
  <c r="F191" i="3"/>
  <c r="C191" i="3"/>
  <c r="Q190" i="3"/>
  <c r="L190" i="3"/>
  <c r="K190" i="3"/>
  <c r="I190" i="3"/>
  <c r="H190" i="3"/>
  <c r="C190" i="3"/>
  <c r="Q189" i="3"/>
  <c r="L189" i="3"/>
  <c r="I189" i="3"/>
  <c r="H189" i="3"/>
  <c r="C189" i="3"/>
  <c r="Q188" i="3"/>
  <c r="L188" i="3"/>
  <c r="K188" i="3"/>
  <c r="I188" i="3"/>
  <c r="H188" i="3"/>
  <c r="C188" i="3"/>
  <c r="Q187" i="3"/>
  <c r="L187" i="3"/>
  <c r="I187" i="3"/>
  <c r="H187" i="3"/>
  <c r="C187" i="3"/>
  <c r="Q186" i="3"/>
  <c r="L186" i="3"/>
  <c r="K186" i="3"/>
  <c r="H186" i="3"/>
  <c r="I186" i="3" s="1"/>
  <c r="F186" i="3"/>
  <c r="C186" i="3"/>
  <c r="Q185" i="3"/>
  <c r="L185" i="3"/>
  <c r="K185" i="3"/>
  <c r="H185" i="3"/>
  <c r="I185" i="3" s="1"/>
  <c r="F185" i="3"/>
  <c r="C185" i="3"/>
  <c r="Q184" i="3"/>
  <c r="N184" i="3"/>
  <c r="M184" i="3"/>
  <c r="P184" i="3" s="1"/>
  <c r="L184" i="3"/>
  <c r="K184" i="3"/>
  <c r="H184" i="3"/>
  <c r="I184" i="3" s="1"/>
  <c r="C184" i="3"/>
  <c r="Q183" i="3"/>
  <c r="L183" i="3"/>
  <c r="K183" i="3"/>
  <c r="I183" i="3"/>
  <c r="H183" i="3"/>
  <c r="C183" i="3"/>
  <c r="Q182" i="3"/>
  <c r="L182" i="3"/>
  <c r="K182" i="3"/>
  <c r="H182" i="3"/>
  <c r="I182" i="3" s="1"/>
  <c r="C182" i="3"/>
  <c r="Q181" i="3"/>
  <c r="L181" i="3"/>
  <c r="K181" i="3"/>
  <c r="H181" i="3"/>
  <c r="I181" i="3" s="1"/>
  <c r="F181" i="3"/>
  <c r="C181" i="3"/>
  <c r="M181" i="3" s="1"/>
  <c r="P59" i="5" s="1"/>
  <c r="Q180" i="3"/>
  <c r="M180" i="3"/>
  <c r="P180" i="3" s="1"/>
  <c r="L180" i="3"/>
  <c r="K180" i="3"/>
  <c r="I180" i="3"/>
  <c r="H180" i="3"/>
  <c r="F180" i="3"/>
  <c r="C180" i="3"/>
  <c r="N180" i="3" s="1"/>
  <c r="O180" i="3" s="1"/>
  <c r="Q179" i="3"/>
  <c r="P179" i="3"/>
  <c r="N179" i="3"/>
  <c r="O179" i="3" s="1"/>
  <c r="M179" i="3"/>
  <c r="L179" i="3"/>
  <c r="K179" i="3"/>
  <c r="I179" i="3"/>
  <c r="H179" i="3"/>
  <c r="F179" i="3"/>
  <c r="C179" i="3"/>
  <c r="Q178" i="3"/>
  <c r="L178" i="3"/>
  <c r="H178" i="3"/>
  <c r="I178" i="3" s="1"/>
  <c r="C178" i="3"/>
  <c r="Q177" i="3"/>
  <c r="L177" i="3"/>
  <c r="M177" i="3" s="1"/>
  <c r="P177" i="3" s="1"/>
  <c r="K177" i="3"/>
  <c r="I177" i="3"/>
  <c r="H177" i="3"/>
  <c r="C177" i="3"/>
  <c r="Q176" i="3"/>
  <c r="L176" i="3"/>
  <c r="H176" i="3"/>
  <c r="I176" i="3" s="1"/>
  <c r="C176" i="3"/>
  <c r="Q175" i="3"/>
  <c r="L175" i="3"/>
  <c r="K175" i="3"/>
  <c r="H175" i="3"/>
  <c r="I175" i="3" s="1"/>
  <c r="C175" i="3"/>
  <c r="Q174" i="3"/>
  <c r="L174" i="3"/>
  <c r="K174" i="3"/>
  <c r="H174" i="3"/>
  <c r="I174" i="3" s="1"/>
  <c r="C174" i="3"/>
  <c r="Q173" i="3"/>
  <c r="N173" i="3"/>
  <c r="L173" i="3"/>
  <c r="K173" i="3"/>
  <c r="I173" i="3"/>
  <c r="H173" i="3"/>
  <c r="F173" i="3"/>
  <c r="C173" i="3"/>
  <c r="Q172" i="3"/>
  <c r="L172" i="3"/>
  <c r="K172" i="3"/>
  <c r="I172" i="3"/>
  <c r="H172" i="3"/>
  <c r="F172" i="3"/>
  <c r="C172" i="3"/>
  <c r="N172" i="3" s="1"/>
  <c r="Q171" i="3"/>
  <c r="L171" i="3"/>
  <c r="K171" i="3"/>
  <c r="I171" i="3"/>
  <c r="H171" i="3"/>
  <c r="C171" i="3"/>
  <c r="Q170" i="3"/>
  <c r="L170" i="3"/>
  <c r="H170" i="3"/>
  <c r="I170" i="3" s="1"/>
  <c r="C170" i="3"/>
  <c r="Q169" i="3"/>
  <c r="N169" i="3"/>
  <c r="L169" i="3"/>
  <c r="K169" i="3"/>
  <c r="I169" i="3"/>
  <c r="H169" i="3"/>
  <c r="F169" i="3"/>
  <c r="C169" i="3"/>
  <c r="M169" i="3" s="1"/>
  <c r="P169" i="3" s="1"/>
  <c r="Q168" i="3"/>
  <c r="L168" i="3"/>
  <c r="H168" i="3"/>
  <c r="I168" i="3" s="1"/>
  <c r="C168" i="3"/>
  <c r="Q167" i="3"/>
  <c r="L167" i="3"/>
  <c r="H167" i="3"/>
  <c r="I167" i="3" s="1"/>
  <c r="C167" i="3"/>
  <c r="Q166" i="3"/>
  <c r="L166" i="3"/>
  <c r="K166" i="3"/>
  <c r="I166" i="3"/>
  <c r="H166" i="3"/>
  <c r="C166" i="3"/>
  <c r="Q165" i="3"/>
  <c r="L165" i="3"/>
  <c r="I165" i="3"/>
  <c r="H165" i="3"/>
  <c r="C165" i="3"/>
  <c r="Q164" i="3"/>
  <c r="L164" i="3"/>
  <c r="K164" i="3"/>
  <c r="I164" i="3"/>
  <c r="H164" i="3"/>
  <c r="C164" i="3"/>
  <c r="Q163" i="3"/>
  <c r="N163" i="3"/>
  <c r="O163" i="3" s="1"/>
  <c r="L163" i="3"/>
  <c r="K163" i="3"/>
  <c r="I163" i="3"/>
  <c r="H163" i="3"/>
  <c r="F163" i="3"/>
  <c r="M163" i="3" s="1"/>
  <c r="P163" i="3" s="1"/>
  <c r="C163" i="3"/>
  <c r="Q162" i="3"/>
  <c r="L162" i="3"/>
  <c r="K162" i="3"/>
  <c r="H162" i="3"/>
  <c r="I162" i="3" s="1"/>
  <c r="C162" i="3"/>
  <c r="Q161" i="3"/>
  <c r="L161" i="3"/>
  <c r="K161" i="3"/>
  <c r="H161" i="3"/>
  <c r="I161" i="3" s="1"/>
  <c r="F161" i="3"/>
  <c r="C161" i="3"/>
  <c r="Q160" i="3"/>
  <c r="L160" i="3"/>
  <c r="K160" i="3"/>
  <c r="M160" i="3" s="1"/>
  <c r="P160" i="3" s="1"/>
  <c r="H160" i="3"/>
  <c r="I160" i="3" s="1"/>
  <c r="F160" i="3"/>
  <c r="C160" i="3"/>
  <c r="N160" i="3" s="1"/>
  <c r="Q159" i="3"/>
  <c r="L159" i="3"/>
  <c r="K159" i="3"/>
  <c r="I159" i="3"/>
  <c r="H159" i="3"/>
  <c r="C159" i="3"/>
  <c r="Q158" i="3"/>
  <c r="L158" i="3"/>
  <c r="K158" i="3"/>
  <c r="H158" i="3"/>
  <c r="I158" i="3" s="1"/>
  <c r="C158" i="3"/>
  <c r="Q157" i="3"/>
  <c r="L157" i="3"/>
  <c r="K157" i="3"/>
  <c r="H157" i="3"/>
  <c r="I157" i="3" s="1"/>
  <c r="F157" i="3"/>
  <c r="C157" i="3"/>
  <c r="M157" i="3" s="1"/>
  <c r="P157" i="3" s="1"/>
  <c r="Q156" i="3"/>
  <c r="L156" i="3"/>
  <c r="K156" i="3"/>
  <c r="H156" i="3"/>
  <c r="I156" i="3" s="1"/>
  <c r="C156" i="3"/>
  <c r="Q155" i="3"/>
  <c r="N155" i="3"/>
  <c r="M155" i="3"/>
  <c r="L155" i="3"/>
  <c r="K155" i="3"/>
  <c r="I155" i="3"/>
  <c r="H155" i="3"/>
  <c r="F155" i="3"/>
  <c r="C155" i="3"/>
  <c r="Q154" i="3"/>
  <c r="L154" i="3"/>
  <c r="H154" i="3"/>
  <c r="I154" i="3" s="1"/>
  <c r="F154" i="3"/>
  <c r="C154" i="3"/>
  <c r="Q153" i="3"/>
  <c r="L153" i="3"/>
  <c r="K153" i="3"/>
  <c r="N153" i="3" s="1"/>
  <c r="I153" i="3"/>
  <c r="H153" i="3"/>
  <c r="C153" i="3"/>
  <c r="Q152" i="3"/>
  <c r="L152" i="3"/>
  <c r="K152" i="3"/>
  <c r="H152" i="3"/>
  <c r="I152" i="3" s="1"/>
  <c r="C152" i="3"/>
  <c r="Q151" i="3"/>
  <c r="L151" i="3"/>
  <c r="K151" i="3"/>
  <c r="H151" i="3"/>
  <c r="I151" i="3" s="1"/>
  <c r="C151" i="3"/>
  <c r="Q150" i="3"/>
  <c r="M150" i="3"/>
  <c r="P150" i="3" s="1"/>
  <c r="L150" i="3"/>
  <c r="K150" i="3"/>
  <c r="H150" i="3"/>
  <c r="I150" i="3" s="1"/>
  <c r="C150" i="3"/>
  <c r="Q149" i="3"/>
  <c r="L149" i="3"/>
  <c r="K149" i="3"/>
  <c r="I149" i="3"/>
  <c r="H149" i="3"/>
  <c r="F149" i="3"/>
  <c r="C149" i="3"/>
  <c r="M149" i="3" s="1"/>
  <c r="Q148" i="3"/>
  <c r="L148" i="3"/>
  <c r="K148" i="3"/>
  <c r="I148" i="3"/>
  <c r="H148" i="3"/>
  <c r="C148" i="3"/>
  <c r="Q147" i="3"/>
  <c r="L147" i="3"/>
  <c r="I147" i="3"/>
  <c r="H147" i="3"/>
  <c r="C147" i="3"/>
  <c r="Q146" i="3"/>
  <c r="L146" i="3"/>
  <c r="K146" i="3"/>
  <c r="H146" i="3"/>
  <c r="I146" i="3" s="1"/>
  <c r="F146" i="3"/>
  <c r="C146" i="3"/>
  <c r="N146" i="3" s="1"/>
  <c r="Q145" i="3"/>
  <c r="L145" i="3"/>
  <c r="K145" i="3"/>
  <c r="N145" i="3" s="1"/>
  <c r="I145" i="3"/>
  <c r="H145" i="3"/>
  <c r="F145" i="3"/>
  <c r="C145" i="3"/>
  <c r="Q144" i="3"/>
  <c r="L144" i="3"/>
  <c r="K144" i="3"/>
  <c r="H144" i="3"/>
  <c r="I144" i="3" s="1"/>
  <c r="C144" i="3"/>
  <c r="Q143" i="3"/>
  <c r="L143" i="3"/>
  <c r="K143" i="3"/>
  <c r="H143" i="3"/>
  <c r="I143" i="3" s="1"/>
  <c r="C143" i="3"/>
  <c r="Q142" i="3"/>
  <c r="L142" i="3"/>
  <c r="K142" i="3"/>
  <c r="I142" i="3"/>
  <c r="H142" i="3"/>
  <c r="C142" i="3"/>
  <c r="Q141" i="3"/>
  <c r="L141" i="3"/>
  <c r="K141" i="3"/>
  <c r="I141" i="3"/>
  <c r="H141" i="3"/>
  <c r="C141" i="3"/>
  <c r="Q140" i="3"/>
  <c r="L140" i="3"/>
  <c r="K140" i="3"/>
  <c r="I140" i="3"/>
  <c r="H140" i="3"/>
  <c r="C140" i="3"/>
  <c r="Q139" i="3"/>
  <c r="L139" i="3"/>
  <c r="I139" i="3"/>
  <c r="H139" i="3"/>
  <c r="C139" i="3"/>
  <c r="Q138" i="3"/>
  <c r="L138" i="3"/>
  <c r="H138" i="3"/>
  <c r="I138" i="3" s="1"/>
  <c r="C138" i="3"/>
  <c r="C133" i="3"/>
  <c r="C132" i="3"/>
  <c r="C131" i="3"/>
  <c r="H125" i="3"/>
  <c r="F125" i="3" s="1"/>
  <c r="E133" i="3" s="1"/>
  <c r="H124" i="3"/>
  <c r="F124" i="3" s="1"/>
  <c r="D133" i="3" s="1"/>
  <c r="R122" i="3"/>
  <c r="N122" i="3"/>
  <c r="M122" i="3"/>
  <c r="P122" i="3" s="1"/>
  <c r="L122" i="3"/>
  <c r="I122" i="3"/>
  <c r="R121" i="3"/>
  <c r="N121" i="3"/>
  <c r="O121" i="3" s="1"/>
  <c r="L121" i="3"/>
  <c r="I121" i="3"/>
  <c r="F216" i="3" s="1"/>
  <c r="C121" i="3"/>
  <c r="M121" i="3" s="1"/>
  <c r="P121" i="3" s="1"/>
  <c r="R120" i="3"/>
  <c r="P120" i="3"/>
  <c r="N120" i="3"/>
  <c r="O120" i="3" s="1"/>
  <c r="L120" i="3"/>
  <c r="M120" i="3" s="1"/>
  <c r="I120" i="3"/>
  <c r="F215" i="3" s="1"/>
  <c r="C120" i="3"/>
  <c r="R119" i="3"/>
  <c r="L119" i="3"/>
  <c r="I119" i="3"/>
  <c r="R118" i="3"/>
  <c r="L118" i="3"/>
  <c r="I118" i="3"/>
  <c r="C118" i="3"/>
  <c r="N118" i="3" s="1"/>
  <c r="R117" i="3"/>
  <c r="M117" i="3"/>
  <c r="P117" i="3" s="1"/>
  <c r="L117" i="3"/>
  <c r="I117" i="3"/>
  <c r="C117" i="3"/>
  <c r="N117" i="3" s="1"/>
  <c r="R116" i="3"/>
  <c r="L116" i="3"/>
  <c r="K116" i="3"/>
  <c r="K198" i="3" s="1"/>
  <c r="I116" i="3"/>
  <c r="F198" i="3" s="1"/>
  <c r="C116" i="3"/>
  <c r="N116" i="3" s="1"/>
  <c r="R115" i="3"/>
  <c r="P115" i="3"/>
  <c r="N115" i="3"/>
  <c r="O115" i="3" s="1"/>
  <c r="L115" i="3"/>
  <c r="I115" i="3"/>
  <c r="C115" i="3"/>
  <c r="M115" i="3" s="1"/>
  <c r="R114" i="3"/>
  <c r="N114" i="3"/>
  <c r="O114" i="3" s="1"/>
  <c r="L114" i="3"/>
  <c r="M114" i="3" s="1"/>
  <c r="P114" i="3" s="1"/>
  <c r="I114" i="3"/>
  <c r="F194" i="3" s="1"/>
  <c r="C114" i="3"/>
  <c r="R113" i="3"/>
  <c r="L113" i="3"/>
  <c r="M113" i="3" s="1"/>
  <c r="P113" i="3" s="1"/>
  <c r="I113" i="3"/>
  <c r="F188" i="3" s="1"/>
  <c r="M188" i="3" s="1"/>
  <c r="P188" i="3" s="1"/>
  <c r="C113" i="3"/>
  <c r="R112" i="3"/>
  <c r="N112" i="3"/>
  <c r="O112" i="3" s="1"/>
  <c r="L112" i="3"/>
  <c r="I112" i="3"/>
  <c r="F184" i="3" s="1"/>
  <c r="C112" i="3"/>
  <c r="M112" i="3" s="1"/>
  <c r="P112" i="3" s="1"/>
  <c r="R111" i="3"/>
  <c r="P111" i="3"/>
  <c r="N111" i="3"/>
  <c r="O111" i="3" s="1"/>
  <c r="L111" i="3"/>
  <c r="M111" i="3" s="1"/>
  <c r="I111" i="3"/>
  <c r="F182" i="3" s="1"/>
  <c r="C111" i="3"/>
  <c r="R110" i="3"/>
  <c r="L110" i="3"/>
  <c r="M110" i="3" s="1"/>
  <c r="P110" i="3" s="1"/>
  <c r="I110" i="3"/>
  <c r="C110" i="3"/>
  <c r="R109" i="3"/>
  <c r="L109" i="3"/>
  <c r="K109" i="3"/>
  <c r="K178" i="3" s="1"/>
  <c r="I109" i="3"/>
  <c r="F178" i="3" s="1"/>
  <c r="C109" i="3"/>
  <c r="R108" i="3"/>
  <c r="L108" i="3"/>
  <c r="N108" i="3" s="1"/>
  <c r="I108" i="3"/>
  <c r="R107" i="3"/>
  <c r="L107" i="3"/>
  <c r="M107" i="3" s="1"/>
  <c r="P107" i="3" s="1"/>
  <c r="I107" i="3"/>
  <c r="F177" i="3" s="1"/>
  <c r="C107" i="3"/>
  <c r="N107" i="3" s="1"/>
  <c r="O107" i="3" s="1"/>
  <c r="R106" i="3"/>
  <c r="P106" i="3"/>
  <c r="N106" i="3"/>
  <c r="O106" i="3" s="1"/>
  <c r="L106" i="3"/>
  <c r="K106" i="3"/>
  <c r="K176" i="3" s="1"/>
  <c r="I106" i="3"/>
  <c r="F176" i="3" s="1"/>
  <c r="C106" i="3"/>
  <c r="M106" i="3" s="1"/>
  <c r="P51" i="8" s="1"/>
  <c r="R105" i="3"/>
  <c r="M105" i="3"/>
  <c r="L105" i="3"/>
  <c r="N105" i="3" s="1"/>
  <c r="K105" i="3"/>
  <c r="I105" i="3"/>
  <c r="F175" i="3" s="1"/>
  <c r="C105" i="3"/>
  <c r="R104" i="3"/>
  <c r="N104" i="3"/>
  <c r="O104" i="3" s="1"/>
  <c r="L104" i="3"/>
  <c r="I104" i="3"/>
  <c r="C104" i="3"/>
  <c r="M104" i="3" s="1"/>
  <c r="P104" i="3" s="1"/>
  <c r="R103" i="3"/>
  <c r="L103" i="3"/>
  <c r="I103" i="3"/>
  <c r="F166" i="3" s="1"/>
  <c r="M166" i="3" s="1"/>
  <c r="P166" i="3" s="1"/>
  <c r="C103" i="3"/>
  <c r="N103" i="3" s="1"/>
  <c r="R102" i="3"/>
  <c r="P102" i="3"/>
  <c r="N102" i="3"/>
  <c r="O102" i="3" s="1"/>
  <c r="M102" i="3"/>
  <c r="L102" i="3"/>
  <c r="I102" i="3"/>
  <c r="R101" i="3"/>
  <c r="L101" i="3"/>
  <c r="K101" i="3"/>
  <c r="I101" i="3"/>
  <c r="C101" i="3"/>
  <c r="N101" i="3" s="1"/>
  <c r="R100" i="3"/>
  <c r="M100" i="3"/>
  <c r="L100" i="3"/>
  <c r="N100" i="3" s="1"/>
  <c r="K100" i="3"/>
  <c r="I100" i="3"/>
  <c r="R99" i="3"/>
  <c r="N99" i="3"/>
  <c r="M99" i="3"/>
  <c r="P99" i="3" s="1"/>
  <c r="L99" i="3"/>
  <c r="I99" i="3"/>
  <c r="F164" i="3" s="1"/>
  <c r="M164" i="3" s="1"/>
  <c r="P164" i="3" s="1"/>
  <c r="C99" i="3"/>
  <c r="R98" i="3"/>
  <c r="L98" i="3"/>
  <c r="I98" i="3"/>
  <c r="C98" i="3"/>
  <c r="M98" i="3" s="1"/>
  <c r="P98" i="3" s="1"/>
  <c r="R97" i="3"/>
  <c r="M97" i="3"/>
  <c r="L97" i="3"/>
  <c r="K97" i="3"/>
  <c r="I97" i="3"/>
  <c r="F162" i="3" s="1"/>
  <c r="C97" i="3"/>
  <c r="N97" i="3" s="1"/>
  <c r="O97" i="3" s="1"/>
  <c r="R96" i="3"/>
  <c r="P96" i="3"/>
  <c r="O96" i="3"/>
  <c r="N96" i="3"/>
  <c r="M96" i="3"/>
  <c r="L96" i="3"/>
  <c r="I96" i="3"/>
  <c r="C96" i="3"/>
  <c r="R95" i="3"/>
  <c r="L95" i="3"/>
  <c r="N95" i="3" s="1"/>
  <c r="I95" i="3"/>
  <c r="F158" i="3" s="1"/>
  <c r="C95" i="3"/>
  <c r="R94" i="3"/>
  <c r="N94" i="3"/>
  <c r="M94" i="3"/>
  <c r="P94" i="3" s="1"/>
  <c r="L94" i="3"/>
  <c r="I94" i="3"/>
  <c r="C94" i="3"/>
  <c r="R93" i="3"/>
  <c r="P93" i="3"/>
  <c r="N93" i="3"/>
  <c r="O93" i="3" s="1"/>
  <c r="M93" i="3"/>
  <c r="L93" i="3"/>
  <c r="I93" i="3"/>
  <c r="C93" i="3"/>
  <c r="R92" i="3"/>
  <c r="L92" i="3"/>
  <c r="I92" i="3"/>
  <c r="F153" i="3" s="1"/>
  <c r="C92" i="3"/>
  <c r="R91" i="3"/>
  <c r="N91" i="3"/>
  <c r="M91" i="3"/>
  <c r="L91" i="3"/>
  <c r="K91" i="3"/>
  <c r="I91" i="3"/>
  <c r="R90" i="3"/>
  <c r="N90" i="3"/>
  <c r="O90" i="3" s="1"/>
  <c r="M90" i="3"/>
  <c r="L90" i="3"/>
  <c r="K90" i="3"/>
  <c r="I90" i="3"/>
  <c r="C90" i="3"/>
  <c r="R89" i="3"/>
  <c r="L89" i="3"/>
  <c r="M89" i="3" s="1"/>
  <c r="P89" i="3" s="1"/>
  <c r="I89" i="3"/>
  <c r="C89" i="3"/>
  <c r="R88" i="3"/>
  <c r="L88" i="3"/>
  <c r="I88" i="3"/>
  <c r="F141" i="3" s="1"/>
  <c r="C88" i="3"/>
  <c r="N88" i="3" s="1"/>
  <c r="R87" i="3"/>
  <c r="L87" i="3"/>
  <c r="K87" i="3"/>
  <c r="I87" i="3"/>
  <c r="F140" i="3" s="1"/>
  <c r="M140" i="3" s="1"/>
  <c r="C87" i="3"/>
  <c r="M87" i="3" s="1"/>
  <c r="R86" i="3"/>
  <c r="L86" i="3"/>
  <c r="K86" i="3"/>
  <c r="N86" i="3" s="1"/>
  <c r="I86" i="3"/>
  <c r="C86" i="3"/>
  <c r="R85" i="3"/>
  <c r="L85" i="3"/>
  <c r="K85" i="3"/>
  <c r="I85" i="3"/>
  <c r="C85" i="3"/>
  <c r="M85" i="3" s="1"/>
  <c r="H79" i="3"/>
  <c r="F79" i="3" s="1"/>
  <c r="E132" i="3" s="1"/>
  <c r="H78" i="3"/>
  <c r="F78" i="3"/>
  <c r="D132" i="3" s="1"/>
  <c r="R76" i="3"/>
  <c r="L76" i="3"/>
  <c r="I76" i="3"/>
  <c r="F217" i="3" s="1"/>
  <c r="C76" i="3"/>
  <c r="R75" i="3"/>
  <c r="L75" i="3"/>
  <c r="N75" i="3" s="1"/>
  <c r="I75" i="3"/>
  <c r="F214" i="3" s="1"/>
  <c r="C75" i="3"/>
  <c r="R74" i="3"/>
  <c r="M74" i="3"/>
  <c r="P74" i="3" s="1"/>
  <c r="L74" i="3"/>
  <c r="I74" i="3"/>
  <c r="F213" i="3" s="1"/>
  <c r="C74" i="3"/>
  <c r="N74" i="3" s="1"/>
  <c r="R73" i="3"/>
  <c r="L73" i="3"/>
  <c r="I73" i="3"/>
  <c r="F212" i="3" s="1"/>
  <c r="M212" i="3" s="1"/>
  <c r="P212" i="3" s="1"/>
  <c r="C73" i="3"/>
  <c r="R72" i="3"/>
  <c r="L72" i="3"/>
  <c r="N72" i="3" s="1"/>
  <c r="I72" i="3"/>
  <c r="C72" i="3"/>
  <c r="R71" i="3"/>
  <c r="L71" i="3"/>
  <c r="I71" i="3"/>
  <c r="F209" i="3" s="1"/>
  <c r="C71" i="3"/>
  <c r="N71" i="3" s="1"/>
  <c r="R70" i="3"/>
  <c r="L70" i="3"/>
  <c r="I70" i="3"/>
  <c r="F208" i="3" s="1"/>
  <c r="C70" i="3"/>
  <c r="R69" i="3"/>
  <c r="L69" i="3"/>
  <c r="N69" i="3" s="1"/>
  <c r="I69" i="3"/>
  <c r="C69" i="3"/>
  <c r="R68" i="3"/>
  <c r="L68" i="3"/>
  <c r="I68" i="3"/>
  <c r="F203" i="3" s="1"/>
  <c r="C68" i="3"/>
  <c r="N68" i="3" s="1"/>
  <c r="R67" i="3"/>
  <c r="L67" i="3"/>
  <c r="K67" i="3"/>
  <c r="K201" i="3" s="1"/>
  <c r="I67" i="3"/>
  <c r="F201" i="3" s="1"/>
  <c r="C67" i="3"/>
  <c r="R66" i="3"/>
  <c r="P66" i="3"/>
  <c r="O66" i="3"/>
  <c r="N66" i="3"/>
  <c r="M66" i="3"/>
  <c r="L66" i="3"/>
  <c r="I66" i="3"/>
  <c r="F199" i="3" s="1"/>
  <c r="C66" i="3"/>
  <c r="R65" i="3"/>
  <c r="N65" i="3"/>
  <c r="O65" i="3" s="1"/>
  <c r="L65" i="3"/>
  <c r="I65" i="3"/>
  <c r="F197" i="3" s="1"/>
  <c r="C65" i="3"/>
  <c r="M65" i="3" s="1"/>
  <c r="P65" i="3" s="1"/>
  <c r="R64" i="3"/>
  <c r="L64" i="3"/>
  <c r="I64" i="3"/>
  <c r="F196" i="3" s="1"/>
  <c r="C64" i="3"/>
  <c r="R63" i="3"/>
  <c r="N63" i="3"/>
  <c r="O63" i="3" s="1"/>
  <c r="M63" i="3"/>
  <c r="P63" i="3" s="1"/>
  <c r="L63" i="3"/>
  <c r="I63" i="3"/>
  <c r="C63" i="3"/>
  <c r="R62" i="3"/>
  <c r="L62" i="3"/>
  <c r="I62" i="3"/>
  <c r="F192" i="3" s="1"/>
  <c r="C62" i="3"/>
  <c r="N62" i="3" s="1"/>
  <c r="R61" i="3"/>
  <c r="P61" i="3"/>
  <c r="M61" i="3"/>
  <c r="L61" i="3"/>
  <c r="I61" i="3"/>
  <c r="C61" i="3"/>
  <c r="R60" i="3"/>
  <c r="N60" i="3"/>
  <c r="O60" i="3" s="1"/>
  <c r="M60" i="3"/>
  <c r="P60" i="3" s="1"/>
  <c r="L60" i="3"/>
  <c r="I60" i="3"/>
  <c r="F190" i="3" s="1"/>
  <c r="M190" i="3" s="1"/>
  <c r="P190" i="3" s="1"/>
  <c r="C60" i="3"/>
  <c r="R59" i="3"/>
  <c r="N59" i="3"/>
  <c r="L59" i="3"/>
  <c r="K59" i="3"/>
  <c r="K189" i="3" s="1"/>
  <c r="I59" i="3"/>
  <c r="C59" i="3"/>
  <c r="R58" i="3"/>
  <c r="L58" i="3"/>
  <c r="N58" i="3" s="1"/>
  <c r="K58" i="3"/>
  <c r="K187" i="3" s="1"/>
  <c r="I58" i="3"/>
  <c r="C58" i="3"/>
  <c r="R57" i="3"/>
  <c r="P57" i="3"/>
  <c r="O57" i="3"/>
  <c r="N57" i="3"/>
  <c r="L57" i="3"/>
  <c r="I57" i="3"/>
  <c r="C57" i="3"/>
  <c r="M57" i="3" s="1"/>
  <c r="R56" i="3"/>
  <c r="L56" i="3"/>
  <c r="M56" i="3" s="1"/>
  <c r="P56" i="3" s="1"/>
  <c r="I56" i="3"/>
  <c r="C56" i="3"/>
  <c r="R55" i="3"/>
  <c r="L55" i="3"/>
  <c r="I55" i="3"/>
  <c r="F183" i="3" s="1"/>
  <c r="C55" i="3"/>
  <c r="N55" i="3" s="1"/>
  <c r="R54" i="3"/>
  <c r="P54" i="3"/>
  <c r="O54" i="3"/>
  <c r="N54" i="3"/>
  <c r="M54" i="3"/>
  <c r="L54" i="3"/>
  <c r="I54" i="3"/>
  <c r="R53" i="3"/>
  <c r="L53" i="3"/>
  <c r="M53" i="3" s="1"/>
  <c r="P53" i="3" s="1"/>
  <c r="I53" i="3"/>
  <c r="F171" i="3" s="1"/>
  <c r="M171" i="3" s="1"/>
  <c r="P171" i="3" s="1"/>
  <c r="C53" i="3"/>
  <c r="R52" i="3"/>
  <c r="L52" i="3"/>
  <c r="N52" i="3" s="1"/>
  <c r="K52" i="3"/>
  <c r="K167" i="3" s="1"/>
  <c r="I52" i="3"/>
  <c r="C52" i="3"/>
  <c r="M52" i="3" s="1"/>
  <c r="R51" i="3"/>
  <c r="O51" i="3"/>
  <c r="N51" i="3"/>
  <c r="M51" i="3"/>
  <c r="L51" i="3"/>
  <c r="K51" i="3"/>
  <c r="I51" i="3"/>
  <c r="R50" i="3"/>
  <c r="L50" i="3"/>
  <c r="I50" i="3"/>
  <c r="C50" i="3"/>
  <c r="N50" i="3" s="1"/>
  <c r="R49" i="3"/>
  <c r="N49" i="3"/>
  <c r="L49" i="3"/>
  <c r="K49" i="3"/>
  <c r="K154" i="3" s="1"/>
  <c r="I49" i="3"/>
  <c r="C49" i="3"/>
  <c r="R48" i="3"/>
  <c r="L48" i="3"/>
  <c r="K48" i="3"/>
  <c r="I48" i="3"/>
  <c r="F151" i="3" s="1"/>
  <c r="C48" i="3"/>
  <c r="R47" i="3"/>
  <c r="N47" i="3"/>
  <c r="O47" i="3" s="1"/>
  <c r="L47" i="3"/>
  <c r="K47" i="3"/>
  <c r="I47" i="3"/>
  <c r="C47" i="3"/>
  <c r="M47" i="3" s="1"/>
  <c r="R46" i="3"/>
  <c r="M46" i="3"/>
  <c r="P46" i="3" s="1"/>
  <c r="L46" i="3"/>
  <c r="I46" i="3"/>
  <c r="F148" i="3" s="1"/>
  <c r="C46" i="3"/>
  <c r="N46" i="3" s="1"/>
  <c r="O46" i="3" s="1"/>
  <c r="R45" i="3"/>
  <c r="L45" i="3"/>
  <c r="K45" i="3"/>
  <c r="K147" i="3" s="1"/>
  <c r="I45" i="3"/>
  <c r="F147" i="3" s="1"/>
  <c r="C45" i="3"/>
  <c r="R44" i="3"/>
  <c r="P44" i="3"/>
  <c r="N44" i="3"/>
  <c r="O44" i="3" s="1"/>
  <c r="L44" i="3"/>
  <c r="I44" i="3"/>
  <c r="C44" i="3"/>
  <c r="M44" i="3" s="1"/>
  <c r="R43" i="3"/>
  <c r="N43" i="3"/>
  <c r="L43" i="3"/>
  <c r="M43" i="3" s="1"/>
  <c r="P43" i="3" s="1"/>
  <c r="I43" i="3"/>
  <c r="R42" i="3"/>
  <c r="L42" i="3"/>
  <c r="I42" i="3"/>
  <c r="F143" i="3" s="1"/>
  <c r="C42" i="3"/>
  <c r="R41" i="3"/>
  <c r="L41" i="3"/>
  <c r="I41" i="3"/>
  <c r="F142" i="3" s="1"/>
  <c r="C41" i="3"/>
  <c r="N41" i="3" s="1"/>
  <c r="R40" i="3"/>
  <c r="L40" i="3"/>
  <c r="N40" i="3" s="1"/>
  <c r="K40" i="3"/>
  <c r="I40" i="3"/>
  <c r="C40" i="3"/>
  <c r="R39" i="3"/>
  <c r="L39" i="3"/>
  <c r="K39" i="3"/>
  <c r="F80" i="3" s="1"/>
  <c r="F132" i="3" s="1"/>
  <c r="I39" i="3"/>
  <c r="F138" i="3" s="1"/>
  <c r="C39" i="3"/>
  <c r="H33" i="3"/>
  <c r="F33" i="3" s="1"/>
  <c r="E131" i="3" s="1"/>
  <c r="H32" i="3"/>
  <c r="F32" i="3"/>
  <c r="R30" i="3"/>
  <c r="P30" i="3"/>
  <c r="O30" i="3"/>
  <c r="N30" i="3"/>
  <c r="M30" i="3"/>
  <c r="P17" i="11" s="1"/>
  <c r="L30" i="3"/>
  <c r="K30" i="3"/>
  <c r="I30" i="3"/>
  <c r="C30" i="3"/>
  <c r="R29" i="3"/>
  <c r="L29" i="3"/>
  <c r="I29" i="3"/>
  <c r="C29" i="3"/>
  <c r="N29" i="3" s="1"/>
  <c r="R28" i="3"/>
  <c r="L28" i="3"/>
  <c r="I28" i="3"/>
  <c r="F205" i="3" s="1"/>
  <c r="C28" i="3"/>
  <c r="N28" i="3" s="1"/>
  <c r="R27" i="3"/>
  <c r="P27" i="3"/>
  <c r="O27" i="3"/>
  <c r="N27" i="3"/>
  <c r="L27" i="3"/>
  <c r="I27" i="3"/>
  <c r="C27" i="3"/>
  <c r="M27" i="3" s="1"/>
  <c r="R26" i="3"/>
  <c r="L26" i="3"/>
  <c r="I26" i="3"/>
  <c r="C26" i="3"/>
  <c r="N26" i="3" s="1"/>
  <c r="R25" i="3"/>
  <c r="L25" i="3"/>
  <c r="M25" i="3" s="1"/>
  <c r="P25" i="3" s="1"/>
  <c r="I25" i="3"/>
  <c r="C25" i="3"/>
  <c r="R24" i="3"/>
  <c r="P24" i="3"/>
  <c r="O24" i="3"/>
  <c r="N24" i="3"/>
  <c r="L24" i="3"/>
  <c r="I24" i="3"/>
  <c r="C24" i="3"/>
  <c r="M24" i="3" s="1"/>
  <c r="R23" i="3"/>
  <c r="L23" i="3"/>
  <c r="I23" i="3"/>
  <c r="C23" i="3"/>
  <c r="N23" i="3" s="1"/>
  <c r="R22" i="3"/>
  <c r="M22" i="3"/>
  <c r="P22" i="3" s="1"/>
  <c r="L22" i="3"/>
  <c r="I22" i="3"/>
  <c r="C22" i="3"/>
  <c r="N22" i="3" s="1"/>
  <c r="O22" i="3" s="1"/>
  <c r="R21" i="3"/>
  <c r="N21" i="3"/>
  <c r="L21" i="3"/>
  <c r="I21" i="3"/>
  <c r="C21" i="3"/>
  <c r="M21" i="3" s="1"/>
  <c r="P21" i="3" s="1"/>
  <c r="R20" i="3"/>
  <c r="L20" i="3"/>
  <c r="I20" i="3"/>
  <c r="C20" i="3"/>
  <c r="N20" i="3" s="1"/>
  <c r="R19" i="3"/>
  <c r="N19" i="3"/>
  <c r="O19" i="3" s="1"/>
  <c r="M19" i="3"/>
  <c r="P19" i="3" s="1"/>
  <c r="L19" i="3"/>
  <c r="I19" i="3"/>
  <c r="F174" i="3" s="1"/>
  <c r="M174" i="3" s="1"/>
  <c r="P174" i="3" s="1"/>
  <c r="C19" i="3"/>
  <c r="R18" i="3"/>
  <c r="N18" i="3"/>
  <c r="L18" i="3"/>
  <c r="I18" i="3"/>
  <c r="C18" i="3"/>
  <c r="M18" i="3" s="1"/>
  <c r="P18" i="3" s="1"/>
  <c r="R17" i="3"/>
  <c r="L17" i="3"/>
  <c r="N17" i="3" s="1"/>
  <c r="I17" i="3"/>
  <c r="C17" i="3"/>
  <c r="M17" i="3" s="1"/>
  <c r="P17" i="3" s="1"/>
  <c r="R16" i="3"/>
  <c r="L16" i="3"/>
  <c r="K16" i="3"/>
  <c r="K170" i="3" s="1"/>
  <c r="I16" i="3"/>
  <c r="C16" i="3"/>
  <c r="N16" i="3" s="1"/>
  <c r="R15" i="3"/>
  <c r="L15" i="3"/>
  <c r="K15" i="3"/>
  <c r="K168" i="3" s="1"/>
  <c r="N168" i="3" s="1"/>
  <c r="I15" i="3"/>
  <c r="F168" i="3" s="1"/>
  <c r="C15" i="3"/>
  <c r="R14" i="3"/>
  <c r="N14" i="3"/>
  <c r="L14" i="3"/>
  <c r="K14" i="3"/>
  <c r="K165" i="3" s="1"/>
  <c r="I14" i="3"/>
  <c r="F165" i="3" s="1"/>
  <c r="C14" i="3"/>
  <c r="R13" i="3"/>
  <c r="L13" i="3"/>
  <c r="I13" i="3"/>
  <c r="F159" i="3" s="1"/>
  <c r="C13" i="3"/>
  <c r="N13" i="3" s="1"/>
  <c r="R12" i="3"/>
  <c r="L12" i="3"/>
  <c r="I12" i="3"/>
  <c r="F156" i="3" s="1"/>
  <c r="M156" i="3" s="1"/>
  <c r="P156" i="3" s="1"/>
  <c r="C12" i="3"/>
  <c r="R11" i="3"/>
  <c r="L11" i="3"/>
  <c r="I11" i="3"/>
  <c r="F152" i="3" s="1"/>
  <c r="C11" i="3"/>
  <c r="N11" i="3" s="1"/>
  <c r="R10" i="3"/>
  <c r="L10" i="3"/>
  <c r="I10" i="3"/>
  <c r="F150" i="3" s="1"/>
  <c r="C10" i="3"/>
  <c r="N10" i="3" s="1"/>
  <c r="R9" i="3"/>
  <c r="L9" i="3"/>
  <c r="I9" i="3"/>
  <c r="F144" i="3" s="1"/>
  <c r="N144" i="3" s="1"/>
  <c r="C9" i="3"/>
  <c r="R8" i="3"/>
  <c r="O8" i="3"/>
  <c r="M8" i="3"/>
  <c r="P8" i="3" s="1"/>
  <c r="L8" i="3"/>
  <c r="N8" i="3" s="1"/>
  <c r="I8" i="3"/>
  <c r="R7" i="3"/>
  <c r="L7" i="3"/>
  <c r="N7" i="3" s="1"/>
  <c r="K7" i="3"/>
  <c r="K139" i="3" s="1"/>
  <c r="I7" i="3"/>
  <c r="F139" i="3" s="1"/>
  <c r="C7" i="3"/>
  <c r="R6" i="3"/>
  <c r="L6" i="3"/>
  <c r="K6" i="3"/>
  <c r="I6" i="3"/>
  <c r="C6" i="3"/>
  <c r="H5401" i="2"/>
  <c r="H5400" i="2"/>
  <c r="H5399" i="2"/>
  <c r="H5398" i="2"/>
  <c r="H5397" i="2"/>
  <c r="H5396" i="2"/>
  <c r="H5395" i="2"/>
  <c r="H5394" i="2"/>
  <c r="H5393" i="2"/>
  <c r="H5392" i="2"/>
  <c r="H5391" i="2"/>
  <c r="H5390" i="2"/>
  <c r="H5389" i="2"/>
  <c r="H5388" i="2"/>
  <c r="H5387" i="2"/>
  <c r="H5386" i="2"/>
  <c r="H5385" i="2"/>
  <c r="H5384" i="2"/>
  <c r="H5383" i="2"/>
  <c r="H5382" i="2"/>
  <c r="H5381" i="2"/>
  <c r="H5380" i="2"/>
  <c r="H5379" i="2"/>
  <c r="H5378" i="2"/>
  <c r="H5377" i="2"/>
  <c r="H5376" i="2"/>
  <c r="H5375" i="2"/>
  <c r="H5374" i="2"/>
  <c r="H5373" i="2"/>
  <c r="H5372" i="2"/>
  <c r="H5371" i="2"/>
  <c r="H5370" i="2"/>
  <c r="H5369" i="2"/>
  <c r="H5368" i="2"/>
  <c r="H5367" i="2"/>
  <c r="H5366" i="2"/>
  <c r="H5365" i="2"/>
  <c r="H5364" i="2"/>
  <c r="H5363" i="2"/>
  <c r="H5362" i="2"/>
  <c r="H5361" i="2"/>
  <c r="H5360" i="2"/>
  <c r="H5359" i="2"/>
  <c r="H5358" i="2"/>
  <c r="H5357" i="2"/>
  <c r="H5356" i="2"/>
  <c r="H5355" i="2"/>
  <c r="H5354" i="2"/>
  <c r="H5353" i="2"/>
  <c r="H5352" i="2"/>
  <c r="H5351" i="2"/>
  <c r="H5350" i="2"/>
  <c r="H5349" i="2"/>
  <c r="H5348" i="2"/>
  <c r="H5347" i="2"/>
  <c r="H5346" i="2"/>
  <c r="H5345" i="2"/>
  <c r="H5344" i="2"/>
  <c r="H5343" i="2"/>
  <c r="H5342" i="2"/>
  <c r="H5341" i="2"/>
  <c r="H5340" i="2"/>
  <c r="H5339" i="2"/>
  <c r="H5338" i="2"/>
  <c r="H5337" i="2"/>
  <c r="H5336" i="2"/>
  <c r="H5335" i="2"/>
  <c r="H5334" i="2"/>
  <c r="H5333" i="2"/>
  <c r="H5332" i="2"/>
  <c r="H5331" i="2"/>
  <c r="H5330" i="2"/>
  <c r="H5329" i="2"/>
  <c r="H5328" i="2"/>
  <c r="H5327" i="2"/>
  <c r="H5326" i="2"/>
  <c r="H5325" i="2"/>
  <c r="H5324" i="2"/>
  <c r="H5323" i="2"/>
  <c r="H5322" i="2"/>
  <c r="H5321" i="2"/>
  <c r="H5320" i="2"/>
  <c r="H5319" i="2"/>
  <c r="H5318" i="2"/>
  <c r="H5317" i="2"/>
  <c r="H5316" i="2"/>
  <c r="H5315" i="2"/>
  <c r="H5314" i="2"/>
  <c r="H5313" i="2"/>
  <c r="H5312" i="2"/>
  <c r="H5311" i="2"/>
  <c r="H5310" i="2"/>
  <c r="H5309" i="2"/>
  <c r="H5308" i="2"/>
  <c r="H5307" i="2"/>
  <c r="H5306" i="2"/>
  <c r="H5305" i="2"/>
  <c r="H5304" i="2"/>
  <c r="H5303" i="2"/>
  <c r="H5302" i="2"/>
  <c r="H5301" i="2"/>
  <c r="H5300" i="2"/>
  <c r="H5299" i="2"/>
  <c r="H5298" i="2"/>
  <c r="H5297" i="2"/>
  <c r="H5296" i="2"/>
  <c r="H5295" i="2"/>
  <c r="H5294" i="2"/>
  <c r="H5293" i="2"/>
  <c r="H5292" i="2"/>
  <c r="H5291" i="2"/>
  <c r="H5290" i="2"/>
  <c r="H5289" i="2"/>
  <c r="H5288" i="2"/>
  <c r="H5287" i="2"/>
  <c r="H5286" i="2"/>
  <c r="H5285" i="2"/>
  <c r="H5284" i="2"/>
  <c r="H5283" i="2"/>
  <c r="H5282" i="2"/>
  <c r="H5281" i="2"/>
  <c r="H5280" i="2"/>
  <c r="H5279" i="2"/>
  <c r="H5278" i="2"/>
  <c r="H5277" i="2"/>
  <c r="H5276" i="2"/>
  <c r="H5275" i="2"/>
  <c r="H5274" i="2"/>
  <c r="H5273" i="2"/>
  <c r="H5272" i="2"/>
  <c r="H5271" i="2"/>
  <c r="H5270" i="2"/>
  <c r="H5269" i="2"/>
  <c r="H5268" i="2"/>
  <c r="H5267" i="2"/>
  <c r="H5266" i="2"/>
  <c r="H5265" i="2"/>
  <c r="H5264" i="2"/>
  <c r="H5263" i="2"/>
  <c r="H5262" i="2"/>
  <c r="H5261" i="2"/>
  <c r="H5260" i="2"/>
  <c r="H5259" i="2"/>
  <c r="H5258" i="2"/>
  <c r="H5257" i="2"/>
  <c r="H5256" i="2"/>
  <c r="H5255" i="2"/>
  <c r="H5254" i="2"/>
  <c r="H5253" i="2"/>
  <c r="H5252" i="2"/>
  <c r="H5251" i="2"/>
  <c r="H5250" i="2"/>
  <c r="H5249" i="2"/>
  <c r="H5248" i="2"/>
  <c r="H5247" i="2"/>
  <c r="H5246" i="2"/>
  <c r="H5245" i="2"/>
  <c r="H5244" i="2"/>
  <c r="H5243" i="2"/>
  <c r="H5242" i="2"/>
  <c r="H5241" i="2"/>
  <c r="H5240" i="2"/>
  <c r="H5239" i="2"/>
  <c r="H5238" i="2"/>
  <c r="H5237" i="2"/>
  <c r="H5236" i="2"/>
  <c r="H5235" i="2"/>
  <c r="H5234" i="2"/>
  <c r="H5233" i="2"/>
  <c r="H5232" i="2"/>
  <c r="H5231" i="2"/>
  <c r="H5230" i="2"/>
  <c r="H5229" i="2"/>
  <c r="H5228" i="2"/>
  <c r="H5227" i="2"/>
  <c r="H5226" i="2"/>
  <c r="H5225" i="2"/>
  <c r="H5224" i="2"/>
  <c r="H5223" i="2"/>
  <c r="H5222" i="2"/>
  <c r="H5221" i="2"/>
  <c r="H5220" i="2"/>
  <c r="H5219" i="2"/>
  <c r="H5218" i="2"/>
  <c r="H5217" i="2"/>
  <c r="H5216" i="2"/>
  <c r="H5215" i="2"/>
  <c r="H5214" i="2"/>
  <c r="H5213" i="2"/>
  <c r="H5212" i="2"/>
  <c r="H5211" i="2"/>
  <c r="H5210" i="2"/>
  <c r="H5209" i="2"/>
  <c r="H5208" i="2"/>
  <c r="H5207" i="2"/>
  <c r="H5206" i="2"/>
  <c r="H5205" i="2"/>
  <c r="H5204" i="2"/>
  <c r="H5203" i="2"/>
  <c r="H5202" i="2"/>
  <c r="H5201" i="2"/>
  <c r="H5200" i="2"/>
  <c r="H5199" i="2"/>
  <c r="H5198" i="2"/>
  <c r="H5197" i="2"/>
  <c r="H5196" i="2"/>
  <c r="H5195" i="2"/>
  <c r="H5194" i="2"/>
  <c r="H5193" i="2"/>
  <c r="H5192" i="2"/>
  <c r="H5191" i="2"/>
  <c r="H5190" i="2"/>
  <c r="H5189" i="2"/>
  <c r="H5188" i="2"/>
  <c r="H5187" i="2"/>
  <c r="H5186" i="2"/>
  <c r="H5185" i="2"/>
  <c r="H5184" i="2"/>
  <c r="H5183" i="2"/>
  <c r="H5182" i="2"/>
  <c r="H5181" i="2"/>
  <c r="H5180" i="2"/>
  <c r="H5179" i="2"/>
  <c r="H5178" i="2"/>
  <c r="H5177" i="2"/>
  <c r="H5176" i="2"/>
  <c r="H5175" i="2"/>
  <c r="H5174" i="2"/>
  <c r="H5173" i="2"/>
  <c r="H5172" i="2"/>
  <c r="H5171" i="2"/>
  <c r="H5170" i="2"/>
  <c r="H5169" i="2"/>
  <c r="H5168" i="2"/>
  <c r="H5167" i="2"/>
  <c r="H5166" i="2"/>
  <c r="H5165" i="2"/>
  <c r="H5164" i="2"/>
  <c r="H5163" i="2"/>
  <c r="H5162" i="2"/>
  <c r="H5161" i="2"/>
  <c r="H5160" i="2"/>
  <c r="H5159" i="2"/>
  <c r="H5158" i="2"/>
  <c r="H5157" i="2"/>
  <c r="H5156" i="2"/>
  <c r="H5155" i="2"/>
  <c r="H5154" i="2"/>
  <c r="H5153" i="2"/>
  <c r="H5152" i="2"/>
  <c r="H5151" i="2"/>
  <c r="H5150" i="2"/>
  <c r="H5149" i="2"/>
  <c r="H5148" i="2"/>
  <c r="H5147" i="2"/>
  <c r="H5146" i="2"/>
  <c r="H5145" i="2"/>
  <c r="H5144" i="2"/>
  <c r="H5143" i="2"/>
  <c r="H5142" i="2"/>
  <c r="H5141" i="2"/>
  <c r="H5140" i="2"/>
  <c r="H5139" i="2"/>
  <c r="H5138" i="2"/>
  <c r="H5137" i="2"/>
  <c r="H5136" i="2"/>
  <c r="H5135" i="2"/>
  <c r="H5134" i="2"/>
  <c r="H5133" i="2"/>
  <c r="H5132" i="2"/>
  <c r="H5131" i="2"/>
  <c r="H5130" i="2"/>
  <c r="H5129" i="2"/>
  <c r="H5128" i="2"/>
  <c r="H5127" i="2"/>
  <c r="H5126" i="2"/>
  <c r="H5125" i="2"/>
  <c r="H5124" i="2"/>
  <c r="H5123" i="2"/>
  <c r="H5122" i="2"/>
  <c r="H5121" i="2"/>
  <c r="H5120" i="2"/>
  <c r="H5119" i="2"/>
  <c r="H5118" i="2"/>
  <c r="H5117" i="2"/>
  <c r="H5116" i="2"/>
  <c r="H5115" i="2"/>
  <c r="H5114" i="2"/>
  <c r="H5113" i="2"/>
  <c r="H5112" i="2"/>
  <c r="H5111" i="2"/>
  <c r="H5110" i="2"/>
  <c r="H5109" i="2"/>
  <c r="H5108" i="2"/>
  <c r="H5107" i="2"/>
  <c r="H5106" i="2"/>
  <c r="H5105" i="2"/>
  <c r="H5104" i="2"/>
  <c r="H5103" i="2"/>
  <c r="H5102" i="2"/>
  <c r="H5101" i="2"/>
  <c r="H5100" i="2"/>
  <c r="H5099" i="2"/>
  <c r="H5098" i="2"/>
  <c r="H5097" i="2"/>
  <c r="H5096" i="2"/>
  <c r="H5095" i="2"/>
  <c r="H5094" i="2"/>
  <c r="H5093" i="2"/>
  <c r="H5092" i="2"/>
  <c r="H5091" i="2"/>
  <c r="H5090" i="2"/>
  <c r="H5089" i="2"/>
  <c r="H5088" i="2"/>
  <c r="H5087" i="2"/>
  <c r="H5086" i="2"/>
  <c r="H5085" i="2"/>
  <c r="H5084" i="2"/>
  <c r="H5083" i="2"/>
  <c r="H5082" i="2"/>
  <c r="H5081" i="2"/>
  <c r="H5080" i="2"/>
  <c r="H5079" i="2"/>
  <c r="H5078" i="2"/>
  <c r="H5077" i="2"/>
  <c r="H5076" i="2"/>
  <c r="H5075" i="2"/>
  <c r="H5074" i="2"/>
  <c r="H5073" i="2"/>
  <c r="H5072" i="2"/>
  <c r="H5071" i="2"/>
  <c r="H5070" i="2"/>
  <c r="H5069" i="2"/>
  <c r="H5068" i="2"/>
  <c r="H5067" i="2"/>
  <c r="H5066" i="2"/>
  <c r="H5065" i="2"/>
  <c r="H5064" i="2"/>
  <c r="H5063" i="2"/>
  <c r="H5062" i="2"/>
  <c r="H5061" i="2"/>
  <c r="H5060" i="2"/>
  <c r="H5059" i="2"/>
  <c r="H5058" i="2"/>
  <c r="H5057" i="2"/>
  <c r="H5056" i="2"/>
  <c r="H5055" i="2"/>
  <c r="H5054" i="2"/>
  <c r="H5053" i="2"/>
  <c r="H5052" i="2"/>
  <c r="H5051" i="2"/>
  <c r="H5050" i="2"/>
  <c r="H5049" i="2"/>
  <c r="H5048" i="2"/>
  <c r="H5047" i="2"/>
  <c r="H5046" i="2"/>
  <c r="H5045" i="2"/>
  <c r="H5044" i="2"/>
  <c r="H5043" i="2"/>
  <c r="H5042" i="2"/>
  <c r="H5041" i="2"/>
  <c r="H5040" i="2"/>
  <c r="H5039" i="2"/>
  <c r="H5038" i="2"/>
  <c r="H5037" i="2"/>
  <c r="H5036" i="2"/>
  <c r="H5035" i="2"/>
  <c r="H5034" i="2"/>
  <c r="H5033" i="2"/>
  <c r="H5032" i="2"/>
  <c r="H5031" i="2"/>
  <c r="H5030" i="2"/>
  <c r="H5029" i="2"/>
  <c r="H5028" i="2"/>
  <c r="H5027" i="2"/>
  <c r="H5026" i="2"/>
  <c r="H5025" i="2"/>
  <c r="H5024" i="2"/>
  <c r="H5023" i="2"/>
  <c r="H5022" i="2"/>
  <c r="H5021" i="2"/>
  <c r="H5020" i="2"/>
  <c r="H5019" i="2"/>
  <c r="H5018" i="2"/>
  <c r="H5017" i="2"/>
  <c r="H5016" i="2"/>
  <c r="H5015" i="2"/>
  <c r="H5014" i="2"/>
  <c r="H5013" i="2"/>
  <c r="H5012" i="2"/>
  <c r="H5011" i="2"/>
  <c r="H5010" i="2"/>
  <c r="H5009" i="2"/>
  <c r="H5008" i="2"/>
  <c r="H5007" i="2"/>
  <c r="H5006" i="2"/>
  <c r="H5005" i="2"/>
  <c r="H5004" i="2"/>
  <c r="H5003" i="2"/>
  <c r="H5002" i="2"/>
  <c r="H5001" i="2"/>
  <c r="H5000" i="2"/>
  <c r="H4999" i="2"/>
  <c r="H4998" i="2"/>
  <c r="H4997" i="2"/>
  <c r="H4996" i="2"/>
  <c r="H4995" i="2"/>
  <c r="H4994" i="2"/>
  <c r="H4993" i="2"/>
  <c r="H4992" i="2"/>
  <c r="H4991" i="2"/>
  <c r="H4990" i="2"/>
  <c r="H4989" i="2"/>
  <c r="H4988" i="2"/>
  <c r="H4987" i="2"/>
  <c r="H4986" i="2"/>
  <c r="H4985" i="2"/>
  <c r="H4984" i="2"/>
  <c r="H4983" i="2"/>
  <c r="H4982" i="2"/>
  <c r="H4981" i="2"/>
  <c r="H4980" i="2"/>
  <c r="H4979" i="2"/>
  <c r="H4978" i="2"/>
  <c r="H4977" i="2"/>
  <c r="H4976" i="2"/>
  <c r="H4975" i="2"/>
  <c r="H4974" i="2"/>
  <c r="H4973" i="2"/>
  <c r="H4972" i="2"/>
  <c r="H4971" i="2"/>
  <c r="H4970" i="2"/>
  <c r="H4969" i="2"/>
  <c r="H4968" i="2"/>
  <c r="H4967" i="2"/>
  <c r="H4966" i="2"/>
  <c r="H4965" i="2"/>
  <c r="H4964" i="2"/>
  <c r="H4963" i="2"/>
  <c r="H4962" i="2"/>
  <c r="H4961" i="2"/>
  <c r="H4960" i="2"/>
  <c r="H4959" i="2"/>
  <c r="H4958" i="2"/>
  <c r="H4957" i="2"/>
  <c r="H4956" i="2"/>
  <c r="H4955" i="2"/>
  <c r="H4954" i="2"/>
  <c r="H4953" i="2"/>
  <c r="H4952" i="2"/>
  <c r="H4951" i="2"/>
  <c r="H4950" i="2"/>
  <c r="H4949" i="2"/>
  <c r="H4948" i="2"/>
  <c r="H4947" i="2"/>
  <c r="H4946" i="2"/>
  <c r="H4945" i="2"/>
  <c r="H4944" i="2"/>
  <c r="H4943" i="2"/>
  <c r="H4942" i="2"/>
  <c r="H4941" i="2"/>
  <c r="H4940" i="2"/>
  <c r="H4939" i="2"/>
  <c r="H4938" i="2"/>
  <c r="H4937" i="2"/>
  <c r="H4936" i="2"/>
  <c r="H4935" i="2"/>
  <c r="H4934" i="2"/>
  <c r="H4933" i="2"/>
  <c r="H4932" i="2"/>
  <c r="H4931" i="2"/>
  <c r="H4930" i="2"/>
  <c r="H4929" i="2"/>
  <c r="H4928" i="2"/>
  <c r="H4927" i="2"/>
  <c r="H4926" i="2"/>
  <c r="H4925" i="2"/>
  <c r="H4924" i="2"/>
  <c r="H4923" i="2"/>
  <c r="H4922" i="2"/>
  <c r="H4921" i="2"/>
  <c r="H4920" i="2"/>
  <c r="H4919" i="2"/>
  <c r="H4918" i="2"/>
  <c r="H4917" i="2"/>
  <c r="H4916" i="2"/>
  <c r="H4915" i="2"/>
  <c r="H4914" i="2"/>
  <c r="H4913" i="2"/>
  <c r="H4912" i="2"/>
  <c r="H4911" i="2"/>
  <c r="H4910" i="2"/>
  <c r="H4909" i="2"/>
  <c r="H4908" i="2"/>
  <c r="H4907" i="2"/>
  <c r="H4906" i="2"/>
  <c r="H4905" i="2"/>
  <c r="H4904" i="2"/>
  <c r="H4903" i="2"/>
  <c r="H4902" i="2"/>
  <c r="H4901" i="2"/>
  <c r="H4900" i="2"/>
  <c r="H4899" i="2"/>
  <c r="H4898" i="2"/>
  <c r="H4897" i="2"/>
  <c r="H4896" i="2"/>
  <c r="H4895" i="2"/>
  <c r="H4894" i="2"/>
  <c r="H4893" i="2"/>
  <c r="H4892" i="2"/>
  <c r="H4891" i="2"/>
  <c r="H4890" i="2"/>
  <c r="H4889" i="2"/>
  <c r="H4888" i="2"/>
  <c r="H4887" i="2"/>
  <c r="H4886" i="2"/>
  <c r="H4885" i="2"/>
  <c r="H4884" i="2"/>
  <c r="H4883" i="2"/>
  <c r="H4882" i="2"/>
  <c r="H4881" i="2"/>
  <c r="H4880" i="2"/>
  <c r="H4879" i="2"/>
  <c r="H4878" i="2"/>
  <c r="H4877" i="2"/>
  <c r="H4876" i="2"/>
  <c r="H4875" i="2"/>
  <c r="H4874" i="2"/>
  <c r="H4873" i="2"/>
  <c r="H4872" i="2"/>
  <c r="H4871" i="2"/>
  <c r="H4870" i="2"/>
  <c r="H4869" i="2"/>
  <c r="H4868" i="2"/>
  <c r="H4867" i="2"/>
  <c r="H4866" i="2"/>
  <c r="H4865" i="2"/>
  <c r="H4864" i="2"/>
  <c r="H4863" i="2"/>
  <c r="H4862" i="2"/>
  <c r="H4861" i="2"/>
  <c r="H4860" i="2"/>
  <c r="H4859" i="2"/>
  <c r="H4858" i="2"/>
  <c r="H4857" i="2"/>
  <c r="H4856" i="2"/>
  <c r="H4855" i="2"/>
  <c r="H4854" i="2"/>
  <c r="H4853" i="2"/>
  <c r="H4852" i="2"/>
  <c r="H4851" i="2"/>
  <c r="H4850" i="2"/>
  <c r="H4849" i="2"/>
  <c r="H4848" i="2"/>
  <c r="H4847" i="2"/>
  <c r="H4846" i="2"/>
  <c r="H4845" i="2"/>
  <c r="H4844" i="2"/>
  <c r="H4843" i="2"/>
  <c r="H4842" i="2"/>
  <c r="H4841" i="2"/>
  <c r="H4840" i="2"/>
  <c r="H4839" i="2"/>
  <c r="H4838" i="2"/>
  <c r="H4837" i="2"/>
  <c r="H4836" i="2"/>
  <c r="H4835" i="2"/>
  <c r="H4834" i="2"/>
  <c r="H4833" i="2"/>
  <c r="H4832" i="2"/>
  <c r="H4831" i="2"/>
  <c r="H4830" i="2"/>
  <c r="H4829" i="2"/>
  <c r="H4828" i="2"/>
  <c r="H4827" i="2"/>
  <c r="H4826" i="2"/>
  <c r="H4825" i="2"/>
  <c r="H4824" i="2"/>
  <c r="H4823" i="2"/>
  <c r="H4822" i="2"/>
  <c r="H4821" i="2"/>
  <c r="H4820" i="2"/>
  <c r="H4819" i="2"/>
  <c r="H4818" i="2"/>
  <c r="H4817" i="2"/>
  <c r="H4816" i="2"/>
  <c r="H4815" i="2"/>
  <c r="H4814" i="2"/>
  <c r="H4813" i="2"/>
  <c r="H4812" i="2"/>
  <c r="H4811" i="2"/>
  <c r="H4810" i="2"/>
  <c r="H4809" i="2"/>
  <c r="H4808" i="2"/>
  <c r="H4807" i="2"/>
  <c r="H4806" i="2"/>
  <c r="H4805" i="2"/>
  <c r="H4804" i="2"/>
  <c r="H4803" i="2"/>
  <c r="H4802" i="2"/>
  <c r="H4801" i="2"/>
  <c r="H4800" i="2"/>
  <c r="H4799" i="2"/>
  <c r="H4798" i="2"/>
  <c r="H4797" i="2"/>
  <c r="H4796" i="2"/>
  <c r="H4795" i="2"/>
  <c r="H4794" i="2"/>
  <c r="H4793" i="2"/>
  <c r="H4792" i="2"/>
  <c r="H4791" i="2"/>
  <c r="H4790" i="2"/>
  <c r="H4789" i="2"/>
  <c r="H4788" i="2"/>
  <c r="H4787" i="2"/>
  <c r="H4786" i="2"/>
  <c r="H4785" i="2"/>
  <c r="H4784" i="2"/>
  <c r="H4783" i="2"/>
  <c r="H4782" i="2"/>
  <c r="H4781" i="2"/>
  <c r="H4780" i="2"/>
  <c r="H4779" i="2"/>
  <c r="H4778" i="2"/>
  <c r="H4777" i="2"/>
  <c r="H4776" i="2"/>
  <c r="H4775" i="2"/>
  <c r="H4774" i="2"/>
  <c r="H4773" i="2"/>
  <c r="H4772" i="2"/>
  <c r="H4771" i="2"/>
  <c r="H4770" i="2"/>
  <c r="H4769" i="2"/>
  <c r="H4768" i="2"/>
  <c r="H4767" i="2"/>
  <c r="H4766" i="2"/>
  <c r="H4765" i="2"/>
  <c r="H4764" i="2"/>
  <c r="H4763" i="2"/>
  <c r="H4762" i="2"/>
  <c r="H4761" i="2"/>
  <c r="H4760" i="2"/>
  <c r="H4759" i="2"/>
  <c r="H4758" i="2"/>
  <c r="H4757" i="2"/>
  <c r="H4756" i="2"/>
  <c r="H4755" i="2"/>
  <c r="H4754" i="2"/>
  <c r="H4753" i="2"/>
  <c r="H4752" i="2"/>
  <c r="H4751" i="2"/>
  <c r="H4750" i="2"/>
  <c r="H4749" i="2"/>
  <c r="H4748" i="2"/>
  <c r="H4747" i="2"/>
  <c r="H4746" i="2"/>
  <c r="H4745" i="2"/>
  <c r="H4744" i="2"/>
  <c r="H4743" i="2"/>
  <c r="H4742" i="2"/>
  <c r="H4741" i="2"/>
  <c r="H4740" i="2"/>
  <c r="H4739" i="2"/>
  <c r="H4738" i="2"/>
  <c r="H4737" i="2"/>
  <c r="H4736" i="2"/>
  <c r="H4735" i="2"/>
  <c r="H4734" i="2"/>
  <c r="H4733" i="2"/>
  <c r="H4732" i="2"/>
  <c r="H4731" i="2"/>
  <c r="H4730" i="2"/>
  <c r="H4729" i="2"/>
  <c r="H4728" i="2"/>
  <c r="H4727" i="2"/>
  <c r="H4726" i="2"/>
  <c r="H4725" i="2"/>
  <c r="H4724" i="2"/>
  <c r="H4723" i="2"/>
  <c r="H4722" i="2"/>
  <c r="H4721" i="2"/>
  <c r="H4720" i="2"/>
  <c r="H4719" i="2"/>
  <c r="H4718" i="2"/>
  <c r="H4717" i="2"/>
  <c r="H4716" i="2"/>
  <c r="H4715" i="2"/>
  <c r="H4714" i="2"/>
  <c r="H4713" i="2"/>
  <c r="H4712" i="2"/>
  <c r="H4711" i="2"/>
  <c r="H4710" i="2"/>
  <c r="H4709" i="2"/>
  <c r="H4708" i="2"/>
  <c r="H4707" i="2"/>
  <c r="H4706" i="2"/>
  <c r="H4705" i="2"/>
  <c r="H4704" i="2"/>
  <c r="H4703" i="2"/>
  <c r="H4702" i="2"/>
  <c r="H4701" i="2"/>
  <c r="H4700" i="2"/>
  <c r="H4699" i="2"/>
  <c r="H4698" i="2"/>
  <c r="H4697" i="2"/>
  <c r="H4696" i="2"/>
  <c r="H4695" i="2"/>
  <c r="H4694" i="2"/>
  <c r="H4693" i="2"/>
  <c r="H4692" i="2"/>
  <c r="H4691" i="2"/>
  <c r="H4690" i="2"/>
  <c r="H4689" i="2"/>
  <c r="H4688" i="2"/>
  <c r="H4687" i="2"/>
  <c r="H4686" i="2"/>
  <c r="H4685" i="2"/>
  <c r="H4684" i="2"/>
  <c r="H4683" i="2"/>
  <c r="H4682" i="2"/>
  <c r="H4681" i="2"/>
  <c r="H4680" i="2"/>
  <c r="H4679" i="2"/>
  <c r="H4678" i="2"/>
  <c r="H4677" i="2"/>
  <c r="H4676" i="2"/>
  <c r="H4675" i="2"/>
  <c r="H4674" i="2"/>
  <c r="H4673" i="2"/>
  <c r="H4672" i="2"/>
  <c r="H4671" i="2"/>
  <c r="H4670" i="2"/>
  <c r="H4669" i="2"/>
  <c r="H4668" i="2"/>
  <c r="H4667" i="2"/>
  <c r="H4666" i="2"/>
  <c r="H4665" i="2"/>
  <c r="H4664" i="2"/>
  <c r="H4663" i="2"/>
  <c r="H4662" i="2"/>
  <c r="H4661" i="2"/>
  <c r="H4660" i="2"/>
  <c r="H4659" i="2"/>
  <c r="H4658" i="2"/>
  <c r="H4657" i="2"/>
  <c r="H4656" i="2"/>
  <c r="H4655" i="2"/>
  <c r="H4654" i="2"/>
  <c r="H4653" i="2"/>
  <c r="H4652" i="2"/>
  <c r="H4651" i="2"/>
  <c r="H4650" i="2"/>
  <c r="H4649" i="2"/>
  <c r="H4648" i="2"/>
  <c r="H4647" i="2"/>
  <c r="H4646" i="2"/>
  <c r="H4645" i="2"/>
  <c r="H4644" i="2"/>
  <c r="H4643" i="2"/>
  <c r="H4642" i="2"/>
  <c r="H4641" i="2"/>
  <c r="H4640" i="2"/>
  <c r="H4639" i="2"/>
  <c r="H4638" i="2"/>
  <c r="H4637" i="2"/>
  <c r="H4636" i="2"/>
  <c r="H4635" i="2"/>
  <c r="H4634" i="2"/>
  <c r="H4633" i="2"/>
  <c r="H4632" i="2"/>
  <c r="H4631" i="2"/>
  <c r="H4630" i="2"/>
  <c r="H4629" i="2"/>
  <c r="H4628" i="2"/>
  <c r="H4627" i="2"/>
  <c r="H4626" i="2"/>
  <c r="H4625" i="2"/>
  <c r="H4624" i="2"/>
  <c r="H4623" i="2"/>
  <c r="H4622" i="2"/>
  <c r="H4621" i="2"/>
  <c r="H4620" i="2"/>
  <c r="H4619" i="2"/>
  <c r="H4618" i="2"/>
  <c r="H4617" i="2"/>
  <c r="H4616" i="2"/>
  <c r="H4615" i="2"/>
  <c r="H4614" i="2"/>
  <c r="H4613" i="2"/>
  <c r="H4612" i="2"/>
  <c r="H4611" i="2"/>
  <c r="H4610" i="2"/>
  <c r="H4609" i="2"/>
  <c r="H4608" i="2"/>
  <c r="H4607" i="2"/>
  <c r="H4606" i="2"/>
  <c r="H4605" i="2"/>
  <c r="H4604" i="2"/>
  <c r="H4603" i="2"/>
  <c r="H4602" i="2"/>
  <c r="H4601" i="2"/>
  <c r="H4600" i="2"/>
  <c r="H4599" i="2"/>
  <c r="H4598" i="2"/>
  <c r="H4597" i="2"/>
  <c r="H4596" i="2"/>
  <c r="H4595" i="2"/>
  <c r="H4594" i="2"/>
  <c r="H4593" i="2"/>
  <c r="H4592" i="2"/>
  <c r="H4591" i="2"/>
  <c r="H4590" i="2"/>
  <c r="H4589" i="2"/>
  <c r="H4588" i="2"/>
  <c r="H4587" i="2"/>
  <c r="H4586" i="2"/>
  <c r="H4585" i="2"/>
  <c r="H4584" i="2"/>
  <c r="H4583" i="2"/>
  <c r="H4582" i="2"/>
  <c r="H4581" i="2"/>
  <c r="H4580" i="2"/>
  <c r="H4579" i="2"/>
  <c r="H4578" i="2"/>
  <c r="H4577" i="2"/>
  <c r="H4576" i="2"/>
  <c r="H4575" i="2"/>
  <c r="H4574" i="2"/>
  <c r="H4573" i="2"/>
  <c r="H4572" i="2"/>
  <c r="H4571" i="2"/>
  <c r="H4570" i="2"/>
  <c r="H4569" i="2"/>
  <c r="H4568" i="2"/>
  <c r="H4567" i="2"/>
  <c r="H4566" i="2"/>
  <c r="H4565" i="2"/>
  <c r="H4564" i="2"/>
  <c r="H4563" i="2"/>
  <c r="H4562" i="2"/>
  <c r="H4561" i="2"/>
  <c r="H4560" i="2"/>
  <c r="H4559" i="2"/>
  <c r="H4558" i="2"/>
  <c r="H4557" i="2"/>
  <c r="H4556" i="2"/>
  <c r="H4555" i="2"/>
  <c r="H4554" i="2"/>
  <c r="H4553" i="2"/>
  <c r="H4552" i="2"/>
  <c r="H4551" i="2"/>
  <c r="H4550" i="2"/>
  <c r="H4549" i="2"/>
  <c r="H4548" i="2"/>
  <c r="H4547" i="2"/>
  <c r="H4546" i="2"/>
  <c r="H4545" i="2"/>
  <c r="H4544" i="2"/>
  <c r="H4543" i="2"/>
  <c r="H4542" i="2"/>
  <c r="H4541" i="2"/>
  <c r="H4540" i="2"/>
  <c r="H4539" i="2"/>
  <c r="H4538" i="2"/>
  <c r="H4537" i="2"/>
  <c r="H4536" i="2"/>
  <c r="H4535" i="2"/>
  <c r="H4534" i="2"/>
  <c r="H4533" i="2"/>
  <c r="H4532" i="2"/>
  <c r="H4531" i="2"/>
  <c r="H4530" i="2"/>
  <c r="H4529" i="2"/>
  <c r="H4528" i="2"/>
  <c r="H4527" i="2"/>
  <c r="H4526" i="2"/>
  <c r="H4525" i="2"/>
  <c r="H4524" i="2"/>
  <c r="H4523" i="2"/>
  <c r="H4522" i="2"/>
  <c r="H4521" i="2"/>
  <c r="H4520" i="2"/>
  <c r="H4519" i="2"/>
  <c r="H4518" i="2"/>
  <c r="H4517" i="2"/>
  <c r="H4516" i="2"/>
  <c r="H4515" i="2"/>
  <c r="H4514" i="2"/>
  <c r="H4513" i="2"/>
  <c r="H4512" i="2"/>
  <c r="H4511" i="2"/>
  <c r="H4510" i="2"/>
  <c r="H4509" i="2"/>
  <c r="H4508" i="2"/>
  <c r="H4507" i="2"/>
  <c r="H4506" i="2"/>
  <c r="H4505" i="2"/>
  <c r="H4504" i="2"/>
  <c r="H4503" i="2"/>
  <c r="H4502" i="2"/>
  <c r="H4501" i="2"/>
  <c r="H4500" i="2"/>
  <c r="H4499" i="2"/>
  <c r="H4498" i="2"/>
  <c r="H4497" i="2"/>
  <c r="H4496" i="2"/>
  <c r="H4495" i="2"/>
  <c r="H4494" i="2"/>
  <c r="H4493" i="2"/>
  <c r="H4492" i="2"/>
  <c r="H4491" i="2"/>
  <c r="H4490" i="2"/>
  <c r="H4489" i="2"/>
  <c r="H4488" i="2"/>
  <c r="H4487" i="2"/>
  <c r="H4486" i="2"/>
  <c r="H4485" i="2"/>
  <c r="H4484" i="2"/>
  <c r="H4483" i="2"/>
  <c r="H4482" i="2"/>
  <c r="H4481" i="2"/>
  <c r="H4480" i="2"/>
  <c r="H4479" i="2"/>
  <c r="H4478" i="2"/>
  <c r="H4477" i="2"/>
  <c r="H4476" i="2"/>
  <c r="H4475" i="2"/>
  <c r="H4474" i="2"/>
  <c r="H4473" i="2"/>
  <c r="H4472" i="2"/>
  <c r="H4471" i="2"/>
  <c r="H4470" i="2"/>
  <c r="H4469" i="2"/>
  <c r="H4468" i="2"/>
  <c r="H4467" i="2"/>
  <c r="H4466" i="2"/>
  <c r="H4465" i="2"/>
  <c r="H4464" i="2"/>
  <c r="H4463" i="2"/>
  <c r="H4462" i="2"/>
  <c r="H4461" i="2"/>
  <c r="H4460" i="2"/>
  <c r="H4459" i="2"/>
  <c r="H4458" i="2"/>
  <c r="H4457" i="2"/>
  <c r="H4456" i="2"/>
  <c r="H4455" i="2"/>
  <c r="H4454" i="2"/>
  <c r="H4453" i="2"/>
  <c r="H4452" i="2"/>
  <c r="H4451" i="2"/>
  <c r="H4450" i="2"/>
  <c r="H4449" i="2"/>
  <c r="H4448" i="2"/>
  <c r="H4447" i="2"/>
  <c r="H4446" i="2"/>
  <c r="H4445" i="2"/>
  <c r="H4444" i="2"/>
  <c r="H4443" i="2"/>
  <c r="H4442" i="2"/>
  <c r="H4441" i="2"/>
  <c r="H4440" i="2"/>
  <c r="H4439" i="2"/>
  <c r="H4438" i="2"/>
  <c r="H4437" i="2"/>
  <c r="H4436" i="2"/>
  <c r="H4435" i="2"/>
  <c r="H4434" i="2"/>
  <c r="H4433" i="2"/>
  <c r="H4432" i="2"/>
  <c r="H4431" i="2"/>
  <c r="H4430" i="2"/>
  <c r="H4429" i="2"/>
  <c r="H4428" i="2"/>
  <c r="H4427" i="2"/>
  <c r="H4426" i="2"/>
  <c r="H4425" i="2"/>
  <c r="H4424" i="2"/>
  <c r="H4423" i="2"/>
  <c r="H4422" i="2"/>
  <c r="H4421" i="2"/>
  <c r="H4420" i="2"/>
  <c r="H4419" i="2"/>
  <c r="H4418" i="2"/>
  <c r="H4417" i="2"/>
  <c r="H4416" i="2"/>
  <c r="H4415" i="2"/>
  <c r="H4414" i="2"/>
  <c r="H4413" i="2"/>
  <c r="H4412" i="2"/>
  <c r="H4411" i="2"/>
  <c r="H4410" i="2"/>
  <c r="H4409" i="2"/>
  <c r="H4408" i="2"/>
  <c r="H4407" i="2"/>
  <c r="H4406" i="2"/>
  <c r="H4405" i="2"/>
  <c r="H4404" i="2"/>
  <c r="H4403" i="2"/>
  <c r="H4402" i="2"/>
  <c r="H4401" i="2"/>
  <c r="H4400" i="2"/>
  <c r="H4399" i="2"/>
  <c r="H4398" i="2"/>
  <c r="H4397" i="2"/>
  <c r="H4396" i="2"/>
  <c r="H4395" i="2"/>
  <c r="H4394" i="2"/>
  <c r="H4393" i="2"/>
  <c r="H4392" i="2"/>
  <c r="H4391" i="2"/>
  <c r="H4390" i="2"/>
  <c r="H4389" i="2"/>
  <c r="H4388" i="2"/>
  <c r="H4387" i="2"/>
  <c r="H4386" i="2"/>
  <c r="H4385" i="2"/>
  <c r="H4384" i="2"/>
  <c r="H4383" i="2"/>
  <c r="H4382" i="2"/>
  <c r="H4381" i="2"/>
  <c r="H4380" i="2"/>
  <c r="H4379" i="2"/>
  <c r="H4378" i="2"/>
  <c r="H4377" i="2"/>
  <c r="H4376" i="2"/>
  <c r="H4375" i="2"/>
  <c r="H4374" i="2"/>
  <c r="H4373" i="2"/>
  <c r="H4372" i="2"/>
  <c r="H4371" i="2"/>
  <c r="H4370" i="2"/>
  <c r="H4369" i="2"/>
  <c r="H4368" i="2"/>
  <c r="H4367" i="2"/>
  <c r="H4366" i="2"/>
  <c r="H4365" i="2"/>
  <c r="H4364" i="2"/>
  <c r="H4363" i="2"/>
  <c r="H4362" i="2"/>
  <c r="H4361" i="2"/>
  <c r="H4360" i="2"/>
  <c r="H4359" i="2"/>
  <c r="H4358" i="2"/>
  <c r="H4357" i="2"/>
  <c r="H4356" i="2"/>
  <c r="H4355" i="2"/>
  <c r="H4354" i="2"/>
  <c r="H4353" i="2"/>
  <c r="H4352" i="2"/>
  <c r="H4351" i="2"/>
  <c r="H4350" i="2"/>
  <c r="H4349" i="2"/>
  <c r="H4348" i="2"/>
  <c r="H4347" i="2"/>
  <c r="H4346" i="2"/>
  <c r="H4345" i="2"/>
  <c r="H4344" i="2"/>
  <c r="H4343" i="2"/>
  <c r="H4342" i="2"/>
  <c r="H4341" i="2"/>
  <c r="H4340" i="2"/>
  <c r="H4339" i="2"/>
  <c r="H4338" i="2"/>
  <c r="H4337" i="2"/>
  <c r="H4336" i="2"/>
  <c r="H4335" i="2"/>
  <c r="H4334" i="2"/>
  <c r="H4333" i="2"/>
  <c r="H4332" i="2"/>
  <c r="H4331" i="2"/>
  <c r="H4330" i="2"/>
  <c r="H4329" i="2"/>
  <c r="H4328" i="2"/>
  <c r="H4327" i="2"/>
  <c r="H4326" i="2"/>
  <c r="H4325" i="2"/>
  <c r="H4324" i="2"/>
  <c r="H4323" i="2"/>
  <c r="H4322" i="2"/>
  <c r="H4321" i="2"/>
  <c r="H4320" i="2"/>
  <c r="H4319" i="2"/>
  <c r="H4318" i="2"/>
  <c r="H4317" i="2"/>
  <c r="H4316" i="2"/>
  <c r="H4315" i="2"/>
  <c r="H4314" i="2"/>
  <c r="H4313" i="2"/>
  <c r="H4312" i="2"/>
  <c r="H4311" i="2"/>
  <c r="H4310" i="2"/>
  <c r="H4309" i="2"/>
  <c r="H4308" i="2"/>
  <c r="H4307" i="2"/>
  <c r="H4306" i="2"/>
  <c r="H4305" i="2"/>
  <c r="H4304" i="2"/>
  <c r="H4303" i="2"/>
  <c r="H4302" i="2"/>
  <c r="H4301" i="2"/>
  <c r="H4300" i="2"/>
  <c r="H4299" i="2"/>
  <c r="H4298" i="2"/>
  <c r="H4297" i="2"/>
  <c r="H4296" i="2"/>
  <c r="H4295" i="2"/>
  <c r="H4294" i="2"/>
  <c r="H4293" i="2"/>
  <c r="H4292" i="2"/>
  <c r="H4291" i="2"/>
  <c r="H4290" i="2"/>
  <c r="H4289" i="2"/>
  <c r="H4288" i="2"/>
  <c r="H4287" i="2"/>
  <c r="H4286" i="2"/>
  <c r="H4285" i="2"/>
  <c r="H4284" i="2"/>
  <c r="H4283" i="2"/>
  <c r="H4282" i="2"/>
  <c r="H4281" i="2"/>
  <c r="H4280" i="2"/>
  <c r="H4279" i="2"/>
  <c r="H4278" i="2"/>
  <c r="H4277" i="2"/>
  <c r="H4276" i="2"/>
  <c r="H4275" i="2"/>
  <c r="H4274" i="2"/>
  <c r="H4273" i="2"/>
  <c r="H4272" i="2"/>
  <c r="H4271" i="2"/>
  <c r="H4270" i="2"/>
  <c r="H4269" i="2"/>
  <c r="H4268" i="2"/>
  <c r="H4267" i="2"/>
  <c r="H4266" i="2"/>
  <c r="H4265" i="2"/>
  <c r="H4264" i="2"/>
  <c r="H4263" i="2"/>
  <c r="H4262" i="2"/>
  <c r="H4261" i="2"/>
  <c r="H4260" i="2"/>
  <c r="H4259" i="2"/>
  <c r="H4258" i="2"/>
  <c r="H4257" i="2"/>
  <c r="H4256" i="2"/>
  <c r="H4255" i="2"/>
  <c r="H4254" i="2"/>
  <c r="H4253" i="2"/>
  <c r="H4252" i="2"/>
  <c r="H4251" i="2"/>
  <c r="H4250" i="2"/>
  <c r="H4249" i="2"/>
  <c r="H4248" i="2"/>
  <c r="H4247" i="2"/>
  <c r="H4246" i="2"/>
  <c r="H4245" i="2"/>
  <c r="H4244" i="2"/>
  <c r="H4243" i="2"/>
  <c r="H4242" i="2"/>
  <c r="H4241" i="2"/>
  <c r="H4240" i="2"/>
  <c r="H4239" i="2"/>
  <c r="H4238" i="2"/>
  <c r="H4237" i="2"/>
  <c r="H4236" i="2"/>
  <c r="H4235" i="2"/>
  <c r="H4234" i="2"/>
  <c r="H4233" i="2"/>
  <c r="H4232" i="2"/>
  <c r="H4231" i="2"/>
  <c r="H4230" i="2"/>
  <c r="H4229" i="2"/>
  <c r="H4228" i="2"/>
  <c r="H4227" i="2"/>
  <c r="H4226" i="2"/>
  <c r="H4225" i="2"/>
  <c r="H4224" i="2"/>
  <c r="H4223" i="2"/>
  <c r="H4222" i="2"/>
  <c r="H4221" i="2"/>
  <c r="H4220" i="2"/>
  <c r="H4219" i="2"/>
  <c r="H4218" i="2"/>
  <c r="H4217" i="2"/>
  <c r="H4216" i="2"/>
  <c r="H4215" i="2"/>
  <c r="H4214" i="2"/>
  <c r="H4213" i="2"/>
  <c r="H4212" i="2"/>
  <c r="H4211" i="2"/>
  <c r="H4210" i="2"/>
  <c r="H4209" i="2"/>
  <c r="H4208" i="2"/>
  <c r="H4207" i="2"/>
  <c r="H4206" i="2"/>
  <c r="H4205" i="2"/>
  <c r="H4204" i="2"/>
  <c r="H4203" i="2"/>
  <c r="H4202" i="2"/>
  <c r="H4201" i="2"/>
  <c r="H4200" i="2"/>
  <c r="H4199" i="2"/>
  <c r="H4198" i="2"/>
  <c r="H4197" i="2"/>
  <c r="H4196" i="2"/>
  <c r="H4195" i="2"/>
  <c r="H4194" i="2"/>
  <c r="H4193" i="2"/>
  <c r="H4192" i="2"/>
  <c r="H4191" i="2"/>
  <c r="H4190" i="2"/>
  <c r="H4189" i="2"/>
  <c r="H4188" i="2"/>
  <c r="H4187" i="2"/>
  <c r="H4186" i="2"/>
  <c r="H4185" i="2"/>
  <c r="H4184" i="2"/>
  <c r="H4183" i="2"/>
  <c r="H4182" i="2"/>
  <c r="H4181" i="2"/>
  <c r="H4180" i="2"/>
  <c r="H4179" i="2"/>
  <c r="H4178" i="2"/>
  <c r="H4177" i="2"/>
  <c r="H4176" i="2"/>
  <c r="H4175" i="2"/>
  <c r="H4174" i="2"/>
  <c r="H4173" i="2"/>
  <c r="H4172" i="2"/>
  <c r="H4171" i="2"/>
  <c r="H4170" i="2"/>
  <c r="H4169" i="2"/>
  <c r="H4168" i="2"/>
  <c r="H4167" i="2"/>
  <c r="H4166" i="2"/>
  <c r="H4165" i="2"/>
  <c r="H4164" i="2"/>
  <c r="H4163" i="2"/>
  <c r="H4162" i="2"/>
  <c r="H4161" i="2"/>
  <c r="H4160" i="2"/>
  <c r="H4159" i="2"/>
  <c r="H4158" i="2"/>
  <c r="H4157" i="2"/>
  <c r="H4156" i="2"/>
  <c r="H4155" i="2"/>
  <c r="H4154" i="2"/>
  <c r="H4153" i="2"/>
  <c r="H4152" i="2"/>
  <c r="H4151" i="2"/>
  <c r="H4150" i="2"/>
  <c r="H4149" i="2"/>
  <c r="H4148" i="2"/>
  <c r="H4147" i="2"/>
  <c r="H4146" i="2"/>
  <c r="H4145" i="2"/>
  <c r="H4144" i="2"/>
  <c r="H4143" i="2"/>
  <c r="H4142" i="2"/>
  <c r="H4141" i="2"/>
  <c r="H4140" i="2"/>
  <c r="H4139" i="2"/>
  <c r="H4138" i="2"/>
  <c r="H4137" i="2"/>
  <c r="H4136" i="2"/>
  <c r="H4135" i="2"/>
  <c r="H4134" i="2"/>
  <c r="H4133" i="2"/>
  <c r="H4132" i="2"/>
  <c r="H4131" i="2"/>
  <c r="H4130" i="2"/>
  <c r="H4129" i="2"/>
  <c r="H4128" i="2"/>
  <c r="H4127" i="2"/>
  <c r="H4126" i="2"/>
  <c r="H4125" i="2"/>
  <c r="H4124" i="2"/>
  <c r="H4123" i="2"/>
  <c r="H4122" i="2"/>
  <c r="H4121" i="2"/>
  <c r="H4120" i="2"/>
  <c r="H4119" i="2"/>
  <c r="H4118" i="2"/>
  <c r="H4117" i="2"/>
  <c r="H4116" i="2"/>
  <c r="H4115" i="2"/>
  <c r="H4114" i="2"/>
  <c r="H4113" i="2"/>
  <c r="H4112" i="2"/>
  <c r="H4111" i="2"/>
  <c r="H4110" i="2"/>
  <c r="H4109" i="2"/>
  <c r="H4108" i="2"/>
  <c r="H4107" i="2"/>
  <c r="H4106" i="2"/>
  <c r="H4105" i="2"/>
  <c r="H4104" i="2"/>
  <c r="H4103" i="2"/>
  <c r="H4102" i="2"/>
  <c r="H4101" i="2"/>
  <c r="H4100" i="2"/>
  <c r="H4099" i="2"/>
  <c r="H4098" i="2"/>
  <c r="H4097" i="2"/>
  <c r="H4096" i="2"/>
  <c r="H4095" i="2"/>
  <c r="H4094" i="2"/>
  <c r="H4093" i="2"/>
  <c r="H4092" i="2"/>
  <c r="H4091" i="2"/>
  <c r="H4090" i="2"/>
  <c r="H4089" i="2"/>
  <c r="H4088" i="2"/>
  <c r="H4087" i="2"/>
  <c r="H4086" i="2"/>
  <c r="H4085" i="2"/>
  <c r="H4084" i="2"/>
  <c r="H4083" i="2"/>
  <c r="H4082" i="2"/>
  <c r="H4081" i="2"/>
  <c r="H4080" i="2"/>
  <c r="H4079" i="2"/>
  <c r="H4078" i="2"/>
  <c r="H4077" i="2"/>
  <c r="H4076" i="2"/>
  <c r="H4075" i="2"/>
  <c r="H4074" i="2"/>
  <c r="H4073" i="2"/>
  <c r="H4072" i="2"/>
  <c r="H4071" i="2"/>
  <c r="H4070" i="2"/>
  <c r="H4069" i="2"/>
  <c r="H4068" i="2"/>
  <c r="H4067" i="2"/>
  <c r="H4066" i="2"/>
  <c r="H4065" i="2"/>
  <c r="H4064" i="2"/>
  <c r="H4063" i="2"/>
  <c r="H4062" i="2"/>
  <c r="H4061" i="2"/>
  <c r="H4060" i="2"/>
  <c r="H4059" i="2"/>
  <c r="H4058" i="2"/>
  <c r="H4057" i="2"/>
  <c r="H4056" i="2"/>
  <c r="H4055" i="2"/>
  <c r="H4054" i="2"/>
  <c r="H4053" i="2"/>
  <c r="H4052" i="2"/>
  <c r="H4051" i="2"/>
  <c r="H4050" i="2"/>
  <c r="H4049" i="2"/>
  <c r="H4048" i="2"/>
  <c r="H4047" i="2"/>
  <c r="H4046" i="2"/>
  <c r="H4045" i="2"/>
  <c r="H4044" i="2"/>
  <c r="H4043" i="2"/>
  <c r="H4042" i="2"/>
  <c r="H4041" i="2"/>
  <c r="H4040" i="2"/>
  <c r="H4039" i="2"/>
  <c r="H4038" i="2"/>
  <c r="H4037" i="2"/>
  <c r="H4036" i="2"/>
  <c r="H4035" i="2"/>
  <c r="H4034" i="2"/>
  <c r="H4033" i="2"/>
  <c r="H4032" i="2"/>
  <c r="H4031" i="2"/>
  <c r="H4030" i="2"/>
  <c r="H4029" i="2"/>
  <c r="H4028" i="2"/>
  <c r="H4027" i="2"/>
  <c r="H4026" i="2"/>
  <c r="H4025" i="2"/>
  <c r="H4024" i="2"/>
  <c r="H4023" i="2"/>
  <c r="H4022" i="2"/>
  <c r="H4021" i="2"/>
  <c r="H4020" i="2"/>
  <c r="H4019" i="2"/>
  <c r="H4018" i="2"/>
  <c r="H4017" i="2"/>
  <c r="H4016" i="2"/>
  <c r="H4015" i="2"/>
  <c r="H4014" i="2"/>
  <c r="H4013" i="2"/>
  <c r="H4012" i="2"/>
  <c r="H4011" i="2"/>
  <c r="H4010" i="2"/>
  <c r="H4009" i="2"/>
  <c r="H4008" i="2"/>
  <c r="H4007" i="2"/>
  <c r="H4006" i="2"/>
  <c r="H4005" i="2"/>
  <c r="H4004" i="2"/>
  <c r="H4003" i="2"/>
  <c r="H4002" i="2"/>
  <c r="H4001" i="2"/>
  <c r="H4000" i="2"/>
  <c r="H3999" i="2"/>
  <c r="H3998" i="2"/>
  <c r="H3997" i="2"/>
  <c r="H3996" i="2"/>
  <c r="H3995" i="2"/>
  <c r="H3994" i="2"/>
  <c r="H3993" i="2"/>
  <c r="H3992" i="2"/>
  <c r="H3991" i="2"/>
  <c r="H3990" i="2"/>
  <c r="H3989" i="2"/>
  <c r="H3988" i="2"/>
  <c r="H3987" i="2"/>
  <c r="H3986" i="2"/>
  <c r="H3985" i="2"/>
  <c r="H3984" i="2"/>
  <c r="H3983" i="2"/>
  <c r="H3982" i="2"/>
  <c r="H3981" i="2"/>
  <c r="H3980" i="2"/>
  <c r="H3979" i="2"/>
  <c r="H3978" i="2"/>
  <c r="H3977" i="2"/>
  <c r="H3976" i="2"/>
  <c r="H3975" i="2"/>
  <c r="H3974" i="2"/>
  <c r="H3973" i="2"/>
  <c r="H3972" i="2"/>
  <c r="H3971" i="2"/>
  <c r="H3970" i="2"/>
  <c r="H3969" i="2"/>
  <c r="H3968" i="2"/>
  <c r="H3967" i="2"/>
  <c r="H3966" i="2"/>
  <c r="H3965" i="2"/>
  <c r="H3964" i="2"/>
  <c r="H3963" i="2"/>
  <c r="H3962" i="2"/>
  <c r="H3961" i="2"/>
  <c r="H3960" i="2"/>
  <c r="H3959" i="2"/>
  <c r="H3958" i="2"/>
  <c r="H3957" i="2"/>
  <c r="H3956" i="2"/>
  <c r="H3955" i="2"/>
  <c r="H3954" i="2"/>
  <c r="H3953" i="2"/>
  <c r="H3952" i="2"/>
  <c r="H3951" i="2"/>
  <c r="H3950" i="2"/>
  <c r="H3949" i="2"/>
  <c r="H3948" i="2"/>
  <c r="H3947" i="2"/>
  <c r="H3946" i="2"/>
  <c r="H3945" i="2"/>
  <c r="H3944" i="2"/>
  <c r="H3943" i="2"/>
  <c r="H3942" i="2"/>
  <c r="H3941" i="2"/>
  <c r="H3940" i="2"/>
  <c r="H3939" i="2"/>
  <c r="H3938" i="2"/>
  <c r="H3937" i="2"/>
  <c r="H3936" i="2"/>
  <c r="H3935" i="2"/>
  <c r="H3934" i="2"/>
  <c r="H3933" i="2"/>
  <c r="H3932" i="2"/>
  <c r="H3931" i="2"/>
  <c r="H3930" i="2"/>
  <c r="H3929" i="2"/>
  <c r="H3928" i="2"/>
  <c r="H3927" i="2"/>
  <c r="H3926" i="2"/>
  <c r="H3925" i="2"/>
  <c r="H3924" i="2"/>
  <c r="H3923" i="2"/>
  <c r="H3922" i="2"/>
  <c r="H3921" i="2"/>
  <c r="H3920" i="2"/>
  <c r="H3919" i="2"/>
  <c r="H3918" i="2"/>
  <c r="H3917" i="2"/>
  <c r="H3916" i="2"/>
  <c r="H3915" i="2"/>
  <c r="H3914" i="2"/>
  <c r="H3913" i="2"/>
  <c r="H3912" i="2"/>
  <c r="H3911" i="2"/>
  <c r="H3910" i="2"/>
  <c r="H3909" i="2"/>
  <c r="H3908" i="2"/>
  <c r="H3907" i="2"/>
  <c r="H3906" i="2"/>
  <c r="H3905" i="2"/>
  <c r="H3904" i="2"/>
  <c r="H3903" i="2"/>
  <c r="H3902" i="2"/>
  <c r="H3901" i="2"/>
  <c r="H3900" i="2"/>
  <c r="H3899" i="2"/>
  <c r="H3898" i="2"/>
  <c r="H3897" i="2"/>
  <c r="H3896" i="2"/>
  <c r="H3895" i="2"/>
  <c r="H3894" i="2"/>
  <c r="H3893" i="2"/>
  <c r="H3892" i="2"/>
  <c r="H3891" i="2"/>
  <c r="H3890" i="2"/>
  <c r="H3889" i="2"/>
  <c r="H3888" i="2"/>
  <c r="H3887" i="2"/>
  <c r="H3886" i="2"/>
  <c r="H3885" i="2"/>
  <c r="H3884" i="2"/>
  <c r="H3883" i="2"/>
  <c r="H3882" i="2"/>
  <c r="H3881" i="2"/>
  <c r="H3880" i="2"/>
  <c r="H3879" i="2"/>
  <c r="H3878" i="2"/>
  <c r="H3877" i="2"/>
  <c r="H3876" i="2"/>
  <c r="H3875" i="2"/>
  <c r="H3874" i="2"/>
  <c r="H3873" i="2"/>
  <c r="H3872" i="2"/>
  <c r="H3871" i="2"/>
  <c r="H3870" i="2"/>
  <c r="H3869" i="2"/>
  <c r="H3868" i="2"/>
  <c r="H3867" i="2"/>
  <c r="H3866" i="2"/>
  <c r="H3865" i="2"/>
  <c r="H3864" i="2"/>
  <c r="H3863" i="2"/>
  <c r="H3862" i="2"/>
  <c r="H3861" i="2"/>
  <c r="H3860" i="2"/>
  <c r="H3859" i="2"/>
  <c r="H3858" i="2"/>
  <c r="H3857" i="2"/>
  <c r="H3856" i="2"/>
  <c r="H3855" i="2"/>
  <c r="H3854" i="2"/>
  <c r="H3853" i="2"/>
  <c r="H3852" i="2"/>
  <c r="H3851" i="2"/>
  <c r="H3850" i="2"/>
  <c r="H3849" i="2"/>
  <c r="H3848" i="2"/>
  <c r="H3847" i="2"/>
  <c r="H3846" i="2"/>
  <c r="H3845" i="2"/>
  <c r="H3844" i="2"/>
  <c r="H3843" i="2"/>
  <c r="H3842" i="2"/>
  <c r="H3841" i="2"/>
  <c r="H3840" i="2"/>
  <c r="H3839" i="2"/>
  <c r="H3838" i="2"/>
  <c r="H3837" i="2"/>
  <c r="H3836" i="2"/>
  <c r="H3835" i="2"/>
  <c r="H3834" i="2"/>
  <c r="H3833" i="2"/>
  <c r="H3832" i="2"/>
  <c r="H3831" i="2"/>
  <c r="H3830" i="2"/>
  <c r="H3829" i="2"/>
  <c r="H3828" i="2"/>
  <c r="H3827" i="2"/>
  <c r="H3826" i="2"/>
  <c r="H3825" i="2"/>
  <c r="H3824" i="2"/>
  <c r="H3823" i="2"/>
  <c r="H3822" i="2"/>
  <c r="H3821" i="2"/>
  <c r="H3820" i="2"/>
  <c r="H3819" i="2"/>
  <c r="H3818" i="2"/>
  <c r="H3817" i="2"/>
  <c r="H3816" i="2"/>
  <c r="H3815" i="2"/>
  <c r="H3814" i="2"/>
  <c r="H3813" i="2"/>
  <c r="H3812" i="2"/>
  <c r="H3811" i="2"/>
  <c r="H3810" i="2"/>
  <c r="H3809" i="2"/>
  <c r="H3808" i="2"/>
  <c r="H3807" i="2"/>
  <c r="H3806" i="2"/>
  <c r="H3805" i="2"/>
  <c r="H3804" i="2"/>
  <c r="H3803" i="2"/>
  <c r="H3802" i="2"/>
  <c r="H3801" i="2"/>
  <c r="H3800" i="2"/>
  <c r="H3799" i="2"/>
  <c r="H3798" i="2"/>
  <c r="H3797" i="2"/>
  <c r="H3796" i="2"/>
  <c r="H3795" i="2"/>
  <c r="H3794" i="2"/>
  <c r="H3793" i="2"/>
  <c r="H3792" i="2"/>
  <c r="H3791" i="2"/>
  <c r="H3790" i="2"/>
  <c r="H3789" i="2"/>
  <c r="H3788" i="2"/>
  <c r="H3787" i="2"/>
  <c r="H3786" i="2"/>
  <c r="H3785" i="2"/>
  <c r="H3784" i="2"/>
  <c r="H3783" i="2"/>
  <c r="H3782" i="2"/>
  <c r="H3781" i="2"/>
  <c r="H3780" i="2"/>
  <c r="H3779" i="2"/>
  <c r="H3778" i="2"/>
  <c r="H3777" i="2"/>
  <c r="H3776" i="2"/>
  <c r="H3775" i="2"/>
  <c r="H3774" i="2"/>
  <c r="H3773" i="2"/>
  <c r="H3772" i="2"/>
  <c r="H3771" i="2"/>
  <c r="H3770" i="2"/>
  <c r="H3769" i="2"/>
  <c r="H3768" i="2"/>
  <c r="H3767" i="2"/>
  <c r="H3766" i="2"/>
  <c r="H3765" i="2"/>
  <c r="H3764" i="2"/>
  <c r="H3763" i="2"/>
  <c r="H3762" i="2"/>
  <c r="H3761" i="2"/>
  <c r="H3760" i="2"/>
  <c r="H3759" i="2"/>
  <c r="H3758" i="2"/>
  <c r="H3757" i="2"/>
  <c r="H3756" i="2"/>
  <c r="H3755" i="2"/>
  <c r="H3754" i="2"/>
  <c r="H3753" i="2"/>
  <c r="H3752" i="2"/>
  <c r="H3751" i="2"/>
  <c r="H3750" i="2"/>
  <c r="H3749" i="2"/>
  <c r="H3748" i="2"/>
  <c r="H3747" i="2"/>
  <c r="H3746" i="2"/>
  <c r="H3745" i="2"/>
  <c r="H3744" i="2"/>
  <c r="H3743" i="2"/>
  <c r="H3742" i="2"/>
  <c r="H3741" i="2"/>
  <c r="H3740" i="2"/>
  <c r="H3739" i="2"/>
  <c r="H3738" i="2"/>
  <c r="H3737" i="2"/>
  <c r="H3736" i="2"/>
  <c r="H3735" i="2"/>
  <c r="H3734" i="2"/>
  <c r="H3733" i="2"/>
  <c r="H3732" i="2"/>
  <c r="H3731" i="2"/>
  <c r="H3730" i="2"/>
  <c r="H3729" i="2"/>
  <c r="H3728" i="2"/>
  <c r="H3727" i="2"/>
  <c r="H3726" i="2"/>
  <c r="H3725" i="2"/>
  <c r="H3724" i="2"/>
  <c r="H3723" i="2"/>
  <c r="H3722" i="2"/>
  <c r="H3721" i="2"/>
  <c r="H3720" i="2"/>
  <c r="H3719" i="2"/>
  <c r="H3718" i="2"/>
  <c r="H3717" i="2"/>
  <c r="H3716" i="2"/>
  <c r="H3715" i="2"/>
  <c r="H3714" i="2"/>
  <c r="H3713" i="2"/>
  <c r="H3712" i="2"/>
  <c r="H3711" i="2"/>
  <c r="H3710" i="2"/>
  <c r="H3709" i="2"/>
  <c r="H3708" i="2"/>
  <c r="H3707" i="2"/>
  <c r="H3706" i="2"/>
  <c r="H3705" i="2"/>
  <c r="H3704" i="2"/>
  <c r="H3703" i="2"/>
  <c r="H3702" i="2"/>
  <c r="H3701" i="2"/>
  <c r="H3700" i="2"/>
  <c r="H3699" i="2"/>
  <c r="H3698" i="2"/>
  <c r="H3697" i="2"/>
  <c r="H3696" i="2"/>
  <c r="H3695" i="2"/>
  <c r="H3694" i="2"/>
  <c r="H3693" i="2"/>
  <c r="H3692" i="2"/>
  <c r="H3691" i="2"/>
  <c r="H3690" i="2"/>
  <c r="H3689" i="2"/>
  <c r="H3688" i="2"/>
  <c r="H3687" i="2"/>
  <c r="H3686" i="2"/>
  <c r="H3685" i="2"/>
  <c r="H3684" i="2"/>
  <c r="H3683" i="2"/>
  <c r="H3682" i="2"/>
  <c r="H3681" i="2"/>
  <c r="H3680" i="2"/>
  <c r="H3679" i="2"/>
  <c r="H3678" i="2"/>
  <c r="H3677" i="2"/>
  <c r="H3676" i="2"/>
  <c r="H3675" i="2"/>
  <c r="H3674" i="2"/>
  <c r="H3673" i="2"/>
  <c r="H3672" i="2"/>
  <c r="H3671" i="2"/>
  <c r="H3670" i="2"/>
  <c r="H3669" i="2"/>
  <c r="H3668" i="2"/>
  <c r="H3667" i="2"/>
  <c r="H3666" i="2"/>
  <c r="H3665" i="2"/>
  <c r="H3664" i="2"/>
  <c r="H3663" i="2"/>
  <c r="H3662" i="2"/>
  <c r="H3661" i="2"/>
  <c r="H3660" i="2"/>
  <c r="H3659" i="2"/>
  <c r="H3658" i="2"/>
  <c r="H3657" i="2"/>
  <c r="H3656" i="2"/>
  <c r="H3655" i="2"/>
  <c r="H3654" i="2"/>
  <c r="H3653" i="2"/>
  <c r="H3652" i="2"/>
  <c r="H3651" i="2"/>
  <c r="H3650" i="2"/>
  <c r="H3649" i="2"/>
  <c r="H3648" i="2"/>
  <c r="H3647" i="2"/>
  <c r="H3646" i="2"/>
  <c r="H3645" i="2"/>
  <c r="H3644" i="2"/>
  <c r="H3643" i="2"/>
  <c r="H3642" i="2"/>
  <c r="H3641" i="2"/>
  <c r="H3640" i="2"/>
  <c r="H3639" i="2"/>
  <c r="H3638" i="2"/>
  <c r="H3637" i="2"/>
  <c r="H3636" i="2"/>
  <c r="H3635" i="2"/>
  <c r="H3634" i="2"/>
  <c r="H3633" i="2"/>
  <c r="H3632" i="2"/>
  <c r="H3631" i="2"/>
  <c r="H3630" i="2"/>
  <c r="H3629" i="2"/>
  <c r="H3628" i="2"/>
  <c r="H3627" i="2"/>
  <c r="H3626" i="2"/>
  <c r="H3625" i="2"/>
  <c r="H3624" i="2"/>
  <c r="H3623" i="2"/>
  <c r="H3622" i="2"/>
  <c r="H3621" i="2"/>
  <c r="H3620" i="2"/>
  <c r="H3619" i="2"/>
  <c r="H3618" i="2"/>
  <c r="H3617" i="2"/>
  <c r="H3616" i="2"/>
  <c r="H3615" i="2"/>
  <c r="H3614" i="2"/>
  <c r="H3613" i="2"/>
  <c r="H3612" i="2"/>
  <c r="H3611" i="2"/>
  <c r="H3610" i="2"/>
  <c r="H3609" i="2"/>
  <c r="H3608" i="2"/>
  <c r="H3607" i="2"/>
  <c r="H3606" i="2"/>
  <c r="H3605" i="2"/>
  <c r="H3604" i="2"/>
  <c r="H3603" i="2"/>
  <c r="H3602" i="2"/>
  <c r="H3601" i="2"/>
  <c r="H3600" i="2"/>
  <c r="H3599" i="2"/>
  <c r="H3598" i="2"/>
  <c r="H3597" i="2"/>
  <c r="H3596" i="2"/>
  <c r="H3595" i="2"/>
  <c r="H3594" i="2"/>
  <c r="H3593" i="2"/>
  <c r="H3592" i="2"/>
  <c r="H3591" i="2"/>
  <c r="H3590" i="2"/>
  <c r="H3589" i="2"/>
  <c r="H3588" i="2"/>
  <c r="H3587" i="2"/>
  <c r="H3586" i="2"/>
  <c r="H3585" i="2"/>
  <c r="H3584" i="2"/>
  <c r="H3583" i="2"/>
  <c r="H3582" i="2"/>
  <c r="H3581" i="2"/>
  <c r="H3580" i="2"/>
  <c r="H3579" i="2"/>
  <c r="H3578" i="2"/>
  <c r="H3577" i="2"/>
  <c r="H3576" i="2"/>
  <c r="H3575" i="2"/>
  <c r="H3574" i="2"/>
  <c r="H3573" i="2"/>
  <c r="H3572" i="2"/>
  <c r="H3571" i="2"/>
  <c r="H3570" i="2"/>
  <c r="H3569" i="2"/>
  <c r="H3568" i="2"/>
  <c r="H3567" i="2"/>
  <c r="H3566" i="2"/>
  <c r="H3565" i="2"/>
  <c r="H3564" i="2"/>
  <c r="H3563" i="2"/>
  <c r="H3562" i="2"/>
  <c r="H3561" i="2"/>
  <c r="H3560" i="2"/>
  <c r="H3559" i="2"/>
  <c r="H3558" i="2"/>
  <c r="H3557" i="2"/>
  <c r="H3556" i="2"/>
  <c r="H3555" i="2"/>
  <c r="H3554" i="2"/>
  <c r="H3553" i="2"/>
  <c r="H3552" i="2"/>
  <c r="H3551" i="2"/>
  <c r="H3550" i="2"/>
  <c r="H3549" i="2"/>
  <c r="H3548" i="2"/>
  <c r="H3547" i="2"/>
  <c r="H3546" i="2"/>
  <c r="H3545" i="2"/>
  <c r="H3544" i="2"/>
  <c r="H3543" i="2"/>
  <c r="H3542" i="2"/>
  <c r="H3541" i="2"/>
  <c r="H3540" i="2"/>
  <c r="H3539" i="2"/>
  <c r="H3538" i="2"/>
  <c r="H3537" i="2"/>
  <c r="H3536" i="2"/>
  <c r="H3535" i="2"/>
  <c r="H3534" i="2"/>
  <c r="H3533" i="2"/>
  <c r="H3532" i="2"/>
  <c r="H3531" i="2"/>
  <c r="H3530" i="2"/>
  <c r="H3529" i="2"/>
  <c r="H3528" i="2"/>
  <c r="H3527" i="2"/>
  <c r="H3526" i="2"/>
  <c r="H3525" i="2"/>
  <c r="H3524" i="2"/>
  <c r="H3523" i="2"/>
  <c r="H3522" i="2"/>
  <c r="H3521" i="2"/>
  <c r="H3520" i="2"/>
  <c r="H3519" i="2"/>
  <c r="H3518" i="2"/>
  <c r="H3517" i="2"/>
  <c r="H3516" i="2"/>
  <c r="H3515" i="2"/>
  <c r="H3514" i="2"/>
  <c r="H3513" i="2"/>
  <c r="H3512" i="2"/>
  <c r="H3511" i="2"/>
  <c r="H3510" i="2"/>
  <c r="H3509" i="2"/>
  <c r="H3508" i="2"/>
  <c r="H3507" i="2"/>
  <c r="H3506" i="2"/>
  <c r="H3505" i="2"/>
  <c r="H3504" i="2"/>
  <c r="H3503" i="2"/>
  <c r="H3502" i="2"/>
  <c r="H3501" i="2"/>
  <c r="H3500" i="2"/>
  <c r="H3499" i="2"/>
  <c r="H3498" i="2"/>
  <c r="H3497" i="2"/>
  <c r="H3496" i="2"/>
  <c r="H3495" i="2"/>
  <c r="H3494" i="2"/>
  <c r="H3493" i="2"/>
  <c r="H3492" i="2"/>
  <c r="H3491" i="2"/>
  <c r="H3490" i="2"/>
  <c r="H3489" i="2"/>
  <c r="H3488" i="2"/>
  <c r="H3487" i="2"/>
  <c r="H3486" i="2"/>
  <c r="H3485" i="2"/>
  <c r="H3484" i="2"/>
  <c r="H3483" i="2"/>
  <c r="H3482" i="2"/>
  <c r="H3481" i="2"/>
  <c r="H3480" i="2"/>
  <c r="H3479" i="2"/>
  <c r="H3478" i="2"/>
  <c r="H3477" i="2"/>
  <c r="H3476" i="2"/>
  <c r="H3475" i="2"/>
  <c r="H3474" i="2"/>
  <c r="H3473" i="2"/>
  <c r="H3472" i="2"/>
  <c r="H3471" i="2"/>
  <c r="H3470" i="2"/>
  <c r="H3469" i="2"/>
  <c r="H3468" i="2"/>
  <c r="H3467" i="2"/>
  <c r="H3466" i="2"/>
  <c r="H3465" i="2"/>
  <c r="H3464" i="2"/>
  <c r="H3463" i="2"/>
  <c r="H3462" i="2"/>
  <c r="H3461" i="2"/>
  <c r="H3460" i="2"/>
  <c r="H3459" i="2"/>
  <c r="H3458" i="2"/>
  <c r="H3457" i="2"/>
  <c r="H3456" i="2"/>
  <c r="H3455" i="2"/>
  <c r="H3454" i="2"/>
  <c r="H3453" i="2"/>
  <c r="H3452" i="2"/>
  <c r="H3451" i="2"/>
  <c r="H3450" i="2"/>
  <c r="H3449" i="2"/>
  <c r="H3448" i="2"/>
  <c r="H3447" i="2"/>
  <c r="H3446" i="2"/>
  <c r="H3445" i="2"/>
  <c r="H3444" i="2"/>
  <c r="H3443" i="2"/>
  <c r="H3442" i="2"/>
  <c r="H3441" i="2"/>
  <c r="H3440" i="2"/>
  <c r="H3439" i="2"/>
  <c r="H3438" i="2"/>
  <c r="H3437" i="2"/>
  <c r="H3436" i="2"/>
  <c r="H3435" i="2"/>
  <c r="H3434" i="2"/>
  <c r="H3433" i="2"/>
  <c r="H3432" i="2"/>
  <c r="H3431" i="2"/>
  <c r="H3430" i="2"/>
  <c r="H3429" i="2"/>
  <c r="H3428" i="2"/>
  <c r="H3427" i="2"/>
  <c r="H3426" i="2"/>
  <c r="H3425" i="2"/>
  <c r="H3424" i="2"/>
  <c r="H3423" i="2"/>
  <c r="H3422" i="2"/>
  <c r="H3421" i="2"/>
  <c r="H3420" i="2"/>
  <c r="H3419" i="2"/>
  <c r="H3418" i="2"/>
  <c r="H3417" i="2"/>
  <c r="H3416" i="2"/>
  <c r="H3415" i="2"/>
  <c r="H3414" i="2"/>
  <c r="H3413" i="2"/>
  <c r="H3412" i="2"/>
  <c r="H3411" i="2"/>
  <c r="H3410" i="2"/>
  <c r="H3409" i="2"/>
  <c r="H3408" i="2"/>
  <c r="H3407" i="2"/>
  <c r="H3406" i="2"/>
  <c r="H3405" i="2"/>
  <c r="H3404" i="2"/>
  <c r="H3403" i="2"/>
  <c r="H3402" i="2"/>
  <c r="H3401" i="2"/>
  <c r="H3400" i="2"/>
  <c r="H3399" i="2"/>
  <c r="H3398" i="2"/>
  <c r="H3397" i="2"/>
  <c r="H3396" i="2"/>
  <c r="H3395" i="2"/>
  <c r="H3394" i="2"/>
  <c r="H3393" i="2"/>
  <c r="H3392" i="2"/>
  <c r="H3391" i="2"/>
  <c r="H3390" i="2"/>
  <c r="H3389" i="2"/>
  <c r="H3388" i="2"/>
  <c r="H3387" i="2"/>
  <c r="H3386" i="2"/>
  <c r="H3385" i="2"/>
  <c r="H3384" i="2"/>
  <c r="H3383" i="2"/>
  <c r="H3382" i="2"/>
  <c r="H3381" i="2"/>
  <c r="H3380" i="2"/>
  <c r="H3379" i="2"/>
  <c r="H3378" i="2"/>
  <c r="H3377" i="2"/>
  <c r="H3376" i="2"/>
  <c r="H3375" i="2"/>
  <c r="H3374" i="2"/>
  <c r="H3373" i="2"/>
  <c r="H3372" i="2"/>
  <c r="H3371" i="2"/>
  <c r="H3370" i="2"/>
  <c r="H3369" i="2"/>
  <c r="H3368" i="2"/>
  <c r="H3367" i="2"/>
  <c r="H3366" i="2"/>
  <c r="H3365" i="2"/>
  <c r="H3364" i="2"/>
  <c r="H3363" i="2"/>
  <c r="H3362" i="2"/>
  <c r="H3361" i="2"/>
  <c r="H3360" i="2"/>
  <c r="H3359" i="2"/>
  <c r="H3358" i="2"/>
  <c r="H3357" i="2"/>
  <c r="H3356" i="2"/>
  <c r="H3355" i="2"/>
  <c r="H3354" i="2"/>
  <c r="H3353" i="2"/>
  <c r="H3352" i="2"/>
  <c r="H3351" i="2"/>
  <c r="H3350" i="2"/>
  <c r="H3349" i="2"/>
  <c r="H3348" i="2"/>
  <c r="H3347" i="2"/>
  <c r="H3346" i="2"/>
  <c r="H3345" i="2"/>
  <c r="H3344" i="2"/>
  <c r="H3343" i="2"/>
  <c r="H3342" i="2"/>
  <c r="H3341" i="2"/>
  <c r="H3340" i="2"/>
  <c r="H3339" i="2"/>
  <c r="H3338" i="2"/>
  <c r="H3337" i="2"/>
  <c r="H3336" i="2"/>
  <c r="H3335" i="2"/>
  <c r="H3334" i="2"/>
  <c r="H3333" i="2"/>
  <c r="H3332" i="2"/>
  <c r="H3331" i="2"/>
  <c r="H3330" i="2"/>
  <c r="H3329" i="2"/>
  <c r="H3328" i="2"/>
  <c r="H3327" i="2"/>
  <c r="H3326" i="2"/>
  <c r="H3325" i="2"/>
  <c r="H3324" i="2"/>
  <c r="H3323" i="2"/>
  <c r="H3322" i="2"/>
  <c r="H3321" i="2"/>
  <c r="H3320" i="2"/>
  <c r="H3319" i="2"/>
  <c r="H3318" i="2"/>
  <c r="H3317" i="2"/>
  <c r="H3316" i="2"/>
  <c r="H3315" i="2"/>
  <c r="H3314" i="2"/>
  <c r="H3313" i="2"/>
  <c r="H3312" i="2"/>
  <c r="H3311" i="2"/>
  <c r="H3310" i="2"/>
  <c r="H3309" i="2"/>
  <c r="H3308" i="2"/>
  <c r="H3307" i="2"/>
  <c r="H3306" i="2"/>
  <c r="H3305" i="2"/>
  <c r="H3304" i="2"/>
  <c r="H3303" i="2"/>
  <c r="H3302" i="2"/>
  <c r="H3301" i="2"/>
  <c r="H3300" i="2"/>
  <c r="H3299" i="2"/>
  <c r="H3298" i="2"/>
  <c r="H3297" i="2"/>
  <c r="H3296" i="2"/>
  <c r="H3295" i="2"/>
  <c r="H3294" i="2"/>
  <c r="H3293" i="2"/>
  <c r="H3292" i="2"/>
  <c r="H3291" i="2"/>
  <c r="H3290" i="2"/>
  <c r="H3289" i="2"/>
  <c r="H3288" i="2"/>
  <c r="H3287" i="2"/>
  <c r="H3286" i="2"/>
  <c r="H3285" i="2"/>
  <c r="H3284" i="2"/>
  <c r="H3283" i="2"/>
  <c r="H3282" i="2"/>
  <c r="H3281" i="2"/>
  <c r="H3280" i="2"/>
  <c r="H3279" i="2"/>
  <c r="H3278" i="2"/>
  <c r="H3277" i="2"/>
  <c r="H3276" i="2"/>
  <c r="H3275" i="2"/>
  <c r="H3274" i="2"/>
  <c r="H3273" i="2"/>
  <c r="H3272" i="2"/>
  <c r="H3271" i="2"/>
  <c r="H3270" i="2"/>
  <c r="H3269" i="2"/>
  <c r="H3268" i="2"/>
  <c r="H3267" i="2"/>
  <c r="H3266" i="2"/>
  <c r="H3265" i="2"/>
  <c r="H3264" i="2"/>
  <c r="H3263" i="2"/>
  <c r="H3262" i="2"/>
  <c r="H3261" i="2"/>
  <c r="H3260" i="2"/>
  <c r="H3259" i="2"/>
  <c r="H3258" i="2"/>
  <c r="H3257" i="2"/>
  <c r="H3256" i="2"/>
  <c r="H3255" i="2"/>
  <c r="H3254" i="2"/>
  <c r="H3253" i="2"/>
  <c r="H3252" i="2"/>
  <c r="H3251" i="2"/>
  <c r="H3250" i="2"/>
  <c r="H3249" i="2"/>
  <c r="H3248" i="2"/>
  <c r="H3247" i="2"/>
  <c r="H3246" i="2"/>
  <c r="H3245" i="2"/>
  <c r="H3244" i="2"/>
  <c r="H3243" i="2"/>
  <c r="H3242" i="2"/>
  <c r="H3241" i="2"/>
  <c r="H3240" i="2"/>
  <c r="H3239" i="2"/>
  <c r="H3238" i="2"/>
  <c r="H3237" i="2"/>
  <c r="H3236" i="2"/>
  <c r="H3235" i="2"/>
  <c r="H3234" i="2"/>
  <c r="H3233" i="2"/>
  <c r="H3232" i="2"/>
  <c r="H3231" i="2"/>
  <c r="H3230" i="2"/>
  <c r="H3229" i="2"/>
  <c r="H3228" i="2"/>
  <c r="H3227" i="2"/>
  <c r="H3226" i="2"/>
  <c r="H3225" i="2"/>
  <c r="H3224" i="2"/>
  <c r="H3223" i="2"/>
  <c r="H3222" i="2"/>
  <c r="H3221" i="2"/>
  <c r="H3220" i="2"/>
  <c r="H3219" i="2"/>
  <c r="H3218" i="2"/>
  <c r="H3217" i="2"/>
  <c r="H3216" i="2"/>
  <c r="H3215" i="2"/>
  <c r="H3214" i="2"/>
  <c r="H3213" i="2"/>
  <c r="H3212" i="2"/>
  <c r="H3211" i="2"/>
  <c r="H3210" i="2"/>
  <c r="H3209" i="2"/>
  <c r="H3208" i="2"/>
  <c r="H3207" i="2"/>
  <c r="H3206" i="2"/>
  <c r="H3205" i="2"/>
  <c r="H3204" i="2"/>
  <c r="H3203" i="2"/>
  <c r="H3202" i="2"/>
  <c r="H3201" i="2"/>
  <c r="H3200" i="2"/>
  <c r="H3199" i="2"/>
  <c r="H3198" i="2"/>
  <c r="H3197" i="2"/>
  <c r="H3196" i="2"/>
  <c r="H3195" i="2"/>
  <c r="H3194" i="2"/>
  <c r="H3193" i="2"/>
  <c r="H3192" i="2"/>
  <c r="H3191" i="2"/>
  <c r="H3190" i="2"/>
  <c r="H3189" i="2"/>
  <c r="H3188" i="2"/>
  <c r="H3187" i="2"/>
  <c r="H3186" i="2"/>
  <c r="H3185" i="2"/>
  <c r="H3184" i="2"/>
  <c r="H3183" i="2"/>
  <c r="H3182" i="2"/>
  <c r="H3181" i="2"/>
  <c r="H3180" i="2"/>
  <c r="H3179" i="2"/>
  <c r="H3178" i="2"/>
  <c r="H3177" i="2"/>
  <c r="H3176" i="2"/>
  <c r="H3175" i="2"/>
  <c r="H3174" i="2"/>
  <c r="H3173" i="2"/>
  <c r="H3172" i="2"/>
  <c r="H3171" i="2"/>
  <c r="H3170" i="2"/>
  <c r="H3169" i="2"/>
  <c r="H3168" i="2"/>
  <c r="H3167" i="2"/>
  <c r="H3166" i="2"/>
  <c r="H3165" i="2"/>
  <c r="H3164" i="2"/>
  <c r="H3163" i="2"/>
  <c r="H3162" i="2"/>
  <c r="H3161" i="2"/>
  <c r="H3160" i="2"/>
  <c r="H3159" i="2"/>
  <c r="H3158" i="2"/>
  <c r="H3157" i="2"/>
  <c r="H3156" i="2"/>
  <c r="H3155" i="2"/>
  <c r="H3154" i="2"/>
  <c r="H3153" i="2"/>
  <c r="H3152" i="2"/>
  <c r="H3151" i="2"/>
  <c r="H3150" i="2"/>
  <c r="H3149" i="2"/>
  <c r="H3148" i="2"/>
  <c r="H3147" i="2"/>
  <c r="H3146" i="2"/>
  <c r="H3145" i="2"/>
  <c r="H3144" i="2"/>
  <c r="H3143" i="2"/>
  <c r="H3142" i="2"/>
  <c r="H3141" i="2"/>
  <c r="H3140" i="2"/>
  <c r="H3139" i="2"/>
  <c r="H3138" i="2"/>
  <c r="H3137" i="2"/>
  <c r="H3136" i="2"/>
  <c r="H3135" i="2"/>
  <c r="H3134" i="2"/>
  <c r="H3133" i="2"/>
  <c r="H3132" i="2"/>
  <c r="H3131" i="2"/>
  <c r="H3130" i="2"/>
  <c r="H3129" i="2"/>
  <c r="H3128" i="2"/>
  <c r="H3127" i="2"/>
  <c r="H3126" i="2"/>
  <c r="H3125" i="2"/>
  <c r="H3124" i="2"/>
  <c r="H3123" i="2"/>
  <c r="H3122" i="2"/>
  <c r="H3121" i="2"/>
  <c r="H3120" i="2"/>
  <c r="H3119" i="2"/>
  <c r="H3118" i="2"/>
  <c r="H3117" i="2"/>
  <c r="H3116" i="2"/>
  <c r="H3115" i="2"/>
  <c r="H3114" i="2"/>
  <c r="H3113" i="2"/>
  <c r="H3112" i="2"/>
  <c r="H3111" i="2"/>
  <c r="H3110" i="2"/>
  <c r="H3109" i="2"/>
  <c r="H3108" i="2"/>
  <c r="H3107" i="2"/>
  <c r="H3106" i="2"/>
  <c r="H3105" i="2"/>
  <c r="H3104" i="2"/>
  <c r="H3103" i="2"/>
  <c r="H3102" i="2"/>
  <c r="H3101" i="2"/>
  <c r="H3100" i="2"/>
  <c r="H3099" i="2"/>
  <c r="H3098" i="2"/>
  <c r="H3097" i="2"/>
  <c r="H3096" i="2"/>
  <c r="H3095" i="2"/>
  <c r="H3094" i="2"/>
  <c r="H3093" i="2"/>
  <c r="H3092" i="2"/>
  <c r="H3091" i="2"/>
  <c r="H3090" i="2"/>
  <c r="H3089" i="2"/>
  <c r="H3088" i="2"/>
  <c r="H3087" i="2"/>
  <c r="H3086" i="2"/>
  <c r="H3085" i="2"/>
  <c r="H3084" i="2"/>
  <c r="H3083" i="2"/>
  <c r="H3082" i="2"/>
  <c r="H3081" i="2"/>
  <c r="H3080" i="2"/>
  <c r="H3079" i="2"/>
  <c r="H3078" i="2"/>
  <c r="H3077" i="2"/>
  <c r="H3076" i="2"/>
  <c r="H3075" i="2"/>
  <c r="H3074" i="2"/>
  <c r="H3073" i="2"/>
  <c r="H3072" i="2"/>
  <c r="H3071" i="2"/>
  <c r="H3070" i="2"/>
  <c r="H3069" i="2"/>
  <c r="H3068" i="2"/>
  <c r="H3067" i="2"/>
  <c r="H3066" i="2"/>
  <c r="H3065" i="2"/>
  <c r="H3064" i="2"/>
  <c r="H3063" i="2"/>
  <c r="H3062" i="2"/>
  <c r="H3061" i="2"/>
  <c r="H3060" i="2"/>
  <c r="H3059" i="2"/>
  <c r="H3058" i="2"/>
  <c r="H3057" i="2"/>
  <c r="H3056" i="2"/>
  <c r="H3055" i="2"/>
  <c r="H3054" i="2"/>
  <c r="H3053" i="2"/>
  <c r="H3052" i="2"/>
  <c r="H3051" i="2"/>
  <c r="H3050" i="2"/>
  <c r="H3049" i="2"/>
  <c r="H3048" i="2"/>
  <c r="H3047" i="2"/>
  <c r="H3046" i="2"/>
  <c r="H3045" i="2"/>
  <c r="H3044" i="2"/>
  <c r="H3043" i="2"/>
  <c r="H3042" i="2"/>
  <c r="H3041" i="2"/>
  <c r="H3040" i="2"/>
  <c r="H3039" i="2"/>
  <c r="H3038" i="2"/>
  <c r="H3037" i="2"/>
  <c r="H3036" i="2"/>
  <c r="H3035" i="2"/>
  <c r="H3034" i="2"/>
  <c r="H3033" i="2"/>
  <c r="H3032" i="2"/>
  <c r="H3031" i="2"/>
  <c r="H3030" i="2"/>
  <c r="H3029" i="2"/>
  <c r="H3028" i="2"/>
  <c r="H3027" i="2"/>
  <c r="H3026" i="2"/>
  <c r="H3025" i="2"/>
  <c r="H3024" i="2"/>
  <c r="H3023" i="2"/>
  <c r="H3022" i="2"/>
  <c r="H3021" i="2"/>
  <c r="H3020" i="2"/>
  <c r="H3019" i="2"/>
  <c r="H3018" i="2"/>
  <c r="H3017" i="2"/>
  <c r="H3016" i="2"/>
  <c r="H3015" i="2"/>
  <c r="H3014" i="2"/>
  <c r="H3013" i="2"/>
  <c r="H3012" i="2"/>
  <c r="H3011" i="2"/>
  <c r="H3010" i="2"/>
  <c r="H3009" i="2"/>
  <c r="H3008" i="2"/>
  <c r="H3007" i="2"/>
  <c r="H3006" i="2"/>
  <c r="H3005" i="2"/>
  <c r="H3004" i="2"/>
  <c r="H3003" i="2"/>
  <c r="H3002" i="2"/>
  <c r="H3001" i="2"/>
  <c r="H3000" i="2"/>
  <c r="H2999" i="2"/>
  <c r="H2998" i="2"/>
  <c r="H2997" i="2"/>
  <c r="H2996" i="2"/>
  <c r="H2995" i="2"/>
  <c r="H2994" i="2"/>
  <c r="H2993" i="2"/>
  <c r="H2992" i="2"/>
  <c r="H2991" i="2"/>
  <c r="H2990" i="2"/>
  <c r="H2989" i="2"/>
  <c r="H2988" i="2"/>
  <c r="H2987" i="2"/>
  <c r="H2986" i="2"/>
  <c r="H2985" i="2"/>
  <c r="H2984" i="2"/>
  <c r="H2983" i="2"/>
  <c r="H2982" i="2"/>
  <c r="H2981" i="2"/>
  <c r="H2980" i="2"/>
  <c r="H2979" i="2"/>
  <c r="H2978" i="2"/>
  <c r="H2977" i="2"/>
  <c r="H2976" i="2"/>
  <c r="H2975" i="2"/>
  <c r="H2974" i="2"/>
  <c r="H2973" i="2"/>
  <c r="H2972" i="2"/>
  <c r="H2971" i="2"/>
  <c r="H2970" i="2"/>
  <c r="H2969" i="2"/>
  <c r="H2968" i="2"/>
  <c r="H2967" i="2"/>
  <c r="H2966" i="2"/>
  <c r="H2965" i="2"/>
  <c r="H2964" i="2"/>
  <c r="H2963" i="2"/>
  <c r="H2962" i="2"/>
  <c r="H2961" i="2"/>
  <c r="H2960" i="2"/>
  <c r="H2959" i="2"/>
  <c r="H2958" i="2"/>
  <c r="H2957" i="2"/>
  <c r="H2956" i="2"/>
  <c r="H2955" i="2"/>
  <c r="H2954" i="2"/>
  <c r="H2953" i="2"/>
  <c r="H2952" i="2"/>
  <c r="H2951" i="2"/>
  <c r="H2950" i="2"/>
  <c r="H2949" i="2"/>
  <c r="H2948" i="2"/>
  <c r="H2947" i="2"/>
  <c r="H2946" i="2"/>
  <c r="H2945" i="2"/>
  <c r="H2944" i="2"/>
  <c r="H2943" i="2"/>
  <c r="H2942" i="2"/>
  <c r="H2941" i="2"/>
  <c r="H2940" i="2"/>
  <c r="H2939" i="2"/>
  <c r="H2938" i="2"/>
  <c r="H2937" i="2"/>
  <c r="H2936" i="2"/>
  <c r="H2935" i="2"/>
  <c r="H2934" i="2"/>
  <c r="H2933" i="2"/>
  <c r="H2932" i="2"/>
  <c r="H2931" i="2"/>
  <c r="H2930" i="2"/>
  <c r="H2929" i="2"/>
  <c r="H2928" i="2"/>
  <c r="H2927" i="2"/>
  <c r="H2926" i="2"/>
  <c r="H2925" i="2"/>
  <c r="H2924" i="2"/>
  <c r="H2923" i="2"/>
  <c r="H2922" i="2"/>
  <c r="H2921" i="2"/>
  <c r="H2920" i="2"/>
  <c r="H2919" i="2"/>
  <c r="H2918" i="2"/>
  <c r="H2917" i="2"/>
  <c r="H2916" i="2"/>
  <c r="H2915" i="2"/>
  <c r="H2914" i="2"/>
  <c r="H2913" i="2"/>
  <c r="H2912" i="2"/>
  <c r="H2911" i="2"/>
  <c r="H2910" i="2"/>
  <c r="H2909" i="2"/>
  <c r="H2908" i="2"/>
  <c r="H2907" i="2"/>
  <c r="H2906" i="2"/>
  <c r="H2905" i="2"/>
  <c r="H2904" i="2"/>
  <c r="H2903" i="2"/>
  <c r="H2902" i="2"/>
  <c r="H2901" i="2"/>
  <c r="H2900" i="2"/>
  <c r="H2899" i="2"/>
  <c r="H2898" i="2"/>
  <c r="H2897" i="2"/>
  <c r="H2896" i="2"/>
  <c r="H2895" i="2"/>
  <c r="H2894" i="2"/>
  <c r="H2893" i="2"/>
  <c r="H2892" i="2"/>
  <c r="H2891" i="2"/>
  <c r="H2890" i="2"/>
  <c r="H2889" i="2"/>
  <c r="H2888" i="2"/>
  <c r="H2887" i="2"/>
  <c r="H2886" i="2"/>
  <c r="H2885" i="2"/>
  <c r="H2884" i="2"/>
  <c r="H2883" i="2"/>
  <c r="H2882" i="2"/>
  <c r="H2881" i="2"/>
  <c r="H2880" i="2"/>
  <c r="H2879" i="2"/>
  <c r="H2878" i="2"/>
  <c r="H2877" i="2"/>
  <c r="H2876" i="2"/>
  <c r="H2875" i="2"/>
  <c r="H2874" i="2"/>
  <c r="H2873" i="2"/>
  <c r="H2872" i="2"/>
  <c r="H2871" i="2"/>
  <c r="H2870" i="2"/>
  <c r="H2869" i="2"/>
  <c r="H2868" i="2"/>
  <c r="H2867" i="2"/>
  <c r="H2866" i="2"/>
  <c r="H2865" i="2"/>
  <c r="H2864" i="2"/>
  <c r="H2863" i="2"/>
  <c r="H2862" i="2"/>
  <c r="H2861" i="2"/>
  <c r="H2860" i="2"/>
  <c r="H2859" i="2"/>
  <c r="H2858" i="2"/>
  <c r="H2857" i="2"/>
  <c r="H2856" i="2"/>
  <c r="H2855" i="2"/>
  <c r="H2854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B10" i="1"/>
  <c r="D7" i="1"/>
  <c r="C7" i="1"/>
  <c r="B7" i="1"/>
  <c r="D6" i="1"/>
  <c r="C6" i="1"/>
  <c r="B6" i="1"/>
  <c r="D5" i="1"/>
  <c r="C5" i="1"/>
  <c r="B5" i="1"/>
  <c r="N143" i="3" l="1"/>
  <c r="O160" i="3"/>
  <c r="O16" i="3"/>
  <c r="N162" i="3"/>
  <c r="M162" i="3"/>
  <c r="O43" i="3"/>
  <c r="O52" i="3"/>
  <c r="O17" i="3"/>
  <c r="M139" i="3"/>
  <c r="N139" i="3"/>
  <c r="O118" i="3"/>
  <c r="N201" i="3"/>
  <c r="O49" i="3"/>
  <c r="O86" i="3"/>
  <c r="O20" i="3"/>
  <c r="M147" i="3"/>
  <c r="N25" i="3"/>
  <c r="O25" i="3" s="1"/>
  <c r="N42" i="3"/>
  <c r="M42" i="3"/>
  <c r="P42" i="3" s="1"/>
  <c r="M49" i="3"/>
  <c r="M59" i="3"/>
  <c r="O100" i="3"/>
  <c r="N164" i="3"/>
  <c r="O164" i="3" s="1"/>
  <c r="P181" i="3"/>
  <c r="N185" i="3"/>
  <c r="M185" i="3"/>
  <c r="P185" i="3" s="1"/>
  <c r="N210" i="3"/>
  <c r="O210" i="3" s="1"/>
  <c r="M210" i="3"/>
  <c r="P210" i="3" s="1"/>
  <c r="N38" i="4"/>
  <c r="O38" i="4" s="1"/>
  <c r="M38" i="4"/>
  <c r="M57" i="4"/>
  <c r="N57" i="4"/>
  <c r="O57" i="4" s="1"/>
  <c r="N109" i="4"/>
  <c r="M109" i="4"/>
  <c r="P109" i="4" s="1"/>
  <c r="P91" i="20"/>
  <c r="P91" i="10"/>
  <c r="N113" i="3"/>
  <c r="O113" i="3" s="1"/>
  <c r="N158" i="3"/>
  <c r="O158" i="3" s="1"/>
  <c r="M158" i="3"/>
  <c r="P158" i="3" s="1"/>
  <c r="N161" i="3"/>
  <c r="M161" i="3"/>
  <c r="P161" i="3" s="1"/>
  <c r="N33" i="4"/>
  <c r="O33" i="4" s="1"/>
  <c r="M33" i="4"/>
  <c r="P33" i="4" s="1"/>
  <c r="N15" i="5"/>
  <c r="O15" i="5" s="1"/>
  <c r="M15" i="5"/>
  <c r="P15" i="5" s="1"/>
  <c r="K82" i="6"/>
  <c r="F82" i="6"/>
  <c r="N82" i="6" s="1"/>
  <c r="F170" i="3"/>
  <c r="N39" i="3"/>
  <c r="P100" i="3"/>
  <c r="M109" i="3"/>
  <c r="O117" i="3"/>
  <c r="N182" i="3"/>
  <c r="M182" i="3"/>
  <c r="P182" i="3" s="1"/>
  <c r="F89" i="4"/>
  <c r="N95" i="4"/>
  <c r="N80" i="6"/>
  <c r="O71" i="3"/>
  <c r="N142" i="3"/>
  <c r="N186" i="3"/>
  <c r="M186" i="3"/>
  <c r="P186" i="3" s="1"/>
  <c r="O101" i="4"/>
  <c r="N9" i="3"/>
  <c r="O9" i="3" s="1"/>
  <c r="M9" i="3"/>
  <c r="P9" i="3" s="1"/>
  <c r="M29" i="3"/>
  <c r="P29" i="3" s="1"/>
  <c r="N67" i="3"/>
  <c r="M67" i="3"/>
  <c r="M75" i="3"/>
  <c r="P75" i="3" s="1"/>
  <c r="O122" i="3"/>
  <c r="M142" i="3"/>
  <c r="P142" i="3" s="1"/>
  <c r="N165" i="3"/>
  <c r="O165" i="3" s="1"/>
  <c r="M165" i="3"/>
  <c r="N175" i="3"/>
  <c r="M175" i="3"/>
  <c r="O203" i="3"/>
  <c r="M8" i="4"/>
  <c r="M97" i="6"/>
  <c r="M16" i="3"/>
  <c r="N53" i="3"/>
  <c r="O53" i="3" s="1"/>
  <c r="N152" i="3"/>
  <c r="M197" i="3"/>
  <c r="P197" i="3" s="1"/>
  <c r="N8" i="4"/>
  <c r="O8" i="4" s="1"/>
  <c r="O34" i="4"/>
  <c r="N102" i="4"/>
  <c r="O39" i="6"/>
  <c r="N51" i="6"/>
  <c r="M51" i="6"/>
  <c r="M53" i="6" s="1"/>
  <c r="O106" i="6"/>
  <c r="N49" i="8"/>
  <c r="M13" i="3"/>
  <c r="P13" i="3" s="1"/>
  <c r="M26" i="3"/>
  <c r="P26" i="3" s="1"/>
  <c r="M39" i="3"/>
  <c r="P7" i="18"/>
  <c r="P39" i="4"/>
  <c r="M71" i="3"/>
  <c r="P71" i="3" s="1"/>
  <c r="M86" i="3"/>
  <c r="N109" i="3"/>
  <c r="O155" i="3"/>
  <c r="O193" i="3"/>
  <c r="N14" i="4"/>
  <c r="O14" i="4" s="1"/>
  <c r="M14" i="4"/>
  <c r="P14" i="4" s="1"/>
  <c r="D76" i="4"/>
  <c r="N90" i="4"/>
  <c r="O90" i="4" s="1"/>
  <c r="M50" i="3"/>
  <c r="P50" i="3" s="1"/>
  <c r="P50" i="8"/>
  <c r="P105" i="3"/>
  <c r="M118" i="3"/>
  <c r="P118" i="3" s="1"/>
  <c r="M143" i="3"/>
  <c r="P143" i="3" s="1"/>
  <c r="N159" i="3"/>
  <c r="N183" i="3"/>
  <c r="N9" i="4"/>
  <c r="M9" i="4"/>
  <c r="M24" i="4" s="1"/>
  <c r="B78" i="5"/>
  <c r="E47" i="5"/>
  <c r="F20" i="5"/>
  <c r="G47" i="5" s="1"/>
  <c r="P10" i="11"/>
  <c r="P11" i="6"/>
  <c r="O11" i="8"/>
  <c r="N6" i="3"/>
  <c r="M6" i="3"/>
  <c r="M23" i="3"/>
  <c r="P23" i="3" s="1"/>
  <c r="N76" i="3"/>
  <c r="M76" i="3"/>
  <c r="P76" i="3" s="1"/>
  <c r="M101" i="3"/>
  <c r="O105" i="3"/>
  <c r="F72" i="5"/>
  <c r="F47" i="5"/>
  <c r="O11" i="6"/>
  <c r="N17" i="6"/>
  <c r="N90" i="6"/>
  <c r="M94" i="6"/>
  <c r="O94" i="6" s="1"/>
  <c r="N64" i="3"/>
  <c r="N217" i="3"/>
  <c r="O217" i="3" s="1"/>
  <c r="N110" i="3"/>
  <c r="O110" i="3" s="1"/>
  <c r="N149" i="3"/>
  <c r="O149" i="3" s="1"/>
  <c r="N156" i="3"/>
  <c r="O156" i="3" s="1"/>
  <c r="M173" i="3"/>
  <c r="N176" i="3"/>
  <c r="N190" i="3"/>
  <c r="O190" i="3" s="1"/>
  <c r="N194" i="3"/>
  <c r="M214" i="3"/>
  <c r="O214" i="3" s="1"/>
  <c r="M62" i="4"/>
  <c r="O62" i="4" s="1"/>
  <c r="N91" i="4"/>
  <c r="O106" i="4"/>
  <c r="O58" i="5"/>
  <c r="F91" i="6"/>
  <c r="M91" i="6" s="1"/>
  <c r="F34" i="3"/>
  <c r="M20" i="3"/>
  <c r="P20" i="3" s="1"/>
  <c r="O68" i="3"/>
  <c r="N59" i="4"/>
  <c r="M59" i="4"/>
  <c r="P59" i="4" s="1"/>
  <c r="N24" i="5"/>
  <c r="M24" i="5"/>
  <c r="M10" i="3"/>
  <c r="P10" i="3" s="1"/>
  <c r="M14" i="3"/>
  <c r="M72" i="3"/>
  <c r="P72" i="3" s="1"/>
  <c r="N119" i="3"/>
  <c r="M119" i="3"/>
  <c r="P119" i="3" s="1"/>
  <c r="O169" i="3"/>
  <c r="N197" i="3"/>
  <c r="O197" i="3" s="1"/>
  <c r="N103" i="4"/>
  <c r="N12" i="5"/>
  <c r="O12" i="5" s="1"/>
  <c r="M12" i="5"/>
  <c r="M40" i="3"/>
  <c r="P47" i="3"/>
  <c r="N61" i="3"/>
  <c r="O61" i="3" s="1"/>
  <c r="M64" i="3"/>
  <c r="P64" i="3" s="1"/>
  <c r="O94" i="3"/>
  <c r="N140" i="3"/>
  <c r="O140" i="3" s="1"/>
  <c r="N150" i="3"/>
  <c r="O150" i="3" s="1"/>
  <c r="M153" i="3"/>
  <c r="P153" i="3" s="1"/>
  <c r="M215" i="3"/>
  <c r="P215" i="3" s="1"/>
  <c r="B228" i="3"/>
  <c r="N35" i="4"/>
  <c r="N37" i="5"/>
  <c r="O37" i="5" s="1"/>
  <c r="M37" i="5"/>
  <c r="N32" i="6"/>
  <c r="O32" i="6" s="1"/>
  <c r="M68" i="3"/>
  <c r="P68" i="3" s="1"/>
  <c r="N98" i="3"/>
  <c r="O98" i="3" s="1"/>
  <c r="N147" i="3"/>
  <c r="N170" i="3"/>
  <c r="M191" i="3"/>
  <c r="P191" i="3" s="1"/>
  <c r="M201" i="3"/>
  <c r="O211" i="3"/>
  <c r="N6" i="4"/>
  <c r="O15" i="4"/>
  <c r="P19" i="4"/>
  <c r="M35" i="4"/>
  <c r="N107" i="4"/>
  <c r="O107" i="4" s="1"/>
  <c r="M107" i="4"/>
  <c r="N48" i="3"/>
  <c r="O48" i="3" s="1"/>
  <c r="M48" i="3"/>
  <c r="F187" i="3"/>
  <c r="M144" i="3"/>
  <c r="P144" i="3" s="1"/>
  <c r="N166" i="3"/>
  <c r="O166" i="3" s="1"/>
  <c r="N198" i="3"/>
  <c r="O198" i="3" s="1"/>
  <c r="O85" i="4"/>
  <c r="N62" i="5"/>
  <c r="O62" i="5" s="1"/>
  <c r="M62" i="5"/>
  <c r="P62" i="5" s="1"/>
  <c r="N13" i="6"/>
  <c r="O13" i="6" s="1"/>
  <c r="M13" i="6"/>
  <c r="N23" i="6"/>
  <c r="M23" i="6"/>
  <c r="P23" i="6" s="1"/>
  <c r="P61" i="20"/>
  <c r="P35" i="11"/>
  <c r="M24" i="9"/>
  <c r="P23" i="9"/>
  <c r="P24" i="9" s="1"/>
  <c r="N73" i="3"/>
  <c r="O73" i="3" s="1"/>
  <c r="M73" i="3"/>
  <c r="P73" i="3" s="1"/>
  <c r="N195" i="3"/>
  <c r="O195" i="3" s="1"/>
  <c r="M205" i="3"/>
  <c r="P205" i="3" s="1"/>
  <c r="F27" i="4"/>
  <c r="N36" i="4"/>
  <c r="O36" i="4" s="1"/>
  <c r="M36" i="4"/>
  <c r="N104" i="4"/>
  <c r="N111" i="4"/>
  <c r="O111" i="4" s="1"/>
  <c r="M111" i="4"/>
  <c r="P50" i="11"/>
  <c r="P91" i="3"/>
  <c r="N141" i="3"/>
  <c r="M141" i="3"/>
  <c r="P141" i="3" s="1"/>
  <c r="N154" i="3"/>
  <c r="N202" i="3"/>
  <c r="O202" i="3" s="1"/>
  <c r="M202" i="3"/>
  <c r="P202" i="3" s="1"/>
  <c r="N215" i="3"/>
  <c r="O215" i="3" s="1"/>
  <c r="O11" i="4"/>
  <c r="N98" i="4"/>
  <c r="O98" i="4" s="1"/>
  <c r="M98" i="4"/>
  <c r="N105" i="4"/>
  <c r="O105" i="4" s="1"/>
  <c r="M105" i="4"/>
  <c r="P105" i="4" s="1"/>
  <c r="D74" i="4"/>
  <c r="F28" i="4"/>
  <c r="G74" i="4" s="1"/>
  <c r="N100" i="4"/>
  <c r="O100" i="4" s="1"/>
  <c r="M100" i="4"/>
  <c r="P38" i="18" s="1"/>
  <c r="P41" i="14"/>
  <c r="P32" i="6"/>
  <c r="M41" i="6"/>
  <c r="N41" i="6"/>
  <c r="P61" i="6"/>
  <c r="O81" i="8"/>
  <c r="M7" i="3"/>
  <c r="O7" i="3" s="1"/>
  <c r="N45" i="3"/>
  <c r="M45" i="3"/>
  <c r="M58" i="3"/>
  <c r="O58" i="3" s="1"/>
  <c r="O91" i="3"/>
  <c r="N177" i="3"/>
  <c r="O177" i="3" s="1"/>
  <c r="O191" i="3"/>
  <c r="O55" i="5"/>
  <c r="O63" i="5"/>
  <c r="N63" i="6"/>
  <c r="O61" i="6"/>
  <c r="N92" i="6"/>
  <c r="O92" i="6" s="1"/>
  <c r="M92" i="6"/>
  <c r="M12" i="9"/>
  <c r="P12" i="9" s="1"/>
  <c r="N12" i="9"/>
  <c r="O12" i="9" s="1"/>
  <c r="M69" i="3"/>
  <c r="P69" i="3" s="1"/>
  <c r="N171" i="3"/>
  <c r="O171" i="3" s="1"/>
  <c r="N174" i="3"/>
  <c r="O174" i="3" s="1"/>
  <c r="O184" i="3"/>
  <c r="N20" i="4"/>
  <c r="O20" i="4" s="1"/>
  <c r="N88" i="4"/>
  <c r="M88" i="4"/>
  <c r="N92" i="4"/>
  <c r="O92" i="4" s="1"/>
  <c r="M11" i="3"/>
  <c r="P11" i="3" s="1"/>
  <c r="N15" i="3"/>
  <c r="M15" i="3"/>
  <c r="O21" i="3"/>
  <c r="M55" i="3"/>
  <c r="P55" i="3" s="1"/>
  <c r="M88" i="3"/>
  <c r="P88" i="3" s="1"/>
  <c r="O99" i="3"/>
  <c r="M103" i="3"/>
  <c r="P103" i="3" s="1"/>
  <c r="K138" i="3"/>
  <c r="N138" i="3" s="1"/>
  <c r="F167" i="3"/>
  <c r="N167" i="3" s="1"/>
  <c r="N178" i="3"/>
  <c r="M178" i="3"/>
  <c r="M192" i="3"/>
  <c r="N212" i="3"/>
  <c r="O212" i="3" s="1"/>
  <c r="M11" i="4"/>
  <c r="P11" i="4" s="1"/>
  <c r="N17" i="4"/>
  <c r="M17" i="4"/>
  <c r="M63" i="5"/>
  <c r="N14" i="6"/>
  <c r="M14" i="6"/>
  <c r="P14" i="6" s="1"/>
  <c r="N99" i="6"/>
  <c r="M99" i="6"/>
  <c r="N7" i="7"/>
  <c r="M7" i="7"/>
  <c r="M41" i="3"/>
  <c r="P41" i="3" s="1"/>
  <c r="O74" i="3"/>
  <c r="F126" i="3"/>
  <c r="F133" i="3" s="1"/>
  <c r="N188" i="3"/>
  <c r="O188" i="3" s="1"/>
  <c r="F88" i="4"/>
  <c r="F99" i="4"/>
  <c r="N99" i="4" s="1"/>
  <c r="F69" i="4"/>
  <c r="F76" i="4" s="1"/>
  <c r="K84" i="4"/>
  <c r="M97" i="4"/>
  <c r="P97" i="4" s="1"/>
  <c r="P14" i="5"/>
  <c r="D49" i="5"/>
  <c r="F43" i="5"/>
  <c r="G49" i="5" s="1"/>
  <c r="N60" i="5"/>
  <c r="O60" i="5" s="1"/>
  <c r="N21" i="7"/>
  <c r="M21" i="7"/>
  <c r="O18" i="3"/>
  <c r="M28" i="3"/>
  <c r="P28" i="3" s="1"/>
  <c r="F189" i="3"/>
  <c r="M62" i="3"/>
  <c r="P62" i="3" s="1"/>
  <c r="N92" i="3"/>
  <c r="M92" i="3"/>
  <c r="P92" i="3" s="1"/>
  <c r="M145" i="3"/>
  <c r="P145" i="3" s="1"/>
  <c r="N148" i="3"/>
  <c r="M148" i="3"/>
  <c r="P148" i="3" s="1"/>
  <c r="M154" i="3"/>
  <c r="N209" i="3"/>
  <c r="N12" i="4"/>
  <c r="O12" i="4" s="1"/>
  <c r="M12" i="4"/>
  <c r="P12" i="4" s="1"/>
  <c r="F51" i="4"/>
  <c r="F75" i="4" s="1"/>
  <c r="K86" i="4"/>
  <c r="N86" i="4" s="1"/>
  <c r="O56" i="4"/>
  <c r="N93" i="4"/>
  <c r="M93" i="4"/>
  <c r="N112" i="4"/>
  <c r="N29" i="6"/>
  <c r="O29" i="6" s="1"/>
  <c r="O62" i="6"/>
  <c r="M81" i="8"/>
  <c r="D131" i="3"/>
  <c r="B227" i="3"/>
  <c r="N70" i="3"/>
  <c r="M70" i="3"/>
  <c r="P70" i="3" s="1"/>
  <c r="N85" i="3"/>
  <c r="M151" i="3"/>
  <c r="N206" i="3"/>
  <c r="O206" i="3" s="1"/>
  <c r="M206" i="3"/>
  <c r="P206" i="3" s="1"/>
  <c r="N213" i="3"/>
  <c r="M213" i="3"/>
  <c r="P213" i="3" s="1"/>
  <c r="N9" i="5"/>
  <c r="N16" i="5" s="1"/>
  <c r="M9" i="5"/>
  <c r="P9" i="5" s="1"/>
  <c r="N34" i="5"/>
  <c r="O34" i="5" s="1"/>
  <c r="M34" i="5"/>
  <c r="P34" i="5" s="1"/>
  <c r="F73" i="5"/>
  <c r="N96" i="6"/>
  <c r="O73" i="8"/>
  <c r="N12" i="3"/>
  <c r="M12" i="3"/>
  <c r="P12" i="3" s="1"/>
  <c r="N56" i="3"/>
  <c r="O56" i="3" s="1"/>
  <c r="N89" i="3"/>
  <c r="O89" i="3" s="1"/>
  <c r="M108" i="3"/>
  <c r="P108" i="3" s="1"/>
  <c r="N151" i="3"/>
  <c r="M168" i="3"/>
  <c r="N189" i="3"/>
  <c r="M189" i="3"/>
  <c r="N192" i="3"/>
  <c r="N196" i="3"/>
  <c r="N199" i="3"/>
  <c r="O199" i="3" s="1"/>
  <c r="M199" i="3"/>
  <c r="P199" i="3" s="1"/>
  <c r="N32" i="4"/>
  <c r="N89" i="4"/>
  <c r="N10" i="6"/>
  <c r="M10" i="6"/>
  <c r="N20" i="6"/>
  <c r="O20" i="6" s="1"/>
  <c r="M20" i="6"/>
  <c r="N52" i="8"/>
  <c r="F81" i="3"/>
  <c r="G132" i="3" s="1"/>
  <c r="N87" i="3"/>
  <c r="O87" i="3" s="1"/>
  <c r="N157" i="3"/>
  <c r="O157" i="3" s="1"/>
  <c r="N181" i="3"/>
  <c r="O181" i="3" s="1"/>
  <c r="N205" i="3"/>
  <c r="O205" i="3" s="1"/>
  <c r="N19" i="4"/>
  <c r="O19" i="4" s="1"/>
  <c r="N43" i="4"/>
  <c r="O43" i="4" s="1"/>
  <c r="N61" i="4"/>
  <c r="O61" i="4" s="1"/>
  <c r="N87" i="4"/>
  <c r="O87" i="4" s="1"/>
  <c r="N59" i="5"/>
  <c r="O59" i="5" s="1"/>
  <c r="F112" i="6"/>
  <c r="M104" i="6"/>
  <c r="P104" i="6" s="1"/>
  <c r="N7" i="8"/>
  <c r="M7" i="8"/>
  <c r="M23" i="8" s="1"/>
  <c r="O30" i="11"/>
  <c r="N11" i="5"/>
  <c r="O11" i="5" s="1"/>
  <c r="N67" i="5"/>
  <c r="O67" i="5" s="1"/>
  <c r="M67" i="5"/>
  <c r="P67" i="5" s="1"/>
  <c r="O6" i="6"/>
  <c r="P14" i="9"/>
  <c r="P8" i="8"/>
  <c r="F56" i="6"/>
  <c r="N77" i="8"/>
  <c r="M77" i="8"/>
  <c r="N7" i="9"/>
  <c r="M7" i="9"/>
  <c r="B56" i="9"/>
  <c r="D32" i="9"/>
  <c r="N8" i="10"/>
  <c r="O8" i="10" s="1"/>
  <c r="M8" i="10"/>
  <c r="P8" i="10" s="1"/>
  <c r="M28" i="6"/>
  <c r="O28" i="6" s="1"/>
  <c r="F66" i="6"/>
  <c r="M86" i="6"/>
  <c r="P86" i="6" s="1"/>
  <c r="M96" i="6"/>
  <c r="P96" i="6" s="1"/>
  <c r="O10" i="8"/>
  <c r="M14" i="8"/>
  <c r="P14" i="8" s="1"/>
  <c r="F91" i="8"/>
  <c r="M96" i="8"/>
  <c r="P96" i="8" s="1"/>
  <c r="O33" i="10"/>
  <c r="M55" i="5"/>
  <c r="F87" i="6"/>
  <c r="N87" i="6" s="1"/>
  <c r="O87" i="6" s="1"/>
  <c r="M22" i="6"/>
  <c r="O22" i="6" s="1"/>
  <c r="P31" i="6"/>
  <c r="M37" i="6"/>
  <c r="M79" i="6"/>
  <c r="O79" i="6" s="1"/>
  <c r="N108" i="6"/>
  <c r="O108" i="6" s="1"/>
  <c r="M108" i="6"/>
  <c r="O18" i="8"/>
  <c r="F43" i="9"/>
  <c r="O42" i="9"/>
  <c r="F142" i="10"/>
  <c r="P25" i="6"/>
  <c r="O34" i="6"/>
  <c r="M8" i="7"/>
  <c r="M74" i="8"/>
  <c r="O74" i="8" s="1"/>
  <c r="D38" i="13"/>
  <c r="F33" i="13"/>
  <c r="G38" i="13" s="1"/>
  <c r="M11" i="5"/>
  <c r="N14" i="5"/>
  <c r="O14" i="5" s="1"/>
  <c r="N19" i="6"/>
  <c r="O19" i="6" s="1"/>
  <c r="P34" i="6"/>
  <c r="K84" i="6"/>
  <c r="N84" i="6" s="1"/>
  <c r="M105" i="6"/>
  <c r="P60" i="5" s="1"/>
  <c r="N105" i="6"/>
  <c r="O105" i="6" s="1"/>
  <c r="F83" i="8"/>
  <c r="N23" i="9"/>
  <c r="O18" i="10"/>
  <c r="O50" i="10"/>
  <c r="M145" i="10"/>
  <c r="P145" i="10" s="1"/>
  <c r="N65" i="4"/>
  <c r="O65" i="4" s="1"/>
  <c r="M95" i="4"/>
  <c r="M104" i="4"/>
  <c r="M82" i="6"/>
  <c r="M111" i="6"/>
  <c r="O111" i="6" s="1"/>
  <c r="N8" i="9"/>
  <c r="O8" i="9" s="1"/>
  <c r="M8" i="9"/>
  <c r="M40" i="9"/>
  <c r="M105" i="11"/>
  <c r="N105" i="11"/>
  <c r="O105" i="11" s="1"/>
  <c r="N35" i="6"/>
  <c r="F85" i="6"/>
  <c r="M85" i="6" s="1"/>
  <c r="N114" i="6"/>
  <c r="M114" i="6"/>
  <c r="P114" i="6" s="1"/>
  <c r="N15" i="8"/>
  <c r="O15" i="8" s="1"/>
  <c r="M15" i="8"/>
  <c r="P15" i="8" s="1"/>
  <c r="N78" i="8"/>
  <c r="O78" i="8" s="1"/>
  <c r="M78" i="8"/>
  <c r="K46" i="9"/>
  <c r="F27" i="9"/>
  <c r="N24" i="10"/>
  <c r="O24" i="10" s="1"/>
  <c r="M24" i="10"/>
  <c r="P24" i="10" s="1"/>
  <c r="O44" i="9"/>
  <c r="O9" i="10"/>
  <c r="F111" i="10"/>
  <c r="O150" i="10"/>
  <c r="N35" i="10"/>
  <c r="M35" i="10"/>
  <c r="M47" i="4"/>
  <c r="M102" i="4"/>
  <c r="M35" i="5"/>
  <c r="P35" i="5" s="1"/>
  <c r="M65" i="5"/>
  <c r="O65" i="5" s="1"/>
  <c r="M26" i="6"/>
  <c r="O26" i="6" s="1"/>
  <c r="N100" i="6"/>
  <c r="O100" i="6" s="1"/>
  <c r="N109" i="6"/>
  <c r="O109" i="6" s="1"/>
  <c r="F27" i="7"/>
  <c r="M49" i="8"/>
  <c r="P49" i="8" s="1"/>
  <c r="M52" i="8"/>
  <c r="P52" i="8" s="1"/>
  <c r="K91" i="8"/>
  <c r="M94" i="8"/>
  <c r="P94" i="8" s="1"/>
  <c r="O156" i="10"/>
  <c r="D112" i="10"/>
  <c r="F79" i="10"/>
  <c r="G112" i="10" s="1"/>
  <c r="N39" i="4"/>
  <c r="O39" i="4" s="1"/>
  <c r="M17" i="6"/>
  <c r="M35" i="6"/>
  <c r="M87" i="6"/>
  <c r="N95" i="6"/>
  <c r="O95" i="6" s="1"/>
  <c r="F100" i="6"/>
  <c r="M100" i="6" s="1"/>
  <c r="N72" i="8"/>
  <c r="M72" i="8"/>
  <c r="M84" i="8"/>
  <c r="O84" i="8" s="1"/>
  <c r="N94" i="8"/>
  <c r="N40" i="9"/>
  <c r="O40" i="9" s="1"/>
  <c r="N20" i="10"/>
  <c r="M20" i="10"/>
  <c r="M51" i="10"/>
  <c r="O51" i="10" s="1"/>
  <c r="O66" i="10"/>
  <c r="O27" i="11"/>
  <c r="N84" i="4"/>
  <c r="N16" i="8"/>
  <c r="O16" i="8" s="1"/>
  <c r="M16" i="8"/>
  <c r="D64" i="8"/>
  <c r="B107" i="8"/>
  <c r="N35" i="5"/>
  <c r="N56" i="5"/>
  <c r="O56" i="5" s="1"/>
  <c r="M80" i="6"/>
  <c r="O30" i="10"/>
  <c r="D113" i="10"/>
  <c r="P38" i="6"/>
  <c r="M115" i="6"/>
  <c r="N35" i="8"/>
  <c r="O35" i="8" s="1"/>
  <c r="M35" i="8"/>
  <c r="O36" i="10"/>
  <c r="N45" i="11"/>
  <c r="M45" i="11"/>
  <c r="O6" i="5"/>
  <c r="M8" i="6"/>
  <c r="N115" i="6"/>
  <c r="M95" i="3"/>
  <c r="P95" i="3" s="1"/>
  <c r="M152" i="3"/>
  <c r="P152" i="3" s="1"/>
  <c r="M176" i="3"/>
  <c r="M200" i="3"/>
  <c r="M21" i="4"/>
  <c r="O21" i="4" s="1"/>
  <c r="M45" i="4"/>
  <c r="O45" i="4" s="1"/>
  <c r="M63" i="4"/>
  <c r="O63" i="4" s="1"/>
  <c r="N96" i="4"/>
  <c r="M112" i="4"/>
  <c r="P112" i="4" s="1"/>
  <c r="F29" i="5"/>
  <c r="G48" i="5" s="1"/>
  <c r="F26" i="8"/>
  <c r="O12" i="8"/>
  <c r="O9" i="9"/>
  <c r="O13" i="9"/>
  <c r="O6" i="10"/>
  <c r="O62" i="10"/>
  <c r="O88" i="11"/>
  <c r="P60" i="4"/>
  <c r="M54" i="5"/>
  <c r="M33" i="6"/>
  <c r="M62" i="6"/>
  <c r="M63" i="6" s="1"/>
  <c r="N93" i="6"/>
  <c r="D16" i="7"/>
  <c r="F12" i="7"/>
  <c r="G16" i="7" s="1"/>
  <c r="N41" i="9"/>
  <c r="O41" i="9" s="1"/>
  <c r="M84" i="4"/>
  <c r="M91" i="4"/>
  <c r="F64" i="5"/>
  <c r="N64" i="5" s="1"/>
  <c r="M24" i="6"/>
  <c r="O24" i="6" s="1"/>
  <c r="N30" i="6"/>
  <c r="O30" i="6" s="1"/>
  <c r="N33" i="6"/>
  <c r="O33" i="6" s="1"/>
  <c r="M36" i="6"/>
  <c r="B125" i="6"/>
  <c r="M78" i="6"/>
  <c r="M90" i="6"/>
  <c r="P90" i="6" s="1"/>
  <c r="N107" i="6"/>
  <c r="O107" i="6" s="1"/>
  <c r="N110" i="6"/>
  <c r="O110" i="6" s="1"/>
  <c r="M110" i="6"/>
  <c r="N76" i="8"/>
  <c r="O76" i="8" s="1"/>
  <c r="M76" i="8"/>
  <c r="N85" i="8"/>
  <c r="O85" i="8" s="1"/>
  <c r="M6" i="9"/>
  <c r="M156" i="10"/>
  <c r="M209" i="3"/>
  <c r="P209" i="3" s="1"/>
  <c r="B123" i="4"/>
  <c r="F108" i="4"/>
  <c r="N108" i="4" s="1"/>
  <c r="N27" i="6"/>
  <c r="O27" i="6" s="1"/>
  <c r="M52" i="6"/>
  <c r="P52" i="6" s="1"/>
  <c r="N101" i="6"/>
  <c r="M101" i="6"/>
  <c r="F26" i="7"/>
  <c r="F16" i="7"/>
  <c r="N13" i="8"/>
  <c r="M13" i="8"/>
  <c r="P13" i="8" s="1"/>
  <c r="M79" i="8"/>
  <c r="P79" i="8" s="1"/>
  <c r="M45" i="9"/>
  <c r="O45" i="9" s="1"/>
  <c r="B168" i="10"/>
  <c r="D111" i="10"/>
  <c r="F41" i="10"/>
  <c r="G111" i="10" s="1"/>
  <c r="P48" i="10"/>
  <c r="O48" i="10"/>
  <c r="O145" i="10"/>
  <c r="M116" i="3"/>
  <c r="O116" i="3" s="1"/>
  <c r="M172" i="3"/>
  <c r="P172" i="3" s="1"/>
  <c r="M196" i="3"/>
  <c r="P196" i="3" s="1"/>
  <c r="M10" i="4"/>
  <c r="P10" i="4" s="1"/>
  <c r="M94" i="4"/>
  <c r="M103" i="4"/>
  <c r="M10" i="5"/>
  <c r="P10" i="5" s="1"/>
  <c r="M13" i="5"/>
  <c r="P13" i="5" s="1"/>
  <c r="M36" i="5"/>
  <c r="P36" i="5" s="1"/>
  <c r="M66" i="5"/>
  <c r="P66" i="5" s="1"/>
  <c r="N9" i="6"/>
  <c r="M9" i="6"/>
  <c r="P9" i="6" s="1"/>
  <c r="M15" i="6"/>
  <c r="P15" i="6" s="1"/>
  <c r="M18" i="6"/>
  <c r="O18" i="6" s="1"/>
  <c r="P27" i="6"/>
  <c r="M82" i="8"/>
  <c r="P82" i="8" s="1"/>
  <c r="M86" i="8"/>
  <c r="O86" i="8" s="1"/>
  <c r="F89" i="8"/>
  <c r="M89" i="8" s="1"/>
  <c r="O95" i="8"/>
  <c r="F18" i="9"/>
  <c r="F19" i="9" s="1"/>
  <c r="G32" i="9" s="1"/>
  <c r="K38" i="9"/>
  <c r="F38" i="9"/>
  <c r="N38" i="9" s="1"/>
  <c r="N32" i="10"/>
  <c r="M32" i="10"/>
  <c r="P32" i="10" s="1"/>
  <c r="O53" i="10"/>
  <c r="M159" i="3"/>
  <c r="P159" i="3" s="1"/>
  <c r="M183" i="3"/>
  <c r="P183" i="3" s="1"/>
  <c r="M207" i="3"/>
  <c r="M13" i="4"/>
  <c r="O13" i="4" s="1"/>
  <c r="M16" i="4"/>
  <c r="P16" i="4" s="1"/>
  <c r="M37" i="4"/>
  <c r="P37" i="4" s="1"/>
  <c r="M58" i="4"/>
  <c r="M89" i="4"/>
  <c r="M33" i="5"/>
  <c r="M39" i="5" s="1"/>
  <c r="M12" i="6"/>
  <c r="P12" i="6" s="1"/>
  <c r="F45" i="6"/>
  <c r="N81" i="6"/>
  <c r="O81" i="6" s="1"/>
  <c r="M83" i="6"/>
  <c r="P83" i="6" s="1"/>
  <c r="M88" i="6"/>
  <c r="P88" i="6" s="1"/>
  <c r="M98" i="6"/>
  <c r="P98" i="6" s="1"/>
  <c r="N32" i="8"/>
  <c r="N39" i="8" s="1"/>
  <c r="M32" i="8"/>
  <c r="P32" i="8" s="1"/>
  <c r="M47" i="8"/>
  <c r="O47" i="8" s="1"/>
  <c r="P87" i="20"/>
  <c r="P89" i="10"/>
  <c r="O34" i="11"/>
  <c r="M146" i="3"/>
  <c r="P146" i="3" s="1"/>
  <c r="M170" i="3"/>
  <c r="M194" i="3"/>
  <c r="P194" i="3" s="1"/>
  <c r="M40" i="4"/>
  <c r="P40" i="4" s="1"/>
  <c r="M96" i="4"/>
  <c r="M7" i="5"/>
  <c r="M16" i="5" s="1"/>
  <c r="M57" i="5"/>
  <c r="P57" i="5" s="1"/>
  <c r="N31" i="6"/>
  <c r="O31" i="6" s="1"/>
  <c r="M113" i="6"/>
  <c r="O113" i="6" s="1"/>
  <c r="N80" i="8"/>
  <c r="O80" i="8" s="1"/>
  <c r="M80" i="8"/>
  <c r="N6" i="9"/>
  <c r="N144" i="10"/>
  <c r="O144" i="10" s="1"/>
  <c r="M144" i="10"/>
  <c r="P144" i="10" s="1"/>
  <c r="N54" i="5"/>
  <c r="F103" i="6"/>
  <c r="N50" i="6"/>
  <c r="N78" i="6"/>
  <c r="N91" i="6"/>
  <c r="O91" i="6" s="1"/>
  <c r="M93" i="6"/>
  <c r="N71" i="8"/>
  <c r="M71" i="8"/>
  <c r="O124" i="10"/>
  <c r="O89" i="10"/>
  <c r="O16" i="10"/>
  <c r="M31" i="10"/>
  <c r="F118" i="10"/>
  <c r="F149" i="10"/>
  <c r="M149" i="10" s="1"/>
  <c r="P149" i="10" s="1"/>
  <c r="M94" i="11"/>
  <c r="P94" i="11" s="1"/>
  <c r="N94" i="11"/>
  <c r="O94" i="11" s="1"/>
  <c r="E72" i="11"/>
  <c r="B117" i="11"/>
  <c r="N87" i="11"/>
  <c r="M98" i="11"/>
  <c r="M49" i="13"/>
  <c r="N38" i="14"/>
  <c r="O38" i="14" s="1"/>
  <c r="M38" i="14"/>
  <c r="P38" i="14" s="1"/>
  <c r="N54" i="14"/>
  <c r="M54" i="14"/>
  <c r="P54" i="14" s="1"/>
  <c r="D137" i="14"/>
  <c r="F131" i="14"/>
  <c r="G137" i="14" s="1"/>
  <c r="M55" i="10"/>
  <c r="P55" i="10" s="1"/>
  <c r="N73" i="10"/>
  <c r="O73" i="10" s="1"/>
  <c r="F106" i="10"/>
  <c r="F113" i="10" s="1"/>
  <c r="M121" i="10"/>
  <c r="P121" i="10" s="1"/>
  <c r="K130" i="10"/>
  <c r="M133" i="10"/>
  <c r="O15" i="11"/>
  <c r="M49" i="11"/>
  <c r="O49" i="11" s="1"/>
  <c r="F44" i="13"/>
  <c r="P23" i="19"/>
  <c r="P18" i="14"/>
  <c r="O17" i="12"/>
  <c r="F135" i="14"/>
  <c r="N83" i="10"/>
  <c r="N127" i="10"/>
  <c r="M127" i="10"/>
  <c r="N149" i="10"/>
  <c r="M57" i="11"/>
  <c r="P57" i="11" s="1"/>
  <c r="F68" i="11"/>
  <c r="G74" i="11" s="1"/>
  <c r="P17" i="12"/>
  <c r="P19" i="12" s="1"/>
  <c r="N24" i="15"/>
  <c r="M24" i="15"/>
  <c r="P24" i="15" s="1"/>
  <c r="F46" i="9"/>
  <c r="N46" i="9" s="1"/>
  <c r="N17" i="10"/>
  <c r="O17" i="10" s="1"/>
  <c r="N55" i="10"/>
  <c r="O55" i="10" s="1"/>
  <c r="M124" i="10"/>
  <c r="P124" i="10" s="1"/>
  <c r="N134" i="10"/>
  <c r="O134" i="10" s="1"/>
  <c r="M134" i="10"/>
  <c r="P134" i="10" s="1"/>
  <c r="M31" i="11"/>
  <c r="N98" i="11"/>
  <c r="O98" i="11" s="1"/>
  <c r="F36" i="12"/>
  <c r="M33" i="14"/>
  <c r="P33" i="14" s="1"/>
  <c r="N64" i="14"/>
  <c r="O64" i="14" s="1"/>
  <c r="M64" i="14"/>
  <c r="N28" i="10"/>
  <c r="O28" i="10" s="1"/>
  <c r="M28" i="10"/>
  <c r="P28" i="10" s="1"/>
  <c r="P42" i="20"/>
  <c r="P52" i="10"/>
  <c r="N97" i="10"/>
  <c r="O97" i="10" s="1"/>
  <c r="N140" i="10"/>
  <c r="O140" i="10" s="1"/>
  <c r="N46" i="11"/>
  <c r="O46" i="11" s="1"/>
  <c r="N18" i="12"/>
  <c r="M18" i="12"/>
  <c r="P18" i="12" s="1"/>
  <c r="P81" i="14"/>
  <c r="N6" i="14"/>
  <c r="N13" i="10"/>
  <c r="O13" i="10" s="1"/>
  <c r="F157" i="10"/>
  <c r="N157" i="10" s="1"/>
  <c r="M59" i="10"/>
  <c r="P59" i="10" s="1"/>
  <c r="P12" i="13"/>
  <c r="M103" i="14"/>
  <c r="P103" i="14" s="1"/>
  <c r="N103" i="14"/>
  <c r="P14" i="21"/>
  <c r="P10" i="10"/>
  <c r="M67" i="10"/>
  <c r="P67" i="10" s="1"/>
  <c r="N84" i="10"/>
  <c r="M84" i="10"/>
  <c r="M90" i="10"/>
  <c r="P88" i="20" s="1"/>
  <c r="K118" i="10"/>
  <c r="N118" i="10" s="1"/>
  <c r="F17" i="13"/>
  <c r="K46" i="13"/>
  <c r="N97" i="6"/>
  <c r="O97" i="6" s="1"/>
  <c r="N89" i="8"/>
  <c r="M97" i="8"/>
  <c r="P97" i="8" s="1"/>
  <c r="K120" i="10"/>
  <c r="N120" i="10" s="1"/>
  <c r="O120" i="10" s="1"/>
  <c r="N14" i="10"/>
  <c r="O14" i="10" s="1"/>
  <c r="M49" i="10"/>
  <c r="P49" i="10" s="1"/>
  <c r="N98" i="10"/>
  <c r="M98" i="10"/>
  <c r="P98" i="10" s="1"/>
  <c r="N137" i="10"/>
  <c r="M143" i="10"/>
  <c r="P143" i="10" s="1"/>
  <c r="M146" i="10"/>
  <c r="P146" i="10" s="1"/>
  <c r="M6" i="11"/>
  <c r="O6" i="11" s="1"/>
  <c r="N31" i="11"/>
  <c r="M46" i="11"/>
  <c r="P46" i="11" s="1"/>
  <c r="N7" i="12"/>
  <c r="O7" i="12" s="1"/>
  <c r="N37" i="12"/>
  <c r="M37" i="12"/>
  <c r="P37" i="12" s="1"/>
  <c r="N8" i="13"/>
  <c r="N39" i="9"/>
  <c r="O39" i="9" s="1"/>
  <c r="M39" i="9"/>
  <c r="F130" i="10"/>
  <c r="N130" i="10" s="1"/>
  <c r="M36" i="10"/>
  <c r="M46" i="10"/>
  <c r="P30" i="20" s="1"/>
  <c r="N52" i="10"/>
  <c r="O52" i="10" s="1"/>
  <c r="M56" i="10"/>
  <c r="P56" i="10" s="1"/>
  <c r="F158" i="10"/>
  <c r="N158" i="10" s="1"/>
  <c r="M102" i="10"/>
  <c r="N128" i="10"/>
  <c r="M128" i="10"/>
  <c r="M137" i="10"/>
  <c r="P137" i="10" s="1"/>
  <c r="M153" i="10"/>
  <c r="N153" i="10"/>
  <c r="F82" i="11"/>
  <c r="M27" i="11"/>
  <c r="P27" i="11" s="1"/>
  <c r="N51" i="11"/>
  <c r="O51" i="11" s="1"/>
  <c r="M85" i="11"/>
  <c r="P85" i="11" s="1"/>
  <c r="O113" i="14"/>
  <c r="N9" i="8"/>
  <c r="O9" i="8" s="1"/>
  <c r="M7" i="10"/>
  <c r="O29" i="10"/>
  <c r="N135" i="10"/>
  <c r="O135" i="10" s="1"/>
  <c r="K82" i="11"/>
  <c r="F21" i="11"/>
  <c r="N13" i="11"/>
  <c r="O13" i="11" s="1"/>
  <c r="F90" i="11"/>
  <c r="N102" i="11"/>
  <c r="O102" i="11" s="1"/>
  <c r="F106" i="11"/>
  <c r="M19" i="12"/>
  <c r="M9" i="13"/>
  <c r="P9" i="13" s="1"/>
  <c r="N9" i="13"/>
  <c r="O9" i="13" s="1"/>
  <c r="M11" i="14"/>
  <c r="O11" i="14" s="1"/>
  <c r="O35" i="14"/>
  <c r="N109" i="14"/>
  <c r="M109" i="14"/>
  <c r="N10" i="10"/>
  <c r="O10" i="10" s="1"/>
  <c r="M71" i="10"/>
  <c r="N82" i="11"/>
  <c r="M82" i="11"/>
  <c r="M145" i="14"/>
  <c r="N145" i="14"/>
  <c r="O40" i="14"/>
  <c r="N19" i="8"/>
  <c r="M19" i="8"/>
  <c r="P19" i="8" s="1"/>
  <c r="M90" i="8"/>
  <c r="N14" i="9"/>
  <c r="O14" i="9" s="1"/>
  <c r="M64" i="10"/>
  <c r="N88" i="10"/>
  <c r="O88" i="10" s="1"/>
  <c r="N119" i="10"/>
  <c r="M119" i="10"/>
  <c r="M138" i="10"/>
  <c r="O138" i="10" s="1"/>
  <c r="N36" i="11"/>
  <c r="F103" i="11"/>
  <c r="M96" i="11"/>
  <c r="N99" i="11"/>
  <c r="O99" i="11" s="1"/>
  <c r="K106" i="11"/>
  <c r="N26" i="13"/>
  <c r="O26" i="13" s="1"/>
  <c r="M26" i="13"/>
  <c r="P26" i="13" s="1"/>
  <c r="O64" i="10"/>
  <c r="O74" i="10"/>
  <c r="M132" i="10"/>
  <c r="P132" i="10" s="1"/>
  <c r="M141" i="10"/>
  <c r="F43" i="12"/>
  <c r="B62" i="13"/>
  <c r="D37" i="13"/>
  <c r="N22" i="10"/>
  <c r="M22" i="10"/>
  <c r="M53" i="10"/>
  <c r="P53" i="10" s="1"/>
  <c r="N85" i="10"/>
  <c r="N91" i="10"/>
  <c r="O91" i="10" s="1"/>
  <c r="M125" i="10"/>
  <c r="N10" i="13"/>
  <c r="O10" i="13" s="1"/>
  <c r="M10" i="13"/>
  <c r="P22" i="13"/>
  <c r="N26" i="14"/>
  <c r="O26" i="14" s="1"/>
  <c r="M26" i="14"/>
  <c r="N11" i="9"/>
  <c r="N26" i="10"/>
  <c r="M26" i="10"/>
  <c r="P26" i="10" s="1"/>
  <c r="M61" i="10"/>
  <c r="P61" i="10" s="1"/>
  <c r="M99" i="10"/>
  <c r="P99" i="10" s="1"/>
  <c r="N17" i="11"/>
  <c r="O17" i="11" s="1"/>
  <c r="M48" i="11"/>
  <c r="N83" i="11"/>
  <c r="M83" i="11"/>
  <c r="P83" i="11" s="1"/>
  <c r="O89" i="11"/>
  <c r="M93" i="11"/>
  <c r="P93" i="11" s="1"/>
  <c r="N93" i="11"/>
  <c r="N47" i="13"/>
  <c r="O47" i="13" s="1"/>
  <c r="M47" i="13"/>
  <c r="P47" i="13" s="1"/>
  <c r="M16" i="14"/>
  <c r="O16" i="14" s="1"/>
  <c r="N11" i="11"/>
  <c r="M11" i="11"/>
  <c r="M36" i="11"/>
  <c r="N96" i="11"/>
  <c r="P28" i="19"/>
  <c r="P34" i="10"/>
  <c r="B169" i="10"/>
  <c r="M95" i="10"/>
  <c r="P95" i="10" s="1"/>
  <c r="N141" i="10"/>
  <c r="F154" i="10"/>
  <c r="M154" i="10" s="1"/>
  <c r="F27" i="12"/>
  <c r="N22" i="13"/>
  <c r="N48" i="13"/>
  <c r="O48" i="13" s="1"/>
  <c r="M48" i="13"/>
  <c r="P120" i="14"/>
  <c r="O120" i="14"/>
  <c r="N90" i="8"/>
  <c r="N23" i="10"/>
  <c r="O23" i="10" s="1"/>
  <c r="M23" i="10"/>
  <c r="N61" i="10"/>
  <c r="M65" i="10"/>
  <c r="P65" i="10" s="1"/>
  <c r="M85" i="10"/>
  <c r="N132" i="10"/>
  <c r="M157" i="10"/>
  <c r="N14" i="11"/>
  <c r="O14" i="11" s="1"/>
  <c r="M52" i="11"/>
  <c r="P52" i="11" s="1"/>
  <c r="N93" i="8"/>
  <c r="O93" i="8" s="1"/>
  <c r="M11" i="9"/>
  <c r="M120" i="10"/>
  <c r="N48" i="11"/>
  <c r="O48" i="11" s="1"/>
  <c r="N100" i="11"/>
  <c r="O100" i="11" s="1"/>
  <c r="M100" i="11"/>
  <c r="P100" i="11" s="1"/>
  <c r="O104" i="11"/>
  <c r="D27" i="12"/>
  <c r="F13" i="12"/>
  <c r="G27" i="12" s="1"/>
  <c r="B47" i="12"/>
  <c r="N88" i="8"/>
  <c r="M88" i="8"/>
  <c r="N91" i="8"/>
  <c r="O91" i="8" s="1"/>
  <c r="M91" i="8"/>
  <c r="M93" i="8"/>
  <c r="P93" i="8" s="1"/>
  <c r="M19" i="10"/>
  <c r="P19" i="10" s="1"/>
  <c r="M54" i="10"/>
  <c r="P54" i="10" s="1"/>
  <c r="N58" i="10"/>
  <c r="O58" i="10" s="1"/>
  <c r="M100" i="10"/>
  <c r="E111" i="10"/>
  <c r="N142" i="10"/>
  <c r="M142" i="10"/>
  <c r="N33" i="12"/>
  <c r="N28" i="13"/>
  <c r="O28" i="13" s="1"/>
  <c r="M28" i="13"/>
  <c r="P28" i="13" s="1"/>
  <c r="F149" i="14"/>
  <c r="N37" i="14"/>
  <c r="M37" i="14"/>
  <c r="P37" i="14" s="1"/>
  <c r="O72" i="14"/>
  <c r="N48" i="8"/>
  <c r="O48" i="8" s="1"/>
  <c r="M48" i="8"/>
  <c r="P48" i="8" s="1"/>
  <c r="F147" i="10"/>
  <c r="N34" i="10"/>
  <c r="O34" i="10" s="1"/>
  <c r="N96" i="10"/>
  <c r="M96" i="10"/>
  <c r="P96" i="10" s="1"/>
  <c r="N123" i="10"/>
  <c r="O123" i="10" s="1"/>
  <c r="M123" i="10"/>
  <c r="M158" i="10"/>
  <c r="O8" i="11"/>
  <c r="F22" i="11"/>
  <c r="G72" i="11" s="1"/>
  <c r="D72" i="11"/>
  <c r="N60" i="11"/>
  <c r="O60" i="11" s="1"/>
  <c r="B116" i="11"/>
  <c r="O27" i="14"/>
  <c r="K153" i="14"/>
  <c r="M58" i="14"/>
  <c r="N97" i="11"/>
  <c r="O97" i="11" s="1"/>
  <c r="N23" i="14"/>
  <c r="M23" i="14"/>
  <c r="P23" i="14" s="1"/>
  <c r="N34" i="14"/>
  <c r="O34" i="14" s="1"/>
  <c r="M34" i="14"/>
  <c r="P34" i="14" s="1"/>
  <c r="F153" i="14"/>
  <c r="N153" i="14" s="1"/>
  <c r="M100" i="14"/>
  <c r="O100" i="14" s="1"/>
  <c r="M148" i="14"/>
  <c r="P148" i="14" s="1"/>
  <c r="N52" i="14"/>
  <c r="O52" i="14" s="1"/>
  <c r="N43" i="13"/>
  <c r="N51" i="13"/>
  <c r="M51" i="13"/>
  <c r="M27" i="14"/>
  <c r="P27" i="14" s="1"/>
  <c r="F143" i="14"/>
  <c r="M143" i="14" s="1"/>
  <c r="N81" i="14"/>
  <c r="O81" i="14" s="1"/>
  <c r="M81" i="14"/>
  <c r="M118" i="14"/>
  <c r="P118" i="14" s="1"/>
  <c r="M207" i="14"/>
  <c r="P207" i="14" s="1"/>
  <c r="N13" i="13"/>
  <c r="O13" i="13" s="1"/>
  <c r="O55" i="14"/>
  <c r="O66" i="14"/>
  <c r="N92" i="14"/>
  <c r="N96" i="14"/>
  <c r="O96" i="14" s="1"/>
  <c r="N105" i="14"/>
  <c r="O105" i="14" s="1"/>
  <c r="F156" i="14"/>
  <c r="M156" i="14" s="1"/>
  <c r="M167" i="14"/>
  <c r="P167" i="14" s="1"/>
  <c r="N167" i="14"/>
  <c r="O167" i="14" s="1"/>
  <c r="N174" i="14"/>
  <c r="O203" i="14"/>
  <c r="M103" i="11"/>
  <c r="F142" i="14"/>
  <c r="N42" i="14"/>
  <c r="M92" i="14"/>
  <c r="M25" i="15"/>
  <c r="P25" i="15" s="1"/>
  <c r="N25" i="15"/>
  <c r="O11" i="16"/>
  <c r="D79" i="16"/>
  <c r="K91" i="11"/>
  <c r="M91" i="11" s="1"/>
  <c r="N6" i="12"/>
  <c r="K142" i="14"/>
  <c r="N13" i="14"/>
  <c r="O13" i="14" s="1"/>
  <c r="N24" i="14"/>
  <c r="O24" i="14" s="1"/>
  <c r="M28" i="14"/>
  <c r="P28" i="14" s="1"/>
  <c r="O31" i="14"/>
  <c r="M52" i="14"/>
  <c r="M110" i="14"/>
  <c r="M193" i="14"/>
  <c r="P193" i="14" s="1"/>
  <c r="M215" i="14"/>
  <c r="P215" i="14" s="1"/>
  <c r="B111" i="15"/>
  <c r="D63" i="15"/>
  <c r="F17" i="15"/>
  <c r="G63" i="15" s="1"/>
  <c r="M20" i="14"/>
  <c r="P20" i="14" s="1"/>
  <c r="M35" i="14"/>
  <c r="P35" i="14" s="1"/>
  <c r="M62" i="14"/>
  <c r="P62" i="14" s="1"/>
  <c r="M66" i="14"/>
  <c r="P66" i="14" s="1"/>
  <c r="M77" i="14"/>
  <c r="P77" i="14" s="1"/>
  <c r="M97" i="14"/>
  <c r="P97" i="14" s="1"/>
  <c r="N97" i="14"/>
  <c r="O97" i="14" s="1"/>
  <c r="N123" i="14"/>
  <c r="O123" i="14" s="1"/>
  <c r="M123" i="14"/>
  <c r="P123" i="14" s="1"/>
  <c r="E135" i="14"/>
  <c r="N175" i="14"/>
  <c r="O175" i="14" s="1"/>
  <c r="M175" i="14"/>
  <c r="N131" i="10"/>
  <c r="O131" i="10" s="1"/>
  <c r="N152" i="10"/>
  <c r="N47" i="11"/>
  <c r="M47" i="11"/>
  <c r="P87" i="3" s="1"/>
  <c r="F49" i="13"/>
  <c r="N49" i="13" s="1"/>
  <c r="M13" i="13"/>
  <c r="M6" i="14"/>
  <c r="O10" i="14"/>
  <c r="M17" i="14"/>
  <c r="P17" i="14" s="1"/>
  <c r="M42" i="14"/>
  <c r="P42" i="14" s="1"/>
  <c r="M43" i="13"/>
  <c r="O28" i="14"/>
  <c r="M67" i="14"/>
  <c r="N67" i="14"/>
  <c r="N103" i="11"/>
  <c r="O103" i="11" s="1"/>
  <c r="N106" i="11"/>
  <c r="M106" i="11"/>
  <c r="M6" i="12"/>
  <c r="F184" i="14"/>
  <c r="N184" i="14" s="1"/>
  <c r="N110" i="14"/>
  <c r="O110" i="14" s="1"/>
  <c r="M161" i="14"/>
  <c r="P161" i="14" s="1"/>
  <c r="N161" i="14"/>
  <c r="P32" i="17"/>
  <c r="O59" i="14"/>
  <c r="N63" i="14"/>
  <c r="O63" i="14" s="1"/>
  <c r="M63" i="14"/>
  <c r="P63" i="14" s="1"/>
  <c r="N82" i="14"/>
  <c r="O82" i="14" s="1"/>
  <c r="M93" i="14"/>
  <c r="O93" i="14" s="1"/>
  <c r="O119" i="14"/>
  <c r="M164" i="14"/>
  <c r="P164" i="14" s="1"/>
  <c r="N172" i="14"/>
  <c r="O172" i="14" s="1"/>
  <c r="M126" i="10"/>
  <c r="M129" i="10"/>
  <c r="P129" i="10" s="1"/>
  <c r="M140" i="10"/>
  <c r="P140" i="10" s="1"/>
  <c r="N155" i="10"/>
  <c r="O155" i="10" s="1"/>
  <c r="M28" i="11"/>
  <c r="P28" i="11" s="1"/>
  <c r="F41" i="11"/>
  <c r="G73" i="11" s="1"/>
  <c r="N84" i="11"/>
  <c r="O84" i="11" s="1"/>
  <c r="M7" i="13"/>
  <c r="P7" i="13" s="1"/>
  <c r="M44" i="13"/>
  <c r="N44" i="13"/>
  <c r="N21" i="14"/>
  <c r="O21" i="14" s="1"/>
  <c r="M21" i="14"/>
  <c r="P21" i="14" s="1"/>
  <c r="N36" i="14"/>
  <c r="O36" i="14" s="1"/>
  <c r="M36" i="14"/>
  <c r="P36" i="14" s="1"/>
  <c r="M74" i="14"/>
  <c r="P74" i="14" s="1"/>
  <c r="M9" i="15"/>
  <c r="N9" i="15"/>
  <c r="M152" i="10"/>
  <c r="N7" i="14"/>
  <c r="O7" i="14" s="1"/>
  <c r="M7" i="14"/>
  <c r="P7" i="14" s="1"/>
  <c r="F206" i="14"/>
  <c r="N206" i="14" s="1"/>
  <c r="O78" i="14"/>
  <c r="M83" i="14"/>
  <c r="O83" i="14" s="1"/>
  <c r="M146" i="14"/>
  <c r="P146" i="14" s="1"/>
  <c r="N146" i="14"/>
  <c r="O146" i="14" s="1"/>
  <c r="M198" i="14"/>
  <c r="P198" i="14" s="1"/>
  <c r="N74" i="15"/>
  <c r="M74" i="15"/>
  <c r="O71" i="14"/>
  <c r="M102" i="14"/>
  <c r="P102" i="14" s="1"/>
  <c r="N102" i="14"/>
  <c r="M150" i="14"/>
  <c r="P150" i="14" s="1"/>
  <c r="N191" i="14"/>
  <c r="O191" i="14" s="1"/>
  <c r="M191" i="14"/>
  <c r="N194" i="14"/>
  <c r="N32" i="11"/>
  <c r="O32" i="11" s="1"/>
  <c r="M32" i="11"/>
  <c r="F86" i="11"/>
  <c r="M86" i="11" s="1"/>
  <c r="O29" i="14"/>
  <c r="M68" i="14"/>
  <c r="P68" i="14" s="1"/>
  <c r="M94" i="14"/>
  <c r="N94" i="14"/>
  <c r="O94" i="14" s="1"/>
  <c r="N116" i="14"/>
  <c r="O116" i="14" s="1"/>
  <c r="M116" i="14"/>
  <c r="P116" i="14" s="1"/>
  <c r="O213" i="14"/>
  <c r="B226" i="14"/>
  <c r="F67" i="11"/>
  <c r="F74" i="11" s="1"/>
  <c r="N92" i="11"/>
  <c r="O92" i="11" s="1"/>
  <c r="F46" i="13"/>
  <c r="N46" i="13" s="1"/>
  <c r="N50" i="13"/>
  <c r="M50" i="13"/>
  <c r="P50" i="13" s="1"/>
  <c r="F179" i="14"/>
  <c r="M179" i="14" s="1"/>
  <c r="K152" i="14"/>
  <c r="F152" i="14"/>
  <c r="O60" i="14"/>
  <c r="N99" i="14"/>
  <c r="M99" i="14"/>
  <c r="P99" i="14" s="1"/>
  <c r="N125" i="14"/>
  <c r="M125" i="14"/>
  <c r="P125" i="14" s="1"/>
  <c r="N173" i="14"/>
  <c r="N187" i="14"/>
  <c r="O187" i="14" s="1"/>
  <c r="M33" i="15"/>
  <c r="P33" i="15" s="1"/>
  <c r="N33" i="15"/>
  <c r="O33" i="15" s="1"/>
  <c r="N147" i="14"/>
  <c r="M147" i="14"/>
  <c r="P147" i="14" s="1"/>
  <c r="O192" i="14"/>
  <c r="M210" i="14"/>
  <c r="P210" i="14" s="1"/>
  <c r="N81" i="15"/>
  <c r="M139" i="10"/>
  <c r="O139" i="10" s="1"/>
  <c r="O29" i="11"/>
  <c r="M33" i="12"/>
  <c r="N143" i="14"/>
  <c r="O143" i="14" s="1"/>
  <c r="N177" i="14"/>
  <c r="O177" i="14" s="1"/>
  <c r="N180" i="14"/>
  <c r="O180" i="14" s="1"/>
  <c r="M188" i="14"/>
  <c r="P188" i="14" s="1"/>
  <c r="N188" i="14"/>
  <c r="M6" i="15"/>
  <c r="F16" i="15"/>
  <c r="K81" i="15"/>
  <c r="M81" i="15" s="1"/>
  <c r="M38" i="8"/>
  <c r="P38" i="8" s="1"/>
  <c r="M118" i="10"/>
  <c r="M148" i="10"/>
  <c r="P148" i="10" s="1"/>
  <c r="M29" i="11"/>
  <c r="P29" i="11" s="1"/>
  <c r="M87" i="11"/>
  <c r="P87" i="11" s="1"/>
  <c r="M8" i="13"/>
  <c r="M8" i="14"/>
  <c r="P8" i="14" s="1"/>
  <c r="M22" i="14"/>
  <c r="P22" i="14" s="1"/>
  <c r="M30" i="14"/>
  <c r="O30" i="14" s="1"/>
  <c r="M72" i="14"/>
  <c r="N104" i="14"/>
  <c r="O104" i="14" s="1"/>
  <c r="M104" i="14"/>
  <c r="P104" i="14" s="1"/>
  <c r="N151" i="14"/>
  <c r="O151" i="14" s="1"/>
  <c r="O28" i="15"/>
  <c r="F122" i="10"/>
  <c r="N93" i="10"/>
  <c r="O93" i="10" s="1"/>
  <c r="N26" i="11"/>
  <c r="M26" i="11"/>
  <c r="M37" i="11" s="1"/>
  <c r="F101" i="11"/>
  <c r="F51" i="13"/>
  <c r="N19" i="14"/>
  <c r="O19" i="14" s="1"/>
  <c r="M51" i="14"/>
  <c r="M76" i="14"/>
  <c r="P76" i="14" s="1"/>
  <c r="N76" i="14"/>
  <c r="O76" i="14" s="1"/>
  <c r="M117" i="14"/>
  <c r="P117" i="14" s="1"/>
  <c r="N121" i="14"/>
  <c r="O121" i="14" s="1"/>
  <c r="N126" i="14"/>
  <c r="O126" i="14" s="1"/>
  <c r="M126" i="14"/>
  <c r="P126" i="14" s="1"/>
  <c r="N181" i="14"/>
  <c r="N196" i="14"/>
  <c r="N7" i="11"/>
  <c r="O7" i="11" s="1"/>
  <c r="N95" i="11"/>
  <c r="M95" i="11"/>
  <c r="P95" i="11" s="1"/>
  <c r="O12" i="13"/>
  <c r="N58" i="14"/>
  <c r="O58" i="14" s="1"/>
  <c r="N65" i="14"/>
  <c r="M65" i="14"/>
  <c r="P65" i="14" s="1"/>
  <c r="N69" i="14"/>
  <c r="O69" i="14" s="1"/>
  <c r="M80" i="14"/>
  <c r="N95" i="14"/>
  <c r="O95" i="14" s="1"/>
  <c r="M214" i="14"/>
  <c r="O214" i="14" s="1"/>
  <c r="N32" i="15"/>
  <c r="M32" i="15"/>
  <c r="P32" i="15" s="1"/>
  <c r="N169" i="14"/>
  <c r="M169" i="14"/>
  <c r="P169" i="14" s="1"/>
  <c r="M182" i="14"/>
  <c r="P182" i="14" s="1"/>
  <c r="M190" i="14"/>
  <c r="P190" i="14" s="1"/>
  <c r="N48" i="15"/>
  <c r="O96" i="15"/>
  <c r="N185" i="14"/>
  <c r="M212" i="14"/>
  <c r="P212" i="14" s="1"/>
  <c r="N212" i="14"/>
  <c r="O212" i="14" s="1"/>
  <c r="M84" i="15"/>
  <c r="P84" i="15" s="1"/>
  <c r="O93" i="16"/>
  <c r="K92" i="15"/>
  <c r="M92" i="15" s="1"/>
  <c r="N190" i="14"/>
  <c r="O44" i="15"/>
  <c r="M48" i="15"/>
  <c r="N77" i="15"/>
  <c r="M204" i="14"/>
  <c r="P204" i="14" s="1"/>
  <c r="N6" i="15"/>
  <c r="N85" i="15"/>
  <c r="O85" i="15" s="1"/>
  <c r="M85" i="15"/>
  <c r="P85" i="15" s="1"/>
  <c r="M12" i="16"/>
  <c r="P12" i="16" s="1"/>
  <c r="N12" i="16"/>
  <c r="O12" i="16" s="1"/>
  <c r="N17" i="16"/>
  <c r="O17" i="16" s="1"/>
  <c r="M17" i="16"/>
  <c r="P17" i="16" s="1"/>
  <c r="N29" i="15"/>
  <c r="M29" i="15"/>
  <c r="P29" i="15" s="1"/>
  <c r="N78" i="15"/>
  <c r="O78" i="15" s="1"/>
  <c r="M78" i="15"/>
  <c r="P78" i="15" s="1"/>
  <c r="O34" i="16"/>
  <c r="F173" i="14"/>
  <c r="D136" i="14"/>
  <c r="M151" i="14"/>
  <c r="N154" i="14"/>
  <c r="M154" i="14"/>
  <c r="P154" i="14" s="1"/>
  <c r="N162" i="14"/>
  <c r="M162" i="14"/>
  <c r="P162" i="14" s="1"/>
  <c r="M170" i="14"/>
  <c r="M185" i="14"/>
  <c r="P185" i="14" s="1"/>
  <c r="F37" i="15"/>
  <c r="F64" i="15" s="1"/>
  <c r="K73" i="15"/>
  <c r="F73" i="15"/>
  <c r="N73" i="15" s="1"/>
  <c r="M35" i="16"/>
  <c r="P35" i="16" s="1"/>
  <c r="N35" i="16"/>
  <c r="M90" i="16"/>
  <c r="P90" i="16" s="1"/>
  <c r="N90" i="16"/>
  <c r="M196" i="14"/>
  <c r="D64" i="15"/>
  <c r="F38" i="15"/>
  <c r="G64" i="15" s="1"/>
  <c r="M82" i="15"/>
  <c r="M89" i="15"/>
  <c r="O89" i="15" s="1"/>
  <c r="M165" i="14"/>
  <c r="P165" i="14" s="1"/>
  <c r="M180" i="14"/>
  <c r="P180" i="14" s="1"/>
  <c r="N202" i="14"/>
  <c r="O202" i="14" s="1"/>
  <c r="M213" i="14"/>
  <c r="P213" i="14" s="1"/>
  <c r="N216" i="14"/>
  <c r="O108" i="14"/>
  <c r="N178" i="14"/>
  <c r="O178" i="14" s="1"/>
  <c r="N186" i="14"/>
  <c r="O186" i="14" s="1"/>
  <c r="M199" i="14"/>
  <c r="P199" i="14" s="1"/>
  <c r="N204" i="14"/>
  <c r="O204" i="14" s="1"/>
  <c r="O45" i="15"/>
  <c r="O54" i="15"/>
  <c r="N90" i="15"/>
  <c r="M90" i="15"/>
  <c r="O61" i="16"/>
  <c r="N122" i="14"/>
  <c r="O122" i="14" s="1"/>
  <c r="F144" i="14"/>
  <c r="N144" i="14" s="1"/>
  <c r="N50" i="15"/>
  <c r="M50" i="15"/>
  <c r="P50" i="15" s="1"/>
  <c r="N75" i="15"/>
  <c r="N85" i="16"/>
  <c r="M85" i="16"/>
  <c r="N112" i="14"/>
  <c r="O112" i="14" s="1"/>
  <c r="N183" i="14"/>
  <c r="O183" i="14" s="1"/>
  <c r="M205" i="14"/>
  <c r="P205" i="14" s="1"/>
  <c r="K88" i="15"/>
  <c r="F88" i="15"/>
  <c r="N42" i="15"/>
  <c r="M42" i="15"/>
  <c r="N79" i="15"/>
  <c r="O79" i="15" s="1"/>
  <c r="M79" i="15"/>
  <c r="P79" i="15" s="1"/>
  <c r="N101" i="15"/>
  <c r="O101" i="15" s="1"/>
  <c r="M160" i="14"/>
  <c r="M168" i="14"/>
  <c r="P168" i="14" s="1"/>
  <c r="M197" i="14"/>
  <c r="M11" i="15"/>
  <c r="P11" i="15" s="1"/>
  <c r="N11" i="15"/>
  <c r="O11" i="15" s="1"/>
  <c r="F75" i="15"/>
  <c r="P19" i="16"/>
  <c r="O19" i="16"/>
  <c r="O57" i="16"/>
  <c r="M189" i="14"/>
  <c r="P189" i="14" s="1"/>
  <c r="M194" i="14"/>
  <c r="P194" i="14" s="1"/>
  <c r="N7" i="15"/>
  <c r="O7" i="15" s="1"/>
  <c r="K75" i="15"/>
  <c r="F58" i="15"/>
  <c r="F65" i="15" s="1"/>
  <c r="N94" i="15"/>
  <c r="O94" i="15" s="1"/>
  <c r="M94" i="15"/>
  <c r="P94" i="15" s="1"/>
  <c r="N36" i="16"/>
  <c r="O36" i="16" s="1"/>
  <c r="M36" i="16"/>
  <c r="P36" i="16" s="1"/>
  <c r="M157" i="14"/>
  <c r="P157" i="14" s="1"/>
  <c r="N163" i="14"/>
  <c r="O163" i="14" s="1"/>
  <c r="M216" i="14"/>
  <c r="P52" i="13" s="1"/>
  <c r="N51" i="15"/>
  <c r="M51" i="15"/>
  <c r="P51" i="15" s="1"/>
  <c r="O31" i="16"/>
  <c r="N155" i="14"/>
  <c r="O155" i="14" s="1"/>
  <c r="N171" i="14"/>
  <c r="O171" i="14" s="1"/>
  <c r="M173" i="14"/>
  <c r="P173" i="14" s="1"/>
  <c r="M211" i="14"/>
  <c r="P211" i="14" s="1"/>
  <c r="N91" i="15"/>
  <c r="O91" i="15" s="1"/>
  <c r="M91" i="15"/>
  <c r="P91" i="15" s="1"/>
  <c r="O14" i="16"/>
  <c r="M184" i="14"/>
  <c r="F159" i="14"/>
  <c r="M106" i="14"/>
  <c r="O106" i="14" s="1"/>
  <c r="N160" i="14"/>
  <c r="M181" i="14"/>
  <c r="P181" i="14" s="1"/>
  <c r="N197" i="14"/>
  <c r="N205" i="14"/>
  <c r="O205" i="14" s="1"/>
  <c r="O32" i="16"/>
  <c r="O37" i="16"/>
  <c r="M27" i="13"/>
  <c r="P27" i="13" s="1"/>
  <c r="F207" i="14"/>
  <c r="N207" i="14" s="1"/>
  <c r="M57" i="14"/>
  <c r="M70" i="14"/>
  <c r="P70" i="14" s="1"/>
  <c r="M73" i="14"/>
  <c r="P73" i="14" s="1"/>
  <c r="N168" i="14"/>
  <c r="N189" i="14"/>
  <c r="M192" i="14"/>
  <c r="P192" i="14" s="1"/>
  <c r="M200" i="14"/>
  <c r="O200" i="14" s="1"/>
  <c r="M208" i="14"/>
  <c r="M12" i="15"/>
  <c r="P12" i="15" s="1"/>
  <c r="M80" i="15"/>
  <c r="P80" i="15" s="1"/>
  <c r="N99" i="15"/>
  <c r="O99" i="15" s="1"/>
  <c r="O86" i="16"/>
  <c r="M24" i="13"/>
  <c r="F87" i="14"/>
  <c r="F136" i="14" s="1"/>
  <c r="F148" i="14"/>
  <c r="N148" i="14" s="1"/>
  <c r="M163" i="14"/>
  <c r="P163" i="14" s="1"/>
  <c r="M174" i="14"/>
  <c r="P174" i="14" s="1"/>
  <c r="N198" i="14"/>
  <c r="O198" i="14" s="1"/>
  <c r="N27" i="15"/>
  <c r="N34" i="15" s="1"/>
  <c r="M43" i="15"/>
  <c r="M76" i="15"/>
  <c r="P76" i="15" s="1"/>
  <c r="M95" i="15"/>
  <c r="P95" i="15" s="1"/>
  <c r="O20" i="16"/>
  <c r="N47" i="15"/>
  <c r="O47" i="15" s="1"/>
  <c r="D65" i="15"/>
  <c r="F82" i="15"/>
  <c r="N82" i="15" s="1"/>
  <c r="N10" i="16"/>
  <c r="F100" i="16"/>
  <c r="N100" i="16" s="1"/>
  <c r="O100" i="16" s="1"/>
  <c r="N56" i="16"/>
  <c r="M56" i="16"/>
  <c r="P56" i="16" s="1"/>
  <c r="F82" i="17"/>
  <c r="M82" i="17" s="1"/>
  <c r="P82" i="17" s="1"/>
  <c r="O6" i="19"/>
  <c r="K148" i="19"/>
  <c r="N62" i="19"/>
  <c r="M62" i="19"/>
  <c r="N97" i="16"/>
  <c r="O97" i="16" s="1"/>
  <c r="N114" i="20"/>
  <c r="O114" i="20" s="1"/>
  <c r="F78" i="16"/>
  <c r="M16" i="16"/>
  <c r="P16" i="16" s="1"/>
  <c r="O107" i="16"/>
  <c r="N97" i="17"/>
  <c r="M97" i="17"/>
  <c r="P97" i="17" s="1"/>
  <c r="O8" i="18"/>
  <c r="O37" i="18"/>
  <c r="O15" i="19"/>
  <c r="O6" i="20"/>
  <c r="N155" i="20"/>
  <c r="M155" i="20"/>
  <c r="P155" i="20" s="1"/>
  <c r="F27" i="16"/>
  <c r="G78" i="16" s="1"/>
  <c r="M34" i="16"/>
  <c r="P34" i="16" s="1"/>
  <c r="M105" i="16"/>
  <c r="D80" i="16"/>
  <c r="N87" i="16"/>
  <c r="M87" i="16"/>
  <c r="P87" i="16" s="1"/>
  <c r="O101" i="16"/>
  <c r="K108" i="16"/>
  <c r="M108" i="16" s="1"/>
  <c r="P40" i="17"/>
  <c r="O40" i="17"/>
  <c r="O95" i="17"/>
  <c r="D127" i="19"/>
  <c r="M10" i="16"/>
  <c r="P10" i="16" s="1"/>
  <c r="N108" i="16"/>
  <c r="N9" i="17"/>
  <c r="O9" i="17" s="1"/>
  <c r="M9" i="17"/>
  <c r="P9" i="17" s="1"/>
  <c r="M18" i="17"/>
  <c r="P18" i="17" s="1"/>
  <c r="D71" i="17"/>
  <c r="F27" i="17"/>
  <c r="G71" i="17" s="1"/>
  <c r="O58" i="17"/>
  <c r="O93" i="17"/>
  <c r="F126" i="19"/>
  <c r="N105" i="16"/>
  <c r="O105" i="16" s="1"/>
  <c r="N36" i="17"/>
  <c r="M36" i="17"/>
  <c r="P36" i="17" s="1"/>
  <c r="M30" i="19"/>
  <c r="P30" i="19" s="1"/>
  <c r="N41" i="19"/>
  <c r="M41" i="19"/>
  <c r="P22" i="8" s="1"/>
  <c r="K102" i="16"/>
  <c r="M102" i="16" s="1"/>
  <c r="M39" i="16"/>
  <c r="O39" i="16" s="1"/>
  <c r="M66" i="16"/>
  <c r="P66" i="16" s="1"/>
  <c r="K78" i="17"/>
  <c r="N78" i="17" s="1"/>
  <c r="N31" i="17"/>
  <c r="M31" i="17"/>
  <c r="F52" i="17"/>
  <c r="N59" i="17"/>
  <c r="O59" i="17" s="1"/>
  <c r="M59" i="17"/>
  <c r="P59" i="17" s="1"/>
  <c r="B110" i="17"/>
  <c r="P59" i="19"/>
  <c r="O59" i="19"/>
  <c r="F50" i="16"/>
  <c r="F79" i="16" s="1"/>
  <c r="O36" i="19"/>
  <c r="O42" i="19"/>
  <c r="M111" i="14"/>
  <c r="P111" i="14" s="1"/>
  <c r="M114" i="14"/>
  <c r="O114" i="14" s="1"/>
  <c r="M158" i="14"/>
  <c r="M73" i="15"/>
  <c r="M14" i="16"/>
  <c r="O46" i="16"/>
  <c r="N99" i="16"/>
  <c r="O99" i="16" s="1"/>
  <c r="M99" i="16"/>
  <c r="N90" i="17"/>
  <c r="O26" i="19"/>
  <c r="N195" i="14"/>
  <c r="O195" i="14" s="1"/>
  <c r="N76" i="15"/>
  <c r="O76" i="15" s="1"/>
  <c r="N100" i="15"/>
  <c r="O100" i="15" s="1"/>
  <c r="M11" i="16"/>
  <c r="P11" i="16" s="1"/>
  <c r="F110" i="16"/>
  <c r="N110" i="16" s="1"/>
  <c r="M46" i="16"/>
  <c r="P46" i="16" s="1"/>
  <c r="N58" i="16"/>
  <c r="O58" i="16" s="1"/>
  <c r="O109" i="16"/>
  <c r="B121" i="16"/>
  <c r="N32" i="17"/>
  <c r="M42" i="17"/>
  <c r="M49" i="15"/>
  <c r="P49" i="15" s="1"/>
  <c r="N52" i="15"/>
  <c r="O52" i="15" s="1"/>
  <c r="M8" i="16"/>
  <c r="O8" i="16" s="1"/>
  <c r="N40" i="16"/>
  <c r="O40" i="16" s="1"/>
  <c r="K88" i="16"/>
  <c r="N88" i="16" s="1"/>
  <c r="N6" i="17"/>
  <c r="M6" i="17"/>
  <c r="P37" i="17"/>
  <c r="O37" i="17"/>
  <c r="O27" i="19"/>
  <c r="N176" i="19"/>
  <c r="M176" i="19"/>
  <c r="P176" i="19" s="1"/>
  <c r="N10" i="15"/>
  <c r="O10" i="15" s="1"/>
  <c r="N46" i="15"/>
  <c r="O46" i="15" s="1"/>
  <c r="N93" i="15"/>
  <c r="O93" i="15" s="1"/>
  <c r="M18" i="16"/>
  <c r="P18" i="16" s="1"/>
  <c r="F103" i="16"/>
  <c r="N103" i="16" s="1"/>
  <c r="N82" i="17"/>
  <c r="O94" i="17"/>
  <c r="O22" i="19"/>
  <c r="M73" i="19"/>
  <c r="P73" i="19" s="1"/>
  <c r="N63" i="16"/>
  <c r="O63" i="16" s="1"/>
  <c r="N96" i="16"/>
  <c r="O96" i="16" s="1"/>
  <c r="M96" i="16"/>
  <c r="P96" i="16" s="1"/>
  <c r="N20" i="17"/>
  <c r="O20" i="17" s="1"/>
  <c r="M20" i="17"/>
  <c r="P20" i="17" s="1"/>
  <c r="O47" i="17"/>
  <c r="N40" i="18"/>
  <c r="O40" i="18" s="1"/>
  <c r="M53" i="15"/>
  <c r="O53" i="15" s="1"/>
  <c r="N89" i="16"/>
  <c r="M89" i="16"/>
  <c r="N106" i="16"/>
  <c r="O106" i="16" s="1"/>
  <c r="M110" i="16"/>
  <c r="P110" i="16" s="1"/>
  <c r="N42" i="17"/>
  <c r="O42" i="17" s="1"/>
  <c r="F88" i="19"/>
  <c r="F127" i="19" s="1"/>
  <c r="O60" i="19"/>
  <c r="O74" i="19"/>
  <c r="N79" i="17"/>
  <c r="M95" i="17"/>
  <c r="P95" i="17" s="1"/>
  <c r="N22" i="18"/>
  <c r="M86" i="15"/>
  <c r="P86" i="15" s="1"/>
  <c r="M94" i="16"/>
  <c r="B122" i="16"/>
  <c r="E79" i="16"/>
  <c r="M63" i="16"/>
  <c r="P63" i="16" s="1"/>
  <c r="O85" i="17"/>
  <c r="N33" i="17"/>
  <c r="O33" i="17" s="1"/>
  <c r="M33" i="17"/>
  <c r="P33" i="17" s="1"/>
  <c r="N99" i="17"/>
  <c r="O99" i="17" s="1"/>
  <c r="M99" i="17"/>
  <c r="P99" i="17" s="1"/>
  <c r="O33" i="19"/>
  <c r="M91" i="16"/>
  <c r="P91" i="16" s="1"/>
  <c r="M111" i="16"/>
  <c r="N111" i="16"/>
  <c r="M86" i="16"/>
  <c r="P86" i="16" s="1"/>
  <c r="M92" i="17"/>
  <c r="P92" i="17" s="1"/>
  <c r="N92" i="17"/>
  <c r="M27" i="15"/>
  <c r="P27" i="15" s="1"/>
  <c r="M98" i="15"/>
  <c r="O98" i="15" s="1"/>
  <c r="M6" i="16"/>
  <c r="O6" i="16" s="1"/>
  <c r="M9" i="16"/>
  <c r="P9" i="16" s="1"/>
  <c r="M22" i="16"/>
  <c r="P22" i="16" s="1"/>
  <c r="M44" i="16"/>
  <c r="P44" i="16" s="1"/>
  <c r="O69" i="16"/>
  <c r="O44" i="17"/>
  <c r="N84" i="17"/>
  <c r="M21" i="15"/>
  <c r="O21" i="15" s="1"/>
  <c r="M77" i="15"/>
  <c r="P77" i="15" s="1"/>
  <c r="M101" i="15"/>
  <c r="P15" i="16"/>
  <c r="M37" i="16"/>
  <c r="P37" i="16" s="1"/>
  <c r="M55" i="16"/>
  <c r="N98" i="16"/>
  <c r="O98" i="16" s="1"/>
  <c r="M100" i="16"/>
  <c r="N104" i="16"/>
  <c r="N80" i="17"/>
  <c r="O80" i="17" s="1"/>
  <c r="M80" i="17"/>
  <c r="P80" i="17" s="1"/>
  <c r="M36" i="18"/>
  <c r="N86" i="15"/>
  <c r="O86" i="15" s="1"/>
  <c r="M13" i="16"/>
  <c r="O13" i="16" s="1"/>
  <c r="M33" i="16"/>
  <c r="P33" i="16" s="1"/>
  <c r="F73" i="16"/>
  <c r="F80" i="16" s="1"/>
  <c r="K98" i="16"/>
  <c r="M98" i="16" s="1"/>
  <c r="M64" i="16"/>
  <c r="P64" i="16" s="1"/>
  <c r="M93" i="16"/>
  <c r="P93" i="16" s="1"/>
  <c r="M107" i="16"/>
  <c r="P107" i="16" s="1"/>
  <c r="N39" i="17"/>
  <c r="O39" i="17" s="1"/>
  <c r="M39" i="17"/>
  <c r="P39" i="17" s="1"/>
  <c r="E72" i="17"/>
  <c r="B111" i="17"/>
  <c r="N96" i="17"/>
  <c r="D126" i="19"/>
  <c r="B198" i="19"/>
  <c r="F49" i="19"/>
  <c r="G126" i="19" s="1"/>
  <c r="N201" i="14"/>
  <c r="O201" i="14" s="1"/>
  <c r="M31" i="15"/>
  <c r="P31" i="15" s="1"/>
  <c r="N8" i="17"/>
  <c r="M8" i="17"/>
  <c r="P8" i="17" s="1"/>
  <c r="N62" i="17"/>
  <c r="O62" i="17" s="1"/>
  <c r="P11" i="21"/>
  <c r="P14" i="19"/>
  <c r="N23" i="19"/>
  <c r="O23" i="19" s="1"/>
  <c r="N56" i="19"/>
  <c r="M56" i="19"/>
  <c r="N141" i="19"/>
  <c r="B50" i="18"/>
  <c r="M27" i="19"/>
  <c r="P27" i="19" s="1"/>
  <c r="N34" i="19"/>
  <c r="M34" i="19"/>
  <c r="P34" i="19" s="1"/>
  <c r="M162" i="19"/>
  <c r="N162" i="19"/>
  <c r="O162" i="19" s="1"/>
  <c r="O16" i="20"/>
  <c r="M38" i="19"/>
  <c r="E126" i="19"/>
  <c r="B199" i="19"/>
  <c r="N147" i="19"/>
  <c r="N169" i="19"/>
  <c r="O169" i="19" s="1"/>
  <c r="N173" i="19"/>
  <c r="P90" i="20"/>
  <c r="P104" i="19"/>
  <c r="M103" i="16"/>
  <c r="M133" i="19"/>
  <c r="N133" i="19"/>
  <c r="M24" i="19"/>
  <c r="P24" i="19" s="1"/>
  <c r="O185" i="19"/>
  <c r="N151" i="19"/>
  <c r="O151" i="19" s="1"/>
  <c r="N160" i="19"/>
  <c r="O160" i="19" s="1"/>
  <c r="N165" i="19"/>
  <c r="O165" i="19" s="1"/>
  <c r="N83" i="17"/>
  <c r="O83" i="17" s="1"/>
  <c r="K136" i="19"/>
  <c r="M136" i="19" s="1"/>
  <c r="F136" i="19"/>
  <c r="N31" i="19"/>
  <c r="O31" i="19" s="1"/>
  <c r="M31" i="19"/>
  <c r="P31" i="19" s="1"/>
  <c r="N186" i="19"/>
  <c r="M186" i="19"/>
  <c r="P186" i="19" s="1"/>
  <c r="N53" i="19"/>
  <c r="M53" i="19"/>
  <c r="O66" i="19"/>
  <c r="M100" i="19"/>
  <c r="P100" i="19" s="1"/>
  <c r="N100" i="19"/>
  <c r="N105" i="19"/>
  <c r="O105" i="19" s="1"/>
  <c r="O110" i="19"/>
  <c r="M46" i="17"/>
  <c r="P46" i="17" s="1"/>
  <c r="F26" i="18"/>
  <c r="G31" i="18" s="1"/>
  <c r="M18" i="19"/>
  <c r="P18" i="19" s="1"/>
  <c r="N28" i="19"/>
  <c r="O28" i="19" s="1"/>
  <c r="N35" i="19"/>
  <c r="O35" i="19" s="1"/>
  <c r="N38" i="19"/>
  <c r="N138" i="19"/>
  <c r="M138" i="19"/>
  <c r="P138" i="19" s="1"/>
  <c r="M74" i="19"/>
  <c r="P74" i="19" s="1"/>
  <c r="M134" i="19"/>
  <c r="N182" i="19"/>
  <c r="N92" i="16"/>
  <c r="O92" i="16" s="1"/>
  <c r="M19" i="18"/>
  <c r="O19" i="18" s="1"/>
  <c r="O22" i="18" s="1"/>
  <c r="M6" i="19"/>
  <c r="M9" i="19"/>
  <c r="O9" i="19" s="1"/>
  <c r="N12" i="19"/>
  <c r="O12" i="19" s="1"/>
  <c r="M15" i="19"/>
  <c r="P15" i="19" s="1"/>
  <c r="M42" i="19"/>
  <c r="P42" i="19" s="1"/>
  <c r="N152" i="19"/>
  <c r="N177" i="19"/>
  <c r="O177" i="19" s="1"/>
  <c r="N44" i="20"/>
  <c r="M44" i="20"/>
  <c r="P44" i="20" s="1"/>
  <c r="M43" i="17"/>
  <c r="P43" i="17" s="1"/>
  <c r="N60" i="17"/>
  <c r="O60" i="17" s="1"/>
  <c r="M78" i="17"/>
  <c r="O6" i="18"/>
  <c r="M9" i="18"/>
  <c r="P46" i="4" s="1"/>
  <c r="M37" i="18"/>
  <c r="N57" i="19"/>
  <c r="O57" i="19" s="1"/>
  <c r="O101" i="19"/>
  <c r="N157" i="19"/>
  <c r="N170" i="19"/>
  <c r="O170" i="19" s="1"/>
  <c r="M34" i="17"/>
  <c r="P34" i="17" s="1"/>
  <c r="F53" i="17"/>
  <c r="G72" i="17" s="1"/>
  <c r="N81" i="17"/>
  <c r="O81" i="17" s="1"/>
  <c r="M90" i="17"/>
  <c r="M35" i="19"/>
  <c r="P35" i="19" s="1"/>
  <c r="N144" i="19"/>
  <c r="N174" i="19"/>
  <c r="N178" i="19"/>
  <c r="N57" i="17"/>
  <c r="M98" i="17"/>
  <c r="P98" i="17" s="1"/>
  <c r="N32" i="19"/>
  <c r="O32" i="19" s="1"/>
  <c r="N43" i="19"/>
  <c r="O43" i="19" s="1"/>
  <c r="M43" i="19"/>
  <c r="P43" i="19" s="1"/>
  <c r="N54" i="19"/>
  <c r="O54" i="19" s="1"/>
  <c r="M54" i="19"/>
  <c r="P54" i="19" s="1"/>
  <c r="P57" i="19"/>
  <c r="O116" i="19"/>
  <c r="N139" i="19"/>
  <c r="O139" i="19" s="1"/>
  <c r="N166" i="19"/>
  <c r="M67" i="19"/>
  <c r="O67" i="19" s="1"/>
  <c r="N183" i="19"/>
  <c r="M183" i="19"/>
  <c r="P183" i="19" s="1"/>
  <c r="N187" i="19"/>
  <c r="O187" i="19" s="1"/>
  <c r="M187" i="19"/>
  <c r="P187" i="19" s="1"/>
  <c r="M21" i="17"/>
  <c r="P21" i="17" s="1"/>
  <c r="F66" i="17"/>
  <c r="F73" i="17" s="1"/>
  <c r="M140" i="19"/>
  <c r="P140" i="19" s="1"/>
  <c r="M79" i="19"/>
  <c r="P79" i="19" s="1"/>
  <c r="P92" i="20"/>
  <c r="P106" i="19"/>
  <c r="N140" i="19"/>
  <c r="O140" i="19" s="1"/>
  <c r="N8" i="20"/>
  <c r="N20" i="20" s="1"/>
  <c r="M8" i="20"/>
  <c r="N40" i="20"/>
  <c r="M40" i="20"/>
  <c r="P40" i="20" s="1"/>
  <c r="M92" i="16"/>
  <c r="M12" i="17"/>
  <c r="P12" i="17" s="1"/>
  <c r="D31" i="18"/>
  <c r="F134" i="19"/>
  <c r="N134" i="19" s="1"/>
  <c r="O137" i="19"/>
  <c r="M22" i="19"/>
  <c r="P22" i="19" s="1"/>
  <c r="N29" i="19"/>
  <c r="O29" i="19" s="1"/>
  <c r="M32" i="19"/>
  <c r="P32" i="19" s="1"/>
  <c r="M39" i="19"/>
  <c r="P39" i="19" s="1"/>
  <c r="O106" i="19"/>
  <c r="M188" i="19"/>
  <c r="P188" i="19" s="1"/>
  <c r="N95" i="16"/>
  <c r="O95" i="16" s="1"/>
  <c r="M88" i="17"/>
  <c r="P88" i="17" s="1"/>
  <c r="M93" i="17"/>
  <c r="P93" i="17" s="1"/>
  <c r="M20" i="18"/>
  <c r="O20" i="18" s="1"/>
  <c r="M19" i="19"/>
  <c r="P19" i="19" s="1"/>
  <c r="N68" i="19"/>
  <c r="O68" i="19" s="1"/>
  <c r="M72" i="19"/>
  <c r="M97" i="19"/>
  <c r="M118" i="19" s="1"/>
  <c r="N97" i="19"/>
  <c r="N118" i="19" s="1"/>
  <c r="M178" i="19"/>
  <c r="P178" i="19" s="1"/>
  <c r="M10" i="19"/>
  <c r="P10" i="19" s="1"/>
  <c r="N13" i="19"/>
  <c r="O13" i="19" s="1"/>
  <c r="M16" i="19"/>
  <c r="P16" i="19" s="1"/>
  <c r="N44" i="19"/>
  <c r="N79" i="19"/>
  <c r="N107" i="19"/>
  <c r="M179" i="19"/>
  <c r="P179" i="19" s="1"/>
  <c r="N98" i="17"/>
  <c r="O98" i="17" s="1"/>
  <c r="F13" i="18"/>
  <c r="O163" i="19"/>
  <c r="N136" i="19"/>
  <c r="N145" i="19"/>
  <c r="N184" i="19"/>
  <c r="N40" i="19"/>
  <c r="M40" i="19"/>
  <c r="P40" i="19" s="1"/>
  <c r="O64" i="19"/>
  <c r="M149" i="19"/>
  <c r="P149" i="19" s="1"/>
  <c r="M158" i="19"/>
  <c r="P158" i="19" s="1"/>
  <c r="B165" i="20"/>
  <c r="D105" i="20"/>
  <c r="F24" i="20"/>
  <c r="G105" i="20" s="1"/>
  <c r="O41" i="20"/>
  <c r="M41" i="17"/>
  <c r="O41" i="17" s="1"/>
  <c r="M38" i="18"/>
  <c r="O38" i="18" s="1"/>
  <c r="F156" i="19"/>
  <c r="N156" i="19" s="1"/>
  <c r="M26" i="19"/>
  <c r="P26" i="19" s="1"/>
  <c r="M44" i="19"/>
  <c r="P44" i="19" s="1"/>
  <c r="M68" i="19"/>
  <c r="N72" i="19"/>
  <c r="M141" i="19"/>
  <c r="N154" i="19"/>
  <c r="M62" i="16"/>
  <c r="P62" i="16" s="1"/>
  <c r="M65" i="16"/>
  <c r="P65" i="16" s="1"/>
  <c r="M68" i="16"/>
  <c r="P68" i="16" s="1"/>
  <c r="M16" i="17"/>
  <c r="P16" i="17" s="1"/>
  <c r="M32" i="17"/>
  <c r="P56" i="14" s="1"/>
  <c r="M79" i="17"/>
  <c r="M89" i="17"/>
  <c r="O89" i="17" s="1"/>
  <c r="M96" i="17"/>
  <c r="M55" i="19"/>
  <c r="P55" i="19" s="1"/>
  <c r="N108" i="19"/>
  <c r="O108" i="19" s="1"/>
  <c r="E128" i="19"/>
  <c r="F122" i="19"/>
  <c r="G128" i="19" s="1"/>
  <c r="M163" i="19"/>
  <c r="N167" i="19"/>
  <c r="N171" i="19"/>
  <c r="O171" i="19" s="1"/>
  <c r="N175" i="19"/>
  <c r="O175" i="19" s="1"/>
  <c r="N179" i="19"/>
  <c r="O179" i="19" s="1"/>
  <c r="M95" i="16"/>
  <c r="M104" i="16"/>
  <c r="P104" i="16" s="1"/>
  <c r="M13" i="17"/>
  <c r="P13" i="17" s="1"/>
  <c r="M19" i="17"/>
  <c r="O19" i="17" s="1"/>
  <c r="M48" i="17"/>
  <c r="P48" i="17" s="1"/>
  <c r="M58" i="17"/>
  <c r="P58" i="17" s="1"/>
  <c r="M84" i="17"/>
  <c r="P84" i="17" s="1"/>
  <c r="M91" i="17"/>
  <c r="O91" i="17" s="1"/>
  <c r="F25" i="18"/>
  <c r="F31" i="18" s="1"/>
  <c r="F142" i="19"/>
  <c r="F148" i="19"/>
  <c r="M148" i="19" s="1"/>
  <c r="M33" i="19"/>
  <c r="P33" i="19" s="1"/>
  <c r="K39" i="18"/>
  <c r="M39" i="18" s="1"/>
  <c r="K142" i="19"/>
  <c r="N142" i="19" s="1"/>
  <c r="N37" i="19"/>
  <c r="O37" i="19" s="1"/>
  <c r="M37" i="19"/>
  <c r="P37" i="19" s="1"/>
  <c r="N146" i="19"/>
  <c r="N172" i="19"/>
  <c r="O15" i="20"/>
  <c r="N103" i="19"/>
  <c r="O103" i="19" s="1"/>
  <c r="N112" i="19"/>
  <c r="O112" i="19" s="1"/>
  <c r="M167" i="19"/>
  <c r="O49" i="20"/>
  <c r="N54" i="20"/>
  <c r="O54" i="20" s="1"/>
  <c r="M54" i="20"/>
  <c r="N151" i="20"/>
  <c r="O151" i="20" s="1"/>
  <c r="M151" i="20"/>
  <c r="N91" i="21"/>
  <c r="O91" i="21" s="1"/>
  <c r="M15" i="20"/>
  <c r="N45" i="20"/>
  <c r="O95" i="20"/>
  <c r="N132" i="20"/>
  <c r="O132" i="20" s="1"/>
  <c r="N92" i="21"/>
  <c r="O92" i="21" s="1"/>
  <c r="M181" i="19"/>
  <c r="N134" i="20"/>
  <c r="M134" i="20"/>
  <c r="P134" i="20" s="1"/>
  <c r="N55" i="20"/>
  <c r="O55" i="20" s="1"/>
  <c r="M55" i="20"/>
  <c r="P55" i="20" s="1"/>
  <c r="M116" i="19"/>
  <c r="P116" i="19" s="1"/>
  <c r="M143" i="19"/>
  <c r="M147" i="19"/>
  <c r="P147" i="19" s="1"/>
  <c r="O81" i="20"/>
  <c r="M115" i="20"/>
  <c r="P115" i="20" s="1"/>
  <c r="M83" i="21"/>
  <c r="P83" i="21" s="1"/>
  <c r="O93" i="21"/>
  <c r="K112" i="20"/>
  <c r="F23" i="20"/>
  <c r="M37" i="20"/>
  <c r="P37" i="20" s="1"/>
  <c r="M45" i="20"/>
  <c r="P45" i="20" s="1"/>
  <c r="O50" i="20"/>
  <c r="D106" i="20"/>
  <c r="F68" i="20"/>
  <c r="G106" i="20" s="1"/>
  <c r="N146" i="20"/>
  <c r="O146" i="20" s="1"/>
  <c r="M107" i="19"/>
  <c r="P107" i="19" s="1"/>
  <c r="M110" i="19"/>
  <c r="P110" i="19" s="1"/>
  <c r="M165" i="19"/>
  <c r="P165" i="19" s="1"/>
  <c r="M174" i="19"/>
  <c r="P174" i="19" s="1"/>
  <c r="M50" i="20"/>
  <c r="P64" i="10" s="1"/>
  <c r="N128" i="20"/>
  <c r="O128" i="20" s="1"/>
  <c r="O14" i="21"/>
  <c r="N84" i="21"/>
  <c r="N7" i="18"/>
  <c r="O7" i="18" s="1"/>
  <c r="M145" i="19"/>
  <c r="P145" i="19" s="1"/>
  <c r="M154" i="19"/>
  <c r="P154" i="19" s="1"/>
  <c r="M6" i="20"/>
  <c r="M9" i="20"/>
  <c r="P9" i="20" s="1"/>
  <c r="N34" i="20"/>
  <c r="O34" i="20" s="1"/>
  <c r="M41" i="20"/>
  <c r="N56" i="20"/>
  <c r="M56" i="20"/>
  <c r="P56" i="20" s="1"/>
  <c r="O96" i="20"/>
  <c r="N147" i="20"/>
  <c r="O147" i="20" s="1"/>
  <c r="N79" i="21"/>
  <c r="M79" i="21"/>
  <c r="O19" i="21"/>
  <c r="N120" i="20"/>
  <c r="N86" i="21"/>
  <c r="M86" i="21"/>
  <c r="P86" i="21" s="1"/>
  <c r="M152" i="19"/>
  <c r="M172" i="19"/>
  <c r="N181" i="19"/>
  <c r="M13" i="20"/>
  <c r="P13" i="20" s="1"/>
  <c r="D107" i="20"/>
  <c r="F101" i="20"/>
  <c r="G107" i="20" s="1"/>
  <c r="M116" i="20"/>
  <c r="P116" i="20" s="1"/>
  <c r="N138" i="20"/>
  <c r="O138" i="20" s="1"/>
  <c r="N89" i="21"/>
  <c r="M80" i="19"/>
  <c r="M83" i="19"/>
  <c r="N143" i="19"/>
  <c r="O143" i="19" s="1"/>
  <c r="N42" i="20"/>
  <c r="O42" i="20" s="1"/>
  <c r="K142" i="20"/>
  <c r="F142" i="20"/>
  <c r="N72" i="20"/>
  <c r="M128" i="20"/>
  <c r="P128" i="20" s="1"/>
  <c r="N133" i="20"/>
  <c r="O133" i="20" s="1"/>
  <c r="N143" i="20"/>
  <c r="O143" i="20" s="1"/>
  <c r="N152" i="20"/>
  <c r="O80" i="21"/>
  <c r="N94" i="21"/>
  <c r="N111" i="19"/>
  <c r="O111" i="19" s="1"/>
  <c r="M114" i="19"/>
  <c r="P114" i="19" s="1"/>
  <c r="M10" i="20"/>
  <c r="N131" i="20"/>
  <c r="O131" i="20" s="1"/>
  <c r="M131" i="20"/>
  <c r="N51" i="20"/>
  <c r="O51" i="20" s="1"/>
  <c r="M51" i="20"/>
  <c r="N57" i="20"/>
  <c r="O57" i="20" s="1"/>
  <c r="M57" i="20"/>
  <c r="B106" i="21"/>
  <c r="E68" i="21"/>
  <c r="O117" i="19"/>
  <c r="M150" i="19"/>
  <c r="O150" i="19" s="1"/>
  <c r="M159" i="19"/>
  <c r="P159" i="19" s="1"/>
  <c r="F119" i="20"/>
  <c r="M119" i="20" s="1"/>
  <c r="B166" i="20"/>
  <c r="E105" i="20"/>
  <c r="N31" i="20"/>
  <c r="O139" i="20"/>
  <c r="O124" i="20"/>
  <c r="N129" i="20"/>
  <c r="O129" i="20" s="1"/>
  <c r="N43" i="21"/>
  <c r="O28" i="21"/>
  <c r="F113" i="20"/>
  <c r="N113" i="20" s="1"/>
  <c r="O83" i="20"/>
  <c r="N116" i="20"/>
  <c r="O116" i="20" s="1"/>
  <c r="F100" i="21"/>
  <c r="F68" i="21"/>
  <c r="N90" i="21"/>
  <c r="O90" i="21" s="1"/>
  <c r="O47" i="20"/>
  <c r="O61" i="20"/>
  <c r="O93" i="20"/>
  <c r="N112" i="20"/>
  <c r="N121" i="20"/>
  <c r="O121" i="20" s="1"/>
  <c r="N125" i="20"/>
  <c r="F47" i="21"/>
  <c r="G69" i="21" s="1"/>
  <c r="F69" i="21"/>
  <c r="N95" i="21"/>
  <c r="M81" i="19"/>
  <c r="P81" i="19" s="1"/>
  <c r="M157" i="19"/>
  <c r="P157" i="19" s="1"/>
  <c r="M184" i="19"/>
  <c r="N10" i="20"/>
  <c r="M31" i="20"/>
  <c r="P31" i="20" s="1"/>
  <c r="M39" i="20"/>
  <c r="P39" i="20" s="1"/>
  <c r="M47" i="20"/>
  <c r="P47" i="20" s="1"/>
  <c r="M139" i="20"/>
  <c r="O144" i="20"/>
  <c r="O32" i="21"/>
  <c r="N81" i="21"/>
  <c r="M78" i="19"/>
  <c r="M7" i="20"/>
  <c r="O7" i="20" s="1"/>
  <c r="N17" i="20"/>
  <c r="O17" i="20" s="1"/>
  <c r="F67" i="20"/>
  <c r="F106" i="20" s="1"/>
  <c r="M130" i="20"/>
  <c r="O130" i="20" s="1"/>
  <c r="N153" i="20"/>
  <c r="O153" i="20" s="1"/>
  <c r="O7" i="21"/>
  <c r="M146" i="19"/>
  <c r="M166" i="19"/>
  <c r="N180" i="19"/>
  <c r="O180" i="19" s="1"/>
  <c r="N48" i="20"/>
  <c r="O48" i="20" s="1"/>
  <c r="N135" i="20"/>
  <c r="O135" i="20" s="1"/>
  <c r="O33" i="21"/>
  <c r="M90" i="21"/>
  <c r="P90" i="21" s="1"/>
  <c r="N69" i="19"/>
  <c r="O69" i="19" s="1"/>
  <c r="N81" i="19"/>
  <c r="O81" i="19" s="1"/>
  <c r="M135" i="19"/>
  <c r="P135" i="19" s="1"/>
  <c r="M155" i="19"/>
  <c r="P155" i="19" s="1"/>
  <c r="N28" i="20"/>
  <c r="N53" i="20"/>
  <c r="O53" i="20" s="1"/>
  <c r="M53" i="20"/>
  <c r="P53" i="20" s="1"/>
  <c r="N149" i="20"/>
  <c r="N76" i="21"/>
  <c r="M76" i="21"/>
  <c r="O82" i="21"/>
  <c r="M164" i="19"/>
  <c r="M182" i="19"/>
  <c r="P182" i="19" s="1"/>
  <c r="M18" i="20"/>
  <c r="N117" i="20"/>
  <c r="O117" i="20" s="1"/>
  <c r="M117" i="20"/>
  <c r="P117" i="20" s="1"/>
  <c r="M82" i="21"/>
  <c r="M91" i="21"/>
  <c r="P106" i="4" s="1"/>
  <c r="M144" i="19"/>
  <c r="M153" i="19"/>
  <c r="O153" i="19" s="1"/>
  <c r="M173" i="19"/>
  <c r="P173" i="19" s="1"/>
  <c r="M14" i="20"/>
  <c r="O14" i="20" s="1"/>
  <c r="F140" i="20"/>
  <c r="M140" i="20" s="1"/>
  <c r="P140" i="20" s="1"/>
  <c r="M36" i="20"/>
  <c r="P36" i="20" s="1"/>
  <c r="O62" i="20"/>
  <c r="O148" i="20"/>
  <c r="N140" i="20"/>
  <c r="M154" i="20"/>
  <c r="O154" i="20" s="1"/>
  <c r="F101" i="21"/>
  <c r="F114" i="20"/>
  <c r="M114" i="20" s="1"/>
  <c r="O59" i="20"/>
  <c r="O75" i="20"/>
  <c r="N141" i="20"/>
  <c r="M141" i="20"/>
  <c r="O94" i="20"/>
  <c r="N145" i="20"/>
  <c r="O145" i="20" s="1"/>
  <c r="O8" i="21"/>
  <c r="N87" i="21"/>
  <c r="O87" i="21" s="1"/>
  <c r="M59" i="20"/>
  <c r="N80" i="20"/>
  <c r="O80" i="20" s="1"/>
  <c r="M83" i="20"/>
  <c r="P83" i="20" s="1"/>
  <c r="M86" i="20"/>
  <c r="P86" i="20" s="1"/>
  <c r="M125" i="20"/>
  <c r="P125" i="20" s="1"/>
  <c r="M149" i="20"/>
  <c r="N18" i="21"/>
  <c r="O18" i="21" s="1"/>
  <c r="N39" i="21"/>
  <c r="O39" i="21" s="1"/>
  <c r="M42" i="21"/>
  <c r="P42" i="21" s="1"/>
  <c r="K75" i="21"/>
  <c r="N75" i="21" s="1"/>
  <c r="M77" i="21"/>
  <c r="P77" i="21" s="1"/>
  <c r="M112" i="20"/>
  <c r="M136" i="20"/>
  <c r="P136" i="20" s="1"/>
  <c r="M7" i="21"/>
  <c r="M88" i="21"/>
  <c r="O88" i="21" s="1"/>
  <c r="M89" i="20"/>
  <c r="P89" i="20" s="1"/>
  <c r="M123" i="20"/>
  <c r="P123" i="20" s="1"/>
  <c r="M147" i="20"/>
  <c r="P147" i="20" s="1"/>
  <c r="M28" i="21"/>
  <c r="M10" i="21"/>
  <c r="O10" i="21" s="1"/>
  <c r="M121" i="20"/>
  <c r="P121" i="20" s="1"/>
  <c r="M145" i="20"/>
  <c r="F64" i="21"/>
  <c r="G70" i="21" s="1"/>
  <c r="M72" i="20"/>
  <c r="M132" i="20"/>
  <c r="M84" i="21"/>
  <c r="M75" i="20"/>
  <c r="P75" i="20" s="1"/>
  <c r="F126" i="20"/>
  <c r="F78" i="21"/>
  <c r="M78" i="21" s="1"/>
  <c r="M95" i="21"/>
  <c r="P95" i="21" s="1"/>
  <c r="M93" i="21"/>
  <c r="P93" i="21" s="1"/>
  <c r="K126" i="20"/>
  <c r="M152" i="20"/>
  <c r="P152" i="20" s="1"/>
  <c r="M8" i="21"/>
  <c r="P8" i="21" s="1"/>
  <c r="M80" i="21"/>
  <c r="M93" i="20"/>
  <c r="P93" i="20" s="1"/>
  <c r="M137" i="20"/>
  <c r="O137" i="20" s="1"/>
  <c r="M11" i="21"/>
  <c r="O11" i="21" s="1"/>
  <c r="M53" i="21"/>
  <c r="P53" i="21" s="1"/>
  <c r="M89" i="21"/>
  <c r="M52" i="20"/>
  <c r="O52" i="20" s="1"/>
  <c r="M73" i="20"/>
  <c r="O73" i="20" s="1"/>
  <c r="M58" i="20"/>
  <c r="P58" i="20" s="1"/>
  <c r="M122" i="20"/>
  <c r="P122" i="20" s="1"/>
  <c r="M146" i="20"/>
  <c r="P146" i="20" s="1"/>
  <c r="M6" i="21"/>
  <c r="M120" i="20"/>
  <c r="P120" i="20" s="1"/>
  <c r="M144" i="20"/>
  <c r="P144" i="20" s="1"/>
  <c r="N6" i="21"/>
  <c r="M88" i="20"/>
  <c r="O88" i="20" s="1"/>
  <c r="M9" i="21"/>
  <c r="P9" i="21" s="1"/>
  <c r="M118" i="20"/>
  <c r="P118" i="20" s="1"/>
  <c r="M94" i="21"/>
  <c r="M129" i="20"/>
  <c r="M153" i="20"/>
  <c r="N60" i="21"/>
  <c r="M81" i="21"/>
  <c r="F24" i="21"/>
  <c r="G68" i="21" s="1"/>
  <c r="M33" i="21"/>
  <c r="P33" i="21" s="1"/>
  <c r="M74" i="20"/>
  <c r="P74" i="20" s="1"/>
  <c r="M77" i="20"/>
  <c r="P77" i="20" s="1"/>
  <c r="M127" i="20"/>
  <c r="P127" i="20" s="1"/>
  <c r="M15" i="21"/>
  <c r="O15" i="21" s="1"/>
  <c r="M36" i="21"/>
  <c r="P36" i="21" s="1"/>
  <c r="M57" i="21"/>
  <c r="P57" i="21" s="1"/>
  <c r="N102" i="17" l="1"/>
  <c r="O78" i="17"/>
  <c r="P148" i="20"/>
  <c r="P98" i="16"/>
  <c r="P154" i="10"/>
  <c r="P149" i="20"/>
  <c r="P102" i="16"/>
  <c r="O118" i="10"/>
  <c r="O73" i="15"/>
  <c r="P31" i="21"/>
  <c r="P56" i="19"/>
  <c r="P90" i="3"/>
  <c r="O85" i="16"/>
  <c r="N101" i="11"/>
  <c r="M101" i="11"/>
  <c r="N152" i="14"/>
  <c r="M152" i="14"/>
  <c r="O44" i="13"/>
  <c r="M46" i="13"/>
  <c r="O46" i="13" s="1"/>
  <c r="O6" i="12"/>
  <c r="O9" i="12" s="1"/>
  <c r="N9" i="12"/>
  <c r="P60" i="19"/>
  <c r="P58" i="14"/>
  <c r="M149" i="14"/>
  <c r="P149" i="14" s="1"/>
  <c r="N149" i="14"/>
  <c r="N29" i="13"/>
  <c r="O22" i="13"/>
  <c r="O20" i="14"/>
  <c r="N84" i="14"/>
  <c r="O24" i="15"/>
  <c r="O34" i="15" s="1"/>
  <c r="P151" i="10"/>
  <c r="O49" i="10"/>
  <c r="P10" i="20"/>
  <c r="P8" i="6"/>
  <c r="O56" i="10"/>
  <c r="O90" i="10"/>
  <c r="O52" i="8"/>
  <c r="O88" i="6"/>
  <c r="O63" i="6"/>
  <c r="O33" i="5"/>
  <c r="P91" i="21"/>
  <c r="P28" i="20"/>
  <c r="P28" i="21"/>
  <c r="P31" i="16"/>
  <c r="P51" i="14"/>
  <c r="P21" i="15"/>
  <c r="P45" i="10"/>
  <c r="P39" i="3"/>
  <c r="M77" i="3"/>
  <c r="M75" i="21"/>
  <c r="M97" i="21" s="1"/>
  <c r="O118" i="20"/>
  <c r="P18" i="20"/>
  <c r="O18" i="20"/>
  <c r="O42" i="21"/>
  <c r="O125" i="20"/>
  <c r="N142" i="20"/>
  <c r="M142" i="20"/>
  <c r="O79" i="21"/>
  <c r="O134" i="20"/>
  <c r="O172" i="19"/>
  <c r="O9" i="20"/>
  <c r="O40" i="20"/>
  <c r="O56" i="19"/>
  <c r="O155" i="20"/>
  <c r="O62" i="19"/>
  <c r="O44" i="16"/>
  <c r="O22" i="16"/>
  <c r="O16" i="16"/>
  <c r="O80" i="14"/>
  <c r="P80" i="14"/>
  <c r="P44" i="13"/>
  <c r="P145" i="14"/>
  <c r="M14" i="13"/>
  <c r="N86" i="11"/>
  <c r="O86" i="11" s="1"/>
  <c r="O145" i="14"/>
  <c r="P8" i="20"/>
  <c r="M37" i="10"/>
  <c r="P7" i="10"/>
  <c r="O18" i="12"/>
  <c r="N19" i="12"/>
  <c r="O7" i="13"/>
  <c r="P137" i="20"/>
  <c r="P133" i="10"/>
  <c r="O133" i="10"/>
  <c r="P110" i="6"/>
  <c r="P90" i="8"/>
  <c r="P19" i="6"/>
  <c r="P99" i="6"/>
  <c r="P102" i="11"/>
  <c r="P113" i="19"/>
  <c r="P37" i="5"/>
  <c r="O103" i="4"/>
  <c r="P109" i="14"/>
  <c r="P92" i="10"/>
  <c r="P101" i="3"/>
  <c r="P77" i="8"/>
  <c r="P175" i="3"/>
  <c r="O80" i="6"/>
  <c r="P90" i="4"/>
  <c r="M102" i="17"/>
  <c r="O149" i="19"/>
  <c r="O18" i="16"/>
  <c r="O26" i="11"/>
  <c r="N37" i="11"/>
  <c r="P179" i="14"/>
  <c r="P90" i="15"/>
  <c r="O102" i="14"/>
  <c r="P15" i="20"/>
  <c r="P6" i="12"/>
  <c r="M9" i="12"/>
  <c r="F51" i="16"/>
  <c r="G79" i="16" s="1"/>
  <c r="F37" i="13"/>
  <c r="F57" i="13"/>
  <c r="F58" i="13" s="1"/>
  <c r="M103" i="10"/>
  <c r="N15" i="9"/>
  <c r="O6" i="9"/>
  <c r="F71" i="6"/>
  <c r="F120" i="6"/>
  <c r="F121" i="6" s="1"/>
  <c r="M64" i="11"/>
  <c r="N114" i="4"/>
  <c r="O84" i="4"/>
  <c r="P95" i="6"/>
  <c r="P104" i="4"/>
  <c r="O99" i="6"/>
  <c r="O8" i="6"/>
  <c r="O91" i="4"/>
  <c r="P97" i="3"/>
  <c r="P90" i="10"/>
  <c r="O175" i="3"/>
  <c r="O50" i="3"/>
  <c r="O141" i="10"/>
  <c r="O8" i="13"/>
  <c r="P8" i="16"/>
  <c r="P20" i="10"/>
  <c r="P18" i="6"/>
  <c r="O143" i="10"/>
  <c r="O45" i="11"/>
  <c r="N64" i="11"/>
  <c r="P84" i="21"/>
  <c r="P91" i="11"/>
  <c r="P95" i="4"/>
  <c r="P73" i="10"/>
  <c r="P6" i="15"/>
  <c r="P10" i="6"/>
  <c r="P9" i="10"/>
  <c r="M64" i="5"/>
  <c r="P78" i="21"/>
  <c r="P88" i="4"/>
  <c r="O13" i="5"/>
  <c r="O104" i="4"/>
  <c r="P56" i="21"/>
  <c r="P19" i="18"/>
  <c r="P62" i="4"/>
  <c r="P106" i="14"/>
  <c r="O49" i="8"/>
  <c r="O56" i="8" s="1"/>
  <c r="O10" i="5"/>
  <c r="O185" i="3"/>
  <c r="O153" i="3"/>
  <c r="P94" i="16"/>
  <c r="O94" i="16"/>
  <c r="O75" i="15"/>
  <c r="O65" i="14"/>
  <c r="N122" i="10"/>
  <c r="M122" i="10"/>
  <c r="P81" i="15" s="1"/>
  <c r="P132" i="20"/>
  <c r="P33" i="12"/>
  <c r="O50" i="13"/>
  <c r="O106" i="11"/>
  <c r="O33" i="12"/>
  <c r="O26" i="10"/>
  <c r="O82" i="11"/>
  <c r="O121" i="10"/>
  <c r="N18" i="11"/>
  <c r="F33" i="9"/>
  <c r="F28" i="9"/>
  <c r="G33" i="9" s="1"/>
  <c r="O10" i="6"/>
  <c r="O9" i="5"/>
  <c r="O112" i="4"/>
  <c r="P136" i="19"/>
  <c r="M23" i="7"/>
  <c r="P21" i="7"/>
  <c r="P23" i="7" s="1"/>
  <c r="O14" i="6"/>
  <c r="O88" i="4"/>
  <c r="F52" i="4"/>
  <c r="G75" i="4" s="1"/>
  <c r="M187" i="3"/>
  <c r="N187" i="3"/>
  <c r="O40" i="4"/>
  <c r="P185" i="19"/>
  <c r="P214" i="3"/>
  <c r="O76" i="3"/>
  <c r="P61" i="11"/>
  <c r="O97" i="4"/>
  <c r="O8" i="20"/>
  <c r="P83" i="19"/>
  <c r="O83" i="19"/>
  <c r="P100" i="17"/>
  <c r="P208" i="14"/>
  <c r="N23" i="16"/>
  <c r="N156" i="14"/>
  <c r="O156" i="14" s="1"/>
  <c r="O84" i="15"/>
  <c r="O11" i="9"/>
  <c r="P71" i="14"/>
  <c r="P71" i="10"/>
  <c r="O37" i="12"/>
  <c r="O149" i="10"/>
  <c r="P79" i="21"/>
  <c r="P89" i="4"/>
  <c r="O13" i="8"/>
  <c r="N154" i="10"/>
  <c r="O154" i="10" s="1"/>
  <c r="O52" i="11"/>
  <c r="O54" i="10"/>
  <c r="O89" i="4"/>
  <c r="P82" i="21"/>
  <c r="P93" i="4"/>
  <c r="O21" i="7"/>
  <c r="O23" i="7" s="1"/>
  <c r="N23" i="7"/>
  <c r="P180" i="19"/>
  <c r="P63" i="5"/>
  <c r="P36" i="4"/>
  <c r="P51" i="6"/>
  <c r="P64" i="19"/>
  <c r="P48" i="3"/>
  <c r="O35" i="4"/>
  <c r="O119" i="3"/>
  <c r="O194" i="3"/>
  <c r="N85" i="6"/>
  <c r="O85" i="6" s="1"/>
  <c r="P110" i="4"/>
  <c r="P195" i="3"/>
  <c r="P143" i="20"/>
  <c r="P164" i="19"/>
  <c r="O133" i="19"/>
  <c r="O44" i="20"/>
  <c r="O39" i="19"/>
  <c r="O159" i="19"/>
  <c r="P172" i="19"/>
  <c r="P200" i="14"/>
  <c r="O50" i="15"/>
  <c r="P98" i="15"/>
  <c r="P196" i="14"/>
  <c r="O29" i="15"/>
  <c r="O74" i="15"/>
  <c r="O208" i="14"/>
  <c r="O142" i="10"/>
  <c r="P216" i="14"/>
  <c r="O182" i="14"/>
  <c r="O70" i="14"/>
  <c r="O84" i="10"/>
  <c r="F46" i="6"/>
  <c r="G71" i="6" s="1"/>
  <c r="P73" i="20"/>
  <c r="P42" i="15"/>
  <c r="P94" i="14"/>
  <c r="P85" i="10"/>
  <c r="P58" i="4"/>
  <c r="O9" i="6"/>
  <c r="O97" i="8"/>
  <c r="O95" i="10"/>
  <c r="F73" i="6"/>
  <c r="F67" i="6"/>
  <c r="G73" i="6" s="1"/>
  <c r="N48" i="4"/>
  <c r="O32" i="4"/>
  <c r="M66" i="4"/>
  <c r="O93" i="4"/>
  <c r="M84" i="6"/>
  <c r="M117" i="6" s="1"/>
  <c r="M108" i="4"/>
  <c r="O10" i="4"/>
  <c r="P6" i="21"/>
  <c r="P6" i="20"/>
  <c r="P6" i="19"/>
  <c r="P6" i="14"/>
  <c r="P6" i="6"/>
  <c r="P6" i="9"/>
  <c r="P6" i="3"/>
  <c r="P6" i="5"/>
  <c r="M31" i="3"/>
  <c r="P139" i="20"/>
  <c r="P175" i="14"/>
  <c r="P141" i="10"/>
  <c r="P101" i="11"/>
  <c r="P162" i="3"/>
  <c r="O76" i="21"/>
  <c r="O80" i="19"/>
  <c r="P80" i="19"/>
  <c r="O56" i="20"/>
  <c r="O108" i="16"/>
  <c r="M113" i="20"/>
  <c r="P76" i="21" s="1"/>
  <c r="O149" i="20"/>
  <c r="M64" i="20"/>
  <c r="O89" i="21"/>
  <c r="O115" i="20"/>
  <c r="O45" i="20"/>
  <c r="O40" i="19"/>
  <c r="O57" i="17"/>
  <c r="O63" i="17" s="1"/>
  <c r="N63" i="17"/>
  <c r="O100" i="19"/>
  <c r="O8" i="17"/>
  <c r="O19" i="19"/>
  <c r="O92" i="17"/>
  <c r="O32" i="17"/>
  <c r="O155" i="19"/>
  <c r="O41" i="19"/>
  <c r="O56" i="16"/>
  <c r="O68" i="16"/>
  <c r="M75" i="15"/>
  <c r="M103" i="15" s="1"/>
  <c r="O90" i="16"/>
  <c r="O185" i="14"/>
  <c r="M153" i="14"/>
  <c r="O153" i="14" s="1"/>
  <c r="O25" i="15"/>
  <c r="O27" i="13"/>
  <c r="P9" i="15"/>
  <c r="P26" i="14"/>
  <c r="O211" i="14"/>
  <c r="O127" i="10"/>
  <c r="P35" i="10"/>
  <c r="P16" i="11"/>
  <c r="P36" i="6"/>
  <c r="P59" i="20"/>
  <c r="P42" i="16"/>
  <c r="P35" i="8"/>
  <c r="P39" i="8" s="1"/>
  <c r="P11" i="8"/>
  <c r="P28" i="6"/>
  <c r="N56" i="8"/>
  <c r="P32" i="4"/>
  <c r="P15" i="21"/>
  <c r="P17" i="4"/>
  <c r="O16" i="4"/>
  <c r="B12" i="1"/>
  <c r="P7" i="15"/>
  <c r="P13" i="16"/>
  <c r="P23" i="10"/>
  <c r="P9" i="9"/>
  <c r="P20" i="6"/>
  <c r="P14" i="3"/>
  <c r="O14" i="3"/>
  <c r="O176" i="3"/>
  <c r="O6" i="3"/>
  <c r="N31" i="3"/>
  <c r="O51" i="6"/>
  <c r="O101" i="3"/>
  <c r="O95" i="4"/>
  <c r="O161" i="3"/>
  <c r="P72" i="10"/>
  <c r="P59" i="3"/>
  <c r="O108" i="3"/>
  <c r="O162" i="3"/>
  <c r="O58" i="20"/>
  <c r="F160" i="20"/>
  <c r="F161" i="20" s="1"/>
  <c r="F105" i="20"/>
  <c r="O9" i="21"/>
  <c r="O178" i="19"/>
  <c r="O173" i="19"/>
  <c r="M42" i="18"/>
  <c r="O79" i="17"/>
  <c r="O189" i="14"/>
  <c r="N47" i="16"/>
  <c r="O81" i="15"/>
  <c r="O49" i="15"/>
  <c r="P111" i="16"/>
  <c r="P158" i="10"/>
  <c r="P114" i="14"/>
  <c r="P100" i="10"/>
  <c r="O19" i="10"/>
  <c r="O31" i="11"/>
  <c r="N103" i="10"/>
  <c r="O83" i="10"/>
  <c r="P31" i="10"/>
  <c r="O31" i="10"/>
  <c r="P101" i="6"/>
  <c r="P81" i="8"/>
  <c r="O65" i="10"/>
  <c r="O129" i="10"/>
  <c r="O85" i="11"/>
  <c r="M48" i="4"/>
  <c r="N66" i="4"/>
  <c r="O17" i="4"/>
  <c r="F117" i="4"/>
  <c r="F118" i="4" s="1"/>
  <c r="F74" i="4"/>
  <c r="P92" i="21"/>
  <c r="P40" i="18"/>
  <c r="P107" i="4"/>
  <c r="P173" i="3"/>
  <c r="O173" i="3"/>
  <c r="O82" i="8"/>
  <c r="P41" i="20"/>
  <c r="P51" i="10"/>
  <c r="P49" i="3"/>
  <c r="O201" i="3"/>
  <c r="P52" i="3"/>
  <c r="P6" i="16"/>
  <c r="M23" i="16"/>
  <c r="O82" i="17"/>
  <c r="P78" i="19"/>
  <c r="O78" i="19"/>
  <c r="O123" i="20"/>
  <c r="M142" i="19"/>
  <c r="M88" i="16"/>
  <c r="O88" i="16" s="1"/>
  <c r="O184" i="19"/>
  <c r="O174" i="19"/>
  <c r="O152" i="19"/>
  <c r="O48" i="17"/>
  <c r="O103" i="16"/>
  <c r="F89" i="19"/>
  <c r="G127" i="19" s="1"/>
  <c r="O97" i="17"/>
  <c r="O10" i="16"/>
  <c r="O168" i="14"/>
  <c r="O35" i="16"/>
  <c r="N102" i="16"/>
  <c r="O102" i="16" s="1"/>
  <c r="N92" i="15"/>
  <c r="O92" i="15" s="1"/>
  <c r="O95" i="11"/>
  <c r="P44" i="17"/>
  <c r="P72" i="14"/>
  <c r="P126" i="10"/>
  <c r="O126" i="10"/>
  <c r="O67" i="14"/>
  <c r="O215" i="14"/>
  <c r="P88" i="21"/>
  <c r="P97" i="11"/>
  <c r="P123" i="10"/>
  <c r="O77" i="14"/>
  <c r="O109" i="14"/>
  <c r="M18" i="11"/>
  <c r="P41" i="17"/>
  <c r="P64" i="14"/>
  <c r="O59" i="10"/>
  <c r="O73" i="14"/>
  <c r="P11" i="11"/>
  <c r="P13" i="4"/>
  <c r="O101" i="6"/>
  <c r="F64" i="8"/>
  <c r="F102" i="8"/>
  <c r="F103" i="8" s="1"/>
  <c r="O20" i="10"/>
  <c r="P9" i="8"/>
  <c r="P26" i="6"/>
  <c r="O100" i="10"/>
  <c r="O7" i="8"/>
  <c r="O196" i="3"/>
  <c r="P46" i="10"/>
  <c r="M167" i="3"/>
  <c r="P107" i="6"/>
  <c r="O36" i="5"/>
  <c r="P36" i="11"/>
  <c r="P67" i="3"/>
  <c r="O140" i="20"/>
  <c r="O81" i="21"/>
  <c r="M20" i="20"/>
  <c r="O127" i="20"/>
  <c r="O145" i="19"/>
  <c r="N148" i="19"/>
  <c r="O148" i="19" s="1"/>
  <c r="P53" i="19"/>
  <c r="M85" i="19"/>
  <c r="O147" i="19"/>
  <c r="O33" i="16"/>
  <c r="O47" i="16" s="1"/>
  <c r="O16" i="17"/>
  <c r="N39" i="18"/>
  <c r="O82" i="15"/>
  <c r="O91" i="16"/>
  <c r="P197" i="14"/>
  <c r="P100" i="15"/>
  <c r="P15" i="17"/>
  <c r="P30" i="14"/>
  <c r="O31" i="15"/>
  <c r="P42" i="17"/>
  <c r="P67" i="14"/>
  <c r="M127" i="14"/>
  <c r="O96" i="11"/>
  <c r="M29" i="13"/>
  <c r="P40" i="14"/>
  <c r="O118" i="14"/>
  <c r="O164" i="14"/>
  <c r="O68" i="14"/>
  <c r="P96" i="4"/>
  <c r="P85" i="6"/>
  <c r="P7" i="4"/>
  <c r="P24" i="6"/>
  <c r="P13" i="11"/>
  <c r="P150" i="20"/>
  <c r="P106" i="6"/>
  <c r="P65" i="5"/>
  <c r="O46" i="10"/>
  <c r="N43" i="9"/>
  <c r="O43" i="9" s="1"/>
  <c r="M43" i="9"/>
  <c r="O192" i="3"/>
  <c r="P33" i="5"/>
  <c r="P39" i="5" s="1"/>
  <c r="P36" i="18"/>
  <c r="P98" i="4"/>
  <c r="M99" i="4"/>
  <c r="O52" i="6"/>
  <c r="F70" i="4"/>
  <c r="G76" i="4" s="1"/>
  <c r="O102" i="4"/>
  <c r="O67" i="3"/>
  <c r="O182" i="3"/>
  <c r="O42" i="3"/>
  <c r="O28" i="3"/>
  <c r="N64" i="20"/>
  <c r="O28" i="20"/>
  <c r="O144" i="19"/>
  <c r="N85" i="19"/>
  <c r="O53" i="19"/>
  <c r="O104" i="16"/>
  <c r="O43" i="17"/>
  <c r="O36" i="17"/>
  <c r="O90" i="15"/>
  <c r="O48" i="15"/>
  <c r="O80" i="15"/>
  <c r="O157" i="14"/>
  <c r="O42" i="14"/>
  <c r="P214" i="14"/>
  <c r="P51" i="13"/>
  <c r="P108" i="16"/>
  <c r="P157" i="10"/>
  <c r="P85" i="21"/>
  <c r="P96" i="11"/>
  <c r="P19" i="17"/>
  <c r="O103" i="14"/>
  <c r="O74" i="14"/>
  <c r="P106" i="11"/>
  <c r="P113" i="6"/>
  <c r="P207" i="3"/>
  <c r="P39" i="18"/>
  <c r="P89" i="15"/>
  <c r="P103" i="4"/>
  <c r="O64" i="5"/>
  <c r="O94" i="8"/>
  <c r="N112" i="6"/>
  <c r="M112" i="6"/>
  <c r="P84" i="8"/>
  <c r="P155" i="10"/>
  <c r="P189" i="3"/>
  <c r="P86" i="8"/>
  <c r="P192" i="3"/>
  <c r="P56" i="4"/>
  <c r="P43" i="4"/>
  <c r="O98" i="6"/>
  <c r="O58" i="4"/>
  <c r="O66" i="4" s="1"/>
  <c r="O172" i="3"/>
  <c r="O26" i="3"/>
  <c r="O21" i="17"/>
  <c r="O110" i="16"/>
  <c r="F116" i="16"/>
  <c r="F117" i="16" s="1"/>
  <c r="P58" i="19"/>
  <c r="P57" i="14"/>
  <c r="O51" i="15"/>
  <c r="O196" i="14"/>
  <c r="O147" i="14"/>
  <c r="M54" i="13"/>
  <c r="P43" i="13"/>
  <c r="N142" i="14"/>
  <c r="M142" i="14"/>
  <c r="O51" i="13"/>
  <c r="O96" i="10"/>
  <c r="O132" i="10"/>
  <c r="P54" i="20"/>
  <c r="P10" i="13"/>
  <c r="O153" i="10"/>
  <c r="N36" i="12"/>
  <c r="M36" i="12"/>
  <c r="M39" i="12" s="1"/>
  <c r="F221" i="14"/>
  <c r="F222" i="14" s="1"/>
  <c r="O54" i="14"/>
  <c r="P71" i="8"/>
  <c r="O96" i="4"/>
  <c r="P150" i="19"/>
  <c r="P102" i="4"/>
  <c r="O114" i="6"/>
  <c r="N24" i="9"/>
  <c r="O23" i="9"/>
  <c r="O24" i="9" s="1"/>
  <c r="P89" i="8"/>
  <c r="P108" i="6"/>
  <c r="O189" i="3"/>
  <c r="O213" i="3"/>
  <c r="P168" i="19"/>
  <c r="P178" i="3"/>
  <c r="P111" i="4"/>
  <c r="M123" i="3"/>
  <c r="P31" i="11"/>
  <c r="P50" i="6"/>
  <c r="P53" i="6" s="1"/>
  <c r="P35" i="4"/>
  <c r="O12" i="6"/>
  <c r="P47" i="11"/>
  <c r="P9" i="18"/>
  <c r="P148" i="19"/>
  <c r="P46" i="13"/>
  <c r="P147" i="3"/>
  <c r="O11" i="3"/>
  <c r="O89" i="20"/>
  <c r="O136" i="19"/>
  <c r="O13" i="20"/>
  <c r="O158" i="19"/>
  <c r="O181" i="19"/>
  <c r="O86" i="20"/>
  <c r="O83" i="21"/>
  <c r="O154" i="19"/>
  <c r="O55" i="19"/>
  <c r="O186" i="19"/>
  <c r="O111" i="16"/>
  <c r="M47" i="16"/>
  <c r="F193" i="19"/>
  <c r="F194" i="19" s="1"/>
  <c r="O207" i="14"/>
  <c r="O181" i="14"/>
  <c r="O117" i="14"/>
  <c r="O43" i="13"/>
  <c r="N54" i="13"/>
  <c r="M75" i="10"/>
  <c r="O11" i="11"/>
  <c r="O18" i="11" s="1"/>
  <c r="O36" i="11"/>
  <c r="P12" i="19"/>
  <c r="P11" i="14"/>
  <c r="P166" i="19"/>
  <c r="P153" i="10"/>
  <c r="O137" i="10"/>
  <c r="N99" i="8"/>
  <c r="O71" i="8"/>
  <c r="P74" i="8"/>
  <c r="P170" i="3"/>
  <c r="P141" i="19"/>
  <c r="P91" i="4"/>
  <c r="P20" i="18"/>
  <c r="P63" i="4"/>
  <c r="P72" i="19"/>
  <c r="P47" i="4"/>
  <c r="P102" i="6"/>
  <c r="P41" i="19"/>
  <c r="P72" i="8"/>
  <c r="P168" i="3"/>
  <c r="O178" i="3"/>
  <c r="P83" i="10"/>
  <c r="M25" i="5"/>
  <c r="P24" i="5"/>
  <c r="P25" i="5" s="1"/>
  <c r="O66" i="5"/>
  <c r="P40" i="21"/>
  <c r="P109" i="19"/>
  <c r="P109" i="3"/>
  <c r="M39" i="8"/>
  <c r="O72" i="3"/>
  <c r="O84" i="21"/>
  <c r="O188" i="19"/>
  <c r="M45" i="19"/>
  <c r="O10" i="19"/>
  <c r="O45" i="19" s="1"/>
  <c r="O73" i="19"/>
  <c r="O164" i="19"/>
  <c r="O13" i="17"/>
  <c r="N78" i="21"/>
  <c r="O78" i="21" s="1"/>
  <c r="O111" i="14"/>
  <c r="O12" i="15"/>
  <c r="P14" i="20"/>
  <c r="P16" i="14"/>
  <c r="P125" i="10"/>
  <c r="O125" i="10"/>
  <c r="P34" i="12"/>
  <c r="N91" i="11"/>
  <c r="O91" i="11" s="1"/>
  <c r="O150" i="14"/>
  <c r="P92" i="16"/>
  <c r="P139" i="10"/>
  <c r="P93" i="6"/>
  <c r="P58" i="10"/>
  <c r="P39" i="21"/>
  <c r="P45" i="4"/>
  <c r="F107" i="10"/>
  <c r="G113" i="10" s="1"/>
  <c r="O72" i="8"/>
  <c r="O71" i="10"/>
  <c r="N83" i="8"/>
  <c r="O83" i="8" s="1"/>
  <c r="M83" i="8"/>
  <c r="M99" i="8" s="1"/>
  <c r="O151" i="3"/>
  <c r="O37" i="4"/>
  <c r="P92" i="14"/>
  <c r="P40" i="16"/>
  <c r="P58" i="3"/>
  <c r="N25" i="5"/>
  <c r="O24" i="5"/>
  <c r="O25" i="5" s="1"/>
  <c r="O64" i="3"/>
  <c r="P140" i="3"/>
  <c r="O23" i="3"/>
  <c r="P105" i="6"/>
  <c r="O72" i="19"/>
  <c r="M22" i="18"/>
  <c r="O96" i="17"/>
  <c r="P55" i="16"/>
  <c r="M70" i="16"/>
  <c r="O30" i="19"/>
  <c r="O136" i="20"/>
  <c r="N147" i="10"/>
  <c r="O147" i="10" s="1"/>
  <c r="M147" i="10"/>
  <c r="P147" i="10" s="1"/>
  <c r="P151" i="20"/>
  <c r="P105" i="16"/>
  <c r="P88" i="8"/>
  <c r="O61" i="10"/>
  <c r="O8" i="14"/>
  <c r="O99" i="10"/>
  <c r="P155" i="3"/>
  <c r="O98" i="10"/>
  <c r="O19" i="12"/>
  <c r="N14" i="13"/>
  <c r="P34" i="11"/>
  <c r="P18" i="21"/>
  <c r="P21" i="4"/>
  <c r="N23" i="8"/>
  <c r="P18" i="8"/>
  <c r="P37" i="6"/>
  <c r="P152" i="19"/>
  <c r="P151" i="3"/>
  <c r="O209" i="3"/>
  <c r="P93" i="19"/>
  <c r="P62" i="19"/>
  <c r="P8" i="13"/>
  <c r="P14" i="13" s="1"/>
  <c r="P45" i="3"/>
  <c r="N24" i="4"/>
  <c r="O6" i="4"/>
  <c r="O79" i="8"/>
  <c r="P128" i="10"/>
  <c r="O39" i="3"/>
  <c r="N77" i="3"/>
  <c r="M126" i="20"/>
  <c r="M157" i="20" s="1"/>
  <c r="O57" i="21"/>
  <c r="P52" i="20"/>
  <c r="P68" i="19"/>
  <c r="F45" i="18"/>
  <c r="F46" i="18" s="1"/>
  <c r="F14" i="18"/>
  <c r="G30" i="18" s="1"/>
  <c r="F30" i="18"/>
  <c r="O183" i="19"/>
  <c r="N10" i="18"/>
  <c r="O114" i="19"/>
  <c r="O176" i="19"/>
  <c r="O16" i="19"/>
  <c r="O122" i="20"/>
  <c r="P43" i="15"/>
  <c r="O43" i="15"/>
  <c r="M55" i="15"/>
  <c r="P89" i="17"/>
  <c r="P170" i="14"/>
  <c r="N13" i="15"/>
  <c r="O6" i="15"/>
  <c r="O13" i="15" s="1"/>
  <c r="O169" i="14"/>
  <c r="O9" i="15"/>
  <c r="M43" i="14"/>
  <c r="P48" i="15"/>
  <c r="P110" i="14"/>
  <c r="O174" i="14"/>
  <c r="O88" i="8"/>
  <c r="O119" i="10"/>
  <c r="O128" i="10"/>
  <c r="P100" i="14"/>
  <c r="N117" i="6"/>
  <c r="O78" i="6"/>
  <c r="O148" i="10"/>
  <c r="P62" i="11"/>
  <c r="P116" i="3"/>
  <c r="O28" i="11"/>
  <c r="P200" i="3"/>
  <c r="O200" i="3"/>
  <c r="O38" i="8"/>
  <c r="P80" i="8"/>
  <c r="P45" i="9"/>
  <c r="P100" i="6"/>
  <c r="O35" i="10"/>
  <c r="O35" i="6"/>
  <c r="O7" i="9"/>
  <c r="N123" i="3"/>
  <c r="O85" i="3"/>
  <c r="P51" i="21"/>
  <c r="P60" i="21" s="1"/>
  <c r="O45" i="3"/>
  <c r="O154" i="3"/>
  <c r="P29" i="21"/>
  <c r="P29" i="20"/>
  <c r="P31" i="17"/>
  <c r="P49" i="17" s="1"/>
  <c r="P22" i="15"/>
  <c r="P52" i="14"/>
  <c r="P26" i="11"/>
  <c r="P40" i="3"/>
  <c r="O59" i="4"/>
  <c r="P131" i="20"/>
  <c r="M42" i="6"/>
  <c r="O59" i="3"/>
  <c r="O88" i="3"/>
  <c r="P153" i="19"/>
  <c r="P158" i="14"/>
  <c r="O18" i="19"/>
  <c r="O27" i="15"/>
  <c r="O42" i="15"/>
  <c r="O55" i="15" s="1"/>
  <c r="N55" i="15"/>
  <c r="O36" i="18"/>
  <c r="O173" i="14"/>
  <c r="P13" i="13"/>
  <c r="P83" i="14"/>
  <c r="O158" i="14"/>
  <c r="O85" i="10"/>
  <c r="P94" i="20"/>
  <c r="P60" i="16"/>
  <c r="P102" i="10"/>
  <c r="O193" i="14"/>
  <c r="O57" i="11"/>
  <c r="O50" i="6"/>
  <c r="O53" i="6" s="1"/>
  <c r="N53" i="6"/>
  <c r="P176" i="3"/>
  <c r="P78" i="8"/>
  <c r="P119" i="20"/>
  <c r="P80" i="6"/>
  <c r="O84" i="6"/>
  <c r="P14" i="16"/>
  <c r="P11" i="9"/>
  <c r="P33" i="10"/>
  <c r="P22" i="6"/>
  <c r="P130" i="20"/>
  <c r="P127" i="10"/>
  <c r="P154" i="3"/>
  <c r="P7" i="21"/>
  <c r="P7" i="20"/>
  <c r="P6" i="11"/>
  <c r="P7" i="6"/>
  <c r="P7" i="9"/>
  <c r="P6" i="10"/>
  <c r="P6" i="4"/>
  <c r="P7" i="5"/>
  <c r="P7" i="3"/>
  <c r="P111" i="6"/>
  <c r="P105" i="11"/>
  <c r="P156" i="10"/>
  <c r="P201" i="3"/>
  <c r="O47" i="4"/>
  <c r="O90" i="6"/>
  <c r="O94" i="4"/>
  <c r="O152" i="3"/>
  <c r="M86" i="4"/>
  <c r="O55" i="3"/>
  <c r="M138" i="3"/>
  <c r="O75" i="3"/>
  <c r="O112" i="20"/>
  <c r="O10" i="20"/>
  <c r="O20" i="20" s="1"/>
  <c r="P154" i="20"/>
  <c r="P184" i="19"/>
  <c r="O94" i="21"/>
  <c r="O86" i="21"/>
  <c r="O77" i="20"/>
  <c r="O39" i="20"/>
  <c r="O182" i="19"/>
  <c r="P141" i="20"/>
  <c r="P162" i="19"/>
  <c r="P101" i="15"/>
  <c r="P100" i="16"/>
  <c r="O89" i="16"/>
  <c r="M10" i="18"/>
  <c r="O90" i="17"/>
  <c r="O87" i="16"/>
  <c r="O24" i="19"/>
  <c r="M206" i="14"/>
  <c r="O206" i="14" s="1"/>
  <c r="O197" i="14"/>
  <c r="O9" i="16"/>
  <c r="O23" i="16" s="1"/>
  <c r="N88" i="15"/>
  <c r="M88" i="15"/>
  <c r="P95" i="16" s="1"/>
  <c r="M144" i="14"/>
  <c r="O144" i="14" s="1"/>
  <c r="O162" i="14"/>
  <c r="O77" i="15"/>
  <c r="F88" i="14"/>
  <c r="G136" i="14" s="1"/>
  <c r="O165" i="14"/>
  <c r="N179" i="14"/>
  <c r="O179" i="14" s="1"/>
  <c r="O49" i="13"/>
  <c r="O210" i="14"/>
  <c r="O17" i="14"/>
  <c r="O90" i="8"/>
  <c r="O93" i="11"/>
  <c r="P51" i="3"/>
  <c r="O158" i="10"/>
  <c r="O157" i="10"/>
  <c r="O33" i="14"/>
  <c r="N103" i="6"/>
  <c r="M103" i="6"/>
  <c r="O32" i="10"/>
  <c r="O7" i="10"/>
  <c r="O37" i="10" s="1"/>
  <c r="O102" i="10"/>
  <c r="O77" i="8"/>
  <c r="O70" i="3"/>
  <c r="O141" i="3"/>
  <c r="O86" i="6"/>
  <c r="F127" i="3"/>
  <c r="G133" i="3" s="1"/>
  <c r="O17" i="6"/>
  <c r="P13" i="19"/>
  <c r="P9" i="4"/>
  <c r="O146" i="3"/>
  <c r="O41" i="3"/>
  <c r="O69" i="3"/>
  <c r="M43" i="21"/>
  <c r="O146" i="19"/>
  <c r="M60" i="21"/>
  <c r="P81" i="21"/>
  <c r="P143" i="19"/>
  <c r="O74" i="20"/>
  <c r="P51" i="20"/>
  <c r="P67" i="19"/>
  <c r="P61" i="16"/>
  <c r="P53" i="15"/>
  <c r="O88" i="17"/>
  <c r="O64" i="16"/>
  <c r="P124" i="20"/>
  <c r="P86" i="11"/>
  <c r="P129" i="20"/>
  <c r="P156" i="14"/>
  <c r="P12" i="11"/>
  <c r="P22" i="10"/>
  <c r="N90" i="11"/>
  <c r="M90" i="11"/>
  <c r="P90" i="11" s="1"/>
  <c r="P145" i="20"/>
  <c r="P49" i="13"/>
  <c r="N69" i="5"/>
  <c r="O54" i="5"/>
  <c r="P47" i="8"/>
  <c r="P56" i="8" s="1"/>
  <c r="M56" i="8"/>
  <c r="M38" i="9"/>
  <c r="M48" i="9" s="1"/>
  <c r="O35" i="5"/>
  <c r="P35" i="6"/>
  <c r="P17" i="8"/>
  <c r="P74" i="10"/>
  <c r="F72" i="6"/>
  <c r="F57" i="6"/>
  <c r="G72" i="6" s="1"/>
  <c r="O12" i="3"/>
  <c r="B11" i="1"/>
  <c r="O148" i="3"/>
  <c r="O103" i="3"/>
  <c r="O23" i="6"/>
  <c r="O170" i="3"/>
  <c r="O36" i="6"/>
  <c r="O9" i="4"/>
  <c r="O109" i="3"/>
  <c r="P16" i="3"/>
  <c r="P7" i="8"/>
  <c r="O186" i="3"/>
  <c r="O109" i="4"/>
  <c r="O144" i="3"/>
  <c r="O13" i="3"/>
  <c r="O57" i="5"/>
  <c r="O152" i="20"/>
  <c r="O120" i="20"/>
  <c r="O79" i="19"/>
  <c r="O134" i="19"/>
  <c r="O166" i="19"/>
  <c r="O157" i="19"/>
  <c r="O34" i="19"/>
  <c r="O34" i="17"/>
  <c r="M34" i="15"/>
  <c r="P167" i="19"/>
  <c r="P99" i="16"/>
  <c r="O46" i="17"/>
  <c r="O66" i="16"/>
  <c r="F74" i="16"/>
  <c r="G80" i="16" s="1"/>
  <c r="M63" i="17"/>
  <c r="O160" i="14"/>
  <c r="O216" i="14"/>
  <c r="O154" i="14"/>
  <c r="O95" i="15"/>
  <c r="O125" i="14"/>
  <c r="P35" i="21"/>
  <c r="P32" i="11"/>
  <c r="O161" i="14"/>
  <c r="O47" i="11"/>
  <c r="O62" i="14"/>
  <c r="O22" i="10"/>
  <c r="O89" i="8"/>
  <c r="O170" i="14"/>
  <c r="P82" i="15"/>
  <c r="P98" i="11"/>
  <c r="O67" i="10"/>
  <c r="P7" i="16"/>
  <c r="P17" i="6"/>
  <c r="F163" i="10"/>
  <c r="F164" i="10" s="1"/>
  <c r="N75" i="10"/>
  <c r="P24" i="13"/>
  <c r="P29" i="13" s="1"/>
  <c r="O96" i="8"/>
  <c r="P63" i="6"/>
  <c r="P14" i="10"/>
  <c r="P13" i="6"/>
  <c r="O147" i="3"/>
  <c r="P38" i="19"/>
  <c r="P12" i="5"/>
  <c r="O183" i="3"/>
  <c r="P72" i="20"/>
  <c r="P52" i="21"/>
  <c r="P57" i="17"/>
  <c r="P63" i="17" s="1"/>
  <c r="P45" i="11"/>
  <c r="P93" i="14"/>
  <c r="P84" i="10"/>
  <c r="P86" i="3"/>
  <c r="P57" i="4"/>
  <c r="P97" i="16"/>
  <c r="P152" i="10"/>
  <c r="P97" i="6"/>
  <c r="P43" i="9"/>
  <c r="P149" i="3"/>
  <c r="O15" i="6"/>
  <c r="O95" i="3"/>
  <c r="O145" i="3"/>
  <c r="N97" i="20"/>
  <c r="O72" i="20"/>
  <c r="O97" i="20" s="1"/>
  <c r="M190" i="19"/>
  <c r="O107" i="19"/>
  <c r="M97" i="20"/>
  <c r="M20" i="21"/>
  <c r="N126" i="20"/>
  <c r="O126" i="20" s="1"/>
  <c r="O31" i="20"/>
  <c r="N119" i="20"/>
  <c r="O119" i="20" s="1"/>
  <c r="O44" i="19"/>
  <c r="M156" i="19"/>
  <c r="O156" i="19" s="1"/>
  <c r="O12" i="17"/>
  <c r="O84" i="17"/>
  <c r="F72" i="17"/>
  <c r="F105" i="17"/>
  <c r="F106" i="17" s="1"/>
  <c r="O18" i="17"/>
  <c r="P139" i="19"/>
  <c r="P79" i="17"/>
  <c r="P151" i="14"/>
  <c r="O190" i="14"/>
  <c r="M84" i="14"/>
  <c r="F106" i="15"/>
  <c r="F107" i="15" s="1"/>
  <c r="F63" i="15"/>
  <c r="O152" i="10"/>
  <c r="O23" i="14"/>
  <c r="O57" i="14"/>
  <c r="F18" i="13"/>
  <c r="G37" i="13" s="1"/>
  <c r="F111" i="11"/>
  <c r="F112" i="11" s="1"/>
  <c r="F72" i="11"/>
  <c r="N43" i="14"/>
  <c r="O6" i="14"/>
  <c r="O43" i="14" s="1"/>
  <c r="O87" i="11"/>
  <c r="P50" i="20"/>
  <c r="O32" i="8"/>
  <c r="O39" i="8" s="1"/>
  <c r="F32" i="9"/>
  <c r="F51" i="9"/>
  <c r="F52" i="9" s="1"/>
  <c r="M15" i="9"/>
  <c r="O93" i="6"/>
  <c r="N37" i="10"/>
  <c r="P134" i="19"/>
  <c r="P40" i="9"/>
  <c r="P30" i="6"/>
  <c r="P11" i="5"/>
  <c r="P97" i="19"/>
  <c r="O96" i="6"/>
  <c r="P9" i="19"/>
  <c r="P7" i="7"/>
  <c r="P8" i="7" s="1"/>
  <c r="P6" i="8"/>
  <c r="P15" i="3"/>
  <c r="F131" i="3"/>
  <c r="F222" i="3"/>
  <c r="F223" i="3" s="1"/>
  <c r="F35" i="3"/>
  <c r="G131" i="3" s="1"/>
  <c r="O159" i="3"/>
  <c r="P100" i="4"/>
  <c r="O82" i="6"/>
  <c r="P85" i="3"/>
  <c r="O143" i="3"/>
  <c r="P57" i="20"/>
  <c r="P39" i="16"/>
  <c r="O53" i="21"/>
  <c r="O60" i="21" s="1"/>
  <c r="O6" i="21"/>
  <c r="O20" i="21" s="1"/>
  <c r="N20" i="21"/>
  <c r="O77" i="21"/>
  <c r="O95" i="21"/>
  <c r="O36" i="21"/>
  <c r="O43" i="21" s="1"/>
  <c r="O37" i="20"/>
  <c r="O167" i="19"/>
  <c r="O135" i="19"/>
  <c r="O138" i="19"/>
  <c r="M23" i="17"/>
  <c r="P6" i="17"/>
  <c r="P23" i="17" s="1"/>
  <c r="M49" i="17"/>
  <c r="O9" i="18"/>
  <c r="O10" i="18" s="1"/>
  <c r="O148" i="14"/>
  <c r="N159" i="14"/>
  <c r="O159" i="14" s="1"/>
  <c r="M159" i="14"/>
  <c r="F59" i="15"/>
  <c r="G65" i="15" s="1"/>
  <c r="N70" i="16"/>
  <c r="O32" i="15"/>
  <c r="M13" i="15"/>
  <c r="O99" i="14"/>
  <c r="O194" i="14"/>
  <c r="O37" i="14"/>
  <c r="P160" i="14"/>
  <c r="P48" i="13"/>
  <c r="O83" i="11"/>
  <c r="O19" i="8"/>
  <c r="P20" i="16"/>
  <c r="P36" i="10"/>
  <c r="O199" i="14"/>
  <c r="O24" i="13"/>
  <c r="P51" i="11"/>
  <c r="P62" i="6"/>
  <c r="O115" i="6"/>
  <c r="F27" i="8"/>
  <c r="G64" i="8" s="1"/>
  <c r="P7" i="19"/>
  <c r="P8" i="9"/>
  <c r="M46" i="9"/>
  <c r="O46" i="9" s="1"/>
  <c r="O42" i="6"/>
  <c r="O14" i="8"/>
  <c r="O92" i="3"/>
  <c r="O7" i="7"/>
  <c r="O8" i="7" s="1"/>
  <c r="N8" i="7"/>
  <c r="O15" i="3"/>
  <c r="P89" i="16"/>
  <c r="P138" i="10"/>
  <c r="P92" i="6"/>
  <c r="O41" i="6"/>
  <c r="O83" i="6"/>
  <c r="O7" i="5"/>
  <c r="O16" i="5" s="1"/>
  <c r="P88" i="16"/>
  <c r="P91" i="6"/>
  <c r="P10" i="21"/>
  <c r="P8" i="4"/>
  <c r="P6" i="18"/>
  <c r="P10" i="18" s="1"/>
  <c r="P38" i="4"/>
  <c r="O40" i="3"/>
  <c r="O62" i="3"/>
  <c r="O168" i="3"/>
  <c r="O97" i="19"/>
  <c r="O118" i="19" s="1"/>
  <c r="N45" i="19"/>
  <c r="O141" i="20"/>
  <c r="P142" i="20"/>
  <c r="P163" i="19"/>
  <c r="O36" i="20"/>
  <c r="O38" i="19"/>
  <c r="O141" i="19"/>
  <c r="N23" i="17"/>
  <c r="O6" i="17"/>
  <c r="O62" i="16"/>
  <c r="O31" i="17"/>
  <c r="N49" i="17"/>
  <c r="F67" i="17"/>
  <c r="G73" i="17" s="1"/>
  <c r="O65" i="16"/>
  <c r="P90" i="17"/>
  <c r="P184" i="14"/>
  <c r="M113" i="16"/>
  <c r="O55" i="16"/>
  <c r="O188" i="14"/>
  <c r="P91" i="17"/>
  <c r="P191" i="14"/>
  <c r="O184" i="14"/>
  <c r="N127" i="14"/>
  <c r="O92" i="14"/>
  <c r="O127" i="14" s="1"/>
  <c r="O22" i="14"/>
  <c r="P80" i="20"/>
  <c r="P48" i="11"/>
  <c r="M130" i="10"/>
  <c r="P130" i="10" s="1"/>
  <c r="O51" i="14"/>
  <c r="O84" i="14" s="1"/>
  <c r="P82" i="20"/>
  <c r="P49" i="11"/>
  <c r="P42" i="9"/>
  <c r="P76" i="8"/>
  <c r="P16" i="8"/>
  <c r="P33" i="6"/>
  <c r="N42" i="6"/>
  <c r="O146" i="10"/>
  <c r="O104" i="6"/>
  <c r="O37" i="6"/>
  <c r="P7" i="12"/>
  <c r="P41" i="6"/>
  <c r="N39" i="5"/>
  <c r="O207" i="3"/>
  <c r="O142" i="3"/>
  <c r="O29" i="3"/>
  <c r="O139" i="3"/>
  <c r="O10" i="3"/>
  <c r="P37" i="11" l="1"/>
  <c r="P103" i="10"/>
  <c r="P80" i="21"/>
  <c r="P142" i="19"/>
  <c r="P181" i="19"/>
  <c r="P64" i="5"/>
  <c r="P84" i="14"/>
  <c r="O54" i="13"/>
  <c r="O142" i="20"/>
  <c r="P47" i="16"/>
  <c r="O36" i="12"/>
  <c r="O39" i="12" s="1"/>
  <c r="P89" i="21"/>
  <c r="P37" i="18"/>
  <c r="P42" i="18" s="1"/>
  <c r="P99" i="4"/>
  <c r="P92" i="15"/>
  <c r="P167" i="3"/>
  <c r="P48" i="4"/>
  <c r="P55" i="15"/>
  <c r="P43" i="21"/>
  <c r="P24" i="4"/>
  <c r="P66" i="4"/>
  <c r="P16" i="5"/>
  <c r="P13" i="15"/>
  <c r="P64" i="20"/>
  <c r="O69" i="5"/>
  <c r="P37" i="10"/>
  <c r="P31" i="3"/>
  <c r="O142" i="19"/>
  <c r="O49" i="17"/>
  <c r="O23" i="8"/>
  <c r="P15" i="9"/>
  <c r="O39" i="5"/>
  <c r="P144" i="19"/>
  <c r="P152" i="14"/>
  <c r="O75" i="21"/>
  <c r="O97" i="21" s="1"/>
  <c r="P64" i="11"/>
  <c r="O23" i="17"/>
  <c r="P97" i="20"/>
  <c r="P42" i="6"/>
  <c r="O152" i="14"/>
  <c r="N97" i="21"/>
  <c r="P123" i="3"/>
  <c r="P18" i="11"/>
  <c r="P126" i="20"/>
  <c r="P88" i="11"/>
  <c r="P23" i="16"/>
  <c r="O103" i="10"/>
  <c r="P43" i="14"/>
  <c r="O15" i="9"/>
  <c r="P127" i="14"/>
  <c r="P45" i="19"/>
  <c r="P165" i="3"/>
  <c r="P55" i="5"/>
  <c r="O101" i="11"/>
  <c r="O90" i="11"/>
  <c r="O108" i="11" s="1"/>
  <c r="O123" i="3"/>
  <c r="O77" i="3"/>
  <c r="M218" i="14"/>
  <c r="P112" i="6"/>
  <c r="P91" i="8"/>
  <c r="O75" i="10"/>
  <c r="P20" i="20"/>
  <c r="P94" i="6"/>
  <c r="O64" i="11"/>
  <c r="P79" i="6"/>
  <c r="N113" i="16"/>
  <c r="O38" i="9"/>
  <c r="O48" i="9" s="1"/>
  <c r="M160" i="10"/>
  <c r="O142" i="14"/>
  <c r="N218" i="14"/>
  <c r="O112" i="6"/>
  <c r="O39" i="18"/>
  <c r="N42" i="18"/>
  <c r="P36" i="12"/>
  <c r="P20" i="21"/>
  <c r="P142" i="10"/>
  <c r="P139" i="3"/>
  <c r="O113" i="16"/>
  <c r="N48" i="9"/>
  <c r="P156" i="19"/>
  <c r="P159" i="14"/>
  <c r="N157" i="20"/>
  <c r="O42" i="18"/>
  <c r="P54" i="13"/>
  <c r="P115" i="6"/>
  <c r="P41" i="9"/>
  <c r="P85" i="4"/>
  <c r="O157" i="20"/>
  <c r="O24" i="4"/>
  <c r="O31" i="3"/>
  <c r="P94" i="21"/>
  <c r="P108" i="4"/>
  <c r="N108" i="11"/>
  <c r="P178" i="14"/>
  <c r="P82" i="11"/>
  <c r="O85" i="19"/>
  <c r="P88" i="15"/>
  <c r="P119" i="10"/>
  <c r="M69" i="5"/>
  <c r="O130" i="10"/>
  <c r="P153" i="20"/>
  <c r="P103" i="11"/>
  <c r="P46" i="9"/>
  <c r="P198" i="3"/>
  <c r="P109" i="6"/>
  <c r="O88" i="15"/>
  <c r="P75" i="21"/>
  <c r="P97" i="21" s="1"/>
  <c r="P112" i="20"/>
  <c r="P157" i="20" s="1"/>
  <c r="P133" i="19"/>
  <c r="P190" i="19" s="1"/>
  <c r="P85" i="16"/>
  <c r="P113" i="16" s="1"/>
  <c r="P73" i="15"/>
  <c r="P103" i="15" s="1"/>
  <c r="P142" i="14"/>
  <c r="P218" i="14" s="1"/>
  <c r="P38" i="9"/>
  <c r="P48" i="9" s="1"/>
  <c r="P118" i="10"/>
  <c r="P160" i="10" s="1"/>
  <c r="P84" i="4"/>
  <c r="M219" i="3"/>
  <c r="P78" i="6"/>
  <c r="P54" i="5"/>
  <c r="P138" i="3"/>
  <c r="O99" i="8"/>
  <c r="P9" i="12"/>
  <c r="P82" i="6"/>
  <c r="P39" i="9"/>
  <c r="O108" i="4"/>
  <c r="P23" i="8"/>
  <c r="P85" i="19"/>
  <c r="N39" i="12"/>
  <c r="M108" i="11"/>
  <c r="P122" i="10"/>
  <c r="P143" i="14"/>
  <c r="N160" i="10"/>
  <c r="P87" i="6"/>
  <c r="P114" i="20"/>
  <c r="P75" i="15"/>
  <c r="P120" i="10"/>
  <c r="P144" i="14"/>
  <c r="P86" i="4"/>
  <c r="O64" i="20"/>
  <c r="O48" i="4"/>
  <c r="P74" i="15"/>
  <c r="O113" i="20"/>
  <c r="P96" i="17"/>
  <c r="P206" i="14"/>
  <c r="P118" i="19"/>
  <c r="P78" i="17"/>
  <c r="O99" i="4"/>
  <c r="M114" i="4"/>
  <c r="P84" i="6"/>
  <c r="P146" i="19"/>
  <c r="P153" i="14"/>
  <c r="P22" i="18"/>
  <c r="P113" i="20"/>
  <c r="O86" i="4"/>
  <c r="O114" i="4" s="1"/>
  <c r="P70" i="16"/>
  <c r="P94" i="4"/>
  <c r="O29" i="13"/>
  <c r="N103" i="15"/>
  <c r="P103" i="6"/>
  <c r="P83" i="8"/>
  <c r="P99" i="8" s="1"/>
  <c r="P39" i="12"/>
  <c r="O37" i="11"/>
  <c r="O103" i="15"/>
  <c r="O103" i="6"/>
  <c r="O117" i="6" s="1"/>
  <c r="O190" i="19"/>
  <c r="O187" i="3"/>
  <c r="P77" i="3"/>
  <c r="O149" i="14"/>
  <c r="O138" i="3"/>
  <c r="O70" i="16"/>
  <c r="N190" i="19"/>
  <c r="P103" i="16"/>
  <c r="P187" i="3"/>
  <c r="P75" i="10"/>
  <c r="N219" i="3"/>
  <c r="O102" i="17"/>
  <c r="O122" i="10"/>
  <c r="O160" i="10" s="1"/>
  <c r="O14" i="13"/>
  <c r="P34" i="15"/>
  <c r="O167" i="3"/>
  <c r="O218" i="14" l="1"/>
  <c r="P114" i="4"/>
  <c r="O219" i="3"/>
  <c r="P102" i="17"/>
  <c r="P219" i="3"/>
  <c r="P69" i="5"/>
  <c r="P108" i="11"/>
  <c r="P117" i="6"/>
</calcChain>
</file>

<file path=xl/sharedStrings.xml><?xml version="1.0" encoding="utf-8"?>
<sst xmlns="http://schemas.openxmlformats.org/spreadsheetml/2006/main" count="31049" uniqueCount="5701">
  <si>
    <t>Quartalsübersicht 2025Q3 - Zusammenfassung aller Mitarbeiter</t>
  </si>
  <si>
    <t>--- Monatliche Summen ---</t>
  </si>
  <si>
    <t>Monat</t>
  </si>
  <si>
    <t>Gesamtstunden</t>
  </si>
  <si>
    <t>Bonusberechtigte Stunden</t>
  </si>
  <si>
    <t>Bonusberechtigte Stunden Sonderprojekt</t>
  </si>
  <si>
    <t>Juli 2025</t>
  </si>
  <si>
    <t>August 2025</t>
  </si>
  <si>
    <t>September 2025</t>
  </si>
  <si>
    <t>--- Quartalssummen ---</t>
  </si>
  <si>
    <t>Gesamt eingetragene Stunden:</t>
  </si>
  <si>
    <t>Bonusberechtigte Stunden (Quartal):</t>
  </si>
  <si>
    <t>Bonusberechtigte Stunden Sonderprojekt (Quartal):</t>
  </si>
  <si>
    <t>--- Mitarbeiter in diesem Quartal ---</t>
  </si>
  <si>
    <t>A. Kokott</t>
  </si>
  <si>
    <t>C. Trapp SV</t>
  </si>
  <si>
    <t>D. Brucker</t>
  </si>
  <si>
    <t>E. Bieler</t>
  </si>
  <si>
    <t>E. Iago Barros de Oliveira</t>
  </si>
  <si>
    <t>H. Bektas</t>
  </si>
  <si>
    <t>J. Dorchies</t>
  </si>
  <si>
    <t>J. Dorn</t>
  </si>
  <si>
    <t>M. Bandlofsky</t>
  </si>
  <si>
    <t>M. Bandlofsky CAD</t>
  </si>
  <si>
    <t>M. Warner</t>
  </si>
  <si>
    <t>O. Haag BS-CAD</t>
  </si>
  <si>
    <t>P. Bergner</t>
  </si>
  <si>
    <t>R. Böttiger</t>
  </si>
  <si>
    <t>R. Wagen CAD</t>
  </si>
  <si>
    <t>S. Roßkopf</t>
  </si>
  <si>
    <t>S. Schüler</t>
  </si>
  <si>
    <t>T. Trautmann</t>
  </si>
  <si>
    <t>U. Sutter ADM</t>
  </si>
  <si>
    <t>Projekt-Budget-Übersicht</t>
  </si>
  <si>
    <t>Hinweis: Rote Zellen = Manuelle Eingabe erforderlich | Gelbe Zellen = Optional manuell anpassen</t>
  </si>
  <si>
    <t>Projekt</t>
  </si>
  <si>
    <t>Obermeilenstein</t>
  </si>
  <si>
    <t>Abrechnungsart</t>
  </si>
  <si>
    <t>Sollstunden Budget (h)</t>
  </si>
  <si>
    <t>Status</t>
  </si>
  <si>
    <t>Gesamtbudget (€)</t>
  </si>
  <si>
    <t>Abgerechnet (€)</t>
  </si>
  <si>
    <t>Verfügbar (€)</t>
  </si>
  <si>
    <t>Stundensatz SV (€/h)</t>
  </si>
  <si>
    <t>Stundensatz CAD (€/h)</t>
  </si>
  <si>
    <t>Stundensatz ADM (€/h)</t>
  </si>
  <si>
    <t>Bemerkung</t>
  </si>
  <si>
    <t>_LookupId</t>
  </si>
  <si>
    <t>0.1000 PM Allgemeinprojekt</t>
  </si>
  <si>
    <t>● PM Projektvorbereitung/Dokumentation</t>
  </si>
  <si>
    <t>Unbekannt</t>
  </si>
  <si>
    <t>⚠ Manual erforderlich</t>
  </si>
  <si>
    <t>Abrechnungsart wählen; Stundensätze eingeben</t>
  </si>
  <si>
    <t>● PM Einarbeitung neuer Mitarbeiter</t>
  </si>
  <si>
    <t>● PM Teilnahme Meetings</t>
  </si>
  <si>
    <t>● PM Onboarding</t>
  </si>
  <si>
    <t>● PM Vertragswesen</t>
  </si>
  <si>
    <t>● PM Portalanlage und Pflege</t>
  </si>
  <si>
    <t>● SAP Schulungen</t>
  </si>
  <si>
    <t>● SAP Projekt</t>
  </si>
  <si>
    <t>● uStrich Umstellung uStrich/X4</t>
  </si>
  <si>
    <t>0000 Sonderprojekt für Bonus</t>
  </si>
  <si>
    <t>● Erfassung für</t>
  </si>
  <si>
    <t>0283.05 D+R-BAB-Lokalbhf-Dreieichstr59-FFM</t>
  </si>
  <si>
    <t>● (p) Pos. 1 Feuerwehrpläne</t>
  </si>
  <si>
    <t>Pauschale</t>
  </si>
  <si>
    <t>✓ Vollständig</t>
  </si>
  <si>
    <t>● (aN) BAB</t>
  </si>
  <si>
    <t>Nachweis</t>
  </si>
  <si>
    <t>Stundensätze eingeben</t>
  </si>
  <si>
    <t>0299.02 BSK-Franziska Schervier-Lange-Straße-10-16-Ffm-Altenpflegeheim</t>
  </si>
  <si>
    <t>● (p) Pos.1 Fortschr. bestehendes BSK</t>
  </si>
  <si>
    <t>● (a.N.) Pos.2 BAB + Qualitätsüberwachung</t>
  </si>
  <si>
    <t>0569.03 RUR-BSK-Gutleutstr85-Frankfurt-Hotel-Roomers</t>
  </si>
  <si>
    <t>● • (p) Pos. 1 Erstellung BSK</t>
  </si>
  <si>
    <t>● • (p) Pos. 2 Auftragsbearbeitung (ADM)</t>
  </si>
  <si>
    <t>0683.07 BSK-Hanauer-Landstraße-147-149-Ffm</t>
  </si>
  <si>
    <t>● (a.N.) BTB zur Nutzungsänderung 2. OG</t>
  </si>
  <si>
    <t>● (p) Fortschr. BSK Teilumnutzung Souterrain als Kantine</t>
  </si>
  <si>
    <t>● (a.N.) Abstimmung Genehmigungsbehörden</t>
  </si>
  <si>
    <t>● (a.N.) BAB</t>
  </si>
  <si>
    <t>0710.01 Zeilpavillon-Zeil-104-Frankfurt-Weidenhof</t>
  </si>
  <si>
    <t>● 2000-Vorplanung</t>
  </si>
  <si>
    <t>0757.17 Patrizia GrundInvest Objekt Hofheim GmbH &amp; Co. KG</t>
  </si>
  <si>
    <t>● (aN) Pos.1 KOF Umnutzung Fitnessstudio</t>
  </si>
  <si>
    <t>0757.19 GermanReal-BST-Chinon-Platz-Hofheim-Chinon-Center-Eiswagen</t>
  </si>
  <si>
    <t>● (aN) Pos.1 BST bezüglich des Eiswagens am Chinon Center</t>
  </si>
  <si>
    <t>0815.07 Beratung-MPI-Hirnforschung-Ffm</t>
  </si>
  <si>
    <t>● 3000-Entwurfsplanung</t>
  </si>
  <si>
    <t>0815.09 MPI-BTB-Z-HIRN-Umbau-Max-von-Laue-Str4-FFM</t>
  </si>
  <si>
    <t>● (aN) Pos. 1 Brandschutztechnische Beratung in der Planungsphase</t>
  </si>
  <si>
    <t>0815.10 MPI-Fortschr-BSK-Z-HIRN-Umbau-Tierhaus-Max-von-Laue-Str4-FFM</t>
  </si>
  <si>
    <t>● (p) Pos. 1 Fortschr</t>
  </si>
  <si>
    <t>1015.02 VuBBaWü-BTB-Kurfürstenanlage15-HD-Justizzentrum</t>
  </si>
  <si>
    <t>● (aN) 3.1.1.1 Überprüfung des Brandschutzkonzepts und brandschutztechnische Beratung</t>
  </si>
  <si>
    <t>● (aN) 3.1.1.2 Begleitung bei der Durchführung der Maßnahmen</t>
  </si>
  <si>
    <t>● (p) 3.1.1.3 Fortschreibung des Brandschutzkonzepts bzgl. der Überarbeitung des Sicherheitskonzepts</t>
  </si>
  <si>
    <t>● ADM</t>
  </si>
  <si>
    <t>1123.04 Fortschr.-BSK-U-Bahnstation-Dom-Römer-Frankfurt</t>
  </si>
  <si>
    <t>● (p) Pos.1 Fortschr. BSK für Stadtbahnstation Dom/Römer</t>
  </si>
  <si>
    <t>1159.01 Lilienthalstraße-7-Regensburg-EON</t>
  </si>
  <si>
    <t>● Beurteilung erhöhter Personenbelegung (pauschal)</t>
  </si>
  <si>
    <t>● Fortschr. BSK Personenbelegung (pauschal)</t>
  </si>
  <si>
    <t>1208.04 NT01-BTB-Gymnasium-Riedberg-Friedrich-Dessauer-Str-2-Ffm-Batteriespeicher</t>
  </si>
  <si>
    <t>● (aN) Pos.1 BTB zur Abnahme und Bewertung des Batteriespeichers</t>
  </si>
  <si>
    <t>1257.03 LP3-8-Germersheim-Army-Depot-Gebäude-7915</t>
  </si>
  <si>
    <t>● 5000-Ausführungsplanung</t>
  </si>
  <si>
    <t>● 8000-Objektüberwachung</t>
  </si>
  <si>
    <t>● Beratung/erneute Einarbeitung (pauschal)</t>
  </si>
  <si>
    <t>1257.06 Tektur-BSK-Army-Depot-Geb7915-Germersheim</t>
  </si>
  <si>
    <t>● (p.) Tektur BSK</t>
  </si>
  <si>
    <t>● (p.)  FuR</t>
  </si>
  <si>
    <t>1257.07 Rauchversuch-Army-Depot-Geb7915-Germersheim</t>
  </si>
  <si>
    <t>● (p) Durchführung Rauchversuch/Dokumentation</t>
  </si>
  <si>
    <t>1257.08 Elektro-Krück-Überprüfung-FWP-Geb-7915-Germersheim</t>
  </si>
  <si>
    <t>● (aN) Pos. 2 Begehung (CAD)</t>
  </si>
  <si>
    <t>1294.01 BSH-Mannheimer-Straße-16-Frankfurt</t>
  </si>
  <si>
    <t>● BSO A-C (pauschal)</t>
  </si>
  <si>
    <t>● FuR-Pläne (pauschal)</t>
  </si>
  <si>
    <t>● FW-Pläne (pauschal)</t>
  </si>
  <si>
    <t>● Bestandserfassung (pauschal)</t>
  </si>
  <si>
    <t>● Räumungsübung (pauschal)</t>
  </si>
  <si>
    <t>● Helferschulung Theorie + Praxis (pauschal)</t>
  </si>
  <si>
    <t>1294.08 BSB-2025-Mannheimer-Straße-16-Frankfurt</t>
  </si>
  <si>
    <t>● (a.N.)  Brandschutzbeauftragter 2025</t>
  </si>
  <si>
    <t>1406.04 BTB-Ludwig-Erhard-Strasse-6-Eschborn</t>
  </si>
  <si>
    <t>● (aN) Pos.1 BTB zu Erstellung der Konformitätsbescheinigung</t>
  </si>
  <si>
    <t>1524.09 BSB-2024-Schützenbleiche-9-11-Frankfurt</t>
  </si>
  <si>
    <t>● 9000-Objektbetreuung und Dokumentation</t>
  </si>
  <si>
    <t>1524.10 BSB-2025-Schützenbleiche-9-11-Frankfurt</t>
  </si>
  <si>
    <t>● (aN) Pos.1 Verpflichtung eines externen BSB 2025</t>
  </si>
  <si>
    <t>1599.13 BSB 2023-IKT-Zanderstraße-7-Frankfurt</t>
  </si>
  <si>
    <t>● (a.N.) BSB</t>
  </si>
  <si>
    <t>1626.06 Seckbacher-Landstraße-St.Katharinenkrankenhaus</t>
  </si>
  <si>
    <t>● Fortschr. BSK (auf Nachweis)</t>
  </si>
  <si>
    <t>1626.08 BT-L-BTB-BSK-Seckbacher-Landstraße-St.Katharinenkrankenhaus</t>
  </si>
  <si>
    <t>● 1000-Grundlagenermittlung</t>
  </si>
  <si>
    <t>● 4000-Genehmigungsplanung</t>
  </si>
  <si>
    <t>1626.11 RMK-StKKh-orgBS-Seckbacher-Landstraße-65-Frankfurt</t>
  </si>
  <si>
    <t>● (a.N.) Beratungsleistungen organisatorischer Brandschutz</t>
  </si>
  <si>
    <t>1626.13 BSB-2024-Seckbacher-Landstraße-65-Frankfurt-St-Katharinen-Krankenhaus</t>
  </si>
  <si>
    <t>● (a.N.) Pos.1 BSBS 2024</t>
  </si>
  <si>
    <t>1626.14 BSK-Umbau-2OG-Urologie + 4.OG-Physio-Seckbacher-Landstr-65-Ffm-St-Katharinen-KH</t>
  </si>
  <si>
    <t>● (a.N.) Pos.1 Ergänzung bestehendes BSK</t>
  </si>
  <si>
    <t>1626.15 BSK-Seckbacher-Landstraße-St.KKH-Bauteil-M</t>
  </si>
  <si>
    <t>● (aN) Pos. 1 Erstellung BSK Bauteil M + 1 Termin Objektbegehung</t>
  </si>
  <si>
    <t>1626.16 BTB-Seckbacher-Landstraße-St.KKH-ZNA</t>
  </si>
  <si>
    <t>● (aN) Pos.1 Ergänzung bestehendes BSK bzgl. d. geplanten Umbaus der ZNA im 1.UG + BT B im EG</t>
  </si>
  <si>
    <t>1640.08 BTB-Bauherr-SLK-HN-1.BA</t>
  </si>
  <si>
    <t>1660.07 BTB-Vorstadt-2-Oberursel-Bären-Arkaden-Großraumbüro-1.OG</t>
  </si>
  <si>
    <t>● (aN) Pos.1 BTB zu Feuerlöscher und Fluchtwegbeschilderung zum Mieterausbau im 1. OG</t>
  </si>
  <si>
    <t>1686.04 GemLinsengericht-FWP-Hauptstr29-Linsengericht-Bürgersaal</t>
  </si>
  <si>
    <t>● (p) Pos. 1 Aktualisierung Feuerwehrpläne</t>
  </si>
  <si>
    <t>● (p) Pos. 2 Aktualisierung der Bestuhlungspläne mit den Varianten 1,2,3,5</t>
  </si>
  <si>
    <t>1732.02 BSK-Europa-Allee-120-126-Ffm-TG</t>
  </si>
  <si>
    <t>● (p) Pos.1 Ergänzung des bestehenden BSK zur Installation v. Fluchtwegterminals in Rettungswege</t>
  </si>
  <si>
    <t>● (aN) Pos.2 Baubegl. Brandschutzberatung +Qualitätsüberwachung für d.Durchführung d. BM</t>
  </si>
  <si>
    <t>● (p) Pos.3 Erstellung FWP inkl. Objektbegehung</t>
  </si>
  <si>
    <t>1810.01 BSK-Restnutzung-Bahnhof-Lorch</t>
  </si>
  <si>
    <t>● BSK bahnbetriebl. Restnutzung (pauschal)</t>
  </si>
  <si>
    <t>1810.02 KOF-Bahnhof-Lorch</t>
  </si>
  <si>
    <t>● (p) Pos.1 Erstellen Schlussabnahmebescheinigung</t>
  </si>
  <si>
    <t>1834.01 BSK-uPva-Karlsplatz-Mieter10</t>
  </si>
  <si>
    <t>1834.02 BSK-uPva-Karlsplatz-Mieter10a</t>
  </si>
  <si>
    <t>1914.02 LP5-Fraport-Terminal-T3</t>
  </si>
  <si>
    <t>1914.100 Fraport-Retailer-T3-übergeordnet-NAT107</t>
  </si>
  <si>
    <t>● (p) Pos. 1 Brandschutztechnische Beratung</t>
  </si>
  <si>
    <t>1914.1000 Fraport-Terminal3-div.Nacharbeiten</t>
  </si>
  <si>
    <t>● BST Promotionsflächen</t>
  </si>
  <si>
    <t>● BTB Lining</t>
  </si>
  <si>
    <t>● Alarmierung ELA/EAN T3</t>
  </si>
  <si>
    <t>● Projektassistenz</t>
  </si>
  <si>
    <t>● Parkhaus</t>
  </si>
  <si>
    <t>● ORAT Brandschutz</t>
  </si>
  <si>
    <t>● Nachbearbeitung Rauchversuche</t>
  </si>
  <si>
    <t>● Aufstellung BBA Bereiche</t>
  </si>
  <si>
    <t>● PTS - Fluchtwegbeschilderung</t>
  </si>
  <si>
    <t>● E-Wagenstellplätze THG + PTS</t>
  </si>
  <si>
    <t>● Umbauten Airline-Büros</t>
  </si>
  <si>
    <t>1914.101 Retailer-T3-Lagardère Travel Retail Deutschland GmbH</t>
  </si>
  <si>
    <t>● (aN) Brandschutztechnische Beratung</t>
  </si>
  <si>
    <t>● (aN) Erstellung Brandschutztechnische Stellungnahme</t>
  </si>
  <si>
    <t>● (aN) Teilnahme an Besprechungen</t>
  </si>
  <si>
    <t>1914.102 Retailer-T3-Lagardère Travel Retail Deutschland Foodservice GmbH</t>
  </si>
  <si>
    <t>● (a.N) Brandschutztechnische Beratung</t>
  </si>
  <si>
    <t>● (a.N) Erstellung Brandschutztechnische Stellungnahme</t>
  </si>
  <si>
    <t>● (a.N) Teilnahme an Besprechungen</t>
  </si>
  <si>
    <t>1914.103 Retailer-T3-Wöllhaf Retail GmbH</t>
  </si>
  <si>
    <t>1914.104 Retailer-Autogrill Deutschland GmbH</t>
  </si>
  <si>
    <t>1914.105 Retailer-Sunglass-Hut-T3-Luxottica</t>
  </si>
  <si>
    <t>1914.105_1 Retailer-BAB-Sunglass-Hut-T3-Luxottica</t>
  </si>
  <si>
    <t>● (p) Admin</t>
  </si>
  <si>
    <t>1914.106 Retailer-Global-Blue</t>
  </si>
  <si>
    <t>1914.107 Retailer-Ganter-Interior-GmbH-Longchamp</t>
  </si>
  <si>
    <t>1914.107_1 Retailer-BAB-Ganter-Interior-GmbH-Longchamp</t>
  </si>
  <si>
    <t>1914.108 Retailer-Sixt</t>
  </si>
  <si>
    <t>1914.109 Retailer-Avolta</t>
  </si>
  <si>
    <t>● ANG BTB (aN) Brandschutztechnische Beratung</t>
  </si>
  <si>
    <t>● ANG BTB (aN) Erstellung Brandschutztechnische Stellungnahme</t>
  </si>
  <si>
    <t>● ANG BTB (aN) Teilnahme an Besprechungen</t>
  </si>
  <si>
    <t>● ANG BAB (aN) Pos. 1 LP 5 + 8</t>
  </si>
  <si>
    <t>1914.110 Retailer-napcabs</t>
  </si>
  <si>
    <t>1914.111 Retailer-prosecur-ChangeGroup</t>
  </si>
  <si>
    <t>● (p) Stellungnahmen zu Konzessionärsflächen</t>
  </si>
  <si>
    <t>1914.112 Retailer-Capi</t>
  </si>
  <si>
    <t>1914.113 Retailer-T3-Heinemann</t>
  </si>
  <si>
    <t>● (a.N) Position 1 - DFS Main</t>
  </si>
  <si>
    <t>● (a.N) Position 2 - TVS Main</t>
  </si>
  <si>
    <t>● (a.N) Position 3 - 6 Monobrand-Shops und 1 Multibrand-Shop</t>
  </si>
  <si>
    <t>● (a.N) Position 4 - TVS Gate (Pier H - E02) und DFS Gate (Pier J - E03)</t>
  </si>
  <si>
    <t>● ANG-BAB-LP5+8-2025-06-25</t>
  </si>
  <si>
    <t>1914.114 Retailer-Rewe To Go</t>
  </si>
  <si>
    <t>1914.115 Retailer-Emirates Lounge</t>
  </si>
  <si>
    <t>1914.115_1 Retailer-Emirates-BKS-Baustelle</t>
  </si>
  <si>
    <t>● (p) Pos. 1 Erstellung BSK für die Baustelle</t>
  </si>
  <si>
    <t>1914.115_2 Retailer-Emirates-BAB-T3</t>
  </si>
  <si>
    <t>● (aN) Pos. 1 Ausführungsplanung LP5 + LP8</t>
  </si>
  <si>
    <t>● (p) Pos. 2 Auftragsbearbeitung / Administrative Tätigkeiten</t>
  </si>
  <si>
    <t>1914.115_3 Retailer-Emirates Lounge-BSN</t>
  </si>
  <si>
    <t>● (p) Fortschreibung BSN</t>
  </si>
  <si>
    <t>1914.116 Retailer-Priority Lounge</t>
  </si>
  <si>
    <t>● Verschieben auf 1914.116_1: ANG - LP5+LP8</t>
  </si>
  <si>
    <t>1914.116_1 Retailer-Priority-Lounge-LP5+8</t>
  </si>
  <si>
    <t>● ANG LP 5+8</t>
  </si>
  <si>
    <t>1914.116_2 Retailer-Priority-Lounge-BSK</t>
  </si>
  <si>
    <t>● • (p) Pos. 1 Erstellung eines Brandschutzkonzeptes für die Baustelle</t>
  </si>
  <si>
    <t>1914.117 Retailer-SkyTeam-Lounge</t>
  </si>
  <si>
    <t>1914.117_1 Retailer-SkyTeam-Lounge-BSK-Baustelle</t>
  </si>
  <si>
    <t>● FRA-ANG-BSK-001-2025-10-10-Konzessionärsausbau-SkyTeamLounge-u</t>
  </si>
  <si>
    <t>1914.117_2 Retailer-SkyTeam-Lounge-BAB</t>
  </si>
  <si>
    <t>● (a.N.) LP5</t>
  </si>
  <si>
    <t>● (a.N.) LP 8</t>
  </si>
  <si>
    <t>1914.119 Retailer-Media-Frankfurt-Werbeelemente</t>
  </si>
  <si>
    <t>1914.120 Retailer-Samsonite</t>
  </si>
  <si>
    <t>1914.121 Retailer-FALKE Store</t>
  </si>
  <si>
    <t>1914.123 Retailer-Air France Lounge</t>
  </si>
  <si>
    <t>1914.124 Retailer-Christ</t>
  </si>
  <si>
    <t>1914.125 Retailer-Qatar Lounge</t>
  </si>
  <si>
    <t>● (p) Bearbeitung der LP1-4 nach AHO Grundleistungen</t>
  </si>
  <si>
    <t>● (p) Bearbeitung der LP5-8 nach AHO Grundleistungen</t>
  </si>
  <si>
    <t>1914.126 Retailer-Victoria-Secret-Shop</t>
  </si>
  <si>
    <t>1914.126_1 Retailer-BAB-Victoria-Secret-Shop</t>
  </si>
  <si>
    <t>1914.127 Retailer-Media Frankfurt GmbH-Fläche-602.3604</t>
  </si>
  <si>
    <t>1914.128 Retailer-SmokingLounge-Media Frankfurt</t>
  </si>
  <si>
    <t>● (aN) Pos. 1 BTB + BST Smoking Lounge 605.3313</t>
  </si>
  <si>
    <t>● (aN) Pos. 2 BTB + BST Smoking Lounge 606.2226</t>
  </si>
  <si>
    <t>1914.129 Retailer-MaxMAra</t>
  </si>
  <si>
    <t>● ANG 25-06-17</t>
  </si>
  <si>
    <t>● (aN) Pos. 1 Brandschutztechnische Beratung</t>
  </si>
  <si>
    <t>● (aN) Pos. 1 Erstellung Brandschutztechnische Stellungnahme</t>
  </si>
  <si>
    <t>● (aN) Pos. 1 Teilnahme an Besprechungen</t>
  </si>
  <si>
    <t>● • (p) Pos. 1 Administrative Tätigkeiten</t>
  </si>
  <si>
    <t>● • (aN) Pos. 2 Ausführungsplanung LP 5 (SV)</t>
  </si>
  <si>
    <t>● • (aN) Pos. 2 BAB LP  8 (SV)</t>
  </si>
  <si>
    <t>1914.130 Retailer-BTB-Raum 600.3816-Wechselstube</t>
  </si>
  <si>
    <t>● (a.N) BTB</t>
  </si>
  <si>
    <t>● (p) Pos. 2 Auftragsbearbeitung/ADM</t>
  </si>
  <si>
    <t>1914.18 Bearbeitung 2.NaBA/Bauanträge/ÄM-Fraport-T3</t>
  </si>
  <si>
    <t>● • NA52- 2. Nachtragsbauantrag (2.NaBA)</t>
  </si>
  <si>
    <t>Abrechnungsart wählen</t>
  </si>
  <si>
    <t>1914.19 Bearbeitung DTB-Pläne inkl. Brandfallmatrix-Fraport-T3</t>
  </si>
  <si>
    <t>1914.26 (2634.01) Fraport-T3-BSK-Bauphase (ehemals 2634.01)</t>
  </si>
  <si>
    <t>1914.27 LP9-Fraport-Terminal-T3 (ehemals LP(8)</t>
  </si>
  <si>
    <t>● LP8 Grundleistungen</t>
  </si>
  <si>
    <t>● LP8 Besondere Leistungen</t>
  </si>
  <si>
    <t>● LP8-B8.6-Umsetzung des Brandschutz- und Alarmierungskonzeptes während der Bauphase</t>
  </si>
  <si>
    <t>● LP8 Optionale Leistungen</t>
  </si>
  <si>
    <t>● LP 8 Auftragserweiterung NT67 (NA109)</t>
  </si>
  <si>
    <t>● LP9</t>
  </si>
  <si>
    <t>1914.28 (2628) Fraport-T3-Parkhaus (ehemals 2628)</t>
  </si>
  <si>
    <t>● 0001-Sonstiges</t>
  </si>
  <si>
    <t>● 6000-Vorbereiten der Vergabe</t>
  </si>
  <si>
    <t>● 7000-Mitwirkung bei der Vergabe</t>
  </si>
  <si>
    <t>1914.29 Fraport-T3-Parkhaus</t>
  </si>
  <si>
    <t>●  NA03-Leistungen Änderungsmanagement / Änderungen BSK (auf Nachweis)</t>
  </si>
  <si>
    <t>1914.30 Fraport-Terminal3-Bauanträge</t>
  </si>
  <si>
    <t>● Geb. Pier H</t>
  </si>
  <si>
    <t>● Geb. THG</t>
  </si>
  <si>
    <t>● Geb.  Pier J</t>
  </si>
  <si>
    <t>● Geb. PTS</t>
  </si>
  <si>
    <t>● BL-Fortschreibung Brandmeldeanlagenkonzept LP8</t>
  </si>
  <si>
    <t>1914.31 Fraport-Terminal3-Aktualisierung-BSP-NA106</t>
  </si>
  <si>
    <t>● (aN) 4103-Erarbeiten Brandschutzkonzeptpläne THG</t>
  </si>
  <si>
    <t>● (aN) 4103-Erarbeiten Brandschutzkonzeptpläne Pier H</t>
  </si>
  <si>
    <t>● (aN) 4103-Erarbeiten Brandschutzkonzeptpläne Pier J</t>
  </si>
  <si>
    <t>● (aN) 4103-Erarbeiten Brandschutzkonzeptpläne PTS</t>
  </si>
  <si>
    <t>1914.32 Fraport-T3-Kunst am Bau</t>
  </si>
  <si>
    <t>● (p) NT66 (NA108) Pos. 1 BTB + BST 1.650€</t>
  </si>
  <si>
    <t>1922.14 BSB-2025-Kaiserstraße-13-15-Butzbach</t>
  </si>
  <si>
    <t>● (a.N.) 9000-Objektbetreuung und Dokumentation</t>
  </si>
  <si>
    <t>1942.04 Deurag-BSK-Abraham-Lincoln-Str3-Wiesbaden</t>
  </si>
  <si>
    <t>● (p) Pos. 1 - BSK</t>
  </si>
  <si>
    <t>● (aN) Pos. 2 Brandschutztechnische Beratungsleistungen</t>
  </si>
  <si>
    <t>1967.03 BAB-Office-Center-Frankfurt-Mannheimer-Straße-81-83-Frankfurt</t>
  </si>
  <si>
    <t>● (a.N.) Baubegl. Brandschutzbe. u. Qualitätsüberwachung f.d. Durchführung Baumaßnahme</t>
  </si>
  <si>
    <t>1982.06 BTB-Am-Untertor-6-Hofheim-MTV-Dachterrasse-1.OG</t>
  </si>
  <si>
    <t>● (a.N.) Pos.1 BTB Thematik Nutzung Dachterrasse 1.OG</t>
  </si>
  <si>
    <t>1986 Otto-Hahn-Schule-Gerichtsgutachten</t>
  </si>
  <si>
    <t>1987.11 BSB-2025-Am-langen-Graben-7-Düren</t>
  </si>
  <si>
    <t>2032.061 aam2core-FRP-Halbergstraße1-LU</t>
  </si>
  <si>
    <t>● (p) Pos. 1 Aktual. FRP</t>
  </si>
  <si>
    <t>● (aN) Pos. 2 Begehung</t>
  </si>
  <si>
    <t>2036.06 BTB-Zeil-85-93-Frankfurt</t>
  </si>
  <si>
    <t>● (a.N.) Pos. 1 - BTB zur Thematik Teilnahme an Gefahrenverhütungsschau</t>
  </si>
  <si>
    <t>2036.08 BSK-H&amp;M-Zeil-85-93-Ffm-Area-Büro</t>
  </si>
  <si>
    <t>● (p) Pos.1 Fortschreibung BSK für den Bereich Area-Büro</t>
  </si>
  <si>
    <t>● (aN) Pos.2 Baubegl. BSB + Qualitätsüberwachung</t>
  </si>
  <si>
    <t>2036.09 BTB-Zeil-85-93-Frankfurt-Knolli-EG-1.OG</t>
  </si>
  <si>
    <t>● (aN) Pos.1 BTB - Bew.+Festlegung v. Brandschutzm. i.d. MFl. Nord-West EG-1.OG+Begehung</t>
  </si>
  <si>
    <t>2036.10 BSK-Zeil-85-93-Frankfurt-Kiko-EG+1.OG</t>
  </si>
  <si>
    <t>● (p) Pos.1 Erstellung BSK für KIKO – Ladengeschäft EG + 1. OG</t>
  </si>
  <si>
    <t>● (aN) Pos.2 BAB</t>
  </si>
  <si>
    <t>2044 Frankfurter Verein e.V. - Anfragen</t>
  </si>
  <si>
    <t>2044.01 BSB-Frankfurter-Verein-Liegenschaften-allgem.</t>
  </si>
  <si>
    <t>● (aN) Pos.1 BTB Liegenschaften allgemein</t>
  </si>
  <si>
    <t>2044.02 BSK-Lyoner-Straße-1-Frankfurt</t>
  </si>
  <si>
    <t>● (p) Pos.1 BSK</t>
  </si>
  <si>
    <t>2112.08 Pläne-Schützenbleiche-3-7-Frankfurt-Süwag-Haus-B</t>
  </si>
  <si>
    <t>● (p) Pos. 1 - FW-Pläne</t>
  </si>
  <si>
    <t>● (p) Pos. 2 - FuR-Pläne</t>
  </si>
  <si>
    <t>● Admin</t>
  </si>
  <si>
    <t>2151.06 SIK-Haus-I+II-Kaiser-Friedrich-Promenade-57a-Kurstift-Bad Homburg</t>
  </si>
  <si>
    <t>2151.08 RMK-Haus-III+IV-Kaiser-Friedrich-Promenade-57a-Kurstift-Bad Homburg</t>
  </si>
  <si>
    <t>2173 SWM-U-Bahn-Hbf Fachbauüberwachung</t>
  </si>
  <si>
    <t>2181.05 BSK-Bartningstraße-57-Darmstadt-Wandhydrantenanlage</t>
  </si>
  <si>
    <t>● (p) Fortschr. BSK zur Umrüstung der vorhandenen Wandhydrantenanlage auf trockene Steigleitungen</t>
  </si>
  <si>
    <t>● (aN) Pos.2 BAB+Qualitätsüberwachung</t>
  </si>
  <si>
    <t>2224.01 U2-Bad-Homburg</t>
  </si>
  <si>
    <t>● 5.3.1 Stufe 1 (pauschal)</t>
  </si>
  <si>
    <t>● 5.3.2 Stufe 2 (auf Nachweis)</t>
  </si>
  <si>
    <t>● 5.3.2 Stufe 2 (pauschal)</t>
  </si>
  <si>
    <t>● 5.3.3 Stufe 3 (auf Nachweis)</t>
  </si>
  <si>
    <t>● 5.3.4 Stufe 4 (p) Abgerechnet, Std. Yvonne klären</t>
  </si>
  <si>
    <t>● 5.3.5 Stufe 5 (pauschal)</t>
  </si>
  <si>
    <t>● 5.3.6 Stufe 6 (auf Nachweis)</t>
  </si>
  <si>
    <t>● 5.3.7 Stufe 7 (auf Nachweis)</t>
  </si>
  <si>
    <t>● 5.3.8 Stufe 8 (pauschal)</t>
  </si>
  <si>
    <t>2224.02 NAT-01-BSK-U2-Stellwerk</t>
  </si>
  <si>
    <t>● p) Pos.1 Brandschutzkonzept Stellwerk</t>
  </si>
  <si>
    <t>2224.03 NAT-01-BSK-U2-GuW</t>
  </si>
  <si>
    <t>● (p) Pos2. NAT-01-BSK Gleichrichterwerk</t>
  </si>
  <si>
    <t>2224.04 NAT02-SIM+Fortschr-BSK-U2-Bad Homburg-Nachverhandlung</t>
  </si>
  <si>
    <t>● (p) Pos.1 Rauchgassimulation</t>
  </si>
  <si>
    <t>● (p) Pos.2 Evakuierungssimulation</t>
  </si>
  <si>
    <t>● (p) Pos.3 Anpassungen Brandschutzkonzepte und -pläne f. die Station + die Freie Strecke</t>
  </si>
  <si>
    <t>2224.05 NA03-BSK-U2-Bad Homburg-Bauzeit</t>
  </si>
  <si>
    <t>● (p) Pos.1 Bauzeitl. BSK für die Stationen Gonzenheim und Bad Homburg</t>
  </si>
  <si>
    <t>2224.06 BST-U2-Bad Homburg-Brandschutz-im Tunnel-und der Station</t>
  </si>
  <si>
    <t>● (aN) Pos.1 BST -  Brandschutz im Tunnel und der Station</t>
  </si>
  <si>
    <t>2237.07 BTB-Emil-von-Behring-Straße-6-FFM-Glasdachsanierung</t>
  </si>
  <si>
    <t>● (aN) Pos.1 BTB Bew. Glasdachsanierung - Neubetr. Öffnungen zur Rauchableitung</t>
  </si>
  <si>
    <t>2344.04 LP8+9-Spangdahlem-MiddleHighSchool</t>
  </si>
  <si>
    <t>2403.02 Baubegleitung-Niederhöchstädter Straße 12-20, Steinbach</t>
  </si>
  <si>
    <t>2403.05 Pläne+Fortschr-BSK-Niederhöchstädter-Straße-12-20-Steinbach</t>
  </si>
  <si>
    <t>2403.10 BSB-08/23-07/24-Niederhöchstädter-Straße-12-20-Steinbach</t>
  </si>
  <si>
    <t>● a.N. - 9000-Objektbetreuung und Dokumentation</t>
  </si>
  <si>
    <t>2465.09 BSB-2023-Mousonturm</t>
  </si>
  <si>
    <t>2465.12 BSB-2025-Mousonturm</t>
  </si>
  <si>
    <t>● (p) Brandschutzbeauftragter 2025</t>
  </si>
  <si>
    <t>2484.05 BST-Wasserweg-2A-Groß-Gerau</t>
  </si>
  <si>
    <t>● (aN) Pos.1 erstellung BST zur Thematik Bewertung d. Mangelpunkte 1+2 aus Prüfbericht RLT-2024</t>
  </si>
  <si>
    <t>2492.01 BTB-Mecklenburger-Straße-12-Frankfurt</t>
  </si>
  <si>
    <t>● Beratung IST-Zustand (auf Nachweis)</t>
  </si>
  <si>
    <t>● Erstellung Pläne (auf Nachweis)</t>
  </si>
  <si>
    <t>2505 GemuesebauRenner-Mutterstadt-BMA</t>
  </si>
  <si>
    <t>2541 Bommersheimer Weg 59, Bad Homburg-BSK</t>
  </si>
  <si>
    <t>2620.05 Fortschr. BSK-TU-Darmstadt-Parkdeck-Erweiterung-Franziska-von-Braun-Straße-Lichtwiese</t>
  </si>
  <si>
    <t>● (a.N.) Fortschreibung Brandschutzkonzept</t>
  </si>
  <si>
    <t>● (a.N.) Aktualisierung Brandschutzkonzeptpläne</t>
  </si>
  <si>
    <t>● (a.N.) Objektüberwachung und brandschutztechnische Beratung</t>
  </si>
  <si>
    <t>2621.03 BAB-Abbruchphase-Martha-Else-Haus</t>
  </si>
  <si>
    <t>2621.06 SMEH-FWP-Martha-Else-Haus-SodenerStr8-Hofheim</t>
  </si>
  <si>
    <t>● (p) Pos. 1 FWP</t>
  </si>
  <si>
    <t>● (p) FRP pro Plan</t>
  </si>
  <si>
    <t>2626.07 BTB-Maschinenfabrik-Passavant-Geiger-Straße1-Aarbergen</t>
  </si>
  <si>
    <t>● (a.N.) Beratung Maschinenfabrik inkl. Kranüberdachung</t>
  </si>
  <si>
    <t>● (a.N.) NAT BTB</t>
  </si>
  <si>
    <t>2626.08 BSK-Maschinenfabrik-Passavant-Geiger-Straße1-Aarbergen</t>
  </si>
  <si>
    <t>● (p) Pos.1 Erstellung BSK</t>
  </si>
  <si>
    <t>● (aN) Pos.2 Brandlastberechnung gemäß DIN 18230 i.V.m. Abschn.7 Muster-Industriebaurichtlinie</t>
  </si>
  <si>
    <t>● (aN) Pos.3 BAB und Qualitätsüberwachung</t>
  </si>
  <si>
    <t>2642 Zu-den-Rehwiesen-9-Klinikum-Duisburg-Wedau</t>
  </si>
  <si>
    <t>2642.01 Fortschr.Räumungskonzeptpläne-Zu-den-Rehwiesen-9-Klinikum-Duisburg-Wedau</t>
  </si>
  <si>
    <t>2667.02 Kellereigasse-Marktplatz-Lohr-Fortschr.BSN</t>
  </si>
  <si>
    <t>2671.03 BAB-OG2-Zum-Wartturm-7+9-Gelnhausen</t>
  </si>
  <si>
    <t>2673.09 Fortschr-BSK--Messer-Platz-1-Messer-Group-BadSoden-1+3OG</t>
  </si>
  <si>
    <t>● (p) Pos.1 Fortschr. BSK für die Umbaumaßnahmen im 1. und 3. OG</t>
  </si>
  <si>
    <t>● (aN) Pos.2 BAB + Qualitätsüberwachung</t>
  </si>
  <si>
    <t>2674.01 BST-Ackermannstraße-35-37-Ackermannschule-Dachsanierung</t>
  </si>
  <si>
    <t>● (p) Pos.1 Fortschr. BSK</t>
  </si>
  <si>
    <t>● Pos.2 Baubegl. Brandschutzberatung + Qualitätsüberwachung</t>
  </si>
  <si>
    <t>● (a.N.) Pos.3 Optional: Zusätzl. Beratungslstg.</t>
  </si>
  <si>
    <t>2700.02 BTB-Spielbank-Kisseleffstraße-35-Bad-Homburg</t>
  </si>
  <si>
    <t>2722 Wingertstraße-128-Maintal</t>
  </si>
  <si>
    <t>2727 Bahnhof-Fellbach-BSK-2013</t>
  </si>
  <si>
    <t>2813.03 BAB-Bahnhof-Schwäbisch-Hall-Hessental</t>
  </si>
  <si>
    <t>● (p) Pos.1 Abnahmebegehung und Konformität Brandschutz</t>
  </si>
  <si>
    <t>2815.04 MPI-Rechtsgeschichte-Erweiterung-Institut-Frankfurt</t>
  </si>
  <si>
    <t>● LP 1 Nachtrag  (a.N.)</t>
  </si>
  <si>
    <t>● LP2 GL (pauschal)</t>
  </si>
  <si>
    <t>● LP3 GL (pauschal)</t>
  </si>
  <si>
    <t>● LP4 GL (pauschal)</t>
  </si>
  <si>
    <t>● NAT (a.N.)</t>
  </si>
  <si>
    <t>2835.01 BSK-SWM-U-Bahnhof-Theresienstraße</t>
  </si>
  <si>
    <t>● 0000-Aquise</t>
  </si>
  <si>
    <t>2845.02 BST-Sprinkleranlage-Berliner-Platz-6-10-Kronberg</t>
  </si>
  <si>
    <t>● (p) Pos.1 BST für Sprinkleranlage</t>
  </si>
  <si>
    <t>2896.02 Fortschr2-BSK-Bahnhof-Frankfurt-Süd-barrierefreier-Ausbau</t>
  </si>
  <si>
    <t>● Bestandsaufnahme (pauschal)</t>
  </si>
  <si>
    <t>● Objektüberwachung (auf Nachweis)</t>
  </si>
  <si>
    <t>● Besprechungs-/Abstimmungstermine (auf Nachweis)</t>
  </si>
  <si>
    <t>● 2. Planlauf Grundriss A-Ebene (auf Nachweis)</t>
  </si>
  <si>
    <t>● Erstellen Räumungskonzept (pauschal)</t>
  </si>
  <si>
    <t>2896.03 BSK-Baustelle-Bahnhof-Frankfurt-Süd-barrierefreier-Ausbau</t>
  </si>
  <si>
    <t>2896.07 NAT-BSK-Bahnhof-Frankfurt-Süd-Umzug-Elektroanlagen-50Hz</t>
  </si>
  <si>
    <t>● (p) Pos.1 Fortschr. BSK für 50HZ Proj. am Bahnhof Süd</t>
  </si>
  <si>
    <t>● (aN) Pos.2 BTB in Planungsphase</t>
  </si>
  <si>
    <t>2933.03 BSK-Ganzzugbehandlungsanlage-Höchst</t>
  </si>
  <si>
    <t>● (p) Aktualisierung BSK</t>
  </si>
  <si>
    <t>● (a.N.) BTB und Abgleich Maßnahmeliste</t>
  </si>
  <si>
    <t>2942.04 BAB-Forsthausstraße-11-Ruesselsheim-Grundschule-Koenigstaedten-Umnutzung</t>
  </si>
  <si>
    <t>● Baubegleitung (auf Nachweis)</t>
  </si>
  <si>
    <t>2945 Michaelisstraße-16-18-Darmstadt-Baufeld-3-Baubegleitung</t>
  </si>
  <si>
    <t>2949.21 BSB-2023-Kisseleffstraße-35-Bad-Homburg</t>
  </si>
  <si>
    <t>2949.24 BSB-2025-Kisseleffstraße-35-Bad-Homburg</t>
  </si>
  <si>
    <t>● (a.N.) Brandschutzbeauftragter 2025</t>
  </si>
  <si>
    <t>2950.03 BSK-Wicker-Klinik-Bad-Homburg</t>
  </si>
  <si>
    <t>● Konformität Umbau Pelzladen in Physiotherapie</t>
  </si>
  <si>
    <t>2953.06 BTB-Collegium-Wüstemser-Straße-1-Glashuetten</t>
  </si>
  <si>
    <t>● (a.N.) Pos.1 BTB Thematik Sanierungsmaßnahmen am Dach</t>
  </si>
  <si>
    <t>● (a.N.) Pos.1 NAT001 BTB zu Phasen Dachsanierung</t>
  </si>
  <si>
    <t>2953.07 BTB-Collegium-Wüstemser-Straße-1-Glashütten-Küchensanierung</t>
  </si>
  <si>
    <t>● (aN) Pos.1 BTB Sanierung Küche + Nebenräume - Kostengr. 7104</t>
  </si>
  <si>
    <t>● (aN) Pos.2 Fortschr. BSK - Kostengr. 7104</t>
  </si>
  <si>
    <t>● (aN) Pos.3 BAB + Qualitätstüberwachung - Kostengr. 7104</t>
  </si>
  <si>
    <t>● (p) Pos.4 FWP inkl. Objektbegehung - Kostengr. 7104</t>
  </si>
  <si>
    <t>● (p) Pos.5 FRP - Kostengr. 7104</t>
  </si>
  <si>
    <t>2953.08 BSK-Collegium-Wüstemser-Straße-1-Glashütten-Dachsanierungsanierung</t>
  </si>
  <si>
    <t>● (p) Pos.1 Fortschr. BSK Dachsanierung</t>
  </si>
  <si>
    <t>2999.02 BSK-Kaiserstraße-13-15-Butzbach</t>
  </si>
  <si>
    <t>● (a.N.) Pos.1 - Erstellung/Fortschr. Brandschutzkonzept</t>
  </si>
  <si>
    <t>● (a.N.) Pos.2 - Baubegl. Branschutzberatung u. Qualitätsüberwachung</t>
  </si>
  <si>
    <t>3002.07 Videoprojekt-Bahnhof-Hbf-Wiesbaden</t>
  </si>
  <si>
    <t>● BST (pauschal)</t>
  </si>
  <si>
    <t>● Abstimmungen (auf Nachweis)</t>
  </si>
  <si>
    <t>3002.08 BST-Bahnhof-Hbf-Wiesbaden-DBOS</t>
  </si>
  <si>
    <t>● (p.) brandschutztechn. Stellungnahme</t>
  </si>
  <si>
    <t>● (p.) Ortstermine</t>
  </si>
  <si>
    <t>● (a.N.) brandschutztechnische Beratung</t>
  </si>
  <si>
    <t>● (a.N.) Prüfung Leistungsverzeichnis</t>
  </si>
  <si>
    <t>3017.15 BTB-Klinik-Dr-Baumstark-Bad Homburg</t>
  </si>
  <si>
    <t>● (a.N.) BTB</t>
  </si>
  <si>
    <t>3017.16 FWP-Klinik-Dr-Baumstark-Bad Homburg</t>
  </si>
  <si>
    <t>● (p) Pos.1 Aktualisierung FWP</t>
  </si>
  <si>
    <t>● (p) Pos.2 Aktualisierung FRP</t>
  </si>
  <si>
    <t>3044.06 BTB-ME Gastronomie-Am Bahnof 1-Bad Soden</t>
  </si>
  <si>
    <t>● (a.N.) Pos.1-BTB zur ME Gastronomie</t>
  </si>
  <si>
    <t>3046.05 Verlängerung-uPva-M-Hbf-1.UG(VTE)-Fachbauueberwachung</t>
  </si>
  <si>
    <t>3070.09 BSB-2023-Gutenbergstraße-13-Maintal</t>
  </si>
  <si>
    <t>3070.11 BSB-2025-Gutenbergstraße-13-Maintal</t>
  </si>
  <si>
    <t>3075.08 Fraport-RV-NAT06+07-FWP-BAB-BSK-Geb100</t>
  </si>
  <si>
    <t>● (aN) NAT06 Pos. 1 BAB</t>
  </si>
  <si>
    <t>● (aN) NAT06 Pos. 2 BSK</t>
  </si>
  <si>
    <t>● (aN) NAT06 Pos. 3 FRP</t>
  </si>
  <si>
    <t>● (aN) NAT06 Pos. 4 BSK-Pläne</t>
  </si>
  <si>
    <t>● (aN) NAT07 Pos. 1 Erstellung von Feuerwehrplänen</t>
  </si>
  <si>
    <t>● (a.N.) Brandschutzkonzept für die Bauphase</t>
  </si>
  <si>
    <t>3083.03 BAB-Marienburgstraße-2-Frankfurt-Haus-D</t>
  </si>
  <si>
    <t>3083.11 BSK-OG1-3-neueHBO-Marienburgstraße-2-Frankfurt-Haus-D</t>
  </si>
  <si>
    <t>3108.02 STG-Dreiech-BTB-FWP-Sporthalle-Rhönstraße1-Dreieich</t>
  </si>
  <si>
    <t>● (aN) Pos. 1 BTB</t>
  </si>
  <si>
    <t>● (p) Pos. 2 Feuerwehrpläne (CAD)</t>
  </si>
  <si>
    <t>3110.05 Girrulat-WEG-BAB-Am-kühlen-Grund1-9-Liederbach</t>
  </si>
  <si>
    <t>● (aN) Pos. 1 Baubegleitende Brandschutzberatung</t>
  </si>
  <si>
    <t>3111.02 Ganzheitl-BSK-Bahnhof-Weiterstadt</t>
  </si>
  <si>
    <t>3156.18 BTB-Frankfurt-School-of-Finance</t>
  </si>
  <si>
    <t>● Beraten Bauherr+FM-Dienstleister (auf Nachweis)</t>
  </si>
  <si>
    <t>3156.19 Fortschreibung-BSK-Frankfurt-School-of-Finance-Adickesallee32-34-Frankfurt</t>
  </si>
  <si>
    <t>● • 2302-Beratungsleistungen in der Planungsphase...</t>
  </si>
  <si>
    <t>● • 2103-Vorabstimmungen Behörden….</t>
  </si>
  <si>
    <t>● • 2211-Teilnahme Besprechungen....</t>
  </si>
  <si>
    <t>● • 2104-Stichpunktartige Zusammenstellung Ergebnisse LP2…</t>
  </si>
  <si>
    <t>● (p.) Fortschr. BSK</t>
  </si>
  <si>
    <t>● (p.) Fortschr. BSK-Pläne</t>
  </si>
  <si>
    <t>● (p.) Durchf. Evakuierungssim.</t>
  </si>
  <si>
    <t>● • Brandschutztechnische Beratungsleistungen</t>
  </si>
  <si>
    <t>● (a.N.) NAT Erstellung des Brandschutzkonzeptes für die Bauphase</t>
  </si>
  <si>
    <t>● (a.N.) Baubegleitung</t>
  </si>
  <si>
    <t>3156.21 FWP-Frankfurt-School-of-Finance-Addickesallee32-34-Frankfurt</t>
  </si>
  <si>
    <t>3210.09 Tektur-BSK-Gewerbestraße10-Markt-Rettenbach</t>
  </si>
  <si>
    <t>● Fortführung BSK (a.N.)</t>
  </si>
  <si>
    <t>● Fortf. der BSK-Pläne (a.N.)</t>
  </si>
  <si>
    <t>● Abgleich Rettungswege (a.N.)</t>
  </si>
  <si>
    <t>3212.04 FWP-Luebecker-Str-5-7-Eschborn</t>
  </si>
  <si>
    <t>3216.02 BTB-Campus Westend-Rostocker-Straße-2-Frankfurt-Brandschutztüren</t>
  </si>
  <si>
    <t>● (aN) Pos.1 BTB Bewertung v. Brandschutztüren inkl. Objektbegehung</t>
  </si>
  <si>
    <t>3228.01 BST-Hochtaunuskliniken-Bad-Homburg-</t>
  </si>
  <si>
    <t>3228.02 BTB-Hochtaunuskliniken-Bad-Homburg</t>
  </si>
  <si>
    <t>● Beratung (auf Nachweis)</t>
  </si>
  <si>
    <t>● (aN) Beratung BSK-Linearbeschleuniger-Bunker</t>
  </si>
  <si>
    <t>3228.04 RMK-Hochtaunus-Kliniken-Zeppelinstr-20-Bad-Homburg</t>
  </si>
  <si>
    <t>● (a.N.) Beratungsleistungen Organisatorischer Brandschutz</t>
  </si>
  <si>
    <t>● (a.N.) Räumungskarten (pro Stück)</t>
  </si>
  <si>
    <t>3228.05 RMS-Hochtaunuskliniken-Bad Homburg</t>
  </si>
  <si>
    <t>● (a.N.) Pos.1 Räumungsplan DIN A3 - Abrechnung erfolgt je Räungsplan 100€/ St</t>
  </si>
  <si>
    <t>● (a.N.) Pos.2 Räumungmappe - Abrechnung erfolgt je Räumungmappe 98€/St</t>
  </si>
  <si>
    <t>3228.06 BTB-ambulanter-OP-Hochtaunuskliniken-Bad Homburg</t>
  </si>
  <si>
    <t>● (aN) BSK - brandschutztechn. Konzept-Umbauarbeiten ambulanter OP (ohne ANG)</t>
  </si>
  <si>
    <t>3228.07 Pravida-BTB-Hochtaunuskliniken-BHG-Linearbeschleuniger</t>
  </si>
  <si>
    <t>● (aN) Pos.1 BTB +Stellungnahme</t>
  </si>
  <si>
    <t>3233.05 PTS-FLA-LP5</t>
  </si>
  <si>
    <t>3249.03 Fortschr-BSK-Insterburger-Straße-4-6-Frankfurt</t>
  </si>
  <si>
    <t>● 0000-Akquise</t>
  </si>
  <si>
    <t>3256.09 IKK-SW-FRP-Bestuhlungspläne-Atrium-Quartier-Eurobahnhof-Saarbrücken</t>
  </si>
  <si>
    <t>● (p) Pos. 1 Fortschreibung des Brandschutzkonzeptes</t>
  </si>
  <si>
    <t>● (p) Pos. 2 Bestuhlungspläne</t>
  </si>
  <si>
    <t>3258.01 LP4-9-Marktstraße 1-3-Dorotheen Quartier-Breuninger-Stuttgart-EKZ</t>
  </si>
  <si>
    <t>3258.21 F+M-KOF-DQ-Tiffany-EZH19A-Stuttgart</t>
  </si>
  <si>
    <t>● (aN) KOF</t>
  </si>
  <si>
    <t>3258.22 Rummel-DQ-LouisVuitton-Stuttgart</t>
  </si>
  <si>
    <t>● (p) BST</t>
  </si>
  <si>
    <t>● (aN) BTB</t>
  </si>
  <si>
    <t>3258.26 F&amp;M-BTB-DQ-Tiffany-Marktstraße-1-3-Stuttgart</t>
  </si>
  <si>
    <t>3258.30 Öztürk-FRP-DQ-Pilates-Studio-Marktstr1-3-Stuttgart</t>
  </si>
  <si>
    <t>● (p) Pos. 1 Ber. Feuerlöscher</t>
  </si>
  <si>
    <t>● (p) Pos. 2 FRP</t>
  </si>
  <si>
    <t>3268 Hafenstraße-Frankfurt-SelfStorage (Pilotprojekt)</t>
  </si>
  <si>
    <t>3273.01 BTB-Zech-Hochtaunuskliniken-Usingen</t>
  </si>
  <si>
    <t>● Beratung allgemein (auf Nachweis)</t>
  </si>
  <si>
    <t>3273.02 RMU-Hochtaunuskliniken-Usingen</t>
  </si>
  <si>
    <t>● (a.N.) Pos.1 - 7 Stück Räumungskarten</t>
  </si>
  <si>
    <t>● (a.N.) Pos.2 - 7 Stück Räumungspläne</t>
  </si>
  <si>
    <t>● (a.N.) Pos.3 - 7 Stück Räumungsmappen</t>
  </si>
  <si>
    <t>3307 Neubau Hochhaus BASF-Ludwigshafen</t>
  </si>
  <si>
    <t>3332.02 Fortschr-BSK-Kleyerstraße79-89-Telehouse-GebA</t>
  </si>
  <si>
    <t>3353.14  BSB-2025-Rudolf-Diesel-Straße-1-Hofheim</t>
  </si>
  <si>
    <t>3356.03 Stufe5-Universität-Konstanz-Geb-A</t>
  </si>
  <si>
    <t>● • 5101-Mitwirken Koordination Fachplanung….</t>
  </si>
  <si>
    <t>● (aN) Pos. 1 Stundenkontingenterhöhung in der LP5 (ANG 2023-03-30)</t>
  </si>
  <si>
    <t>● Nachtragsleistungen aus NAT 08</t>
  </si>
  <si>
    <t>3356.04 Stufe6-LP8-Uni-Konstanz-GebA</t>
  </si>
  <si>
    <t>● (p) LP8 (Stufe 6) GL</t>
  </si>
  <si>
    <t>● (p) LP8 (Stufe 6) BL</t>
  </si>
  <si>
    <t>● Nachtragsleistungen</t>
  </si>
  <si>
    <t>3356.06 VuBBW-Uni-Konstanz-BFM-GebA</t>
  </si>
  <si>
    <t>● •  (aN) 2.2 (unsere Pos. 1) Prüfung der (technischen) gewerkübergreifenden Brandfallsteuermatrix</t>
  </si>
  <si>
    <t>● • (aN) 2.2 (unsere Pos. 1) Prüfung Brandfallsteuermatrix/ zweiter Prüflauf</t>
  </si>
  <si>
    <t>3356.07 NAT-07-BST-Uni-Konstanz-Brandlastermittlung-Eingang-GebA</t>
  </si>
  <si>
    <t>● (p) Pos.1 BSN Simulation mit dem Feldmodell Fire Dynamics Simulator (FDS)</t>
  </si>
  <si>
    <t>● (p) Pos.2 Zusätzlicher Simulationslauf</t>
  </si>
  <si>
    <t>● (p) Pos.2 (aus ANG 2024) 4.1.2 Durchführung Rauchversuch</t>
  </si>
  <si>
    <t>● (aN) Pos.3 (ANG 2025) 4.1.7 CFD Strömungs-+ Brandsimulation</t>
  </si>
  <si>
    <t>● (p) Pos.4 (ANG 2025) 4.1.8 NT Rauchversuch</t>
  </si>
  <si>
    <t>3356.08 NAT-08-Stufe6-LP8-Uni-Konstanz-GebA</t>
  </si>
  <si>
    <t>● (p) Pos.1(A) (4.1.1) Anpassung/Fortschr. BSK</t>
  </si>
  <si>
    <t>● (aN) Pos.2(B) (4.1.4) 10 Halbtagespauschalen 10 Stck.á 600€</t>
  </si>
  <si>
    <t>● (aN) Pos.2(B) (4.1.5) 10 Tagespauschalen 10 Stck. á 1.000€</t>
  </si>
  <si>
    <t>● (aN) Pos.2(B) (4.1.6) weitere Std.Beratung in der LP8 (100 h SV) 10.000 €</t>
  </si>
  <si>
    <t>● (p) Pos.5(B) (4.1.9) weitere Anpassung BSK</t>
  </si>
  <si>
    <t>● (aN) Pos.6(B) (4.1.10) Anpassung FRP</t>
  </si>
  <si>
    <t>● (aN) Pos.7(B) (4.1.11) Anpassung FWP</t>
  </si>
  <si>
    <t>3381.01 Telehouse-BSK-C1 Nutzungsänderung-EG+KG</t>
  </si>
  <si>
    <t>● (p) BSK Nutzungsänderung Geb.C 1 EG/KG</t>
  </si>
  <si>
    <t>3381.02 Telehouse-KOF-C1-UG-Kleyerstraße79-89-FFM</t>
  </si>
  <si>
    <t>● Stundensammler</t>
  </si>
  <si>
    <t>3392.03 BTB-BAB-Schillerpassage-Frankfurt</t>
  </si>
  <si>
    <t>3400 uPva-München-Marienplatz</t>
  </si>
  <si>
    <t>3400.01 uPva-München-Marienplatz-BTB+WPP</t>
  </si>
  <si>
    <t>● (a.N) NAT 04-BTB+WPP</t>
  </si>
  <si>
    <t>3400.02 NAT-BST-uPva-München-Marienplatz-Aufsichtskanzeln-MMP</t>
  </si>
  <si>
    <t>● (aN) Pos.1 BST  für die Aufsichtskanzeln d. Bahnsteigebenen MHT</t>
  </si>
  <si>
    <t>3400.03 DB-PLP-uPVA-MMP-nsFLA</t>
  </si>
  <si>
    <t>● (aN) Pos.1 Planprüfung nichtselbständiger FLA</t>
  </si>
  <si>
    <t>3400.04 DB-PHP-uPVA-MMP-VM-Bäcker-2+3UG</t>
  </si>
  <si>
    <t>● (aN) Pos.1 Planprüfung selbstätige Feuerlöschanlage</t>
  </si>
  <si>
    <t>● (p) Pos.2 Sachverständigenprüfung sFLA nach Prüfverordnung Bundesland</t>
  </si>
  <si>
    <t>● (aN) Pos.3 Mängelkontrollen</t>
  </si>
  <si>
    <t>3400.101 BST-uPva-Marienplatz-Rischart-München-Bauphasen-Bäcker-2.+3.UG</t>
  </si>
  <si>
    <t>● (p) Pos.1 BST für die Bauphasen des Neubaus der Vermarktungsflächen Bäckerei</t>
  </si>
  <si>
    <t>3401 uPva-München-Karlsplatz+Hbf</t>
  </si>
  <si>
    <t>3401.01 uPva-München-Karlsplatz-BTB+WPP</t>
  </si>
  <si>
    <t>● (a.N.) NAT 04-BTB+WPP</t>
  </si>
  <si>
    <t>3401.02 NAT-BST-uPva-München-Karlsplatz-Aufsichtskanzeln-MKA</t>
  </si>
  <si>
    <t>● (aN) Pos.1 BST für die Aufsichtskanzeln d. Bahnsteigebenen MHT</t>
  </si>
  <si>
    <t>3401.03 BST-uPva-VTE-Ost und Mitte-Karlsplatz-München</t>
  </si>
  <si>
    <t>● (p) Pos.1 BST VTE Mitte LP3</t>
  </si>
  <si>
    <t>● (p) Pos.2 BST VTE Mitte LP5</t>
  </si>
  <si>
    <t>● (p) Pos.3 BST VTE Ost LP3</t>
  </si>
  <si>
    <t>● (p) Pos.4 BST VTE Ost LP5</t>
  </si>
  <si>
    <t>3411.03 LP8-9-Spangdahlem-Neubau-DMCA</t>
  </si>
  <si>
    <t>● Prüfung der Brandfallmatrix (a.N.)</t>
  </si>
  <si>
    <t>3422.03 Zusatzleistungen-LP5+8-Sana-Krankenhaus-Biberach-Neubau</t>
  </si>
  <si>
    <t>3432.01 LP5-9-Friedrichsring-35-Offenbach-Bundesmonopolverwaltung</t>
  </si>
  <si>
    <t>3432.02 FRP-FWP-Friedrichsring-35-Offenbach-Bundesmonopolverwaltung</t>
  </si>
  <si>
    <t>● (p) Pos.1 Erstellen von Feuerwehrplänen</t>
  </si>
  <si>
    <t>● (p) Pos.2 Erstellen von Flucht- und Rettungsplänen</t>
  </si>
  <si>
    <t>3432.03 BTB-Friedrichsring-35-Offenbach-Bundesmonopolverwaltung-BSK</t>
  </si>
  <si>
    <t>● (aN) Pos.1 BTB für Bauantrag/Nutzungsänderung</t>
  </si>
  <si>
    <t>● (p) Pos.2 Fortschr.- BSK für Bauantrag/Nutzungsänderung 3.OG</t>
  </si>
  <si>
    <t>3433.02 Fortschr-BSK-2017-Bahnhof Böblingen</t>
  </si>
  <si>
    <t>3741.02 BSB-2024-2025-Gutleutstraße 191-Frankfurt</t>
  </si>
  <si>
    <t>● (a.N.) Brandschutzbeauftragter 10/2023-09/2024</t>
  </si>
  <si>
    <t>3741.04  BSB-2025-2026-Gutleutstraße 191-Frankfurt</t>
  </si>
  <si>
    <t>3749.07 AHO-Karl-Mayer-Quartier-Obertshausen</t>
  </si>
  <si>
    <t>● (p) Pos./Stufe 1</t>
  </si>
  <si>
    <t>● (p) Pos.1 LP 2</t>
  </si>
  <si>
    <t>● (p) Pos.2 LP 3</t>
  </si>
  <si>
    <t>● (p) Pos.3 LP 4</t>
  </si>
  <si>
    <t>3757.05 Fortschr-BSK-Geb-A93-MAN-Nürnberg</t>
  </si>
  <si>
    <t>● Fortschr. BSK (pauschal)</t>
  </si>
  <si>
    <t>● Abstimmungen PrüfSV + weitere Anp. BSK (auf Nachweis)</t>
  </si>
  <si>
    <t>3757.06 MAN-BAB-GebA93-Vogelweiherstr33-Nürnberg</t>
  </si>
  <si>
    <t>● (aN) LP 8 Objektüberwachung</t>
  </si>
  <si>
    <t>3767.10 BST-Klosterstraße-15-Stadtgalerie-Koenigstein-Haus-1-EG-1.OG</t>
  </si>
  <si>
    <t>● (p) Pos.1 Erstellung BST zum Bauantrag</t>
  </si>
  <si>
    <t>● (a.N.) Pos.2 BAB</t>
  </si>
  <si>
    <t>3767.11 FWP-FRP-Klosterstraße-15a-b-Koenigstein</t>
  </si>
  <si>
    <t>● (p) Pos.1 FWP</t>
  </si>
  <si>
    <t>● (p) Pos.2 FRP</t>
  </si>
  <si>
    <t>3767.12 BSK-Klosterstraße-15-Stadtgalerie-Koenigstein</t>
  </si>
  <si>
    <t>● (p) Pos.1 Fortschreibung Brandschutzkonzept</t>
  </si>
  <si>
    <t>● (a.N.) Beratung</t>
  </si>
  <si>
    <t>3785.09 BSK-Mainzer-Landstraße-681-Frankfurt-toom-Baumarkt</t>
  </si>
  <si>
    <t>● NAT 24-09-10</t>
  </si>
  <si>
    <t>3785.10 FWP-Mainzer-Landstraße-681-Frankfurt-toomBaumarkt</t>
  </si>
  <si>
    <t>● (p) Pos.1 Erstellung FWP ohne Objektbegehung für EG inkl. Lageplan</t>
  </si>
  <si>
    <t>3785.11 BTB-Mainzer-Landstraße-681-Frankfurt-toomBaumarkt</t>
  </si>
  <si>
    <t>● (aN) Pos.1 Brandschutztechn. Beratung Ortstermin mit Feuerwehr</t>
  </si>
  <si>
    <t>3795.09 BSK-Sparkasse-Louisenstraße-60-Bad Homburg-Fortschreibung</t>
  </si>
  <si>
    <t>● (p) Pos.1 Fortschr. BSK Anpassungen zum zeitl. Weiterbetrieb</t>
  </si>
  <si>
    <t>● (aN) Pos.2 Begehung für die Lüftungsanlage</t>
  </si>
  <si>
    <t>3869.221 Breuninger-NAT-QBS-Anp-Brandfallmatrix-Marktstr1-3-Stuttgart</t>
  </si>
  <si>
    <t>● (aN) Pos. 1 Anpassung der Brandfallsteuermatrix</t>
  </si>
  <si>
    <t>3869.23 (eh.3258.29) Breuninger-BSK-Bestandsgebäude-Marktstr1-3-Stuttgart</t>
  </si>
  <si>
    <t>● (p) Pos. 1 Erstellung eines Brandschutzkonzeptes</t>
  </si>
  <si>
    <t>● (aN) Pos. 2 Begehungstermine</t>
  </si>
  <si>
    <t>3869.24 KES-BST-1.OG-Bestandsgebäude-Marktstr1-3-Stuttgart</t>
  </si>
  <si>
    <t>● (p) Pos. 1 BST</t>
  </si>
  <si>
    <t>3869.241 KES-Blackwood-FRP-1.OG-Bestandsgebäude-Marktstr1-3-Stuttgart</t>
  </si>
  <si>
    <t>● (aN) Pos. 1 Flucht- und Rettungspläne</t>
  </si>
  <si>
    <t>3869.25 Breuninger-Brandschutzbegehung-Marktstr1-3-Stuttgart</t>
  </si>
  <si>
    <t>● (aN) Pos. 1 Brandschutzbegehung</t>
  </si>
  <si>
    <t>3870.02 BST-Interimszustand-Bonatzbau-Bahnhof-Hbf-Stuttgart-21-Rahmenvertrag</t>
  </si>
  <si>
    <t>3870.04 BSK-Container-Bonatzbau-Bahnhof-Hbf-Stuttgart-21</t>
  </si>
  <si>
    <t>3910 Verteilnetzbetreiber Rhein-Main-Neckar GmbH ./. Thorsten Schulz</t>
  </si>
  <si>
    <t>3932.06 BSN-Homburger-Landstraße-375-+Frankfurt-Brandmeldeanlage</t>
  </si>
  <si>
    <t>● (p) Pos.1 Anpassung BSN Neubew. Ausführung zum Überwachungsumfang Brandmeldeanlage</t>
  </si>
  <si>
    <t>3933.06 FRP+FWP-Philosophicum-Campus-Bockenheim-Frankfurt-The-Flag-III</t>
  </si>
  <si>
    <t>● (p) Pos.1 Erstellung FRP für EG - 8. OG, Flag III, Gräfenstr. 74-76, Ffm</t>
  </si>
  <si>
    <t>● (p) Pos.2 Erstellung FWP</t>
  </si>
  <si>
    <t>3933.07 TheFlag-III-BSO-Gräfenstraße-74-76-Frankfurt-FRP-KITA</t>
  </si>
  <si>
    <t>● (p) Pos.1 Überarbeitung der Brandschutzordnung Teil B</t>
  </si>
  <si>
    <t>3937.08 Adidas-BTB-Adi-Dassler-Str1-Herzogenaurach</t>
  </si>
  <si>
    <t>3943.08 TFD-FWP+FRP-Museum-EuropePlaza-Stockholmer-Platz1-Stuttgart</t>
  </si>
  <si>
    <t>● (p) Pos. 2 Aktual. FWP</t>
  </si>
  <si>
    <t>3943.09 TFD-FWP+FRP-PlanungsgebietA1.10.2-Europe-Plaza-Stuttgart</t>
  </si>
  <si>
    <t>● (p) Pos. 1 Aktualisieren der Feuerwehrpläne</t>
  </si>
  <si>
    <t>● (p) Pos. 2 Aktualisieren der Flucht- und Rettungspläne</t>
  </si>
  <si>
    <t>4015.14 BSK-Seedammweg-10-Bad-Homburg-Taunus-Therme</t>
  </si>
  <si>
    <t>● (aN) Erstmal nur den MLST 3100 für die SV-ler</t>
  </si>
  <si>
    <t>● (aN) Planung der Sprinkleranlage Team FLA</t>
  </si>
  <si>
    <t>4017.06 BSK-Lorscher-Straße-80-Frankfurt-Dehner</t>
  </si>
  <si>
    <t>● (p) Pos.1 Fortschr. BSK + BSP aufgrund v. Planungsänderungen</t>
  </si>
  <si>
    <t>● (aN) Pos.2 Baubegl. BTB + Qualitätsüberwachung</t>
  </si>
  <si>
    <t>4098 Fraport-RV-Revitalisierung-Geb251/252</t>
  </si>
  <si>
    <t>4114.02 RV-BTB-Haus-2-Dag-Hammarskjöld-Weg-1-5-Eschborn</t>
  </si>
  <si>
    <t>4114.03 RV-BTB-Haus-2-Dag-Hammarskjöld-Weg-1-5-Eschborn</t>
  </si>
  <si>
    <t>4123 Vogel ./. WEG Zobelstraße 12 a, Aschaffenburg - Gerichtsgutachten</t>
  </si>
  <si>
    <t>4124 Sürther-Straße-Köln-Rodenkirchen-IGS - Gerichtsgutachten</t>
  </si>
  <si>
    <t>4126 BA2-Klinikum-am-Gesundbrunnen-Heilbronn</t>
  </si>
  <si>
    <t>4126.03 LP5-BA2-Klinikum-am-Gesundbrunnen-Heilbronn</t>
  </si>
  <si>
    <t>4126.04 LP8-BA2-Klinikum-am-Gesundbrunnen-Heilbronn</t>
  </si>
  <si>
    <t>4126.041 Telluride-LP8-Bauzeitverlängerung-BA2-Klinikum-am-Gesundbrunnen-Heilbronn</t>
  </si>
  <si>
    <t>● • (aN) Pos. 2 weiterführende BAB über die Verlängerung der Bauzeit von 28 Monaten hinaus</t>
  </si>
  <si>
    <t>4126.07 FWP-2.BA-Am-Gesundbrunnen20-26-Heilbronn-SLK</t>
  </si>
  <si>
    <t>● NAT FWP</t>
  </si>
  <si>
    <t>4126.08 Fortschreibung-BSK-2BA-SLK</t>
  </si>
  <si>
    <t>● (a.N.) Fortscheibung BSK</t>
  </si>
  <si>
    <t>4126.09 SLK-Räumungskonzept-Neubau-1+2BA</t>
  </si>
  <si>
    <t>● (p) Pos.1 Erstellung Räumungskonzept</t>
  </si>
  <si>
    <t>● (a.N.) Pos.2 Räumungskonzeptpläne - Abrechnung erfolgt je Räumungskonzeptplan 560€/St. x 12St.</t>
  </si>
  <si>
    <t>● (a.N.) Pos.3 Räumungsbereichsplan - Abrechnung erfolgt je Plan 150€/St. x 85St.</t>
  </si>
  <si>
    <t>● (a.N.) Pos.4 Räumungsübersichtspläne - Abrechnung erfolgt je Plan 75€/St. x 85St.</t>
  </si>
  <si>
    <t>● (aN) Pos. 6 Zusätzliche Beratungsleistung Räumung</t>
  </si>
  <si>
    <t>4126.10 FWP-SLK-Erweiterung-Meldergruppe-501</t>
  </si>
  <si>
    <t>● (a.N.) Pos.1 erw. FWP auf die im Bestand vorh. Meldergruppe 501</t>
  </si>
  <si>
    <t>● (a.N.) Pos.2 Erw. der Rauchableitungspläne i.Verbd. mit FWP gem. Pos.1</t>
  </si>
  <si>
    <t>4131.01 BAB-Am-Freiheitsplatz-4-Hanau-Polizeidirektion</t>
  </si>
  <si>
    <t>● (aN) Pos.1 BAB und Qualitätsüberwachung</t>
  </si>
  <si>
    <t>● (aN) Pos.2 BTB - Bew. d. Führung von Gasleitungen im notwendigen Treppenraum</t>
  </si>
  <si>
    <t>4131.02 BSK-Am-Freiheitsplatz-4-Hanau-Polizeidirektion</t>
  </si>
  <si>
    <t>● (p) Pos.1 Fortschreibung BSK aufgrund v. Änderungen während der Bauausführung</t>
  </si>
  <si>
    <t>4146.15 BTB-Kleyerstraße-19-Frankfurt-Galluspark-II-Adlerwerke</t>
  </si>
  <si>
    <t>● (aN) Pos.1 BTB (09/2025)</t>
  </si>
  <si>
    <t>4146.16 BTB-Kleyerstraße-19-Frankfurt-Galluspark-II-Adlerwerke</t>
  </si>
  <si>
    <t>● (a.N.) BTB 2022</t>
  </si>
  <si>
    <t>● (a.N.) BTB 2023</t>
  </si>
  <si>
    <t>4146.161 NT05-BTB-Kleyerstraße-19-Frankfurt-Galluspark-II-Adlerwerke-Geb-D</t>
  </si>
  <si>
    <t>● (a.N.) BTB 2023 NAT 5 Geb.D (DB-Pos.00200)</t>
  </si>
  <si>
    <t>4146.162 NT01-BTB-Kleyerstraße-19-Frankfurt-Galluspark-II-Adlerwerke-Geb-E</t>
  </si>
  <si>
    <t>● (a.N.) BTB 2023 Geb.E (DB-Pos.00140)</t>
  </si>
  <si>
    <t>4146.163 NT01-BTB-Kleyerstraße-19-Frankfurt-Galluspark-II-Adlerwerke-Geb-F</t>
  </si>
  <si>
    <t>● (a.N.) BTB 2023 Geb.F (DB-Pos.00120)</t>
  </si>
  <si>
    <t>4146.164 NT01-BTB-Kleyerstraße-19-Frankfurt-Galluspark-II-Adlerwerke-Geb-G</t>
  </si>
  <si>
    <t>● (a.N.) BTB 2023 Geb.G (DB-Pos.00160)</t>
  </si>
  <si>
    <t>4146.165 NT01-BTB-Kleyerstraße-19-Frankfurt-Galluspark-II-Adlerwerke-Geb-H</t>
  </si>
  <si>
    <t>● (a.N.) BTB 2023 Geb.H (DB-Pos.00180)</t>
  </si>
  <si>
    <t>4146.22 BSK-Kleyerstraße-Frankfurt-Adlerwerke-Kälteanlagen</t>
  </si>
  <si>
    <t>● (p) Pos.1  BSK Kälteanlagen Dachflächen</t>
  </si>
  <si>
    <t>● (aN) Pos.2 Objektüberwachung</t>
  </si>
  <si>
    <t>4146.25 NAT-xx-FRP-Kleyerstraße-21+25-Adlerwerke-Umbauten-DB-Energie</t>
  </si>
  <si>
    <t>● (p) Pos.1 Aktualisierung FRP Geb. E&amp;F</t>
  </si>
  <si>
    <t>4146.28 FRP-Kleyerstraße 15,17+19-Frankfurt</t>
  </si>
  <si>
    <t>● (p) Pos.1 FRP Geb. D</t>
  </si>
  <si>
    <t>● (p) Pos.2 FRP Geb. F</t>
  </si>
  <si>
    <t>● (p) Pos.3 FRP Geb. G</t>
  </si>
  <si>
    <t>● (p) Pos.4 FRP Gallus Theater</t>
  </si>
  <si>
    <t>● (p) Pos.5 FRP Geb. H</t>
  </si>
  <si>
    <t>● (p) Pos.6 FRP TG</t>
  </si>
  <si>
    <t>● (aN) Pos.7 Bestandserfassung vor Ort für alle Geb.</t>
  </si>
  <si>
    <t>4146.29 BTB-Kleyerstraße-15,17+19-Frankfurt- Bestandsgebäude</t>
  </si>
  <si>
    <t>● (aN) Pos.1 BTB Kleyerstr. 15</t>
  </si>
  <si>
    <t>● (aN) Pos.2 BTB Kleyerstr. 17</t>
  </si>
  <si>
    <t>● (aN) Pos.3 BTB Kleyerstr. 19</t>
  </si>
  <si>
    <t>4146.30 FWP-Kleyerstraße-15,17+19-Frankfurt- Adlerwerke</t>
  </si>
  <si>
    <t>4147 HSK-Helios-Wiesbaden</t>
  </si>
  <si>
    <t>4147.06 Fortschr-BSP-HSK-Tektur-Helios-Wiesbaden</t>
  </si>
  <si>
    <t>4147.09 FWP-FRP-HSK-Helios-Wiesbaden</t>
  </si>
  <si>
    <t>● Erstellen FWP (pauschal)</t>
  </si>
  <si>
    <t>● Erstellen FRP (pauschal)</t>
  </si>
  <si>
    <t>4147.10 RGS-Helios-HSK-Wiesbaden</t>
  </si>
  <si>
    <t>● (p) RGS - Ermittlung Rauchgastemperaturen Realbrand Zwischendeckenbereich</t>
  </si>
  <si>
    <t>● (p) Pos.1 NAT RGS-Ermittl. Rauchgastemp. Realbrand Zwischendeckenbereich</t>
  </si>
  <si>
    <t>4147.11 NAT-12-BAB-FWP-HSK-Helios-Wiesbaden</t>
  </si>
  <si>
    <t>● (a.N.) NAT-BAB-Pos.1  Objektüberwachung LP 8 (Stufe 2) für 2 Monate (01+02/2024)</t>
  </si>
  <si>
    <t>● (p) Pos. 2 Mehraufwand Erstellung FWP</t>
  </si>
  <si>
    <t>● (a.N.) NAT14-BAB-Pos.1 Objektüberwachung LP 8 (Stufe 2) für 4 Monate ab 01.03.2024</t>
  </si>
  <si>
    <t>4164.13 BSB-07/24-06/25-Kleyerstraße-75-87-Telehouse</t>
  </si>
  <si>
    <t>● (a.N.) Pos.1 Verlängerung Verpflichtungsvertrag BSB 07/2023-06/2024</t>
  </si>
  <si>
    <t>4164.14 BSB-07/25-06/26-Kleyerstraße-75-87-Telehouse</t>
  </si>
  <si>
    <t>● (a.N.) Pos.1 Verlängerung Verpflichtungsvertrag BSB 07/2025-06/2026</t>
  </si>
  <si>
    <t>4167.02 Neptune-Rheinhafen-Speyer-Cluster-2</t>
  </si>
  <si>
    <t>● Beratung LP5 (auf Nachweis)</t>
  </si>
  <si>
    <t>4176.01 BAB-Kirdorfer-Straße-10-Bad-Homburg</t>
  </si>
  <si>
    <t>4183 Kleyerstraße 75-87 - Telehouse - übergeordnetes BSK</t>
  </si>
  <si>
    <t>4231.01 Fraport-RV-BSK-Fortführung-Kabelkanal</t>
  </si>
  <si>
    <t>● (aN) Pos. 1 Erstellung eines Brandschutzkonzeptes zum Bauantrag</t>
  </si>
  <si>
    <t>● (aN) Pos. 2 Baubegleitende Brandschutzberatung und Qualitätsüberwachung für die Durchführung der Baumaßnahme für o.g. Bauvorhaben/Objekt</t>
  </si>
  <si>
    <t>4237.03 Fraport-RV-QBS-BMK-Geb453</t>
  </si>
  <si>
    <t>● Brandmelde- u. Alarmierungskonzept (auf Nachweis)</t>
  </si>
  <si>
    <t>● Brandfallsteuermatrix (auf Nachweis)</t>
  </si>
  <si>
    <t>4237.05 Fraport-RV-NAT001-BAB-Geb453</t>
  </si>
  <si>
    <t>● (aN) FWP</t>
  </si>
  <si>
    <t>● (aN) FRP</t>
  </si>
  <si>
    <t>4237.06 Fraport-RV-BSK-Bauphase-Geb453</t>
  </si>
  <si>
    <t>● (p/aN?) Brandschutzkonzept Bauphase</t>
  </si>
  <si>
    <t>4237.07 BAB-DHL-NB-Geb-457-FFM</t>
  </si>
  <si>
    <t>● (p) Pos. 1 Erstellung BSN</t>
  </si>
  <si>
    <t>● (aN) BAB + KOF</t>
  </si>
  <si>
    <t>● (p) Flucht- und Rettungspläne</t>
  </si>
  <si>
    <t>4238 Max-Planck-Institut-für-Rechtswissenschaften - Gerichtsgutachten</t>
  </si>
  <si>
    <t>4249.03 Mängel-div-Geb-Am-Keltenwald-Ehningen-IBM</t>
  </si>
  <si>
    <t>4249.09 Apleona-Fortschr04-BSK-Geb10+11-IBMAllee1-Ehningen</t>
  </si>
  <si>
    <t>● (p) Pos. 1 Fortschreibung Brandschutzkonzepte Geb. 10 + 11</t>
  </si>
  <si>
    <t>● (aN) Pos. 2 Brandschutztechnische Beratung</t>
  </si>
  <si>
    <t>4249.101 Apleona-BST-Grundstückstrennung-IBM-Am-Keltenwald-Ehningen</t>
  </si>
  <si>
    <t>● (aN) Pos. 1 Zusätzl. Beratungsleistungen</t>
  </si>
  <si>
    <t>4249.11 Apleona-Fortschr-BSK-Geb15-IBMAllee1-Ehningen</t>
  </si>
  <si>
    <t>● (p) Pos. 1 BTB Geb. 15</t>
  </si>
  <si>
    <t>● (aN) Pos. 2 Fortschr. BSK</t>
  </si>
  <si>
    <t>4249.12 Apleona-BSK-Geb10+11-Am-Keltenwald-Ehningen</t>
  </si>
  <si>
    <t>● (p) Pos. 1 BTB Fortschr. BSK</t>
  </si>
  <si>
    <t>4265.01 Beratung-Rathausplatz-1-Bad-Homburg-Rathaus</t>
  </si>
  <si>
    <t>4265.06 BSB-2024/2025-Rathausplatz-1-Bad Homburg</t>
  </si>
  <si>
    <t>● (a.N.) BSB 10/2024-09/2025 (3. Jahr)</t>
  </si>
  <si>
    <t>4265.07 BTB-Rathausplatz1-Bad Homburg-2.OG</t>
  </si>
  <si>
    <t>● (aN) Pos.1 BTB + Anp. ganzheitl. BSK BM „Umbau im Erschließungsbereich am Kern 2 im 2. OG'</t>
  </si>
  <si>
    <t>4265.08 BSB-2025/2026-Rathausplatz-1-Bad Homburg</t>
  </si>
  <si>
    <t>● (a.N.) BSB 10/2025-09/2026 (4. Jahr)</t>
  </si>
  <si>
    <t>4278.01 Fraport-RV-LP5+8-Geb394</t>
  </si>
  <si>
    <t>4278.02 Fraport-RV-NAT2-Brandmeldekonzept-FWP-FuR-Geb394</t>
  </si>
  <si>
    <t>● • (a.N.) Erstellung Brandmeldeanlagenkonzeptes / Brandfallsteuermatrix</t>
  </si>
  <si>
    <t>● • (p.) FWP (NK entf.)</t>
  </si>
  <si>
    <t>● • (p.) FuR (NK entf.)</t>
  </si>
  <si>
    <t>4278.03 Fraport-RV-NAT3-Fort.BSK-Geb394</t>
  </si>
  <si>
    <t>● (p) Pos. 1 Fortschreibung eines Brandschutzkonzeptes</t>
  </si>
  <si>
    <t>4296.04 Anp.BSK-Ben-Gurion-Ring-110a-Frankfurt-Flüchtlingswohnheim</t>
  </si>
  <si>
    <t>● (p) Pos.1 - Anpassung Brandschutzkonzept</t>
  </si>
  <si>
    <t>● (a.N.) Pos.2 - Baubegl. Brandschutzberatung + Qualitätsüberwachung f.d. Durchführung d. BM</t>
  </si>
  <si>
    <t>4303.01 BTB-Alexanderstr-63-65-Niddagaustr-54-Ffm</t>
  </si>
  <si>
    <t>● (aN) Pos.1 BTB- Prüfung + Begutachtung d. aktuellen Zustands d. Brandschutzanstrichs</t>
  </si>
  <si>
    <t>● (aN) Pos.2 BTB</t>
  </si>
  <si>
    <t>4306.03 Feuer&amp;Rauch2023;</t>
  </si>
  <si>
    <t>4306.04 Feuer&amp;Rauch; 2024</t>
  </si>
  <si>
    <t>4320.06 LP5-9+4+8-Ludwig-Erhard-Anlage-2-8-Frankfurt</t>
  </si>
  <si>
    <t>● LP 4 Fortschreibung BSK/Pläne (a.N)</t>
  </si>
  <si>
    <t>4320.09 LEA-NAT11-BAB-LP8-AHO-BT-ABC-FFM</t>
  </si>
  <si>
    <t>● (aN) NAT 011 / Pos. 1 LPH 8 Objektüberwachung BL Nivau 2 d. AHO BT A+B+C</t>
  </si>
  <si>
    <t>4340.07 FWP-DLZ1-Mainzer-Landstraße-151-Frankfurt</t>
  </si>
  <si>
    <t>● (p) Pos.1 Aktualisierung FWP DLZ 1</t>
  </si>
  <si>
    <t>● (p) Pos.2 Übersendung d. Plandateoien im PDF+DWG-Format</t>
  </si>
  <si>
    <t>4346.01 BTB-BMA-Bahnhof-Hbf-Heidelberg</t>
  </si>
  <si>
    <t>4346.05 BST-BMA+Anp-BSK-Bahnhof-Hbf-Heidelberg</t>
  </si>
  <si>
    <t>● BST BMA (pauschal)</t>
  </si>
  <si>
    <t>● Ergänzung ganzheitl. BSK (pauschal)</t>
  </si>
  <si>
    <t>4348 Wingertstraße-21-23-Frankfurt</t>
  </si>
  <si>
    <t>4350 Opernplatz-1-Frankfurt-Alte-Oper</t>
  </si>
  <si>
    <t>4350.06 QBS-Opernplatz-1-Frankfurt-Alte-Oper</t>
  </si>
  <si>
    <t>4350.11 BSK-Bauphase-BA1-Opernplatz-1-Frankfurt-Alte-Oper</t>
  </si>
  <si>
    <t>4350.16 Pläne-Opernplatz-1-Frankfurt-Alte-Oper</t>
  </si>
  <si>
    <t>● (p) Pos.1, 2.Absatz Plananpassung inkl. Abstimmung+Ausdruck  150 €/Plan</t>
  </si>
  <si>
    <t>● (p) Pos.2, 2. Absatz FRP Anpassung pro Geschoss inkl. Abstimmung  500 €/Plan</t>
  </si>
  <si>
    <t>4350.17 BTB-Opernplatz-1-Frankfurt-Alte-Oper</t>
  </si>
  <si>
    <t>● Beratung Bestuhlungs-+Möblierungspläne (auf Nachweis)</t>
  </si>
  <si>
    <t>● Erstellen Bestuhlungspläne (auf Nachweis)</t>
  </si>
  <si>
    <t>4368.05 BTB-Betrieb-Wilhelm-Epstein-Straße-14-Frankfurt-Bundesbank-Haupthaus</t>
  </si>
  <si>
    <t>4368.07 BTB-Instandhaltung-Wilhelm-Epstein-Straße-14-Frankfurt-Bundesbank-Haupthaus</t>
  </si>
  <si>
    <t>4368.09 BTB-Deutsche-Bundesbank-Wilhelm-Epstein-Straße-14-Frankfurt</t>
  </si>
  <si>
    <t>4368.10 DtBundesbank-BTB-Wilhelm-Epstein-Str14-Frankfurt</t>
  </si>
  <si>
    <t>● (aN) Pos. 1 Beratungsleistung Sprinkleranlage</t>
  </si>
  <si>
    <t>4374.04 CB-tec-Revision-BSO-FRP-FWP-Gutenbergstr12-Ungerhausen</t>
  </si>
  <si>
    <t>● (aN) Pos. 1 Ortstermin und Sichtung der vorhandenen Unterlagen</t>
  </si>
  <si>
    <t>● (aN) Pos. 2 Revision der Feuerwehrpläne</t>
  </si>
  <si>
    <t>● (aN) Pos. 3 Revision der Flucht- und Rettungspläne</t>
  </si>
  <si>
    <t>● (aN) Pos. 4 Revision der Brandschutzordnung</t>
  </si>
  <si>
    <t>● (aN) Pos. 5 Optional: Zusätzliche Beratungsleistungen auf Nachweis</t>
  </si>
  <si>
    <t>4378.01 Brandfallmatrix-Schwannstraße-10-Düsseldorf</t>
  </si>
  <si>
    <t>4386.06 BA1-BSK-Krankenhausstraße-70-Pfaffenhofen-Ilmtalklinik</t>
  </si>
  <si>
    <t>● (aN) Pos.3 - Beratungsleistung über Meilenstein 8000: 20 h SV á 95€</t>
  </si>
  <si>
    <t>● (aN) Pos.3 -Zeichenleistungen über Meilenstein 8000:  5 h CAD á 70€</t>
  </si>
  <si>
    <t>4386.07 BA2-5-BSK-Krankenhausstraße-70-Pfaffenhofen-Ilmtalklinik</t>
  </si>
  <si>
    <t>● (aN) Pos.3 - Beratungsleistung über Meilenstein 8000</t>
  </si>
  <si>
    <t>● (aN) Pos.3 - Zeichenleistungen über Meilenstein 8000</t>
  </si>
  <si>
    <t>4386.08 OrgBSK-Krankenhausstraße-70-Pfaffenhofen-Ilmtalklinik</t>
  </si>
  <si>
    <t>● (aN) NAT 01</t>
  </si>
  <si>
    <t>4399.01 Hugo-Boss-AHO-NeubauH2-Dieselstr12-Metzingen</t>
  </si>
  <si>
    <t>● Stufe I</t>
  </si>
  <si>
    <t>● Stufe II</t>
  </si>
  <si>
    <t>4399.02 blocher-FortschrBSK-Hugo-Boss-H2-NB-Verwaltungsgeb-Dieselstr12-Metzingen</t>
  </si>
  <si>
    <t>● (aN) Pos. 1 Fortschreibung Brandschutzkonzept</t>
  </si>
  <si>
    <t>4399.03 blocher-QBS-Hugo-Boss-Dieselstr12-Metzingen</t>
  </si>
  <si>
    <t>● (p)Pos. 1 Qualitative Brandfallsteuermatrix</t>
  </si>
  <si>
    <t>● (p) Pos. 2 Feuerlöscherberechnung (SV)</t>
  </si>
  <si>
    <t>4420.01 BTB-Container-Uhlandshöhe-Stuttgart-Freie-Waldorfschule-Oberstufenneubau</t>
  </si>
  <si>
    <t>4420.02 BSO-Pläne-Uhlandshöhe-Stuttgart-Freie-Waldorfschule-Oberstufenneubau</t>
  </si>
  <si>
    <t>4420.05 VffSchlwesen-Waldorfschule-Uhlandshöhe-Haußmannstr44-Stuttgart-Mittagshaus</t>
  </si>
  <si>
    <t>● (p) Pos. 1 Erstellung Brandschutzkonzept</t>
  </si>
  <si>
    <t>● (aN) Pos. 2 Abstimmungstermine mit den Genehmigungsbehörden</t>
  </si>
  <si>
    <t>● (p) Pos. 1 Nachtrag zur Erstellung der Brandschutzpläne (NAT 24-08-26)</t>
  </si>
  <si>
    <t>4427.051 BTB-NAT-01-Rahmenplan-Sana-Klinikum-Offenbach</t>
  </si>
  <si>
    <t>● (aN) Pos.1 NAT 01 BTB</t>
  </si>
  <si>
    <t>4427.16 AHO-SOF-Psych</t>
  </si>
  <si>
    <t>● (p) LP 2 GL</t>
  </si>
  <si>
    <t>● (p) LP 3 GL</t>
  </si>
  <si>
    <t>● (p) LP 4 GL</t>
  </si>
  <si>
    <t>● (p) LP 5 GL</t>
  </si>
  <si>
    <t>● (p) LP 8 GL</t>
  </si>
  <si>
    <t>● (p) LP 9 BL</t>
  </si>
  <si>
    <t>● (p) NA7/LP5 Brandfallsteuermatrix</t>
  </si>
  <si>
    <t>4427.18 BTB-SOF-BMA+Alarmierung</t>
  </si>
  <si>
    <t>● (a.N.) Pos.1-Erst. brandschutztechn. Stellungn. Alarmierungsanlage</t>
  </si>
  <si>
    <t>● (a.N.) Pos.2-Erst. brandschutztechn. Stellungn. Brandmeldeanlage</t>
  </si>
  <si>
    <t>4427.20 BTB-SOF-Interims-Rettungswache</t>
  </si>
  <si>
    <t>● (aN) Pos. 1 BTB und Fortschreibung BSN</t>
  </si>
  <si>
    <t>4433.01 Geb.A-Hochschule-Ludwigshafen-LP5-8</t>
  </si>
  <si>
    <t>4436.04 BTB Krankenhaus-Bergstraße-Viernheimer-Straße-2-Heppenheim</t>
  </si>
  <si>
    <t>● AHO Grundleistungen LP 1</t>
  </si>
  <si>
    <t>● AHO Grundleistungen LP 2</t>
  </si>
  <si>
    <t>● AHO Grundleistungen LP 3</t>
  </si>
  <si>
    <t>● AHO Grundleistungen LP 4</t>
  </si>
  <si>
    <t>● AHO Grundleistungen LP 5</t>
  </si>
  <si>
    <t>● AHO besondere Lstg. LP 5</t>
  </si>
  <si>
    <t>● AHO Grundleistungen LP 8</t>
  </si>
  <si>
    <t>4436.041 BTB-NAT-02-KKH-Bergstraße-Viernheimer-Straße-2-Heppenheim-Bauphase</t>
  </si>
  <si>
    <t>● (p) Pos.1 Erst. BAB für Bauphase für Bauteil G</t>
  </si>
  <si>
    <t>● (p) Pos.2 Erst. BSK für Bauphase für Bauteil J</t>
  </si>
  <si>
    <t>● (aN) Pos.3 BTB + Abstimmung mit Behörden zu Brandschutzmaßnahmen i.d. Bauphase Bautei G+J</t>
  </si>
  <si>
    <t>4436.042 NA001-BSP-Krankenhaus-Bergstraße-Viernheimer-Straße-2-Heppenheim</t>
  </si>
  <si>
    <t>● (p) Pos.1 Brandschutzpläne für die Bauphase</t>
  </si>
  <si>
    <t>4436.043 FWP-NA003-KKH-Bergstraße-Viernheimer-Straße-2-Heppenheim-Bauphase+NB-BauteilG</t>
  </si>
  <si>
    <t>● (p) Pos.1 FWP für Baustelle während der Abbrucharbeiten</t>
  </si>
  <si>
    <t>● (p) Pos.2 FWP für Baustelle während der Neubauarbeiten Bauteil G</t>
  </si>
  <si>
    <t>● (p) Pos.3 FWP für den finalen Stand</t>
  </si>
  <si>
    <t>● (aN) Pos.4 Begehung mit Bestandsaufnahme</t>
  </si>
  <si>
    <t>4436.044 NAT-04-RMK-KKH-Bergstraße-Viernheimer-Straße-2-Heppenheim</t>
  </si>
  <si>
    <t>● (aN) Pos.1 Erstellung RMK</t>
  </si>
  <si>
    <t>4443.06 BTB-Kaiser-Wilhelms-Bad-Bad-Homburg-Leitungsverlegung</t>
  </si>
  <si>
    <t>● (aN) Pos.1 BTB - Thematik Bewertung der Leitungsverlegung innerhalb von Rettungswegen</t>
  </si>
  <si>
    <t>4444 2015-SWM-U-Bahnhof-Sendlinger-Tor</t>
  </si>
  <si>
    <t>● Brandschutzakte</t>
  </si>
  <si>
    <t>4444.02 SWM-NAT-BTB-UBhf-Sendlinger-Tor-München</t>
  </si>
  <si>
    <t>● (aN) BTB + Objektüberwachung (Pos. 1)</t>
  </si>
  <si>
    <t>● (p) BST (Pos. 2)</t>
  </si>
  <si>
    <t>● (p) Fortschr. BSK (Pos. 3)</t>
  </si>
  <si>
    <t>● (p) Anpassung Pläne (Pos. 4)</t>
  </si>
  <si>
    <t>● (aN) NAT 02 - Nachtarbeit frü Teile der Objektüberwachung</t>
  </si>
  <si>
    <t>4453 Kreisklinik-Groß-Umstadt-Neubau-Bettenhaus</t>
  </si>
  <si>
    <t>● (aN) 1000-Grundlagenermittlung</t>
  </si>
  <si>
    <t>● (aN)  2000-Vorplanung</t>
  </si>
  <si>
    <t>● (aN)  3000-Entwurfsplanung</t>
  </si>
  <si>
    <t>● (aN)  4000-Genehmigungsplanung</t>
  </si>
  <si>
    <t>● (aN)  5000-Ausführungsplanung</t>
  </si>
  <si>
    <t>● (aN)  8000-Objektüberwachung</t>
  </si>
  <si>
    <t>4453.001 Kreisklinik-Groß-Umstadt-Erw-LP8-Neubau-Bettenhaus</t>
  </si>
  <si>
    <t>● Beauftragung offen: (aN) Erw. LP 8 GUKK Bauzeitverlängerung</t>
  </si>
  <si>
    <t>4453.12 GUKK-Matrix-Kreisklinik-Groß-Umstadt-Altbestand</t>
  </si>
  <si>
    <t>● (a.N.) Brandfallsteuermatrix Altbestand</t>
  </si>
  <si>
    <t>4453.13 NAT-16-FWP-Bettenhaus-Kreisklinik-Groß-Umstadt</t>
  </si>
  <si>
    <t>● (p) Pos.1 - FWP Neubau Bettenhaus</t>
  </si>
  <si>
    <t>● (a.N.) Pos.2 - Anpassung FWP Bestand</t>
  </si>
  <si>
    <t>● (p) Pos.3 - FRP Neubau Bettenhaus</t>
  </si>
  <si>
    <t>● (a.N.) Pos.4 - Anpassung Übersichtspläne Bestand</t>
  </si>
  <si>
    <t>4453.14 BTB-GUKK-HKL-Bauteil-B-Kreisklinik-Groß-Umstadt</t>
  </si>
  <si>
    <t>● (a.N.) Pos.1 Erstellung brandschutztechn. Stellungnahme</t>
  </si>
  <si>
    <t>● (aN) Pos.2 (NAT) BTB während der Ausführungsphase</t>
  </si>
  <si>
    <t>4477.01 Geb-B-Hochschule-Ludwigshafen-LP5-8</t>
  </si>
  <si>
    <t>4478.01 Geb-C-Hochschule-Ludwigshafen-LP5-8</t>
  </si>
  <si>
    <t>● (aN) Begehungen zusätzlich</t>
  </si>
  <si>
    <t>4478.02 LBB-GebC-LP9-FRP-FWP-Hochschule-Ludwigshafen</t>
  </si>
  <si>
    <t>● LP 9 Objektbetreuung und Dokumentation</t>
  </si>
  <si>
    <t>4546.06 Mössnang-BSK-ACS-Gruma-FriedbergDerching</t>
  </si>
  <si>
    <t>● (p) Pos. 1 Erstellung Fortschr. BSK</t>
  </si>
  <si>
    <t>● (aN) Pos. 2 BAB und QÜ f.d. Durchführung d. Baumaßnahme</t>
  </si>
  <si>
    <t>4547.04 KIT-BSK-EnergyLab-Bau668-Hermann von Helmholtz-Platz1-Eggenstein-Leopoldshafen</t>
  </si>
  <si>
    <t>● (p) Pos. 1 Anpassung eines Brandschutzkonzeptes</t>
  </si>
  <si>
    <t>● Pos. 2 Optional: Anpassung der Flucht-und Rettungswegepläne</t>
  </si>
  <si>
    <t>4555 NWZ-Frankfurt-Hanselmann./.Nordtrakt</t>
  </si>
  <si>
    <t>4563.04 GemLinsengericht-FRP-Thalstr-Bürgersaal-Eidengesäß</t>
  </si>
  <si>
    <t>● (p) Pos. 2 Erstellung der Flucht- und Rettungspläne</t>
  </si>
  <si>
    <t>4566.12 BSK-Ostring-23-Mainhausen</t>
  </si>
  <si>
    <t>4566.13 BSK-Fortschr1-Ostring-23-Mainhausen</t>
  </si>
  <si>
    <t>● (p) Pos.1 1. Fortschreibung BSK (2 Termine digital)</t>
  </si>
  <si>
    <t>4570 PÜZ-Akquise</t>
  </si>
  <si>
    <t>4576.03 FWP-Jean-Weipert-Str-3-Offenbach</t>
  </si>
  <si>
    <t>● (p) Pos. 1 Erstellung FWP (62h CAD / 2h Sonstige)</t>
  </si>
  <si>
    <t>4578 T3-FLA-LP5-LP6-LP7-ab 04/2019</t>
  </si>
  <si>
    <t>● Wiederholung für 2. Änderungs-VU</t>
  </si>
  <si>
    <t>4578.01 T3-FLA-Leistungen-außerhalb-LP5-8-Fraport-T3</t>
  </si>
  <si>
    <t>4578.03 T3-FLA-LP5</t>
  </si>
  <si>
    <t>● • NAT Feuerlöschtechnik NA110a LP5 (Geb. 600/601/602)</t>
  </si>
  <si>
    <t>4578.100 T3-FLA-Mieterausbau</t>
  </si>
  <si>
    <t>● • Miko_0002 Trennwände Airline Lounges</t>
  </si>
  <si>
    <t>● • Miko_0016 Mieterwunsch zur Umsetzung der gewünschten Position Humidor</t>
  </si>
  <si>
    <t>● • Miko_0035.1 Konsolidierte Deckenspiegelplanung</t>
  </si>
  <si>
    <t>● • Miko_0035.2_DSP_12Flächen</t>
  </si>
  <si>
    <t>● • Miko_0035.2_DSP_42Flächen</t>
  </si>
  <si>
    <t>4578.200 T3-FLA-Mieterausbau-Objektüberwachung-Sprinkleranpassungen</t>
  </si>
  <si>
    <t>● • (aN) Pos. 1 Objektüberwachung Mieterausbau Sprinkleranpassungen</t>
  </si>
  <si>
    <t>4582.02 BSO+Pläne-IC-L-MAN-Nürnberg-Prüfstandsgebäude-A100</t>
  </si>
  <si>
    <t>4634.02 FWP-Deutschherrnufer-43+44-Ffm-KiTa</t>
  </si>
  <si>
    <t>● (p) Pos.1 Erstellung FWP inkl. Objektbegehung</t>
  </si>
  <si>
    <t>● (p) Pos.1 digitalisierung v. Planunterlagen DWG-Pläne</t>
  </si>
  <si>
    <t>4642.01 BTB-An-der-Stadtmauer-6-Kronberg</t>
  </si>
  <si>
    <t>4651.04 Fraport-RV-BST-Geb117</t>
  </si>
  <si>
    <t>●  (aN) Pos. 1 Erstellung einer Brandschutztechnischen Stellungnahme</t>
  </si>
  <si>
    <t>4652.02 Fraport-RV-Feuerwache2-LP8</t>
  </si>
  <si>
    <t>● (aN) LP8 BAB + Qualitätsüberwachung f.d. Durchführung d. Baumaßnahme</t>
  </si>
  <si>
    <t>4657.08 BSK-Umspannanlage-Lyoner-Straße-22-ADAC-Frankfurt</t>
  </si>
  <si>
    <t>● (p.) BSK</t>
  </si>
  <si>
    <t>4657.09 ADAC-FWP-Fahrsicherheitszentrum-Gründau+LyonerStr-22-Frankfurt</t>
  </si>
  <si>
    <t>● (aN) Pos. 1 Prüfung Feuerwehrpläne Lyoner Str. 22</t>
  </si>
  <si>
    <t>● (aN) Pos. 2 Prüfung Feuerwehrpläne Fahrsicherheitszentrum RheinMain (Gründau)</t>
  </si>
  <si>
    <t>● (aN) Erstellen od. Prüfen FWP (ANG per eMail 24-12-03)</t>
  </si>
  <si>
    <t>● (aN) Erstellen od. Prüfen FRP (ANG per eMail 24-12-03)</t>
  </si>
  <si>
    <t>4677 Paul-Ehrlich-Straße-29-Langen-Umweltbundesamt-1.OG-Südflügel</t>
  </si>
  <si>
    <t>● BST+Maßnahmenliste gesamt</t>
  </si>
  <si>
    <t>4677.04 FWP-Paul-Ehrlich-Straße-29-Langen-Umweltbundesamt</t>
  </si>
  <si>
    <t>● (p) Pos.1 Revision FWP Umweltbundesamt, Langen</t>
  </si>
  <si>
    <t>4698.11 Geb-A-Medienkanal-Kleyerstraße-88-90-Frankfurt-Equinix</t>
  </si>
  <si>
    <t>4698.177 BTB-Rebstöckerstr-25-31-Kleyerstr-88-90-Frankfurt-ITENOS-FRA1-Geb-B-UG</t>
  </si>
  <si>
    <t>● (a.N.) Pos.1 BTB Geb. B Untergeschoss</t>
  </si>
  <si>
    <t>4698.20 IBX-Bereiche-FR-5-Kleyerstraße-88-90-Frankfurt-Equinix</t>
  </si>
  <si>
    <t>4698.31 QBS-FR-5-Kleyerstraße-88-90-Frankfurt-Equinix</t>
  </si>
  <si>
    <t>4698.37 Main-Works-FR-5-5-Kleyerstraße-88-90-Frankfurt-Equinix</t>
  </si>
  <si>
    <t>● Beratung + Baubegleitung (auf Nachweis)</t>
  </si>
  <si>
    <t>● Anpassung BSK (pauschal)</t>
  </si>
  <si>
    <t>● Pläne + Ausstattung Feuerlöscher (pauschal)</t>
  </si>
  <si>
    <t>4698.41 KOF-Kleyerstraße-88-90-Frankfurt-Equinix-FR5-Mülleinhausungen</t>
  </si>
  <si>
    <t>● (p) Pos.1 Erstellung Konformitätsbescheinigung FR5 Mülleinhausung</t>
  </si>
  <si>
    <t>4698.43 BTB-Kleyerstraße-Frankfurt-FR5.6</t>
  </si>
  <si>
    <t>● (p) Pos.1 BTB FR 5.6 Gebäude 4. &amp; 5. OG, MIB RIBA 2</t>
  </si>
  <si>
    <t>● (p) Pos.2 Erstellung BSK FR5.6</t>
  </si>
  <si>
    <t>4698.44 BSK-Kleyerstraße-88-90-Frankfurt-Equinix-Fortschreibung-BSK</t>
  </si>
  <si>
    <t>● (p) Pos.1 Fortschreibung BSK für Gebäude FR5 A, B + C + TG</t>
  </si>
  <si>
    <t>● (aN) Pos.2 Beratungslstg. in Planungsphase</t>
  </si>
  <si>
    <t>● (aN) Pos.1 BTB im Jahr 2025</t>
  </si>
  <si>
    <t>● (p) Pos.2 FR 5 Fire protection concept</t>
  </si>
  <si>
    <t>● (p) Pos.3 Brandschutzdienstleistungen (Lstg. wurde bereits erbracht (R25-02-19-10-213))</t>
  </si>
  <si>
    <t>● (p) Pos.4 Fortschreibung BSK für d.Geb. FR5 A, B + C TG</t>
  </si>
  <si>
    <t>● (aN) Pos.5 Beratungsleistung in der Planungsphase</t>
  </si>
  <si>
    <t>● (aN) Pos.6 Schlussbescheinigung FR5.5 3.OG ELT Raum</t>
  </si>
  <si>
    <t>4698.45 Deerns-BST-Kleyerstraße-88-90Frankfurt-FR5.6</t>
  </si>
  <si>
    <t>● (aN) Pos.1 BTB FR 5.6</t>
  </si>
  <si>
    <t>● (p) Pos.2 Erstellung eines Brandschutzkonzeptes FR5.6</t>
  </si>
  <si>
    <t>● (p) Pos.3 Erstellen einer Simulation für die Ventilatoren im KG</t>
  </si>
  <si>
    <t>4698.46 Deerns-BSK-Kleyerstraße-88-90-Frankfurt-DZ-Equinix+DZ-Equinix-4.OG+5.OG</t>
  </si>
  <si>
    <t>● (p) Pos.1 Erstellen BSK für Datenzentrum Equinix</t>
  </si>
  <si>
    <t>● (p) Pos.1 Fortschr. BSK DZ Equinix für 4.OG + 5. OG</t>
  </si>
  <si>
    <t>4739 öcotronic-GmbH./.Alban-Technische-Anlagen-GmbH</t>
  </si>
  <si>
    <t>4748.04 NAT-FRP-Ferdinandsplatz-Bad-Homburg-Englische-Kirche</t>
  </si>
  <si>
    <t>● (p) Pos.1 Aktualisierung FRP</t>
  </si>
  <si>
    <t>4754 Aumühlenstraße-1b-Oberursel</t>
  </si>
  <si>
    <t>4762.02 BTB-Hauptstraße-11-Winterrieden-Turn-Festhalle</t>
  </si>
  <si>
    <t>● Beratung Ausführungsphase (auf Nachweis)</t>
  </si>
  <si>
    <t>4762.03 GemWinterrieden-Turnhalle-HauptStr11a-Winterrieden</t>
  </si>
  <si>
    <t>● (aN) Pos. 1 Erstellung einer BST zur vorzeitigen Inbetriebnahme</t>
  </si>
  <si>
    <t>● (aN) Pos. 2 Anpassung bzw. Erstellung Brandschutzpläne</t>
  </si>
  <si>
    <t>● (aN) Pos. 3 BTB + baubegl. Qualitätsüberw. f. d. Durchführung d. Baumaßnahme</t>
  </si>
  <si>
    <t>4768 U-Bahn-Tunnel-Ludwigshafen</t>
  </si>
  <si>
    <t>4768.01 Brandschutzdienstleistungen-U-Bahn-Tunnel-Ludwigshafen</t>
  </si>
  <si>
    <t>●  (a.N.) Teilnahme Abstimmungstermine + Besprechungstermine</t>
  </si>
  <si>
    <t>● (p.) Evakuierungskonzept</t>
  </si>
  <si>
    <t>● (p.) BSO</t>
  </si>
  <si>
    <t>● (p.) FWP</t>
  </si>
  <si>
    <t>4777.01 BSK-Bruchwiesenstraße 30-32-Ludwigshafen</t>
  </si>
  <si>
    <t>4786.01 Fraport-RV-FWP-Geb147</t>
  </si>
  <si>
    <t>4786.02 Fraport-RV-LP5+8-GK4-Geb147</t>
  </si>
  <si>
    <t>● (a.N) LP 5 Ausführungsplanung</t>
  </si>
  <si>
    <t>● (a.N) LP 8 Objektüberwachung</t>
  </si>
  <si>
    <t>4786.03 Fraport-RV-BSK-Bauphase-Geb147</t>
  </si>
  <si>
    <t>● (aN) Pos. 1 Erstellung Brandschutzkonzept für die Bauphase</t>
  </si>
  <si>
    <t>● (aN) Pos. 2 Erstellung Baustelleneinsatzpläne</t>
  </si>
  <si>
    <t>4787 Hallenmanagement-Langen-GmbH./.Ed.Züblin-AG</t>
  </si>
  <si>
    <t>4808 Abschnitt-II+III-Mainzer-Straße-29-Wiesbaden-HZD</t>
  </si>
  <si>
    <t>4808.01 Abschnitt-I-Mainzer-Straße-29-Wiesbaden-HZD</t>
  </si>
  <si>
    <t>● Tekturthemen</t>
  </si>
  <si>
    <t>4808.06 LP5-BL-Abschnitt-I-Mainzer-Straße-29-Wiesbaden-HZD</t>
  </si>
  <si>
    <t>4808.13 Erweiterung-LP5+8-Abschnitt-II+III-Mainzer-Straße-29-Wiesbaden-HZD</t>
  </si>
  <si>
    <t>● 2.1.1 weiterführende Ausführungsplanung LP5 Abschnitt II (pauschal)</t>
  </si>
  <si>
    <t>● 2.1.2 zusätzl. Leistungen LP5 Abschnitt II+III (auf Nachweis)</t>
  </si>
  <si>
    <t>● 2.1.3 besondere Leistungen in LP5 Abschnitt II+III (auf Nachweis)</t>
  </si>
  <si>
    <t>● 2.1.4 Sammlung Tekturthemen Abschnitt II+III (auf Nachweis)</t>
  </si>
  <si>
    <t>4808.14 BST-Mainzer-Straße-29-Wiesbaden-HZD</t>
  </si>
  <si>
    <t>● (aN) Pos.1 BTB f. Sofortmaßnahmen II aus BSK</t>
  </si>
  <si>
    <t>● (p) Pos.2 BST f. Sofortmaßnahmen II aus BSK</t>
  </si>
  <si>
    <t>4809.03 Beos-BTB-HöchsterStr70-98-Liederbach</t>
  </si>
  <si>
    <t>● (aN) Pos. 1 Brandschutztechnische Beratungsleistungen</t>
  </si>
  <si>
    <t>4809.04 LMG-BSK-HöchsterStr70-98-Liederbach-HalleA</t>
  </si>
  <si>
    <t>● (p) Brandschutzkonzept</t>
  </si>
  <si>
    <t>4823.02 LP5+8-Maibachstraße-Dillenburg-Umnutzung</t>
  </si>
  <si>
    <t>4823.07 Fortschr-BSK-KiTa-OG2-Maibachstraße-Dillenburg-Umnutzung</t>
  </si>
  <si>
    <t>● Brandschutztechn. Beratung und Objektüberwachung (auf Nachweis)</t>
  </si>
  <si>
    <t>● Fortschr. BSK KiTa OG2 (pauschal)</t>
  </si>
  <si>
    <t>4833.04 VDE-FWP-FRP-Merianstr28-Offenbach-Geb-F2+T+R+N</t>
  </si>
  <si>
    <t>● (p) Pos.1 Anpassung FWP f. Geb. F2</t>
  </si>
  <si>
    <t>● (p) Pos.2 Erstellung FRP f. Geb. T, R +N</t>
  </si>
  <si>
    <t>4841 Hostatoschule-Frankfurt-Umbau</t>
  </si>
  <si>
    <t>4841.03 Pläne+BSO-Hostatoschule-Frankfurt-Umbau</t>
  </si>
  <si>
    <t>4841.05 BSK-Bestandsgeb-Hostatoschule-Frankfurt</t>
  </si>
  <si>
    <t>4899.04 FLA-Erbachstraße-18-Ludwigshafen-Berkel</t>
  </si>
  <si>
    <t>● Planung + Beratung Rohrnetzsanierung (auf Nachweis)</t>
  </si>
  <si>
    <t>4899.061 Berkel-Anp-BST-Erbachstr18-Labor-Büro-Ludwigshafen</t>
  </si>
  <si>
    <t>● (p) Fortschreibung BST</t>
  </si>
  <si>
    <t>4899.07 Berkel-FLA-Anpassung-LAK-Erbachstr18-Ludwigshafen</t>
  </si>
  <si>
    <t>● (aN) Pos. 1 Anpassung Löschanlagenkonzept</t>
  </si>
  <si>
    <t>● (aN) Erhöhung Pos. 1 (SV)</t>
  </si>
  <si>
    <t>● (aN) Pos. 2 Anpassung der Ausführungspläne</t>
  </si>
  <si>
    <t>● (aN) Erhöhung Pos. 2 (CAD)</t>
  </si>
  <si>
    <t>● (p) Pos. 3 Auftragsbearbeitung</t>
  </si>
  <si>
    <t>4899.08 Berkel-BAB-Erbachstr18-Labor-Büro-Ludwigshafen-Berkel</t>
  </si>
  <si>
    <t>● (p) Pos. 1 KOF</t>
  </si>
  <si>
    <t>4899.09 Berkel-FWP-Erbachstraße-18-Ludwigshafen</t>
  </si>
  <si>
    <t>● (p) Pos. 1 Aktualisierung der Feuerwehrpläne</t>
  </si>
  <si>
    <t>● NAT-FRP-001-2025-04-15</t>
  </si>
  <si>
    <t>4903.02 Marktplatz-2018-2-uPva-Los-1-Offenbach</t>
  </si>
  <si>
    <t>● uPva</t>
  </si>
  <si>
    <t>● Simulationen</t>
  </si>
  <si>
    <t>4903.03 Marktplatz-2019-uPva-Los-1-Offenbach</t>
  </si>
  <si>
    <t>4903.04 RGS-Marktplatz-uPva-Los-1-Offenbach</t>
  </si>
  <si>
    <t>● Rauchgassimulation 4 Szenarien (pauschal)</t>
  </si>
  <si>
    <t>● Abstimmungen/Besprechungstermine (pauschal)</t>
  </si>
  <si>
    <t>4903.06 Fortschr-BSK-Marktplatz-2022-2023-uPva-Los-1+3-Offenbach</t>
  </si>
  <si>
    <t>4903.09 NAT-06-BSK-uPVA-Baustelle-OKL-OLM-OMP</t>
  </si>
  <si>
    <t>● (p) Bauzeitliches Brandschutzkonzept</t>
  </si>
  <si>
    <t>4903.11 BSK-2024-2025-Marktplatz-uPva-Los-1+3</t>
  </si>
  <si>
    <t>● (p) Erstellung, Fortschreibung von BSK</t>
  </si>
  <si>
    <t>● (p) Erarbeitung Rettungswegekonzeptes</t>
  </si>
  <si>
    <t>● (p) LP5 (zusätzl. f. 50Hz, HLSK in allen Stationen)</t>
  </si>
  <si>
    <t>● (p) LP8 Fachtechn. Bauüberwachung, Fachbauleitung BS</t>
  </si>
  <si>
    <t>4903.12 NAT-17-BSK-uPvas-Fortschr-mit-HDWNA-OMP</t>
  </si>
  <si>
    <t>● (p) Pos. 1 Neuerstellung BSK  mit Hochdruckwassernebelanlage (HDWNA) statt Treppeneinhausung</t>
  </si>
  <si>
    <t>● (p) Pos.4 (anteilig) Mitwirken Genehmigungsverfahren ZiE, UiG, CSM-Verfahren</t>
  </si>
  <si>
    <t>4903.14 NAT-13-BSK-uPva-BSK-Baustelle-OF</t>
  </si>
  <si>
    <t>● (p) Pos.1 Bauzeitl. BSK Offenbacher Stationen-OMP (1/3 v. KAL)</t>
  </si>
  <si>
    <t>● (p) Pos.3 Baustellenkonzept Pläne (1/4 v. KAL)</t>
  </si>
  <si>
    <t>4903.16  NAT-18-BST-uPva-OF-RES-Zählung</t>
  </si>
  <si>
    <t>● (p) Pos.1 BST Personenzählungen OF Marktplatz</t>
  </si>
  <si>
    <t>4904.02 Ledermuseum-2018-2-uPva-Los-1-Offenbach</t>
  </si>
  <si>
    <t>4904.03 Ledermuseum-2019-uPva-Los-1-Offenbach</t>
  </si>
  <si>
    <t>4904.05 Fortschr-BSK-2022-2023-Ledermuseum-uPva-Los-1+3-Offenbach</t>
  </si>
  <si>
    <t>4904.07 BSK-2024-2025-Ledermuseum-uPva-Los-1+3</t>
  </si>
  <si>
    <t>4904.08 NAT-17-BSK-Ledermuseum-uPva-OF-Fortschreibung-mit-HDWNA</t>
  </si>
  <si>
    <t>● (p) Pos.2 Neuerstellung BSK mit Hochdruckwassernebelanlage (HDWNA)</t>
  </si>
  <si>
    <t>4904.10 NAT-13-BSK-uPva-BSK-Baustelle-OF</t>
  </si>
  <si>
    <t>● (p) Pos.1 Bauzeitl. BSK Offenbacher Stationen-LM (1/3 v. KAL)</t>
  </si>
  <si>
    <t>4904.14 NAT-15-BTB-uPva-EBA-Anweisung-OLM</t>
  </si>
  <si>
    <t>● (p) Pos.1 BTB CSM-Verfahren</t>
  </si>
  <si>
    <t>● (p) Pos.2 BST Abbruch Schottungswände Kabeltröge</t>
  </si>
  <si>
    <t>4905.02 Kaiserlei-2018-2-uPva-Los-1-Offenbach</t>
  </si>
  <si>
    <t>4905.03 Kaiserlei-2019-uPva-Los-1-Offenbach</t>
  </si>
  <si>
    <t>4905.06 Fortschr-BSK-Kaiserlei-2022-2023-uPva-Los-1-Offenbach</t>
  </si>
  <si>
    <t>4905.07  NAT-09-BSK-Kaiserlei-2022-2023-uPva-OKL-BSK-INTERIM</t>
  </si>
  <si>
    <t>● (p) Interimskonzept uPva Marktplatz</t>
  </si>
  <si>
    <t>● (p) NAT RGS und EVS</t>
  </si>
  <si>
    <t>4905.08  BSK-2024-2025-Kaiserlei-uPva-Los-1+3</t>
  </si>
  <si>
    <t>4905.09 NAT-17-BSK-uPvas-Fortschr-mit-HDWNA-OKL</t>
  </si>
  <si>
    <t>● (p) Pos. 3 Neuerstellung BSK Kaiserlei</t>
  </si>
  <si>
    <t>4905.11 NAT-13-BSK-uPva-BSK-Baustelle-OF</t>
  </si>
  <si>
    <t>● (p) Pos.1 Bauzeitl. BSK Offenbacher Stationen-Kaiserlei</t>
  </si>
  <si>
    <t>● (p) Pos.3 Baustellenkonzept Pläne - Kaiserlei</t>
  </si>
  <si>
    <t>4906.02 Mühlberg-2018-2-uPva-Los-3-Frankfurt</t>
  </si>
  <si>
    <t>4906.03 Mühlberg-2019-uPva-Los-3-Frankfurt</t>
  </si>
  <si>
    <t>4906.04 RGS-Mühlberg-uPva-Los-3-Frankfurt</t>
  </si>
  <si>
    <t>4906.05 Fortschr-BSK-Mühlberg-2022-2023-uPva-Los-3-Frankfurt</t>
  </si>
  <si>
    <t>4906.07 BSK-2024-2025-Mühlberg-uPva-Los-1+3</t>
  </si>
  <si>
    <t>4907.02 Ostendstraße-2018-2-uPva-Los-3-Frankfurt</t>
  </si>
  <si>
    <t>4907.03 Ostendstraße-2019-uPva-Los-3-Frankfurt</t>
  </si>
  <si>
    <t>4907.04 RGS-Ostendstraße-uPva-Los-3-Frankfurt</t>
  </si>
  <si>
    <t>● Feuer- und Rauchgassimulation Tunnelentrauchung pauschal</t>
  </si>
  <si>
    <t>4907.05 Fortschr. BSK-Ostendstraße-2022-2023-uPva-Los-1+3-Frankfurt</t>
  </si>
  <si>
    <t>● Fortschreibung BSK 2022-2023 (pauschal)</t>
  </si>
  <si>
    <t>4907.07 BSK-2024-2025-Ostendstraße-uPva-Los-1+3</t>
  </si>
  <si>
    <t>4907.08 BST-Lokalbahnhof+Ostendstraße-uPva-TK-Raum-Video</t>
  </si>
  <si>
    <t>● (p) RV 01.02.04. Begehung (40h SV mit akad. Grad)</t>
  </si>
  <si>
    <t>● (p) RV 01.04.01 BST BGF&lt;1.600m³  Lokalbahnhof</t>
  </si>
  <si>
    <t>● (p) RV 01.04.01 BST BGF&lt;1.600m³  Ostendstraße</t>
  </si>
  <si>
    <t>4908.02 Lokalbahnhof-2018-2-uPva-Los-3-Frankfurt</t>
  </si>
  <si>
    <t>4908.03 Lokalbahnhof-2019-uPva-Los-3-Frankfurt</t>
  </si>
  <si>
    <t>4908.05 Fortschr. BSK-Lokalbahnhof-2022-2023-uPva-Los-1+3-Frankfurt</t>
  </si>
  <si>
    <t>● Fortschr. BSK-2022-2023 (pauschal)</t>
  </si>
  <si>
    <t>4908.07 BSK-2024-2025-Lokalbahnhof-uPva-Los-1+3</t>
  </si>
  <si>
    <t>4908.08 NAT-16-BSK-uPva-Lokalbahnhof-Technikgebäude-Los3</t>
  </si>
  <si>
    <t>● (p) Pos.1 Erstellen BSK Technikgebäude-Los3</t>
  </si>
  <si>
    <t>4909.03 Taunusanlage-2018-2-uPva-Los-3-Frankfurt</t>
  </si>
  <si>
    <t>4909.04 Taunusanlage-2019-uPva-Los-3-Frankfurt</t>
  </si>
  <si>
    <t>4909.05 Fortschr. BSK-Taunusanlage-2022-2023-uPva-Los-1+3-Frankfurt</t>
  </si>
  <si>
    <t>● Fortschreibung BSK (pauschal)</t>
  </si>
  <si>
    <t>4909.07 BSK-2024-2025-Taunusanlage-uPva-Los-1+3</t>
  </si>
  <si>
    <t>4914 BWZK-KO-BA1-Leistungsstufe1</t>
  </si>
  <si>
    <t>4914.01 BWZK-KO-BA1-Leistungsstufe2+3</t>
  </si>
  <si>
    <t>4914.03 Fortschr-BSP-BWZK-KO-BA1-K1</t>
  </si>
  <si>
    <t>● Fortschreibung BSK-Pläne (pauschal)</t>
  </si>
  <si>
    <t>4914.04 BWZK-KO-BA1-Leistungsstufe4+5</t>
  </si>
  <si>
    <t>● (p) Leistungsstufe 4 - LP 8 GL</t>
  </si>
  <si>
    <t>● (p) Leistungsstufe 4 - LP 4 BL</t>
  </si>
  <si>
    <t>● LP 5 BL</t>
  </si>
  <si>
    <t>4914.10 BWZK-KO-BA2-Leistungsstufe1</t>
  </si>
  <si>
    <t>4914.11 NAT-03-WPP-BWZK-KO-WPP</t>
  </si>
  <si>
    <t>● (a.N.) Pos.1 Fortschr. + Detaillierung Brandfallsteuermatrix</t>
  </si>
  <si>
    <t>● (p) Pos.2 Abstimmungstermine zur Brandfallsteuermatrix (8h SV)</t>
  </si>
  <si>
    <t>● (p) Pos.3 Erstellen v. Szenarienplänen</t>
  </si>
  <si>
    <t>● (p) Pos.4 Erstellen v. Prüfplänen</t>
  </si>
  <si>
    <t>4930.02  BAB-Henschelplatz-1-Kassel-Mittelfeld-Halle-M45</t>
  </si>
  <si>
    <t>● (a.N.) Pos.1-Begleitung in der Ausführungsplanung</t>
  </si>
  <si>
    <t>● (a.N.) Pos.2-Objektüberwachung</t>
  </si>
  <si>
    <t>● (p) Pos.3-Fortschr. Brandschutzkonzept</t>
  </si>
  <si>
    <t>● (a.N.) Pos.4-Aktual. Brandlastberechnung nach DIN 18230 i.V.m.IndBauRL</t>
  </si>
  <si>
    <t>4930.03 BSK-Industriepark-Henschelplatz-1-Kassel-Mittelfeld-Halle-M30</t>
  </si>
  <si>
    <t>● (p) Pos.1 fortschr. BSK Halle M30</t>
  </si>
  <si>
    <t>4954 ETW-Hafenpark-Quartier-Baufeld-Süd-Frankfurt</t>
  </si>
  <si>
    <t>● NT2: Zusammenstellen Inhalte abweichend BSK (pauschal)</t>
  </si>
  <si>
    <t>● NT2: Fortschreibung BSK (pauschal)</t>
  </si>
  <si>
    <t>● NT2: FuR-Pläne (pauschal)</t>
  </si>
  <si>
    <t>● NT2: FW-Pläne (pauschal)</t>
  </si>
  <si>
    <t>● NT2: Erstellen BSO (pauschal)</t>
  </si>
  <si>
    <t>● (a.N.) NT3 - Pos.1-Interims-BSK (Konzepterstellung)</t>
  </si>
  <si>
    <t>● (p) NT3-Pos.2-Konformitätserklärung zur vorzeitigen Inbetriebnahme</t>
  </si>
  <si>
    <t>4954.03 NAT04-FWP-ETW-Hafenpark-Quartier-Baufeld-Süd-Frankfurt-B+L</t>
  </si>
  <si>
    <t>● (a.N.) Pos.1-Erstellung von Grundlagenplänen-ETW 2. UG bis 16. OG plus Lageplan</t>
  </si>
  <si>
    <t>4958.03 BTB-Hotel-Hafenpark-Quartier-Baufeld-Süd-Frankfurt-Bauwens</t>
  </si>
  <si>
    <t>● Brandschutztechn. Beratung (auf Nachweis)</t>
  </si>
  <si>
    <t>4970 VGF-Station-Frankfurt-Südbahnhof</t>
  </si>
  <si>
    <t>4970.03 Fortschr-BSK-VGF-Station-Frankfurt-Südbahnhof</t>
  </si>
  <si>
    <t>4970.07 FWP-Frankfurt-Südbahnhof-VGF</t>
  </si>
  <si>
    <t>4970.08 FWP-Südbahnhof-Frankfurt-Revision</t>
  </si>
  <si>
    <t>4985.01 Anp-BST-Viscofan-Naturin-Weinheim-Geb-35</t>
  </si>
  <si>
    <t>5003 Tanklager-Bellheim</t>
  </si>
  <si>
    <t>5007.02 Aktualisierung-BSO-FWP-KiTa-Buntes-Haus-Römerstraße-17-Echzell</t>
  </si>
  <si>
    <t>● (p) Pos.1 Aktualisierung BSO</t>
  </si>
  <si>
    <t>● (p) Pos.2 Aktualisierung FWP</t>
  </si>
  <si>
    <t>5017 IGS-Riedberg-Frankfurt-LP1-4</t>
  </si>
  <si>
    <t>● 9202-Mitwirken Erstellen BSO, Betriebshandb., Alarm- und Gefahrenabwehrplan...</t>
  </si>
  <si>
    <t>5020.01 Fortschr-BSK-PA77-U5-West-München</t>
  </si>
  <si>
    <t>● Aktualisierung BSK-Pläne (auf Nachweis)</t>
  </si>
  <si>
    <t>5020.011 Fortschr-BSK-PA77-U5-West-München</t>
  </si>
  <si>
    <t>5020.03 Zusätzl-RGS-PA77-U5-West-München</t>
  </si>
  <si>
    <t>● Anpasen des Modells (pauschal)</t>
  </si>
  <si>
    <t>● Drei zusätzl. Simulationsläufe (pauschal)</t>
  </si>
  <si>
    <t>● Dokumentation Simulationsläufe + Vorgaben Aufbauten Entrauchungsöffnungen (pauschal)</t>
  </si>
  <si>
    <t>5020.06 LH München-BSK-Baustellenkonzept-PA77-Willibaldstr-U5-bis-Laimer-Pl.-MUC</t>
  </si>
  <si>
    <t>● (aN)  BSK-Baustellenkonzept - ohne ANG</t>
  </si>
  <si>
    <t>5021.01 BTB-PA78-U5-West-München</t>
  </si>
  <si>
    <t>5021.02 Fortschr-BSK-PA78-U5-West-München</t>
  </si>
  <si>
    <t>● Fortschr. BSK Bahnhof Am Knie (pauschal)</t>
  </si>
  <si>
    <t>● Räumungszeitermittlung durch Entfluchtungssim. (pauschal)</t>
  </si>
  <si>
    <t>● Dreidimensionales Modell Bahnhof Am Knie (pauschal)</t>
  </si>
  <si>
    <t>● Durchführen 3 Simulationsläufe (pauschal)</t>
  </si>
  <si>
    <t>● Dokumentation der Simulation (pauschal)</t>
  </si>
  <si>
    <t>● Erstellen konzeptuelle Brandfallsteuertabelle (pauschal)</t>
  </si>
  <si>
    <t>● Fortschr. BSK Streckentunnel PA78 (pauschal)</t>
  </si>
  <si>
    <t>● Abstimmung mit Beteiligten (auf Nachweis)</t>
  </si>
  <si>
    <t>● Beratungsleistungen während Erstellung der Ausschreibung (auf Nachweis)</t>
  </si>
  <si>
    <t>● 6 Simulationsläufe zusätzl. (pauschal)</t>
  </si>
  <si>
    <t>5021.03 BTB-Am Knie-PA78-U5-West-München</t>
  </si>
  <si>
    <t>● (a.N.) Pos.1-Brandschutztechnische Beratung</t>
  </si>
  <si>
    <t>5022.01 BTB-PA79-U5-West-München</t>
  </si>
  <si>
    <t>5022.02 Fortschr-BSK-PA79-U5-West-München</t>
  </si>
  <si>
    <t>● Fortschr. BSK Bahnhof Pasing (pauschal)</t>
  </si>
  <si>
    <t>● Dreidimensionales Modell Bahnhof Pasing (pauschal)</t>
  </si>
  <si>
    <t>● Fortschr. BSK Streckentunnel PA79 (pauschal)</t>
  </si>
  <si>
    <t>5022.022 Fortschr-BSK-PA79-U5-West-München</t>
  </si>
  <si>
    <t>5022.03 BTB-PA79-U5-Pasing-West-München</t>
  </si>
  <si>
    <t>● (p) Pos.1-Anpassung Brandschutzkonzepte f. Station u. Streckentunnel</t>
  </si>
  <si>
    <t>● (a.N.) Pos.2-Brandschutztechn. Beratung</t>
  </si>
  <si>
    <t>5022.04 RGS-PA79-U5-Pasing-West-München</t>
  </si>
  <si>
    <t>● (p) Pos.1 Durchführen von 4 Simulationsläufen</t>
  </si>
  <si>
    <t>● (p) Pos.2 Ergänzung d. vorhandenen Dokumentation um die 4 Simulationsläufe</t>
  </si>
  <si>
    <t>5025.01 BSK-Hoehnerweg-2-4-Weinheim-Freudenberg</t>
  </si>
  <si>
    <t>● Fahrtzeiten (auf Nachweis)</t>
  </si>
  <si>
    <t>● BSK Halle 304-308 (pauschal)</t>
  </si>
  <si>
    <t>● BSK Halle 309-313 (pauschal)</t>
  </si>
  <si>
    <t>5027 ROB-MCR-Weilerbach-FW-Pläne-Stufe-1</t>
  </si>
  <si>
    <t>5027.01 ROB-MCR-Weilerbach-FW-Pläne-Stufe-2</t>
  </si>
  <si>
    <t>5028 Altes-Gerichtsgebäude-Gerichtsstraße-Wiesbaden-Altes-Gericht</t>
  </si>
  <si>
    <t>5028.02 BSK-Altes-Gerichtsgebäude-Gerichtsstraße-Wiesbaden-Altes-Gericht</t>
  </si>
  <si>
    <t>● (p) Anpassung des bestehenden Brandschutzkonzeptes</t>
  </si>
  <si>
    <t>● (p) Feuerwehrpläne</t>
  </si>
  <si>
    <t>5029.05 BTB-Oranienstraße-32-Wiesbaden-Wallboxen</t>
  </si>
  <si>
    <t>● (aN) Pos.1 BTB zu8 Installation von 10 Wallboxen</t>
  </si>
  <si>
    <t>5036.03 BSK-Bleichstraße-52-Frankfurt-Souterrain</t>
  </si>
  <si>
    <t>● (p) Pos. 1 Erst. BSK -  Nutzungsänderung Souterrain v. Restaurant+Küche zu Fitness+Wellnesscenter</t>
  </si>
  <si>
    <t>● (aN) Baubegl. Brandschutzberatung+Qualitätsüberwachung</t>
  </si>
  <si>
    <t>● (p) Pos.2 Überarbeitung des BSK zur BM im Souterrain (ANG v. 2025-02-28)</t>
  </si>
  <si>
    <t>5036.04 BTB-Bleichstraße-52-Frankfurt</t>
  </si>
  <si>
    <t>● (aN) Pos.1 Brandschutzberatung +Qualitätsüberwachung für den Abschluss der BM aus 2009</t>
  </si>
  <si>
    <t>5039 Städtische-Bühnen-Köln-FLA</t>
  </si>
  <si>
    <t>● (aN) 2000-Vorplanung</t>
  </si>
  <si>
    <t>● (aN) 3000-Entwurfsplanung</t>
  </si>
  <si>
    <t>● (aN) 4000-Genehmigungsplanung</t>
  </si>
  <si>
    <t>● (aN) 5000-Ausführungsplanung</t>
  </si>
  <si>
    <t>● (aN) 6000-Vorbereiten der Vergabe</t>
  </si>
  <si>
    <t>● (aN) 7000-Mitwirkung bei der Vergabe</t>
  </si>
  <si>
    <t>5045 Hohenstaufengymnasium-Göppingen</t>
  </si>
  <si>
    <t>5055 Gateway-Gardens-Frankfurt-NB-Bürokomplex-BA1+2</t>
  </si>
  <si>
    <t>5055.05 BAB-Gateway-Gardens-Frankfurt-NB-Bürokomplex</t>
  </si>
  <si>
    <t>● (a.N.) BAB LP 8 Bauteile A-C</t>
  </si>
  <si>
    <t>5055.06 Greve-FRP-Gateway-Gardens-Amelia-Mary-Earhart-Str12-FFM</t>
  </si>
  <si>
    <t>● (p) Erstellung FRP + FWP</t>
  </si>
  <si>
    <t>5055.07 Europa-Center-BSK-Gateway-Gardens-Amelia-Mary-Earhart-Str11-FFM-Aramark-MA</t>
  </si>
  <si>
    <t>● (p) Pos. 1 BTB während der Planungsphase bis zum 01.08.2024</t>
  </si>
  <si>
    <t>● (p) Pos. 2 BST zum genehmigten BSK</t>
  </si>
  <si>
    <t>● (p) Pos. 3 Fortschreibung BSK</t>
  </si>
  <si>
    <t>● (aN) Pos. 4 BTB während d. Planungsphase</t>
  </si>
  <si>
    <t>● (aN) Pos. 5 BTB + Qualitätsüberwachung für die Durchf. d. Baumaßnahme</t>
  </si>
  <si>
    <t>5055.08 Europa-Center-FRP-FWP-Gateway-Gardens-Amelia-Mary-Earhart-Str12-FFM</t>
  </si>
  <si>
    <t>● (p) Pos. 1 FRP nach Anzahl (s. Projektbeschreibung)</t>
  </si>
  <si>
    <t>● (p) Pos. 2 Feuerwehrpläne - Anpassung Straßennamen</t>
  </si>
  <si>
    <t>● (p) Pos. 3 Feuerwehrpläne UG-Umbauten (Mitte 2025)</t>
  </si>
  <si>
    <t>● (p) Pos. 4 Feuerwehrpläne EG-3.OG-Umbauten (Mitte 2025)</t>
  </si>
  <si>
    <t>5068.02 BAB-Geb-B+C-EG+UG-Gutleutstraße-310-Frankfurt-Equinix</t>
  </si>
  <si>
    <t>5068.05 KOF-Gutleutstraße-310-Frankfurt-FR7</t>
  </si>
  <si>
    <t>● (p) Pos.1 KOF</t>
  </si>
  <si>
    <t>5102.01 ZEG-Klinikum-Frankfurt-Höchst-Funktionsneubau-BA2</t>
  </si>
  <si>
    <t>● Leistungen im Rahmen Stellungnahme Überströmöffnungen in Rauchschutzwänden</t>
  </si>
  <si>
    <t>● LP8 Stufe 2 (auf Nachweis)</t>
  </si>
  <si>
    <t>5108 Geb-M10-Henschelplatz-1-Kassel-Mittelfeld</t>
  </si>
  <si>
    <t>5110.01 RV-BTB-Haus-8-Hauptstraße-129-Eschborn</t>
  </si>
  <si>
    <t>5110.02 RV-BTB-Haus-8-Hauptstraße-129-Eschborn</t>
  </si>
  <si>
    <t>5144 Anlage-1-1-S-Bahn-Berlin-NB-S21</t>
  </si>
  <si>
    <t>● Entfluchtungssimulation</t>
  </si>
  <si>
    <t>● Brandsimulation</t>
  </si>
  <si>
    <t>5144.01 Anlage-1-2-S-Bahn-Berlin-NB-S21</t>
  </si>
  <si>
    <t>5144.02 Anlage-1-4-S-Bahn-Berlin-NB-S21</t>
  </si>
  <si>
    <t>5144.09 LP5-Fortschr-Interims-BSK-S-Bahn-Berlin-NB-S21</t>
  </si>
  <si>
    <t>5144.15 Fortschr2-Index4-Interims-BSK-S-Bahn-Berlin-NB-S21</t>
  </si>
  <si>
    <t>● 2. Fortschreibung BSK Index 4</t>
  </si>
  <si>
    <t>5144.19 NAT-10-BSK-S-Bahn-Berlin-NB-S21-HBF-Manteltreppe</t>
  </si>
  <si>
    <t>● (p) Pos.1-Erstellung BSK Manteltreppe</t>
  </si>
  <si>
    <t>● (p) Pos.2- Brandschutztechn. Beratung</t>
  </si>
  <si>
    <t>● (p) Pos.-3-Aktualisierung Feuerwehrpläne</t>
  </si>
  <si>
    <t>5144.20 NAT-09-BST-S-Bahn-Berlin-NB-S21-HBF-INTERIM-PuMiRaum</t>
  </si>
  <si>
    <t>● (a.N.) Pos.1 BST Pumiraum Interimszustand bis 2 Onlinebespr.</t>
  </si>
  <si>
    <t>5144.23 NAT-xx-RGS-S-Bahn-Berlin-NB-S21-HBF-INTERIM</t>
  </si>
  <si>
    <t>● () Rauchgassimulation Version 2.4</t>
  </si>
  <si>
    <t>● () Rauchgassimulation Version 2.3</t>
  </si>
  <si>
    <t>● () Entfluchtungssimulation zu 2.3</t>
  </si>
  <si>
    <t>● () Entfluchtungssimulation zu 2.4</t>
  </si>
  <si>
    <t>5144.24 NAT-xx-BSK-SBahn-Berlin-NB-S21-HBF-INTERIM</t>
  </si>
  <si>
    <t>● (p) Pos. BSK</t>
  </si>
  <si>
    <t>5144.25 NAT-xx-Räumungskonzept-F&amp;Rkonzept;-SBahn-Berlin-NB-S21-HBF-INTERIM</t>
  </si>
  <si>
    <t>● (p) Pos. Räumungskonzept / Flucht und Rettungskonzept (SV+CAD-Stunden)</t>
  </si>
  <si>
    <t>5145.04 Fortschr.-BSK-Theodor-Heuss-Allee-108-Frankfurt-Privatschule</t>
  </si>
  <si>
    <t>● (p) Pos.1 Fortschreibung BSK Umnutzung Teilbereichen des EG von Büro-/Verwaltungsnutzung in Schulbetreuung</t>
  </si>
  <si>
    <t>● (aN) Pos. 2 BAB</t>
  </si>
  <si>
    <t>5156.02 BSK-LBBTR-SPES-N-Airbase-Spangdahlem</t>
  </si>
  <si>
    <t>● • 3100-Erarbeiten des Brandschutzkonzept/Nachweis/Stellungnahme</t>
  </si>
  <si>
    <t>● • 4103-Erarbeiten Brandschutzkonzeptpläne….</t>
  </si>
  <si>
    <t>● • 5300-65% -Review, OVER THE SHOULDER…..</t>
  </si>
  <si>
    <t>● • 5301-95% -Review, AFU-BAU…..</t>
  </si>
  <si>
    <t>● • 3316-Teilnahme an Besprechungen</t>
  </si>
  <si>
    <t>● • 3000-Entwurfsplanung</t>
  </si>
  <si>
    <t>● • 5000-Ausführungsplanung</t>
  </si>
  <si>
    <t>5156.03 LP8-LBBTR-SPES-N-Airbase-Spangdahlem</t>
  </si>
  <si>
    <t>● (p) Pos. 8 LPH 8 Objektüberwachung</t>
  </si>
  <si>
    <t>5156.04 LP9-LBBTR-SPES-N-Airbase-Spangdahlem</t>
  </si>
  <si>
    <t>● Pos. 1 Fortschreibung des Brandschutzkonzeptes</t>
  </si>
  <si>
    <t>5176.03 BTB-allg-RNV-Tunnelanlagen-LU-MA</t>
  </si>
  <si>
    <t>5176.08 FWP-RNV-Tunnelanlagen-LU</t>
  </si>
  <si>
    <t>● Objektbegehung (auf Nachweis)</t>
  </si>
  <si>
    <t>● FW-Pläne LU Hbf+Rathaus (pauschal)</t>
  </si>
  <si>
    <t>5176.12 RNV-LUHbf+RathausTunnelanlagen-Ludwigshafen</t>
  </si>
  <si>
    <t>● (p) Pos. 1 Erweiterung der Feuerwehrpläne um einen Übersichtsplan</t>
  </si>
  <si>
    <t>5176.13 RNV-Akt-FWP-FRP-Tunnelanlagen-LU</t>
  </si>
  <si>
    <t>● (p) Pos. 3 Zusammenfassen der Feuerwehrpläne</t>
  </si>
  <si>
    <t>5182.03 Roche-BSK-SandhoferStr116-Mannheim-Roche-Geb260</t>
  </si>
  <si>
    <t>● (p) Pos. 1 Fortschr. BSK</t>
  </si>
  <si>
    <t>● (aN) Pos. 2 BAB und Qualitätsüberwachung für die Durchführung der Baumaßnahme</t>
  </si>
  <si>
    <t>5189 Jahrmarktstreppchen-1-3-Bad-Kreuznach</t>
  </si>
  <si>
    <t>5199 Spangdahlem-Geb-99</t>
  </si>
  <si>
    <t>5200.03 (eh. 7528) ADAC-BAB-Hans-Thoma-Straße 28-30</t>
  </si>
  <si>
    <t>● (aN) Pos. 1 BAB</t>
  </si>
  <si>
    <t>● nicht kalkuliert: Auftragsbearbeitung / Administrative Tätigkeiten zur Projektunterstützung</t>
  </si>
  <si>
    <t>5207.06 Fortschr3-BSK-Michael-Schumacher-Straße-Kerpen-UNITYMEDIA</t>
  </si>
  <si>
    <t>● 3. Fortschr. BSK (pauschal)</t>
  </si>
  <si>
    <t>5207.09 FMS-BSK-Technikcontainer-MichaelSchumacherStr-Kerpen</t>
  </si>
  <si>
    <t>● (p) Pos. 1 Erstellung Fortschreibung Brandschutzkonzept</t>
  </si>
  <si>
    <t>5207.10 Vodafone-West-Fortschr4-BSK-Michael-Schumacher-Str1-3-Kerpen</t>
  </si>
  <si>
    <t>5220 Fraport-Pier-G</t>
  </si>
  <si>
    <t>● CAD-LP3</t>
  </si>
  <si>
    <t>5220.06 BSK-Bauphase-Fraport-Pier-G</t>
  </si>
  <si>
    <t>● NA26-Baustelleneinsatzpläne für Feuerwehr (pauschal)</t>
  </si>
  <si>
    <t>5220.07 Entrauchungssimulationen-Fraport-Pier-G</t>
  </si>
  <si>
    <t>5220.12 LP8-Fraport-Pier-G</t>
  </si>
  <si>
    <t>5220.15 Ausstattungsplanung-Passagierbereiche-Fraport-Pier-G</t>
  </si>
  <si>
    <t>● Beratung Ausstattungsplanung Passagierbereiche (auf Nachweis)</t>
  </si>
  <si>
    <t>5220.21 Rauchversuche-Fraport-Pier-G</t>
  </si>
  <si>
    <t>● Rauchversuche (pauschal)</t>
  </si>
  <si>
    <t>5220.22 NA31-Fraport-Pier-G</t>
  </si>
  <si>
    <t>● NA31 (pauschal)</t>
  </si>
  <si>
    <t>5220.23 Fraport-NAfolgt-BSK-Bauphase-Fraport-Pier-G</t>
  </si>
  <si>
    <t>● NA? (pauschal)</t>
  </si>
  <si>
    <t>5220.24 Fraport-NAfolgt-Rauchversuche-Fraport-Pier-G</t>
  </si>
  <si>
    <t>● NA?? (pauschal)</t>
  </si>
  <si>
    <t>5220.25 Fraport-NA35-Pläne-Fraport-Pier-G</t>
  </si>
  <si>
    <t>● NA35 (pauschal) div. Pläne</t>
  </si>
  <si>
    <t>5220.26 Fraport-NAfolgt-Temp.Abstellfläche-Fraport-Pier-G</t>
  </si>
  <si>
    <t>● • ‧ (aN) SV</t>
  </si>
  <si>
    <t>● • ADM (nicht kalkuliert)</t>
  </si>
  <si>
    <t>5221 Deutsche-Bank-Wilhelmsgalerie-Potsdam./.Total-Walther-GmbH</t>
  </si>
  <si>
    <t>5222.02 Prüfung-BSK-Bürgermeister-Grünzweig-Straße-87-Ludwigshafen-MHKW</t>
  </si>
  <si>
    <t>5222.09 GML-Anp-FWP-FRP-MHKW-BürgermeisterGrünzweigStr87-LU</t>
  </si>
  <si>
    <t>● (aN) Pos. 1 FWP (CAD)</t>
  </si>
  <si>
    <t>● (aN) Pos. 1 FRP (CAD)</t>
  </si>
  <si>
    <t>5222.10 GML-RAP-MHKW-BürgermeisterGrünzweigStr87-LU</t>
  </si>
  <si>
    <t>● (p) Pos. 1 Entrauchungspläne</t>
  </si>
  <si>
    <t>● (p) Pos. 2 Entrauchungspläne für die RWA-Bedienstellen</t>
  </si>
  <si>
    <t>5248.03 Fraport-RV-BSN-BAB-FRP-Verlagerung-Geb159</t>
  </si>
  <si>
    <t>● NAT 06</t>
  </si>
  <si>
    <t>● NAT 07</t>
  </si>
  <si>
    <t>● NAT 05</t>
  </si>
  <si>
    <t>● • Pos. 1: (aN) BMK / Brandfallsteuermatrix</t>
  </si>
  <si>
    <t>● • Pos. 1: (a.N.) BSN/BST</t>
  </si>
  <si>
    <t>● • Pos. 2: (a.N.) BAB LP 8</t>
  </si>
  <si>
    <t>● • Pos. 3: (p.) FRP</t>
  </si>
  <si>
    <t>5256 Horchheimer-Straße-50-Worms</t>
  </si>
  <si>
    <t>5272.02 GFbR-BST-Schaumainkai-101-103-Frankfurt</t>
  </si>
  <si>
    <t>● (aN) Pos. 2 Brandschutztechnische Beratung hinsichtlich Löschwasserentnahmestelle</t>
  </si>
  <si>
    <t>5291.01 RNV-BTB-NB-ABZ-Betriebshof-Ludwigshafen</t>
  </si>
  <si>
    <t>● Los 2 / Stufe 1</t>
  </si>
  <si>
    <t>● Los 2 / Stufe 2</t>
  </si>
  <si>
    <t>● Los 2 / Stufe 3</t>
  </si>
  <si>
    <t>5310.01 CoroCap-BTB-Mergenthaler-Allee35-37-Eschborn</t>
  </si>
  <si>
    <t>● (p) Pos. 1 Brandschutztechnische Beratung während der Planungsphase</t>
  </si>
  <si>
    <t>5310.02 CoroCap-BSK-Mergenthaler-Allee35-37-Eschborn</t>
  </si>
  <si>
    <t>● (aN) Pos. 2 Baubegleitende Brandschutzberatung für die Durchführung der Baumaßnahme</t>
  </si>
  <si>
    <t>5310.03 CoroCap-BSK-NAT01-Mergenthaler-Allee35-37-Eschborn</t>
  </si>
  <si>
    <t>● (p) Pos. 1 Auftteilung BSK + Bearbeitung zwei Bauanträge</t>
  </si>
  <si>
    <t>5328 Flugfeldklinikum-Böblingen</t>
  </si>
  <si>
    <t>5328.02 BTB-Funkt-Leistungsbeschreibung-Flugfeldklinikum-Böblingen</t>
  </si>
  <si>
    <t>5328.04 BTB-Baustelle-Flugfeldklinikum-Böblingen</t>
  </si>
  <si>
    <t>● Beratung Bauphase (auf Nachweis)</t>
  </si>
  <si>
    <t>5328.05 Flugfeldklinikum-Böblingen-BTB-FFK-Gefahrstofflager</t>
  </si>
  <si>
    <t>● Brandschutztechnische Beratung im Rahmen  der Planung des Gefahrstofflagers (a.N.)</t>
  </si>
  <si>
    <t>5328.06 Flugfeldklinikum-Böblingen-Fortschr-BSK-FFK</t>
  </si>
  <si>
    <t>● (a.N.) Pos. 1 Fortschreibung BSK in LP 5</t>
  </si>
  <si>
    <t>5336 CEH-Verwaltungsgebäude-Kaiserslautern-Vogelweh</t>
  </si>
  <si>
    <t>5336.01 US-CEH-Verwaltungsgebäude-Kaiserslautern-Vogelweh</t>
  </si>
  <si>
    <t>5346 Siemensstraße-18-Speyer-ENGIE</t>
  </si>
  <si>
    <t>5351 SWM-U-Bahnhof-Universität(Werbestele-2017)</t>
  </si>
  <si>
    <t>5367 Oberwieser-Straße-13-Kriegsfeld</t>
  </si>
  <si>
    <t>5381.03 Trennung-Trink-Löschwasser-Königsberger-Straße-27-31-Kriftel</t>
  </si>
  <si>
    <t>● (n.A.) brandschutztechn. Beratung</t>
  </si>
  <si>
    <t>5381.04 BST+Pläne-Königsberger-Straße-27-31-Kriftel</t>
  </si>
  <si>
    <t>● (p) Pos. 2 FWP</t>
  </si>
  <si>
    <t>● (aN) Pos. 3 BTB</t>
  </si>
  <si>
    <t>5385 Goldsteinstraße-Frankfurt-Hochbunkeranlage</t>
  </si>
  <si>
    <t>5386 Küferstraße-Frankfurt-Hochbunkeranlage</t>
  </si>
  <si>
    <t>5387 Petterweilstraße-Frankfurt-Hochbunkeranlage</t>
  </si>
  <si>
    <t>5388 Eppenheimer-Straße-Frankfurt-Hochbunkeranlage</t>
  </si>
  <si>
    <t>5390 Baumgartenstraße-46-48-Bad-Kreuznach</t>
  </si>
  <si>
    <t>5395.03 Fitnessstudio-Industriestraße-17-Ladenburg</t>
  </si>
  <si>
    <t>● Ortstermin (auf Nachweis)</t>
  </si>
  <si>
    <t>● BSK (pauschal)</t>
  </si>
  <si>
    <t>5395.04 Burkhardt-Witteler-BSK-Gesundheitszentrum-Industriestr17-Ladenburg</t>
  </si>
  <si>
    <t>● (aN) Pos. 1 BTB + Abstimmungstermine</t>
  </si>
  <si>
    <t>● (p) Pos. 2 BSK</t>
  </si>
  <si>
    <t>5409.03 BAB-VBL-Campus-Haus1+2-HansThomaStr19-Karlsruhe</t>
  </si>
  <si>
    <t>● • 8100-Prüfen der Ausführung auf prinzipielle Übereinstimmung (Stufe 1)....</t>
  </si>
  <si>
    <t>● • 8104-Statusbericht Bewertung auf Möglichkeiten zur Inbetriebnahme….</t>
  </si>
  <si>
    <t>●  (p) FuR-Pläne</t>
  </si>
  <si>
    <t>5411 East-Village-Sachsenhausen-Gutachten</t>
  </si>
  <si>
    <t>5412.02 BTB-Bürgerhospital-Frankfurt-Bestandsgebäude</t>
  </si>
  <si>
    <t>● Beratung N5 (auf Nachweis)</t>
  </si>
  <si>
    <t>● (aN) Beratung N5 BSK Augen-OP</t>
  </si>
  <si>
    <t>5420 Einsiedlerstraße-35-Gernsheim</t>
  </si>
  <si>
    <t>5428.02 LP8-GlobalTower-Google-NeueMainzerStr32-36-Frankfurt</t>
  </si>
  <si>
    <t>● (p.) NAT01 LP8 GL + BL</t>
  </si>
  <si>
    <t>● (p) NAT02 LP8 GL + BL</t>
  </si>
  <si>
    <t>5428.03 BTB-Global-Tower-Neue-Mainzer-Str-32-36-Ffm-Umnutzung-Etage-22-26-27</t>
  </si>
  <si>
    <t>● (a.N.) Pos.1 BTB Umnutzung Mietfläche in Stockwerken 22,26,27</t>
  </si>
  <si>
    <t>5428.04 BTB-Global-Tower-24.-OG-Neue-Mainzer-Straße-32-36-Ffm-Google</t>
  </si>
  <si>
    <t>● (aN) Pos.1 BTB  Abnahme von Räumlichkeiten im 24. OG</t>
  </si>
  <si>
    <t>5428.05 Global-Tower-1-3UG+4OG+22-27OG-Neue-Mainzer-Straße-32-36-Ffm-Google</t>
  </si>
  <si>
    <t>● (aN) Pos.1 BTB Abnahme von Räumlichkeiten im 1.- 3. UG, 4. OG +22.- 27. OG</t>
  </si>
  <si>
    <t>5429.08 BSB-2024-12-2025-11-DLZ-Geb1-5-Frankfurt+Langen-CoBa</t>
  </si>
  <si>
    <t>● Brandschutzbeauftragter 12/2024-11/2025 (pauschal)</t>
  </si>
  <si>
    <t>5433 Georg-Hipp-Straße-Pfaffenhofen-Hipp-Zentrallager</t>
  </si>
  <si>
    <t>5437.02 BAB-Bissierstraße-Freiburg-Metzgergrün</t>
  </si>
  <si>
    <t>● Beratung Ausführungsplanung (auf Nachweis)</t>
  </si>
  <si>
    <t>5437.03 AHO-Brandschutzdienstleistungen-BAII-Bissierstraße-Freiburg-Metzgergrün</t>
  </si>
  <si>
    <t>● (p.) AHO-Brandschutzdienstleistungen</t>
  </si>
  <si>
    <t>5437.04 FWP-Bissierstraße-Freiburg-Metzgergrün</t>
  </si>
  <si>
    <t>● (p) Pos.1 Feuerwehrplan-Übersichtsplan</t>
  </si>
  <si>
    <t>● (p) Pos.2 Optional FWP-Geschosspläne</t>
  </si>
  <si>
    <t>5455 Sandhofer-Straße-116-Mannheim-Roche-Hochregallager</t>
  </si>
  <si>
    <t>5458.01 711-BAB-Paul-Ehrlich-Institut-Langen</t>
  </si>
  <si>
    <t>5458.05 BST-Paul-Ehrlich-Institut-Langen-Z-Steri</t>
  </si>
  <si>
    <t>● (p) Pos.1 BST Z-Stri</t>
  </si>
  <si>
    <t>5459.02 BAB-Friedrichsdorfer-Straße-1-5-Bad-Homburg</t>
  </si>
  <si>
    <t>5460 Windpark-Bühe-Bad-Arolsen</t>
  </si>
  <si>
    <t>5461 Windpark-Netze-Waldeck</t>
  </si>
  <si>
    <t>5486.01 BSN-Hochmuhl-1-3-Frankfurt</t>
  </si>
  <si>
    <t>● Brandschutznachweis (pauschal)</t>
  </si>
  <si>
    <t>● zusätzl. Beratung (auf Nachweis)</t>
  </si>
  <si>
    <t>5486.03 BSN-Hochmuhl-1-3-Frankfurt</t>
  </si>
  <si>
    <t>● (p) Pos.1 Fortschr. BSN</t>
  </si>
  <si>
    <t>● (aN) Pos.2 BTB in der Planungsphase</t>
  </si>
  <si>
    <t>5489.06 AIT-BSB-09-2024-08-2025-MHK-Europa-Zentrale-Dreieich-Sprendlingen</t>
  </si>
  <si>
    <t>● (a.N.) BSB 2023/2024</t>
  </si>
  <si>
    <t>5489.07 AIT-BSB-09-2025-08-2026-MHK-Europa-Zentrale-Dreieich-Sprendlingen</t>
  </si>
  <si>
    <t>● (a.N.) BSB 2025/2026</t>
  </si>
  <si>
    <t>5500 Bestand-Adolf-Häfele-Straße-1-Nagold</t>
  </si>
  <si>
    <t>5500.01 Erweiterung-Adolf-Häfele-Straße-1-Nagold</t>
  </si>
  <si>
    <t>5500.02 Hochregallager-Adolf-Häfele-Straße-1-Nagold</t>
  </si>
  <si>
    <t>5506 Kaserne-Sembach-Heuberg-Geb-210</t>
  </si>
  <si>
    <t>5506.02 US-Abgleich-Kaserne-Sembach-Heuberg-Geb-210</t>
  </si>
  <si>
    <t>● 2000-Vorplanung (LP 1+2)</t>
  </si>
  <si>
    <t>● 4000-Genehmigungsplanung (LP 3+4)</t>
  </si>
  <si>
    <t>● 7000-Mitwirkung bei der Vergabe (LP 5-7)</t>
  </si>
  <si>
    <t>● 9000-Objektbetreuung und Dokumentation (LP 8+9)</t>
  </si>
  <si>
    <t>5506.03 BST-RepairNorthernWaterSystemII-Kaserne-Sembach-Heuberg</t>
  </si>
  <si>
    <t>● (p) Ermittlung Grundlagen inkl. 1 Ortstermin</t>
  </si>
  <si>
    <t>● (p) BST inkl. Erm. Löschwasserbedarf</t>
  </si>
  <si>
    <t>● (p) Ortstermine</t>
  </si>
  <si>
    <t>5506.04 LBB-AHO-RepairNorthernWaterSystemII-Kaserne-Sembach-Heuberg</t>
  </si>
  <si>
    <t>● TEIL 1 dt. Vorschriften</t>
  </si>
  <si>
    <t>● TEIL 2 US-Vorschriften</t>
  </si>
  <si>
    <t>5510.04 FRP-Kirchgasse-20-Luisenstr43-'Wiesbaden-JD Sports</t>
  </si>
  <si>
    <t>● (p) Pos.1 Erstellung Flucht- und Rettungspläne</t>
  </si>
  <si>
    <t>5512.03 BAB-Pellet-Silo-Schafheckstraße-10-Frankfurt</t>
  </si>
  <si>
    <t>5514 Schulzentrum-Rottweiler-Straße-Deißlingen</t>
  </si>
  <si>
    <t>5515.01 LP5+8-Lofthaus-Molenpark-Offenbach</t>
  </si>
  <si>
    <t>5516.01 Regelkonzept-Funkturm-Masterdokument</t>
  </si>
  <si>
    <t>● Akt. Regelgutachten Gebäudetypen übergreifend (auf Nachweis)</t>
  </si>
  <si>
    <t>5517 Stuhlbruderhofstraße-12-Mutterstadt-IGS</t>
  </si>
  <si>
    <t>5532 Bahnhofstraße-1-Höchst-i.O.</t>
  </si>
  <si>
    <t>5542 myStorage-Trift-2-Karlsruhe</t>
  </si>
  <si>
    <t>5569.03 BTB-HBF-Berlin-Archiv</t>
  </si>
  <si>
    <t>● a.N. - BTB mit Schlussbescheinigung</t>
  </si>
  <si>
    <t>5572 Windpark-Friesenhagen</t>
  </si>
  <si>
    <t>5576 Theater-Vorpommern-Greifswald</t>
  </si>
  <si>
    <t>● 5000 Pos. 5 LP 5 Ausführungsplanung</t>
  </si>
  <si>
    <t>● • LP8 NAT (p) Pos. 2</t>
  </si>
  <si>
    <t>● 8000 Pos. 8 LP8 Objektüberwachung</t>
  </si>
  <si>
    <t>5580.02 KOF-Salzstraße-11-11a-Hanau</t>
  </si>
  <si>
    <t>5593 Industriestraße-125-Speyer-Isover</t>
  </si>
  <si>
    <t>5599 TAF-Wilhelm-Leuschner-Straße-Property-GmbH./.Weisenburger-Bau-GmbH</t>
  </si>
  <si>
    <t>5605 Bahnhof-München-Bahnhofsvorplatz-Treppenanlage-22</t>
  </si>
  <si>
    <t>5606.1 BTB-Friesenstraße-4-Bad-Homburg</t>
  </si>
  <si>
    <t>● (aN) Pos. 1 Baubegleitende Brandschutzberatung und  Qualitätsüberwachung für die Durchführung der Baumaßnahme</t>
  </si>
  <si>
    <t>5607.05 BAB-NB-J4-Zentralinstitut-für-seelische-Gesundheit-Mannheim</t>
  </si>
  <si>
    <t>● • (p) NAT03-Bestandsaufnahme (Ist-Aufnahme)</t>
  </si>
  <si>
    <t>● Baubegleitung</t>
  </si>
  <si>
    <t>● Fortschr. BSK LP 5 (auf Nachweis)</t>
  </si>
  <si>
    <t>● Fortschr. BSK LP 9(auf Nachweis)</t>
  </si>
  <si>
    <t>5607.06 Pläne-NB-J4-Zentralinstitut-für-seelische-Gesundheit-Mannheim</t>
  </si>
  <si>
    <t>● Objektbegehung CAD (auf Nachweis)</t>
  </si>
  <si>
    <t>5607.07 Fortschr-QBS-NB-J4-Zentralinstitut-für-seelische-Gesundheit-Mannheim</t>
  </si>
  <si>
    <t>● Prüfung Brandfallsteuertabelle (auf Nachweis)</t>
  </si>
  <si>
    <t>● Fortschr. Brandfallsteuertabelle (auf Nachweis)</t>
  </si>
  <si>
    <t>5607.12 BSB-2024-Zentralinstitut-für-seelische-Gesundheit-Mannheim</t>
  </si>
  <si>
    <t>● (a.N.) BSB 2024</t>
  </si>
  <si>
    <t>5607.14 BSB-2025-Zentralinstitut-für-seelische-Gesundheit-Mannheim</t>
  </si>
  <si>
    <t>● (a.N.) BSB 2025</t>
  </si>
  <si>
    <t>5607.15 BTB-2025-Zentralinstitut-für-seelische-Gesundheit-Mannheim</t>
  </si>
  <si>
    <t>5607.16 ZI-FWP-FRP-Laborgebäude-Liegenschaften-J5-Mannheim</t>
  </si>
  <si>
    <t>● Pos. 1 FRP Laborgebäude</t>
  </si>
  <si>
    <t>● Pos. 2 FWP</t>
  </si>
  <si>
    <t>●  Pos. 3 FRP für Liegenschaften</t>
  </si>
  <si>
    <t>5609 Ramstein-Air-Base-Geb-2477-NB-Auto-Hobby-Center</t>
  </si>
  <si>
    <t>5628 Starkenburgkaserne-Darmstadt</t>
  </si>
  <si>
    <t>5635.04 BTB-Bleichstraße-Frankfurt-5.OG</t>
  </si>
  <si>
    <t>● (p) Pos10-Anpassung BTB-5.OG</t>
  </si>
  <si>
    <t>● (p) Pos 10-Brandschutztechn. Objektüberw.+Schlussbescheinigung</t>
  </si>
  <si>
    <t>● (p) Pos10-Anpassung FRP</t>
  </si>
  <si>
    <t>● (a.N.) Pos.1 NAT-BSK für Flächen 5.OG</t>
  </si>
  <si>
    <t>5635.05 BSK-Bleichstraße-Frankfurt-Umbau-3.+4.OG</t>
  </si>
  <si>
    <t>● (p) Pos.1-Anp. Brandschutzkonzeptpläne (3.+4. OG)</t>
  </si>
  <si>
    <t>● (p) Pos.3-Anpassung FRP (3.+4. OG)</t>
  </si>
  <si>
    <t>● (p) Pos.4-Anp. FWP (3.+4. OG)</t>
  </si>
  <si>
    <t>5635.07 BTB-Umbau-1.OG-Bleichstraße-Ffm</t>
  </si>
  <si>
    <t>● (p) Pos.1 Anpassung Brandschutzkonzeptpläne 1.OG</t>
  </si>
  <si>
    <t>● (a.N.) Pos.2 BTB</t>
  </si>
  <si>
    <t>●  (p) Pos.3 Anpassung FRP 1.OG</t>
  </si>
  <si>
    <t>● (p) Pos.4 Anpassung FWP 1.OG</t>
  </si>
  <si>
    <t>5635.08 BSB-09-2024-Bleichstraße-2-4-Frankfurt</t>
  </si>
  <si>
    <t>● (a.N.) BSB 01.09.2024-31.08.2025</t>
  </si>
  <si>
    <t>5635.09 BSB-09-2025-Bleichstraße-2-4-Frankfurt</t>
  </si>
  <si>
    <t>● (a.N.) BSB 01.09.2025-31.08.2026</t>
  </si>
  <si>
    <t>5636 Aspenhaag-11-13-Kelsterbach</t>
  </si>
  <si>
    <t>5639 Killisfeldstraße-18-Karlsruhe</t>
  </si>
  <si>
    <t>5640.03 BAB-Eppelheimer-Straße-8-Heidelberg-Köster</t>
  </si>
  <si>
    <t>5640.06 Erhard+Stern-BAB-EppelheimerStr8-Heidelberg</t>
  </si>
  <si>
    <t>5640.12 Swisslife-BTB-BSK-HCIII-Salutem-4.OG-Eppelheimerstr8-Heidelberg</t>
  </si>
  <si>
    <t>● (p) Pos. 2 Fortschr. BSK/-Pläne</t>
  </si>
  <si>
    <t>5640.13 E&amp;S-Fortschr2-BSK-Eppelheimerstr8-Heidelberg</t>
  </si>
  <si>
    <t>5641 Interimsgebäude-Hbf-Stuttgart-3-Geschosse</t>
  </si>
  <si>
    <t>5646.02 Quantum-Fortschr-BSK-Reuterweg-47-Frankfurt</t>
  </si>
  <si>
    <t>● Pos. 1 Fortschr. BSK pauschal</t>
  </si>
  <si>
    <t>● Pos. 2 BAB a.N.</t>
  </si>
  <si>
    <t>● Pos. 3 BTB a.N.</t>
  </si>
  <si>
    <t>● Pos. 4 FWP pauschal</t>
  </si>
  <si>
    <t>● Pos. 5 FuR pauschal</t>
  </si>
  <si>
    <t>● • (p) Pos. 1 2. Fortschreibung des BSK (NAT zu Pos. 1 des Ursprungsangebotes)</t>
  </si>
  <si>
    <t>● • (p) Pos. 2 zusätzl. Ortstermine (NAT zu Pos. 2 des Ursprungsangebotes)</t>
  </si>
  <si>
    <t>● • (p) Pos. 3 zusätzl.  Beratungsleistung (NAT zu Pos. 3 des Ursprungsangebotes)</t>
  </si>
  <si>
    <t>● NA2 2024-04-04</t>
  </si>
  <si>
    <t>5662.02 PrüfBSN-AntonSchlüterStr1-Frankfurt-HPPVO</t>
  </si>
  <si>
    <t>● (aN) Pos. 1 Überwachung und Bescheinigung der übereinstimmenden Bauausführung gem. HPPVO</t>
  </si>
  <si>
    <t>5664.011 Geb-G1-FRP-Lauterstraße-50-Wolfstein</t>
  </si>
  <si>
    <t>● (aN) Pos. 1 Begehung (CAD)</t>
  </si>
  <si>
    <t>5664.16 BAB-Geb-G2+3-Lauterstraße-50-Wolfstein</t>
  </si>
  <si>
    <t>● Baubegleitung Geb. 2 (auf Nachweis)</t>
  </si>
  <si>
    <t>● Baubegleitung Geb. 3 (auf Nachweis)</t>
  </si>
  <si>
    <t>5664.17 BSK-Anbau-G1-Lauterstraße-50-Wolfstein</t>
  </si>
  <si>
    <t>● Behördentermine + Jourfix (auf Nachweis)</t>
  </si>
  <si>
    <t>● LP 5 Stundensammler</t>
  </si>
  <si>
    <t>● LP 8 Stundensammler</t>
  </si>
  <si>
    <t>5664.171 KOF-Anbau-G1-Lauterstraße-50-Wolfstein</t>
  </si>
  <si>
    <t>● (aN) Pos. 1 BTB LP 5 (SV)</t>
  </si>
  <si>
    <t>● (aN) Pos. 2 BAB LP 8 (SV)</t>
  </si>
  <si>
    <t>5664.18 BSK-Pforte-G2-Lauterstraße-50-Wolfstein</t>
  </si>
  <si>
    <t>5664.19 (5667.04)  KOB-BAB-Umbau-Sprinkleranlage-Lauterstr50-Wolfstein</t>
  </si>
  <si>
    <t>● (p) Pos. 2 Erstellung einer Brandschutztechnischen Stellungnahme</t>
  </si>
  <si>
    <t>5664.20 KOB-BAB-Trinkwassertrennung-Lauterstraße-50-Wolfstein</t>
  </si>
  <si>
    <t>● (aN) Pos. 1 Brandschutztechnische Beratung (SV 30h) 3.000€</t>
  </si>
  <si>
    <t>5664.21 Stundensammler-KOB-BTB-Chemikalienlager-Lauterstr50-Wolfstein</t>
  </si>
  <si>
    <t>● (aN) Pos. 1 BTB inkl. 1 Ortstermin</t>
  </si>
  <si>
    <t>● (p) Pos. 2 optional BST</t>
  </si>
  <si>
    <t>5667.03 BSK-Lauterstraße-50-Wolfstein-Geb-4-Gecko-Anlage</t>
  </si>
  <si>
    <t>5675.04 Stundensammler-GWG-WBS-FWP-Heinkelstr1-Schorndorf-S'LEDERER</t>
  </si>
  <si>
    <t>● (p) Pos. 1 Überarbeitung FWP</t>
  </si>
  <si>
    <t>5680 Kaiser-Friedrich-Promenade-57-Bad-Homburg-Louisenarkaden-Kurstift-Gesamtgebäude</t>
  </si>
  <si>
    <t>5686.02 RGM-Apleona-FRP-Gläserne-Softwarefabrik-Brauerstraße12-Karlsruhe</t>
  </si>
  <si>
    <t>● (p) Pos. 1 Aktualisierung der bestehenden Flucht- und Rettungspläne</t>
  </si>
  <si>
    <t>5687.06 BTB-Wandelhalle-Ginnheimer-Stadtweg-88-Frankfurt</t>
  </si>
  <si>
    <t>● (aN) BTB während Bauzeit</t>
  </si>
  <si>
    <t>● (a.N.) NAT01-BTB-INMC-Geb.</t>
  </si>
  <si>
    <t>● • 9301-Erstellen od. Prüfen Bestuhlungspläne….</t>
  </si>
  <si>
    <t>● (aN) Pos.1 Brandschutzdienstlstg. (Akteneinsicht, Erst. Eckdatenkonzept Brandschutz+Riegel, BAB)</t>
  </si>
  <si>
    <t>5687.08 RGS-Ginnheimer-Stadtweg-88-Frankfurt-Sprinkleranlage</t>
  </si>
  <si>
    <t>● (p) Pos.1 Variante 3-Nachw. d. bestehenden Systems i.V.m. neuer zusätzl. Löschtechn.+Wandelhalle</t>
  </si>
  <si>
    <t>● (aN) Pos.2 Beratungsleistungen des Prüfsachverständigen Löschanlagen</t>
  </si>
  <si>
    <t>5691 U-Bahnstation-Dom-Römer-Frankfurt-Elektroräume</t>
  </si>
  <si>
    <t>5697 BWZK-KO-Medienversorgung-Liegenschaft</t>
  </si>
  <si>
    <t>5702.02 BAB-Beunestraße-18-Frankfurt</t>
  </si>
  <si>
    <t>5711 UniMed-Augsburg-Forschungsgebäude</t>
  </si>
  <si>
    <t>● bauzeitl. FuR-Pläne (pauschal)</t>
  </si>
  <si>
    <t>5712 UniMed-Augsburg-Lehrgebäude</t>
  </si>
  <si>
    <t>● (p) 1000-Grundlagenermittlung</t>
  </si>
  <si>
    <t>● (p) 2000-Vorplanung</t>
  </si>
  <si>
    <t>● (p) 3000-Entwurfsplanung</t>
  </si>
  <si>
    <t>● (p) 4000-Genehmigungsplanung</t>
  </si>
  <si>
    <t>● (p) 5000-Ausführungsplanung</t>
  </si>
  <si>
    <t>● • NAT zu MST 8305 Beratung</t>
  </si>
  <si>
    <t>● (p+aN)) 8000-Objektüberwachung</t>
  </si>
  <si>
    <t>● (p) 9000-Objektbetreuung und Dokumentation</t>
  </si>
  <si>
    <t>5717.09 FI-Theodor-Heuss-Allee-90-Frankfurt</t>
  </si>
  <si>
    <t>● (aN) Beratungsleistungen übergeordnet (SV)</t>
  </si>
  <si>
    <t>● (aN) BTB E-Ladestationen TG</t>
  </si>
  <si>
    <t>● (aN) Erstellung BSK (SV)</t>
  </si>
  <si>
    <t>● (aN) Erstellung BSK-Pläne (CAD)</t>
  </si>
  <si>
    <t>● (aN) Erstellung Qualitative Brandfallmatrix (SV)</t>
  </si>
  <si>
    <t>5725.04 Frittenwerk-Bahnhof-Hbf-Mainz</t>
  </si>
  <si>
    <t>● Beratung + Statusbericht (auf Nachweis)</t>
  </si>
  <si>
    <t>5725.06 BST-Bahnhof-Hbf-Mainz-TK-Raum</t>
  </si>
  <si>
    <t>● Erstellung einer brandschutztechn. Stellungnahme (p)</t>
  </si>
  <si>
    <t>● Ortstermin (p)</t>
  </si>
  <si>
    <t>● Prüfung und Ausführungsplanung (a.N.)</t>
  </si>
  <si>
    <t>5725.061 BST-NAT-01-Bahnhof-Hbf-Mainz-TK-Raum</t>
  </si>
  <si>
    <t>● (p) Mehraufwand Erstellung BST</t>
  </si>
  <si>
    <t>● (a.N.) Prüfung Ausführungsplanung</t>
  </si>
  <si>
    <t>5725.07 NAT-BSK-Bahnhof-Hbf-Mainz</t>
  </si>
  <si>
    <t>● (a.N.) Anpassen BSK</t>
  </si>
  <si>
    <t>5726.03 Flörsheim-22-Mehrfamilienhäuser</t>
  </si>
  <si>
    <t>● Bestandsanalyse + -bewertung (auf Nachweis)</t>
  </si>
  <si>
    <t>● Prüfung Maßnahmen 7 Wohngebäude (auf Nachweis)</t>
  </si>
  <si>
    <t>5726.04 PretiumPlus-Fraport-Casa-Flörsheim-Prio3-divers</t>
  </si>
  <si>
    <t>● Rheinallee 50, Flörsheim</t>
  </si>
  <si>
    <t>● Lahnstr. 3, Flörsheim</t>
  </si>
  <si>
    <t>● Lahnstr. 41, Flörsheim</t>
  </si>
  <si>
    <t>● Ahrstr. 12, Flörsheim</t>
  </si>
  <si>
    <t>● Erthalstr. 4a, Flörsheim</t>
  </si>
  <si>
    <t>● WEG-Rheinallee 31 b, Flörsheim</t>
  </si>
  <si>
    <t>5727.01 Fortschr-BSK-Rechenzentrum-Langewiesen-Ilmenau</t>
  </si>
  <si>
    <t>● Abstimmungstermine / Behördentermine (auf Nachweis)</t>
  </si>
  <si>
    <t>5729.09 BSB-2024-Mannheimer-Straße-21-Frankfurt-IntercityHotel</t>
  </si>
  <si>
    <t>5731.03 Abgleich-Genehmigungsplanung-Geb555</t>
  </si>
  <si>
    <t>● • 1200-Bestandserfassung vor Ort....</t>
  </si>
  <si>
    <t>● • 1101-Zusammenstellen Ergebnisse….</t>
  </si>
  <si>
    <t>5734.02 BSK-Mainstraße-3-Kriftel-Shisha-Bar</t>
  </si>
  <si>
    <t>● (p) Pos.1 Fortschr. BSK wg. neuer Planung Gastraum</t>
  </si>
  <si>
    <t>● (a.N.) Pos.2 BAB+Qualitätsüberwachung</t>
  </si>
  <si>
    <t>5753.02 FWP-Mooswaldallee1-Freiburg-Pfizer</t>
  </si>
  <si>
    <t>● • ‧ 1200-Bestandserfassung vor Ort....</t>
  </si>
  <si>
    <t>● • (p.) FWP</t>
  </si>
  <si>
    <t>5753.03 Pfizer-HighCon-Büro-Mooswaldallee1-Freiburg</t>
  </si>
  <si>
    <t>● (p) Pos. 1 Fortschreibung Brandschutzkonzept</t>
  </si>
  <si>
    <t>5757 Hirschberger-Straße-1-Schriesheim-Kurpfalz-Gymnasium</t>
  </si>
  <si>
    <t>5757.04 FUR-Gymnasium-Hirschbergstr1-Schriesheim</t>
  </si>
  <si>
    <t>● (p) Erstellung FUR</t>
  </si>
  <si>
    <t>● (p) 9 Klapprahmen DIN A3</t>
  </si>
  <si>
    <t>5757.05 StadtSchriesheim-BSK-Gymnasium-Hirschbergstr1-Schriesheim</t>
  </si>
  <si>
    <t>● (p) Pos. 2 Planung der Ausstattung mit Feuerlöschern</t>
  </si>
  <si>
    <t>5757.06 Stadt-Schriesheim-FWP-Gymnasium-Hirschbergstr1-Schriesheim</t>
  </si>
  <si>
    <t>● • (p) Pos. 1 Feuerwehrplan</t>
  </si>
  <si>
    <t>● • (aN) Pos. 2 Begehung (CAD)</t>
  </si>
  <si>
    <t>● • (aN) Pos. 3 Pos. 3 Grundrissanpassungen (CAD)</t>
  </si>
  <si>
    <t>● • (p) Pos. 4 Brandschutzordnung Teil A-C</t>
  </si>
  <si>
    <t>5760 Krankenhaus-Leonberg-Rutesheimer-Straße-50-Leonberg</t>
  </si>
  <si>
    <t>5760.02 BSK-Gesamtgeb-Krankenhaus-Leonberg-Rutesheimer-Straße-50-Leonberg</t>
  </si>
  <si>
    <t>● BSK Gesamtgebäude (auf Nachweis)</t>
  </si>
  <si>
    <t>5760.03 NAT05-BSK-BSP-Containergeb-KH-Leonberg</t>
  </si>
  <si>
    <t>● (a.N.) LP2 Vorplanung</t>
  </si>
  <si>
    <t>● (a.N.) BSK</t>
  </si>
  <si>
    <t>● (a.N.) BSP</t>
  </si>
  <si>
    <t>5760.05 NAT04-Fortschr-BSK-Krankenhaus-Leonberg</t>
  </si>
  <si>
    <t>● (a.N.) LP 2 Vorplanung</t>
  </si>
  <si>
    <t>● (a.N.) Fortschr. BSK</t>
  </si>
  <si>
    <t>● (a.N.) Fortschr. BSP</t>
  </si>
  <si>
    <t>5760.07 RMK-Krankenhaus-Leonberg</t>
  </si>
  <si>
    <t>● (p) Pos.1 Räumungskonzept und Planunterlagen</t>
  </si>
  <si>
    <t>● (p) Pos.2 Unterlagen zur Horizontalverschiebung</t>
  </si>
  <si>
    <t>● (p) Pos.3 Unterweisung von Multiplikatoren</t>
  </si>
  <si>
    <t>5760.08  EVA-Krankenhaus-Leonberg</t>
  </si>
  <si>
    <t>● (aN) Pos.1 Fortschr. Räumungskonzept</t>
  </si>
  <si>
    <t>5760.09 RMU-KH-Leonberg</t>
  </si>
  <si>
    <t>● (aN) Pos.1 Räumungsmappen 13 Stck. à 104€</t>
  </si>
  <si>
    <t>5762 ROB-MCR-Weilerbach-Energiezentralen-Los-5-2</t>
  </si>
  <si>
    <t>● Nachtragsvereinbarung 01 Rev04</t>
  </si>
  <si>
    <t>5764.02 GGAreal14.2-Anpassung-BSK-Amelia-Mary-Earhart-Straße-Frankfurt</t>
  </si>
  <si>
    <t>● (p) Pos. 1 Anp. BSK</t>
  </si>
  <si>
    <t>5767 Universität-Konstanz-Geb-X</t>
  </si>
  <si>
    <t>● • 5101-Mitwirken Koordination Fachplanung (auf Nachweis)</t>
  </si>
  <si>
    <t>● Leistungsstufe 5 - Ausführungsplanung + Vergabe</t>
  </si>
  <si>
    <t>● Planung Feuerlöscher (pauschal)</t>
  </si>
  <si>
    <t>● Erstellen einer (technischen) gewerkeübergreifenden Brandfallsteuermatrix (pauschal)</t>
  </si>
  <si>
    <t>● 6000 - Vorbereitung Vergabe (LP 6)</t>
  </si>
  <si>
    <t>● 7000 - Vergabe (LP 7)</t>
  </si>
  <si>
    <t>● (p) 8000 - Bau-/Objektüberwachung</t>
  </si>
  <si>
    <t>● (p) 9000 - Dokumentation</t>
  </si>
  <si>
    <t>● 9000 Bes. Lstg.</t>
  </si>
  <si>
    <t>5767.02 Tektur-BSK-Universität-Konstanz-Geb-X</t>
  </si>
  <si>
    <t>● (a.N.) Tektur BSK</t>
  </si>
  <si>
    <t>5767.03 NAT-BSP-Universität-Konstanz-Geb-X</t>
  </si>
  <si>
    <t>● (p) Pos.1 Anpassung BSP</t>
  </si>
  <si>
    <t>5789.02 BAB-Am-Exerzierplatz-Mannheim-Drestate-Brandschutzthemen</t>
  </si>
  <si>
    <t>5789.07 Thor-FortschrBSK-OG-BT-C-Am-Exerzierplatz-Mannheim</t>
  </si>
  <si>
    <t>5789.08 Thor-FRP-BT-C-Am-Exerzierplatz2-Mannheim</t>
  </si>
  <si>
    <t>● (aN) Pos. 1 Begehung vor Ort (CAD)</t>
  </si>
  <si>
    <t>● (p) Pos. 2 Prüfung + Überarbeitung FRP (CAD)</t>
  </si>
  <si>
    <t>5791 Alicestraße-13-Bad-Nauheim-HPPVO</t>
  </si>
  <si>
    <t>5793 Eschholzstraße-118-Freiburg-Rettungszentrum</t>
  </si>
  <si>
    <t>● Überarbeitung Eckdatenkonzept (auf Nachweis)</t>
  </si>
  <si>
    <t>● Nr. 5/LP 8 GL</t>
  </si>
  <si>
    <t>● Nr. 6/LP 9 BL</t>
  </si>
  <si>
    <t>● (p) Pos. 1 Feuerlöscherberechnung</t>
  </si>
  <si>
    <t>5793.02 StadtFB-NB-Geb-D-AE3-Eschholzstr118-Freiburg-Rettungszentrum</t>
  </si>
  <si>
    <t>5793.03 StadtFB-Eschholzstr118-Freiburg-Rettungszentrum-Halle-E</t>
  </si>
  <si>
    <t>5808 ABS-Hanau-Gelnhausen</t>
  </si>
  <si>
    <t>5812.01 Bestandsgeb-Clementine-Kinderhospital-Frankfurt</t>
  </si>
  <si>
    <t>● Beratung zum Umbau Kinder-Notaufnahme (auf Nachweis)</t>
  </si>
  <si>
    <t>5818 BWZK-KO-Interimsbau-ITS</t>
  </si>
  <si>
    <t>● (aN) Aktualisierung BSP</t>
  </si>
  <si>
    <t>5820 Berner-Straße-49-Frankfurt</t>
  </si>
  <si>
    <t>5821 Regionaltangente-West-RTW-Frankfurt</t>
  </si>
  <si>
    <t>5824.02 BST-TK-Raum-Hbf-Hanau-DBOS</t>
  </si>
  <si>
    <t>●  (p.) BST TK-Raum</t>
  </si>
  <si>
    <t>● (p.) Ortstermin</t>
  </si>
  <si>
    <t>● (a.N.) Prüfung Aufführungsplanung</t>
  </si>
  <si>
    <t>5825 Deutsche-Funkturm-Ginnheimer-Stadtweg-90-Frankfurt-Europaturm</t>
  </si>
  <si>
    <t>5825.01 MBS-Deutsche-Funkturm-Ginnheimer-Stadtweg-90-Frankfurt-Europaturm</t>
  </si>
  <si>
    <t>● Veranstaltungen SIK</t>
  </si>
  <si>
    <t>5825.02 BTB-FW-Aufzug-Deutsche-Funkturm-Ginnheimer-Stadtweg-90-Frankfurt-Europaturm</t>
  </si>
  <si>
    <t>5825.03 SIK-Deutsche-Funkturm-Ginnheimer-Stadtweg-90-Frankfurt-Europaturm</t>
  </si>
  <si>
    <t>● Sicherheitskonzept Bauzeit (auf Nachweis)</t>
  </si>
  <si>
    <t>● Visualisierung Sicherheitskonzept (auf Nachweis)</t>
  </si>
  <si>
    <t>5825.04 LP5-8-Europaturm-Turmgebäude-Ffm</t>
  </si>
  <si>
    <t>● () LP 5-8</t>
  </si>
  <si>
    <t>5826.01 BSK-Am-Weißen-Berg-3-5-Kronberg</t>
  </si>
  <si>
    <t>● BSK-Pläne (pauschal)</t>
  </si>
  <si>
    <t>● 0001-Berater</t>
  </si>
  <si>
    <t>5826.02 BTB-Am-Weißen-Berg-3-5-Kronberg</t>
  </si>
  <si>
    <t>● (a.N.) Brandschutztechnische Beratung</t>
  </si>
  <si>
    <t>5829.02 JUWI-Anp-BSK-WP-Hellenthal-Wiesenhardt</t>
  </si>
  <si>
    <t>● (p) Anpassung BSK (gem. Rahmenvertrag)</t>
  </si>
  <si>
    <t>5831.03 BMK-ISS-Ginnheimer-2-Stadtweg-90-Frankfurt-Europaturm</t>
  </si>
  <si>
    <t>● (a.N.) Pos.1 Prüfung Brandfallmatrix</t>
  </si>
  <si>
    <t>● (a.N.) Pos.2 Ortstermine</t>
  </si>
  <si>
    <t>5831.04 Telekom-BTB-Ginnheimer-Stadtweg-90-Frankfurt-Europaturm</t>
  </si>
  <si>
    <t>● (a.N.) Pos.1 BTB zum Abgleich IST-Situation mit genehm. BSK</t>
  </si>
  <si>
    <t>● (aN) Pos.1 BTB zur Ausführung v.Brandschutzmaßnahmen, Bewertung / Vorschläge v.Alternativlösungen</t>
  </si>
  <si>
    <t>5834.041 (eh.7262) Fuchs-FWP-FUR-Werner-Heisenberg-Str1-Kaiserslautern</t>
  </si>
  <si>
    <t>● (aN) Pos. 1 Feuerwehrpläne</t>
  </si>
  <si>
    <t>● (p) Pos. 2 Flucht- und Rettungspläne</t>
  </si>
  <si>
    <t>5834.05 BST-Werner-Heisenberg-Straße-1-Kaiserslautern</t>
  </si>
  <si>
    <t>● BTB a.N.</t>
  </si>
  <si>
    <t>● BST pauschal</t>
  </si>
  <si>
    <t>● Anpassung BSK pauschal</t>
  </si>
  <si>
    <t>5834.06 FortschrBSK-CASSIDA-Werner-HeisenbergStr1-KL</t>
  </si>
  <si>
    <t>● (p) Fortschr BSK</t>
  </si>
  <si>
    <t>● (p) Anpassung FWP</t>
  </si>
  <si>
    <t>● (p) Erstellung BSO Teil B+C</t>
  </si>
  <si>
    <t>5834.07 Fuchs-Digit-Bestandspläne-Werner-HeisenbergStr1-KL</t>
  </si>
  <si>
    <t>● (aN) Pos. 1 Digitalisierung der Grundrisse</t>
  </si>
  <si>
    <t>● ADM (nicht kalkuliert)</t>
  </si>
  <si>
    <t>5834.08 Fuchs-FLK-Werner-HeisenbergStr1-KL</t>
  </si>
  <si>
    <t>● (aN) Pos. 1 Feuerwehrlaufkarten (CAD)</t>
  </si>
  <si>
    <t>● (p) Pos. 2 Drucken und Laminieren der Feuerwehrlaufkarten  (CAD)</t>
  </si>
  <si>
    <t>● (aN) Pos. 3 Feuerwehrpläne  (CAD)</t>
  </si>
  <si>
    <t>5834.103 Fuchs-RV-BSB-2025-Werk-Werner-Heisenberg-Straße-1-Kaiserslautern</t>
  </si>
  <si>
    <t>● (a.N.) BSB 2025 - mind. 2 Begehungen pro Jahr (halbjährlich)</t>
  </si>
  <si>
    <t>5838.01 BSK-WEG-Dörnigheimer-Weg-26-34-Goethestraße-120-126-Maintal-TG</t>
  </si>
  <si>
    <t>● (p) Pos.1 Neuerstellung Brandschutzkonzept TG</t>
  </si>
  <si>
    <t>5840.01 FW-Pläne-An-der-Leimenkaut-1-3-Bad-Homburg</t>
  </si>
  <si>
    <t>5840.02 BAB-An-der-Leimenkaut-1-3-Bad-Homburg</t>
  </si>
  <si>
    <t>5842 S-Bahnhöfe-Müchen-Haltezeitencounter</t>
  </si>
  <si>
    <t>5845.03 myStorage-KOF-John-Deere-Straße-79-Mannheim</t>
  </si>
  <si>
    <t>● (p) Pos. 1 Abnahmen der Bauphasen 4,5a,6 und 7</t>
  </si>
  <si>
    <t>● (p) Pos. 2 optional auf Abruf</t>
  </si>
  <si>
    <t>● (p) Pos. 3 Erstellung von Flucht- und Rettungsplänen</t>
  </si>
  <si>
    <t>● (p) Pos. 4 Erstellung von Feuerwehrplänen</t>
  </si>
  <si>
    <t>5845.04 myStorage-BSK-John-Deere-Straße-79-Mannheim-1+2.OG</t>
  </si>
  <si>
    <t>● (p) Pos.2 OPTIONAL Teilnahme an Abstimmungstermin</t>
  </si>
  <si>
    <t>● (aN) Pos.3 Objektüberwachung</t>
  </si>
  <si>
    <t>● (p) Pos.4 FRP</t>
  </si>
  <si>
    <t>● (p) Pos.5 FWP</t>
  </si>
  <si>
    <t>5848.02 BSK-Höhnerweg-2-4-Weinheim-Freudenberg-Bau142</t>
  </si>
  <si>
    <t>● (a.N.) Pos. 1 Ortstermine + Besprechungenon (auf Nachweis)</t>
  </si>
  <si>
    <t>● (p.) Pos. 2 Erst. BSK Geb. 142</t>
  </si>
  <si>
    <t>5850.01 Unionstraße-3-Hamm-Sonar</t>
  </si>
  <si>
    <t>● Leistungen bis 12.03.21 (pauschal)</t>
  </si>
  <si>
    <t>5850.02 Pläne-Unionstraße-3-Hamm-Sonar</t>
  </si>
  <si>
    <t>5850.03 BAB-Unionstraße-3-Hamm-Sonar</t>
  </si>
  <si>
    <t>● (p) Brandschutztechnische Stellungnahme</t>
  </si>
  <si>
    <t>5858 Fraport-RV-Ersatzgebäude-Geb550</t>
  </si>
  <si>
    <t>● (a.N.) FWP + FRP (OHNE Rahmen)</t>
  </si>
  <si>
    <t>5862.01 BAB-Karpfenweg-10-12-Frankfurt</t>
  </si>
  <si>
    <t>5864.01 Pläne-Donaustraße-1-Memmingen</t>
  </si>
  <si>
    <t>5864.02 TekturBSK-Donaustraße-1-Memmingen</t>
  </si>
  <si>
    <t>● • 4309-Fortschreibung Brandschutzkonzept / Tektur</t>
  </si>
  <si>
    <t>● • 4302-Ortstermine, Besprechung Behörde, Feuerwehr etc...</t>
  </si>
  <si>
    <t>5867 Henry-Dunant-Straße-1-Groß-Gerau-DRK</t>
  </si>
  <si>
    <t>● (a.N.) Baubegleitung Brandschutz</t>
  </si>
  <si>
    <t>5872 OrgBSK-Laurentiusweg-1-Mainburg-Ilmtalklinik</t>
  </si>
  <si>
    <t>5872.01 Laurentiusweg-1-Mainburg-Ilmtalklinik</t>
  </si>
  <si>
    <t>● Pos.1 Planungsbegl. Zielplanung (Gesamtklinik) (pauschal)</t>
  </si>
  <si>
    <t>● Pos.2 Planungsbegl. LP 1+2 BA1+2 (pauschal)</t>
  </si>
  <si>
    <t>● Pos.3 Planungsbegl. LP 3+4 + BSN BA1+2 (pauschal)</t>
  </si>
  <si>
    <t>● Pos.4 Planungsbegl. LP5 (pauschal)</t>
  </si>
  <si>
    <t>● Tagespauschalen für Ortstermine (pauschal)</t>
  </si>
  <si>
    <t>5872.02 Ilmtalklinik-AHO-KH-Mainburg-Laurentiusweg-1-Mainburg-BA1</t>
  </si>
  <si>
    <t>● (p) Pos.1: - Brandschutztechn. Planungsbegl. LP 1+2</t>
  </si>
  <si>
    <t>● (p) Pos.2: - Brandschutztechn. Planungsbegl. LP 3+4</t>
  </si>
  <si>
    <t>● (a.N.) Pos. 3 - Beratungen i.R.d. Ausführungsplanung - LP 5</t>
  </si>
  <si>
    <t>● (p) Pos.3a:  Projektbesprechungen (4 Stück)</t>
  </si>
  <si>
    <t>● (p) Pos.4 - Erstellung einer Brandschutz-Steuermatrix - Optional</t>
  </si>
  <si>
    <t>● NAT.01</t>
  </si>
  <si>
    <t>5875.02 Halle-W-Homburger-Straße-117-125-Zweibrücken-Container</t>
  </si>
  <si>
    <t>● Brandschutzkonzept Halle W (auf Nachweis)</t>
  </si>
  <si>
    <t>5875.031 John Deere-BAB-Homburger-Straße-117-125-Zweibrücken-Keller-Halle-B</t>
  </si>
  <si>
    <t>● (aN) Pos.1 Baubegleitende Brandschutzberatung und Qualitätsüberwachung</t>
  </si>
  <si>
    <t>5875.061 John-Deere-Werk-Halle-N-HomburgerStr117-125-Zweibrücken</t>
  </si>
  <si>
    <t>● (aN) Pos. 1 Ortstermin, Abstimmungen und BTB (SV)</t>
  </si>
  <si>
    <t>● (p) Pos. 2 Erstellung eines Brandschutzkonzeptes</t>
  </si>
  <si>
    <t>● (aN) Pos. 3 Baubegleitende Brandschutzberatung und Qualitätsüberwachung (SV)</t>
  </si>
  <si>
    <t>5875.07 BAB-Halle-R-Homburger-Straße-117-125-Zweibrücken-Container</t>
  </si>
  <si>
    <t>● (aN) BAB Trafostation Halle R</t>
  </si>
  <si>
    <t>5875.071 John-Deere-BSK-Halle-R-HomburgerStr117-125-Zweibrücken-Pausencontainer</t>
  </si>
  <si>
    <t>● (p) Pos. 1 BSK</t>
  </si>
  <si>
    <t>● (aN) Pos. 2 BTB</t>
  </si>
  <si>
    <t>● (aN) Einreichung Bauantrag Showroom</t>
  </si>
  <si>
    <t>5875.09 BTB-Werk-HomburgerStr117-125-Zweibrücken</t>
  </si>
  <si>
    <t>5875.10 John-Deere-BSK-Halle-U-HomburgerStr117-125-Zweibrücken</t>
  </si>
  <si>
    <t>● (aN) Pos. 2 Beratungsleistungen und Abnahme</t>
  </si>
  <si>
    <t>5875.11 John-Deere-BSK-Halle-V-HomburgerStr117-125-Zweibrücken-Pausencontainer</t>
  </si>
  <si>
    <t>● (aN) Pos.2 Beratungslstg. u. Abnahme</t>
  </si>
  <si>
    <t>5875.12 John-Deere-BSK-Halle-X-HomburgerStr117-125-Zweibrücken-Pausencontainer</t>
  </si>
  <si>
    <t>● (aN) Pos. 3 Erw. BSK um Bestandshallen X und Z</t>
  </si>
  <si>
    <t>5875.13 John-Deere-BSK-Halle-V-HomburgerStr117-125-Zweibrücken</t>
  </si>
  <si>
    <t>● (aN) Pos. 3 BAB</t>
  </si>
  <si>
    <t>5875.14 John-Deere-BSK-Pausencontainer-Ostfabrik-HomburgerStr117-125-Zweibrücken</t>
  </si>
  <si>
    <t>● (aN) Pos. 1 Erstellung eines Brandschutzkonzeptes (SV)</t>
  </si>
  <si>
    <t>● (aN) Pos. 2 Beratung und Abnahme (SV)</t>
  </si>
  <si>
    <t>● (p) Pos. 3 Auftragsbearbeitung / Administrative Tätigkeiten zur Projektunterstützung (ADM)</t>
  </si>
  <si>
    <t>5876 Eppelheimer-Straße-12-Heidelberg-Hotel-Easy-Living</t>
  </si>
  <si>
    <t>● 8000 - Objektüberwachung</t>
  </si>
  <si>
    <t>5877.04 NAT02-BSK-FFM-Ost-Anpassung-DB</t>
  </si>
  <si>
    <t>● (p) Pos. 1 - Anpassung BSK</t>
  </si>
  <si>
    <t>● (p) Pos.2 - Abstimmungstermin</t>
  </si>
  <si>
    <t>● (p) Pos.3 - Anpassung Brandschutzkonzeptpläne</t>
  </si>
  <si>
    <t>5877.05 NAT03-BSK-FFM-Ost-Anpassung-DB</t>
  </si>
  <si>
    <t>● (p) Pos.2 Fortschr.BSK</t>
  </si>
  <si>
    <t>5877.06 BSK-FFM-Ost-Fortschr-BSK-DB</t>
  </si>
  <si>
    <t>● (p) Pos.1 Brandschutztechnische Stellungnahme</t>
  </si>
  <si>
    <t>● (p) Pos.2 Fortschreibung Brandschutzkonzept (78h SV / 1h Admin) 9.425€ / 10.850€</t>
  </si>
  <si>
    <t>● (p) Pos.3 Rauchgassimulation</t>
  </si>
  <si>
    <t>● (p) Pos.4 Evakuierungssimulation</t>
  </si>
  <si>
    <t>5882 Bischofsheimer-Kerb-Bischofsheim</t>
  </si>
  <si>
    <t>5883 E&amp;S-BSK-Hotel-Hirschgasse-3-Heidelberg</t>
  </si>
  <si>
    <t>● NAT 01 Fortschreibung BSN</t>
  </si>
  <si>
    <t>● (aN) Pos. 2 Beratung + BAB</t>
  </si>
  <si>
    <t>5888 BSN-ImGestütErlenhof3-BadHomburg</t>
  </si>
  <si>
    <t>● • ‧ 4202-Fortschreiben BSK aufgrund Vorprüfung Behörden</t>
  </si>
  <si>
    <t>● • ‧ 4302-Ortstermine, Besprechung Behörde, Feuerwehr etc...</t>
  </si>
  <si>
    <t>● • ‧ 4105-Zusammenstellung Unterlagen für Einreichung bei BA….</t>
  </si>
  <si>
    <t>● • ‧ 8200-Prüfen der Ausführung - system. stichprobenart. Kontrolle (Stufe 2)….</t>
  </si>
  <si>
    <t>5889 Kleyerstraße-75-89-Telehouse-Geb-C0</t>
  </si>
  <si>
    <t>5899.01 RV-BTB-Haus-3-Dag-Hammarskjöld-Weg-1-5-Eschborn</t>
  </si>
  <si>
    <t>5899.02 RV-BTB-Haus-3-Dag-Hammarskjöld-Weg-1-5-Eschborn</t>
  </si>
  <si>
    <t>5902 DFS-Konzeption-Brandschutzmanagement</t>
  </si>
  <si>
    <t>● • Projektleitung/Koordination BSB 2021 (auf Nachweis)</t>
  </si>
  <si>
    <t>● • Projektleitung/Koordination BSB 2022</t>
  </si>
  <si>
    <t>● 2022 (auf Nachweis)</t>
  </si>
  <si>
    <t>● 2023 (auf Nachweis)</t>
  </si>
  <si>
    <t>● • Projektleitung/Koordination BSB 2024</t>
  </si>
  <si>
    <t>● 2024 (auf Nachweis)</t>
  </si>
  <si>
    <t>● BSB 2025 (a.N.)</t>
  </si>
  <si>
    <t>5902.001 DFS-Überarbeitung-BSO-div-Liegenschaften</t>
  </si>
  <si>
    <t>● (aN) Pos. 1 Prüfung BSO (mehrere Liegenschaften)</t>
  </si>
  <si>
    <t>● (aN) Pos. 2a Überarb. BSO - Control Center</t>
  </si>
  <si>
    <t>● (aN) Pos. 2b Überarb. BSO - Forschungszentrum</t>
  </si>
  <si>
    <t>● (aN) Pos. 2c Überarb. BSO - Logistischer Dienst</t>
  </si>
  <si>
    <t>● (aN) Pos. 2d Überarb. BSO - Systemhaus</t>
  </si>
  <si>
    <t>● (aN) Pos. 2e Überarb. BSO - Technikzentrum</t>
  </si>
  <si>
    <t>● (aN) Pos. 2f Überarb. BSO - Tower Süd Frankfurt</t>
  </si>
  <si>
    <t>● (aN) Pos. 2g Überarb. BSO - Tower Nord Frankfurt</t>
  </si>
  <si>
    <t>● (aN) Pos. 2h Überarb. BSO - Akademie</t>
  </si>
  <si>
    <t>● (aN) Pos. 2i Überarb. BSO - Unternehmenszentrale</t>
  </si>
  <si>
    <t>5902.002 DFS-Laufkarten-Langen</t>
  </si>
  <si>
    <t>● (p) Erstellung Feuerwehrlaufkarte MG30 - Radaranlage Modautal</t>
  </si>
  <si>
    <t>● (p) Erstellung Feuerwehrlaufkarte MG4528 - Akademie Langen</t>
  </si>
  <si>
    <t>5902.05 BSB-DFS-001-Unternehmenszentrale-Langen</t>
  </si>
  <si>
    <t>● Brandschutzbeauftragter 2021 (auf Nachweis)</t>
  </si>
  <si>
    <t>● BSB 2022 (auf Nachweis)</t>
  </si>
  <si>
    <t>● BSB 2023 (auf Nachweis)</t>
  </si>
  <si>
    <t>● Mängel-/Maßnahmeneinarbeitung FOT (auf Nachweis)</t>
  </si>
  <si>
    <t>● BSB 2024 (auf Nachweis)</t>
  </si>
  <si>
    <t>5902.06 BSB-DFS-002-Akademie-Langen</t>
  </si>
  <si>
    <t>● BSB 2025</t>
  </si>
  <si>
    <t>5902.07 BSB-DFS-003-Control-Center-Langen</t>
  </si>
  <si>
    <t>● BSB 2023 (a.N.)</t>
  </si>
  <si>
    <t>● BSB 2024 (a.N.)</t>
  </si>
  <si>
    <t>5902.08 BSB-DFS-004-Systemhaus-Langen</t>
  </si>
  <si>
    <t>● • 9302-Aufgaben Brandschutzbeauftragter….</t>
  </si>
  <si>
    <t>● • Einarbeitung FOT</t>
  </si>
  <si>
    <t>5902.09 BSB-DFS-005-Technikzentrum-Langen</t>
  </si>
  <si>
    <t>5902.10 BSB-DFS-006-Forschungszentrum-Langen</t>
  </si>
  <si>
    <t>5902.12 BSB-DFS-008-Zentraler-Logistischer-Dienst-NB</t>
  </si>
  <si>
    <t>5902.13 BSB-DFS-009-Control-Center-Bremen-inkl-Tower</t>
  </si>
  <si>
    <t>● BSB 2024</t>
  </si>
  <si>
    <t>● (aN) BSB 2025 (a.N.)</t>
  </si>
  <si>
    <t>5902.14 BSB-DFS-010-Control-Center-Karlsruhe</t>
  </si>
  <si>
    <t>5902.141 BSK-DFS-010-Control-Center-Karlsruhe</t>
  </si>
  <si>
    <t>5902.15 BSB-DFS-011-Control-Center-München-inkl-Tower</t>
  </si>
  <si>
    <t>● BSB 2021 (auf Nachweis)</t>
  </si>
  <si>
    <t>● BSB 2025 (aN)</t>
  </si>
  <si>
    <t>5902.155 DFS-FortschrBSK-OPS-Center-München</t>
  </si>
  <si>
    <t>● (aN) Pos. 1 Fortschreibung des Brandschutzkonzeptes</t>
  </si>
  <si>
    <t>5902.157 DFS-Anp-FRP-011-Control-Center-München</t>
  </si>
  <si>
    <t>● (aN) Pos. 1 Anp. FRP</t>
  </si>
  <si>
    <t>5902.16 BSB-DFS-012-Tower-Nord-Frankfurt-inkl-Betriebsgebäude</t>
  </si>
  <si>
    <t>5902.18 BSB-DFS-014-Tower-Düsseldorf-inkl-Betriebsgebäude</t>
  </si>
  <si>
    <t>5902.181 DFS-BTB-Tower-Düsseldorf</t>
  </si>
  <si>
    <t>5902.19 BSB-DFS-016-Tower-Berlin-Schönfeld-inkl-Betriebsgebäude</t>
  </si>
  <si>
    <t>5902.20 BSB-DFS-017-Tower-Dresden-inkl-Betriebsgebäude</t>
  </si>
  <si>
    <t>5902.21 BSB-DFS-019-Tower-Hannover-inkl-Betriebsgebäude</t>
  </si>
  <si>
    <t>5902.22 BSB-DFS-020-Tower-Erfurt-Weimar-inkl-Betriebsgebäude</t>
  </si>
  <si>
    <t>5902.23 BSB-DFS-021-Tower-Köln-Bonn-inkl-Betriebsgebäude</t>
  </si>
  <si>
    <t>5902.24 BSB-DFS-022-Tower-Leipzig-Halle-inkl-Betriebsgebäude</t>
  </si>
  <si>
    <t>5902.25 BSB-DFS-023-Tower-Münster-Osnabrück-inkl-Betriebsgebäude</t>
  </si>
  <si>
    <t>5902.26 BSB-DFS-025-Tower-Saarbrücken-inkl-Betriebsgebäude</t>
  </si>
  <si>
    <t>● Brandschutzbeauftragter 2024 (auf Nachweis)</t>
  </si>
  <si>
    <t>5902.27 BSB-DFS-027-Büromodulanlage-Langen</t>
  </si>
  <si>
    <t>5902.28 BSB-DFS-028-Parkhaus-P1-Langen</t>
  </si>
  <si>
    <t>5902.29 BSB-DFS-NAT029-Parkhaus-P3-Langen</t>
  </si>
  <si>
    <t>5902.30 BSB-DFS-030-Radarstation-Köln-Bonn</t>
  </si>
  <si>
    <t>5902.31 BSB-DFS-031-Radarstation-Düsseldorf</t>
  </si>
  <si>
    <t>5902.32 BSB-DFS-032-Radaranlage-AST-Nord-Flughafen-FFM</t>
  </si>
  <si>
    <t>5902.33 BSB-DFS-033-Radaranlage-AST-Süd-Flughafen-FFM</t>
  </si>
  <si>
    <t>5902.34 BSB-DFS-034-Radaranlage-AST-West-Flughafen-FFM</t>
  </si>
  <si>
    <t>5902.35 BSB-DFS-035-Empfangsstelle-Süd-Flughafen-FFM</t>
  </si>
  <si>
    <t>5902.36 BSB-DFS-036-Luftbrücke-Flughafen-FFM</t>
  </si>
  <si>
    <t>5902.37 BSB-DFS-037-Radaranlage-Neukirchen</t>
  </si>
  <si>
    <t>5902.38 BSB-DFS-038-Radaranlage-Pfälzer-Wald</t>
  </si>
  <si>
    <t>5902.39 BSB-DFS-039-Radaranlage-Götzenhain</t>
  </si>
  <si>
    <t>5902.40 BSB-DFS-040-Großhaager-Forst</t>
  </si>
  <si>
    <t>5902.41 BSB-DFS-041-Tower-Flughafen-München</t>
  </si>
  <si>
    <t>5902.42 BSB-DFS-042-Tower-Stuttgart</t>
  </si>
  <si>
    <t>5902.43 BSB-DFS-043-Tower-Nürnberg</t>
  </si>
  <si>
    <t>● (aN) Brandschutzbeauftragter 2021 (auf Nachweis)</t>
  </si>
  <si>
    <t>● (aN) BSB 2022 (auf Nachweis)</t>
  </si>
  <si>
    <t>● (aN)  BSB 2023 (auf Nachweis)</t>
  </si>
  <si>
    <t>● (aN) Brandschutzbeauftragter 2024 (auf Nachweis)</t>
  </si>
  <si>
    <t>5902.431 BSO-DFS-043-Tower-Nürnberg</t>
  </si>
  <si>
    <t>5902.44 BSB-DFS-023-Radarstation-Flughafen-Münster-Osnabrück</t>
  </si>
  <si>
    <t>● BSB 2023 (aN)</t>
  </si>
  <si>
    <t>● BSB 2022 (aN)</t>
  </si>
  <si>
    <t>● BSB 2024 (aN)</t>
  </si>
  <si>
    <t>5902.46 BSB-DFS-046-Radarstation-Auersberg</t>
  </si>
  <si>
    <t>5902.48 BSB-DFS-048-Radarstation Lüdenscheid</t>
  </si>
  <si>
    <t>5902.50 BSB-DFS-Radarstation-Gosheim</t>
  </si>
  <si>
    <t>5902.501 DFS-BSK-NAT042-Radarstation-Gosheim+Sendestelle</t>
  </si>
  <si>
    <t>● (aN) Pos.1 Erstellung BSK für Radarstation und Sendeanlage</t>
  </si>
  <si>
    <t>● (aN) Pos.2 Brandschutzkonzeptpläne</t>
  </si>
  <si>
    <t>● (aN) Pos.3  Brandschutzkonzeptpläne Digitalisierung</t>
  </si>
  <si>
    <t>● (aN) Pos.4 Objektbegehung</t>
  </si>
  <si>
    <t>5902.51 NAT-BSO-DFS-CBT</t>
  </si>
  <si>
    <t>● (aN) Pos.1 Überprüfung Computer-Based-Trainings</t>
  </si>
  <si>
    <t>● (aN) Pos.2 Überarbeitung Computer-Based-Trainings komplett</t>
  </si>
  <si>
    <t>5902.52 DFS-NAT041-BSB-Radarstation-Stuttgart</t>
  </si>
  <si>
    <t>● (aN) Pos.1 Stellung BSB</t>
  </si>
  <si>
    <t>5908.02 Zech-FWP-Wildparkstadion-Karlsruhe</t>
  </si>
  <si>
    <t>● (p) Pos. 1 Anp. FWP (CAD)</t>
  </si>
  <si>
    <t>5909 Beiersdorf-Produktionskomplex</t>
  </si>
  <si>
    <t>5909.01 FRP-Beiersdorf-Produktionskomplex</t>
  </si>
  <si>
    <t>5909.03 ioc-Revisionierung-FWP-Beiersdorf-Produktionskomplex</t>
  </si>
  <si>
    <t>● (p) Pos. 1 Revisionierung FWP</t>
  </si>
  <si>
    <t>5910.07 Züblin-Roche-BSK-ESSWM-Laborausbau-3.OG-SandhoferStr116-Mannheim</t>
  </si>
  <si>
    <t>● (aN) Erw. Pos. 1 Fortschr. BSK</t>
  </si>
  <si>
    <t>● (aN) Pos. 2 BTB (SV)</t>
  </si>
  <si>
    <t>● (p) Pos. 3 Anp. FWP</t>
  </si>
  <si>
    <t>● (p) Pos. 4 Anp. FRP</t>
  </si>
  <si>
    <t>5929.03 Sauter-BTB-Lager-Thermo-Fisher-Im-Steingrund-4-10-Dreieich</t>
  </si>
  <si>
    <t>● (aN) Pos. 1 Brandschutztechnische Beratung (SV)</t>
  </si>
  <si>
    <t>5932   Am-Heiligenstock-1-Hofheim</t>
  </si>
  <si>
    <t>5940.05 Optio-BTB-BT-A-TheMove-GatewayGardensSiemens-Frankfurt</t>
  </si>
  <si>
    <t>● (p) Pos. 2 Fortschr. BSK</t>
  </si>
  <si>
    <t>5940.06 KOF-BT_A-Gateway-Gardens-Siemens-Frankfurt</t>
  </si>
  <si>
    <t>● (p) Erstellung Konformität</t>
  </si>
  <si>
    <t>5940.07 (eh. 7199.01 Siemens-BST-Gateway-Gardens-De-Saint-Exupéry-Str-5-FFM</t>
  </si>
  <si>
    <t>● (p) Pos. 1 Erstellung einer BST</t>
  </si>
  <si>
    <t>5944.02 formica-Garagenpark-NB-Verbindungsstück-Zum-Eisenhammer-Oberhausen-LAER</t>
  </si>
  <si>
    <t>5946.01 Pläne-Nauheimer-Straße-101-Bad-Cannstatt(Flanders-II)</t>
  </si>
  <si>
    <t>5947.04 BSK-Diesterwegstr-11-Frankfurt-Gymnasium-Süd-Containertellung</t>
  </si>
  <si>
    <t>● (p) Pos.1 BSK Aufstockung Containeranlage</t>
  </si>
  <si>
    <t>● (p) NAT001 Pos.1 Nachtragslstg. i.Z.d. Erst. BSK a.G.v. getr. Betrachtung d. Containeranlagen 1u.2</t>
  </si>
  <si>
    <t>5947.05 FRP-Diesterwegstr-11-Frankfurt-Gymnasium-Süd-Containeranlagen-1+2</t>
  </si>
  <si>
    <t>● (p) Pos.1 FRP für d. Containeranlagen 1+2 inkl. Objektbegehung</t>
  </si>
  <si>
    <t>● (p) Pos.2 Aktualisierung der BSO in Teilen A-C</t>
  </si>
  <si>
    <t>● zzgl. 12 Alu-Klapprahmen à 40€/Stck = 480€</t>
  </si>
  <si>
    <t>5947.06 NAT-Diesterwegstr-11-Frankfurt-Gymnasium-Süd-Containeranlagen</t>
  </si>
  <si>
    <t>● (aN) Pos.1 Planung Ausstattung mit Feuerlöschern</t>
  </si>
  <si>
    <t>5951.01 BSK-Fehlheimer-Straße-86-Bensheim</t>
  </si>
  <si>
    <t>● Brandschutzkonzept (pauschal)</t>
  </si>
  <si>
    <t>5955 Mosbacher-Straße-55-Wiesbaden-Hauptstaatsarchiv</t>
  </si>
  <si>
    <t>● 1000-Grundlagenermittlung (pauschal)</t>
  </si>
  <si>
    <t>● 2000-Vorplanung (pauschal)</t>
  </si>
  <si>
    <t>● 3000-Entwurfsplanung (pauschal)</t>
  </si>
  <si>
    <t>● 4000-Genehmigungsplanung (pauschal)</t>
  </si>
  <si>
    <t>● Nachtrag Beratung (pauschal)</t>
  </si>
  <si>
    <t>● Entscheidungsgrundlagen/Protokolle 2.1.4 (auf Nachweis)</t>
  </si>
  <si>
    <t>● 5000 - Ausführungsplanung GL 3.2.5 (pauschal)</t>
  </si>
  <si>
    <t>● 5000 - LP 5 BL 3.2.10.4 (pauschal)</t>
  </si>
  <si>
    <t>● 5000 LP 5 BL 3.2.10.5 (pauschal)</t>
  </si>
  <si>
    <t>● 5000 LP 5 BL 3.2.10.6 (pauschal)</t>
  </si>
  <si>
    <t>● 5000 LP 5 BL 3.2.10.8 (pauschal)</t>
  </si>
  <si>
    <t>5955.01 FLA-Mosbacher-Straße-55-Wiesbaden-Hauptstaatsarchiv</t>
  </si>
  <si>
    <t>● 4000-Genehmigungsplanung (a.N.)</t>
  </si>
  <si>
    <t>● 5000-Ausführungsplanung (pauschal)</t>
  </si>
  <si>
    <t>● 6000-Vorbereiten der Vergabe (pauschal)</t>
  </si>
  <si>
    <t>● 7000-Mitwirkung bei der Vergabe (pauschal)</t>
  </si>
  <si>
    <t>● 8000-Objektüberwachung (pauschal)</t>
  </si>
  <si>
    <t>● Zusatzleistungen</t>
  </si>
  <si>
    <t>5955.011 LBIH-FLA-NAT-LP2-8-HSTA-trockene-Steigleitungen-TR1bis3-WI</t>
  </si>
  <si>
    <t>● (p) Pos. 1 Leistungsphase 2 (Vorplanung)</t>
  </si>
  <si>
    <t>● (p) Pos. 2 Leistungsphase 3 (Entwurfsplanung)</t>
  </si>
  <si>
    <t>● (p) Pos. 3 Leistungsphase 5 (Ausführungsplanung)</t>
  </si>
  <si>
    <t>● (p) Pos. 4 Leistungsphase 6 (Vorbereiten der Vergabe)</t>
  </si>
  <si>
    <t>● (p) Pos. 5 Leistungsphase 7 (Mitwirken bei der Vergabe)</t>
  </si>
  <si>
    <t>● (p) Pos. 6 Leistungsphase 8 (Objektüberwachung)</t>
  </si>
  <si>
    <t>5955.03 Schottkataster-Mosbacher-Straße-55-Wiesbaden-Hauptstaatsarchiv</t>
  </si>
  <si>
    <t>● Erstellung Schottkataster (auf Nachweis)</t>
  </si>
  <si>
    <t>5955.05 Ventilationskonzept-Mosbacher-Straße-55-Wiesbaden-Hauptstaatsarchiv</t>
  </si>
  <si>
    <t>● Taktisches Ventilationskonzept (pauschal)</t>
  </si>
  <si>
    <t>5955.07 3. Zusatzvertrag-LP8-Interimskonzept -Mosbacher-Straße-55-Wiesbaden -Hauptstaatsarchiv</t>
  </si>
  <si>
    <t>● a.N. - LP8- Objektüberwachung zum Interimskonzept (16 Std./Monat und 24 Monate Laufzeit)</t>
  </si>
  <si>
    <t>5955.08 RAK-FWP-Mosbacher-Straße-55-Wiesbaden-Hauptstaatsarchiv</t>
  </si>
  <si>
    <t>● (p) Pos.5a weitere brandschutztechn. Beratungsleistungen zum takt. Ventilationskonzept</t>
  </si>
  <si>
    <t>● (p) Pos. 5b Erstellung von Rauchableitungskarten</t>
  </si>
  <si>
    <t>● (p) Pos.5c Erstellung Feuerwehrplänen</t>
  </si>
  <si>
    <t>5955.09 BTB-Klimasplitgeräte-Mosbacher-Straße-55-Wiesbaden</t>
  </si>
  <si>
    <t>● (aN9 Pos.1 BTB zur Baumaßnahme Installation von Klimasplitgeräten</t>
  </si>
  <si>
    <t>5955.10 BTB-Büro+Verwaltungsgebäude-MosbacherStr55-WI</t>
  </si>
  <si>
    <t>● (aN) Pos. 1 BTB zur Baumaßnahme Installation von Netzwerkkabeln LP5/8</t>
  </si>
  <si>
    <t>5955.11 BTB-Entfall-Überflurhydrant-MosbacherStr55-WI</t>
  </si>
  <si>
    <t>● (p) Pos. 1 BTB Überflurhydrant</t>
  </si>
  <si>
    <t>5958.04 BSB-2024+2025-Bartningstraße-57-Darmstadt-GHV-Gebäude</t>
  </si>
  <si>
    <t>● (aN) BSB 2024</t>
  </si>
  <si>
    <t>● (aN) BSB 2025</t>
  </si>
  <si>
    <t>5967 Dr-Werner-Freyberg-Straße-Laudenbach</t>
  </si>
  <si>
    <t>5970.01 BAB-Ostpreußenstraße-16-Friedrichsdorf-Seulberg</t>
  </si>
  <si>
    <t>● (p) Pos.1 baubegl. Brandschutzberatung</t>
  </si>
  <si>
    <t>5971.03 OG3-Konrad-Adenauer-Ring-33-Wiesbaden-LKA</t>
  </si>
  <si>
    <t>● Brandschutzkonzept 3. OG (pauschal)</t>
  </si>
  <si>
    <t>● Baubegleitung 3. OG (auf Nachweis)</t>
  </si>
  <si>
    <t>● Anpassung FuR-Pläne 3. OG (pauschal)</t>
  </si>
  <si>
    <t>● Anpassung FW-Pläne (pauschal)</t>
  </si>
  <si>
    <t>● Anpassung BSK (auf Nachweis)</t>
  </si>
  <si>
    <t>5978 Genfer-Straße-12-Frankfurt</t>
  </si>
  <si>
    <t>5978.01 NAT-01-BSK-Genfer-Straße-12-Frankfurt</t>
  </si>
  <si>
    <t>● (p) Fortschr. BSK</t>
  </si>
  <si>
    <t>● (p) Erstellung BSO</t>
  </si>
  <si>
    <t>● (p) FRP</t>
  </si>
  <si>
    <t>● (p) FWP</t>
  </si>
  <si>
    <t>● (p) Pos.1 NAT Erstellung FWP+FRP</t>
  </si>
  <si>
    <t>5981.02 Nauheimer-Straße-100-Bad-Cannstatt-Gesamtgebäude(Flanders-III)</t>
  </si>
  <si>
    <t>● Begehung Bestand + Teilnahme Besprechungen (auf Nachweis)</t>
  </si>
  <si>
    <t>5981.03 DRESO-SigraS-Tektur-BSK-NauheimerStr100-Bad-Cannstadt</t>
  </si>
  <si>
    <t>● (p) Pos. 3 Brandschutzordnung</t>
  </si>
  <si>
    <t>5983 Klausen-GmbH./.Stadt-Koblenz</t>
  </si>
  <si>
    <t>5984.01 QE-WEA-Windpark-Lusshardt-Überarbeitung-BSK</t>
  </si>
  <si>
    <t>● (p) Pos. 1 Überarbeitung Brandschutzkonzept</t>
  </si>
  <si>
    <t>5987.03 E&amp;S-BSK-BT-C-Czernyring15-Heidelberg</t>
  </si>
  <si>
    <t>● (aN) Pos. 2 Beratungsleistung</t>
  </si>
  <si>
    <t>5987.04 E&amp;S-BTB+BSK-BT-A+B-Czernyring15-Heidelberg</t>
  </si>
  <si>
    <t>● (aN) Pos. 1 BTB Planungsph. BT A</t>
  </si>
  <si>
    <t>● (aN) Pos. 1 BTB Planungsph. BT B</t>
  </si>
  <si>
    <t>● (p) Pos. 2 Fortschr. BSK v. Rückmeldungen d. Baurechtsbehörde BT A + B</t>
  </si>
  <si>
    <t>● (p) Pos. 3 Fortschr.des BSK aufgrund von Planungsänderungen BT B</t>
  </si>
  <si>
    <t>5987.05 E&amp;S-Anp-BSK-BT-B+C-Czernyring15-Heidelberg</t>
  </si>
  <si>
    <t>● (p) Anpassung BSK BT B</t>
  </si>
  <si>
    <t>● (p) Anpassung BSK BT C</t>
  </si>
  <si>
    <t>5992 Cohausenstraße-23-Frankfurt</t>
  </si>
  <si>
    <t>5993 RV-BTB-Haus-1-Dag-Hammarskjöld-Weg-1-5-Eschborn</t>
  </si>
  <si>
    <t>5993.01 RV-BTB-Haus-1-Dag-Hammarskjöld-Weg-1-5-Eschborn</t>
  </si>
  <si>
    <t>● (a.N.) 2000-Vorplanung</t>
  </si>
  <si>
    <t>5994 RV-BTB-Haus-4-Dag-Hammarskjöld-Weg-1-5-Eschborn</t>
  </si>
  <si>
    <t>5994.01 RV-BTB-Haus-4-Dag-Hammarskjöld-Weg-1-5-Eschborn</t>
  </si>
  <si>
    <t>5995 RV-BTB-Haus-5-Dag-Hammarskjöld-Weg-1-5-Eschborn</t>
  </si>
  <si>
    <t>5995.01 RV-BTB-Haus-5-Dag-Hammarskjöld-Weg-1-5-Eschborn</t>
  </si>
  <si>
    <t>5996 RV-BTB-Haus-6-Ludwig-Erhard-Straße-30-34-Eschborn</t>
  </si>
  <si>
    <t>5997 RV-BTB-Haus-7-Hauptstraße-119-Eschborn</t>
  </si>
  <si>
    <t>6016.01 BSK-Funkturm-Innere-Kanalstraße-100-Köln</t>
  </si>
  <si>
    <t>● BSK (auf Nachweis)</t>
  </si>
  <si>
    <t>● BSK-Pläne (auf Nachweis)</t>
  </si>
  <si>
    <t>6017.03 Fraport-RV-LP8-Mieterausbau-Bundespolizei-Geb587</t>
  </si>
  <si>
    <t>● Stufe 8 Objektüberwachung (auf Nachweis)</t>
  </si>
  <si>
    <t>● (a.N.) Brandfallsteuermatrix</t>
  </si>
  <si>
    <t>6017.04 Fraport-RV-FuR-Pläne-Mieterausbau-Bundespolizei-Fraport-Geb587</t>
  </si>
  <si>
    <t>6017.05 Fraport-RV-BSK-Interimscontainer-Bundespolizei-Geb587</t>
  </si>
  <si>
    <t>6017.07 Fraport-RV-LP8-Interimscontainer-Bundespolizei-Geb587</t>
  </si>
  <si>
    <t>6018.04 Anp-BSK-Cornberger-Tunnel-Cornberg-Technikgeb-Ostkopf-ESTW</t>
  </si>
  <si>
    <t>● (p) Pos. 1 Überarbeitung des bestehenden Brandschutzkonzeptes</t>
  </si>
  <si>
    <t>● (p) Pos. 2 Überarbeitung der Pläne bezüglich des ESTW Technikgebäude Ostkopf</t>
  </si>
  <si>
    <t>6024.01 BAB-Nauheimer-Straße-Bad-Cannstatt-TG(Flanders-II)</t>
  </si>
  <si>
    <t>6025.01 Ergänzung-BSK-Deckerstraße-35-Bad-Cannstatt(Flanders-III)</t>
  </si>
  <si>
    <t>● Begehung / Besprechungen (auf Nachweis)</t>
  </si>
  <si>
    <t>● Ergänzung BSK (pauschal)</t>
  </si>
  <si>
    <t>● Begehung Pläne (auf Nachweis)</t>
  </si>
  <si>
    <t>6032.02 Stundensammler-AG?-BSK-Ascheröder-Str57-Schwalmstadt-Freudenberg</t>
  </si>
  <si>
    <t>6036.02 K+K-HPPVO-NAT002-Wdh-LP8-Bahnstraße-3-7-Langen</t>
  </si>
  <si>
    <t>● (p) Pos. 1 Prüfung/Bescheinigung / 2. wiederholte Prüfung BSN</t>
  </si>
  <si>
    <t>● (aN) Pos. 2 Überwachung und Bescheinigung der übereinstimmenden Bauausführung</t>
  </si>
  <si>
    <t>6038 Zinkeysenstraße-2-Langen-Sonnenblumenschule</t>
  </si>
  <si>
    <t>● 8000-Objektüberwachung +  NAT zu GL der Objektüberwachung LP8</t>
  </si>
  <si>
    <t>● Berechnung Löschmitteleinheiten (auf Nachweis)</t>
  </si>
  <si>
    <t>● Räumungskonzept (auf Nachweis)</t>
  </si>
  <si>
    <t>● (p) Pos.2  NT-Tektur BSK inkl. Anpassung BSP</t>
  </si>
  <si>
    <t>● (p) Pos.1 NAT04-Fortschr. d. genehm. BSK aufgrund von Änderungen gegenüber d. genehm. Bauausführung</t>
  </si>
  <si>
    <t>6038.02  BSK-Bestand-Sonnenblumenschule-Zinkeysenstraße-2-Langen</t>
  </si>
  <si>
    <t>● (a.N.) Brandschutztechn. Abgleich Baugenehmigung mit geplanten Maßnahmen</t>
  </si>
  <si>
    <t>● (aN) Pos.1 BTB für Bestandsgebäude</t>
  </si>
  <si>
    <t>6045.02 LWV-BSK-Windpark-Dreihausen-Nordeck</t>
  </si>
  <si>
    <t>6045.03 wpd-BSK-Windpark-Dreihausen-Nordeck</t>
  </si>
  <si>
    <t>6047.02 IG-BSN-Wiesstr8-10-Kempten</t>
  </si>
  <si>
    <t>● (p) Pos. 1 Erstellung Brandschutznachweis  925€ /dq</t>
  </si>
  <si>
    <t>6053.01 BL-ZL-Steinrehweg-5-Ober-Ramstadt-Georg-Christoph-Lichtenberg-Schule</t>
  </si>
  <si>
    <t>● Besondere / Zusätzliche Leistungen</t>
  </si>
  <si>
    <t>6059.11 BST-Verwaltungsgebäude-Seminariumsgasse-4-6-Gesamtgemeinde-Worms-EKHN</t>
  </si>
  <si>
    <t>6059.18 FRP-Gemeindehaus-Worms-Herrnsheim-Gesamtgemeinde-Worms-EKHN</t>
  </si>
  <si>
    <t>● (p) Pos. 1 Erstellung von Flucht- und Rettungsplänen</t>
  </si>
  <si>
    <t>● (p) Pos. 2 Erstellung Brandschutzordnung</t>
  </si>
  <si>
    <t>6061 Mörfelder-Landstraße-104-Frankfurt</t>
  </si>
  <si>
    <t>● Anpassung Brandschutznachweis</t>
  </si>
  <si>
    <t>6062.01 ASB-Friedrich-Ebert-Anlage-44-Frankfurt-Rahmenvereinbarung</t>
  </si>
  <si>
    <t>6063.01 LAER-BSK-Benzstr15-Marl</t>
  </si>
  <si>
    <t>● (p) Pos. 1 Fortschr-BSK</t>
  </si>
  <si>
    <t>6064 Bahnhof-Frankfurt-Messe</t>
  </si>
  <si>
    <t>6070 GML-BSB-Bürgermeister-Grünzweig-Straße-87-Ludwigshafen-MHKW</t>
  </si>
  <si>
    <t>● (aN) BSB 06/2020 - 05/2021 (aN) BSB 1xjährlich</t>
  </si>
  <si>
    <t>● (aN) BSB 06/2021 - 05/2022 (aN) BSB 1xjährlich</t>
  </si>
  <si>
    <t>● (aN) BSB 06/2022 - 05/2023 (aN) BSB 1xjährlich</t>
  </si>
  <si>
    <t>● (aN) BSB 06/2023 - 05/2024 (aN) BSB 1xjährlich</t>
  </si>
  <si>
    <t>● (aN) BSB 06/2024 - 05/2025</t>
  </si>
  <si>
    <t>● (aN) BSB 06/2025 - 05/2026</t>
  </si>
  <si>
    <t>6075.01 BTB-HH1.2-Vierenkamp-1-Hamburg-Equinix</t>
  </si>
  <si>
    <t>● (aN) Pos.1 BTB - fire safety consulting and construction supervision</t>
  </si>
  <si>
    <t>6076.07 BSK-Hugo-Junckers-Str.-5-7-Frankfurt-Interxion-FRA-17-27-Campus-Bauphasen</t>
  </si>
  <si>
    <t>● (p) Grundkonzept Bauphasen</t>
  </si>
  <si>
    <t>● (a.N.) NAT01 Grundkonzept Bauphasen Mehrlstg. Teilnahme an Besprechungen</t>
  </si>
  <si>
    <t>● (p) Bauphasenkonzept für Inbetriebnahmen</t>
  </si>
  <si>
    <t>● (p) zusätzliche Bauphase</t>
  </si>
  <si>
    <t>● (a.N.) NAT01 Grundkonzept Bauphasen Mehrlstg. FWP 1.+2. Bauphase</t>
  </si>
  <si>
    <t>6076.14 BSK-Interxion-Powerchannel-Hugo-Junkers-Str-5-7-Ffm</t>
  </si>
  <si>
    <t>● (p) Pos.1 Bauzeitliches Brandschutzkonzept FRA50</t>
  </si>
  <si>
    <t>6076.15 NAT-BAB-FRA-18-Hugo-Junckers-Strasse-5-7-Ffm-DPR</t>
  </si>
  <si>
    <t>● (aN) Pos.1 BAU 1.+2. Step Construction supervision and fire safety consulting-Septmber 2023 until March 2025</t>
  </si>
  <si>
    <t>● (aN) Pos.1 NAT BAB - Construction supervision and fire safety consulting Feb. 2025- June 2025</t>
  </si>
  <si>
    <t>6076.17 DRESO-BTB-FRA-18-22 -Hugo-Junkers-Str-5-7-FFM-Festpunkte A-D</t>
  </si>
  <si>
    <t>● (a.N.) Pos.1 Stage 1 BTB d. Planungsbeteil</t>
  </si>
  <si>
    <t>● (a.N.) Pos.2 Stage 2 BTB d. Planungsbeteil.</t>
  </si>
  <si>
    <t>● (a.N.) Pos.3 Stage 3 BTB d. Planungsbeteil.</t>
  </si>
  <si>
    <t>● (a.N.) Pos.4 Stage 4 BTB d. Planungsbeteil.</t>
  </si>
  <si>
    <t>6076.18 BSK-FRA-18-L6-L7-Hugo-Junckers-Strasse-5-7-Ffm-DPR</t>
  </si>
  <si>
    <t>● (p) Pos.1 BSK - adjustment of fire protection concept for level 6+7</t>
  </si>
  <si>
    <t>6076.19 BSK-FRA-19-57-Hugo-Junkers-Strasse-5-7-Ffm</t>
  </si>
  <si>
    <t>● (p) Pos.1 Machbarkeitsstudie - Feasibility study for the redesign of FRA19 and FRA57</t>
  </si>
  <si>
    <t>● (p) Pos.2 BSK - Creating of basic fire protection concept RIBA2 incl. fire protection concept</t>
  </si>
  <si>
    <t>● (p) Pos.3 Anpassung BSK - adjustment of fire protection concept for the redesign of FRA19 and FRA57</t>
  </si>
  <si>
    <t>6076.20 BTB-FRA-19-Hugo-Junkers-Straße-5-7-Ffm-Wärmeübergabestation</t>
  </si>
  <si>
    <t>● (aN) Pos.1 Stage 2</t>
  </si>
  <si>
    <t>● (p)    Pos.2 Stage 3</t>
  </si>
  <si>
    <t>● Pos.3 Anpassung BSK d. Geb. FRA18-22 für die Planungsänderung im Untergeschoss FRA19</t>
  </si>
  <si>
    <t>● (p)  Pos.4 Anpassung FWP + FRP</t>
  </si>
  <si>
    <t>● (p) BTB Projektplanung FRA19 Wüst</t>
  </si>
  <si>
    <t>6076.21 BSK-FRA-20-Hugo-Junkers-Strasse-5-7-Ffm-Digitalcampus</t>
  </si>
  <si>
    <t>● (p) Pos.1 BSK - adjustment of fire protectiong concept bullding part FRA20</t>
  </si>
  <si>
    <t>6076.22 NAT-BSK-HugoJunkersStr-Ffm-FRA-18-22</t>
  </si>
  <si>
    <t>● (p) Pos. 1 Fortschr. BSK FRA 18-22</t>
  </si>
  <si>
    <t>6076.23 NAT-BSK-Hugo-Junkers-Straße-5-7-Frankfurt-Interxion-Powerchannel</t>
  </si>
  <si>
    <t>● (p) Pos.1 Bauzeitliches BSK FRA50 (58h SV / 3h Admin) 7.750€ / 8.950€</t>
  </si>
  <si>
    <t>6076.24 BAB-Hugo-Junkers-Straße-5-7-Ffm-FRA50-Powerchannels+Campus</t>
  </si>
  <si>
    <t>● (aN) Pos.1 BTB u. Objektüberwachung für Powerchannel und Campus</t>
  </si>
  <si>
    <t>6076.25 DPR-BSK-FRA-18-L6-L7-Hugo-Junkers-Straße-3-5-Ffm</t>
  </si>
  <si>
    <t>● (aN) Pos.1 Consulting during the planning phase L6/L7</t>
  </si>
  <si>
    <t>● (p) Pos.2 Update of fire protection concept  L6/L7</t>
  </si>
  <si>
    <t>● (p) Pos.3 Adapt fire department plans and escape &amp; rescue route plans L6/lL7</t>
  </si>
  <si>
    <t>6076.26 Ethos-BTB-FRA20-RIBA5-RIBA6</t>
  </si>
  <si>
    <t>● (aN) Pos.1 RIBA5-FRA20</t>
  </si>
  <si>
    <t>● (aN) Pos.2 RIBA6-FRA20</t>
  </si>
  <si>
    <t>6076.27 Mercury-BTB-FRA20-RIBA4-RIBA5-RIBA6</t>
  </si>
  <si>
    <t>● (aN) Pos.1 RIBA 4 - Bi-weekly meetings - FRA20</t>
  </si>
  <si>
    <t>● (aN) Pos.2 RIBA 5 FRA20</t>
  </si>
  <si>
    <t>● (p) Pos.3 RIBA 6 Fra20</t>
  </si>
  <si>
    <t>● (aN) Pos.4 Inspections in RIBA5 period January 2026 - February 2027</t>
  </si>
  <si>
    <t>● (p) Pos.5 Updating the fire protection concept</t>
  </si>
  <si>
    <t>● (aN) Pos.6 Creating fire department plans</t>
  </si>
  <si>
    <t>● (aN) Pos.7 Creating escape and rescue plans</t>
  </si>
  <si>
    <t>6077.02 FWP-FRP-Otto-Hahn-Straße-24-Dreieich</t>
  </si>
  <si>
    <t>● (p) Pos. 1 Aktualisierung FRP</t>
  </si>
  <si>
    <t>6079 Kaiser-Friedrich-Ring-75-Wiesbaden-Landeshaus-HMWEVW</t>
  </si>
  <si>
    <t>6079.01 BSK-Kaiser-Friedrich-Ring-75-Wiesbaden-Landeshaus-HMWEVW</t>
  </si>
  <si>
    <t>● (p) Pos.1  Fortschr. Brandschutzkonzeptes Kantinenbereich im EG- und Sockelgeschoss</t>
  </si>
  <si>
    <t>● (a.N.) Pos.2 brandschutztechn. Beratung</t>
  </si>
  <si>
    <t>● (p) Pos.1 Ergänzung BSK zum Umbau der Tankanlage NEA im Sockelgeschoss</t>
  </si>
  <si>
    <t>6082.03 GGH-BTB-MTV-A1-Römerstraße-Heidelberg</t>
  </si>
  <si>
    <t>6096 Bundespolizei-Bamberg-6AFZBPOL-allg-Aussagen</t>
  </si>
  <si>
    <t>● Brandschutztechn. Stellungnahme (pauschal)</t>
  </si>
  <si>
    <t>6096.02 Bundespolizei-Bamberg-6AFZBPOL-Geb7339</t>
  </si>
  <si>
    <t>● BSK Geb. 7339 (pauschal)</t>
  </si>
  <si>
    <t>● Feuerwehrpläne (pauschal)</t>
  </si>
  <si>
    <t>6096.03 Bundespolizei-Bamberg-6AFZBPOL-Geb7643</t>
  </si>
  <si>
    <t>● BSK Geb. 7643 (pauschal)</t>
  </si>
  <si>
    <t>6096.07 Bundespolizei-Bamberg-6AFZBPOL-Geb7732</t>
  </si>
  <si>
    <t>● BSK Geb. 7732 (pauschal)</t>
  </si>
  <si>
    <t>6096.08 Bundespolizei-Bamberg-6AFZBPOL-Geb7029</t>
  </si>
  <si>
    <t>6096.10 NAT-001-6AFZBPOL-divGeb-BTB-Bundespolizei-Bamberg</t>
  </si>
  <si>
    <t>6096.11 NAT-zu-6096.03,04,06-6AFZBPOL-divGeb-BTB-Bundespolizei-Bamberg</t>
  </si>
  <si>
    <t>● (p) Pos. 1 Tektur Brandschutznachweis Sportzentrum – Gebäude 7680</t>
  </si>
  <si>
    <t>● (p/Stk) Pos. 2 Erstellung von Flucht- und Rettungsplänen für Sonderbauten</t>
  </si>
  <si>
    <t>● (p/Stk) Pos. 3 Teilnahme an Planungsbesprechungen</t>
  </si>
  <si>
    <t>● (p/Stk) Pos. 4 Ortstermin Fachkraft Feuerwehr, Flucht- und Rettungspläne</t>
  </si>
  <si>
    <t>● (p/Stk) Pos. 5 Ortstermin Sachverständiger</t>
  </si>
  <si>
    <t>● (aN) Pos. 6 Zusätzliche Beratungsleistungen</t>
  </si>
  <si>
    <t>6103.01 TDE-BSK-Geb-M-Schornsteine-Kleyerstr75-87-FFM</t>
  </si>
  <si>
    <t>● (p) Pos. 1 Erstellung einer Ergänzung des Brandschutzkonzeptes</t>
  </si>
  <si>
    <t>6106.01 KreisBergstrasse-AHO-NB-LGL-Lessinggymnasium-Biedensandstr55-Lampertheim</t>
  </si>
  <si>
    <t>● Pos. 1 LPH 1 Grundlagenermittlung</t>
  </si>
  <si>
    <t>● Pos. 2 LPH 2 Vorplanung</t>
  </si>
  <si>
    <t>● Pos. 3 LPH 3 Entwurfsplanung</t>
  </si>
  <si>
    <t>● Pos. 4 LPH 4 Genehmigungsplanung</t>
  </si>
  <si>
    <t>● Pos. 5 LPH 5 Ausführungsplanung</t>
  </si>
  <si>
    <t>● Pos. 6 LPH 6 Vorbereitung der Vergabe</t>
  </si>
  <si>
    <t>● Pos. 7 LPH 7 Vergabe</t>
  </si>
  <si>
    <t>● (p) LP 8</t>
  </si>
  <si>
    <t>● außergewöhnliche Leistungen</t>
  </si>
  <si>
    <t>6108.01 Heraeusstraße-Hanau-Geb630</t>
  </si>
  <si>
    <t>● SV Beratung Geb. 630 (auf Nachweis)</t>
  </si>
  <si>
    <t>●  PL Beratung Geb. 630 (auf Nachweis)</t>
  </si>
  <si>
    <t>6111 Ramstein-Air-Base-Geb2356</t>
  </si>
  <si>
    <t>● • (p.) LP3 GL</t>
  </si>
  <si>
    <t>● • (p.) LP4 GL</t>
  </si>
  <si>
    <t>● • (p.) LP4 BL</t>
  </si>
  <si>
    <t>● BAU offen, vorab: LP 5</t>
  </si>
  <si>
    <t>6111.01 US-Vorschriften-Ramstein-Air-Base-Geb2356</t>
  </si>
  <si>
    <t>6113 Kemptener-Straße-19-23-Senden</t>
  </si>
  <si>
    <t>6113.02 WEG-BTB-KemptenerStr19-23-Senden</t>
  </si>
  <si>
    <t>6119.01 RMK-EVK-KH-Calw</t>
  </si>
  <si>
    <t>● (p) Pos. Erstellung RMK Calw</t>
  </si>
  <si>
    <t>● (aN) Pos.2 Räumungskonzeptpläne Calw - 5 Stück</t>
  </si>
  <si>
    <t>● (p) Pos. 4 Erstellung Evakuierungskonzept Calw</t>
  </si>
  <si>
    <t>6121 Buchrainweg-139-Offenbach</t>
  </si>
  <si>
    <t>● Brandschutznachweis-Pläne (pauschal)</t>
  </si>
  <si>
    <t>6127.01 Brand-BTB-Maingasse5-Dorfprozelten</t>
  </si>
  <si>
    <t>6128.01 Nauheimer-Straße-98-Bad-Cannstatt-Gesamtgebäude(Flanders-VI)</t>
  </si>
  <si>
    <t>● Begehung Bestand / Teilnahme Besprechungen Gesamtgebäude (auf Nachweis)</t>
  </si>
  <si>
    <t>● BSK Gesamtgebäude (pauschal)</t>
  </si>
  <si>
    <t>● BST Ertüchtigung Flurwände (pauschal)</t>
  </si>
  <si>
    <t>● FWP (pauschal)</t>
  </si>
  <si>
    <t>● FRP (pauschal)</t>
  </si>
  <si>
    <t>6132 Rohrbacher-Straße-24-Heidelberg</t>
  </si>
  <si>
    <t>● Abstimmungstermin Behörde (pauschal)</t>
  </si>
  <si>
    <t>6133 Gelber-Berg-1-Schöneck</t>
  </si>
  <si>
    <t>● Fortschr. Brandschutzkonzept + Konformität (auf Nachweis)</t>
  </si>
  <si>
    <t>6133.04 NAT-001-BSK-Hallen-9-12-Gelber-Berg-1-Bruchköbel-Ebbecke</t>
  </si>
  <si>
    <t>● (p) Pos.1 NAT-001-Anpassung BSK</t>
  </si>
  <si>
    <t>6133.07 BSK-Gelber-Berg-Schöneck-Halle-8+Zeltanbau-Logistik</t>
  </si>
  <si>
    <t>● (p) Pos.1 Brandschutzkonzept Halle 8 + Zeltanbau Halle Logistik</t>
  </si>
  <si>
    <t>6135.09 KOF-Grüner-Weg-37-Hanau-Geb-B001</t>
  </si>
  <si>
    <t>● Abnahme mit Konformitätsbescheinigung (a.N.)</t>
  </si>
  <si>
    <t>6135.10 BST-Grüner-Weg-37-Hanau-VAC-Medien</t>
  </si>
  <si>
    <t>● (p) Pos. 1 BST Medienbrücke 1</t>
  </si>
  <si>
    <t>● (p) BST für Medienbrücken 2 und 4-7</t>
  </si>
  <si>
    <t>● (p) Bestandserfassung</t>
  </si>
  <si>
    <t>6135.14 Allgem.BTB-VAC-WG I-III-Güner Weg-37-Hanau</t>
  </si>
  <si>
    <t>● (a.N.) WG I-III, Beratungslstg. Brandschutz (intern:frei verfügbares Std.kontingent)</t>
  </si>
  <si>
    <t>6135.15 KOF-VAC-Geb-B069-Güner Weg-37-Hanau</t>
  </si>
  <si>
    <t>● (a.N.) -Pos.1-Ausführungsplanung</t>
  </si>
  <si>
    <t>● (a.N.) Pos.2 - Objektüberwachung GL Stufe</t>
  </si>
  <si>
    <t>6135.16 KOF-VAC-WG I-Rohrbrücke-Güner Weg-37-Hanau</t>
  </si>
  <si>
    <t>● (a.N.) Pos.1 - KOF-Baubegleitung</t>
  </si>
  <si>
    <t>6135.17 KOF-VAC-Rohrbrücke-2-Güner Weg-37-Hanau</t>
  </si>
  <si>
    <t>● (a.N.) Pos.1 - Baubegleitung/Erst. Konformität</t>
  </si>
  <si>
    <t>6135.18 KOF-VAC-Rohrbrücke-7-Güner Weg-37-Hanau</t>
  </si>
  <si>
    <t>● (a.N.) Pos.1-Baubegleitung (KOF)</t>
  </si>
  <si>
    <t>6135.19 BST-VAC-Rohrbrücke-5-Güner Weg-37-Hanau</t>
  </si>
  <si>
    <t>● (p) Pos.1 BST Rohrbrücke 5</t>
  </si>
  <si>
    <t>6135.20 KOF-Grüner-Weg-37-Hanau-Rohrbrücke-4</t>
  </si>
  <si>
    <t>● (p) Pos.1 Baubegleitung Rohrbrücke 4</t>
  </si>
  <si>
    <t>6135.21 BTB-Grüner-Weg-37-Hanau-Löschanlagen-VAC</t>
  </si>
  <si>
    <t>● (aN) Pos.1 BTB+Abstimmungstermine f. Kompensationsmaßn. bei Wartung/Instandsetzung v. Löschanlagen</t>
  </si>
  <si>
    <t>● (p) Pos.2 BST CO-Löschanlage B27/29</t>
  </si>
  <si>
    <t>● (p) Pos.3 BST Sprinkleranlage Geb. B17/19</t>
  </si>
  <si>
    <t>6137.01 JUWI-WP-Mücke-Anp-BSK</t>
  </si>
  <si>
    <t>● WP Mücke</t>
  </si>
  <si>
    <t>6140.02 BTB-Wächtersbacher-Straße-88-90-Frankfurt-Brandmelde-Lüftungsanlage</t>
  </si>
  <si>
    <t>● (a.N.) Pos.1 BTB Brandmelde- u. Lüftungsanlge</t>
  </si>
  <si>
    <t>6140.03 BSK-Wächtersbacher-Straße-88-90-Frankfurt-Trainingsfläche</t>
  </si>
  <si>
    <t>● (p) Pos.1 Fortschr. BSK für die Umnutzung der hinteren Gebäudeeinheit</t>
  </si>
  <si>
    <t>● (aN) Bestandserfassung vor Ort &amp; Beratungsleistung</t>
  </si>
  <si>
    <t>● (aN) Pos.3 KOF Brandschutz</t>
  </si>
  <si>
    <t>6142 Konrad-Adenauer-Straße-22-Dreieich-Schillerschule-Auslagerung</t>
  </si>
  <si>
    <t>● Erstellung BSK (pauschal)</t>
  </si>
  <si>
    <t>● Erstellung FuR-Pläne (pauschal)</t>
  </si>
  <si>
    <t>● Erstellung FW-Pläne (pauschal)</t>
  </si>
  <si>
    <t>6142.01 BTB-Konrad-Adenauer-Straße-22-Dreieich-Tausch-Georg-Büchner-Schule-zu-Schillerschule</t>
  </si>
  <si>
    <t>6143 Schaberweg-17b-Bad-Homburg</t>
  </si>
  <si>
    <t>● Brandschutzpläne (auf Nachweis)</t>
  </si>
  <si>
    <t>6145 ASB-Borsigallee-14-Frankfurt</t>
  </si>
  <si>
    <t>● (a.N.) LP 8 BTB + Konformitätsbescheinigung (Pos. 2)</t>
  </si>
  <si>
    <t>6151.01 SWSTU-BSK-Kesselstr23-Stuttgart</t>
  </si>
  <si>
    <t>● NAT 2024-08-07 Pos. 1 Anp. BSK</t>
  </si>
  <si>
    <t>● Begehung Bestand / Teilnahme Besprechungen (auf Nachweis)</t>
  </si>
  <si>
    <t>● BSO A+B (pauschal)</t>
  </si>
  <si>
    <t>6151.05 SWSTU-NAT-BSK-Kesselstr23-Stuttgart</t>
  </si>
  <si>
    <t>6151.06 SWS-FRP-Kesselstraße21-23-Stuttgart</t>
  </si>
  <si>
    <t>● (aN) Pos. 2 Überarbeitung FRP</t>
  </si>
  <si>
    <t>● (aN) Pos. 1 Begehung vor Ort</t>
  </si>
  <si>
    <t>6160.08 BAB-Traforaum-Westerbachstr47-Frankfurt</t>
  </si>
  <si>
    <t>● (aN) Pos. 1 BAB - BT2 Traforaum</t>
  </si>
  <si>
    <t>6160.09 Drestate-BSK-NutzungsäBT2-Westerbachstr47-Frankfurt</t>
  </si>
  <si>
    <t>● (p.) Erstellung Brandschutzkonzept</t>
  </si>
  <si>
    <t>6160.10 Drestate-FWP-BT2-Westerbachstr47-Frankfurt</t>
  </si>
  <si>
    <t>● (p) Pos. 1 Feuerwehrplan</t>
  </si>
  <si>
    <t>6160.11 BAB-Bistro-Westerbachstr47-Frankfurt</t>
  </si>
  <si>
    <t>● (aN) Pos. 1 Baubegleitende Brandschutzberatung und Qalitätsüberwachung</t>
  </si>
  <si>
    <t>6160.12 Drestate-BAB-Sanitätshaus-Westerbachstr47-Frankfurt</t>
  </si>
  <si>
    <t>6164 Schulweg-6-Winterrieden</t>
  </si>
  <si>
    <t>● Beratung Vorplanung (auf Nachweis)</t>
  </si>
  <si>
    <t>6181.02 NAT-PHP-Funkturm-Hansastraße-1-Nürnberg-PrüfVBau</t>
  </si>
  <si>
    <t>● (a.N.) NAT Prüf./Besch. Nachweis (Pos. 1)</t>
  </si>
  <si>
    <t>● (a.N.) NAT Überwachung Bauausführung (Pos. 2)</t>
  </si>
  <si>
    <t>● (a.N.) NAT brandschutzt. Abnahme (Pos. 3)</t>
  </si>
  <si>
    <t>6181.03 NAT-02-PHP-Funkturm-Hansastraße-1-Nürnberg-PrüfVBau</t>
  </si>
  <si>
    <t>● (a.N.) Pos.1 NAT Brandschutztechn. Beratung (Planungsphase)</t>
  </si>
  <si>
    <t>● (a.N.) Pos.2 NAT-Prüfunf+Besch. d. Nachweis auf Vollständig-u.Richtigkeit (Brandschutz I) k</t>
  </si>
  <si>
    <t>● (a.N.) Pos.3 NAT-Überwachung Bauausführung (Brandschutz III)</t>
  </si>
  <si>
    <t>6196.04 BTB-Statistisches-Bundesamt-Gustav-Stresemann-Ring-11-Wiesbaden</t>
  </si>
  <si>
    <t>● (a.N.) FLA Beratungsleistungen (nachträglich vereinbart /dq)</t>
  </si>
  <si>
    <t>6197 Liebigstraße-38-Frankfurt-HPPVO</t>
  </si>
  <si>
    <t>● Prüfung BSN (auf Nachweis)</t>
  </si>
  <si>
    <t>● Überwachung Bauausführung (auf Nachweis)</t>
  </si>
  <si>
    <t>6207.02 BSK-überarbeitet-KiTa-Schanzenstr55-Eich</t>
  </si>
  <si>
    <t>● (aN) 2 Ortstermine / 2 Abstimmungstermine</t>
  </si>
  <si>
    <t>● (p) Erstellung BSK</t>
  </si>
  <si>
    <t>6208.05 BSB-2025-Deutsche-Telekom-Allee-7-Darmstadt</t>
  </si>
  <si>
    <t>6209.05 BSB-2025-Deutsche-Telekom-Allee-9-Darmstadt</t>
  </si>
  <si>
    <t>6211.01 Marktstraße-2-Stuttgart-Haus-des-Tourismus</t>
  </si>
  <si>
    <t>● LP1 GL (pauschal)</t>
  </si>
  <si>
    <t>● LP2 (pauschal)</t>
  </si>
  <si>
    <t>● LP3 (pauschal)</t>
  </si>
  <si>
    <t>● LP4 (pauschal)</t>
  </si>
  <si>
    <t>● LP 5 + NAT BSK - Fortschr. d. genehmigten BSK (pauschal)</t>
  </si>
  <si>
    <t>● LP 8 (pauschal)</t>
  </si>
  <si>
    <t>● (aN) LP 8 BL + NAT BSK - zusätzl. Beratungsleistungen i.d. Planungsphase</t>
  </si>
  <si>
    <t>● Berechnen Löschmitteleinheiten (auf Nachweis)</t>
  </si>
  <si>
    <t>6211.02 RMK-Marktstraße-2-Stuttgart</t>
  </si>
  <si>
    <t>● (p) Pos.1 Erstellung eines Räumungskonzeptes</t>
  </si>
  <si>
    <t>6216 Frankfurter-Straße-122-132-Offenbach</t>
  </si>
  <si>
    <t>● Beratung Trennung Trink-/Löschwasser (auf Nachweis)</t>
  </si>
  <si>
    <t>6222.01 Terex-PLA-Austausch-Schaummittel-Industriestr3-Bad-Schönborn</t>
  </si>
  <si>
    <t>● (aN) Pos. 1 Grundlagenermittlung (Fachplaner)</t>
  </si>
  <si>
    <t>● (p) Pos. 2 Auftragsbearbeitung 100€</t>
  </si>
  <si>
    <t>6225 Umspannwerk-Höchst-Schützenbleiche</t>
  </si>
  <si>
    <t>6228.03 FWP-DLZ2-Mainzer-Landstraße-151-Frankfurt</t>
  </si>
  <si>
    <t>● (p) Pos.1 Aktualisierung FWP DLZ 2</t>
  </si>
  <si>
    <t>6231 ASB-Ramonville-Straße-27-Karben-Rahmenvereinbarung</t>
  </si>
  <si>
    <t>6231.01 BSK-ASB-Ramonville-Straße-27-Karben</t>
  </si>
  <si>
    <t>● BSK zum Bauantrag (auf Nachweis)</t>
  </si>
  <si>
    <t>6237.02 BTB-Aegidientorplatz-2a-Hannover-Deloitte</t>
  </si>
  <si>
    <t>● Beratung Mängelbeseitigung (auf Nachweis)</t>
  </si>
  <si>
    <t>6238 Korntaler-Straße-1-Stammheim-Stadtteilhaus</t>
  </si>
  <si>
    <t>● (p.) LP 1 (Stufe 1)</t>
  </si>
  <si>
    <t>● (p.) LP 2 (Stufe 1)</t>
  </si>
  <si>
    <t>● (p.) LP 3 (Stufe 1)</t>
  </si>
  <si>
    <t>● (p.) LP 4 (Stufe 1)</t>
  </si>
  <si>
    <t>● (p.) LP 5 (Stufe 2)</t>
  </si>
  <si>
    <t>● (p.) LP 6 (Stufe 2)</t>
  </si>
  <si>
    <t>● (p.) LP 7 (Stufe 3)</t>
  </si>
  <si>
    <t>● (p.) LP 8 (Stufe 3)</t>
  </si>
  <si>
    <t>● (p.) LP 9 (Stufe 3)</t>
  </si>
  <si>
    <t>6242 BTB-Schaberweg-30-38-Bad-Homburg-Ringspann</t>
  </si>
  <si>
    <t>6242.02 BSB-2024-2025-Ringspann-Schaberweg-30-38-+11-11a-Bad Homburg</t>
  </si>
  <si>
    <t>● BSB 2024/2025: 0001-Sonstiges</t>
  </si>
  <si>
    <t>● BSB 2024/2025: 9000-Objektbetreuung und Dokumentation</t>
  </si>
  <si>
    <t>● BSB 2025/2026: 0001-Sonstiges</t>
  </si>
  <si>
    <t>● BSB 2025/2026: 9000-Objektbetreuung und Dokumentation</t>
  </si>
  <si>
    <t>6244.01 Königstraße-23-25-Stuttgart</t>
  </si>
  <si>
    <t>● 2000-BL-Vorplanung (auf Nachweis)</t>
  </si>
  <si>
    <t>● 5000 Ausführungsplanung</t>
  </si>
  <si>
    <t>6244.02 RGS-Königstraße-23-25-Stuttgart</t>
  </si>
  <si>
    <t>● Feuer- u. Rauchgassimulation (pauschal)</t>
  </si>
  <si>
    <t>● Teilnahme Abstimmungstermine (auf Nachweis)</t>
  </si>
  <si>
    <t>● zusätzlicher Rechenlauf (pauschal)</t>
  </si>
  <si>
    <t>6246 Baierstraße-12-Bad-Homburg-Kirdorf</t>
  </si>
  <si>
    <t>6246.01 BTB-Baierstraße-12-Bad-Homburg-Kirdorf</t>
  </si>
  <si>
    <t>● 1. NAT (Claim 400056068)</t>
  </si>
  <si>
    <t>● (a.N.) Pos.1 BTB zur Badsanierung</t>
  </si>
  <si>
    <t>6253 Fraport-RV-Sanitärgebäude-Geb584</t>
  </si>
  <si>
    <t>● • (n.A.) baubegl. Brandschutzberatung</t>
  </si>
  <si>
    <t>● • (p.) FuR 4 Stk.</t>
  </si>
  <si>
    <t>● Stufe 1 - Grundlagenermittlung (auf Nachweis)</t>
  </si>
  <si>
    <t>● Stufe 2 - Vorplanung (auf Nachweis)</t>
  </si>
  <si>
    <t>● Stufe 3 - Entwurfsplanung (auf Nachweis)</t>
  </si>
  <si>
    <t>● Stufe 4 - Genehmigungsplanung CAD (auf Nachweis)</t>
  </si>
  <si>
    <t>● Stufe 4 - Genehmigungsplanung SV (auf Nachweis)</t>
  </si>
  <si>
    <t>6258.02 BSK-Rüsterstraße-1-Frankfurt</t>
  </si>
  <si>
    <t>● (p) Pos.1 - Fortschr. Brandschutzkonzept</t>
  </si>
  <si>
    <t>● (a.N.) Baubegl. Brandschutzberatung + Qualitätsüberwachung der BM</t>
  </si>
  <si>
    <t>6267.01 Fortschr-RMK-Kliniken-Böblingen-Bunsenstraße-120-Böblingen</t>
  </si>
  <si>
    <t>● (a.N.) Fortschr. RMK</t>
  </si>
  <si>
    <t>6269 T1-Fraport-VIP-Lounge</t>
  </si>
  <si>
    <t>6269.01 T1-Fraport-VIP-Lounge-FuR</t>
  </si>
  <si>
    <t>● FuR-Pläne Aktualisierung (pauschal)</t>
  </si>
  <si>
    <t>6271 Schwarzwaldstraße-Sinsheim-NB-FW-Gebäude</t>
  </si>
  <si>
    <t>● 9000-Objektbetreuung und Dokumentation (pauschal)</t>
  </si>
  <si>
    <t>6275.02 d.i.i.-LP3+4-LP5+8-HeerdterSandberg28-Düsseldorf</t>
  </si>
  <si>
    <t>● (p.) Pos. 1 Fortschr. BSK (LP3/4)</t>
  </si>
  <si>
    <t>● (p) Stufe 1: LP5</t>
  </si>
  <si>
    <t>● (p) Stufe 2: LP8</t>
  </si>
  <si>
    <t>6276 Baumholder-Smith-Barracks-Geb-8412-FW-Fz-Halle</t>
  </si>
  <si>
    <t>● 1.1.10. LP1 GL (pauschal)</t>
  </si>
  <si>
    <t>● 1.1.20. LP1 BL (pauschal)</t>
  </si>
  <si>
    <t>● 1.1.30. LP4 GL (pauschal)</t>
  </si>
  <si>
    <t>● 1.1.50. LP4 BL (pauschal)</t>
  </si>
  <si>
    <t>6277 LBB-Pulaski-Barracks-KL-Outdoor-Recreation-Center-AHO</t>
  </si>
  <si>
    <t>● Stufe 1</t>
  </si>
  <si>
    <t>● (p) LP1</t>
  </si>
  <si>
    <t>● (p) LP1 US (pauschal)</t>
  </si>
  <si>
    <t>● (p) LP2 (pauschal)</t>
  </si>
  <si>
    <t>● LP2 US (pauschal)</t>
  </si>
  <si>
    <t>● Stufe 2 (LP 3+4)</t>
  </si>
  <si>
    <t>● LP3 US (pauschal)</t>
  </si>
  <si>
    <t>● LP4 US (pauschal)</t>
  </si>
  <si>
    <t>● • ‧ LP 5 GL</t>
  </si>
  <si>
    <t>● • ‧ LP 5 GL/US</t>
  </si>
  <si>
    <t>● • ‧ LP 5 BL</t>
  </si>
  <si>
    <t>● • ‧ LP5 BL/US</t>
  </si>
  <si>
    <t>● • ‧ LP 6 BL</t>
  </si>
  <si>
    <t>● • ‧ LP 6 BL/US</t>
  </si>
  <si>
    <t>● • ‧ LP 7 BL</t>
  </si>
  <si>
    <t>● • ‧ LP 7 BL/US</t>
  </si>
  <si>
    <t>6277.01 US-Vorschriften-LBB-Pulaski-Barracks-KL-Outdoor-Recreation-Center-AHO</t>
  </si>
  <si>
    <t>6284 Höhnerweg-2-4-Weinheim-Geb-330-Freudenberg</t>
  </si>
  <si>
    <t>● #Best. 4510045167 zu NAT 2025-04-15</t>
  </si>
  <si>
    <t>● Rauchgassimulation 3 Ebenen (pauschal)</t>
  </si>
  <si>
    <t>● Abstimmungstermine (auf Nachweis)</t>
  </si>
  <si>
    <t>● BSK Geb. 330 (pauschal)</t>
  </si>
  <si>
    <t>● Experimentelle Prüfung (pauschal)</t>
  </si>
  <si>
    <t>6285 Opernplatz-14-Frankfurt-Gebäudekomplex-gesamt</t>
  </si>
  <si>
    <t>● Prüfung Brandfallmatrix (auf Nachweis)</t>
  </si>
  <si>
    <t>● WPP - Vorbereitung u. Organisation (auf Nachweis)</t>
  </si>
  <si>
    <t>● WPP - Durchführung (auf Nachweis)</t>
  </si>
  <si>
    <t>● WPP - Dokumentation (auf Nachweis)</t>
  </si>
  <si>
    <t>● (a.N.)NAT-WPP-Pos.2 Prüfsachvertändiger nach TPrüfVO</t>
  </si>
  <si>
    <t>6285.04 4-UG-Opernplatz-14-Frankfurt-BAB</t>
  </si>
  <si>
    <t>● Brandschutztechnische Baubegleitung</t>
  </si>
  <si>
    <t>6285.081 NAT-FWP-Opernplatz-14-Frankfurt</t>
  </si>
  <si>
    <t>● (aN) Pos. 1 Objektbegehung mit Bestandsaufnahme d. baul. Umbaumaßnahmen+Veränderungen</t>
  </si>
  <si>
    <t>6285.11 NAT-BTB-Opernplatz-14-Ffm-Mängelbeseitigung</t>
  </si>
  <si>
    <t>● (aN) Pos.1 NAT BTB Betreuung der Mängelbeseitigung i.Z.d. 1:1 Prüfung</t>
  </si>
  <si>
    <t>6285.13 Clarus-FWP-Opernplatz-14-Frankfurt</t>
  </si>
  <si>
    <t>● (aN) FRP Bereich Casa</t>
  </si>
  <si>
    <t>6291.04 BSB-2025-Stresemannallee-30-Frankfurt</t>
  </si>
  <si>
    <t>6292.04 BSB-2025-Am-Hauptbahnhof-6-Frankfurt</t>
  </si>
  <si>
    <t>6296.01 toom-BTB-Bodenseestraße-207-München-Neuaubing-toom-Baumarkt</t>
  </si>
  <si>
    <t>6297 Taunusanlage-21-Frankfurt</t>
  </si>
  <si>
    <t>6297.01 BSK-Taunusanlage-21-Frankfurt</t>
  </si>
  <si>
    <t>● (p) Pos.2 Aktualisierung BSP</t>
  </si>
  <si>
    <t>● (p) Pos.3 Erstellen FWP</t>
  </si>
  <si>
    <t>● (p) Pos.4 Erstellen FRP</t>
  </si>
  <si>
    <t>● (p) Pos.5 Erstellen BSO in den Teilen A+B</t>
  </si>
  <si>
    <t>● (aN) ohne ANG Berechnung Löschmitteleinheiten</t>
  </si>
  <si>
    <t>6297.02 2.Fortschr-BSK-Taunusanlage-21-Frankfurt</t>
  </si>
  <si>
    <t>● (p) Pos.1 - 2. Fortschr. BSK aufgrund von Änderungen während der Bauausführung</t>
  </si>
  <si>
    <t>● (p) Pos. 2 Erstellen FWP</t>
  </si>
  <si>
    <t>6298.01 BST-Kettenhofweg-1-Frankfurt</t>
  </si>
  <si>
    <t>● p - BST</t>
  </si>
  <si>
    <t>● a.N. - BTB</t>
  </si>
  <si>
    <t>6298.02 FWP+FRP-Kettenhofweg-1-Frankfurt</t>
  </si>
  <si>
    <t>● (p) Pos.1 Erstellung FRP</t>
  </si>
  <si>
    <t>6298.03 FRP-Kettenhofweg-1-Frankfurt-2+3OG</t>
  </si>
  <si>
    <t>● (p) Pos.1 Aktualisierung FRP 2. +3. OG ohne Begehung</t>
  </si>
  <si>
    <t>6298.04 Allianz-BTB-Kettenhofweg-1-Frankfurt-Rauchabzugsanlage-2.UG</t>
  </si>
  <si>
    <t>● (aN) Pos.1 BTB Bew. der festgest. Mängel d. Prüfsachverständigen an der maschinellen Rauchabzugsanlage</t>
  </si>
  <si>
    <t>● (p) Pos.2 (optional) Erstellung BSK</t>
  </si>
  <si>
    <t>● (p) Pos.3 (optional) Erstellung BSP</t>
  </si>
  <si>
    <t>● (aN) Pos.4 (optional) BAB + Qualitätsüberwachung</t>
  </si>
  <si>
    <t>6300 Zeissweg-Memmingen-LNG-Tankstelle-PrüfVBau</t>
  </si>
  <si>
    <t>● Prüfung + Bescheinigung (Brandschutz I) (auf Nachweis)</t>
  </si>
  <si>
    <t>● Überwachung + Bescheinigung Bauausführung (Brandschutz II) (auf Nachweis)</t>
  </si>
  <si>
    <t>6304.01 StBA-Amberg-Truppübungsplatz-Grafenwöhr-Vilseck-Fortschr-BSK-Geb349</t>
  </si>
  <si>
    <t>● (p) Pos. 1 Fortschreibung Brandschutzkonzept ink. Anp. Pläne</t>
  </si>
  <si>
    <t>6312 Butzweilerhofallee-Köln-KVNO</t>
  </si>
  <si>
    <t>● Liste Abnahmeunterlagen (pauschal)</t>
  </si>
  <si>
    <t>● Prüfung Planung auf Übereinstimmung (auf Nachweis)</t>
  </si>
  <si>
    <t>● Teilnahme Baubesprechungen nach Erfordernis (auf Nachweis)</t>
  </si>
  <si>
    <t>● • (p) 9101-Fortschreibung Brandschutzkonzept….</t>
  </si>
  <si>
    <t>● • (a.N.) 9101-Fortschreibung Brandschutzkonzept….</t>
  </si>
  <si>
    <t>● Abstimmung u. Zuarbeit Brandfallmatrix (pauschal)</t>
  </si>
  <si>
    <t>● Erstellung Brandmelde- u. Alarmierungskonzept</t>
  </si>
  <si>
    <t>● p - BSO Teil A+B (NT1)</t>
  </si>
  <si>
    <t>● (p) BSO Teil C</t>
  </si>
  <si>
    <t>● p - FRP (NT1)</t>
  </si>
  <si>
    <t>6313.02 BSK+BAB-Otto-Volger-Straße-Sulzbach-Limespark</t>
  </si>
  <si>
    <t>● Baubegleitung (a.N.)</t>
  </si>
  <si>
    <t>6313.031 Main-Elektro-Anp-FWP-FRP-BT-E-Limespark-Sulzbach</t>
  </si>
  <si>
    <t>● (aN) Anpassung FWP/FRP (SV)</t>
  </si>
  <si>
    <t>● (aN) Anpassung FWP/FRP (CAD)</t>
  </si>
  <si>
    <t>● (aN) Anpassung FWP/FRP (ADM)</t>
  </si>
  <si>
    <t>6313.05 rh-Construction-LG-EnSol-BSK-BAB-Limespark-Sulzbach</t>
  </si>
  <si>
    <t>● (aN) Pos. 1 Abstimmungstermin mit den Behörden und Beratungsleistungen</t>
  </si>
  <si>
    <t>● (p) Pos. 2 Fortschreibung Brandschutzkonzept</t>
  </si>
  <si>
    <t>● (p) Pos. 3 Brandschutzberatung in der Ausführungsplanung</t>
  </si>
  <si>
    <t>6313.06 BSK-Fitseveneleven-Limespark-Sulzbach-1.OG</t>
  </si>
  <si>
    <t>● (aN) Pos.1 Abstimmungstermin mit Behörden + Beratungsleistungen</t>
  </si>
  <si>
    <t>● (p) Pos.2 Fortschr. BSK</t>
  </si>
  <si>
    <t>● (p) Pos.3 Brandschutzberatung i. Ausführungsplanung+Objektüberwachung</t>
  </si>
  <si>
    <t>● (p) Pos.4 Anpassung FRP</t>
  </si>
  <si>
    <t>● (p) Pos.5 Anpassung FWP</t>
  </si>
  <si>
    <t>● NAT-BAB-001-2025-10-06</t>
  </si>
  <si>
    <t>● (p) Erw. zu Pos. 4 FRP + Pos. 5 FWP: Auslegung Feuerlöscher Standorte</t>
  </si>
  <si>
    <t>● • (p) Pos. 1 Baubegleitende Brandschutzberatung und Qualitätsüberwachung für die Durchführung der Baumaßnahme</t>
  </si>
  <si>
    <t>6313.061 Fitseveneleven-BSO-Limespark-Sulzbach-1.OG</t>
  </si>
  <si>
    <t>● • (p) Pos. 2 Brandschutzordnung Teil A-C</t>
  </si>
  <si>
    <t>6313.07 SchäferHübner-FWP-FRP-Limespark-Sulzbach-2.OG-BT-E</t>
  </si>
  <si>
    <t>● (p) Pos. 1 Anp. FWP</t>
  </si>
  <si>
    <t>● (p) Pos. 2 Anpassung FRP</t>
  </si>
  <si>
    <t>6313.100 Quantum-Allgemeine-BTB-Limespark-Sulzbach</t>
  </si>
  <si>
    <t>● • (aN) Pos. 1 Ortstermine</t>
  </si>
  <si>
    <t>● • (aN) Pos. 2 Brandschutztechnische Beratung und Erarbeitung von Brandschutzdokumenten</t>
  </si>
  <si>
    <t>● • (aN) Pos. 3 Erarbeiten von Brandschutzplänen (CAD)</t>
  </si>
  <si>
    <t>6313.101 Quantum-Röder-BTB-Urologie-Limespark-Sulzbach</t>
  </si>
  <si>
    <t>● • (aN) Pos. 3 Erarbeiten von Brandschutzplänen (BSP, FWP, FRP)</t>
  </si>
  <si>
    <t>6313.103 Quantum-BTB-Fortschr-BSK-Mietung-DSGF-Limespark-Sulzbach</t>
  </si>
  <si>
    <t>● • ‧ Teilnahme an Planungs- und Koordinationsbesprechungen vor Ort</t>
  </si>
  <si>
    <t>● • ‧ Teilnahme an Planungs- und Koordinationsbesprechungen online</t>
  </si>
  <si>
    <t>● • (aN) Pos. 3 Erarbeiten von Brandschutzplänen</t>
  </si>
  <si>
    <t>6319 Silo-4-Wabern-Südzucker</t>
  </si>
  <si>
    <t>6319.03 BTB-Südzucker-Homberger-Straße-1-Wabern</t>
  </si>
  <si>
    <t>● (a.N.) Pos.1 BTB + Vorbereitung Audit Bewertung Brandschutztüren</t>
  </si>
  <si>
    <t>● (a.N.) Pos.3 BTB zur DAchsanierung i.Zs. mit Brandsanierung Pelletlager</t>
  </si>
  <si>
    <t>6319.05 BSK-Silo-Südzucker-Homberger-Straße-1-Wabern</t>
  </si>
  <si>
    <t>● (p) Pos.1 (00020) Fertigstellung BSK-Silo</t>
  </si>
  <si>
    <t>● (a.N.) Pos.2 (00010) Ausführungsplanung zur BM Silo–LPH 5</t>
  </si>
  <si>
    <t>● (a.N.) Pos.3 (00010) Objejktüberwachung– LPH 8</t>
  </si>
  <si>
    <t>6319.06 BSB-2025-Südzucker-Homberger-Straße-1-Wabern</t>
  </si>
  <si>
    <t>● (a.N.) Pos.1  BSB 2025 zur Unterstützung d. internen BSB</t>
  </si>
  <si>
    <t>6319.07 BSK-Südzucker-Homberger-Straße-1-Wabern-Erweiterung-Lager</t>
  </si>
  <si>
    <t>● (p) Fortschreibung BSK Erweiterung der Lager- und Verladekapazität für Zucker</t>
  </si>
  <si>
    <t>6319.08 BTB-Südzucker-Homberger-Straße-1-Wabern-Gaskalkofen</t>
  </si>
  <si>
    <t>● (aN) Pos.1 BTB zum Neubau des Gaskalkofens</t>
  </si>
  <si>
    <t>● (p) Pos.2 erstellung BSK als Ausarbeitung + Finalisierung der Planung unter Pos.1</t>
  </si>
  <si>
    <t>6322.02 CZ-RV-Varese BA1-Sprinklerschutz_Umbauplanung-Halle_2</t>
  </si>
  <si>
    <t>● (aN) Varese BA1, Sprinklerschutz Umbauplanung, Halle (SV)</t>
  </si>
  <si>
    <t>● (aN) Varese BA1, Sprinklerschutz Umbauplanung, Halle 2 (CAD)</t>
  </si>
  <si>
    <t>● (aN) Varese BA1, Sprinklerschutz Umbauplanung, Halle 2 (ADM)</t>
  </si>
  <si>
    <t>6322.03 CZ_OK_Cremora A</t>
  </si>
  <si>
    <t>● • SV</t>
  </si>
  <si>
    <t>● • CAD</t>
  </si>
  <si>
    <t>6322.04 CZ_OK_Varese BA3</t>
  </si>
  <si>
    <t>6324 Rheinstraße-27-Frankfurt-HPPVO</t>
  </si>
  <si>
    <t>● Prüfung Nachweis (pauschal)</t>
  </si>
  <si>
    <t>● Überwachung Bauausführung (pauschal)</t>
  </si>
  <si>
    <t>6331.02 BSK-Wiesenstraße-17-Sulzbach</t>
  </si>
  <si>
    <t>6334 Marktplatz-1-Ebrach-Justizvollzugsanstalt</t>
  </si>
  <si>
    <t>● Erstellung BSK KG bis OG2 (pauschal)</t>
  </si>
  <si>
    <t>● Einarbeitung BSK 'Sanierung Kaisersaal' (pauschal)</t>
  </si>
  <si>
    <t>● Einarbeitung BSK 'Sanierung Dächer' (pauschal)</t>
  </si>
  <si>
    <t>● Vorstellung + Abstimmung BSK (pauschal)</t>
  </si>
  <si>
    <t>● Ortstermin inkl. An- + Abfahrt (pauschal)</t>
  </si>
  <si>
    <t>6334.01 NAT01-BSK-Marktplatz-1-Ebrach-Justizvollzugsanstalt</t>
  </si>
  <si>
    <t>● (p) Pos.1 - Auswertung der durchgeführten Bestandserfassung</t>
  </si>
  <si>
    <t>● (p) - Pos.2 - Schnittstellenbetrachtung Konzepte Kaisersaal und Dächer</t>
  </si>
  <si>
    <t>● (p) Pos.3 - Vorlage Statiker</t>
  </si>
  <si>
    <t>● (a.N.) Pos. 4 - Brandschutztechn. Beratung</t>
  </si>
  <si>
    <t>● (a.N.) Ortstermine (5) inkl. an- und Abfahrt</t>
  </si>
  <si>
    <t>● (p) Pos.6 - Einarbeitung der 4. Teilbaumaßnahme in ganzheitliches Brandschutzkonzept</t>
  </si>
  <si>
    <t>6339 Institute-for-Lung-Health-ILH-Gießen</t>
  </si>
  <si>
    <t>● LP2 BL (pauschal)</t>
  </si>
  <si>
    <t>● LP3 BL (pauschal)</t>
  </si>
  <si>
    <t>● LP4 BL (pauschal)</t>
  </si>
  <si>
    <t>● LP 5 GL (pauschal)</t>
  </si>
  <si>
    <t>● (p) LP 5 BL</t>
  </si>
  <si>
    <t>● LP 8 GL (pauschal)</t>
  </si>
  <si>
    <t>● LP 8 BL (pauschal)</t>
  </si>
  <si>
    <t>6341 Geb-07752-Wiesbaden-Housing-Area-Hainerberg</t>
  </si>
  <si>
    <t>● (p) LP2 GL Vorplanung</t>
  </si>
  <si>
    <t>● (p) LP3 Entwurfsplanung</t>
  </si>
  <si>
    <t>● (p) LP4 Genehmigungsplanung</t>
  </si>
  <si>
    <t>● (p) LP 5 Ausführungsplanung</t>
  </si>
  <si>
    <t>6342 Rathausplatz-20-Ludwigshafen-Rathaus-Center-Rückbau</t>
  </si>
  <si>
    <t>● Beratung Rückbau (auf Nachweis)</t>
  </si>
  <si>
    <t>6342.01 BSK-Bauzeit-Rathausplatz-20-Ludwigshafen-Rathaus-Center-Rückbau</t>
  </si>
  <si>
    <t>● Beratung + BSK Bauzeit (auf Nachweis)</t>
  </si>
  <si>
    <t>6342.03 BAB-Rathaus-Center-Rathausplatz-20-LU</t>
  </si>
  <si>
    <t>● (aN) BAB + QÜ Baumaßnahme</t>
  </si>
  <si>
    <t>6344 Brodenheckstraße-Bitburg-Amtsgericht</t>
  </si>
  <si>
    <t>● LP2 - Leistungen auf Nachweis (auf Nachweis)</t>
  </si>
  <si>
    <t>● LP3 - Leistungen auf Nachweis (auf Nachweis)</t>
  </si>
  <si>
    <t>● (p.) Wdh. LP 2 GL</t>
  </si>
  <si>
    <t>6355 Koblenzer-Straße-49-Frankfurt-HPPVO</t>
  </si>
  <si>
    <t>● Prüfen Nachweis (auf Nachweis)</t>
  </si>
  <si>
    <t>● Überwachen Bauausführung (auf Nachweis)</t>
  </si>
  <si>
    <t>6358 Herzogstraße-4-Frankfurt-KiTa</t>
  </si>
  <si>
    <t>● BST (auf Nachweis)</t>
  </si>
  <si>
    <t>6359 Grüneburgweg-23a-Frankfurt-HPPVO</t>
  </si>
  <si>
    <t>6365.01 TG-AHO-FrankfurterStr90-Offenbach</t>
  </si>
  <si>
    <t>● (p) Pos. 3 LPH 3 Entwurfsplanung</t>
  </si>
  <si>
    <t>● (p) Pos. 4 LPH 4 Genehmigungsplanung</t>
  </si>
  <si>
    <t>● (p) Pos. 5 LPH 5 Ausführungsplanung</t>
  </si>
  <si>
    <t>● (p) Pos. 9 LPH 9 Erstellung von Feuerwehrplänen</t>
  </si>
  <si>
    <t>● Pos. 10  LPH 9 Erstellung von Flucht- und Rettungsplänen</t>
  </si>
  <si>
    <t>● Auftragserweiterung per eMail 24-12-30</t>
  </si>
  <si>
    <t>6365.02 FrankfurterStr90-Offenbach-IHK-BTB</t>
  </si>
  <si>
    <t>● (a.N.) Auftragserweiterung per Mail vom 25.06.2024</t>
  </si>
  <si>
    <t>6373 Uniklinik-Frankfurt-Haus-23-Umbau-OP</t>
  </si>
  <si>
    <t>● (p) 1000-Grundlagenermittlung BL</t>
  </si>
  <si>
    <t>● (p) 2000-Vorplanung - GL</t>
  </si>
  <si>
    <t>● (p) 2000-Vorplanung Wiederholung GL</t>
  </si>
  <si>
    <t>● (p) 2000-Vorplanung BL - Evakuierungskonzept</t>
  </si>
  <si>
    <t>● (p) 3000-Entwurfsplanung - GL</t>
  </si>
  <si>
    <t>● (p) 4000-Genehmigungsplanung - GL</t>
  </si>
  <si>
    <t>● (p) 5000-Ausführungsplanung GL</t>
  </si>
  <si>
    <t>● (p) 5000-Ausführungsplanung - BL</t>
  </si>
  <si>
    <t>● (p) 8000-Objektüberwachung - GL</t>
  </si>
  <si>
    <t>6375 Rödelheimer-Landstraße-137-Frankfurt-HPPVO</t>
  </si>
  <si>
    <t>● Prüfung Nachweis (auf Nachweis)</t>
  </si>
  <si>
    <t>6376 Mainzer-Landstraße-127a-Frankfurt-HPPVO</t>
  </si>
  <si>
    <t>● Wdh-Leistung (p) Prüfung und Bescheinigung des Brandschutznachweises</t>
  </si>
  <si>
    <t>6377 Alemannenstraße-21-Heimsheim-IAV</t>
  </si>
  <si>
    <t>● LP4 BL Einarbeitung (pauschal)</t>
  </si>
  <si>
    <t>● LP4 BL Abstimmungstermine (auf Nachweis)</t>
  </si>
  <si>
    <t>● LP4 BL Fortschr. BSK (pauschal)</t>
  </si>
  <si>
    <t>● LP5 GL (pauschal)</t>
  </si>
  <si>
    <t>● LP8 GL (pauschal)</t>
  </si>
  <si>
    <t>● zusätzl. Leistungen (auf Nachweis)</t>
  </si>
  <si>
    <t>6377.03 sectus-IAV-FRP-Gewerbegebiet-Kammertal-Heimsheim</t>
  </si>
  <si>
    <t>6377.04 IAV-BSK-Im-Kammertal10-Heimsheim</t>
  </si>
  <si>
    <t>● (aN) Pos. 2 Abstimmungstermin</t>
  </si>
  <si>
    <t>6384.02 BTB-Am-Kaiserberg-6c-Bad-Nauheim</t>
  </si>
  <si>
    <t>● (a.N.) BTB zur Thematik IST-Situation v.Ort zum letzten Genehmigungsstand</t>
  </si>
  <si>
    <t>6388 Alzenauer-Straße-29-Rodenbach</t>
  </si>
  <si>
    <t>● LP1-3 (pauschal)</t>
  </si>
  <si>
    <t>● LP5 (auf Nachweis)</t>
  </si>
  <si>
    <t>● LP8 (auf Nachweis)</t>
  </si>
  <si>
    <t>6388.01 NAT-BTB-Alzenauer-Straße-29-Rodenbach</t>
  </si>
  <si>
    <t>● (p) Pos.1 Bereits durchgeführte Begehungen</t>
  </si>
  <si>
    <t>● (aN) Pos.2 Begehungen</t>
  </si>
  <si>
    <t>6390 Zum-Sportplatz-6-Alsfeld-Berfa-Kita-Bechtelsberger-Strolche</t>
  </si>
  <si>
    <t>6390.01 Fortschr-BSK-Zum-Sportplatz-6-Alsfeld-Berfa-Kita-Bechtelsberger-Strolche</t>
  </si>
  <si>
    <t>6392 BAB-Südpfalz-Kaserne-Germersheim</t>
  </si>
  <si>
    <t>● Baubegl. Geb. 2/2a,11,12,42 (auf Nachweis)</t>
  </si>
  <si>
    <t>6392.01 LBB-Landau-KOF-Südpfalz-Kaserne-An-der-Hexenbrücke5-Germersheim</t>
  </si>
  <si>
    <t>● (p) Pos. 1 Qualitätsüberwachung für die Durchführung der Baumaßnahmen Geb. 2/2a, 11, 12, 42</t>
  </si>
  <si>
    <t>6397 Truppenübungsplatz-Grafenwöhr-Geb1-4</t>
  </si>
  <si>
    <t>● • Pos.1 - BSK (pauschal)</t>
  </si>
  <si>
    <t>● • Pos.2 - Pläne + Summary (pauschal)</t>
  </si>
  <si>
    <t>● • Pos.? LP 5 (vorab angelegt)</t>
  </si>
  <si>
    <t>● • (aN) NAT Geb. 1</t>
  </si>
  <si>
    <t>● Geb2 Kantine (Dining Facility)</t>
  </si>
  <si>
    <t>● Geb3 Fitnesseinrichtung (Fitness)</t>
  </si>
  <si>
    <t>● Geb4 Heizwerk (Heating)</t>
  </si>
  <si>
    <t>● (p) Begehungen (je Termin 900,-)</t>
  </si>
  <si>
    <t>6402.01 BSK-Eichelkopfstraße-63-65-Gettenbach-Schloss</t>
  </si>
  <si>
    <t>● Erstellung BSK Interimsnutzung (auf Nachweis)-NAT01</t>
  </si>
  <si>
    <t>6402.02 BSK-Wohnheim-Eichelkopfstraße-63-Gettenbach</t>
  </si>
  <si>
    <t>● (a.N.) Erstellung Brandschutzkonzept</t>
  </si>
  <si>
    <t>● (a.N.) Erarbeiten Brandschutzkonzeptpläne</t>
  </si>
  <si>
    <t>6402.03 FRP+FWP-Wohnheim-Eichelkopfstraße-63-Gettenbach</t>
  </si>
  <si>
    <t>● (p) Pos.1 Erstellung FWP</t>
  </si>
  <si>
    <t>● (p) Pos.2 Erstellung FRP</t>
  </si>
  <si>
    <t>6409 Konrad-Zuse-Straße-Alzenau-HPPVO</t>
  </si>
  <si>
    <t>● Prüfung BSN (pauschal)</t>
  </si>
  <si>
    <t>6410.01 StBARegensburg-NAT-BSK-Geb852+854-Hohenfels</t>
  </si>
  <si>
    <t>● NAT 2023-05-30</t>
  </si>
  <si>
    <t>6410.02 StBARegensburg-NAT-BSK-BTB-BFM-Geb854-Hohenfels</t>
  </si>
  <si>
    <t>● NAT-BSK-BTB- 002-2025-04-16</t>
  </si>
  <si>
    <t>● NAT-BFM-002-2025-04-16</t>
  </si>
  <si>
    <t>6411 Turmstraße-10-Ludwigshafen</t>
  </si>
  <si>
    <t>6415 Foodbox-Sandhofer-Straße-116-Mannheim-Roche-SCCM</t>
  </si>
  <si>
    <t>6421.02 FLA-Flughafen-Leipzig-FR</t>
  </si>
  <si>
    <t>● LP1 (pauschal)</t>
  </si>
  <si>
    <t>6421.022 FLA-Flughafen-Leipzig-FR-LP3</t>
  </si>
  <si>
    <t>● (p.) LP 3 GL</t>
  </si>
  <si>
    <t>6421.04 Parkgarage-Flughafen-Leipzig</t>
  </si>
  <si>
    <t>● LP 1 + 2 pauschal</t>
  </si>
  <si>
    <t>6421.071 Weerts-NAT-BSK-DtAircraft-Leipzig</t>
  </si>
  <si>
    <t>● (aN) Pos. 2 BTB Ausführungsplanung</t>
  </si>
  <si>
    <t>6421.08 FLA-BER-FAL-Leipzig</t>
  </si>
  <si>
    <t>● (aN) Pos. 1 Beratungsleistungen Fachplaner</t>
  </si>
  <si>
    <t>6424 Hauptstraße-321-Eschborn-KiTa</t>
  </si>
  <si>
    <t>6427.01 DtPostDHL-BSK-IPZ-1-Flughafen-Frankfurt</t>
  </si>
  <si>
    <t>● (aN) Pos. 1 Erstellung eines Brandschutzkonzeptes</t>
  </si>
  <si>
    <t>● (aN) Pos. 2 Anpassung der Brandschutzkonzeptpläne</t>
  </si>
  <si>
    <t>6429 Zollhofstraße-4-Ludwigshafen-LEG</t>
  </si>
  <si>
    <t>● Teilnahme Ortstermine (auf Nachweis)</t>
  </si>
  <si>
    <t>● Maßnahmenkatalog (pauschal)</t>
  </si>
  <si>
    <t>6436 Ottostraße-6-Friedberg</t>
  </si>
  <si>
    <t>6444.01 E03-MediTec-Rudolf-Eber-Straße-2-Oberkochen-Zeiss-FLA</t>
  </si>
  <si>
    <t>● 3D-Bestandsaufnahme (auf Nachweis)</t>
  </si>
  <si>
    <t>● LPH 2-4 (auf Nachweis)</t>
  </si>
  <si>
    <t>● 3D-Modell Bestand + LPH 3 (auf Nachweis)-CAD</t>
  </si>
  <si>
    <t>● LPH 5-7 (auf Nachweis)</t>
  </si>
  <si>
    <t>● 3D-Modell LPH 5 (auf Nachweis)-CAD</t>
  </si>
  <si>
    <t>● (a.N.) LPH8-SV</t>
  </si>
  <si>
    <t>6457 Fraport-Geb-504-Pläne</t>
  </si>
  <si>
    <t>● Std. a.N. (auf Nachweis)</t>
  </si>
  <si>
    <t>6465 Freiherr-vom-Stein-Straße-3-Frankfurt-HPPVO</t>
  </si>
  <si>
    <t>6466.200 BSB-2024-Los1-Asylunterkünfte-Schwaben-Nord</t>
  </si>
  <si>
    <t>● (a.N.) BSB 11/223- 10/24</t>
  </si>
  <si>
    <t>● (a.N.) zusätzl. Leistungen</t>
  </si>
  <si>
    <t>● (aN) BSB 11/2024 - 10/2025</t>
  </si>
  <si>
    <t>● (aN) zuätzl. Leistungen 11/2024 - 10/2025</t>
  </si>
  <si>
    <t>6467.200 BSB-2024-Los2-Asylunterkünfte-Schwaben-Mitte</t>
  </si>
  <si>
    <t>● (a.N.) Brandschutzbeauftragter 11/2023 - 10/2024</t>
  </si>
  <si>
    <t>● (a.N.) Zusätzl. Leistungen 11/2023 - 10/2024</t>
  </si>
  <si>
    <t>● (aN) zusätzl. Leistungen 11/2024 - 10/2025</t>
  </si>
  <si>
    <t>6467.201 RegSchwaben-FRP-Los2-Ottostr2-Augsburg</t>
  </si>
  <si>
    <t>●  (p) Pos. 1 Erstellung Flucht- und Rettungspläne</t>
  </si>
  <si>
    <t>6467.202 RegSchwaben-FWP-Los2-Ottostr2-Augsburg</t>
  </si>
  <si>
    <t>● (p) Pos. 1 Erstellung Feuerwehrpläne</t>
  </si>
  <si>
    <t>6467.203 RegSchwaben-FRP-Los2-Anker-Mering</t>
  </si>
  <si>
    <t>6467.204 RegSchwaben-FWP-Los2-Anker-Mering</t>
  </si>
  <si>
    <t>● (p) Pos. 1 Erstellung von Feuerwehrpläne</t>
  </si>
  <si>
    <t>6467.300 BSB-2024/2025-Los2-Asylunterkünfte-Schwaben-Mitte</t>
  </si>
  <si>
    <t>● (a.N.) Brandschutzbeauftragter 11/2024 - 10/2025</t>
  </si>
  <si>
    <t>● (a.N.) Zusätzl. Leistungen 11/2024 - 10/2025</t>
  </si>
  <si>
    <t>6468.04 Regierung-Schwaben-FWLK-Maler-Lochbihler-Str14-Kempten</t>
  </si>
  <si>
    <t>● Pos. 1 Erstellung von Feuerwehrlaufkarten</t>
  </si>
  <si>
    <t>6468.200 BSB-2024-Los3-Asylunterkünfte-Schwaben-Süd</t>
  </si>
  <si>
    <t>● (a.N.) Zusätzl. Leistungen 2024</t>
  </si>
  <si>
    <t>6474.01 SLK-BAB-SLK-Verwaltungsgebäude</t>
  </si>
  <si>
    <t>● (aN) Pos.5 B AB  und Qualitätsüberwachung</t>
  </si>
  <si>
    <t>6481.01 Liebigstraße-43-Frankfurt-HPPVO</t>
  </si>
  <si>
    <t>● • 4301-HPPVO-1. Prüfbericht-Vollständigkeit und Richtigkeit</t>
  </si>
  <si>
    <t>● • LP8-Weiterführende Prüfberichte einschl. Ortstermin</t>
  </si>
  <si>
    <t>6483.01  NAT-BST-Myliusstraße-25-27-Frankfurt-Bestandgebaude-Sprinkleranlage</t>
  </si>
  <si>
    <t>● (p) pos. 1 Brandschutztechnische Stellungnahme (18h SV/ 2h Admin) 2.650€</t>
  </si>
  <si>
    <t>6494 Eschersheimer-Landstraße-55-Frankfurt</t>
  </si>
  <si>
    <t>● Konzept Bauphase (auf Nachweis)</t>
  </si>
  <si>
    <t>6494.01 FWP-Escherheimer Landstr-55-FFM</t>
  </si>
  <si>
    <t>6495.01 ENBW-BSK-Windpark-Vöhl</t>
  </si>
  <si>
    <t>● • (p) Pos. 1 Erstellung Brandschutzkonzept</t>
  </si>
  <si>
    <t>6497 SunYardOffice-Heidelberg</t>
  </si>
  <si>
    <t>● • (p) LP 1 GL Grundlagenermittung</t>
  </si>
  <si>
    <t>● • (p) LP 2 GL Vorplanung</t>
  </si>
  <si>
    <t>● • (p) LP 3 GL Entwurfsplanung</t>
  </si>
  <si>
    <t>● • (p) LP 4 GL Genehmigungsplanung</t>
  </si>
  <si>
    <t>6500.03 BSB-2024-Ketteler-Straße-100-Offenbach</t>
  </si>
  <si>
    <t>● (a.N) Brandschutzbeauftragter 2024</t>
  </si>
  <si>
    <t>6507 Kloster-Schäftlarn-Hauptbau</t>
  </si>
  <si>
    <t>● (p) LP1 GL (Abruf 0 2021-12-13)</t>
  </si>
  <si>
    <t>● (p) LP2 GL (Abruf 0 2021-12-13)</t>
  </si>
  <si>
    <t>● (p) LP3 GL (Abruf 0 2021-12-13)</t>
  </si>
  <si>
    <t>● • (p) LP 4 GL 50% (beauftragt 2023-10-25)</t>
  </si>
  <si>
    <t>● • (p) LP 4 Erhöhung auf 90% (beauftragt 2024-05-06)</t>
  </si>
  <si>
    <t>● (p) LP1 BL (Abruf 0 2021-12-13)</t>
  </si>
  <si>
    <t>● (p) LP 2 BL (Abruf 5 2024-05-06)</t>
  </si>
  <si>
    <t>● (p) zusätzl. Vertragsbedingungen: Kosten f. erw. Führungszeugnis (Abruf 5 2024-05-06)</t>
  </si>
  <si>
    <t>6507.01 Benediktinerabtei-Schäftlarn-Hackschnitzelanlage-Kloster-Schäftlarn</t>
  </si>
  <si>
    <t>● (p) LP 1 GL</t>
  </si>
  <si>
    <t>● • 50%</t>
  </si>
  <si>
    <t>● • 90%</t>
  </si>
  <si>
    <t>6508 Kloster-Schäftlarn-Erweiterungsbau</t>
  </si>
  <si>
    <t>● (p) LP1 GL</t>
  </si>
  <si>
    <t>● (p) LP2 GL</t>
  </si>
  <si>
    <t>● (p) LP3 GL</t>
  </si>
  <si>
    <t>● (p) LP1 BL Bestandserfassung vor Ort....</t>
  </si>
  <si>
    <t>● (p) LP 2 BL</t>
  </si>
  <si>
    <t>● • (aN) LP 2 Variantenbetrachtung</t>
  </si>
  <si>
    <t>● • (aN) LP 2 BST Interimsphase/SV</t>
  </si>
  <si>
    <t>● • (aN) LP2 BST Interimsphase/CAD</t>
  </si>
  <si>
    <t>6508.01 Kloster-Schäftlarn-Erweiterungsbau-Interimskonzept</t>
  </si>
  <si>
    <t>6511 Thüringer-Straße-2+4a-Haus-1-Grävenwiesbach</t>
  </si>
  <si>
    <t>6511.01 BSK-Thüringer-Straße-4a-Grävenwiesbach</t>
  </si>
  <si>
    <t>6512 Thüringer-Straße-4-Haus-2-Grävenwiesbach</t>
  </si>
  <si>
    <t>6514.01 Nachweis-Städtisches-Klinikum-Braunschweig</t>
  </si>
  <si>
    <t>● Abschnitt 3 Räumungs- und Evakuierungskonzept (auf Nachweis)</t>
  </si>
  <si>
    <t>● Abschnitt 4 Mitarbeiterschulungen (auf Nachweis)</t>
  </si>
  <si>
    <t>● Abschnitt 5 - Brandschutzübungen Teilnehmer/Equipment</t>
  </si>
  <si>
    <t>● Abschnitt 6 weitere Beratungen (auf Nachweis)</t>
  </si>
  <si>
    <t>● Vorab erbrachte Leistungen</t>
  </si>
  <si>
    <t>6514.02 Pauschal-Städtisches-Klinikum-Braunschweig</t>
  </si>
  <si>
    <t>● Abschnitt 1 Projektstart und Projektkoordination (Tagessatz)</t>
  </si>
  <si>
    <t>● Abschnitt 2 Begehungen (Tagessatz)</t>
  </si>
  <si>
    <t>● Abschnitt 3 Räumungs- und Evakuierungskonzept (Stück pro Plan)</t>
  </si>
  <si>
    <t>● Abschnitt 4 Mitarbeiterschulungen (pro Schulung)</t>
  </si>
  <si>
    <t>6514.03 RMS-Nachweis-Städtisches-Klinikum-Braunschweig</t>
  </si>
  <si>
    <t>● Druck Unterlagen Alarmkoffer einseitig (3,00 €/Blatt) (Abrg. je Blatt)</t>
  </si>
  <si>
    <t>● Druck Unterlgen Alarmkoffer beidseitig (5,00 €/Blatt) (Abrg. je Blatt)</t>
  </si>
  <si>
    <t>6514.04 Stundendokumentation RuE-Pläne-Städtisches-Klinikum-Braunschweig</t>
  </si>
  <si>
    <t>● Abschnitt 3-Räumungs- und Evakuierungspläne</t>
  </si>
  <si>
    <t>6514.05 BSB-2023-Städtisches-Klinikum-Braunschweig</t>
  </si>
  <si>
    <t>● (p) Pos.1a) Schulungen 2023</t>
  </si>
  <si>
    <t>● (p) Pos.1b) Übungen 2023</t>
  </si>
  <si>
    <t>● (p) Pos.2a) Brandshcutzordnung Erstellung 2023</t>
  </si>
  <si>
    <t>● (p) Pos.2b Brandschutzordnung Fortschreibung 2023</t>
  </si>
  <si>
    <t>● (p) Pos.3 Quartalsbericht Erstellung + Fortschreibung 2023</t>
  </si>
  <si>
    <t>● (p) Pos.4 Ansprechpartner Brandschutz 2023</t>
  </si>
  <si>
    <t>● (p) Pos.5 Externer Brandschutzbeauftragter 2023</t>
  </si>
  <si>
    <t>6514.06 BSB-2024-Städtisches-Klinikum-Braunschweig</t>
  </si>
  <si>
    <t>● (p) Pos.1 a) Schulungen 2024 - (50%)</t>
  </si>
  <si>
    <t>● (p) Pos.1 b) Übungen 2024 - (50%)</t>
  </si>
  <si>
    <t>● (p) Pos.2 a) Brandschutzordnung Erstellung 2024 - (75%)</t>
  </si>
  <si>
    <t>● (p) Pos.2 b) Brandschutzordnung Fortschreibung 2024 - (25%)</t>
  </si>
  <si>
    <t>● (p) Pos.3 Quartalsbericht Erstellung u. Fortschreibung 2024</t>
  </si>
  <si>
    <t>● (p) Pos.4 Ansprechpartner Brandschutz 2024</t>
  </si>
  <si>
    <t>● (p) Pos.5 Externer Brandschutzbeauftragter 2024</t>
  </si>
  <si>
    <t>6514.07 BSB-2025-Städtisches-Klinikum-Braunschweig</t>
  </si>
  <si>
    <t>● (p) Pos.1 a) Schulungen bis 11/2025 - (50%)</t>
  </si>
  <si>
    <t>● (p) Pos.1 b) Übungen bis 11/2025 - (50%)</t>
  </si>
  <si>
    <t>● (p) Pos.2 a) Brandschutzordnung Erstellung bis 11/2025 - (75%)</t>
  </si>
  <si>
    <t>● (p) Pos.2 b) Brandschutzordnung Fortschreibung bis 11/2025 - (25%)</t>
  </si>
  <si>
    <t>● (p) Pos.3 Quartalsbericht Erstellung u. Fortschreibung bis 11/2025</t>
  </si>
  <si>
    <t>● (p) Pos.4 Ansprechpartner Brandschutz bis 11/2025</t>
  </si>
  <si>
    <t>● (p) Pos.5 Externer Brandschutzbeauftragter bis 11/2025</t>
  </si>
  <si>
    <t>6514.08 Städtisches-Klinikum-Braunschweig-Ausstattung-Alarmkoffer</t>
  </si>
  <si>
    <t>● (p) Ausstattung Alarmkoffer für ~100 Koffer</t>
  </si>
  <si>
    <t>6514.10 Nachweis Räumung Städtisches Klinikum Braunschweig 2024/2025</t>
  </si>
  <si>
    <t>● Abschnitt 7</t>
  </si>
  <si>
    <t>6516.03 Züblin-BAB-IX-Geb-126-Brandwand-Hanauer-Landstr360-FFM</t>
  </si>
  <si>
    <t>● (aN) Pos. 1 Objektüberwachung Brandschutz</t>
  </si>
  <si>
    <t>● (p) Pos. 2 Feuerwehrpläne</t>
  </si>
  <si>
    <t>● (p) Pos. 3 Flucht- und Rettungspläne</t>
  </si>
  <si>
    <t>6518 Bernhard-Grzimek-Allee-1-Frankfurt-Zoo-Restaurant-NB</t>
  </si>
  <si>
    <t>● BSK Restaurant NB (pauschal)</t>
  </si>
  <si>
    <t>● Baubegleitende Brandschutzberatung - BAB (a.N.)</t>
  </si>
  <si>
    <t>6522 Revitalisierung-uPva-Karlsplatz-MKA-TH89-90</t>
  </si>
  <si>
    <t>● BST Entwurfsplanung (pauschal)</t>
  </si>
  <si>
    <t>● BST Ausführungsplanung (pauschal)</t>
  </si>
  <si>
    <t>6523 Revitalisierung-uPva-Marienplatz-MMP-TH10</t>
  </si>
  <si>
    <t>6523.01 NAT-01-BTB-Revitalisierung-uPva-Marienplatz-MMP-TH11-Rettungswegbreite</t>
  </si>
  <si>
    <t>● (aN) Pos.1 NAT xx BTB Rettungswegbreite TH11</t>
  </si>
  <si>
    <t>6524 Revitalisierung-uPva-Rosenheimer-Platz-MRP-TH1</t>
  </si>
  <si>
    <t>● BST VTE (pauschal)</t>
  </si>
  <si>
    <t>● BST West TH1 (pauschal)</t>
  </si>
  <si>
    <t>6524.01 NAT-BST-MRP-Technikebene-ZE-Kühlgeräte-VMF</t>
  </si>
  <si>
    <t>● (p) Pos.2 Erstellung BST -Aufstellung Kühlgeräte für Vermarktungsflächen (VMF) in Zwischenebene (ZE)</t>
  </si>
  <si>
    <t>6524.02 NAT-BST-MRP-VTE-Aufzug-HA005</t>
  </si>
  <si>
    <t>● (p) Pos.1 Erstellung BST Aufzug HA005</t>
  </si>
  <si>
    <t>6524.03 NAT-BST-MRP-Endzustand-VTE-autom.-Löschanlagen</t>
  </si>
  <si>
    <t>● (p) Pos.3 Erstellung BST für Definition der Ausnahmen des Umfangs der autom. Löschanlage</t>
  </si>
  <si>
    <t>6524.100 (war 6935) Rischart-MRP-Mieterausbau-MF21-München</t>
  </si>
  <si>
    <t>● (p) Pos. 1 brandschutztechnische Stellungnahme</t>
  </si>
  <si>
    <t>6524.101 (war 6936) Wintergerst-BST-MRP-Mieterausbau-MF22-München</t>
  </si>
  <si>
    <t>6524.102 A&amp;A-BST-MRP-Mieterausbau-MF23-München</t>
  </si>
  <si>
    <t>● (p) Pos.1 BST für Mieteinheit 23</t>
  </si>
  <si>
    <t>6525 Revitalisierung-uPva-Isartor-MIT</t>
  </si>
  <si>
    <t>● BST West (pauschal)</t>
  </si>
  <si>
    <t>● BST Ost (pauschal)</t>
  </si>
  <si>
    <t>6525.02 DB-PLP-uPVA-MIT-Isartor-München-sFLA-Wandverkleidung</t>
  </si>
  <si>
    <t>● (aN) Pos.1 Planprüfung selbst. Feuerlöschanlage</t>
  </si>
  <si>
    <t>6527.01 IO-Anp-BSK-Mühlenfeldstr1-Holzminden-Symotion</t>
  </si>
  <si>
    <t>● (p) Anpassung BSK</t>
  </si>
  <si>
    <t>● (aN) Beratung</t>
  </si>
  <si>
    <t>6528.01 B&amp;L-FLA-Trinkwassertrennung-Gropiusplatz-10-Stuttgart</t>
  </si>
  <si>
    <t>● Planung Trinkwassertrennung Wandyhdrantenanlage (pauschal)</t>
  </si>
  <si>
    <t>● Leistungsverzeichnis (pauschal)</t>
  </si>
  <si>
    <t>● • (aN) NAT 001+002 Pos. 1 Bauüberwachung der Baumaßnahme (LPH 8)</t>
  </si>
  <si>
    <t>● LP 8 Bauüberwachung der Baumaßnahme</t>
  </si>
  <si>
    <t>6528.03 VdS-Mängel-Step6-WE3022-PLA-Gropiusplatz10-Stuttgart-FLA</t>
  </si>
  <si>
    <t>● (p.) Planungsmaßnahmen</t>
  </si>
  <si>
    <t>● (p) LP5 Mängelbeseitigung Sprinkleranlage</t>
  </si>
  <si>
    <t>● (p) LP6</t>
  </si>
  <si>
    <t>● (p) LP7</t>
  </si>
  <si>
    <t>● (p) LP8</t>
  </si>
  <si>
    <t>6530 Frankfurter-Straße-135-Bad-Vilbel</t>
  </si>
  <si>
    <t>● BSN (pauschal)</t>
  </si>
  <si>
    <t>● BSP (pauschal)</t>
  </si>
  <si>
    <t>6533.01 DFS-BSB-ab2023-007-Energiezentrale-Langen</t>
  </si>
  <si>
    <t>● (a.N.) BSB 2023</t>
  </si>
  <si>
    <t>6533.021 DFS-BSB-007-Energiezentrale-Langen</t>
  </si>
  <si>
    <t>● (aN) Pos. 2-4 BSB ab 2025</t>
  </si>
  <si>
    <t>6533.03 DFS-BSB-2025-007-Energiezentrale-Langen</t>
  </si>
  <si>
    <t>6533.04 DFS-BSO-007-Energiezentrale-Langen</t>
  </si>
  <si>
    <t>● (aN) Pos. 1 Prüfung der bestehenden Brandschutzordnung</t>
  </si>
  <si>
    <t>6533.05 DFS-FW-Übersichtspläne-Energiezentrale-Langen-</t>
  </si>
  <si>
    <t>● (p) Medientunnel-Bauzeitraum</t>
  </si>
  <si>
    <t>6537 Otto-Schott-Straße-2-Mainz-Ma6</t>
  </si>
  <si>
    <t>● Step 1: LP1 GL (pauschal)</t>
  </si>
  <si>
    <t>● Step 1: LP2 GL (pauschal)</t>
  </si>
  <si>
    <t>● Step 1: LP3 GL (pauschal)</t>
  </si>
  <si>
    <t>● Step 2: LP5 GL (pauschal)</t>
  </si>
  <si>
    <t>● Step 2: LP6 GL (pauschal)</t>
  </si>
  <si>
    <t>● Step 2: LP 6 Änderungen (a.N., Bestellung-Nr. 4503708102)</t>
  </si>
  <si>
    <t>● Step 2: LP7 GL (pauschal)</t>
  </si>
  <si>
    <t>● Step 3: LP 8 (p)</t>
  </si>
  <si>
    <t>● (p) Anlage Projekt, Angebot, Versand, Auftrag</t>
  </si>
  <si>
    <t>6537.02 Schott-Ma6-Anbau-Lager-BT2-Otto-Schott-Str2-Mainz</t>
  </si>
  <si>
    <t>● (p) Pos. 3 LP 3  (Entwurfsplanung) auf 50% reduziert</t>
  </si>
  <si>
    <t>● (p) Pos. 4 LP 4 (Genehmigungsplanung)</t>
  </si>
  <si>
    <t>● (p) Pos. 5 LP 5 (Ausführungsplanung)</t>
  </si>
  <si>
    <t>● (p) Pos. 6 LP 6 (Vorbereiten der Vergabe)</t>
  </si>
  <si>
    <t>● Pos. 7 LP 7 (Mitwirken bei der Vergabe)</t>
  </si>
  <si>
    <t>6540.01 RMU-Hochtaunuskliniken-Königstein</t>
  </si>
  <si>
    <t>● (a.N.) Pos.1 - 4 Stück Räumungskarten</t>
  </si>
  <si>
    <t>● (a.N.) Pos.2 - 4 Stück Räumungspläne</t>
  </si>
  <si>
    <t>● (a.N.) Pos.3 - 4 Stück Räumungsmappen</t>
  </si>
  <si>
    <t>6542 Leunastraße-24-Frankfurt</t>
  </si>
  <si>
    <t>● BSN (auf Nachweis)</t>
  </si>
  <si>
    <t>6543.01 BTB-Schäfergasse-18-20-22-Frankfurt</t>
  </si>
  <si>
    <t>● (a.N.) Pos.1 BTB - Konzeptionierung 2.Rettungsweg aus 6.OG +baul. Ausführung d. 5.+6. OG in Holzbau</t>
  </si>
  <si>
    <t>6544 Sophienstraße-22-Frankfurt-HPPVO</t>
  </si>
  <si>
    <t>● Sprinklerkoordination CZ Südwerk</t>
  </si>
  <si>
    <t>6547.01 Sprinklerkoordination-2023-Rudolf-Eber-Straße-2-Oberkochen-Zeiss-FLA</t>
  </si>
  <si>
    <t>● • (aN) QS-Prüfung (projektbezogen)</t>
  </si>
  <si>
    <t>● • (aN) Bestandsaufnahme, Prüfung Bestands- + Planungsdokumentation</t>
  </si>
  <si>
    <t>● Beratung: Beplanung Löschwasserhydr. Proj. Norditalien</t>
  </si>
  <si>
    <t>● Beratung: Firestar-Sprinkler</t>
  </si>
  <si>
    <t>● Halle 4 / Dachaufstellung RLT-Einhausung, Anschlußstutzen NAV und Rohrweg zum DD</t>
  </si>
  <si>
    <t>● Konzeptstudie-Löschwasserversorgung</t>
  </si>
  <si>
    <t>● Halle 7.3 Schnittstellenmanagement</t>
  </si>
  <si>
    <t>● Halle 10 Chicago/Boston hydraulische Berechnung</t>
  </si>
  <si>
    <t>● (aN) Projekt-Administration / -Organisation</t>
  </si>
  <si>
    <t>6548.01 Sprinklerdokumentation-2023-Rudolf-Eber-Str2-Oberkochen-FLA</t>
  </si>
  <si>
    <t>● (aN) Planungshandbücher, Löschanlagenkonzepte, Checklisten, Bestandserfassung</t>
  </si>
  <si>
    <t>● (aN) Dokumentation, Bestandserfassungen</t>
  </si>
  <si>
    <t>6555.01 zusätzl. BTB-Ferniestraße-5-Linden-Blacky's-Playhouse</t>
  </si>
  <si>
    <t>● BTB (a.N.)</t>
  </si>
  <si>
    <t>6558.04 Breuninger-BTB-Mängel-SendlingerStr3-München</t>
  </si>
  <si>
    <t>● (aN) Pos. 1 Brandschutztechnische Beratungsleistung</t>
  </si>
  <si>
    <t>6559.01 Reisinger-KOF-EDAG-EMV-Halle-Fulda</t>
  </si>
  <si>
    <t>● (p) Pos. 1 Baubegleitung und Erstellung einer Konformitätsbescheinigung / Schlussabnahmebescheinigung</t>
  </si>
  <si>
    <t>6563.04 Süwag-BSK-Urseler-Straße-44-Bad-Homburg</t>
  </si>
  <si>
    <t>● (p) Pos. 1 Grundlagenermittlung/Objektbegehung</t>
  </si>
  <si>
    <t>● (aN) Pos. 2 BSK</t>
  </si>
  <si>
    <t>● (aN) Pos. 3 BSK-Pläne</t>
  </si>
  <si>
    <t>● (p) Pos. 4 BST</t>
  </si>
  <si>
    <t>6563.05 Süwag-FRP-Urselerstr-44-Bad-Homburg</t>
  </si>
  <si>
    <t>● (p) Pos. 1 FRP Geb. A, 14 Standorte</t>
  </si>
  <si>
    <t>● (p) Pos. 2 FRP-Geb. B, 4 Standorte</t>
  </si>
  <si>
    <t>6564.01 ROB-MCR-Weilerbach-Züblin-TP1</t>
  </si>
  <si>
    <t>● LP5 (pauschal)</t>
  </si>
  <si>
    <t>● (p) LP 5 Rauchgassimulation Atrium BT -KA</t>
  </si>
  <si>
    <t>● LP8 (pauschal)</t>
  </si>
  <si>
    <t>6564.02 ROB-MCR-Weilerbach-Züblin-TP2</t>
  </si>
  <si>
    <t>6564.03 ROB-MCR-Weilerbach-Züblin-TP3</t>
  </si>
  <si>
    <t>6564.04 ROB-MCR-Weilerbach-Beratung-HDR</t>
  </si>
  <si>
    <t>● (p) LP5</t>
  </si>
  <si>
    <t>6565.01 BTB-Frölingstraße-15-31-Bad-Homburg</t>
  </si>
  <si>
    <t>● Pos. 1 - Brandschutztechnische Beratung (a.N.)</t>
  </si>
  <si>
    <t>● Pos. 2 - Optional: Zusätzliche Beratungsleistungen (a.N.)</t>
  </si>
  <si>
    <t>6566 Dornbachstraße-29-33-Oberursel</t>
  </si>
  <si>
    <t>6569 Savignyhaus-Philipps-Universität-Marburg</t>
  </si>
  <si>
    <t>● (a.N.) zusätzliche Stunden</t>
  </si>
  <si>
    <t>6570.03  BTB-Bahnstraße-5a-c-7a-b-Liederbach-offener-Gang</t>
  </si>
  <si>
    <t>● (a.N.) Pos.1 BTB Bewertung des offenen Ganges i.Objekt</t>
  </si>
  <si>
    <t>6571 BSB-2022-Klosterstraße-15-Stadtgalerie-Koenigstein</t>
  </si>
  <si>
    <t>● (a.N.) BSB 03/2024-02/2025</t>
  </si>
  <si>
    <t>● (a.N.) BSB 03/2023-02/2024</t>
  </si>
  <si>
    <t>● (a.N.) BSB 03/2022-02/2023</t>
  </si>
  <si>
    <t>6571.02 BSB-2025-03-2026-02-Klosterstraße-15-Stadtgalerie-Koenigstein</t>
  </si>
  <si>
    <t>● (a.N.) BSB 03/2025-02/2026</t>
  </si>
  <si>
    <t>6577.01 BSK-Auf-dem-Ebental-1-Rüdesheim-Ponyhof</t>
  </si>
  <si>
    <t>● (p) Pos1 Erstellung BSK Geb. 1+2</t>
  </si>
  <si>
    <t>6583 Bahnstraße-44-46-Friedrichsdorf-Blacky's-Playhouse</t>
  </si>
  <si>
    <t>6583.01 BTB-Bahnstraße-Friedrichsdorf-Sprinkleranlage</t>
  </si>
  <si>
    <t>● (aN) BTB zum Entfall der Sprinkleranlage</t>
  </si>
  <si>
    <t>6584.01 PromotionCup-Gustav-Stresemann-Str-5-Bingen-HPPVO-LP8</t>
  </si>
  <si>
    <t>● (aN) Pos. 1 Überwachung und Bescheinigung der übereinstimmenden Bauausführung</t>
  </si>
  <si>
    <t>6589.01 BAB-BTB-Rathaus-OF-BerlinerStr100-Offenbach</t>
  </si>
  <si>
    <t>● (aN) Pos. 2 BTB / Teilnahme JF</t>
  </si>
  <si>
    <t>6589.02 BTB-BSK-Rathaus-OF-BerlinerStr100-Offenbach</t>
  </si>
  <si>
    <t>● • (a.N.) Beratung des Architekten/Bauherren</t>
  </si>
  <si>
    <t>● • (a.N.) Teilnahme an Jour Fix, Planungs- und Koordinationsbesprechungen</t>
  </si>
  <si>
    <t>● (p) Pos. 2 - Fortschreibung des Brandschutzkonzeptes</t>
  </si>
  <si>
    <t>6589.? inBEA</t>
  </si>
  <si>
    <t>6590 Uni-Leipzig-FWP-FRP-Geb4300-RV-Philipp-Rosenthal-Str27A-Leipzig</t>
  </si>
  <si>
    <t>● (p.) Revision FWP</t>
  </si>
  <si>
    <t>● (p.) Aktualisierung FRP A2 + Montage Klapprahmen (8 Stk.)</t>
  </si>
  <si>
    <t>● (p) 1 Ortstermin (Anfahrtspauschale € 200)</t>
  </si>
  <si>
    <t>● (p) NK wie Pos. 01.01.7 LV</t>
  </si>
  <si>
    <t>6590.01 Uni-Leipzig-FWP-Geb4298-RV-Philipp-Rosenthal-Str27e-Leipzig</t>
  </si>
  <si>
    <t>● • (p) Revision FWP</t>
  </si>
  <si>
    <t>● • (p) 1 Ortstermin (Anfahrt pauschal)</t>
  </si>
  <si>
    <t>● • (p) NK (s. Pos. 01.01.7 LV)</t>
  </si>
  <si>
    <t>6590.02 Uni-Leipzig-FWP-Geb4271-Haus8-RV-Johannisallee32-Leipzig</t>
  </si>
  <si>
    <t>●  Revision FWP</t>
  </si>
  <si>
    <t>● (p) Aktual. FRP A2 + Montage Klapprahmen (15 Stk.)</t>
  </si>
  <si>
    <t>● (p) NK (s. Pos. 01.01.7 LV)</t>
  </si>
  <si>
    <t>6590.03 Uni-Leipzig-FWP-Geb4276-Haus7.2-RV-Liebigstr22a-Leipzig</t>
  </si>
  <si>
    <t>● (p) Aktual. FRP A2 + Montage Klapprahmen (6 Stk.)</t>
  </si>
  <si>
    <t>6590.04 Uni-Leipzig-BST-RV-HausG-B301-B302-Liebigstr26-Leipzig</t>
  </si>
  <si>
    <t>● (aN) BST Abruf gem. RV</t>
  </si>
  <si>
    <t>6591.01 IO-BTB-LP5+8-SchaffhausenerStr26-34-Berlin</t>
  </si>
  <si>
    <t>● (p) Pos.1 BTB LP 5 gem. eMail EB/Stundenaufstellung</t>
  </si>
  <si>
    <t>●  (aN) Anp. BSK LP 5 gem. eMail EB 25-04-10</t>
  </si>
  <si>
    <t>6594.01 BSB-2023-Adlerwerke-Kleyerstraße-Weilburgerstraße-Frankfurt</t>
  </si>
  <si>
    <t>● (a.N.) Brandschutzbeauftragter 2023</t>
  </si>
  <si>
    <t>6594.02 BSB-2024-Adlerwerke-Kleyerstraße-Weilburgerstraße-Frankfurt</t>
  </si>
  <si>
    <t>● (p) BSB 2024</t>
  </si>
  <si>
    <t>6594.03  BSB-2025-Adlerwerke-Kleyerstraße-Weilburgerstraße-Frankfurt</t>
  </si>
  <si>
    <t>● (p) BSB 2025 (12 Begehungen/Jahr à 8h)</t>
  </si>
  <si>
    <t>6596.03 NAT-01 BTB-RWA-Max-Planck-Straße-1-3-Im-Gefrieth-11a-Dreieich</t>
  </si>
  <si>
    <t>● (a.N.) Pos.1 - Brandschutztechn. Beratung Rauch- u. Wärmeabzugsanlagen</t>
  </si>
  <si>
    <t>6597 BSK-Rathaus-Babenhausen-Martkplatz-1-Babenhausen</t>
  </si>
  <si>
    <t>● • Erstellung BSK</t>
  </si>
  <si>
    <t>● • ‧ 1101-Zusammenstellen Ergebnisse….</t>
  </si>
  <si>
    <t>● • ‧ 2210-Abgleich Arbeitsschutz zu Rettungswegen....</t>
  </si>
  <si>
    <t>● • ‧ 5100-Beraten Planer ausführungsreife Lösungen….</t>
  </si>
  <si>
    <t>● • ‧ 5105-Mitwirken Feststellung der Eignung Verwendbarkeitsnachweise....</t>
  </si>
  <si>
    <t>● • ‧ 8100-Prüfen der Ausführung auf prinzipielle Übereinstimmung (Stufe 1)....</t>
  </si>
  <si>
    <t>● • ‧ 8103-Prüfen Plausibilität der Sachverständigennachweise auf Schnittstellen….</t>
  </si>
  <si>
    <t>● • ‧ 8101-Kontrolle Verwendbarkeitsnachweise/Bescheinigungen….</t>
  </si>
  <si>
    <t>● • ‧ 8104-Statusbericht Bewertung auf Möglichkeiten zur Inbetriebnahme….</t>
  </si>
  <si>
    <t>6599.01 BSK-Kita-An-der-Zingelswiese -21-25-FFM</t>
  </si>
  <si>
    <t>● (a.N.) Pos.1-Erstellung Brandschutzkonzept</t>
  </si>
  <si>
    <t>● (a.N.) Pos.2-Erstellung Brandschutzkonzeptpläne</t>
  </si>
  <si>
    <t>● (a.N.) Pos.3-Baubegl. Brandschutzberatung u. Qualitätsüberwachung</t>
  </si>
  <si>
    <t>6603 Gederner-Straße-36a-Frankfurt</t>
  </si>
  <si>
    <t>● Erstellung FRP</t>
  </si>
  <si>
    <t>● BTB</t>
  </si>
  <si>
    <t>6605 SGS-LIPOID-Frigenstraße4-Ludwigshafen</t>
  </si>
  <si>
    <t>● LP1 Grundlagenermittlung</t>
  </si>
  <si>
    <t>● LP2 Vorplanung</t>
  </si>
  <si>
    <t>● LP3 Entwurfsplanung</t>
  </si>
  <si>
    <t>● LP4 Genehmigungsplanung</t>
  </si>
  <si>
    <t>● LP5 Ausführungsplanung</t>
  </si>
  <si>
    <t>● LP8 Objektüberwachung</t>
  </si>
  <si>
    <t>6607 Kirchheimer-Str-104-Grünstadt-Aafes-Geb-3555</t>
  </si>
  <si>
    <t>● Erstellung BSK pauschal</t>
  </si>
  <si>
    <t>● Erstellung FWP pauschal</t>
  </si>
  <si>
    <t>6612 BSN-Ernst-Ludwig-Straße39-Egelsbach</t>
  </si>
  <si>
    <t>● • (p.) BSN (GK4)</t>
  </si>
  <si>
    <t>● • ‧ 8305-Beratungsleistungen bei Sonderdetails in der Ausführung....</t>
  </si>
  <si>
    <t>● • (a.N.) LP5</t>
  </si>
  <si>
    <t>● • (a.N.) Beratungsleistungen Vorderhaus</t>
  </si>
  <si>
    <t>6615 BTB-HBF-München-KG-Technikbereich</t>
  </si>
  <si>
    <t>6619 BTB-Gabriel-Riesser-Weg4-10-Sophienstr11-Ffm</t>
  </si>
  <si>
    <t>● Brandschutztechnische Beratung (BTB)</t>
  </si>
  <si>
    <t>6625 KH St. Elisabeth-ZNA-Pflege-Los-4-Damme</t>
  </si>
  <si>
    <t>● LP 1</t>
  </si>
  <si>
    <t>● LP 2</t>
  </si>
  <si>
    <t>● LP 3</t>
  </si>
  <si>
    <t>● LP 4</t>
  </si>
  <si>
    <t>● LP 5</t>
  </si>
  <si>
    <t>● LP 8</t>
  </si>
  <si>
    <t>6625.01 KH-St.-Elisabeth-BST-Kreißsaal-Wöchnerinnen</t>
  </si>
  <si>
    <t>● (a.N.) Pos.1 Erst. brandschutztechn. Stellungnahme</t>
  </si>
  <si>
    <t>6625.02 BTB-KH-St.-Elisabeth-Lindenstraße-3-7-Damme</t>
  </si>
  <si>
    <t>● (aN) Pos.1 BTB</t>
  </si>
  <si>
    <t>6625.03  BTB-KH-St.-Elisabeth-Lindenstraße-3-7-Damme-ZNA</t>
  </si>
  <si>
    <t>● (aN) Pos.1 BTB + Erst. brandschutztechn. Stellungnahme</t>
  </si>
  <si>
    <t>6625.04 Fortschr-BSK-KH-St.-Elisabeth-Lindenstraße-3-7-Damme-NZN-Aufstockung</t>
  </si>
  <si>
    <t>● (p) Pos.1 Fortschr BSK</t>
  </si>
  <si>
    <t>6638.01 DB Netz-Hauptbahnhof (Hbf) München-BST-Tachymetermesspunkte</t>
  </si>
  <si>
    <t>6638.02 DB-Netz-BST-Bunker-Nord-HBF-München</t>
  </si>
  <si>
    <t>● (p.) BST</t>
  </si>
  <si>
    <t>6638.101 BAB-KOF-Hbf-München-uPva-1SBSS</t>
  </si>
  <si>
    <t>● (a.N.) NAT03-weitere Leistungen für Erstellung Konformitätserklärung</t>
  </si>
  <si>
    <t>6638.102 NAT-BST-Hbf-München-uPva-Aufsichtskanzeln-MHT</t>
  </si>
  <si>
    <t>6638.103 1.SBSS-ZHM07-Aufgang-VTE-Halle-Nord-Arnulfstraße-MUC</t>
  </si>
  <si>
    <t>● (aN) Pos. 02.03 Zusatzlstg. GF</t>
  </si>
  <si>
    <t>● (aN) Pos. 02.04 Zusatzlstg. Projektleiter (mit akadem. Grad)</t>
  </si>
  <si>
    <t>● (aN) Pos. 02.05 Zusatzlstg. Sachbedarbeiter (mit akad. Grad)</t>
  </si>
  <si>
    <t>● (aN) Pos. 02.06 Zusatzlstg. CAD</t>
  </si>
  <si>
    <t>● p)  Pos. 06.01 Überprüfung BSO nach DIN 14096 Teil A (1 Stck)</t>
  </si>
  <si>
    <t>● (p) Pos. 06.04 Überprüfung BSO nach DIN 14096 Teil B (1 Stck.)</t>
  </si>
  <si>
    <t>● (p) Pos. 07.03 Erstellung FWP (1 Pauschale)</t>
  </si>
  <si>
    <t>● (p) Pos. 08.03 Erstellung FRP (2 Pauschalen)</t>
  </si>
  <si>
    <t>● (aN) Pos. 08.04 Mehrausfertigungen FRP (10 Stck)</t>
  </si>
  <si>
    <t>● (aN) Pos. 08.06 Zusatzlstg. Laminierung A3 (15 Stck á 15€)</t>
  </si>
  <si>
    <t>● (aN) Pos. 08.07 Zusatzlstg. Laminierung A2 (15 Stck á 15€)</t>
  </si>
  <si>
    <t>● (p) Pos. 13.07 Lstg. Überprüfung BSO nach DIN 14096 Teil B (1 Pauschale)</t>
  </si>
  <si>
    <t>● (p) Pos. 13.12 Lstg. für alle übrige Gebäude BGF &gt; 4.000-8.000 m² (1Pauschale)</t>
  </si>
  <si>
    <t>6638.104 NAT-BST-BFM-München-Hbf-MHT-Aufzug-HA086</t>
  </si>
  <si>
    <t>● (p) Pos.1 Fortschr. BST Aufzug-HA086</t>
  </si>
  <si>
    <t>● (p) Pos.2 Erst. BST zu Aufzug HA085</t>
  </si>
  <si>
    <t>● (aN) Pos.3 Prüfung, Fortschreibung &amp; Freigabe der Brandfallmatrix</t>
  </si>
  <si>
    <t>6638.200 BTB-HBF-München-HU-HO-SWM</t>
  </si>
  <si>
    <t>● HO Hauptbahnhof oben</t>
  </si>
  <si>
    <t>● HU Hauptbahnhof unten</t>
  </si>
  <si>
    <t>● • 2211-NAT zusätzl.Teilnahme Besprechungen....</t>
  </si>
  <si>
    <t>● HO / HU - Besprechungen (pauschal)</t>
  </si>
  <si>
    <t>6638.301 BSK-HBF-München-U9-SWM</t>
  </si>
  <si>
    <t>● (a.N.) Pos. 1 Beratung des AG und der Planer + ERarbeitung brandschutztechn. Vorgaben f. Planungsfortschreibung der TGA- u. Objektplanung (a.N.)</t>
  </si>
  <si>
    <t>● (a.N.) Pos 2 Beratung des AG und der Planer in Bezug auf Schnittstellen derIGL u. Mantel BSK (a.N.)</t>
  </si>
  <si>
    <t>● (p)Pos 3 Aktualisierung BSK Endzustand (pauschal)</t>
  </si>
  <si>
    <t>6638.302 NAT02-BST-HBF-München-HU/HO-U9-SWM-bauzeitlicher-Zugang</t>
  </si>
  <si>
    <t>● (p) Pos.1 NAT BST U9-VHM für bauzeitlichen Zugang U4/U5, Ergänzende Stellungnahme zum BSK HO</t>
  </si>
  <si>
    <t>6638.303 NAT01-BTB-HBF-München-U9-SWM-SPG-SÜD-JF</t>
  </si>
  <si>
    <t>● (p) Pos.1 Anp. BSP hinsichtl. Änderung Sperrengeschoss Süd - Finalisierung BSK VHM für EP</t>
  </si>
  <si>
    <t>● (aN) Pos.2 Teilnahme an Jour-Fixe Terminen ab 08/2024 bis Ende 09/2024</t>
  </si>
  <si>
    <t>● (aN) Pos.3 Beratungsleistung im Rahmen der Planugsphase  ab 04/2024 bis Ende 2024</t>
  </si>
  <si>
    <t>6638.304 1.SBSS-ZHM07-Aufgang-VTEHalle-Nord-Arnulfstraße-MUC-Schnittstelle-U9</t>
  </si>
  <si>
    <t>6638.305 SWM-NAT03-BST-BHT-HU-HO-München-Bauzeitl-Zugang-VTE-Bayerstr</t>
  </si>
  <si>
    <t>● (p) Pos.1 Fortschreibung der Brandschutztechnischen Stellungnahme bauzeitlicher Zugang VTE</t>
  </si>
  <si>
    <t>● (aN) Pos.2 Betrachtung weiterer Bauphasen</t>
  </si>
  <si>
    <t>6643 BTB-FRP-FWP-Ersatzneubau-Krankenhaus-Hohenlohe-Öhringen-Vamed</t>
  </si>
  <si>
    <t>● Pos 1 - Allgem. BTB LP 5 (a.N.)</t>
  </si>
  <si>
    <t>● Pos. 2 - Fachbauleitung LP 8 AHO (a.N.)</t>
  </si>
  <si>
    <t>● Bestandsaufnahme FuR + FWP  (a.N.)</t>
  </si>
  <si>
    <t>● Pos. 3 - FRP (pauschal)</t>
  </si>
  <si>
    <t>● Pos 4 - FWP (pauschal)</t>
  </si>
  <si>
    <t>6645 BAB-Züblin-PorscheZentrum-Einsteinstraße9-Ettlingen</t>
  </si>
  <si>
    <t>● baubegl. Brandschutzberatung/Qualitätsüberwachung für die Durchführung der Baumaßnahme</t>
  </si>
  <si>
    <t>6647 Asiral-BSK-Firmenneubau-In-den-Seewiesen-Edenkoben</t>
  </si>
  <si>
    <t>● • ‧ 2211-Teilnahme Besprechungen....</t>
  </si>
  <si>
    <t>● • ‧ 2103-Vorabstimmungen Behörden….</t>
  </si>
  <si>
    <t>● • ‧ 2302-Beratungsleistungen in der Planungsphase...</t>
  </si>
  <si>
    <t>● • BSK (pauschal)</t>
  </si>
  <si>
    <t>6648 oPVA-S21-Berlin-Neubau-HP-Perleberger-Brücke-ganzheitliches-BSK</t>
  </si>
  <si>
    <t>● Ganzheitliches Brankdschutzkonzept Teil A</t>
  </si>
  <si>
    <t>● • ‧ 1303-Unterstützung Objekt-/Fachplaner/BIM-Koordinator brandschutzrelev. Infos in BIM-Ges.modell</t>
  </si>
  <si>
    <t>● • ‧ 2304-Unterstützung Objekt-/Fachplaner/BIM-Koordinator  bei brandschutzrelev. Infos in BIM-Variante</t>
  </si>
  <si>
    <t>● • ‧ 3327-Unterstützung Objekt-/Fachplaner/BIM-Koordinator bei brandschutzrelev. Infos in BIM-Ges.modell</t>
  </si>
  <si>
    <t>● Brandschutztechnische Fachbegleitung Teil B LPH1-4</t>
  </si>
  <si>
    <t>6656 PL-Trinkwassertrennung-LA-Netz-Winterberg1-Saarbrücken-FLA</t>
  </si>
  <si>
    <t>● LP 2 pauschal</t>
  </si>
  <si>
    <t>● LP 3 pauschal</t>
  </si>
  <si>
    <t>● LP 4 pauschal</t>
  </si>
  <si>
    <t>● LP 5 pauschal</t>
  </si>
  <si>
    <t>● LP 6 pauschal</t>
  </si>
  <si>
    <t>● LP 7 pauschal</t>
  </si>
  <si>
    <t>● LP 8 pauschal</t>
  </si>
  <si>
    <t>6658.05 Ludwig-Erhard-Anlage2-8-Frankfurt-Studie</t>
  </si>
  <si>
    <t>● (a.N.) Beratungsleistung</t>
  </si>
  <si>
    <t>6663 Strahlenbergerstrasse105-107-Offenbach-HPPVO</t>
  </si>
  <si>
    <t>● Prüfung BSN a.N.</t>
  </si>
  <si>
    <t>● Überwachung + Bescheinigung Bauausführung a.N.</t>
  </si>
  <si>
    <t>6664 BarracksBuildings-GEb380ff-Hohenfels-KLEBL</t>
  </si>
  <si>
    <t>● LP1 Grundlagenermittlung (pauschal)</t>
  </si>
  <si>
    <t>● LP2 Vorplanung (pauschal)</t>
  </si>
  <si>
    <t>● LP 3Entwurfsplanung (pauschal)</t>
  </si>
  <si>
    <t>● LP4 Genehmigungsplanung (pauschal)</t>
  </si>
  <si>
    <t>● LP5 Ausführungsplanung (pauschal)</t>
  </si>
  <si>
    <t>● LP8 Objektüberwachung (pauschal)</t>
  </si>
  <si>
    <t>6671.01 AHO-BSK-Sharing@EK1-Fresenius-Else-Kröner-Straße-1-Bad Homburg</t>
  </si>
  <si>
    <t>● (p) LP 3 GL Entwiurfsplanung</t>
  </si>
  <si>
    <t>● (p) LP 4 GL Genehmigungsplanung</t>
  </si>
  <si>
    <t>● (p) LP 4 BL</t>
  </si>
  <si>
    <t>● (p) LP 5 GL Ausführungsplanung</t>
  </si>
  <si>
    <t>● (a.N.) LP 6 BL</t>
  </si>
  <si>
    <t>● (p) LP8 GL Objektüberwachung</t>
  </si>
  <si>
    <t>● (a.N./p) LP 8 BL</t>
  </si>
  <si>
    <t>● (a.N./p) LP 9 BL</t>
  </si>
  <si>
    <t>6671.03 BST-Sharing@EK1-Fresenius-Else-Kröner-Straße-1-Bad Homburg</t>
  </si>
  <si>
    <t>● (p) Pos.1 Erstellung brandschutztechn. Stellungnahme</t>
  </si>
  <si>
    <t>6672 RMK-Teilneubau-Krankenhaus-Freudenstadt</t>
  </si>
  <si>
    <t>● Räumungskonzept u. Planunterlagen (a.N.)</t>
  </si>
  <si>
    <t>● (a.N.) Pos.1 RAK (Räumungskarten)</t>
  </si>
  <si>
    <t>● (a.N.) Pos.2 RAP (Räumungspläne)</t>
  </si>
  <si>
    <t>6676.01 BSN-Ladengeschäft-EG-Braubachstraße-7-Frankfurt</t>
  </si>
  <si>
    <t>● (p) Erstellung BSN</t>
  </si>
  <si>
    <t>6677.01 BTB-Westend-Carree-Haus-3-Frankfurt</t>
  </si>
  <si>
    <t>● (a.N.) Brandschutztechnische Beratung zu div. Anfragen i.o.g. Liegenschaft inkl. BST</t>
  </si>
  <si>
    <t>6677.02 (eh. 5550.05 BSK-Haus-1-Im-Trutz-53-55-Frankfurt-Upper-Westend-Carree</t>
  </si>
  <si>
    <t>● • (p) Pos. 1 Fortschreibung BSK</t>
  </si>
  <si>
    <t>6678 FWP-Unternehmenszentrale-Fraport-Gebäude-178</t>
  </si>
  <si>
    <t>6679 AHO-MA11-LosI-Hochhaus-Mergenthalerallee-7-13-Eschborn</t>
  </si>
  <si>
    <t>● (p.) LP1</t>
  </si>
  <si>
    <t>● (p.) LP2</t>
  </si>
  <si>
    <t>● (p.) LP3</t>
  </si>
  <si>
    <t>● (p.) LP4</t>
  </si>
  <si>
    <t>● (p) LP 5</t>
  </si>
  <si>
    <t>6679.01 AHO-MA11-LosII-Hochgarage-Mergenthalerallee-7-13-Eschborn</t>
  </si>
  <si>
    <t>6680 GSKOK-Heidelberg-Kopfklinik-LP1-2</t>
  </si>
  <si>
    <t>● (p.) LP 1</t>
  </si>
  <si>
    <t>● • Untersuchung alternativer Lösungsmöglichkeiten</t>
  </si>
  <si>
    <t>● (p.) LP 2</t>
  </si>
  <si>
    <t>● (p.) weitere Leistungen</t>
  </si>
  <si>
    <t>● (p.)  weitere besondere Leistungen für Planungsbereich 1 (pauschal)</t>
  </si>
  <si>
    <t>6680.01 GSKOK-Heidelberg-Kopfklinik-Neurologie-BTB</t>
  </si>
  <si>
    <t>● (a.N.) Pos.1 BTB für den geplanten Umbaubereich</t>
  </si>
  <si>
    <t>6680.02 GSKOK-Heidelberg-Kopfklinik-LP3</t>
  </si>
  <si>
    <t>● (p) LP 3 (BAU OFFEN)</t>
  </si>
  <si>
    <t>6687 BTB-Königsteiner Straße-57-Bad Soden</t>
  </si>
  <si>
    <t>● BTB Dachgeschossausbau (a.N.)</t>
  </si>
  <si>
    <t>6689.02 Apleona-BT-A+B+T-Thurn+TaxisPalais-Frankfurt</t>
  </si>
  <si>
    <t>● (p) Pos. 1 Grundlagenermittlung teilbeauftragt</t>
  </si>
  <si>
    <t>● (p) Pos. 2 Detaillierung bzw. Erstellung der Brandfallsteuermatrix Bauteil A – Palais Quartier / Versammlungsstätte</t>
  </si>
  <si>
    <t>● (p) Pos. 4 Detaillierung bzw. Erstellung der Brandfallsteuermatrix Bauteil T / Tiefgarage</t>
  </si>
  <si>
    <t>6689.03 Apleona-BT-B-Thurn+TaxisPalais-Frankfurt-Brandfallsteuermatrix</t>
  </si>
  <si>
    <t>● (p) Pos. 3 Detalierung bzw. Erstellung der Brandfallsteuermatrix Bauteil B - Nexttower/Hochhaus</t>
  </si>
  <si>
    <t>6691 BSK-Louise-von-Rothschild-Schule-Weidenbornschule-Usinger-Str-24-Ffm</t>
  </si>
  <si>
    <t>● Objektbegehung und Digitalisierung v. Plänen (pauschal)</t>
  </si>
  <si>
    <t>6693.02 Holnis-FRP-Quartier-D-Römerkreis-Heidelberg</t>
  </si>
  <si>
    <t>● (p) Pos.1 FWP nach DIN 14095 als vereinfachte Version</t>
  </si>
  <si>
    <t>● (p) Pos.2 vor Ort Aufnahmetermin</t>
  </si>
  <si>
    <t>● • (aN) Plan Anleiterflächen Flurstücknr. 1880/4 + Darstellung d. Zugangs Flächen Flurstk. 1880</t>
  </si>
  <si>
    <t>6694 Freudenberg-RealEstate-Integral-Accumulator-SinzigerStr47-Remagen</t>
  </si>
  <si>
    <t>● Ermittlung Brandlast vor Ort (a.N.)</t>
  </si>
  <si>
    <t>● Brandlastberechnung (p.)</t>
  </si>
  <si>
    <t>6697 AHO-Niederauerbach-Kaserne-Zweibrücken-A1-LBB</t>
  </si>
  <si>
    <t>● (p) Stufe 2/LP 4 Fortschr. BSK</t>
  </si>
  <si>
    <t>● (p) NAT Pos. 1 Berechnung Feuerlöscher (LP5; entspricht Pos. 5.2.5 Hauptauftrag)</t>
  </si>
  <si>
    <t>6697.01 LBB-LS3-AHO-Niederauerbach-Kaserne-a1-Zweibrücken</t>
  </si>
  <si>
    <t>6700 Im-Uhrig-18b-Eschersheim</t>
  </si>
  <si>
    <t>● Brandschutznachweis (p.)</t>
  </si>
  <si>
    <t>● Brandschutzberatung (a.N.)</t>
  </si>
  <si>
    <t>● Beratungsleistungen (a.N.)</t>
  </si>
  <si>
    <t>● (a.N) Anpassung Brandschutznachweis</t>
  </si>
  <si>
    <t>6701 AHO-BSK-Wohnbau-Gießen-Weserstraße-26-32-Gießen</t>
  </si>
  <si>
    <t>● LP 1 - GL (pauschal)</t>
  </si>
  <si>
    <t>● LP 2 - GL (pauschal)</t>
  </si>
  <si>
    <t>● LP 3 - GL (pauschal)</t>
  </si>
  <si>
    <t>● LP 4 - GL (pauschal)</t>
  </si>
  <si>
    <t>● LP 5-  GL (pauschal)</t>
  </si>
  <si>
    <t>● LP 8 - GL (pauschal)</t>
  </si>
  <si>
    <t>6702 BSK-KOHN-Bayernstr100-Nürnberg</t>
  </si>
  <si>
    <t>● STUFE I - LP 1</t>
  </si>
  <si>
    <t>● LP1 ERMÖGLICHUNGSRÄUME</t>
  </si>
  <si>
    <t>● (p) GL</t>
  </si>
  <si>
    <t>● LP1 INTERIM STAATSTHEATER</t>
  </si>
  <si>
    <t>● (p) BL</t>
  </si>
  <si>
    <t>● LP1 WEITERER AUSBAU</t>
  </si>
  <si>
    <t>● STUFE I - LP2</t>
  </si>
  <si>
    <t>● • (p) BL 2.1 nachtrgl. beauftragt</t>
  </si>
  <si>
    <t>● • (p) BL 2.2 nachtrgl. beauftragt</t>
  </si>
  <si>
    <t>● • (p) GL entfallen</t>
  </si>
  <si>
    <t>● • (p) BL 2.3 nachtrgl. beauftragt</t>
  </si>
  <si>
    <t>● STUFE II - LP 3</t>
  </si>
  <si>
    <t>● FRP (ANG 23-12-07)</t>
  </si>
  <si>
    <t>6702.01 Stundensammler-StadtNUE-BST-KOHN-Sektor15-Nürnberg</t>
  </si>
  <si>
    <t>● (p) Pos. 2 BST</t>
  </si>
  <si>
    <t>6703 BTB-WBC-Westerbachstraße-23-Kronberg</t>
  </si>
  <si>
    <t>●  (a.N) BTB + NAT</t>
  </si>
  <si>
    <t>● (a.N.) BTB FLA</t>
  </si>
  <si>
    <t>● (p.) Berechnung Löschmitteleinheiten</t>
  </si>
  <si>
    <t>● (p.) Erstellung BSO</t>
  </si>
  <si>
    <t>● (p.) Brandschutzschulung Theorie</t>
  </si>
  <si>
    <t>6703.01 BSB-WBC-Westerbachstraße-23-Kronberg</t>
  </si>
  <si>
    <t>● (a.N.) BSB 10/2022-09/2023 (12 x jährlich)</t>
  </si>
  <si>
    <t>● (a.N.) BSB  10/2023-09/2024 (6 x jährlich)</t>
  </si>
  <si>
    <t>● (a.N.) BSB 10/2024-09/2025 (6 x jährlich)</t>
  </si>
  <si>
    <t>● (a.N) BSB 2025/2026 6 x jährlich</t>
  </si>
  <si>
    <t>6703.02 RGS-WBC-Westerbachstraße-23-Kronberg</t>
  </si>
  <si>
    <t>● (p) Pos. 1 Heißrauchversuch als Funktionsnachweis - Vorversuch</t>
  </si>
  <si>
    <t>● (p) Pos. 2 Heißrauchversuch mit Beteiligung d. Behörde</t>
  </si>
  <si>
    <t>● (p) Pos.3 BSS (Theorie u.Praxis) f. Räumungshelfer (Preis/Schulung)</t>
  </si>
  <si>
    <t>● (p) Pos. 4 Schulung (Teorie) z. RMK Interimszeit Praxis IFK (Dr.med.Lee)</t>
  </si>
  <si>
    <t>● (p) Pos. 5 BSS Theorie als NT z. FFM-ANG-BTB-001-2022-09-21, Pos. 5 (P</t>
  </si>
  <si>
    <t>6704 BSK-BTB+FWP-FuR-ZsG-Lörrach</t>
  </si>
  <si>
    <t>● ANG MKK-ANG-BTB-001-2022-04-14-ZsG-Loerrach</t>
  </si>
  <si>
    <t>● (aN) Pos. 1 Fortschr. BSK / -Pläne LP 9</t>
  </si>
  <si>
    <t>● (aN) Pos. 2 Beratungsleistung LP5</t>
  </si>
  <si>
    <t>● (aN) Pos. 3 Baubegleitung Brandschutz LP8</t>
  </si>
  <si>
    <t>● ANG MKK-ANG-FWP-001-2022-04-14-ZsG-Loerrach</t>
  </si>
  <si>
    <t>● (p) Pos. 1 Feuerwehrpläne LP 9</t>
  </si>
  <si>
    <t>● (p) Pos. 2 Flucht- und Rettungspläne LP 9</t>
  </si>
  <si>
    <t>6709 AHO-BTMU1704-KH Mühlacker-Umbau-OP-ITS-AWR-ZNA</t>
  </si>
  <si>
    <t>● (a.N.) LP 1 BL</t>
  </si>
  <si>
    <t>● (p/a.N.) LP 2 BL</t>
  </si>
  <si>
    <t>● (p) LP 3 BL</t>
  </si>
  <si>
    <t>● (p/a.N.) LP 4 BL</t>
  </si>
  <si>
    <t>● (a.N.) LP 5 GL</t>
  </si>
  <si>
    <t>● (a.N.) LP 5 BL</t>
  </si>
  <si>
    <t>● (a.N.) LP 8 BL</t>
  </si>
  <si>
    <t>6709.01 RKH-BFSM-KH-Mühlacker-Hermann-Hesse-Straße-34-Mühlacker</t>
  </si>
  <si>
    <t>● (aN) Pos.2 Grundlagenermittlung für Erstellung BFSM</t>
  </si>
  <si>
    <t>● (p) Pos.3 Erstellung Brandfallsteuermatrix</t>
  </si>
  <si>
    <t>6709.02 RKH-BTB-KH-Mühlacker-Hermann-Hesse-Straße-34-Mühlacker-Schottaufnahme</t>
  </si>
  <si>
    <t>● (aN) Pos.1 Systematische Schottaufnahme in den UG</t>
  </si>
  <si>
    <t>● (aN) Pos.2 Aufnahme von Brandlasten in Fluren und treppenhäusern</t>
  </si>
  <si>
    <t>● (aN) Pos.3 System. Kontrolle der vorhandenen FRP</t>
  </si>
  <si>
    <t>● (aN) Pos.4 Prüfung vorh. Feuerlöscherpositionen</t>
  </si>
  <si>
    <t>6711.01 Weiterführung-TDD-BST-Hotel-Bahnhof/Hochfeldstraße-Tegernsee</t>
  </si>
  <si>
    <t>6711.02 UIR-BTB-Hotel-Bahnhof/Hochfeldstraße-Tegernsee</t>
  </si>
  <si>
    <t>● (aN) Objektüberwachung+BTB + NAT01 + NAT02</t>
  </si>
  <si>
    <t>6711.04 Planquadrat-BTB-Bahnhofstr27-Hochfeldstr4ab-Quartier-Tegernsee</t>
  </si>
  <si>
    <t>6712.01 Züblin-Strabag-LP3+4-AHO-BSK-Waldstr6-10-Weiterstadt</t>
  </si>
  <si>
    <t>● Pos. 1 Neubau Büro- und Wohngebäude</t>
  </si>
  <si>
    <t>6712.011 Züblin-Strabag-NA02-LP5-BTB-Waldstr6-10-Weiterstadt</t>
  </si>
  <si>
    <t>● (p) Pos.1 Beratung während der Ausführungsplannung - LPH 5</t>
  </si>
  <si>
    <t>6712.02 Züblin-BSK002-Leichtbauhalle-Waldstraße6-10-Weiterstadt</t>
  </si>
  <si>
    <t>● (p) Pos. 2 Abstimmungstermin</t>
  </si>
  <si>
    <t>6712.03  Züblin-Strabag-Fortschreibung-BSK-Waldstr6-10-Weiterstadt</t>
  </si>
  <si>
    <t>● Fortschreibung BSK zu PN #6712.01, per eMail beauftragt, ggf. offizielle BAU? (aN) Anpassung Brandschutzkonzept - Std. auf Nachweis lt. VER</t>
  </si>
  <si>
    <t>6712.04 Züblin-Strabag-BST-Waldstr6-10-Weiterstadt</t>
  </si>
  <si>
    <t>● (aN) Pos. 1 Abstimmungstermine (SV)</t>
  </si>
  <si>
    <t>● (aN) Pos. 2 Erstellung brandschutztechnische Stellungnahme (SV)</t>
  </si>
  <si>
    <t>6715 AHO-NB-Ortsverwaltung-Feuerwehr-Breisgauer-Straße-61-Freiburg-Lehen</t>
  </si>
  <si>
    <t>● (p.) LP 1 Grundlagenermittlung GL</t>
  </si>
  <si>
    <t>● (p.) LP 2 Vorplanung GL</t>
  </si>
  <si>
    <t>● (p.) LP 3 Entwurfsplanung GL</t>
  </si>
  <si>
    <t>● (p.) LP 4 Genehmigungsplanung</t>
  </si>
  <si>
    <t>6718.07 Fuchs-BTB-Werke-I-II-III-Friesenheimerstr19-Mannheim</t>
  </si>
  <si>
    <t>● (aN) Pos.1 BTB Bewertung Sicherheitsbeleuchtung Werke I-III</t>
  </si>
  <si>
    <t>6718.08 Fuchs-FRP-WerkI-III-Friesenheimerstr19-Mannheim</t>
  </si>
  <si>
    <t>● (p) Pos. 1-4  Flucht- und Rettungspläne</t>
  </si>
  <si>
    <t>6718.09 Fuchs-FWP-WerkI-III-Friesenheimerstr19-Mannheim</t>
  </si>
  <si>
    <t>6718.10 Fuchs-FuR-WerkII-Friesenheimerstr19-Mannheim-Geb.217</t>
  </si>
  <si>
    <t>● (p) Pos. 1 Flucht- und Rettungspläne-Werk II</t>
  </si>
  <si>
    <t>6718.101 Fuchs-RV-BSB-2024+2025-Werke1-5-Friesenheimerstr19-Mannheim</t>
  </si>
  <si>
    <t>● (a.N.) BSB-2024-Werk 1</t>
  </si>
  <si>
    <t>● (a.N.) BSB-2024-Werk 2</t>
  </si>
  <si>
    <t>● (a.N.) BSB-2024-Werk 3</t>
  </si>
  <si>
    <t>● (a.N.) BSB-2024-Werk 4</t>
  </si>
  <si>
    <t>● (a.N.) BSB-2024-Werk 5</t>
  </si>
  <si>
    <t>● (a.N.) BSB-2025-Werk 1</t>
  </si>
  <si>
    <t>● (a.N.) BSB 2025 Werk 2</t>
  </si>
  <si>
    <t>● (a.N.) BSB 2025 Werk 3</t>
  </si>
  <si>
    <t>● (a.N.) BSB 2025 Werk 4</t>
  </si>
  <si>
    <t>● (a.N.) BSB 2025 Werk 5</t>
  </si>
  <si>
    <t>6718.11 Fuchs-FRP-Werk1-4-Friesenheimerstr19-Mannheim</t>
  </si>
  <si>
    <t>● • ‧ (aN) CAD</t>
  </si>
  <si>
    <t>● • (p) Pos. 2 Flucht- und Rettungspläne</t>
  </si>
  <si>
    <t>● • (p) Pos. 3 Feuerwehrpläne</t>
  </si>
  <si>
    <t>● • (p) Pos. 4 Auftragsbearbeitung / Adm. Tätigkeiten zur Projektunterstützung</t>
  </si>
  <si>
    <t>6718.202 Fuchs-BSO-2025-Werke1-6-Friesenheimerstraße-19-Mannheim</t>
  </si>
  <si>
    <t>● (a.N.) BSO 2025 in den Teilen A-C</t>
  </si>
  <si>
    <t>6723 AHO-Theobald-Ziegler-Schule-Frankfurt</t>
  </si>
  <si>
    <t>● (p.) LP1 GL</t>
  </si>
  <si>
    <t>● (p.) LP2 GL</t>
  </si>
  <si>
    <t>● (p.) LP3 GL</t>
  </si>
  <si>
    <t>● (p.) LP4 GL</t>
  </si>
  <si>
    <t>● (p.) LP5 GL</t>
  </si>
  <si>
    <t>● (p.) LP8 GL</t>
  </si>
  <si>
    <t>● • FWP 9200-Erstellen od. Prüfen Feuerwehrpläne….</t>
  </si>
  <si>
    <t>● • FuR 9201-Erstellen od. Prüfen Flucht- und Rettungspläne….</t>
  </si>
  <si>
    <t>6724 BSN-Schloßpassage-Usingen</t>
  </si>
  <si>
    <t>● (p.) Erstellung Brandschutznachweis</t>
  </si>
  <si>
    <t>6725 DGP-FWP-FuR-Regierung-Schwaben-Freudental1-Kempten</t>
  </si>
  <si>
    <t>● (p.) Digitalisierung Grundrisspläne</t>
  </si>
  <si>
    <t>6725.01 FuR-Regierung-Schwaben-Freudental1-Kempten</t>
  </si>
  <si>
    <t>● (p.) FuR</t>
  </si>
  <si>
    <t>6727 BSK-BSO-FRP-Westallee5-7-Lahnstein</t>
  </si>
  <si>
    <t>● (p.) FRP</t>
  </si>
  <si>
    <t>6727.01 Süwag-BSK-Westallee5-7-Lahnstein</t>
  </si>
  <si>
    <t>● (p) Pos. 1 Aktualisierung BSK</t>
  </si>
  <si>
    <t>● (aN) Pos. 2 BST währ. Planungsphase</t>
  </si>
  <si>
    <t>6729 AHO-KABI-LAB-Daimlerstr20-Bad-Homburg</t>
  </si>
  <si>
    <t>● (p.) LP1 Grundllagenermittlung GL</t>
  </si>
  <si>
    <t>● (p.) LP1 BL</t>
  </si>
  <si>
    <t>● (p.) LP2 Vorplanung GL</t>
  </si>
  <si>
    <t>● (p.) LP3  Entwurfsplanung GL</t>
  </si>
  <si>
    <t>● (a.N.) LP3 Zusätzl. Leistungen</t>
  </si>
  <si>
    <t>● (p.) Genehmigungsplanung GL</t>
  </si>
  <si>
    <t>● (p) Pos.5 a) LP5 GL</t>
  </si>
  <si>
    <t>● (p) Pos.5 b) BL Planung der Ausstattung mit Feuerlöschern ohne Berechnung</t>
  </si>
  <si>
    <t>● (p) Pos.8 a) LP8 GL Niveau 1 (Prüf. auf prinzipielle Übereinst. inkl. 3 Begehungseinheiten</t>
  </si>
  <si>
    <t>● (p) Pos.8 b) LP8 BL Niveau 2 system-stichprobenartige Kontrolle/4Monate m.2 Begehubngen a 4h</t>
  </si>
  <si>
    <t>● (p) Pos.8 b) LP8 BL Steuermatrix</t>
  </si>
  <si>
    <t>● (p) Pos.9 b) LP9 Optional FWP</t>
  </si>
  <si>
    <t>● (p) Pos.9 b) Optional FRP</t>
  </si>
  <si>
    <t>6729.01 NAT03-BST-KABI-LAB-Daimlerstr20-Bad-Homburg-Trennwand</t>
  </si>
  <si>
    <t>● (a.N) Pos. 1 - Erstellung brandschutztechnische Stellungnahme</t>
  </si>
  <si>
    <t>6729.02 Fresenius-Fortschr-BSK-KABI-LAB-Daimlerstr20-Bad-Homburg</t>
  </si>
  <si>
    <t>● (p) Pos. 1 Fortschreibung Brandschutzkonzep</t>
  </si>
  <si>
    <t>6732 AHO-BSK-Los4-Waldschule-Brückenstr-35-OF-Obertshausen</t>
  </si>
  <si>
    <t>● (p.) LP2 GL + BL</t>
  </si>
  <si>
    <t>● (p.) LP8 GL + BL</t>
  </si>
  <si>
    <t>6739 AHO-ZWI-2. BA-Neubau-Industriehalle-Hanauer-Landstraße-345-Frankfurt</t>
  </si>
  <si>
    <t>● (p) LP 1 - GL (beauftragt 27.07.2022)</t>
  </si>
  <si>
    <t>● (p) LP 2 - GL + BL (beauftragt 27.07.2022)</t>
  </si>
  <si>
    <t>● (p) LP 3 - GL (beauftragt 27.07.2022)</t>
  </si>
  <si>
    <t>● (p) LP 4 - GL + BL (beauftragt 27.07.2022)</t>
  </si>
  <si>
    <t>● • (p) 5101-Mitwirken Koordination Fachplanung….</t>
  </si>
  <si>
    <t>● (p) LP 5 - GL</t>
  </si>
  <si>
    <t>● (p) LP 5 - BL</t>
  </si>
  <si>
    <t>● (p) LP 6 BL +7  BL</t>
  </si>
  <si>
    <t>● (p) LP 9</t>
  </si>
  <si>
    <t>6741 Fortschr-BSK-Porsche-Zentrum-Hilpertstraße-6-Darmstadt</t>
  </si>
  <si>
    <t>● (a.N.) Fortschreibung BSK</t>
  </si>
  <si>
    <t>● (a.N.) Fortschreibung BSK-Pläne</t>
  </si>
  <si>
    <t>6741.01 AutohausWiest-BAB+Pläne-Porsche-Zentrum-Hilpertstraße-6-Darmstadt</t>
  </si>
  <si>
    <t>● (aN) Pos. 1 Überwachung der Bauausführung</t>
  </si>
  <si>
    <t>6747.01 NAT-BSK-ESTW-Ebersdorf-Neustadt-Coburg</t>
  </si>
  <si>
    <t>● (p) Pos.1 Anp. BSK und -pläne für die ESTWs Coburg, Neustadt, Ebersdorf</t>
  </si>
  <si>
    <t>● (aN) Pos.2  Anpassungen und Beratungsleistung über Pos 1 hinaus</t>
  </si>
  <si>
    <t>6747.04 BSK-ESTW-Ebersdorf-Neustadt-Coburg-Löschwassernachweis-Fortschreibung</t>
  </si>
  <si>
    <t>● (p) Pos.1 Fortschr. der 3 BSK für Coburg, Ebersdorf + Neustadt</t>
  </si>
  <si>
    <t>6748 LBB-AHO-NB-Schießanlage-ISAR-Baumholder</t>
  </si>
  <si>
    <t>● (p.) LPH1 GL</t>
  </si>
  <si>
    <t>● (p.) LPH1 BL</t>
  </si>
  <si>
    <t>● (p.) LPH 2 GL</t>
  </si>
  <si>
    <t>● (p.) LPH 2 BL</t>
  </si>
  <si>
    <t>6749.02 GebW5-B30-LP5-8-VdS-Mängelbeseitigung-Porscheplatz1-Stuttgart</t>
  </si>
  <si>
    <t>●  (p) LP 5</t>
  </si>
  <si>
    <t>● (p) LP 6</t>
  </si>
  <si>
    <t>● (p) LP 7</t>
  </si>
  <si>
    <t>● (aN) LP 8</t>
  </si>
  <si>
    <t>6749.10 Porsche-FLA-Funktionsprüfstand-W4-B53-Porschplatz1-Stuttgart</t>
  </si>
  <si>
    <t>● (aN) Pos. 1 Planung Sprinklerschutz FP</t>
  </si>
  <si>
    <t>● (aN) Pos. 2 Planung Sprinklerschutz CAD</t>
  </si>
  <si>
    <t>6749.11 Porsche-FLA-Bypass-Ringleitung-DN300-Porschplatz1-Stuttgart</t>
  </si>
  <si>
    <t>● (p) Pos. 1 Leistungsphase 1 (Grundlagenermittlung)</t>
  </si>
  <si>
    <t>● (p) Pos. 2 Leistungsphase 2 (Vorplanung)</t>
  </si>
  <si>
    <t>● (p) Pos. 3 Leistungsphase 3 (Entwurfsplanung)</t>
  </si>
  <si>
    <t>● (p) Pos. 4 Leistungsphase 4 (Genehmigungsplanung-Abstimmung VdS)</t>
  </si>
  <si>
    <t>● (p) Pos. 5 Leistungsphase 5 (Ausführungsplanung)</t>
  </si>
  <si>
    <t>● (p) Pos. 6 Leistungsphase 6 (Vorbereiten der Vergabe)</t>
  </si>
  <si>
    <t>● (p) Pos. 7 Leistungsphase 7 (Mitwirken bei der Vergabe)</t>
  </si>
  <si>
    <t>● (p) ADM</t>
  </si>
  <si>
    <t>6749.12 Porsche-PLA-Aufnahme-AS-Built-Abgleich-Dokumentation-W1-B13-Porscheplatz1-Stuttgart</t>
  </si>
  <si>
    <t>● (p) Pos. 1 Gruppe 41, 42, + 43 Bau 13 Karosseriespeicher / EG - OG4 Achsen A-E/19-22</t>
  </si>
  <si>
    <t>● (p) Pos. 2 Tagessatz Fachplaner + CAD einschl. Wochenendzuschl.</t>
  </si>
  <si>
    <t>● (p) Pos. 2 Auftragsbearbeitung</t>
  </si>
  <si>
    <t>6749.13 Porsche-PLA-Hydraulikberechnung-Porscheplatz1-Stuttgart</t>
  </si>
  <si>
    <t>● (p) Pos. 1 Gebäude W4, B51+52 - Gruppen 5, 7 8</t>
  </si>
  <si>
    <t>6750 BTB-Karat5-Raiffeisenstr14-Neu-Ansbach</t>
  </si>
  <si>
    <t>6752.01 FRP- Hochschule-Fresenius-Moritzstr-17-Wiesbaden-Neubau</t>
  </si>
  <si>
    <t>● (p) Aktualisierung der Flucht- und Rettungspläne</t>
  </si>
  <si>
    <t>6753.01 BSK-Röntgenstraße-6-Alzenau-</t>
  </si>
  <si>
    <t>● (p) Pos.1 BTB bezgl. Fortschr. BSK</t>
  </si>
  <si>
    <t>6754 BSN-Heidestraße50-Frankfurt-HPPVO</t>
  </si>
  <si>
    <t>● (a.N.) Prüfung Brandschutznachweis</t>
  </si>
  <si>
    <t>● (a.N.) Überwachung Bauausführung</t>
  </si>
  <si>
    <t>● (a.N.) Abfrage Leistungsfähigkeit FW</t>
  </si>
  <si>
    <t>6755 AHO-Goethestraße-12-Emmy-Noether-Schule-Offenbach (Gym-Güterbahnhof)</t>
  </si>
  <si>
    <t>● STUFE I</t>
  </si>
  <si>
    <t>● p - LP 1 GL</t>
  </si>
  <si>
    <t>● p - LP 2 GL</t>
  </si>
  <si>
    <t>● p - LP 2 BL</t>
  </si>
  <si>
    <t>● p - LP 3 GL</t>
  </si>
  <si>
    <t>● p - LP 3 BL</t>
  </si>
  <si>
    <t>● STUFE II</t>
  </si>
  <si>
    <t>● p - LP 4 GL</t>
  </si>
  <si>
    <t>● p - LP 4 BL</t>
  </si>
  <si>
    <t>● p - LP 5 GL</t>
  </si>
  <si>
    <t>● p - LP 5 BL</t>
  </si>
  <si>
    <t>● p - LP 6 BL</t>
  </si>
  <si>
    <t>● STUFE III</t>
  </si>
  <si>
    <t>● p - LP 8 GL</t>
  </si>
  <si>
    <t>● p - LP 8 BL</t>
  </si>
  <si>
    <t>● STUFE IV</t>
  </si>
  <si>
    <t>● p - LP 9 BL</t>
  </si>
  <si>
    <t>● OPTIONAL</t>
  </si>
  <si>
    <t>6756 BTB-SiriusBusinessPark-Markgröningen</t>
  </si>
  <si>
    <t>6769.01 Juwi-Anp-BSK-Selser-Berg</t>
  </si>
  <si>
    <t>● (p) Anp. BSK</t>
  </si>
  <si>
    <t>6770 FLA-LP1-8-Station-Hauptwache-VGF-Frankfurt</t>
  </si>
  <si>
    <t>● (p.) Stufe 1, LP 1-4</t>
  </si>
  <si>
    <t>● (p.) Stufe 2, LP 5-7</t>
  </si>
  <si>
    <t>6771 AHO-HochTief-Data-Center-1-Heiligenhaus</t>
  </si>
  <si>
    <t>● (p)  LP 1 GL</t>
  </si>
  <si>
    <t>● (p) LP 1 BL</t>
  </si>
  <si>
    <t>● (p) LP 8 GL - Pos. 00030</t>
  </si>
  <si>
    <t>● (p) LP 9 - FRP</t>
  </si>
  <si>
    <t>● (p) LP 9 - FWP</t>
  </si>
  <si>
    <t>● (p) NAT 07 BSO in den Teilen A bis C (Teil A ist in Teil B inkludiert)</t>
  </si>
  <si>
    <t>6772.01 WKS-AnpassungBSK-WP-Gomadingen</t>
  </si>
  <si>
    <t>● (aN) Anpassung BSK</t>
  </si>
  <si>
    <t>6774 AHO-Feuerwehrstützpunkt-Heiligenröderstraße-74-Niestetal</t>
  </si>
  <si>
    <t>● (p) 1.Stufe - LP 1-3 GL</t>
  </si>
  <si>
    <t>● (p) 2. Stufe LP 4-5 GL</t>
  </si>
  <si>
    <t>● (p) 3. Stufe LP 8 GL</t>
  </si>
  <si>
    <t>● (p) 3. Stufe LP 8 BL</t>
  </si>
  <si>
    <t>● (p) Pos.1 Nachtrag Stufe 1 (LPH 1-3)</t>
  </si>
  <si>
    <t>● (p) Pos.1 Stufe 1 2025 (LPH 2 Vorpl. + LPH 3 Entwurfspl.)</t>
  </si>
  <si>
    <t>● (p) Pos.2 Stufe 2 2025 (LPH 4 Genehmigungspl. + LPH 5 Ausführungspl.)</t>
  </si>
  <si>
    <t>● (p) Pos.3 Stufe 3 2025 (LPH 8 Objektüberwachung)</t>
  </si>
  <si>
    <t>6776 FWP-Casinoparkhaus-Bad-Homburg</t>
  </si>
  <si>
    <t>● (p) Erstellung Feuerwehrpläne</t>
  </si>
  <si>
    <t>6780 Waldstraße18-Offenbach-HPPVO</t>
  </si>
  <si>
    <t>● • (a.N.) Prüfung/Bescheinigung BSN</t>
  </si>
  <si>
    <t>● • (a.N.) Überwachung/Bescheinigung Bauausführung BSN</t>
  </si>
  <si>
    <t>● • (a.N.) Abfrage Leistungsfähigkeit FW</t>
  </si>
  <si>
    <t>6781 Planung-Sprinkler-Pumpenzentrale-Südwerk-Rudolf-Eber-Straße-2-Oberkochen-Zeiss-FLA</t>
  </si>
  <si>
    <t>● (p) LP2</t>
  </si>
  <si>
    <t>● (p) LP3</t>
  </si>
  <si>
    <t>6782 Fraport-RV-BTB-Geb455</t>
  </si>
  <si>
    <t>6782.01 Fraport-RV-BTB-FuR-Geb455</t>
  </si>
  <si>
    <t>● (p) Pos. 1 Überarbeitung / Überprüfung der Flucht- und Rettungspläne</t>
  </si>
  <si>
    <t>● (p) Pos. 2 Überarbeitung / Überprüfung der Feuerwehrpläne</t>
  </si>
  <si>
    <t>● (p) Pos. 3 Brandschutztechnische Beratung</t>
  </si>
  <si>
    <t>6787 LAK-Redundanz-Sprinkleranbindung-Rudolf-Eber-Straße-2-Oberkochen-Zeiss-FLA</t>
  </si>
  <si>
    <t>● (aN) LP 1</t>
  </si>
  <si>
    <t>6787.03 CZ-FLA-LP5-Projektlaufzeitverlängerung-LAK-Redundanz-Sprinkleranbindung-RudolfEberStr2-Oberkochen</t>
  </si>
  <si>
    <t>● (aN) Pos. 1 Projektlaufzeitverlängerung LP5 um 6 Monate</t>
  </si>
  <si>
    <t>6787.04 CZ-FLA-Konzeptstudie-LAK-Redundanz-Sprinkleranbindung-RudolfEberStr2-Oberkochen</t>
  </si>
  <si>
    <t>● (a.N.) Konzeptstudie Löschwasser-Vorratsbehälter</t>
  </si>
  <si>
    <t>6788.01 StadthalleGmbH-BST-FWP-FRP-Stadthalle-Rathausplatz2-Oberursel</t>
  </si>
  <si>
    <t>● • (aN) Pos. 1 Erstellung einer Brandschutztechnischen Stellungnahme</t>
  </si>
  <si>
    <t>● • (aN) Pos. 2 Anpassung des Brandschutzplatzes 1. OG</t>
  </si>
  <si>
    <t>● • (p) Pos. 3 Aktualisierung der Feuerwehrpläne</t>
  </si>
  <si>
    <t>● • (p) Pos. 4 Aktualisierung der Flucht- und Rettungspläne</t>
  </si>
  <si>
    <t>● • (aN) Pos. 5 nur Tiefgarage</t>
  </si>
  <si>
    <t>6788.02 StadtwerkeGmbH-BST-FWP-FRP-Tiefgarage-Rathausplatz2-Oberursel</t>
  </si>
  <si>
    <t>6792 BST-AFF1-Mooswaldallee1-Freiburg</t>
  </si>
  <si>
    <t>6794 BTB-Carl-Bosch-Str-38-Ludwigshafen</t>
  </si>
  <si>
    <t>● (a.N.) Brandschutztechnische Beratung (BTB)</t>
  </si>
  <si>
    <t>6797 Fraport-RV-FRP-Geb462</t>
  </si>
  <si>
    <t>● (a.N.) FRP</t>
  </si>
  <si>
    <t>6803.01 Thor-Anp-BSK-NB-Geb6-Landwehrstraße1-Speyer</t>
  </si>
  <si>
    <t>● (p) Pos. 1 Anpassung Brandschutzkonzept</t>
  </si>
  <si>
    <t>● (aN) Pos. 2 Abstimmungstermin Genehmigungsbehörde</t>
  </si>
  <si>
    <t>6803.02 Thor-PLA-Landwehrstraße1-Speyer-Logistiklager</t>
  </si>
  <si>
    <t>● (p) Pos. 1 Fachtechnische Beratung FLA/Bedarfsplanung (LP0) für den Bau einer Logistikhalle</t>
  </si>
  <si>
    <t>6803.03 Thor-BSD-Landwehrstraße1-Speyer</t>
  </si>
  <si>
    <t>● (aN) BTB + BAB</t>
  </si>
  <si>
    <t>6816 BTB-Justus-von-Liebig-Str-5-BadHomburg</t>
  </si>
  <si>
    <t>● (an) BTB</t>
  </si>
  <si>
    <t>● (p) NAT Digitalisierung von DWG-Dateien</t>
  </si>
  <si>
    <t>6821 BTB-Eichgärtenallee-106-110-Giessen</t>
  </si>
  <si>
    <t>● (p) Erstellung Brandschutztechnischen Kurzgutachten</t>
  </si>
  <si>
    <t>● (a.N.) Ganzheitliche Fortschreibung des externen Brandschutzkonzeptes</t>
  </si>
  <si>
    <t>6822 AHO-Rettungswache-Silostr-23-Ffm</t>
  </si>
  <si>
    <t>● (aN) AHO LP5 GL - vorab</t>
  </si>
  <si>
    <t>● (aN) AHO LP8 GL - vorab</t>
  </si>
  <si>
    <t>6822.01 FRP+BSO-ASB-Rettungswache-Silostr-23-Ffm</t>
  </si>
  <si>
    <t>● (p) Pos.2 BSO in den Teilen A+B</t>
  </si>
  <si>
    <t>6828 BTB-VVVW-ISSW-NeuheimerFeld700-HD</t>
  </si>
  <si>
    <t>● (aN) BTB während Planungsphase</t>
  </si>
  <si>
    <t>6829 BSN-Medicom-Landsteinerstr2b-Dreieich-HPPVO</t>
  </si>
  <si>
    <t>● (aN) Prüfung/Bescheinigung BSN</t>
  </si>
  <si>
    <t>● (aN) Überwachung/Bescheinigung Bauausführung mit BSN</t>
  </si>
  <si>
    <t>● (p) Abfrage Leistungsfähigkeit FW</t>
  </si>
  <si>
    <t>6832 FAIR-Helmholtz-Darmstadt-LP1+LP8-Planckstraße 1-Darmstadt</t>
  </si>
  <si>
    <t>● (p) LP 1 - Einarbeitung</t>
  </si>
  <si>
    <t>● (a.N.) LP 8 - Objektüberwachung</t>
  </si>
  <si>
    <t>6832.01 FAIR-LP8-Geb1-K0923A-Planckstraße1-Darmstadt</t>
  </si>
  <si>
    <t>● • ‧ 01.4.1.1.a Planung/Ausarbeitung und Koordination von  Durchbrüchen</t>
  </si>
  <si>
    <t>● • ‧ 01.4.1.2.a Planung und Koordination für ergänzende notwendige  brandschutztechnische Konstruktionen</t>
  </si>
  <si>
    <t>● 01.4.1.a Leistungsgegenstand Ausarbeitung, Begleitung der Ausschreibung und  Vergabe</t>
  </si>
  <si>
    <t>● 01.4.2.a Leistungsgegenstand Bauüberwachung Brandschutz</t>
  </si>
  <si>
    <t>● • ‧ 01.4.3.2.d Schnittstellenkoordination Prüfsachverständige, Prüfingenieur Baustatik und Dritte</t>
  </si>
  <si>
    <t>● • ‧ 01.4.3.2.e Koordination und Mängelverfolgung zur   Qualitätssicherung</t>
  </si>
  <si>
    <t>● 01.4.3.a Leistungsgegenstand Fachbauleiter Brandschutz in der Leistungsphase 8</t>
  </si>
  <si>
    <t>● 01.4.4.a Leistungsgegenstand Objektbetreuung (optional)</t>
  </si>
  <si>
    <t>6832.02 FAIR-LP8-Geb2-G0704A-Planckstraße1-Darmstadt</t>
  </si>
  <si>
    <t>● • ‧ 02.4.1.1.a Planung/Ausarbeitung und Koordination von  Durchbrüchen</t>
  </si>
  <si>
    <t>● • ‧ 02.4.1.2.a Planung und Koordination für ergänzende notwendige  brandschutztechnische Konstruktionen</t>
  </si>
  <si>
    <t>● 02.4.1.a Leistungsgegenstand Ausarbeitung, Begleitung der Ausschreibung und  Vergabe</t>
  </si>
  <si>
    <t>● 02.4.2.a Leistungsgegenstand Bauüberwachung Brandschutz</t>
  </si>
  <si>
    <t>● • ‧ 02.4.3.2.d Schnittstellenkoordination Prüfsachverständige, Prüfingenieur Baustatik und Dritte</t>
  </si>
  <si>
    <t>● • ‧ 02.4.3.2.e Koordination und Mängelverfolgung zur   Qualitätssicherung</t>
  </si>
  <si>
    <t>● 02.4.3.a Leistungsgegenstand Fachbauleiter Brandschutz in der Leistungsphase 8</t>
  </si>
  <si>
    <t>● 02.4.4.a Leistungsgegenstand Objektbetreuung (optional)</t>
  </si>
  <si>
    <t>6832.03 FAIR-LP8-Geb3-H0705A-Planckstraße1-Darmstadt</t>
  </si>
  <si>
    <t>● 03.4.1.a Leistungsgegenstand Ausarbeitung, Begleitung der Ausschreibung und  Vergabe</t>
  </si>
  <si>
    <t>● 03.4.2.a Leistungsgegenstand Bauüberwachung Brandschutz</t>
  </si>
  <si>
    <t>● 03.4.3.a Leistungsgegenstand Fachbauleiter Brandschutz in der Leistungsphase 8</t>
  </si>
  <si>
    <t>● 03.4.4.a Leistungsgegenstand Objektbetreuung (optional)</t>
  </si>
  <si>
    <t>6832.04 FAIR-LP8-Geb4-H0719A-Planckstraße1-Darmstadt</t>
  </si>
  <si>
    <t>● • ‧ 04.4.1.1.a Planung/Ausarbeitung und Koordination von  Durchbrüchen</t>
  </si>
  <si>
    <t>● • ‧ 04.4.1.2.a Planung und Koordination für ergänzende notwendige  brandschutztechnische Konstruktionen</t>
  </si>
  <si>
    <t>● 04.4.1.a Leistungsgegenstand Ausarbeitung, Begleitung der Ausschreibung und  Vergabe</t>
  </si>
  <si>
    <t>● 04.4.2.a Leistungsgegenstand Bauüberwachung Brandschutz</t>
  </si>
  <si>
    <t>● • ‧ 04.4.3.2.d Schnittstellenkoordination Prüfsachverständige, Prüfingenieur Baustatik und Dritte</t>
  </si>
  <si>
    <t>● • ‧ 04.4.3.2.e Koordination und Mängelverfolgung zur   Qualitätssicherung</t>
  </si>
  <si>
    <t>● 04.4.3.a Leistungsgegenstand Fachbauleiter Brandschutz in der Leistungsphase 8</t>
  </si>
  <si>
    <t>● 04.4.4.a Leistungsgegenstand Objektbetreuung (optional)</t>
  </si>
  <si>
    <t>6832.05 FAIR-LP8-Geb5-K0720A-Planckstraße1-Darmstadt</t>
  </si>
  <si>
    <t>● • ‧ 05.4.1.1.a Planung/Ausarbeitung und Koordination von  Durchbrüchen</t>
  </si>
  <si>
    <t>● • ‧ 05.4.1.2.a Planung und Koordination für ergänzende notwendige  brandschutztechnische Konstruktionen</t>
  </si>
  <si>
    <t>● 05.4.1.a Leistungsgegenstand Ausarbeitung, Begleitung der Ausschreibung und  Vergabe</t>
  </si>
  <si>
    <t>● 05.4.2.a Leistungsgegenstand Bauüberwachung Brandschutz</t>
  </si>
  <si>
    <t>● • ‧ 05.4.3.2.d Schnittstellenkoordination Prüfsachverständige, Prüfingenieur Baustatik und Dritte</t>
  </si>
  <si>
    <t>● • ‧ 05.4.3.2.e Koordination und Mängelverfolgung zur   Qualitätssicherung</t>
  </si>
  <si>
    <t>● 05.4.3.a Leistungsgegenstand Fachbauleiter Brandschutz in der Leistungsphase 8</t>
  </si>
  <si>
    <t>● 05.4.4.a Leistungsgegenstand Objektbetreuung (optional)</t>
  </si>
  <si>
    <t>6832.06 FAIR-LP8-Geb6-L0516A-Planckstraße1-Darmstadt</t>
  </si>
  <si>
    <t>● • ‧ 06.4.1.1.a Planung/Ausarbeitung und Koordination von  Durchbrüchen</t>
  </si>
  <si>
    <t>● • ‧ 06.4.1.2.a Planung und Koordination für ergänzende notwendige  brandschutztechnische Konstruktionen</t>
  </si>
  <si>
    <t>● 06.4.1.a Leistungsgegenstand Ausarbeitung, Begleitung der Ausschreibung und  Vergabe</t>
  </si>
  <si>
    <t>● 06.4.2.a Leistungsgegenstand Bauüberwachung Brandschutz</t>
  </si>
  <si>
    <t>● • ‧ 06.4.3.2.d Schnittstellenkoordination Prüfsachverständige, Prüfingenieur Baustatik und Dritte</t>
  </si>
  <si>
    <t>● • ‧ 06.4.3.2.e Koordination und Mängelverfolgung zur   Qualitätssicherung</t>
  </si>
  <si>
    <t>● 06.4.3.a Leistungsgegenstand Fachbauleiter Brandschutz in der Leistungsphase 8</t>
  </si>
  <si>
    <t>● 06.4.4.a Leistungsgegenstand Objektbetreuung (optional)</t>
  </si>
  <si>
    <t>6832.07 FAIR-LP8-Geb7-L0321A-Planckstraße1-Darmstadt</t>
  </si>
  <si>
    <t>● • ‧ 07.4.1.1.a Planung/Ausarbeitung und Koordination von  Durchbrüchen</t>
  </si>
  <si>
    <t>● • ‧ 07.4.1.2.a Planung und Koordination für ergänzende notwendige  brandschutztechnische Konstruktionen</t>
  </si>
  <si>
    <t>● 07.4.1.a Leistungsgegenstand Ausarbeitung, Begleitung der Ausschreibung und  Vergabe</t>
  </si>
  <si>
    <t>● 07.4.2.a Leistungsgegenstand Bauüberwachung Brandschutz</t>
  </si>
  <si>
    <t>● • ‧ 07.4.3.2.d Schnittstellenkoordination Prüfsachverständige, Prüfingenieur Baustatik und Dritte</t>
  </si>
  <si>
    <t>● • ‧ 07.4.3.2.e Koordination und Mängelverfolgung zur   Qualitätssicherung</t>
  </si>
  <si>
    <t>● 07.4.3.a Leistungsgegenstand Fachbauleiter Brandschutz in der Leistungsphase 8</t>
  </si>
  <si>
    <t>● 07.4.4.a Leistungsgegenstand Objektbetreuung (optional)</t>
  </si>
  <si>
    <t>6832.08 FAIR-LP8-Geb8-K0308A-Planckstraße1-Darmstadt</t>
  </si>
  <si>
    <t>● • ‧ 08.4.1.1.a Planung/Ausarbeitung und Koordination von  Durchbrüchen</t>
  </si>
  <si>
    <t>● • ‧ 08.4.1.2.a Planung und Koordination für ergänzende notwendige  brandschutztechnische Konstruktionen</t>
  </si>
  <si>
    <t>● 08.4.1.a Leistungsgegenstand Ausarbeitung, Begleitung der Ausschreibung und  Vergabe</t>
  </si>
  <si>
    <t>● 08.4.2.a Leistungsgegenstand Bauüberwachung Brandschutz</t>
  </si>
  <si>
    <t>● • ‧ 08.4.3.2.d Schnittstellenkoordination Prüfsachverständige, Prüfingenieur Baustatik und Dritte</t>
  </si>
  <si>
    <t>● • ‧ 08.4.3.2.e Koordination und Mängelverfolgung zur   Qualitätssicherung</t>
  </si>
  <si>
    <t>● 08.4.3.a Leistungsgegenstand Fachbauleiter Brandschutz in der Leistungsphase 8</t>
  </si>
  <si>
    <t>● 08.4.4.a Leistungsgegenstand Objektbetreuung (optional)</t>
  </si>
  <si>
    <t>6832.09 FAIR-LP8-Geb9-K0314A-Planckstraße1-Darmstadt</t>
  </si>
  <si>
    <t>● • ‧ 09.4.1.1.a Planung/Ausarbeitung und Koordination von  Durchbrüchen</t>
  </si>
  <si>
    <t>● • ‧ 09.4.1.2.a Planung und Koordination für ergänzende notwendige  brandschutztechnische Konstruktionen</t>
  </si>
  <si>
    <t>● 09.4.1.a Leistungsgegenstand Ausarbeitung, Begleitung der Ausschreibung und  Vergabe</t>
  </si>
  <si>
    <t>● 09.4.2.a Leistungsgegenstand Bauüberwachung Brandschutz</t>
  </si>
  <si>
    <t>● • ‧ 09.4.3.2.d Schnittstellenkoordination Prüfsachverständige, Prüfingenieur Baustatik und Dritte</t>
  </si>
  <si>
    <t>● • ‧ 09.4.3.2.e Koordination und Mängelverfolgung zur   Qualitätssicherung</t>
  </si>
  <si>
    <t>● 09.4.3.a Leistungsgegenstand Fachbauleiter Brandschutz in der Leistungsphase 8</t>
  </si>
  <si>
    <t>● 09.4.4.a Leistungsgegenstand Objektbetreuung (optional)</t>
  </si>
  <si>
    <t>6832.10 FAIR-LP8-Geb10-K0321A-Planckstraße1-Darmstadt</t>
  </si>
  <si>
    <t>● • ‧ 10.4.1.1.a Planung/Ausarbeitung und Koordination von  Durchbrüchen</t>
  </si>
  <si>
    <t>● • ‧ 10.4.1.2.a Planung und Koordination für ergänzende notwendige  brandschutztechnische Konstruktionen</t>
  </si>
  <si>
    <t>● 10.4.1.a Leistungsgegenstand Ausarbeitung, Begleitung der Ausschreibung und  Vergabe</t>
  </si>
  <si>
    <t>● 10.4.2.a Leistungsgegenstand Bauüberwachung Brandschutz</t>
  </si>
  <si>
    <t>● • ‧ 10.4.3.2.d Schnittstellenkoordination Prüfsachverständige, Prüfingenieur Baustatik und Dritte</t>
  </si>
  <si>
    <t>● • ‧ 10.4.3.2.e Koordination und Mängelverfolgung zur   Qualitätssicherung</t>
  </si>
  <si>
    <t>● 10.4.3.a Leistungsgegenstand Fachbauleiter Brandschutz in der Leistungsphase 8</t>
  </si>
  <si>
    <t>● 10.4.4.a Leistungsgegenstand Objektbetreuung (optional)</t>
  </si>
  <si>
    <t>6832.11 FAIR-LP8-Geb11-K0406A-Planckstraße1-Darmstadt</t>
  </si>
  <si>
    <t>● • ‧ 11.4.1.1.a Planung/Ausarbeitung und Koordination von  Durchbrüchen</t>
  </si>
  <si>
    <t>● • ‧ 11.4.1.2.a Planung und Koordination für ergänzende notwendige  brandschutztechnische Konstruktionen</t>
  </si>
  <si>
    <t>● 11.4.1.a Leistungsgegenstand Ausarbeitung, Begleitung der Ausschreibung und  Vergabe</t>
  </si>
  <si>
    <t>● 11.4.2.a Leistungsgegenstand Bauüberwachung Brandschutz</t>
  </si>
  <si>
    <t>● • ‧ 11.4.3.2.d Schnittstellenkoordination Prüfsachverständige, Prüfingenieur Baustatik und Dritte</t>
  </si>
  <si>
    <t>● • ‧ 11.4.3.2.e Koordination und Mängelverfolgung zur   Qualitätssicherung</t>
  </si>
  <si>
    <t>● 11.4.3.a Leistungsgegenstand Fachbauleiter Brandschutz in der Leistungsphase 8</t>
  </si>
  <si>
    <t>● 11.4.4.a Leistungsgegenstand Objektbetreuung (optional)</t>
  </si>
  <si>
    <t>6832.12 FAIR-LP8-Geb12-L0409A-Planckstraße1-Darmstadt</t>
  </si>
  <si>
    <t>● • ‧ 12.4.1.1.a Planung/Ausarbeitung und Koordination von  Durchbrüchen</t>
  </si>
  <si>
    <t>● • ‧ 12.4.1.2.a Planung und Koordination für ergänzende notwendige  brandschutztechnische Konstruktionen</t>
  </si>
  <si>
    <t>● 12.4.1.a Leistungsgegenstand Ausarbeitung, Begleitung der Ausschreibung und  Vergabe</t>
  </si>
  <si>
    <t>● 12.4.2.a Leistungsgegenstand Bauüberwachung Brandschutz</t>
  </si>
  <si>
    <t>● • ‧ 12.4.3.2.d Schnittstellenkoordination Prüfsachverständige, Prüfingenieur Baustatik und Dritte</t>
  </si>
  <si>
    <t>● • ‧ 12.4.3.2.e Koordination und Mängelverfolgung zur   Qualitätssicherung</t>
  </si>
  <si>
    <t>● 12.4.3.a Leistungsgegenstand Fachbauleiter Brandschutz in der Leistungsphase 8</t>
  </si>
  <si>
    <t>● 12.4.4.a Leistungsgegenstand Objektbetreuung (optional)</t>
  </si>
  <si>
    <t>6832.13 FAIR-LP8-Geb13-G0702A-Planckstraße1-Darmstadt</t>
  </si>
  <si>
    <t>● • ‧ 13.4.1.1.a Planung/Ausarbeitung und Koordination von  Durchbrüchen</t>
  </si>
  <si>
    <t>● • ‧ 13.4.1.2.a Planung und Koordination für ergänzende notwendige  brandschutztechnische Konstruktionen</t>
  </si>
  <si>
    <t>● 13.4.1.a Leistungsgegenstand Ausarbeitung, Begleitung der Ausschreibung und  Vergabe</t>
  </si>
  <si>
    <t>● 13.4.2.a Leistungsgegenstand Bauüberwachung Brandschutz</t>
  </si>
  <si>
    <t>● • ‧ 13.4.3.2.d Schnittstellenkoordination Prüfsachverständige, Prüfingenieur Baustatik und Dritte</t>
  </si>
  <si>
    <t>● • ‧ 13.4.3.2.e Koordination und Mängelverfolgung zur   Qualitätssicherung</t>
  </si>
  <si>
    <t>● 13.4.3.a Leistungsgegenstand Fachbauleiter Brandschutz in der Leistungsphase 8</t>
  </si>
  <si>
    <t>● 13.4.4.a Leistungsgegenstand Objektbetreuung (optional)</t>
  </si>
  <si>
    <t>6832.14 FAIR-LP8-Geb14-K0617A-Planckstraße1-Darmstadt</t>
  </si>
  <si>
    <t>● • ‧ 14.4.1.1.a Planung/Ausarbeitung und Koordination von  Durchbrüchen</t>
  </si>
  <si>
    <t>● • ‧ 14.4.1.2.a Planung und Koordination für ergänzende notwendige  brandschutztechnische Konstruktionen</t>
  </si>
  <si>
    <t>● 14.4.1.a Leistungsgegenstand Ausarbeitung, Begleitung der Ausschreibung und  Vergabe</t>
  </si>
  <si>
    <t>● 14.4.2.a Leistungsgegenstand Bauüberwachung Brandschutz</t>
  </si>
  <si>
    <t>● • ‧ 14.4.3.2.d Schnittstellenkoordination Prüfsachverständige, Prüfingenieur Baustatik und Dritte</t>
  </si>
  <si>
    <t>● • ‧ 14.4.3.2.e Koordination und Mängelverfolgung zur   Qualitätssicherung</t>
  </si>
  <si>
    <t>● 14.4.3.a Leistungsgegenstand Fachbauleiter Brandschutz in der Leistungsphase 8</t>
  </si>
  <si>
    <t>● 14.4.4.a Leistungsgegenstand Objektbetreuung (optional)</t>
  </si>
  <si>
    <t>6832.15 FAIR-LP8-Geb15-K0619A-Planckstraße1-Darmstadt</t>
  </si>
  <si>
    <t>● • ‧ 15.4.1.1.a Planung/Ausarbeitung und Koordination von  Durchbrüchen</t>
  </si>
  <si>
    <t>● • ‧ 15.4.1.2.a Planung und Koordination für ergänzende notwendige  brandschutztechnische Konstruktionen</t>
  </si>
  <si>
    <t>● 15.4.1.a Leistungsgegenstand Ausarbeitung, Begleitung der Ausschreibung und  Vergabe</t>
  </si>
  <si>
    <t>● 15.4.2.a Leistungsgegenstand Bauüberwachung Brandschutz</t>
  </si>
  <si>
    <t>● • ‧ 15.4.3.2.d Schnittstellenkoordination Prüfsachverständige, Prüfingenieur Baustatik und Dritte</t>
  </si>
  <si>
    <t>● • ‧ 15.4.3.2.e Koordination und Mängelverfolgung zur   Qualitätssicherung</t>
  </si>
  <si>
    <t>● 15.4.3.a Leistungsgegenstand Fachbauleiter Brandschutz in der Leistungsphase 8</t>
  </si>
  <si>
    <t>● 15.4.4.a Leistungsgegenstand Objektbetreuung (optional)</t>
  </si>
  <si>
    <t>6832.16 FAIR-LP8-Geb16-K0503A-Planckstraße1-Darmstadt</t>
  </si>
  <si>
    <t>● • ‧ 16.4.1.1.a Planung/Ausarbeitung und Koordination von  Durchbrüchen</t>
  </si>
  <si>
    <t>● • ‧ 16.4.1.2.a Planung und Koordination für ergänzende notwendige  brandschutztechnische Konstruktionen</t>
  </si>
  <si>
    <t>● 16.4.1.a Leistungsgegenstand Ausarbeitung, Begleitung der Ausschreibung und  Vergabe</t>
  </si>
  <si>
    <t>● 16.4.2.a Leistungsgegenstand Bauüberwachung Brandschutz</t>
  </si>
  <si>
    <t>● • ‧ 16.4.3.2.d Schnittstellenkoordination Prüfsachverständige, Prüfingenieur Baustatik und Dritte</t>
  </si>
  <si>
    <t>● • ‧ 16.4.3.2.e Koordination und Mängelverfolgung zur   Qualitätssicherung</t>
  </si>
  <si>
    <t>● 16.4.3.a Leistungsgegenstand Fachbauleiter Brandschutz in der Leistungsphase 8</t>
  </si>
  <si>
    <t>● 16.4.4.a Leistungsgegenstand Objektbetreuung (optional)</t>
  </si>
  <si>
    <t>6832.17 FAIR-LP8-Geb17-K0410A-Planckstraße1-Darmstadt</t>
  </si>
  <si>
    <t>● • ‧ 17.4.1.1.a Planung/Ausarbeitung und Koordination von  Durchbrüchen</t>
  </si>
  <si>
    <t>● • ‧ 17.4.1.2.a Planung und Koordination für ergänzende notwendige  brandschutztechnische Konstruktionen</t>
  </si>
  <si>
    <t>● 17.4.1.a Leistungsgegenstand Ausarbeitung, Begleitung der Ausschreibung und  Vergabe</t>
  </si>
  <si>
    <t>● 17.4.2.a Leistungsgegenstand Bauüberwachung Brandschutz</t>
  </si>
  <si>
    <t>● • ‧ 17.4.3.2.d Schnittstellenkoordination Prüfsachverständige, Prüfingenieur Baustatik und Dritte</t>
  </si>
  <si>
    <t>● • ‧ 17.4.3.2.e Koordination und Mängelverfolgung zur   Qualitätssicherung</t>
  </si>
  <si>
    <t>● 17.4.3.a Leistungsgegenstand Fachbauleiter Brandschutz in der Leistungsphase 8</t>
  </si>
  <si>
    <t>● 17.4.4.a Leistungsgegenstand Objektbetreuung (optional)</t>
  </si>
  <si>
    <t>6832.18 FAIR-LP8-Geb18-K0519A-Planckstraße1-Darmstadt</t>
  </si>
  <si>
    <t>● • ‧ 18.4.1.1.a Planung/Ausarbeitung und Koordination von  Durchbrüchen</t>
  </si>
  <si>
    <t>● • ‧ 18.4.1.2.a Planung und Koordination für ergänzende notwendige  brandschutztechnische Konstruktionen</t>
  </si>
  <si>
    <t>● 18.4.1.a Leistungsgegenstand Ausarbeitung, Begleitung der Ausschreibung und  Vergabe</t>
  </si>
  <si>
    <t>● 18.4.2.a Leistungsgegenstand Bauüberwachung Brandschutz</t>
  </si>
  <si>
    <t>● • ‧ 18.4.3.2.d Schnittstellenkoordination Prüfsachverständige, Prüfingenieur Baustatik und Dritte</t>
  </si>
  <si>
    <t>● • ‧ 18.4.3.2.e Koordination und Mängelverfolgung zur   Qualitätssicherung</t>
  </si>
  <si>
    <t>● 18.4.3.a Leistungsgegenstand Fachbauleiter Brandschutz in der Leistungsphase 8</t>
  </si>
  <si>
    <t>● 18.4.4.a Leistungsgegenstand Objektbetreuung (optional)</t>
  </si>
  <si>
    <t>6832.19 FAIR-LP8-Geb19-L0608A-Planckstraße1-Darmstadt</t>
  </si>
  <si>
    <t>● • ‧ 19.4.1.1.a Planung/Ausarbeitung und Koordination von  Durchbrüchen</t>
  </si>
  <si>
    <t>● • ‧ 19.4.1.2.a Planung und Koordination für ergänzende notwendige  brandschutztechnische Konstruktionen</t>
  </si>
  <si>
    <t>● 19.4.1.a Leistungsgegenstand Ausarbeitung, Begleitung der Ausschreibung und  Vergabe</t>
  </si>
  <si>
    <t>● 19.4.2.a Leistungsgegenstand Bauüberwachung Brandschutz</t>
  </si>
  <si>
    <t>● • ‧ 19.4.3.2.d Schnittstellenkoordination Prüfsachverständige, Prüfingenieur Baustatik und Dritte</t>
  </si>
  <si>
    <t>● • ‧ 19.4.3.2.e Koordination und Mängelverfolgung zur   Qualitätssicherung</t>
  </si>
  <si>
    <t>● 19.4.3.a Leistungsgegenstand Fachbauleiter Brandschutz in der Leistungsphase 8</t>
  </si>
  <si>
    <t>● 19.4.4.a Leistungsgegenstand Objektbetreuung (optional)</t>
  </si>
  <si>
    <t>6832.20 FAIR-LP8-Geb20-L0317A-Planckstraße1-Darmstadt</t>
  </si>
  <si>
    <t>● • ‧ 20.4.1.1.a Planung/Ausarbeitung und Koordination von  Durchbrüchen</t>
  </si>
  <si>
    <t>● • ‧ 20.4.1.2.a Planung und Koordination für ergänzende notwendige  brandschutztechnische Konstruktionen</t>
  </si>
  <si>
    <t>● 20.4.1.a Leistungsgegenstand Ausarbeitung, Begleitung der Ausschreibung und  Vergabe</t>
  </si>
  <si>
    <t>● 20.4.2.a Leistungsgegenstand Bauüberwachung Brandschutz</t>
  </si>
  <si>
    <t>● • ‧ 20.4.3.2.d Schnittstellenkoordination Prüfsachverständige, Prüfingenieur Baustatik und Dritte</t>
  </si>
  <si>
    <t>● • ‧ 20.4.3.2.e Koordination und Mängelverfolgung zur   Qualitätssicherung</t>
  </si>
  <si>
    <t>● 20.4.3.a Leistungsgegenstand Fachbauleiter Brandschutz in der Leistungsphase 8</t>
  </si>
  <si>
    <t>● 20.4.4.a Leistungsgegenstand Objektbetreuung (optional)</t>
  </si>
  <si>
    <t>6832.21 FAIR-RGS-Fair-Planckstraße 1-Darmstadt-Kranhalle</t>
  </si>
  <si>
    <t>● (p) Pos.1 RGS - Nachw. d. Temperaturen an den natürlichen Abzugsöffnungen im Hallendach</t>
  </si>
  <si>
    <t>● (p) Pos.2 Ermittlung der tatsächl. Brandleistung</t>
  </si>
  <si>
    <t>6833 BSK-Walinusschule-Hauptstr-63-Seligenstadt</t>
  </si>
  <si>
    <t>● (a.N.) Baubegl. BSB u. Qualitätsüberw. f.d. Durchführung d.Baumaßnahme</t>
  </si>
  <si>
    <t>6835.01 Union-BTB-Motel-One-Rablstr2-Hochstr17-München</t>
  </si>
  <si>
    <t>6839 Fraport-RV-FRP-FWP-TunnelWest</t>
  </si>
  <si>
    <t>● (a.N.) FWP</t>
  </si>
  <si>
    <t>6842 BTB-Kloster-Schäftlarn2-Klosterbräustüberl</t>
  </si>
  <si>
    <t>6850 BTB-Rauchschutztüren-Walther-Kolb-Str-13-Ffm</t>
  </si>
  <si>
    <t>● (a.N.) BTB Rauchschutztüren</t>
  </si>
  <si>
    <t>6855 BSK-Dachausbau-Taunusanlage-20-Ffm</t>
  </si>
  <si>
    <t>● (a.N.) BAB + NAT BAB und Qualitätsüberwachung f.d. Durchführung d. Baumaßnahme</t>
  </si>
  <si>
    <t>● (a.N.) Pos.3-zusätzl. Beratungsleistungen</t>
  </si>
  <si>
    <t>6855.01 BTB-Taunusanlage-20-Ffm-MOW-Fassadensanierung</t>
  </si>
  <si>
    <t>● (aN) Pos.1 BTB Fassadensanierung inkl. Objektbegehung</t>
  </si>
  <si>
    <t>6858.01 NEC-FRP-QuartierD-Kurfürstenanlage36-Heidelberg</t>
  </si>
  <si>
    <t>6860 FVAG-FLA-E-Bus-Überdachung-Besanconallee99-Freiburg</t>
  </si>
  <si>
    <t>● (p) LP 2</t>
  </si>
  <si>
    <t>● (p) LP 3</t>
  </si>
  <si>
    <t>● (aN) Wdh. LP 3: Umplanung der Löschanlage auf die Forderungen der Versicherung</t>
  </si>
  <si>
    <t>● (p) LP 4</t>
  </si>
  <si>
    <t>6860.01 FVAG-LP5-8-FLA-E-Busladestation-Betriebhof-West-Freiburg</t>
  </si>
  <si>
    <t>6866 FLA-T1-FlugsteigB-Berechnung-Sprinkler</t>
  </si>
  <si>
    <t>● (aN) Pos. 1 Sammeln der CAD-Unterlagen, Überprüfung vor Ort</t>
  </si>
  <si>
    <t>● (aN) Pos. 2 Hydraulische Berechnung, Erstellung 3D-Berechnungsmodell</t>
  </si>
  <si>
    <t>● (aN) Pos. 3 Überprüfung und Übergabe der Berechnungsergebnisse</t>
  </si>
  <si>
    <t>● (aN) Pos. 4 Beratung bei der Ausführung (optional)</t>
  </si>
  <si>
    <t>6867 BSK-Frauenlobstraße-2-Ffm</t>
  </si>
  <si>
    <t>● (a.N.) Baubegl. Brandschutzberatung + Qualitätsüberw. f.d. Durchführung d. Baumaßnahme</t>
  </si>
  <si>
    <t>6868 BTB-Lagerhalle-Otto-Hahn-Str.11A-Friedrichsdorf</t>
  </si>
  <si>
    <t>● (a.N.) Pos.1-BTB Lagerhalle</t>
  </si>
  <si>
    <t>6870 BTB-FMT-WI-Planstr-Taunusstein</t>
  </si>
  <si>
    <t>● (a.N.) Pos.00010 BU/INST - BTB zur Gefahrenverhütungsschau</t>
  </si>
  <si>
    <t>6870.01 BSK-FMT-WI-Planstr-Taunusstein</t>
  </si>
  <si>
    <t>● (aN) Pos.1 Beratungslstg. Brandschutz-Planung</t>
  </si>
  <si>
    <t>● (aN) Pos.2 Brandschutztechn. Baubegleitung+Objektüberwachung</t>
  </si>
  <si>
    <t>● (aN) Pos.3 OPTIONAL Erstellung FWP</t>
  </si>
  <si>
    <t>● (aN) Pos.4 Beratungslstg. Brandmeldetechnik</t>
  </si>
  <si>
    <t>● (aN) Pos.5 Planung nichtselbsttätigen Feuerlöschanlage</t>
  </si>
  <si>
    <t>6874 FLA-FriedrichLoefflerInstitut-Naumburgerstr96a-Jena</t>
  </si>
  <si>
    <t>● (aN) Pos. 1 Prüfen des Löschanlagenkonzeptes</t>
  </si>
  <si>
    <t>● (aN) Pos. 2 Prüfen der Pläne</t>
  </si>
  <si>
    <t>● (aN) Pos. 3 Hydraulische Berechnungen</t>
  </si>
  <si>
    <t>● (aN) Pos. 4 CAD-Bearbeitung 3D-Rohrnetzmodell</t>
  </si>
  <si>
    <t>● (aN) Pos. 5 Beratung während der Bauphase</t>
  </si>
  <si>
    <t>6875.01 BTB-Zeil-2-Ffm-EG-Kühlgeräte</t>
  </si>
  <si>
    <t>● (aN) BTB einbringen von Kühlgeräten (telef. Beauftragung ohne ANG)</t>
  </si>
  <si>
    <t>6880.141 FWP-2025-Carl-Zeiss-Str-3-Metzingen</t>
  </si>
  <si>
    <t>● (a.N.) Pos.1-Erstellen FWP+ Dokumentation lt. RV (ohne ANG) /kk</t>
  </si>
  <si>
    <t>6880.151 FWP-2025-Carl-Zeiss-Str-27-Metzingen</t>
  </si>
  <si>
    <t>● (a.N.) Pos.1-Erstellen FWP lt. RV + Dokumentation (ohne ANG)</t>
  </si>
  <si>
    <t>6880.161 FWP-2025-Carl-Zeiss-Straße-43-Metzingen-Bürogebäude</t>
  </si>
  <si>
    <t>6880.162 FWP-2025-Carl-Zeiss-Straße-43-Metzingen-Lagergebäude</t>
  </si>
  <si>
    <t>6880.191 FRP-2025-Frankenstraße-152-Nürnberg</t>
  </si>
  <si>
    <t>● (aN) Pos.1 Erstellen FRP + Dokumentation (~24h)</t>
  </si>
  <si>
    <t>6880.20 LWeiss-BSN-Georg-Maurer-Str6-München</t>
  </si>
  <si>
    <t>● (aN) Brandschutznachweis</t>
  </si>
  <si>
    <t>● (aN) Brandschutzkonzeptpläne</t>
  </si>
  <si>
    <t>6880.22 LWeiss-FRP-FWP-Leonhard-WeissStr12-Göppingen-Neubau</t>
  </si>
  <si>
    <t>● (aN) Pos. 1 Erstellung Flucht- und Rettungspläne</t>
  </si>
  <si>
    <t>● (aN) Pos. 2 Erstellung Feuerwehrpläne</t>
  </si>
  <si>
    <t>● (aN) Pos. 3 Dokumentation</t>
  </si>
  <si>
    <t>● (aN) Pos. 5 Pläne Neubau FWP</t>
  </si>
  <si>
    <t>● (aN) Pos. 5 Pläne Neubau FRP</t>
  </si>
  <si>
    <t>6880.23 LWeiss-BTB-Im-Wiesengrund-5-Rechberghausen</t>
  </si>
  <si>
    <t>● (aN) Pos. 1 BTB auf Grundlage RV</t>
  </si>
  <si>
    <t>6880.24 LWeiss-FRP-FWP-Leonhard-WeissStr12-Göppingen-Bestand</t>
  </si>
  <si>
    <t>● (aN) Pos. 1 Dokumentation</t>
  </si>
  <si>
    <t>● (aN) Pos. 4 Pläne Bestand FWP</t>
  </si>
  <si>
    <t>●  (aN) Pos. 4 Pläne Bestand FRP</t>
  </si>
  <si>
    <t>● (aN) Pos. 6 Ortstermine</t>
  </si>
  <si>
    <t>6880.25 BTB-Im-Wiesengrund-7/1-Rechberghausen-Bestandswohnhaus</t>
  </si>
  <si>
    <t>6880.26 FRP-2025-Carl-Zeiss-Straße-49/1-Metzingen</t>
  </si>
  <si>
    <t>● (a.N.) Pos.1-Erstellen FRP lt. RV + Dokumentation (ohne ANG)</t>
  </si>
  <si>
    <t>6880.27 FRP-2025-Wilhelm-Frank-Straße-61-Bad Mergentheim</t>
  </si>
  <si>
    <t>6880.28 FRP-2025-Kaufstraße-15-Grünkraut-Bürogebäude</t>
  </si>
  <si>
    <t>6880.29 LWeiss-FRP-August-Horch-Str-2-4-Kottenheim-EG-Büro</t>
  </si>
  <si>
    <t>6880.30 LWeiss-FRP-August-Horch-Str-2-4-Kottenheim-EG-Halle</t>
  </si>
  <si>
    <t>6880.31 LWeiss-FRP-Wilhelm-Frank-Str-59-Bad-Mergentheim</t>
  </si>
  <si>
    <t>● (aN) MGH - Erneuerung FRP</t>
  </si>
  <si>
    <t>6880.32 LWeiss-RV-FRP-Industriestraße-8-Satteldorf-MB-GEOtec-EG</t>
  </si>
  <si>
    <t>● (aN) FRP für angemietetes Objekt f. geotechn. Daten</t>
  </si>
  <si>
    <t>6882 BSK-Funkturm-Ahlen-Tönnishäusschen-26</t>
  </si>
  <si>
    <t>● (p) Pos.1-Brandschutzkonzept Spez. Bauvorhaben - ohne Begehung</t>
  </si>
  <si>
    <t>6884 BST-Mittlere-EicherStr38-Kempten</t>
  </si>
  <si>
    <t>● (p) Pos. 1 Erstellung brandschutztechnische Stellungnahme</t>
  </si>
  <si>
    <t>● (p) Pos. 2 Erstellung Brandschutzpläne</t>
  </si>
  <si>
    <t>● (aN) Pos. 3 Abnahmebegehung, Abgleich m. Anf. + Ausstellung KOF</t>
  </si>
  <si>
    <t>6885.01 BAB-Hbf-Stuttgart-BHH</t>
  </si>
  <si>
    <t>● BAB-LP8 Bahnhofshalle - PFA 1.1_300-BUE_S + PFA 1.1_300-BUE_S_Schl (005S) -</t>
  </si>
  <si>
    <t>6885.02 BAB-Hbf-Stuttgart-BB</t>
  </si>
  <si>
    <t>● (a.N.) LP 8 Bahnhofshalle</t>
  </si>
  <si>
    <t>6888.01 Nevinghoff-25-Münster</t>
  </si>
  <si>
    <t>● (aN) Beratungsleistungen übergeordnet</t>
  </si>
  <si>
    <t>● (aN) MS10-myFI NewWork-FFM / Münster</t>
  </si>
  <si>
    <t>● (aN) Fortschreibung Brandschutzkonzept</t>
  </si>
  <si>
    <t>● (aN) Erstellung von Brandschutzkonzeptpläne</t>
  </si>
  <si>
    <t>6890 Sigra-CAD-Vordere-Seestraße-19-Waldenbuch</t>
  </si>
  <si>
    <t>● (p) Plangrundlage schaffen</t>
  </si>
  <si>
    <t>6896 BTB-Richard-Wagner-Straße-4-Stuttgart</t>
  </si>
  <si>
    <t>● (a.N.) Pos.1-Brandschutztechn. Beratung</t>
  </si>
  <si>
    <t>6897.01 BSK-Tapachstraße-44-Stuttgart-Kita</t>
  </si>
  <si>
    <t>● (p) Pos.1 Erstellung BSK (1Termin)</t>
  </si>
  <si>
    <t>6898 BTB-Richard-Wagner-Straße-2-Stuttgart</t>
  </si>
  <si>
    <t>6900 BST-Kloster-Schäftlarn2-Turnhalle</t>
  </si>
  <si>
    <t>● • Pos. 1 Erstellung einer brandschutztechnischen Stellungnahme</t>
  </si>
  <si>
    <t>● • Pos. 2 Erstellung Brandschutzpläne</t>
  </si>
  <si>
    <t>6901 CrossFit069-BTB-HanauerLdstr208-216-FFM</t>
  </si>
  <si>
    <t>● (p) Pos. 1 Erstellung eines neuen Brandschutzkonzeptes</t>
  </si>
  <si>
    <t>6905 Wolf-BSN-Jahnstr4-Groß-Gerau</t>
  </si>
  <si>
    <t>● (p) Pos. 1 Erstellung eines Brandschutznachweises</t>
  </si>
  <si>
    <t>● (aN) Pos. 2 Brandschutztechnische Baubegleitung und Abnahme</t>
  </si>
  <si>
    <t>6911.01 StBA-Krumbach-BTB-Liegenschaft-RaunauerStr55-57-Krumbach</t>
  </si>
  <si>
    <t>6918 BSK-Oeserstraße-180-Ffm</t>
  </si>
  <si>
    <t>● (p) Pos.1 Bestandserfassung</t>
  </si>
  <si>
    <t>●  (p) Pos.2 Brandschutzkonzept (6-fach)</t>
  </si>
  <si>
    <t>● (a.N.) Pos.3 Beratungsleistungen/Abstimmung</t>
  </si>
  <si>
    <t>6918.01 NAT-BSK-Oeserstraße-180-Ffm</t>
  </si>
  <si>
    <t>● (aN) Pos.1 BTB für das als Hotel u. Versammlungsstätte genutzte Hochhaus</t>
  </si>
  <si>
    <t>6925 BSK-FMT-Koblenz</t>
  </si>
  <si>
    <t>● (a.N.) Pos.1 -Anlayse d. Genehmigungssitutation</t>
  </si>
  <si>
    <t>● (a.N.) Pos.2 Erst. Maßnahmenkatalog Brandschutz</t>
  </si>
  <si>
    <t>● (a.N.) Pos.3 Löschanlagenplanung - Allgem. Beratungslstg. (Hinweis: Pos. f. FLA)</t>
  </si>
  <si>
    <t>● (a.N.) Pos.4 Abstimung m. Genehmigungsbehörden</t>
  </si>
  <si>
    <t>● (a.N.) Pos.5 Abstimung m. Genehmigungsbehörden (Erst. BSK)</t>
  </si>
  <si>
    <t>6929 EKS-AHO-LOS1-Vorb-2.BA-Elbe-Kliniken-Stade-BremervörderStr111-Stade</t>
  </si>
  <si>
    <t>● • (p) LP 1 (GL)</t>
  </si>
  <si>
    <t>● • (p) LP 1 (BL)</t>
  </si>
  <si>
    <t>● • (p) LP 2 (GL)</t>
  </si>
  <si>
    <t>● • (p) LP 2 (BL)</t>
  </si>
  <si>
    <t>● • (p) LP 3 (GL)</t>
  </si>
  <si>
    <t>● • (p) LP 3 (BL)</t>
  </si>
  <si>
    <t>● • (p) LP 4 (GL)</t>
  </si>
  <si>
    <t>● • (p) LP 4 (BL)</t>
  </si>
  <si>
    <t>6929.01 EKS-AHO-LOS2-2.BA-Elbe-Kliniken-Stade-BremervörderStr111-Stade</t>
  </si>
  <si>
    <t>● (p) 1. Stufe - LP 1 GL</t>
  </si>
  <si>
    <t>● (p) 1. Stufe - LP 1 BL</t>
  </si>
  <si>
    <t>● (p) 1. Stufe - LP 2 GL</t>
  </si>
  <si>
    <t>● (p) 1. Stufe - LP 2 BL</t>
  </si>
  <si>
    <t>● (p) 1. Stufe - LP 3 GL</t>
  </si>
  <si>
    <t>● (p) 1. Stufe - LP 3 BL</t>
  </si>
  <si>
    <t>● (p) 1. Stufe - LP 4 GL</t>
  </si>
  <si>
    <t>● (p) 1. Stufe - LP 4 BL</t>
  </si>
  <si>
    <t>● (p) 2. Stufe - LP 5 GL</t>
  </si>
  <si>
    <t>● (p) 2. Stufe - LP 5 BL</t>
  </si>
  <si>
    <t>● (p) 2. Stufe - LP 6 GL</t>
  </si>
  <si>
    <t>● (p) 2. Stufe - LP 6 BL</t>
  </si>
  <si>
    <t>● (p) 3. Stufe - LP 7 GL</t>
  </si>
  <si>
    <t>● (p) 3. Stufe - LP 7 BL</t>
  </si>
  <si>
    <t>● (p) 3. Stufe - LP8 GL</t>
  </si>
  <si>
    <t>● (p) 3. Stufe - LP8 BL</t>
  </si>
  <si>
    <t>6929.02 EKS-Bauteil A-Elbe-Kliniken-Stade-BremervörderStr111-Stade</t>
  </si>
  <si>
    <t>● Bauteil A „Bestandssanierung Bauteil A“</t>
  </si>
  <si>
    <t>6934 BSK-Funkturm-Oberauroff</t>
  </si>
  <si>
    <t>● (p) Pos.1 BSK o. Begehung</t>
  </si>
  <si>
    <t>6936 BTB-Frühlingstraß1-3-Dreieich</t>
  </si>
  <si>
    <t>● (a.N.) Pos.1 BTB Prüfung d. Machbarkeit zur Nutzung als Versammlungsstätte</t>
  </si>
  <si>
    <t>6940 BTB-Opel-Campus-OCG-Werkstr-Rüsselsheim</t>
  </si>
  <si>
    <t>● (p) BTB Stufe 1 zu Leistungen innerhalb der Exklusivitätsphase</t>
  </si>
  <si>
    <t>● (p) BTB Stufe 2 zu Leistungen innerhalb der Exklusivitätsphase</t>
  </si>
  <si>
    <t>6946 RMK-Altenheim-Fichteneck-Dr-Barner-Str-4-6-Braunlage</t>
  </si>
  <si>
    <t>● (a.N.) Räumungskonzept Klinik für Sigra</t>
  </si>
  <si>
    <t>6952.01 WindBauer-BSK-WEA-Bartow-Pfalz</t>
  </si>
  <si>
    <t>● (p) Pos.1 Erstellung eines Brandschutzkonzeptes</t>
  </si>
  <si>
    <t>6954 BSN-Sternstraße-1-3-Hanau</t>
  </si>
  <si>
    <t>● (p) Pos.1 Erstellung BSN</t>
  </si>
  <si>
    <t>● (a.N.) Pos.2 Baubegl. Brandschutzberatung+Qualitätsüberw.</t>
  </si>
  <si>
    <t>6960.03 BrunoBock-KOF-Eichholzer-Str-23-Marschacht</t>
  </si>
  <si>
    <t>● (p) Pos.1 Abnahme und Ausstellung Konformität</t>
  </si>
  <si>
    <t>6960.04 BrunoBock-BST-Umnutzung-BV53-EichholzerStr-Marschacht</t>
  </si>
  <si>
    <t>● (p) Pos. 1 Brandschutztechnische Stellungnahme</t>
  </si>
  <si>
    <t>6961.01 Neptune-Rheinhafen-Speyer-allgemeineBeratungsleistungen</t>
  </si>
  <si>
    <t>● (aN) BTB (SV)</t>
  </si>
  <si>
    <t>● (aN) BTB (CAD)</t>
  </si>
  <si>
    <t>6962 KKA-Büro-Lagerhalle-Uferstr-Karlsruhe</t>
  </si>
  <si>
    <t>● (p) Pos. 1 brandschutztechnische Beratung</t>
  </si>
  <si>
    <t>● (p) Pos. 2 BSK für Bauantrag</t>
  </si>
  <si>
    <t>● (aN) Pos. 3 Abstimmungstermin mit der Genehmigungsbehörde</t>
  </si>
  <si>
    <t>6966 FWP-Katzenbergstraße-19a-Lohr-KiTa</t>
  </si>
  <si>
    <t>● (p) Pos.2  Ermittlung Feuerlöscheinheiten</t>
  </si>
  <si>
    <t>● (a.N.) Pos.3 Brandschutztechn. Begehung</t>
  </si>
  <si>
    <t>6970 EPC-E.on-Abfallmitverbrennungsanlage-WV-Aschaffenburg</t>
  </si>
  <si>
    <t>● • (aN) Planung SV (3100-FLA-Durcharbeiten Planungskonzept)</t>
  </si>
  <si>
    <t>● • (aN) Planung CAD</t>
  </si>
  <si>
    <t>● • (aN) LP 6 Vorbereiten der Vergabe</t>
  </si>
  <si>
    <t>● • (aN) LP 7 Mitwirkung bei der Vergabe</t>
  </si>
  <si>
    <t>● • (aN) FPL-Planung 5 x autom. Wasserlöschanlage-2xTKF Silo-2xTKF Kessel-1 Austrag Silo</t>
  </si>
  <si>
    <t>● • (aN) CAD-Planung 5 x autom. Wasserlöschanlage-2xTKF Silo-2xTKF Kessel-1 Austrag Silo</t>
  </si>
  <si>
    <t>6970.01 EPC-E.on-Abfallmitverbrennungsanlage-WV-Aschaffenburg-BMA</t>
  </si>
  <si>
    <t>● (aN) Pos. 1 Grundlagenermittlung zur Erstellung BMA-Konzept</t>
  </si>
  <si>
    <t>● (aN) Pos. 2 Erstellung BMA-Konzept</t>
  </si>
  <si>
    <t>6974 IO-Diehl-Fast-Track-V2-AHO-Liegenschaft-Maasberg-Mariahütte</t>
  </si>
  <si>
    <t>● • (p) LP 1 Grundlagenermittlung</t>
  </si>
  <si>
    <t>● • (p) LP 2 Vorplanung</t>
  </si>
  <si>
    <t>● • (p) LP 3 Entwurfsplanung</t>
  </si>
  <si>
    <t>● • (p) LP 4 Genehmigungsplanung</t>
  </si>
  <si>
    <t>● • ‧ H74</t>
  </si>
  <si>
    <t>● • ‧ ‧ (p) LP 3 Entwurfsplanung</t>
  </si>
  <si>
    <t>● • ‧ ‧ ‧ SV</t>
  </si>
  <si>
    <t>● • ‧ ‧ ‧ CAD</t>
  </si>
  <si>
    <t>● • ‧ ‧ ‧ LP 5 RL</t>
  </si>
  <si>
    <t>● • ‧ ‧ ‧ LP 5 BL Unterstützung Evakuierungs-/Betreiberkonzept</t>
  </si>
  <si>
    <t>● • ‧ ‧ Verlängerung Medientunnel vorab, BAU offen</t>
  </si>
  <si>
    <t>● • ‧ ‧ LOS 1 OL LP 3</t>
  </si>
  <si>
    <t>● • ‧ ‧ LOS 1 OL LP 4</t>
  </si>
  <si>
    <t>● • ‧ LP 5 Stundendsammler vorab &gt; wird der genutzt?</t>
  </si>
  <si>
    <t>● • ‧ ENTFÄLLT? 04 Integrationsgebäude 2 ENTFÄLLT</t>
  </si>
  <si>
    <t>● • ‧ 05 Pressengebäude</t>
  </si>
  <si>
    <t>● • ‧ 06 Röntgengebäude</t>
  </si>
  <si>
    <t>● • ‧ ANG in BEA! 07 Laborgebäude</t>
  </si>
  <si>
    <t>● • ‧ 08 Gebäude f. weitere Funktionen</t>
  </si>
  <si>
    <t>● • ‧ AUF ABRUF! 09a-c Neubau Explosivstofflager (p) LP 1,2,3,4,8</t>
  </si>
  <si>
    <t>● • ‧ AUF ABRUF! 09d DINA Bunker (eh. 12DINA Bunker) (p) LP 1,2,3,4</t>
  </si>
  <si>
    <t>● • ‧ 10 DINA Gießgebäude</t>
  </si>
  <si>
    <t>● • ‧ 11 DINALaboriergebäude 1 (eh. Integrationsgebäude 3) + 12 Umschlagplatz mit Geb.</t>
  </si>
  <si>
    <t>● • ‧ 13 Integrationsgebäude RAS</t>
  </si>
  <si>
    <t>● • ‧ OL LOS 2 gesamt</t>
  </si>
  <si>
    <t>● • ‧ Neue Logistik Pforte</t>
  </si>
  <si>
    <t>● • ‧ Neue Feuerwehrzentrale</t>
  </si>
  <si>
    <t>● • ‧ Erweiterung Werkschutz</t>
  </si>
  <si>
    <t>● 0100-Anlage Projekt, Angebot, Versand, Auftrag</t>
  </si>
  <si>
    <t>6974.02 OBG-FWP-Los1-DDFT-Zum-Maasberg-Nonnweiler</t>
  </si>
  <si>
    <t>● FWP Los 1 (IG1, TZ)</t>
  </si>
  <si>
    <t>6976 Reichardt-BTB-Neckarstraße-12-16-Darmstadt</t>
  </si>
  <si>
    <t>● (a.N.) Pos.1 Brandschutztechn. Beratung</t>
  </si>
  <si>
    <t>6976.01 Reichardt-BSK-Neckarstraße12-16-Darmstadt</t>
  </si>
  <si>
    <t>● (p) Pos. 3 Brandschutztechnische Beratungsleistungen</t>
  </si>
  <si>
    <t>● NAT BSK 2024-07-29</t>
  </si>
  <si>
    <t>6980 BTB-Fitnessstudio-Zeil-72-78-Frankfurt</t>
  </si>
  <si>
    <t>● (a.N.) Pos.1 BTB Mängelbeseitugung zur Entrauchung u. Aufschaltung d. Brandmeldeanlage</t>
  </si>
  <si>
    <t>6983 Klebl-AHO-Geb329-Grafenwöhr</t>
  </si>
  <si>
    <t>● • (p) RL</t>
  </si>
  <si>
    <t>● • ‧ Sichtung Bestandsdokumentation</t>
  </si>
  <si>
    <t>● • ‧ Ortstermin zur Sichtung der Bestandssituation</t>
  </si>
  <si>
    <t>● • (p) OL</t>
  </si>
  <si>
    <t>● • ‧ SV</t>
  </si>
  <si>
    <t>● • ‧ CAD</t>
  </si>
  <si>
    <t>● • ‧ Erstellung eines Code Compliance Summary Sheet</t>
  </si>
  <si>
    <t>● • ‧ Erstellung eines Code Compliance Site Plan</t>
  </si>
  <si>
    <t>● • ‧ Teilnehmen 65% Reviewtermin</t>
  </si>
  <si>
    <t>● • ‧ Teilnehmen 95% Reviewtermin</t>
  </si>
  <si>
    <t>● • ‧ Teilnehmen 100% Reviewtermin</t>
  </si>
  <si>
    <t>6990 Brey-AHO-Kramerstr32-Memmingen</t>
  </si>
  <si>
    <t>● (p) LP 1 Grundlagenermittlung</t>
  </si>
  <si>
    <t>● (p) LP 2 Vorplanung</t>
  </si>
  <si>
    <t>● (p) LP 3 Entwurfsplanung</t>
  </si>
  <si>
    <t>● (p) LP 4 Genehmigungsplanung</t>
  </si>
  <si>
    <t>6990.01 Brey-AHO-BSN-Kramerstr32-Memmingen</t>
  </si>
  <si>
    <t>● (aN) Pos. 9 Bestätigung BSN</t>
  </si>
  <si>
    <t>6995 Telehouse-BSK-TDE-RZ-GebN-Kleyerstraße75-89-FFM</t>
  </si>
  <si>
    <t>● (aN) Pos. 1 Brandschutztechnische Beratung während der Planungsphase</t>
  </si>
  <si>
    <t>● (aN) Pos. 2 Erstellung Brandschutzkonzept</t>
  </si>
  <si>
    <t>● (p) Pos. 3 Baubegleitende Brandschutzberatung und Qualitätsüberwachung für die Durchführung der Baumaßnahme</t>
  </si>
  <si>
    <t>6997 Salco--EG-Lutherplatz1-3-Langen-HPPVO</t>
  </si>
  <si>
    <t>● (p) Pos. 1 Prüfung des Brandschutznachweises</t>
  </si>
  <si>
    <t>● (aN) Pos. 2 Überwachung u. Bescheinigung Bauausführung</t>
  </si>
  <si>
    <t>7000.01 RES-NAT-BSK-WEA-Oberrot</t>
  </si>
  <si>
    <t>● (p) Pos. 1 Anp. BSK WP Oberrot</t>
  </si>
  <si>
    <t>7002 TU-Darmstadt-FRP-FWP-El-Lissitzky-Str1-Darmstadt</t>
  </si>
  <si>
    <t>● (p) Pos. 3 Erstellung von Flucht- und Rettungsplänen für die Bauphase</t>
  </si>
  <si>
    <t>● (p) Pos. 4 Erstellung von Feuerwehrplänen für die Bauphase</t>
  </si>
  <si>
    <t>7003.01 Dechema-BSK-Theodor-Hess-Allee25-FFM</t>
  </si>
  <si>
    <t>● (aN) Pos. 1 Grundlagenermittlung</t>
  </si>
  <si>
    <t>● (aN) Pos. 3 Brandschutztechnische Beratungsleistung</t>
  </si>
  <si>
    <t>7005.01 Merck-FLA-GebN50-FrankfurterStr250-Darmstadt</t>
  </si>
  <si>
    <t>● (p) Pos. 1 Planung Austausch Schaummittel Geb. N50 - LP 1-6</t>
  </si>
  <si>
    <t>● Auftragserhöhung - LP 7+8</t>
  </si>
  <si>
    <t>7005.012 Merck-FLA-GebN50-Überarbeitung-Vordach-FrankfurterStr250-Darmstadt</t>
  </si>
  <si>
    <t>● (p) Pos. 1 Umplanung Sprinkleranlage Vordach Geb. N50</t>
  </si>
  <si>
    <t>7005.02 Merck-FLA-GebN88-FrankfurterStr250-Darmstadt</t>
  </si>
  <si>
    <t>● (p) Pos. 1 Planung Austausch Schaummittel LP1-6 GL</t>
  </si>
  <si>
    <t>● (p) Auftragserhöhung LP 7+8</t>
  </si>
  <si>
    <t>7005.03 Merck-FLA-GebN90-FrankfurterStr250-Darmstadt</t>
  </si>
  <si>
    <t>● (p) Pos. 1 Planung Austausch Schaummittel LP1-6</t>
  </si>
  <si>
    <t>7007 SigraS-FLA-Neckarspinnerei-Quartier-Wendlingen</t>
  </si>
  <si>
    <t>● (aN) Pos. 3.001 Sprinklervorplanung / LP1 Grundlagenermittlung (ANG01)</t>
  </si>
  <si>
    <t>● (aN) Pos. 3.001 Sprinklervorplanung / LP2 (NAT01)</t>
  </si>
  <si>
    <t>● (aN) NAT 2 - LP3</t>
  </si>
  <si>
    <t>7009 ADAC-BST-Moritzstr18-Wiesbaden</t>
  </si>
  <si>
    <t>7010 Dummy-Ausschreibung-FWP-div.-Schulen</t>
  </si>
  <si>
    <t>● (p) Begehungen-Aktualisierung-FWP-Erstellung FWP-div. Schulen</t>
  </si>
  <si>
    <t>7010.05 RV-FWP-Wingertstraße-33-Wölfersheim-Singbergschule</t>
  </si>
  <si>
    <t>● (p) Pos.1 Erstbegehung, Bestandsaufnahme einer weiterführenden Schule</t>
  </si>
  <si>
    <t>7014 HD-AHO-FortschrBSK-alteStallungen-ehm.CampbellBarracks-Heidelberg</t>
  </si>
  <si>
    <t>● • (p) RL LP 1-4</t>
  </si>
  <si>
    <t>● • (aN) OL LP 1-4</t>
  </si>
  <si>
    <t>● • FRP (Abrechnung in Klärung)</t>
  </si>
  <si>
    <t>● • LP 5 Abruf offen</t>
  </si>
  <si>
    <t>● • LP 8 Abruf offen</t>
  </si>
  <si>
    <t>● NORDFLÜGEL (BA 2) Abruf offen</t>
  </si>
  <si>
    <t>7015.02 HeyLagerGmbH-BAB-Garagenpark-Alzenau</t>
  </si>
  <si>
    <t>● (p) Pos. 1 BAB + KOF</t>
  </si>
  <si>
    <t>7019.03 Mankiewicz-Fortschr-BSK-Georg-Wilhelm-Straße-189-Hamburg-Halle-12</t>
  </si>
  <si>
    <t>● (p) Pos.1 Fortschr. BSK Halle 12</t>
  </si>
  <si>
    <t>7027.01 Werkhaus-NAT-BSK-Winsener-Straße-190-Hamburg</t>
  </si>
  <si>
    <t>● (p) Pos.1 NAT zum BSK</t>
  </si>
  <si>
    <t>7029 BSK-Campingplatz-Bärensee-Bruchköbel</t>
  </si>
  <si>
    <t>● (a.N.) Pos.1 Bestandserfassung</t>
  </si>
  <si>
    <t>● (a.N.) Pos.2 Brandschutzkonzept Texteil 6-fach</t>
  </si>
  <si>
    <t>● (a.N.) Pos.3 Brandschutzkonzept Planteil 6-fach</t>
  </si>
  <si>
    <t>● (a.N.) Beratungsleistung / Abstimmung</t>
  </si>
  <si>
    <t>7029.01 BSO-Campingplatz-Bärensee-Bruchköbel</t>
  </si>
  <si>
    <t>● (aN) Pos.1 Erstellen einer BSO in den Teilen A, B und C</t>
  </si>
  <si>
    <t>7029.02 WiBe-FWP-Campingplatz-Bärensee-Bruchköbel</t>
  </si>
  <si>
    <t>7030.01 BASF-PLA-Trennung-Wandhydranten-Löschkanonen-GebF616-Carl-Bosch-Str38-LUD</t>
  </si>
  <si>
    <t>● Pos. 1 Leistungsphase 2 (Vorplanung) 8,8% von 9%</t>
  </si>
  <si>
    <t>● Pos. 2 Leistungsphase 3 (Entwurfsplanung) 16,85 von 17%</t>
  </si>
  <si>
    <t>● Pos. 3 Leistungsphase 5 (Ausführungsplanung) 17,5 % von 22%</t>
  </si>
  <si>
    <t>● Pos. 4 Optional: Leistungsphase 6 (Vorbereiten der Vergabe)</t>
  </si>
  <si>
    <t>● Pos. 5 Auftragsbearbeitung</t>
  </si>
  <si>
    <t>7040 Fraunhofer-AHO-BSK-ISE-Freiburg-Neubau-Hykos</t>
  </si>
  <si>
    <t>● • (p) LP 1/LP 2 Vorplanung</t>
  </si>
  <si>
    <t>● • NAT 01 (p) Pos. 1 Wdh-Leistungen LPH 2</t>
  </si>
  <si>
    <t>● • NAT 02 (aN) LP2 Hykos+H2T (Beratung a.N. bis Ausschreibung beauftragt)</t>
  </si>
  <si>
    <t>● • (p) LP 5 Ausführungsplanung</t>
  </si>
  <si>
    <t>● • ‧ ING</t>
  </si>
  <si>
    <t>● 1. Nachtragsvertrag (HAZOP)</t>
  </si>
  <si>
    <t>● • ‧ ADM</t>
  </si>
  <si>
    <t>7040.01 Fraunhofer-SIK-Neubau-HAZOP-Freiburg</t>
  </si>
  <si>
    <t>● • (p) Pos. 1 Erstellung einer Sicherheitsstudie (HAZOP)</t>
  </si>
  <si>
    <t>● • (p) Pos. 2 SIL-Klassifizierung von identifizierten Sicherheitsabschaltung 550€/pro SIL-Schaltung</t>
  </si>
  <si>
    <t>● • (p) Pos. 3 Ortstermine 3.200€/pro Ortstermin</t>
  </si>
  <si>
    <t>7041 Bösch-BSN-Hofham39-BadEndorf</t>
  </si>
  <si>
    <t>● (aN) Pos. 1 Darstellung brandschutztechnischer Anforderungen</t>
  </si>
  <si>
    <t>● (aN) Pos. 2 optional: Beratungsleistung in der Ausführungsplanung</t>
  </si>
  <si>
    <t>● (aN) Pos. 3 optional: Beratungsleistung während der Bauphase</t>
  </si>
  <si>
    <t>7042 EDAG-BTB-AmNordring32-Muenchen</t>
  </si>
  <si>
    <t>7051.05 Schmees-RV-BSK-Funkturm-Dortmunder-Straße-Unna</t>
  </si>
  <si>
    <t>● (p) Pos.1 BSK für Beton+Stahlgittermasten ohne Begehung</t>
  </si>
  <si>
    <t>7051.06 Schmees-RV-BSK-Funkturm-Binnerfeld-51-Arnsberg-Neheim-61</t>
  </si>
  <si>
    <t>7052 BTB-Grüneburgweg-2-Frankfurt</t>
  </si>
  <si>
    <t>● (a.N.) Pos.1 BTB Abtrennung i.Verl.d. Brandwand</t>
  </si>
  <si>
    <t>7053 Syna-BSN-Brüningstr3,5,7-Frankfurt</t>
  </si>
  <si>
    <t>● (aN) Pos. 1 Erstellung einer Machbarkeitsstudie / Brandschutznachweis</t>
  </si>
  <si>
    <t>● (aN) Pos. 2 Brandschutztechnische Baubegleitung / Abnahme</t>
  </si>
  <si>
    <t>7059 Karadag-HPPVO-KönigsteinerStr196-Frankfurt</t>
  </si>
  <si>
    <t>●  (p) Pos. 1 Prüfung und Bescheinigung des Nachweises des vorbeugenden Brandschutzes</t>
  </si>
  <si>
    <t>● • (aN) NAT 2024-07-06 auf Nachweis</t>
  </si>
  <si>
    <t>● (p + aN) Pos. 2 Überwachung und Bescheinigung der übereinstimmenden Bauausführung</t>
  </si>
  <si>
    <t>7061 Equinix-BAB-Lärchenstr139-Ffm-FR8-P.1</t>
  </si>
  <si>
    <t>● (a.N.) Pos.1 BAB-Construction supervision and fire safety consulting FR8 P.1</t>
  </si>
  <si>
    <t>7061.01 Equinix-BAB-Lärchenstr139-Ffm-FR8-2</t>
  </si>
  <si>
    <t>● (a.N.) Pos.2 Construction supervision and fire safety consulting FR8.2</t>
  </si>
  <si>
    <t>7063 BSN-Bachgrundstraße-22-Biedenkopf-Seniorenwohnanlage</t>
  </si>
  <si>
    <t>● (a.N.) Pos.3 Baubegleitende Brandschutzberatung+Qualitätsüberw.</t>
  </si>
  <si>
    <t>● (aN) Pos.2 Erarbeiten v. BSK - BAU 2025-01-16</t>
  </si>
  <si>
    <t>7065 LBB-IO-AHO-NB-Schießhauskomplex-(BHMH)-Smith-Barracks-Baumholder</t>
  </si>
  <si>
    <t>● (p) LP 1</t>
  </si>
  <si>
    <t>7066.01 Fraport-RV-NAT01-BSK-Vorfeld-Geb396</t>
  </si>
  <si>
    <t>● (aN) Pos. 1 Erstellung BSK (SV)</t>
  </si>
  <si>
    <t>● (aN) Pos. 2 Erstellung BSK-Pläne (CAD)</t>
  </si>
  <si>
    <t>● (aN) Pos. 3 - Erstellung BMA-Konzept (SV)</t>
  </si>
  <si>
    <t>7066.02 Fraport-FLA-Geb-396-Vorfeld</t>
  </si>
  <si>
    <t>● (p) PS 1: Grundlagenermittlung</t>
  </si>
  <si>
    <t>● (p) PS 2 Vorplanung</t>
  </si>
  <si>
    <t>● (p) PS 3 Entwurfsplanung</t>
  </si>
  <si>
    <t>● (p) PS 5: Ausführungsplanung</t>
  </si>
  <si>
    <t>● (p) PS 6 Vorbereitung der Vergabe</t>
  </si>
  <si>
    <t>● (p) PS 7 Mitwirkung bei der Vergabe</t>
  </si>
  <si>
    <t>● (p) PS 8 Objektüberwachung</t>
  </si>
  <si>
    <t>● (p) PS 9 Objektbetreuung</t>
  </si>
  <si>
    <t>7067.01 BTB-Pfingstweidstraße-3-Frankfurt</t>
  </si>
  <si>
    <t>● (a.N.) Pos. 1 BTB zur Thematik Leagalisierung der BM</t>
  </si>
  <si>
    <t>7068 BKS-DB-uPva-Fernbahntunnel-Ffm-Hbf</t>
  </si>
  <si>
    <t>● (aN) A.1.0 Erst./ Fortschr. BSK gem. Leitfaden Anford. DB S&amp;S AG an ganzheitl. BSK f. PVA</t>
  </si>
  <si>
    <t>● (p) A 1.3 Bestandserfassung vor Ort und Auswertung Bauakten/ Brandschutzakten</t>
  </si>
  <si>
    <t>● (aN) A 1.4  Einarbeitung Planungsergebnisses (Inhalt BSK) in BIM-Gesamtmodell + Fachmodelle</t>
  </si>
  <si>
    <t>● (p) A 1.5 Erst. brandschutztechn.Fachmodells (Ersatzposition für BIM zu A.1.2) (bis zu 5Stck)</t>
  </si>
  <si>
    <t>● (p) A 2.2 Evak.konzep/Erm.rechn. sicher evakuierbaren Max.personenanzahl (bis zu 5 Konzepte)</t>
  </si>
  <si>
    <t>● (p) A 3.0 Erarbeitung mehrerer Brandsimulationen (bis zu 20 Stck.)</t>
  </si>
  <si>
    <t>● (p) A 3.1 Erarbeiten mehrerer Entrauchungskonzepte (bis zu 5stck)</t>
  </si>
  <si>
    <t>● (p/aN) Leistungsphase 1: Grundlagenermittlung</t>
  </si>
  <si>
    <t>● (p/aN) Leistungsphase 2: Vorplanung</t>
  </si>
  <si>
    <t>7069 BSK-Funkturm-Heidenroth-Zorn</t>
  </si>
  <si>
    <t>● (p) Pos.1 BSK für Beton und Stahlgittermasten mit Technikgebäude</t>
  </si>
  <si>
    <t>7070.08 Abel-RV-FWP-Riedöschingen</t>
  </si>
  <si>
    <t>● (p) Pos.3 aus RV FWP (</t>
  </si>
  <si>
    <t>7070.10 RV-BSK-Funkturm-Thannhausen-STORNO</t>
  </si>
  <si>
    <t>● (p) Pos.1 BSK für Beton und Stahlgittermasten ohne Begehung</t>
  </si>
  <si>
    <t>7070.12 RV-FWP-Funkturm-Mönchweiler</t>
  </si>
  <si>
    <t>● (p) Pos.3 RV Erstellung FWP</t>
  </si>
  <si>
    <t>7070.13 RV-FWP-Funkturm-Furtwangen</t>
  </si>
  <si>
    <t>7072 Renner-Gemüsebau-BSK-Neustadter-Str95-Mutterstadt</t>
  </si>
  <si>
    <t>● (aN) Pos. 1 Ortstermin + Abstimmungstermine sowie BTB (beide Gebäude)</t>
  </si>
  <si>
    <t>● (p) Pos. 2 Erstellung BSK (Werkstattgebäude)</t>
  </si>
  <si>
    <t>● (p) Pos. 3 Erstellung BSK (Verwaltungsgebäude)</t>
  </si>
  <si>
    <t>● noch nicht beauftragt: (aN) Pos. 4 BAB (Werkstattgebäude)</t>
  </si>
  <si>
    <t>● noch nicht beauftragt: (aN) Pos. 5 BAB (Verwaltungsgebäude)</t>
  </si>
  <si>
    <t>● noch nicht beauftragt: (p) Pos. 6 opt.:Erstellung Brandfallsteuertabelle (Verwaltungsgebäude)</t>
  </si>
  <si>
    <t>7072.01 Renner-Gemüsebau-FUR-NeustadterStr95-Mutterstadt</t>
  </si>
  <si>
    <t>● • (p) Pos. 1 FUR (Neubau Werkstattgebäude)</t>
  </si>
  <si>
    <t>● • (p) Pos. 2 FUR (Neubau Verwaltungsgebäude)</t>
  </si>
  <si>
    <t>7073 BSK-Jahnstraße-Seligenstadt-NB-Mehrzweckhalle</t>
  </si>
  <si>
    <t>● (p) Pos.1 LP 1-4 Erstellen BSK</t>
  </si>
  <si>
    <t>● (p) Pos.2  -Teilnahme an Online-Besprechungen und Teilnahme an Ortsterminen</t>
  </si>
  <si>
    <t>● (a.N.) Pos.3 BTB in der Ausführungsplanung LP5 (Optional beauftragt)</t>
  </si>
  <si>
    <t>7076 AHO-GP-MOW-SEF-Goldsteinstraße-238-Frankfurt-Lagerhalle</t>
  </si>
  <si>
    <t>● (a.N.) Pos.1 Optionale Lstg.-BTB Lagerhalle</t>
  </si>
  <si>
    <t>● (p) Pos.2 - LPH 3-Entwurfsplanung</t>
  </si>
  <si>
    <t>● (p) Pos.3 - LPH 4-Genehmigungsplanung</t>
  </si>
  <si>
    <t>● (p) Pos.4 LPH 5 Ausführungsplanung</t>
  </si>
  <si>
    <t>7076.01 AHO-GP-MOW-SEF-Goldsteinstraße-238-Frankfurt-Fahrzeughalle</t>
  </si>
  <si>
    <t>● (a.N.) Pos.1 Optionale Leistungen BTB-Fahrzeughalle</t>
  </si>
  <si>
    <t>7076.02 BTB-Goldsteinstraße-238-Frankfurt-Büro-Werkstatt</t>
  </si>
  <si>
    <t>● (a.N.) Pos.1 Optionale Leistungen BTB-Büro-Werkstatt</t>
  </si>
  <si>
    <t>● Pos.2 - LPH 3-Entwurfsplanung</t>
  </si>
  <si>
    <t>7080 BSK-Albert-Einstein-Schule-Berliner-Allee-90-Langen</t>
  </si>
  <si>
    <t>● LP 1 - GL</t>
  </si>
  <si>
    <t>● LP 2 - GL +  NAT zur LPH 2 aufgrund v. Wiederholungsleistungen</t>
  </si>
  <si>
    <t>● LP 3 - GL</t>
  </si>
  <si>
    <t>● LP 4 - GL</t>
  </si>
  <si>
    <t>● LP 5 - GL</t>
  </si>
  <si>
    <t>● LP 8 - GL</t>
  </si>
  <si>
    <t>● LP 2 - BL</t>
  </si>
  <si>
    <t>● LP 3 - BL</t>
  </si>
  <si>
    <t>● LP 5 - BL</t>
  </si>
  <si>
    <t>● LP 6 - BL</t>
  </si>
  <si>
    <t>● LP 8 - BL</t>
  </si>
  <si>
    <t>● (p) Pos.1 Erstellung BSK + NT 01 zur Containeranlage Schule</t>
  </si>
  <si>
    <t>● (aN) Pos.2 BAB + Qualitätsüberwachung Durchführung BM</t>
  </si>
  <si>
    <t>7081.01 SCH-Gutleutstraße-231-Frankfurt-Schulung-Mainova</t>
  </si>
  <si>
    <t>● (p) Pos. 1 Seminar/1-Tageskurs -  Feuerschutzabschlüsse</t>
  </si>
  <si>
    <t>7082.01 Fletzinger-FRP-FWP-Hotel-Fletzinger-Fletzingerstr3-Wasserburg</t>
  </si>
  <si>
    <t>● (aN) Pos. 1 Rettungswegplan für Zimmer</t>
  </si>
  <si>
    <t>● (aN) Pos. 2 Feuerwehrpläne</t>
  </si>
  <si>
    <t>● (aN) Pos. 3 Flucht- und Rettungspläne</t>
  </si>
  <si>
    <t>7086 ICP-BSN-St-Quirin-Str19-SÜD-München</t>
  </si>
  <si>
    <t>7086.01 ICP-BSN-St-Quirin-Str19-NORD-München</t>
  </si>
  <si>
    <t>● (p) Pos. 1 LPH 1 Grundlagenermittlung</t>
  </si>
  <si>
    <t>● (p) Pos. 2 LPH 2 Vorplanung</t>
  </si>
  <si>
    <t>7086.02 ICP-BTB-Erw-Aufzug-oAnbau-StQuirinStr19-MUC</t>
  </si>
  <si>
    <t>7087 Raiffeisen-RE-HPPVO-LudwigshafenerStr1-Dannstadt</t>
  </si>
  <si>
    <t>● (aN) Pos. 1 Prüfung eines Brandschutzkonzeptes</t>
  </si>
  <si>
    <t>7089.01 Apleona-FRP-Prüfung-An-der-Gehespitz-50-Neu-Isenburg</t>
  </si>
  <si>
    <t>● • (aN) Pos. 1 Überprüfung Gültigkeit (CAD</t>
  </si>
  <si>
    <t>● • (p) Pos. 3 Auftragsbearbeitung (ADM</t>
  </si>
  <si>
    <t>● • Pos. 2 Flucht- und Rettungsplan, Preis pro Plan, 1 Stk. 175€</t>
  </si>
  <si>
    <t>7090.01 Baupionier-BSK-Garagenpark-Eckersmühlen</t>
  </si>
  <si>
    <t>● (p) Pos. 2 Erstellung Brandschutzkonzept</t>
  </si>
  <si>
    <t>7090.02 Baupionier-BSK-Garagenpark-Erlangen</t>
  </si>
  <si>
    <t>● (p) Pos. 1 Abstimmungstermin Behörde</t>
  </si>
  <si>
    <t>7094 BSK-NorthC-Rechenzentrum-FRA1-Mainzer-Landstraße-695-Ffm</t>
  </si>
  <si>
    <t>● (a.N.) BTB in Vor-, Entwurfs- u. Genehmigungsplanung</t>
  </si>
  <si>
    <t>7096 BAB-Alt-Niedereschbach-15-Frankfurt</t>
  </si>
  <si>
    <t>● (a.N.) Pos.1 BTB</t>
  </si>
  <si>
    <t>7097 Fraport-Casa-BSN-Rheinallee31-Flörsheim</t>
  </si>
  <si>
    <t>● (p) Pos. 1 Erstellung eines Brandschutznachweises (GK4) (6-fach)</t>
  </si>
  <si>
    <t>● (aN) Pos. 2 LP8 Objektüberwachung</t>
  </si>
  <si>
    <t>7098 Hinterseer-WEG-BTB-Wachtelweg2-München</t>
  </si>
  <si>
    <t>7099 GemObersulm-AHO-Grundschule-Affaltrach-Obersulm</t>
  </si>
  <si>
    <t>● ANG 24-02-13 AUS-AHO</t>
  </si>
  <si>
    <t>● ANG-AHO-002-2025-05-15-Gesamtbetrachtung</t>
  </si>
  <si>
    <t>7099.01 GemObersulm-Anp-BSK-Grundschule-Affaltrach-Obersulm</t>
  </si>
  <si>
    <t>● Anpassung BSK - ANG in BEA</t>
  </si>
  <si>
    <t>7100 Dummy-RV-Funkturm-Cteam</t>
  </si>
  <si>
    <t>● (p) Pos.2 BSK für Funkanlagen im Gebäude</t>
  </si>
  <si>
    <t>● (p) Pos.3 FWP</t>
  </si>
  <si>
    <t>● (p) Pos.4 Schlussbescheinigung</t>
  </si>
  <si>
    <t>● (p) Pos.5 Begehung Spez. BV / Objektbegehung Fahrtstrecke bis 400 km</t>
  </si>
  <si>
    <t>● (p) Pos.6 Begehung Spez. BV / Objektbegehung Fahrtstrecke ab 400 km</t>
  </si>
  <si>
    <t>7100.04 RV-KOF-Funkturm-Pfullendorf</t>
  </si>
  <si>
    <t>● (p) Pos.4 KOF / Schlussbescheinigung</t>
  </si>
  <si>
    <t>7100.05 RV-KOF-Funkturm-Wutöschingen-Willmendingen</t>
  </si>
  <si>
    <t>7100.06 RV-KOF-Mobilfunkmast-Malsch-Rettigheim</t>
  </si>
  <si>
    <t>7100.07 RV-KOF-Mobilfunkmast-KA-Im-Schlehert</t>
  </si>
  <si>
    <t>7100.08 RV-KOF-Funkturm-Weingarten</t>
  </si>
  <si>
    <t>7100.09 RV-KOF-Funkturm-Crailsheim-Tiefenbach</t>
  </si>
  <si>
    <t>7100.10 RV-KOF-Funkturm-Walluf-Bahnlinie</t>
  </si>
  <si>
    <t>7102 KAEP-KKH-Freiberg-AEP</t>
  </si>
  <si>
    <t>● a.N.) Pos.1 Erstellung Risikoanalyse und AEP-Struckturanalyse</t>
  </si>
  <si>
    <t>7104.01 BMS2-Überarbeitung-BSN-Friedenstr19a-Germering</t>
  </si>
  <si>
    <t>● (p) Pos. 7 weitere Leistungen, hier: Überarbeitung BSN</t>
  </si>
  <si>
    <t>7108 BTB-Taunushalle-Oberstedten-Heizungs-Lüftungsanlage</t>
  </si>
  <si>
    <t>● (a.N.) Pos.1 BTB Erneuerung Heizungs- und Lüftungsanlage</t>
  </si>
  <si>
    <t>● (p) Pos.2 Erstellung BSK (Planungsbespr. max. 3 Termine)</t>
  </si>
  <si>
    <t>● (a.N.) Pos.3 BAB</t>
  </si>
  <si>
    <t>7108.01 BSK-Taunushalle-Oberstedten</t>
  </si>
  <si>
    <t>● (aN) Pos.1 Erstellung eines ganzheitlichen BSK</t>
  </si>
  <si>
    <t>7109.01 BSN-Portstraße-Hohemarkstraße-18-Oberursel-Jugend-Cafe</t>
  </si>
  <si>
    <t>● (p) Pos.2 Optional: Erstellung Brandschutzpläne</t>
  </si>
  <si>
    <t>● (aN) Pos.3 BAB</t>
  </si>
  <si>
    <t>7111 VGP-Park-AHO-HalleD-Wallbergstr3-Baldham</t>
  </si>
  <si>
    <t>● Brandschutzkonzept</t>
  </si>
  <si>
    <t>7111.02 VGP-Park-BTB-Gruberstr-Vaterstetten</t>
  </si>
  <si>
    <t>● (aN) Pos. 1 Anpassung der Brandschutzpläne (CAD)</t>
  </si>
  <si>
    <t>● (aN) Pos. 2 Anpassung der Brandschutzpläne Mieterausbau (CAD)</t>
  </si>
  <si>
    <t>● (aN) Pos. 3 Anpassung des Brandschutznachweises (SV</t>
  </si>
  <si>
    <t>● (aN) Pos. 4 Brandschutztechnische Beratungsleistung in der Ausführungsplanung (SV)</t>
  </si>
  <si>
    <t>7112 BSN-Stolzestraße-56-Neu-Isenburg</t>
  </si>
  <si>
    <t>● (p) Pos.1 BSN zum Dachgeschossausbau</t>
  </si>
  <si>
    <t>7115 DB-RVE-BSK-BHF-Attilastraße-Berlin-PVA</t>
  </si>
  <si>
    <t>● (p) Pos. 01.16.03 aus RVE-BSK Personenverkehrsanlagen (PVA) m. Geb. der Geb-Klasse3</t>
  </si>
  <si>
    <t>7117.01 Juwi-WEA-Polch-II-Tektur</t>
  </si>
  <si>
    <t>● (aN) Tektur BSK Polch II (Abruf RV 2024)</t>
  </si>
  <si>
    <t>7118 Bau+Service-BSK-FFW-Mitte-Marxstr24-Oberursel</t>
  </si>
  <si>
    <t>● (aN) Pos. 3  BTB inkl. 1 Objektbegehung</t>
  </si>
  <si>
    <t>7119 Bau+Service-BSK-FFW-Bommersheim-KalbacherStr10-12-Oberursel</t>
  </si>
  <si>
    <t>● (p) Pos.1 BSK (45h SV / 25h CAD) 7.275€ / 8.400€</t>
  </si>
  <si>
    <t>7120 Bau+Service-BSK-FFW-Oberstedten-NiederstedterStr12-Oberursel</t>
  </si>
  <si>
    <t>7121 Bau+Service-BSK-FFW-Stierstadt-Gartenstr5-Oberursel</t>
  </si>
  <si>
    <t>7123 Ehret+Klein-REWE-Ridlerstr37-München</t>
  </si>
  <si>
    <t>● (p) Pos. 1 Fortschreibung des Brandschutznachweises</t>
  </si>
  <si>
    <t>7123.02 BTB-FRP-REWE-Ridlerstr37-39-München</t>
  </si>
  <si>
    <t>● (aN) Pos 1. Brandschutztechnische Beratungsleistung im Zuge der Ausführungsplanung</t>
  </si>
  <si>
    <t>● (aN) Pos 9. Flucht- und Rettungspläne</t>
  </si>
  <si>
    <t>7123.03 BSN-Ridlerstr35-37-München</t>
  </si>
  <si>
    <t>● (aN) Pos. 1 BTB inkl. BSN (SV)</t>
  </si>
  <si>
    <t>7124 BSK-Hanon-Georg-Schaeffler-Str3-Bad Homburg</t>
  </si>
  <si>
    <t>● (p) Pos.1 Erstellung BSK Errichtung Photovoltaikanlage auf Dachfläche</t>
  </si>
  <si>
    <t>● (a.N.) Pos.2 Baubegl. Brandschutzberatung +Qualitätsüberwachung</t>
  </si>
  <si>
    <t>7125 Renner-NeustadterStr95-Mutterstadt (Fortsetzung aus #2505)</t>
  </si>
  <si>
    <t>7126 Renner-Gemüsebau-BSB-NeustadterStr95-Mutterstadt</t>
  </si>
  <si>
    <t>● (aN) BSB 2024 (ab 1.1.24, unbefr. Verlängerung)</t>
  </si>
  <si>
    <t>7126.02 Renner-Gemüsebau-BSB-NeustadterStr95-Mutterstadt</t>
  </si>
  <si>
    <t>7127 ARGE-Schönhofviertel-Baufeld G-ZechBau-Morsestr. 25-FFM</t>
  </si>
  <si>
    <t>● (p) Pos. 1 LPH 5 Ausführungsplanung</t>
  </si>
  <si>
    <t>● (p) Pos. 4 LPH 8 Objektüberwachung</t>
  </si>
  <si>
    <t>● (aN) Pos.1.1  NAT LP5 zusätzl. Ingenieurstd. i.R.d. LP5</t>
  </si>
  <si>
    <t>7128 BSK-Segmüller-Neumarkt-1-Oberhausen</t>
  </si>
  <si>
    <t>● (p) Pos.1 BSK Verkaufsstätte für Bestandstandsgebäude</t>
  </si>
  <si>
    <t>● (p) Pos.2 BSK TG</t>
  </si>
  <si>
    <t>● (a.N.) Pos.3 Brandschutztechnische Beratungsleistung</t>
  </si>
  <si>
    <t>● (p) Pos.5  FWP</t>
  </si>
  <si>
    <t>● (p) Pos.6 Bestandsaufnahme  FWP+FRP</t>
  </si>
  <si>
    <t>7129 BSK-Grundschule-Schöne-Aussicht-17-Kronberg</t>
  </si>
  <si>
    <t>● (a.N.) Pos.2 BAB über die Ausführung von Brandschutzmaßnahmen</t>
  </si>
  <si>
    <t>7130 AECOM-Projekte</t>
  </si>
  <si>
    <t>● Fahrzeuginstandsetzungshalle-Baumholder</t>
  </si>
  <si>
    <t>● ETMN-project-of-NVY-P-8A-SIM-MOD-Nordholz</t>
  </si>
  <si>
    <t>● Post-Office-Ansbach &gt; STORNIERT</t>
  </si>
  <si>
    <t>● Wash-Station-Hohenfels</t>
  </si>
  <si>
    <t>● US-Liegenschaft Ansbach/Urlas</t>
  </si>
  <si>
    <t>7130.02 ITR-UPH-95-Phase-Barrack-Baumholder</t>
  </si>
  <si>
    <t>● • Prüfung 95% -Phase</t>
  </si>
  <si>
    <t>7130.03 Brandschutzplanung-Pulaski-Barracks</t>
  </si>
  <si>
    <t>● (aN) Teilnahme Besprechungen</t>
  </si>
  <si>
    <t>● (aN) Brandschutzplanung (BSK) inkl. Pläne</t>
  </si>
  <si>
    <t>● (aN) Teilnahme Charette (vor Ort)</t>
  </si>
  <si>
    <t>● (aN) Code Compliance Matrix (SV 15h)</t>
  </si>
  <si>
    <t>● (aN) Design Analysis (SV 10h)</t>
  </si>
  <si>
    <t>● (aN) 15% Design</t>
  </si>
  <si>
    <t>● (aN) 35 % Design</t>
  </si>
  <si>
    <t>● (aN) 65 % Abgabe</t>
  </si>
  <si>
    <t>● (aN) 95 % Design Abgabe</t>
  </si>
  <si>
    <t>● (aN) 100 % Design Abgabe</t>
  </si>
  <si>
    <t>7131 CZ-FLA-LAK-KVA1289-Lagerliftsystem-RudolfEberStr2-Oberkochen</t>
  </si>
  <si>
    <t>● Pos. 1 Ausführungsplanung (ANG 24-05-02)</t>
  </si>
  <si>
    <t>● Pos. 1 Umbauten H 3.1 TE-Nachtrag-E03, Halle 3.1 (NAT 24-08-12)</t>
  </si>
  <si>
    <t>7135 MD-SolidBau-HPPVO-Goethestr112-114-Münster</t>
  </si>
  <si>
    <t>● (aN) Pos. 1 Prüfung und Bescheinigung des Nachweises des vorbeugenden Brandschutzes auf Vollständigkeit und Richtigkeit</t>
  </si>
  <si>
    <t>● (aN) Pos. 2 Überwachung und Bescheinigung der übereinstimmenden Bauausführung mit dem bescheinigten Nachweis des vorbeugenden Brandschutze</t>
  </si>
  <si>
    <t>7137 Stadt-Lahnstein-AHO-Schillerstr1-Schillerschule-Lahnstein</t>
  </si>
  <si>
    <t>● • LP 1 Grundlagenermittlung/GL</t>
  </si>
  <si>
    <t>● • LP 2 Vorplanung/GL</t>
  </si>
  <si>
    <t>● • LP 3 Entwurfsplanung/GL</t>
  </si>
  <si>
    <t>● • LP 4 Genehmigungsplanung/GL</t>
  </si>
  <si>
    <t>● • LP 5 noch nicht abgerufen</t>
  </si>
  <si>
    <t>● • LP 8 noch nicht abgerufen</t>
  </si>
  <si>
    <t>● • LP 6 optional</t>
  </si>
  <si>
    <t>● • LP 7 optional</t>
  </si>
  <si>
    <t>● • (p) Unterstützung bei der Bedarfsplanung nach DIN 18205</t>
  </si>
  <si>
    <t>● • (aN) Prüfen und Werten von Nebenangeboten nach Bedarf</t>
  </si>
  <si>
    <t>● • (aN) Überwachung der Mangelbeseitigung innerhalb der Verjährfristen nach Bedarf</t>
  </si>
  <si>
    <t>● • (aN?) Dreidimensionale Darstellung IFC-Dateien</t>
  </si>
  <si>
    <t>● • (p) Dokumentation jedes Baustellenbesuchs während der Bauzeit/Bautagebuch?</t>
  </si>
  <si>
    <t>● • (p) Zusendung der aktuellen und freigegebenen Pläne in Papierform (4-fach)/pdf/DWG-Dateien</t>
  </si>
  <si>
    <t>● • (p) Teilnahme an Sitzungsterminen (Ratssitzungen, Ausschusssitzungen und  Bürgerinformationen) für mind. 10 Termine</t>
  </si>
  <si>
    <t>7137.01 Stadt-Lahnstein-BSK-Container-Schillerschule-Schillerstr1-Lahnstein</t>
  </si>
  <si>
    <t>● (aN) Pos. 1 Ortstermin, Abstimmungstermine + BTB</t>
  </si>
  <si>
    <t>● (aN) Pos. 3 Erstellung BSK-Pläne</t>
  </si>
  <si>
    <t>7140 HochTief-AHO-YEXIO-DC-2-Bad Lippspringe</t>
  </si>
  <si>
    <t>● (p) Pos.1 - 2.2.1 LP1 Regelleistungen</t>
  </si>
  <si>
    <t>● (p) Pos.2 - 2.2.2 LP2 Regelleistungen</t>
  </si>
  <si>
    <t>● (p) Pos.3 - 2.2.4 LP3 Regelleistungen</t>
  </si>
  <si>
    <t>● (p) Pos.4 - 2.2.6 LP4 Regelleistungen</t>
  </si>
  <si>
    <t>● (p) Pos.5 - 2.2.8 LP5 Regelleistungen</t>
  </si>
  <si>
    <t>7140.01 HochTief-LP8-YEXIO-DC-2-Bad Lippspringe</t>
  </si>
  <si>
    <t>● (p) Pos.8 a) - 2.2.12 LP8  RL</t>
  </si>
  <si>
    <t>7141.01 BAB-Wolff-Knippenberg-Str.1a-Amt Wachsenburg</t>
  </si>
  <si>
    <t>● (a.N.) Pos.1.001 - LP 5 Ausführungsplanung</t>
  </si>
  <si>
    <t>● (p) Pos.1.002 LP 8 - Begehungstermin</t>
  </si>
  <si>
    <t>● (p) Pos.1.003 LP 8 - Sichtung Eignungsnachweise Niveau 1</t>
  </si>
  <si>
    <t>● (p) Pos. 1.004 LP 8 - Statusbericht/Abschlussbericht Niveau 1</t>
  </si>
  <si>
    <t>7142 BTB-Herderweg-8-Gießen-Stromversorgung</t>
  </si>
  <si>
    <t>● (a.N.) BTB Bewertung von Elektroarbeiten und Stromversorgung</t>
  </si>
  <si>
    <t>7144 Stadt-Herzberg-diverse-Kita</t>
  </si>
  <si>
    <t>7144.02 Stadt Herzberg-BSK-Kita-Flax-und-Krümel- Karl-Liebknecht-Str50-Herzberg</t>
  </si>
  <si>
    <t>● Kita-Flax-und-Krümel</t>
  </si>
  <si>
    <t>7144.03 Stadt Herzberg-BSK-Kita-Spatzennest-Friedrich-Engels-Str23-Herzberg</t>
  </si>
  <si>
    <t>● Kita-Spatzennest</t>
  </si>
  <si>
    <t>7144.04 Stadt Herzberg-BSK-Kita-Löwenzahn-Hauptstr17-Herzberg</t>
  </si>
  <si>
    <t>● Kita-Löwenzahn</t>
  </si>
  <si>
    <t>7144.05 Stadt Herzberg-BSK-Kita-Gänseblümchen-Gräfendorfer-Str21-Herzberg</t>
  </si>
  <si>
    <t>● Kita-Gänseblümchen</t>
  </si>
  <si>
    <t>7145 BSB-E-Lyte-Werner-Heisenberg-Str-1-Kaiserslautern</t>
  </si>
  <si>
    <t>● 9307-Brandschutzbeauftragter 1. Begehung....</t>
  </si>
  <si>
    <t>● 9308-Brandschutzbeauftragter 2. Begehung....</t>
  </si>
  <si>
    <t>7145.01 BSB-E-Lyte-Werner-Heisenberg-Str-1-Kaiserslautern</t>
  </si>
  <si>
    <t>7146 AHO-Siemensstraße-14-Nehringstraße-2-Bad-Homburg</t>
  </si>
  <si>
    <t>● (p) Pos.1 a) - LP1 - Grundlagenermittlung - RL</t>
  </si>
  <si>
    <t>● (p) Pos.1 b) - LP1 - Grundlagenermittlung - OL + Objektbegehung</t>
  </si>
  <si>
    <t>● (p) Pos.2 - LP2 - Vorplanung - RL</t>
  </si>
  <si>
    <t>● (p) Pos.3 - LP3 - Entwurfsplanung - RL</t>
  </si>
  <si>
    <t>● (p) Pos.4  - LP4 - Genehmigungsplanung - RL</t>
  </si>
  <si>
    <t>● (p) Pos.5 - LP5 - Ausführungsplanung - RL</t>
  </si>
  <si>
    <t>● (p) Pos.8 - LP8 - Objektüberwachung - RL</t>
  </si>
  <si>
    <t>7146.01 NAT-BSK-Siemensstraße-14-Nehringstraße-2-Bad-Homburg-1.OG</t>
  </si>
  <si>
    <t>● (p) Pos.1 Erstellung BSK BM 1.OG</t>
  </si>
  <si>
    <t>● (aN) BAB mit Qualitätsüberwachung</t>
  </si>
  <si>
    <t>7148 CZ-FLA-LAK-KVA-1257-Sprinklerplanung-Rüstplätze</t>
  </si>
  <si>
    <t>● (aN) Pos. 1 Bestandsaufnahme</t>
  </si>
  <si>
    <t>● (aN) Pos. 2 Ausführungsplanung</t>
  </si>
  <si>
    <t>7149 UniImmo-BTB-TG-Wartungspodest-SchwanthalerStr35-37-München</t>
  </si>
  <si>
    <t>7149.01 UniImmo-BTB-TG-TDD-Mängel-SchwanthalerStr35-37-München</t>
  </si>
  <si>
    <t>● (aN) Pos. 1 BTB d. Bauherrn hinsichtlich der von Käuferseite festgestellten Mängel</t>
  </si>
  <si>
    <t>7149.02 UniImmo-BTB-TG-Bestandsuntersuchung-SchwanthalerStr35-37-München</t>
  </si>
  <si>
    <t>● (aN) Pos. 1 Durchführung von Bauteilöffnungen</t>
  </si>
  <si>
    <t>● (aN) Pos. 2 Mängelbehebung vor Ort durch Handwerker (AZ/Material nach Aufwand)</t>
  </si>
  <si>
    <t>7150 TFS-AHO-Neubau-betrWohnen-Kita-Alberichstraße-Mannheim</t>
  </si>
  <si>
    <t>7151 AWO-BSN-Bestandsgeb-Badgasse1-Memmingen</t>
  </si>
  <si>
    <t>● (aN) Pos. 1 BTB (SV)</t>
  </si>
  <si>
    <t>● (p) Pos. 2 BSN (SV)</t>
  </si>
  <si>
    <t>● (p) Pos. 3 FWP (CAD</t>
  </si>
  <si>
    <t>● (aN) Pos. 4 Fortschr. BSO Teil B und C (SV)</t>
  </si>
  <si>
    <t>● (aN) Pos. 5  FUR (CAD)</t>
  </si>
  <si>
    <t>● Pos. 6 Feuerwehrlaufkarten nach tatsächlich ausgefertigter Stückzahl 49€/Stück</t>
  </si>
  <si>
    <t>● (aN) Pos. 7 Digitalisierung der Planunterlagen (CAD)</t>
  </si>
  <si>
    <t>7153 BTB-ASB-Wiesbaden-Rahmenvereinbarung</t>
  </si>
  <si>
    <t>● (a.N.) Pos.1 RV-Brandschutztechnische Beratung</t>
  </si>
  <si>
    <t>7154 BlueEstate-BSN-Fitnessstudio-LandsbergerStr-München</t>
  </si>
  <si>
    <t>● Fortschr. BSN, ANG 1+2</t>
  </si>
  <si>
    <t>7155 BSK-Am-Füllgarten-8-Usingen-Haus1+2</t>
  </si>
  <si>
    <t>● (aN) Pos.2 Baubegl. Brandschutzberatung+Qualitätssicherung</t>
  </si>
  <si>
    <t>7156 BTB-Kruppstraße-Frankfurt-Büro-FR02</t>
  </si>
  <si>
    <t>● (a.N.) Pos.1 fire safety consulting / BTB</t>
  </si>
  <si>
    <t>7159 BST-TE Connectivity-Speyer-Leichtbauhalle</t>
  </si>
  <si>
    <t>● (aN) Pos.1 Bestandsaufnahme + brandschutztechn. Beratung</t>
  </si>
  <si>
    <t>● (p) Pos.2 Erstellung BST</t>
  </si>
  <si>
    <t>7159.01 TE Connectivity-BSK-Geb2701,2702-Siemensstr18-Speyer</t>
  </si>
  <si>
    <t>● (aN) Pos. 2 Termine in Speyer</t>
  </si>
  <si>
    <t>7159.02 TE Connectivity-BFM-Siemensstr13-Speyer</t>
  </si>
  <si>
    <t>● (aN) Pos. 1 Qualitative Brandfallsteuermatrizen</t>
  </si>
  <si>
    <t>7159.03  TE-Connectivity-BST-Geb6-Siemensstr13-Speyer</t>
  </si>
  <si>
    <t>● (p) Pos. 1 Brandschutztechnische Bewertung</t>
  </si>
  <si>
    <t>7159.04 TE-Connectivity-FRP-Siemensstr13-Speyer</t>
  </si>
  <si>
    <t>● (aN) Pos. 1 Überarbeitung der Flucht- und Rettungspläne (CAD 100h) 7.000€</t>
  </si>
  <si>
    <t>● (aN) Pos. 2 Überarbeitung der Feuerwehrpläne (CAD 100h) 7.000€</t>
  </si>
  <si>
    <t>● (aN) Pos. 3 Optional: Begehungen vor Ort (CAD 100h) 7.000€</t>
  </si>
  <si>
    <t>7161.01 RMK-KH-Herrenberg-Marienstraße-25-Herrenberg</t>
  </si>
  <si>
    <t>● (p) Pos.1 Erst. Räumungskonzept</t>
  </si>
  <si>
    <t>● (aN) Pos.2 Räumungskonzeptpläne 4 Stck</t>
  </si>
  <si>
    <t>● (aN) Pos.3 RMS (Räumungskarten) 14 Stck.</t>
  </si>
  <si>
    <t>7161.02 RMU-KH-Herrenberg-Marienstraße-25-Herrenberg</t>
  </si>
  <si>
    <t>● (aN) Pos.1 Räumungsmappe (11 Mappen à 104€/Stck.) = 1.144€</t>
  </si>
  <si>
    <t>7162.01 Sanden-BTB-PLA-Technical-Centre-Am-Taubenbaum-35-37-Bad Nauheim</t>
  </si>
  <si>
    <t>● (p) Pos. 2 Planung einer Hochdruck-Wassernebel-Löschanlage (HDWNL) bezüglich des in der Vorbemerkung genannten Sachverhaltes</t>
  </si>
  <si>
    <t>7164 BTB-Haus-am-Silberberg-Am-Eichert-42-46-Huenstetten</t>
  </si>
  <si>
    <t>● (aN) Pos.1 BTB-Thematik Ausführung v. Abschottungen d. Leitungsanlagen</t>
  </si>
  <si>
    <t>7164.01 FWP-Haus-am-Silberberg-Am-Eichert-42-46-Huenstetten</t>
  </si>
  <si>
    <t>7166 BTB-Gewerbestraße-2-Niederrieden-Netto-Markt</t>
  </si>
  <si>
    <t>● (aN) Pos.1 Brandschutztechn. Beratung</t>
  </si>
  <si>
    <t>7167 BTB-Arabellabogen-Rosenkavaliersplatz-München-Tiefgaragentore</t>
  </si>
  <si>
    <t>● (p) Pos.1 Erstellen BTB</t>
  </si>
  <si>
    <t>7168.01 DFI-BTB-Benzstraße-1-3-BadHomburg</t>
  </si>
  <si>
    <t>● (aN) Pos.1 BTB -Bew. Nutzungsmöglichk. d. Bereichs mech.Versuchswerkstatt i.Abgl. zum BSK</t>
  </si>
  <si>
    <t>7169 FRP-Pollhornbogen-8-Hamburg-svt</t>
  </si>
  <si>
    <t>● (p) Pos.1 FRP</t>
  </si>
  <si>
    <t>7171 KOF-Funkturm-1133054-Wermelskirch</t>
  </si>
  <si>
    <t>7173 Vattenfall-BSK-WEA-Hoerscheid-Darscheid</t>
  </si>
  <si>
    <t>7174 Vattenfall-BSK-WEA-Mehlingen</t>
  </si>
  <si>
    <t>7175 Vattenfall-BSK-WEA-Waidachswald</t>
  </si>
  <si>
    <t>7177 PUK-BTB-Ferragamo-Maximilianstr29-München</t>
  </si>
  <si>
    <t>● (aN) Pos. 1 Brandschutztechnische Beratung Ladenfläche 'Ferragamo'</t>
  </si>
  <si>
    <t>7177.01 PUK-BSN-Ferragamo-Maximilianstr29-München</t>
  </si>
  <si>
    <t>7179 Eurowind-WEA-Soltendieck-Suhlendorf-Uelzen</t>
  </si>
  <si>
    <t>7180 VGHarbach-PLA-Myliusstr25-27-Frankfurt</t>
  </si>
  <si>
    <t>● (p) Pos. 1 LP 4 (Genehmigungsplanung)</t>
  </si>
  <si>
    <t>● (p) Pos. 2 LP5 (Ausführungsplanung)</t>
  </si>
  <si>
    <t>● (p) Pos. 3 LP6 (Vorbereiten der Vergabe)</t>
  </si>
  <si>
    <t>● (p) Pos. 4 LP7 (Mitwirken bei der Vergabe)</t>
  </si>
  <si>
    <t>● Fahrtkosten 0,40€/km, BKR-FFM 157km</t>
  </si>
  <si>
    <t>7182 BTB-Gießener-Straße-20-Anneliese-Hoevel-Straße-7-Frankfurt-Heizungsraum</t>
  </si>
  <si>
    <t>● (aN) Pos.1 BTB Rauchableitung+Raumabschluss im Heizungsraum</t>
  </si>
  <si>
    <t>7182.01 BTB-Gießener-Straße-20-Frankfurt</t>
  </si>
  <si>
    <t>● (aN) Pos.1 BTB -Thematik Überprüfung d. Ergänzung d. BSK von externem Gutachter</t>
  </si>
  <si>
    <t>7182.02 BSK-Gießener-Straße-20-Frankfurt</t>
  </si>
  <si>
    <t>● (p) Pos.1 Ergänzung BSK - Erstellung Brandschutzkonzeptplans für 1.UG</t>
  </si>
  <si>
    <t>7184 Lichtblick-BSN-Frisörsalon-Abstellräume-Ramsaystr17-Hanau</t>
  </si>
  <si>
    <t>● ANG-BSN-001-2025-05-06</t>
  </si>
  <si>
    <t>7185 AHO-Asklepios-Anton-Saefkow-Allee-2-Brandenburg a.d.H.-LOS-5</t>
  </si>
  <si>
    <t>● (p) Bestandserfassung vor Ort. 1 Tagessatz 1.000€</t>
  </si>
  <si>
    <t>● (aN) Besprechungen (2.1 aus VER)</t>
  </si>
  <si>
    <t>7185.01 NAT01-LPH8-Asklepios-Anton-Saefkow-Allee-2-Brandenburg a.d.H.-Los-5</t>
  </si>
  <si>
    <t>● (p) Pos.1 NAT-01-LPH 8 Vor-Ort-Termin zur Bauüberwachung, inkl An- und Abreise, 4x</t>
  </si>
  <si>
    <t>7186 Altus-ATE-BSK-WEA-Adelebsen</t>
  </si>
  <si>
    <t>● (p) Pos. 1 Erstellung BSK</t>
  </si>
  <si>
    <t>7187.03 Altus-Anp-BSK-WP-Süd-Bovenden-an-der-Lieth</t>
  </si>
  <si>
    <t>● (p) Anp. BSK + Pläne (SV 3h/CAD 3h) 560€</t>
  </si>
  <si>
    <t>7189.01 Kipp-KOF-Roller-Strahlenbergstr81-Offenbach</t>
  </si>
  <si>
    <t>● (aN) Pos. 1 Baubegleitung und Erstellung einer Konformitätsbescheinigung / Schlussabnahmebescheinigung</t>
  </si>
  <si>
    <t>7191 Renner-Gemüsebau-BSK-Neustadter-Str95-Mutterstadt-Produktionshalle</t>
  </si>
  <si>
    <t>● (aN) Pos. 1 Ortstermin + BTB</t>
  </si>
  <si>
    <t>● (p) Pos. 2 Erstellung BSK (Produktionshalle)</t>
  </si>
  <si>
    <t>7192 Renner-Gemüsebau-BSK-Neustadter-Str95-Mutterstadt-Container</t>
  </si>
  <si>
    <t>7193 Hengst-FWP-FRP-Hardtwaldstr43-Ketsch</t>
  </si>
  <si>
    <t>● (p) Pos. 1.002 Abgleich/Aufnahme Feuerwehrplan</t>
  </si>
  <si>
    <t>● (p) 1.005 Abgleich/Aufnahme vor Ort der Flucht-/ Rettungspläne (1 Termin)</t>
  </si>
  <si>
    <t>7194 UniAugsburg-BSO-BSB-LGB-Augsburg</t>
  </si>
  <si>
    <t>● (p) Pos. 1 Erstellung der Brandschutzordnung Teil B</t>
  </si>
  <si>
    <t>● (p) Pos. 2 Erstellung der Brandschutzordnung Teil C</t>
  </si>
  <si>
    <t>● (aN) Pos. 3 Stellung des Brandschutzbeauftragten</t>
  </si>
  <si>
    <t>7195 Walter-Immobilien-AHO-Zusamstraße5,5-Augsburg</t>
  </si>
  <si>
    <t>● NAT 2025-01-31</t>
  </si>
  <si>
    <t>7196 DRESO-BSK-TDE-Genset-Container-Austausch-NEA-Kleyerstr75-89-FFM</t>
  </si>
  <si>
    <t>7197 LAER-BSK-Marie-Curie-Str-Rendsburg</t>
  </si>
  <si>
    <t>7198 LAER-BV-Halberstadt</t>
  </si>
  <si>
    <t>7199 Siemens-FRP-Gateway-Gardens-De-Saint-Exupéry-Str-5-FFM</t>
  </si>
  <si>
    <t>● (aN) Pos. 1 Erstellung / Aktualisierung Flucht- und Rettungspläne</t>
  </si>
  <si>
    <t>7200 WSP-BST-Alte-SalzdahlumerStr202-203-Braunschweig</t>
  </si>
  <si>
    <t>7201.03 Tectareal-BSO+BSB-TeilC-Arabellabogen-Elektrastr6-6a-MUC</t>
  </si>
  <si>
    <t>● (p) Pos. 1 BSO Teil C</t>
  </si>
  <si>
    <t>● (aN) BSB 2025/26</t>
  </si>
  <si>
    <t>7201.04 AG Mieterschaft Ärzte? BSO-TeilB-Arztpraxis-Acock/Bogner-Arabellabogen-Elektrastr6-6a-MUC</t>
  </si>
  <si>
    <t>● (p) Pos. 1 BSO Teil B</t>
  </si>
  <si>
    <t>7202 KH-Amalie-Sieveking-NB-Funktions+Stationsbereiche-Haselkamp33-HH</t>
  </si>
  <si>
    <t>7208.02 HeyLager-BAB-KOF-Garagenpark-Durmersheimerst29-Malsch</t>
  </si>
  <si>
    <t>7210 Aldi-Süd-PLA-LZ-Butzbach-Auf-der-Albhöhn-Butzbach</t>
  </si>
  <si>
    <t>● LP 6</t>
  </si>
  <si>
    <t>● LP 7</t>
  </si>
  <si>
    <t>● (a.N.) Optionale Leistung auf Nachweis</t>
  </si>
  <si>
    <t>7213 reVenton-BSK-WEA-Schenkenwald</t>
  </si>
  <si>
    <t>7213.01 SW-Wertheim-BSK-WEA-Schenkenwald-II</t>
  </si>
  <si>
    <t>● (p) Pos. 1 Erstellung BSK WP Schenkenwald II</t>
  </si>
  <si>
    <t>7214 Energieprojekte-DK-BSK-WEA-WP-Keferloh</t>
  </si>
  <si>
    <t>7215 Quantum-BSN-Ludwigpalais6-8-Schönfeldstr6-München</t>
  </si>
  <si>
    <t>● (aN) Pos. 1 Fortschreibung BSN</t>
  </si>
  <si>
    <t>● (aN) Pos. 2 Anpassung BS-Pläne</t>
  </si>
  <si>
    <t>● NAT-AHO-001-2025-06-18-TG-Ludwigpalais-München</t>
  </si>
  <si>
    <t>7216.02 BSK-MailänderStr-3-23-Frankfurt</t>
  </si>
  <si>
    <t>● (aN) Pos.2 Bauakteneinsicht u. Beratungstermin</t>
  </si>
  <si>
    <t>7217.01 BSK-Kirchgasse-23-Wiesbaden-H&amp;M</t>
  </si>
  <si>
    <t>7219 SW-Tübingen-BSK-WEA-WP-Feurenmoos-Eschbronn</t>
  </si>
  <si>
    <t>7220 SW-Tübingen-BSK-WEA-WP-Starzach</t>
  </si>
  <si>
    <t>7221 CZ-FLA-ChicagoBoston-RudolfEberStr2-Oberkochen</t>
  </si>
  <si>
    <t>● (a.N) Pos. 1 Bestandsaufnahme</t>
  </si>
  <si>
    <t>● (a.N) Pos. 2 - Konzept Löschwasser-Infrastrukturleitung + Hydranten</t>
  </si>
  <si>
    <t>● CAD - Löschwasser-Infrastrukturleitung + Hydranten</t>
  </si>
  <si>
    <t>7222 CZ-FLA-LAK-KVA1675-Regal-Halle7.1-RudolfEberStr2-Oberkochen</t>
  </si>
  <si>
    <t>● (aN) Pos. 1 Ausführungsplanung - E100</t>
  </si>
  <si>
    <t>7223 BTB-Julius-Brecht-Straße-2-Schwalbach</t>
  </si>
  <si>
    <t>● (aN) Pos.1 BTB + Objektbegehung</t>
  </si>
  <si>
    <t>● (p) Pos.2 Erstellen FWP</t>
  </si>
  <si>
    <t>● (p) Pos.3 Digitalisierung Bestandspläne</t>
  </si>
  <si>
    <t>7225 Edeka-Cuxhaven-DueDilligence-Krongaard</t>
  </si>
  <si>
    <t>● (a.N.) Einarbeitung und Sichtung der Bauakte</t>
  </si>
  <si>
    <t>● (Pauschale) Objektbegehung (= 3 Tagessätze, 6 Tage geplant))</t>
  </si>
  <si>
    <t>● (a.N.) Erstellung eines Abschlussberichtes</t>
  </si>
  <si>
    <t>7226 Klebl-Brainergy-Park-Samuel-Morse-Str-Jülich</t>
  </si>
  <si>
    <t>7226.01 jxbau-Brainergy-Park-Samuel-Morse-Str-Jülich</t>
  </si>
  <si>
    <t>7227.01 JUWI-RV-BSK-WP-Großenkneten-Erweiterung</t>
  </si>
  <si>
    <t>● (p) Pos. 1 Brandschutzkonzept</t>
  </si>
  <si>
    <t>7229 Westinvest-HPPVO-Theodor-Heuss-Alle5-7-FFM</t>
  </si>
  <si>
    <t>● (aN) Pos. 1 Prüfung und Plausibilisierung</t>
  </si>
  <si>
    <t>7231 BSN-Droysenstraße-16-Frankfurt</t>
  </si>
  <si>
    <t>● (aN) Pos.2 Baubegl. BSB u. Qualitätsüberwachung</t>
  </si>
  <si>
    <t>7233 Jost-BSN-Rheinbergerstr1-München</t>
  </si>
  <si>
    <t>7234 Panasonic-PLA-Hagenauer-Str43-Wiesbaden</t>
  </si>
  <si>
    <t>● Pos. 1 Erstellung einer Stellungnahme</t>
  </si>
  <si>
    <t>7235 AECOM-Gebäude-TDD</t>
  </si>
  <si>
    <t>7236 Würth - Stundennachweise</t>
  </si>
  <si>
    <t>● Bensheim, An d. Riedwiese 2</t>
  </si>
  <si>
    <t>● Brandenburg a.d.H., Grüne Aue 3</t>
  </si>
  <si>
    <t>● Buchen, Albert-Einstein-Str. 15</t>
  </si>
  <si>
    <t>● Frankfurt, Mainzer Landstr. 693</t>
  </si>
  <si>
    <t>● Frechen, Europaallee 8</t>
  </si>
  <si>
    <t>● Füssen, Hiebelerstr. 24</t>
  </si>
  <si>
    <t>● Hamburg Bergedorf, Neuer Weg 45</t>
  </si>
  <si>
    <t>● Hamburg, Gutenbergring 44</t>
  </si>
  <si>
    <t>● Karlsdorf-Neuthard, Im Ochsenstall 30a</t>
  </si>
  <si>
    <t>● Krefeld, Dießemer Bruch 181</t>
  </si>
  <si>
    <t>● Mühlheim, Bahnhofstr. 8a</t>
  </si>
  <si>
    <t>● München, Frankfurter Ring 230</t>
  </si>
  <si>
    <t>● Neu-Ulm, Pfaffenweg 34</t>
  </si>
  <si>
    <t>● Saarlouis/ Fraulautern, Bahnhofstr. 20</t>
  </si>
  <si>
    <t>● Siegen, Wallhausenstraße 20</t>
  </si>
  <si>
    <t>● Soest, Overweg 24</t>
  </si>
  <si>
    <t>● Weingarten, Hähnlehofstr. 5</t>
  </si>
  <si>
    <t>● Wittlich, Schloßstraße 31</t>
  </si>
  <si>
    <t>7238 AHO-NB-RBB-GeSo-Magdeburger-Straße/Pankower-Straße-Schwerin</t>
  </si>
  <si>
    <t>● (p) LPH 1</t>
  </si>
  <si>
    <t>● (p) LPH 2</t>
  </si>
  <si>
    <t>● (p) LPH 3</t>
  </si>
  <si>
    <t>● (p) LPH 4</t>
  </si>
  <si>
    <t>7241 GemFreisen-BSP-Umbau-Sanierung-Festhalle-Oberkirchen-Freisen</t>
  </si>
  <si>
    <t>● 2.1 Leistungsphasen (GL)</t>
  </si>
  <si>
    <t>● 3.1 Zusätzliche Leistungen (BL)</t>
  </si>
  <si>
    <t>7245 BSB-2025-2028-Waldkindergarten-Gelnhausen</t>
  </si>
  <si>
    <t>● (aN) Pos.1  Auftaktgespräch + Begehungen zur Stellung eines BSB nur in 2025</t>
  </si>
  <si>
    <t>● (aN) Pos.2 Stellung eines BSB für 2026</t>
  </si>
  <si>
    <t>● (aN) Pos.2 Stellung eines BSB für 2027</t>
  </si>
  <si>
    <t>● (aN) Pos.2 Stellung eines BSB für 2028€</t>
  </si>
  <si>
    <t>7247 Hoepfner-BTB-NL-Grünwinkel</t>
  </si>
  <si>
    <t>● (aN) Pos. 1 Brandschutztechnische Beratung und SOLL-IST-Abgleich (SV)</t>
  </si>
  <si>
    <t>● (aN) Pos. 1 0500-Digitalisieren von CAD-Plänen</t>
  </si>
  <si>
    <t>● (aN) Pos. 2 Beratungsleistungen zum Explosionsschutz und Prüfung der Explosionsschutzdokumente (GF)</t>
  </si>
  <si>
    <t>7247.01 Hoepfner-BST-Zentrale-Karlsruhe</t>
  </si>
  <si>
    <t>● (p) Pos.1 Bestandsaufnahme</t>
  </si>
  <si>
    <t>●  (p) Pos. 2 Akteneinsicht beim Bauamt</t>
  </si>
  <si>
    <t>● (p) Pos. 3 Abgleich und Analyse (Soll-Ist-Vergleich)</t>
  </si>
  <si>
    <t>● (p) Pos.4 Erstellung BST</t>
  </si>
  <si>
    <t>● (p) Pos.5 OPTIONAL Abstimmung mit der Versicherung</t>
  </si>
  <si>
    <t>● (p) Pos.6 OPTIONAL: Präsentation der Ergebnisse</t>
  </si>
  <si>
    <t>7248 Klebl-BarracksBuildings-BSK-divGeb-Hohenfels</t>
  </si>
  <si>
    <t>● (p) Pos. 2 LPH 5 Ausführungsplanung</t>
  </si>
  <si>
    <t>● (p) Pos. 5 LPH 8 Objektüberwachung</t>
  </si>
  <si>
    <t>7249 Klebl-AHO-Geb8259-Baumholder</t>
  </si>
  <si>
    <t>● (p.) LP 1 GL</t>
  </si>
  <si>
    <t>● (p.) LP 1 BL</t>
  </si>
  <si>
    <t>● (p.) LP 2 GL</t>
  </si>
  <si>
    <t>● (p.) LP 2 BL</t>
  </si>
  <si>
    <t>● (p.) LP 4 GL</t>
  </si>
  <si>
    <t>● (p.) LP 4 BL</t>
  </si>
  <si>
    <t>● (p.) LP 5 GL</t>
  </si>
  <si>
    <t>● (p.) LP 5 BL</t>
  </si>
  <si>
    <t>● (p.) LP 8 GL</t>
  </si>
  <si>
    <t>7250 BSK-Basaltstraße-42-Frankfurt</t>
  </si>
  <si>
    <t>● (p) Pos.1 Erstellung BSK in der KiTa</t>
  </si>
  <si>
    <t>7251 BSK-Mergenthaler-Alle-61-CUBE-Eschborn</t>
  </si>
  <si>
    <t>● (p) Pos.1 BST 6 Brandschutztüren</t>
  </si>
  <si>
    <t>7253 JUWI-BSK-WP-Bad-Laasphe-Feudingen</t>
  </si>
  <si>
    <t>● (p) Pos. 1.00 Brandschutzkonzept</t>
  </si>
  <si>
    <t>7254 Renner-Feldkind-BSK-Liegenschaft-Fussgönnheim-Überdachung</t>
  </si>
  <si>
    <t>● (p) BSK ANG Pos. 2 + NAT Pos. 1</t>
  </si>
  <si>
    <t>7255 BTB-Margueritenweg 3-Hofheim-Langenhain</t>
  </si>
  <si>
    <t>● (aN) Pos.1 BTB - Öffnung zur Rauchableitung im KG</t>
  </si>
  <si>
    <t>7258 BSK-Karl-Rehbein-Schule-Dependance-I-Schlossplatz-4-Hanau</t>
  </si>
  <si>
    <t>● (p) Erstellung BSK Schlossplatzschule Dependance I</t>
  </si>
  <si>
    <t>● (p) Pos.2 Erstellen v. 5 FWP</t>
  </si>
  <si>
    <t>● (p) Pos.3 Erstellen  FRP</t>
  </si>
  <si>
    <t>7259 LK-Starnberg-Hauptstr20-22-Gymnasium-Tutzing</t>
  </si>
  <si>
    <t>● Geb. A - Turnhalle (Abbruch+Neubau)</t>
  </si>
  <si>
    <t>● Geb. B - Kalle-Villa (denkmalgerechte Kernsanierung)</t>
  </si>
  <si>
    <t>● Geb. C - Nordbau (Generalsanierung)</t>
  </si>
  <si>
    <t>● Geb. D - Südbau (Generalsanierung)</t>
  </si>
  <si>
    <t>● Geb. D - Erweiterungsoption (Neubau)</t>
  </si>
  <si>
    <t>● Geb. F - Mensa (nur teils relevant)</t>
  </si>
  <si>
    <t>● BL noch nicht abgerufen</t>
  </si>
  <si>
    <t>7261 BTB-Scharnhölzstraße-346-Bottrop</t>
  </si>
  <si>
    <t>● (aN) Pos.1 BTB zur techn. Sanierung+Erneuerung d. Brand-melde- &amp; selbsttätigen Feuerlöschanlage</t>
  </si>
  <si>
    <t>7261.01 Hercutec-LAK-Scharnhölzstr346-Bottrop</t>
  </si>
  <si>
    <t>● (p) LAK</t>
  </si>
  <si>
    <t>7263 BAB-Gutleutstraße-112-Frankfurt-Fusion-Finanzämter-BHZ</t>
  </si>
  <si>
    <t>● (aN) Pos.1 BAB Fusion-Finanzämter-BHZ</t>
  </si>
  <si>
    <t>● (aN) Pos.2 Optional: Zusätzl. Beratungslstg.</t>
  </si>
  <si>
    <t>7264 LATICO-LAK-Produktions-Lagerhalle-Breitscheidstr141-Rudolstadt</t>
  </si>
  <si>
    <t>● (p) Pos. 1 LAK gem. VdS-CEA-4001</t>
  </si>
  <si>
    <t>7265 BSB-2025-Schimmelmannstraße-103-Hamburg</t>
  </si>
  <si>
    <t>● (aN) Pos.1 BSB 2025 12 Begehungen</t>
  </si>
  <si>
    <t>7266 Candid-BTB-ME-CarpeDiem-Candidiplatz9-15-München</t>
  </si>
  <si>
    <t>● (aN) BTB Carpe Diem 1.OG C13</t>
  </si>
  <si>
    <t>● (aN) BTB Nutzungsänderung Arztpraxis 4.OG C13</t>
  </si>
  <si>
    <t>● (aN) BTB Ärzte-/Bürohaus allgemein</t>
  </si>
  <si>
    <t>7266.02 Candid-AHO-BSN-ME-Carpe-Diem-1.OG-Candidiplatz-11-13-München</t>
  </si>
  <si>
    <t>7266.04 Candid-AHO-smile-eyes-Arztpraxis-4.OG-Candidiplatz-13-MUC</t>
  </si>
  <si>
    <t>7267 Tetris-BTB-FWP-BFM-Rundkino-Pragerstr6-Dresden</t>
  </si>
  <si>
    <t>● ANG-BTB-001-2024-12-17</t>
  </si>
  <si>
    <t>● ANG-AHO-001-2024-12-17</t>
  </si>
  <si>
    <t>7268 KG-SSM-BTB-Hienlohestr24-Otterfing</t>
  </si>
  <si>
    <t>● ANG 2024-11-29 (aN) Pos. 1 BTB</t>
  </si>
  <si>
    <t>● NAT 2025-02-18 (aN) Pos. 1 BTB</t>
  </si>
  <si>
    <t>7268.01 KG-SSM-BSN-Hienlohestr24-Otterfing</t>
  </si>
  <si>
    <t>7269 BTB-Hanauer-Straße-9-13-Friedberg</t>
  </si>
  <si>
    <t>● (aN) Pos.1 BTB Objektbegehung zur Aufnahme der Ist-Situation (24h SV) 3.000</t>
  </si>
  <si>
    <t>7269.01 BSK-Hanauer-Straße-9-13-Friedberg</t>
  </si>
  <si>
    <t>● (p) Pos.1 Erstellung BSK (2 Termine)</t>
  </si>
  <si>
    <t>7270 LAER-formica-BSK-Garagenpark-Klein-Winternheim</t>
  </si>
  <si>
    <t>7271 BSN-Schillerstraße-14-Oberursel</t>
  </si>
  <si>
    <t>● (p) Pos.1 Erst. BSK in Abst. mit Architekten</t>
  </si>
  <si>
    <t>● (aN) Pos.3 Baubegl. Brandschutzberatung + Qualitätsüberwachung</t>
  </si>
  <si>
    <t>7273 PGU5M1000-BSK-U5-Hamburg</t>
  </si>
  <si>
    <t>● (p) Pos.1 Fortschr. BSK Streckentunnel 1100 1200-Tunnelabschnitte</t>
  </si>
  <si>
    <t>● (p) Pos.2 Fortschr. BSK Haltestelle Borgweg</t>
  </si>
  <si>
    <t>● (p) Pos. 3 Fortschr. BSK Haltestelle Jarrestraße</t>
  </si>
  <si>
    <t>● (p) Pos.4 Fortschr. Anforderungskataloges Sicherheit+Brandschutz</t>
  </si>
  <si>
    <t>● (aN) Pos.5 Beratungslstg. hinsichtl. d. brandschutztechn. Aspekte</t>
  </si>
  <si>
    <t>● (p) Pos.6 Reviewbericht</t>
  </si>
  <si>
    <t>7274 FWP-Sülldorfer-Kirchenweg1-1b-Blankeneser-Landstraße2-2a-HH</t>
  </si>
  <si>
    <t>7277 DFMG-BSK-Funkturm-Mustergutachten</t>
  </si>
  <si>
    <t>● (p) Pos.1 BSK Stahlgitter- und Stahlbetonmasten ohne Container</t>
  </si>
  <si>
    <t>● (p) Pos.2 Regel-BSK Stahlgitter- und Stahlbetonmasten mit Container</t>
  </si>
  <si>
    <t>● (p) Pos.3 Regel-BSK Dachstandorte in Gebäuden ohne Sonderbautatbestand</t>
  </si>
  <si>
    <t>● (p) Pos.4 Regel-BSK Kirchenstandorte</t>
  </si>
  <si>
    <t>7278 WPMarke-FWP-WP-Korbach</t>
  </si>
  <si>
    <t>● (p) Pos. 1 Feuerwehrpläne (CAD)</t>
  </si>
  <si>
    <t>7281 Köster-BTB-99-Hotel-Czernyring26-28-Heidelberg</t>
  </si>
  <si>
    <t>● (aN) Pos. 1 BTB zu Mängeln</t>
  </si>
  <si>
    <t>7282 BSK-Hans-Böckler-Straße-Frankfurt-NorthC-FRA-02</t>
  </si>
  <si>
    <t>● (p) Pos.1 Erst. BSK für FRA 02</t>
  </si>
  <si>
    <t>7282.01 BSN-Hans-Böckler-Straße-Frankfurt-NorthC-FRA-02-Bestandsgebäude</t>
  </si>
  <si>
    <t>● (p) Pos.1 Erstellen BSN</t>
  </si>
  <si>
    <t>7283.01 Immoneb-BSN-Wohngebäude-Sebastian-BauerStr3+5-München</t>
  </si>
  <si>
    <t>● (p) Pos. 1 Erstellen BSN</t>
  </si>
  <si>
    <t>7284 PureInvest-BTB-Bajuwarenring-Oberhaching</t>
  </si>
  <si>
    <t>● (aN) Pos. 1 Brandschutztechnische Beratung LP 5</t>
  </si>
  <si>
    <t>● (p) Pos.1 Erstellung Tektur des BSN (1.Tektur)</t>
  </si>
  <si>
    <t>● (p) Pos.2 Fortschr. BSN (2.Tektur)</t>
  </si>
  <si>
    <t>● (aN) Pos.5 BTB im Zuge der LP 8</t>
  </si>
  <si>
    <t>● (p) Pos.6. Erstellen BSO in Teil A+B</t>
  </si>
  <si>
    <t>● (p) Pos.8 FWP</t>
  </si>
  <si>
    <t>● (p) Pos.9 FRP</t>
  </si>
  <si>
    <t>● Feuerwehr-Laufkarten (35 Stk. á 49€)</t>
  </si>
  <si>
    <t>7288 Porta-Begehungen-FW-FRP-RV-Erfurt</t>
  </si>
  <si>
    <t>● Begehung Porta Gütersloh</t>
  </si>
  <si>
    <t>● Begehung SB Möbel Boss - Gütersloh</t>
  </si>
  <si>
    <t>● Begehung Porta - Bornheim</t>
  </si>
  <si>
    <t>● Begehung SB Möbel Boss - Bornheim</t>
  </si>
  <si>
    <t>7289 LHMünchen-BTB-Villa-Stuck-Prinzregentenstr60-München</t>
  </si>
  <si>
    <t>7290 BTB-Marktstraße-2-6-Wiesbaden-Fitness-EVO</t>
  </si>
  <si>
    <t>● (aN) Pos.1 BAB Ausbauvorhaben Fitness EVO</t>
  </si>
  <si>
    <t>7291 BTB-ASB-Westhessen-Wiedbachschule-Bad-Schwalbach</t>
  </si>
  <si>
    <t>7293 VEW-BSK-WEA-Hopperkopf</t>
  </si>
  <si>
    <t>7294.01 Eurowind-BSK-WEA-Hainchen-Süd+Nord</t>
  </si>
  <si>
    <t>● WEA-Hainchen-Süd</t>
  </si>
  <si>
    <t>● WEA-Hainchen-Nord</t>
  </si>
  <si>
    <t>7297 Shell-PHP-Godorfer-Hauptstr150-Köln</t>
  </si>
  <si>
    <t>● (p) Pos. 1 Sachverständigenprüfung selbsttätige Feuerlöschanlage nach PrüfVO NRW und DGUV</t>
  </si>
  <si>
    <t>● (aN) Pos. 2 Mängelkontrollen nach Aufwand</t>
  </si>
  <si>
    <t>7298 BST-Stroeer-Werbefolien</t>
  </si>
  <si>
    <t>● (aN) Pos.1 BST - Bewertung der Folie „3M Envision“ der Firma 3M</t>
  </si>
  <si>
    <t>7300 RV-Ströer-BST-WT-Dummy</t>
  </si>
  <si>
    <t>7300.01 Ströer-BST-allgemein</t>
  </si>
  <si>
    <t>● (aN) Pos. 1 Brandschutztechnische Beratung inkl. Erstellung von Stellungnahmen</t>
  </si>
  <si>
    <t>7300.21 RV-Ströer-BTB-4WT-HBhf-München</t>
  </si>
  <si>
    <t>● (aN) BTB - Deckelzahl zusätzl. Beratungsstd. bei 4 WT</t>
  </si>
  <si>
    <t>7300.40 Stöer-RV-BST-WT-U-Bahn-Station-Hohenzollern-München</t>
  </si>
  <si>
    <t>● (p)  BST 25WT</t>
  </si>
  <si>
    <t>7300.41 Stöer-RV-BTB-WT-U-Bahn-Station-Hohenzollern-München</t>
  </si>
  <si>
    <t>● (aN)  BTB (RV: Deckelanzahl zusätzl. Beratungsstunden) 25WT</t>
  </si>
  <si>
    <t>7300.50 Stöer-RV-BST-WT-U-Bahn-Station-Max-Weber-Platz-München</t>
  </si>
  <si>
    <t>● (p)  BST 3 WT</t>
  </si>
  <si>
    <t>7300.51 Stöer-RV-BTB-WT-U-Bahn-Station-Max-Weber-Platz-München</t>
  </si>
  <si>
    <t>● (aN)  BTB (Deckelanzahl zusätzll. Beratung) 3 WT</t>
  </si>
  <si>
    <t>7300.60 Stöer-RV-BST-Schaltschränke-Raumzelle-Innsbrucker-Ring-München</t>
  </si>
  <si>
    <t>● (aN) BST Aufstellräume + Beratung (SV)</t>
  </si>
  <si>
    <t>7302.01 PretiumPlus-NAT-BTB-Rheingaustr186-Wiesbaden</t>
  </si>
  <si>
    <t>● (aN) Pos.1 BTB - Bewertung der Mängel aus Gefahrenverhütungsschau</t>
  </si>
  <si>
    <t>7305 SUN-Chemical-PLA-BASF-GebB218+A209-Carl-Bosch-Str38-Ludwigshafen</t>
  </si>
  <si>
    <t>● (p) Pos. 1 Planungsmaßnahmen Geb. B218</t>
  </si>
  <si>
    <t>● (p) Pos. 2 Planungsmaßnahmen Geb. A209</t>
  </si>
  <si>
    <t>7306 IO-Diehl-AHO-Liegenschaft-Lübben in BEA!</t>
  </si>
  <si>
    <t>● • 1000-Grundlagenermittlung</t>
  </si>
  <si>
    <t>● • 2000-Vorplanung</t>
  </si>
  <si>
    <t>● • 4000-Genehmigungsplanung</t>
  </si>
  <si>
    <t>● • 8000-Objektüberwachung</t>
  </si>
  <si>
    <t>● • Leistungen auf Nachweis</t>
  </si>
  <si>
    <t>7307 AHO-August-Bebel-Straße-Wolmirstedt-Altes-Rathaus</t>
  </si>
  <si>
    <t>● (p) Pos.1  LPH 1 Grundlagenermittlung RL</t>
  </si>
  <si>
    <t>● (p) Pos.2 LPH 2 Vorplanung RL</t>
  </si>
  <si>
    <t>● (p) Pos.3 LPH 3 Entwurfsplanung RL</t>
  </si>
  <si>
    <t>● (p) Pos. 4 LPH 4 Genehmigungsplanung RL</t>
  </si>
  <si>
    <t>7308 BSB-02-2025-Im-Weidensee-9-Frankfurt-Höchst-Logistikzentrum</t>
  </si>
  <si>
    <t>● (aN) BSB 02/2025-01/2026</t>
  </si>
  <si>
    <t>7310 BTB-Am-Dorfgarten-72-76-Frankfurt</t>
  </si>
  <si>
    <t>● (aN) Beratungsleistungen</t>
  </si>
  <si>
    <t>7311 Messe-Nürnberg-PLA-NCCM-UG-Erneuerung-Sprinkleranlage-Nürnberg</t>
  </si>
  <si>
    <t>● (aN) Pos. 1 Leistungsphase 1 - Grundlagenermittlung</t>
  </si>
  <si>
    <t>● (p) Pos. 2 Leistungsphase 2 - Vorplanung</t>
  </si>
  <si>
    <t>● (p) Pos. 3 Leistungsphase 3 - Entwurfsplanung</t>
  </si>
  <si>
    <t>7312 QBS-Feuerbachstraße-40-44-Barckhausstraße-7-11-Ffm-Brandmeldeanlagenkonzept</t>
  </si>
  <si>
    <t>● (p) Pos. 1 Erstellung Brandmeldeanlagenkonzept</t>
  </si>
  <si>
    <t>7313 BAB-Sachsenwaldhochhaus-Hamburger-Straße-49-Reinbek</t>
  </si>
  <si>
    <t>● (p) Pos.1 Brandschutztechn. Begleitung Branschutzsanierung</t>
  </si>
  <si>
    <t>7313.01 BTS-Sachsenwaldhochhaus-Hamburger-Straße-49-Reinbek-OG-3-19+TK</t>
  </si>
  <si>
    <t>● (p) Pos.1 Bestandsaufnahme zum organisatorischen, techn. + baul. Brandschutz</t>
  </si>
  <si>
    <t>7319 BSK-Herderstraße-21-Hochheim</t>
  </si>
  <si>
    <t>● (p) Pos.2 BAB+Qualitätsüberwachung</t>
  </si>
  <si>
    <t>7320 AVG-PHP-Funkenlöschanlage-Zollstr2-Rheinberg-NRW</t>
  </si>
  <si>
    <t>● (p) Pos. 1 Sachverständigenprüfung selbsttätige Feuerlöschanlage nach PrüfVO NRW</t>
  </si>
  <si>
    <t>● (aN) Pos. 2 Mängelkontrolle nach Aufwand</t>
  </si>
  <si>
    <t>7321 Aldi-Süd-PLA-Logistikzentrum-Am-Bommersbacher-Hof1-Bous</t>
  </si>
  <si>
    <t>● Stufe 1 (p) LP 1 - Grundlagenermittlung</t>
  </si>
  <si>
    <t>● Stufe 1 (p) LP 2 - Vorplanung</t>
  </si>
  <si>
    <t>● Stufe 2 (p) LP 3 - Entwurfsplanung</t>
  </si>
  <si>
    <t>● Stufe 3 (p) LP 5 - Ausführungsplanung</t>
  </si>
  <si>
    <t>● Stufe 3 (p) LP 6 - Vorbereitung der Vergabe</t>
  </si>
  <si>
    <t>● Stufe 3 (p) LP 7 - Mitwirkung bei der Vergabe</t>
  </si>
  <si>
    <t>● Stufe 4 (p) LP 8 - Objektüberwachung – Bauüberwachung</t>
  </si>
  <si>
    <t>● (aN) Optionale Leistung auf Nachweis</t>
  </si>
  <si>
    <t>7322 BSK-AWZ-Deponiestraße-4-Gelnhausen-Deponie-Hailer</t>
  </si>
  <si>
    <t>● (p) Pos.1 Erstllen BSK für Gelände ohne vorhandene Gebäude</t>
  </si>
  <si>
    <t>● (aN) Pos.2 Beratungsleistungen</t>
  </si>
  <si>
    <t>7324 DREP-BSK-Hülsbachweg-Kirn</t>
  </si>
  <si>
    <t>● (aN) Pos. 1 BTB + Abstimmungstermine (SV)</t>
  </si>
  <si>
    <t>7324.01 DREP-BSK-Umbau-Lederfabrik-in-Wohngebäude-Hülsbachweg10-Kirn</t>
  </si>
  <si>
    <t>● (p) Pos. 2 Aktualisierung Brandschutzkonzept</t>
  </si>
  <si>
    <t>● Pos. 1 nicht beauftragt</t>
  </si>
  <si>
    <t>7325 IKEA-PLA-Hamburg-Schnelsen</t>
  </si>
  <si>
    <t>● ANG (p) LP 1 - Grundlagenermittlung</t>
  </si>
  <si>
    <t>● ANG (p) LP 2 - Vorplanung</t>
  </si>
  <si>
    <t>● ANG (p) LP 3 - Entwurfsplanung</t>
  </si>
  <si>
    <t>● ANG (p) LP 4 – Genehmigungsplanung</t>
  </si>
  <si>
    <t>● ANG (p) Leistungsphase 5 - Ausführungsplanung</t>
  </si>
  <si>
    <t>● ANG (p) LP 6 - Vorbereitung der Vergabe</t>
  </si>
  <si>
    <t>● ANG (p) LP 7 - Mitwirkung bei der Vergabe</t>
  </si>
  <si>
    <t>● ANG (p) LP 8 - Objektüberwachung – Bauüberwachung</t>
  </si>
  <si>
    <t>● ANG (a.N.) Leistungen auf Nachweis</t>
  </si>
  <si>
    <t>● NAT (p) Pos.1 NAT Erstellung 3D-Sprinklerzentrale</t>
  </si>
  <si>
    <t>● NAT (p) Pos.2 NAT LPH 2 - Erst.Konzept 'Verbrennungsluft f. Dieselmotor Sprinklerpumpe'</t>
  </si>
  <si>
    <t>● NAT ADM</t>
  </si>
  <si>
    <t>7328 LAER-formica-BSK-Lageranalage-Eilinger-Kamp-Menden</t>
  </si>
  <si>
    <t>● (aN) Pos. 2 Abstimmungstermin Bauaufsichtsbehörden</t>
  </si>
  <si>
    <t>7330 LBB-IO-AHO-Truppenübungsplatz-NB-Schießhaus-Smith-Barracks-Baumholder</t>
  </si>
  <si>
    <t>7331 Tierarztpraxis-BTB-Elisabethenstr2-Memmingen</t>
  </si>
  <si>
    <t>● (aN) Pos. 1 BSN + BTB</t>
  </si>
  <si>
    <t>7332 Niederberger-BTB-Obere-Hauptstr45-Kammlach</t>
  </si>
  <si>
    <t>● (aN) Pos. 1 Brandschutztechnische Beratung inkl. Erstellung eines Brandschutznachweises</t>
  </si>
  <si>
    <t>7333 Altus-BSK-WEA-Offensen</t>
  </si>
  <si>
    <t>● ANG (p) Pos. 1 BSK</t>
  </si>
  <si>
    <t>● ANG (p) Pos. 2 Erarbeiten Lageplan (FWP&gt;CAD)</t>
  </si>
  <si>
    <t>● NAT (p) Anpassung BSK + FWP</t>
  </si>
  <si>
    <t>7334.01 BSO-Max-Planck-Straße-2-Kelkheim-Astro-Automaten</t>
  </si>
  <si>
    <t>● (aN) Pos.1 Erstellung BSO in den Teilen A und B für diverse Liegenschaften</t>
  </si>
  <si>
    <t>7334.02 BSO-Am-Quarzitbruch-17-Eppstein-Astro-Automaten</t>
  </si>
  <si>
    <t>7334.03 BSO-Limburger-Straße-39-Bad Camberg-Astro-Automaten</t>
  </si>
  <si>
    <t>7334.04 BSO-Robert-Bosch-Straße-9-Bad Camberg-Astro-Automaten</t>
  </si>
  <si>
    <t>7334.05 BSO-Strassheimer-Straße-22-Friedberg-Astro-Automaten</t>
  </si>
  <si>
    <t>7334.06 BSO-August-Winter-Straße-1-Friedrichsdorf-Astro-Automaten</t>
  </si>
  <si>
    <t>7334.07 BSO-Bahnstraße-42-46-Friedrichsdorf-Astro-Automaten</t>
  </si>
  <si>
    <t>7334.08 BSO-Houiller-Platz-15-17-Friedrichsdorf-Astro-Automaten</t>
  </si>
  <si>
    <t>7334.09 BSO-Köppener-Straße-96-Friedrichsdorf-Astro-Automaten</t>
  </si>
  <si>
    <t>7334.10 BSO-Limburger-Straße-53-Idstein-Astro-Automaten</t>
  </si>
  <si>
    <t>7334.11 BSO-Ferniestraße-5-Linden-Astro-Automaten</t>
  </si>
  <si>
    <t>7334.12 BSO-Robert-Bosch-Straße-12-Neu-Anspach-Astro-Automaten</t>
  </si>
  <si>
    <t>7334.13 BSO-Hans-Mess-Straße-2b-Oberstedten-Astro-Automaten</t>
  </si>
  <si>
    <t>7334.14 BSO-Zimmersmühlweg-14-18-Oberursel-Astro-Automaten</t>
  </si>
  <si>
    <t>7334.15 BSO-Am-Riedborn-24-Usingen-Astro-Automaten</t>
  </si>
  <si>
    <t>7334.16 BSO-In-den-Ensterwiesen-1-Weilrod-Astro-Automaten</t>
  </si>
  <si>
    <t>7335 BSK-Schnackenburgallee-49-Hamburg-Lagerhalle</t>
  </si>
  <si>
    <t>● (aN) Pos.2 Löschanlagenkonzept</t>
  </si>
  <si>
    <t>7337.01 FWP-Friedrichstraße-34-38-Wiesbaden-Haus-P&amp;C</t>
  </si>
  <si>
    <t>● (p) Pos.1 Digitalisierung v. Planunterlagen</t>
  </si>
  <si>
    <t>7338 BST-Hochstraße-44-Frankfurt-Penthouse-7.OG</t>
  </si>
  <si>
    <t>● (p) Pos.1 BST für die Penthouse Wohnung im 7.OG</t>
  </si>
  <si>
    <t>● (aN) Pos.2 Bestandserfassung vor Ort und Beratungsleistung</t>
  </si>
  <si>
    <t>7339 EAM-BSK-WEA-Lahn-Dill-Bergland-Mitte2</t>
  </si>
  <si>
    <t>7340 BST- Westrampe6-Wolfsburg-Fels-Recycling</t>
  </si>
  <si>
    <t>● (p) Pos.1 BSK LP1-4</t>
  </si>
  <si>
    <t>7341 Rothenberger-FWP-Im-Gestüt-Erlenhof4-BadHomburg</t>
  </si>
  <si>
    <t>● (p) Pos. 1 FWP (CAD)</t>
  </si>
  <si>
    <t>7342 MAJ-BAB-Am-Obertor18-Flörsheim-Dalsheim</t>
  </si>
  <si>
    <t>● (aN) Pos.1 BAB - Objektüberwachung</t>
  </si>
  <si>
    <t>7343 BSB-AUS-TU-Berlin-div.-Gebäude</t>
  </si>
  <si>
    <t>● p) 2.1 - Organisation des organisatorischen Brandschutzes</t>
  </si>
  <si>
    <t>● (p) 2.2 - Kontr.+Freig. d. erst. Brandschutzvorgaben aus Bereich d. operativen Brandschutzes</t>
  </si>
  <si>
    <t>● (p) 2.3 Durchführung einer spezifischen Risikobewertung (680€/Stck)</t>
  </si>
  <si>
    <t>● (p) 2.3a Unterstützung der Nutzer bei einer spezifischen Risikobewertung (832€/Stck)</t>
  </si>
  <si>
    <t>● (p) 2.4 - Kontrollieren und veranlassen der Aktualisierung von Brandschutzdokumenten</t>
  </si>
  <si>
    <t>● (p) 2.5a+d - Planung + Dokumentation</t>
  </si>
  <si>
    <t>● (p) 2.5b+c - Durchführung + Nachbereitung von 200.000m2 Evakuierter NRF (200.000 qm)</t>
  </si>
  <si>
    <t>● (p) 2.6 - Teilnehmen an behördlichen Brandschauen (680€/Stck)</t>
  </si>
  <si>
    <t>● (p) 2.7 - Durchführung von Brandschutzbegehungen 600.000 BGF (Abrg. pro Gebäude!)</t>
  </si>
  <si>
    <t>● (p) 2.8 - Mängelmanagement: Meldung, Maßnahmenvorschläge und Überwachung</t>
  </si>
  <si>
    <t>● (p) 2.9a + c - Beratung Führungskräfte bei der Planung +Durchführung v. Unterweisungen (340€/Stck)</t>
  </si>
  <si>
    <t>● (p) 2.9b - Teilnahme und fachliche Unterstützung bei Unterweisungen (425€/Stck)</t>
  </si>
  <si>
    <t>● (p) 2.10 Theoretische Unterweisung Brandschutzhelfer (880€/E)</t>
  </si>
  <si>
    <t>● (p) 2.10a Theoretische Unterweisung BSH in engl. Sprache (170€/E)</t>
  </si>
  <si>
    <t>● (p) 2.10b Begl. praktische Unterw. in Handhabung v.Feuerlöschern externen Dienstleisters (1.020€/E)</t>
  </si>
  <si>
    <t>● (p) 2.11 - Unterstützung bei der Kommunikation mit externen Stellen</t>
  </si>
  <si>
    <t>● (p) 2.12 - Präventive und reaktiven Maßnahmen</t>
  </si>
  <si>
    <t>● (p) 2.13a - Beratung zur Ausstattung (30.000qm)</t>
  </si>
  <si>
    <t>● (p) 2.13c - Einweisung, Überwachung und Kontrolle der Wartung</t>
  </si>
  <si>
    <t>● (p) 2.14 - Erstellung des Brandschutzberichtes für die Hochschulleitung</t>
  </si>
  <si>
    <t>● (p) 2.15 Zusätzliche brandschutztechnische Beratungsleistungen</t>
  </si>
  <si>
    <t>7344 HLSG-Steubenplatz-14-Darmstadt-Neustrukturierung-Rettungswege</t>
  </si>
  <si>
    <t>● (p) LP2 Vorplanung</t>
  </si>
  <si>
    <t>● (p) Pos.1 NAT LPH 1 Optionale Leistungen</t>
  </si>
  <si>
    <t>● (p) LPH3 Entwurfsplanung</t>
  </si>
  <si>
    <t>7345 greenarea-FWP-Photovoltaikanlage-Alpenstr10-Sennhof-Heimertingen</t>
  </si>
  <si>
    <t>7346 BST-Flughafenstraße-6-6h-Frankfurt-TG</t>
  </si>
  <si>
    <t>7346.01 NAT-BSK-Flughafenstraße-6a-6h-Frankfurt-TG</t>
  </si>
  <si>
    <t>7346.02 NAT-FLA-Flughafenstraße-6a-6h-Frankfurt</t>
  </si>
  <si>
    <t>● (p) Pos.1 Berechnung der Füllzeit Wandhydrantenanlage</t>
  </si>
  <si>
    <t>7347 BSK-Zum-Burgwall-Celle</t>
  </si>
  <si>
    <t>● (p) Pos.1 BSK - Prüfung und Fortschr. eines bestehenden+genehmigten Brandschutzgutachtens</t>
  </si>
  <si>
    <t>7347.01 FWP-Zum-Burgwall-Celle-Batteriespeicheranlage</t>
  </si>
  <si>
    <t>● (p) Pos.2 BSO</t>
  </si>
  <si>
    <t>7350 SVT-BTB-Charles-Hotel-Sophienstr28-München</t>
  </si>
  <si>
    <t>● (aN) Pos. 1 BTB inkl. BST (SV 16h) 2.240€</t>
  </si>
  <si>
    <t>7351 DB-RV-WPP-Aachen-HBF-ELA-Beschallungsanlage</t>
  </si>
  <si>
    <t>● (p) Pos.1 Abnahme der SAA vor Ort</t>
  </si>
  <si>
    <t>● (p) Pos.2 Erstellen d. Abnahmeberichts</t>
  </si>
  <si>
    <t>7352 BSN-Taunusring-30-32-Offenbach-MFhäuser</t>
  </si>
  <si>
    <t>● (p) Pos.1 Erstellung BSN Abstimmung mit Architekten</t>
  </si>
  <si>
    <t>● (aN) Pos.4 Optional - zusätzl. Beratungsleistungen</t>
  </si>
  <si>
    <t>7354 BTB-Letzter-Hasenpfad-13-FFM</t>
  </si>
  <si>
    <t>● (aN) Pos.1 BTB -Thematik Bew. d.bereits festgestellten Mängel unterschiedl. Wartungsfirmen</t>
  </si>
  <si>
    <t>7355 Pfizer-BST-Mooswaldallee-1-Freiburg-Geb-D-Neubau-Lastenaufzug</t>
  </si>
  <si>
    <t>7355.01 Pfizer-BSK-Umnutzung-Mooswaldallee-1-Freiburg-Geb-K</t>
  </si>
  <si>
    <t>7355.02 Pfizer-BTB-Aufst-Wärmepumpen-Mooswaldallee-1-Freiburg-Geb-V-H-N</t>
  </si>
  <si>
    <t>● Pos. 1 Erstellung einer Brandschutztechnischen Stellungnahme</t>
  </si>
  <si>
    <t>7356.100 BSB-2025/04-2026/03-LOS-1-Petzvalstraße-18+38-Braunschweig-LAB-NI</t>
  </si>
  <si>
    <t>● 9307- Begehung BSB + Vor- u. Nachbereitung....</t>
  </si>
  <si>
    <t>7356.200 BSB-2025/04-2026/03-LOS-2-Benkendorffstraße-20-Langenhagen-LAB-NI</t>
  </si>
  <si>
    <t>7356.300 BSB-2025/04-2026/03-LOS-3-Vrestorfer-Weg-3-Lüneburg-LAB-NI</t>
  </si>
  <si>
    <t>● 9307-Begehung BSB + Vor- u. Nachbereitung....</t>
  </si>
  <si>
    <t>7356.400 BSB-2025/04-2026/03-LOS-4-Boeselagerstraße-2+4-Braunschweig-LAB-NI</t>
  </si>
  <si>
    <t>● 9307- 1. Begehung BSB + Vor- und Nachbereitung / Dokumentation</t>
  </si>
  <si>
    <t>7356.500 BSB-2025-04-2026-03-LOS-5-Sedanstraße-115-Osnabrück-LAB-NI</t>
  </si>
  <si>
    <t>● 9307- 1. Begehung BSB + Vor- u. Nachbereitung / Dokumentation</t>
  </si>
  <si>
    <t>7356.600 BSB-2025-04-2026-03-LOS-6-Im-Rehhagen-8-Bramsche-LAB-NI</t>
  </si>
  <si>
    <t>● 9307- 1. Begehung BSB + vor- u. Nachbereitung / Dokumentation</t>
  </si>
  <si>
    <t>7356.700 BSB-2025-04-2026-03-LOS-9-Klostermark-70-80-Oldenburg-LAB-NI</t>
  </si>
  <si>
    <t>● 9307- 1. Begehung BSB + Vor- u. Nachbereitung</t>
  </si>
  <si>
    <t>7357 LKOberhavel-AHO-Rettungswache-Bergfelder-Chaussee11-Schönfließ</t>
  </si>
  <si>
    <t>● (p) Pos.1 LPH 1 Grundlagenermittlung GL</t>
  </si>
  <si>
    <t>● (p) Pos.2 LPH 2 Vorplanung GL</t>
  </si>
  <si>
    <t>● (p) Pos.3 LPH 3 Entwurfsplanung GL</t>
  </si>
  <si>
    <t>● (p) Pos.4 LPH 4 Genehmigungsplanung GL</t>
  </si>
  <si>
    <t>● (p) Pos.5 LPH 4 Genehmigungsplanung, Optionale Lstg.</t>
  </si>
  <si>
    <t>7358 StadtRadevormwald-FLAK-Wülfingmuseum-AmGraben2-6-Radevormwald</t>
  </si>
  <si>
    <t>● (p) Pos. 1 Erstellung / Fortschreibung eines Löschanlagenkonzepts</t>
  </si>
  <si>
    <t>7359 BSN-Dehnhardtstraße 11-Frankfurt</t>
  </si>
  <si>
    <t>● (p) Pos.1 tabellarischer BSN</t>
  </si>
  <si>
    <t>7360.01 BTB-Wilhelmstraße-52e-Wiesbaden-Hans-im-Glück</t>
  </si>
  <si>
    <t>● (aN) Pos.1 BTB - Baubegl. der festgelegten Maßnahmen zur brandschutztechn. Mängelbeseitigung</t>
  </si>
  <si>
    <t>7361 Energieprojekte-DK-BSK-WP-Thalfingen+Repowering-Anlage-Seligweiler-Bayern</t>
  </si>
  <si>
    <t>7362 BSA-BW-Seminarinhalte-und-Durchführung-Breisgauring13-Eschbach</t>
  </si>
  <si>
    <t>● (p) Pos. 1 Betreiberverantwortung im Facility Management</t>
  </si>
  <si>
    <t>● (p) Pos. 2 Brandschutzklappen – Befähigte Person für Prüfung und Instandhaltung</t>
  </si>
  <si>
    <t>● (p) Pos. 3 Brandschutzpläne</t>
  </si>
  <si>
    <t>● (aN) Pos. 5 Übernachtungspauschale</t>
  </si>
  <si>
    <t>● • (aN) 25-05-07 Online-Seminar Grundlagen der Rauch- und Wärmeabzugsanlagen</t>
  </si>
  <si>
    <t>● • (aN) 25-10-08 Online-Seminar Brandschutzklappen-RWA</t>
  </si>
  <si>
    <t>● • ‧ 2 Tagespauschalen á 1.050€</t>
  </si>
  <si>
    <t>● • ‧ Fahrtkosten 400km</t>
  </si>
  <si>
    <t>● • (p) Pos. 1 Referententätigkeit (Tagespauschale)</t>
  </si>
  <si>
    <t>7363 Energieprojekte-DK-BSK-WEA-WP-Uettingen-im-Wald</t>
  </si>
  <si>
    <t>7364 SHE-BSK-WP-Göttingen-Baden-Württemberg</t>
  </si>
  <si>
    <t>7365 UI-BTB-StGeorgenerStr-Freiburg-Breisgaucenter</t>
  </si>
  <si>
    <t>7365.01 UI-BST-StGeorgener-Str-2-Freiburg-Breisgaucenter</t>
  </si>
  <si>
    <t>● (p) Pos. 1 Erstellung BST</t>
  </si>
  <si>
    <t>● (aN) Pos.2 BTB während Planungsphase</t>
  </si>
  <si>
    <t>7367 BSK-Major-Karl-Plagge-Kaserne-An-der-neuen-Bergstraße-102-Pfungstadt</t>
  </si>
  <si>
    <t>● Planungseinheit 1 - Halle 4a, 4c, 7a + 7b</t>
  </si>
  <si>
    <t>● Planungseinheit 2 - Energiezentrale</t>
  </si>
  <si>
    <t>7369 CZ-RV-KVA-1285-Rückbau-Sprinklerköpfe</t>
  </si>
  <si>
    <t>● (aN) Pos. 1 Ausführungsplanung Halle 3.3 (Plenum)</t>
  </si>
  <si>
    <t>7370 LAER-Garagenpark-Dummy-Unterprojekte</t>
  </si>
  <si>
    <t>7370.01 LAER-formica-BSK-Garagenpark-Rümelwiese-Haselfeld</t>
  </si>
  <si>
    <t>7370.02 LAER-formica-BSK-Garagenpark-Willi-Melchers-Straße-Lünen-NB-Hallenreihen</t>
  </si>
  <si>
    <t>7372 BAB-HeidelbergerStr185-Darmstadt-Fitness-First</t>
  </si>
  <si>
    <t>● (aN) Pos.1 BAB Ausbauvorhqaben Fitness First Red Lab</t>
  </si>
  <si>
    <t>7373 Kuehne+Nagel-BTB-FLA-Gärtringen</t>
  </si>
  <si>
    <t>● Beratung und Konzepterstellung Sprinkleranlage</t>
  </si>
  <si>
    <t>7374 Officefirst-BSN-Dillwächterstr5-München</t>
  </si>
  <si>
    <t>7374.01 Office-BSN-Dillwächterstr5-München</t>
  </si>
  <si>
    <t>7380 Qualitas-WEA-Dummy-Unterprojekte</t>
  </si>
  <si>
    <t>7380.01 Qualitas-BSK-WEA-Ebersberger-Forst</t>
  </si>
  <si>
    <t>7380.02 Qualitas-BSK-WEA-Geroldshausen-Uengershausen</t>
  </si>
  <si>
    <t>7382 BST-Mustergutachten-Cteam</t>
  </si>
  <si>
    <t>● (p) Pos.1 Erstellung Regelgutachten Stahlgitter- u. Stahlbetonmasten ohne Container</t>
  </si>
  <si>
    <t>7384 Brandschutzzentrale-Fireschutz-BSH-Bielefeld</t>
  </si>
  <si>
    <t>● 25-05-12 (p) Feuerlöschübung (Praxisteil d. Schulung BSH)</t>
  </si>
  <si>
    <t>● 25-05-16 (p) ind. Schulung BSH Grünstadt (MA25006027)</t>
  </si>
  <si>
    <t>● 25-06-14 (p) ind. Schulung BSH Frankfurt (MA250060757)</t>
  </si>
  <si>
    <t>● 25-07-01 (p) prakt. Unterweisung (MA250060272)</t>
  </si>
  <si>
    <t>● 25-07-04 (p) ind. Schulung BSH Idar-Oberstein (MA250060403)</t>
  </si>
  <si>
    <t>● 25-09-24 (p) ind. Schulung BSH Grünstadt (MA250060272)</t>
  </si>
  <si>
    <t>● 25-11-25 (p) Brandschutzhelfer Online Theorie</t>
  </si>
  <si>
    <t>7384.01 BSZ-Fireschutz-BSH-Saarbrücken</t>
  </si>
  <si>
    <t>● 25-09-24 BSH NL Saarbrücken, Neugrabenweg 2, Ref 1544</t>
  </si>
  <si>
    <t>● • (p) Brandschutzhelferschulung</t>
  </si>
  <si>
    <t>● NLL (nicht im ANG kalkuliert)</t>
  </si>
  <si>
    <t>● ADM (nicht im ANG kalkuliert)</t>
  </si>
  <si>
    <t>7385.01 BV-Knöpfel-BST-Friedhofstraße-7-Neu-Isenburg-Quartier-Buchenbusch</t>
  </si>
  <si>
    <t>● (aN) Pos.1 BTB - Brandschutztechn. Beratung</t>
  </si>
  <si>
    <t>● (p) Pos.2 Begehung vor Ort</t>
  </si>
  <si>
    <t>● (p) Pos.3 BSK - Brandschutzkonzept</t>
  </si>
  <si>
    <t>7385.02 BV-Knöpfel-BST-Am-Kalbskopf-1-Neu-Isenburg-Quartier-Buchenbusch</t>
  </si>
  <si>
    <t>● (aN) Pos.1 BTB - Brandschutztech. Beratung</t>
  </si>
  <si>
    <t>7385.03 BV-Knöpfel-BST-Am-Kalbskopf-3-Neu-Isenburg-Quartier-Buchenbusch</t>
  </si>
  <si>
    <t>7385.04 BV-Knöpfel-BST-Frankfurter-Straße-198-Neu-Isenburg-Quartier-Buchenbusch</t>
  </si>
  <si>
    <t>7386 BTB-Gluckensteinweg101-BadHomburg-HCV</t>
  </si>
  <si>
    <t>● (aN) Pos.1 BTB - Bew. der möglichen Nutzung der Räumlich-keiten als Versammlungsstätte</t>
  </si>
  <si>
    <t>7388.01 BSB-Einarbeitung-+Checkliste-alle-Liegenschaften</t>
  </si>
  <si>
    <t>● (aN) Pos.1 Einarbeitung und Erstellung Checkliste (25h SV) 2.875€</t>
  </si>
  <si>
    <t>7388.02 BSB-BTB-bei Brandfällen-alle-Liegenschaften</t>
  </si>
  <si>
    <t>● (aN) Pos.3 BTB bei Brandfällen alle Liegenschaften</t>
  </si>
  <si>
    <t>7388.03 BSB-Eichendorffring-28-Gießen</t>
  </si>
  <si>
    <t>● (aN) Pos.2 Stellung externen BSB</t>
  </si>
  <si>
    <t>7388.04 BSB-Eichgärtenallee-106-110-Gießen</t>
  </si>
  <si>
    <t>7388.05 BSB-Fasanenweg-1-Gießen</t>
  </si>
  <si>
    <t>7388.06 BSB-Herderweg-4-Gießen</t>
  </si>
  <si>
    <t>7388.07 BSB-Lärchenwäldchen-1-3-Gießen</t>
  </si>
  <si>
    <t>7388.08 BSB-Ludwigsplatz-11-Gießen</t>
  </si>
  <si>
    <t>7388.09 BSB-Ludwigstraße-6-Gießen</t>
  </si>
  <si>
    <t>7388.10 BSB-Ludwigstraße-4-Gießen</t>
  </si>
  <si>
    <t>7388.11 BSB-Pater-Delph-Straße-24-Gießen</t>
  </si>
  <si>
    <t>7388.12 BSB-Schottstraße-50-52-Gießen</t>
  </si>
  <si>
    <t>7389 Edeka-FRP-Jahnstr9-Lohr</t>
  </si>
  <si>
    <t>● FRP, hier Ortstermin</t>
  </si>
  <si>
    <t>7390 Weber-PHP-Jahnstr14-16-Winkelhaid</t>
  </si>
  <si>
    <t>● (p) Pos. 1 Fortsetzung Brandschutzprüfung</t>
  </si>
  <si>
    <t>● (aN) Pos. 2 Überwachung Bauausführung/BSN</t>
  </si>
  <si>
    <t>7391 Aktiv-Wohnbau-FWP-Pfarrstraße-3-Helmstadt-Bargen</t>
  </si>
  <si>
    <t>● (p) 1.005 Abgleich/Aufnahme Feuerwehrplan</t>
  </si>
  <si>
    <t>● (p) 2.007 Fahrtkostenpauschale je Termin</t>
  </si>
  <si>
    <t>● NAT FWP (ERF/PN 1025006)6</t>
  </si>
  <si>
    <t>7392 BSN+KOF-Burgstraße-26-Jossgrund</t>
  </si>
  <si>
    <t>● (p) Pos.1 Tab. BSN (ANG v. 02.05.2025)</t>
  </si>
  <si>
    <t>● (p) Pos.1 Schlussbescheinigung/KOF (ANG v. 07.05.2025)</t>
  </si>
  <si>
    <t>7393 Beigel-REWE-Markt-AHO-BSN-GautingerStr3-Starnberg</t>
  </si>
  <si>
    <t>7394 TCO-BST-divBestandsdächer-Soldev-HIH-Saarlouis</t>
  </si>
  <si>
    <t>● Saarlouis</t>
  </si>
  <si>
    <t>7394.01 TCO-BST-divBestandsdächer-Soldev-div.-Standorte</t>
  </si>
  <si>
    <t>● Ludwigsfelde</t>
  </si>
  <si>
    <t>● Bergkamen</t>
  </si>
  <si>
    <t>● Köln</t>
  </si>
  <si>
    <t>● Sinzheim</t>
  </si>
  <si>
    <t>● Bürstadt</t>
  </si>
  <si>
    <t>● Duisburg</t>
  </si>
  <si>
    <t>● Ergoldsbach</t>
  </si>
  <si>
    <t>● Espelkamp</t>
  </si>
  <si>
    <t>● Halver</t>
  </si>
  <si>
    <t>● Rödenthal</t>
  </si>
  <si>
    <t>7396 BSK-Herderstraße-25-Hochheim</t>
  </si>
  <si>
    <t>● (p) Pos.2 Baubegl. BAB + Qualitätsüberwachung</t>
  </si>
  <si>
    <t>7396.01 BSP-Herderstraße-25-Hochheim</t>
  </si>
  <si>
    <t>● (p) Pos.1 Erstellung von aktuellen Plangrundlagen</t>
  </si>
  <si>
    <t>7397 Tetris-BTB-Johann-Sebastian-Bach-Platz10-Ansbach</t>
  </si>
  <si>
    <t>7397.01 Tetris-AHO-BSN-Johann-Sebastian-Bach-Platz10-Ansbach</t>
  </si>
  <si>
    <t>● Stundensammler LP 1</t>
  </si>
  <si>
    <t>● Stundensammler LP 2</t>
  </si>
  <si>
    <t>● Stundensammler LP 3</t>
  </si>
  <si>
    <t>● Stundensammler LP 4</t>
  </si>
  <si>
    <t>7398.01 Cteam-BSB-Mast-093A-Koellestraße-7-Karlsruhe - BEA abgelehnt-STORNO</t>
  </si>
  <si>
    <t>● (p) Pos.1 BSB</t>
  </si>
  <si>
    <t>● (p) Pos.2 Begehung vor Ort bis zu 400km</t>
  </si>
  <si>
    <t>7400 JUWI-WP-div-MST</t>
  </si>
  <si>
    <t>● WEA Remchingen</t>
  </si>
  <si>
    <t>● WEA Krackow2</t>
  </si>
  <si>
    <t>● WEA Niedermoschel</t>
  </si>
  <si>
    <t>● WP-Heidenburg</t>
  </si>
  <si>
    <t>7401 Fischbach-Breitscheidstraße-141-Rudolstadt - Stundennachweise</t>
  </si>
  <si>
    <t>● Erstellung Brandschutzkonzeptpläne</t>
  </si>
  <si>
    <t>7403 LRE-Medical-BTB-HoferStr5-Nördlingen</t>
  </si>
  <si>
    <t>● ANG BTB 2025-04-04</t>
  </si>
  <si>
    <t>● NAT BTB 2025-04-28</t>
  </si>
  <si>
    <t>7404 Settele-FRP-FWP-KotternerStr36-Kempten</t>
  </si>
  <si>
    <t>● (aN) Pos. 1 Flucht- und Rettungspläne (CAD)</t>
  </si>
  <si>
    <t>● (aN) Pos. 2 Erstellung von Feuerwehrpläne (CAD)</t>
  </si>
  <si>
    <t>7405 VWPA-BSK-WEA-Hollfeld-Daniel-Koglin</t>
  </si>
  <si>
    <t>7406 Wiesen-BTB-LP5-Plinganserstr65-München</t>
  </si>
  <si>
    <t>● ANG: (aN) Pos. 1 Brandschutztechnische Beratung im Zuge der LP 5</t>
  </si>
  <si>
    <t>● NAT: (aN) Pos. 1 Ergänzung zu bestehenden Brandschutznachweis (SV ~6h) 840</t>
  </si>
  <si>
    <t>● NAT: (aN) Pos. 2 Brandschutztechnische Beratung im Zuge der Ausführung</t>
  </si>
  <si>
    <t>7407 BSK-Erzberg-24-Braunschweig-Anbau-an-Werkstatthalle</t>
  </si>
  <si>
    <t>● (p) Pos.1 Stellungnahme zum vorbeugenden Brandschutz</t>
  </si>
  <si>
    <t>7408 SW-Augsburg-Brandschutzstudie-E-Busbetriebshof-LechhauserStr22-Augsburg</t>
  </si>
  <si>
    <t>● Busbahnhof + Edeka-Gelände</t>
  </si>
  <si>
    <t>7409 FWP-IDA- Margarete-Steiff-Strasse-Braunschweig-Rautheim</t>
  </si>
  <si>
    <t>● (p) Pos.1 Ortsbegehung und Festlegung, Abstimmung und Montage</t>
  </si>
  <si>
    <t>● (p) Pos.2 Vorbereitung und Beschaffung der Beschilderung - Bestellobergrenze</t>
  </si>
  <si>
    <t>7410 Eurowind-RV</t>
  </si>
  <si>
    <t>● WP-Burbach-Wilnsdorf-II</t>
  </si>
  <si>
    <t>7412 Galeria-BSH-Louisenstraße-91-95-Bad Homburg</t>
  </si>
  <si>
    <t>● (p) Pos.1 Brandschutzschulung (Theorie) für BSH 1. Termin</t>
  </si>
  <si>
    <t>7413 Ehret+Klein-NB-Museumsquartier-Bahnhofstr1+3-Starnberg</t>
  </si>
  <si>
    <t>● (aN) Pos. 1 Brandschutztechnische Beratung LP 1 + LP 2</t>
  </si>
  <si>
    <t>7414 HJVV-BSK-NB-Wohnanlage-Trier-Ehrang</t>
  </si>
  <si>
    <t>● (aN) Pos. 1 BTB + Abstimmungstermine (SV ~40h á 115€/h) 4.600€</t>
  </si>
  <si>
    <t>● (p) Pos. 2 Erstellung eines Brandschutzkonzeptes (SV 40h/CAD 16h/ADM 1h/5.780€) 6.650€</t>
  </si>
  <si>
    <t>7415 HT-YEXIO-DC-03-Brake</t>
  </si>
  <si>
    <t>● (p) Pos.1 - 2.2.1 LPH 1 Grundleistungen RL</t>
  </si>
  <si>
    <t>● (p) Pos.2 - 2.2.2 LPH 2 Vorplanung RL</t>
  </si>
  <si>
    <t>● (p) Pos.3 - 2.2.3 LPH3 Entwurfsplanung RL</t>
  </si>
  <si>
    <t>● (p) Pos.4 - 2.2.4 LPH4 RL Genehmigungsplanung</t>
  </si>
  <si>
    <t>● (p) Pos.5 - 2.2.5 LPH5 RL Ausführungsplanung RL</t>
  </si>
  <si>
    <t>7416 HT-YEXIO-DC-04-Dorfen</t>
  </si>
  <si>
    <t>● (p) Pos.1 - 2.2.1 LPH 1 Grundlagenermittlung RL</t>
  </si>
  <si>
    <t>● (p) Pos.3 - 2.2.3 Entwurfsplanung RL</t>
  </si>
  <si>
    <t>● (p) Pos.4 - 2.2.4 GenehmigungsplanungRL</t>
  </si>
  <si>
    <t>● (p) Pos.5 - 2.2.5 Ausführungsplanung RL</t>
  </si>
  <si>
    <t>7417 HT-YERIXO-DC-05-Herne</t>
  </si>
  <si>
    <t>● (p) Pos.3 - 2.2.3 LPH 3 Entwurfsplanung RL</t>
  </si>
  <si>
    <t>● (p) Pos.4 - 2.2.4 LPH 4 Genehmigungsplanung RL</t>
  </si>
  <si>
    <t>● (p) Pos.5 - 2.2.5 LPH 5 Ausführungsüplanung RL</t>
  </si>
  <si>
    <t>7418 BTB-Lohkoppelweg-1-Hamburg</t>
  </si>
  <si>
    <t>● (p) Pos.1 Brandschutztechnische Beratung</t>
  </si>
  <si>
    <t>7419.01 Wild-Stiftung-Objektüberwachung-Sporthalle-Pestalozzistr10-Eppelheim</t>
  </si>
  <si>
    <t>● (aN) Pos. 1 Objektüberwachung</t>
  </si>
  <si>
    <t>7419.02 Zech-FRP-FWP-Sporthalle-Pestalozzistr10-Eppelheim</t>
  </si>
  <si>
    <t>● (p) Pos. 3 FRP (CAD)</t>
  </si>
  <si>
    <t>● (aN) Pos. 4 Begehung (CAD)</t>
  </si>
  <si>
    <t>7419.03 Zech-BSO-Sporthalle-Pestalozzistr10-Eppelheim</t>
  </si>
  <si>
    <t>● (p) Pos. 1 BSO</t>
  </si>
  <si>
    <t>7420 Yggotel-Begehung-FRP-Erfurt</t>
  </si>
  <si>
    <t>● (p) Begehung Essen</t>
  </si>
  <si>
    <t>7422 Energieprojekte-DK-BSK-WEA-Aschbach-Ilmenau</t>
  </si>
  <si>
    <t>7423 Hellerwald-BSK-Hellerwaldstr10-Boppard-Buchholz</t>
  </si>
  <si>
    <t>● (aN) Pos. 1 BTB Planungsphase (SV)</t>
  </si>
  <si>
    <t>● (aN) Pos. 3 Optional: BTB (SV)</t>
  </si>
  <si>
    <t>7424 Dummy-ASB-BSB</t>
  </si>
  <si>
    <t>● Dummy</t>
  </si>
  <si>
    <t>7424.01 ASB-BSB-2025-Lange-Str-13-Frankfurt</t>
  </si>
  <si>
    <t>● (aN) Pos.1 Stellung extern. BSB  - 1 Begehung pro Jahr</t>
  </si>
  <si>
    <t>● (aN) Pos.2 Erstellung Videoschulung f. Bewohner</t>
  </si>
  <si>
    <t>● (aN) Pos.3 Evakuierungsübung</t>
  </si>
  <si>
    <t>● (aN) Pos.4 Überarbeitung v. Aushängen (Evakuierungsanw., Ablaufpläne)</t>
  </si>
  <si>
    <t>7424.02 ASB-BSB-2025-Seiler-Str-18-Frankfurt</t>
  </si>
  <si>
    <t>7424.03 ASB-BSB-2025-Zum-Rebstockbad-5-Frankfurt</t>
  </si>
  <si>
    <t>● (aN) Pos.2 Erstellung Kurzbeschreibung mit Bildern f. Bewohner</t>
  </si>
  <si>
    <t>● (aN) Pos.3 Überarbeitung v. Aushängen, Evak.anweisungen, Ablaufpl. BS unhd Evakuierung</t>
  </si>
  <si>
    <t>7424.04 ASB-BSB-2025-Hahnstraße-9-Frankfurt</t>
  </si>
  <si>
    <t>7424.05 ASB-BSB-2025-Dürkheimer-Straße-3-Frankfurt</t>
  </si>
  <si>
    <t>● (aN) Pos.2 Erstellung einer Kurzbeschreibung mit Bildern f. Bewohner</t>
  </si>
  <si>
    <t>7424.06 ASB-BSB-2025-08-Mainzer-Landstraße-563-Frankfurt</t>
  </si>
  <si>
    <t>7425 Thyson-BST-Weinstr-Süd-Bad-Dürkheim</t>
  </si>
  <si>
    <t>● (aN) Pos. 1 Ortstermin und brandschutztechnische Beratung</t>
  </si>
  <si>
    <t>● (p) Pos. 2 Erstellung brandschutztechnischen Stellungnahme</t>
  </si>
  <si>
    <t>7426 MPI-BTB-Biophysik-Max-von-Laue-Str3-FFM</t>
  </si>
  <si>
    <t>7426.01 MPI-QBS-Brandfallsteuermatrix-Biophysik-Max-von-Laue-Str3-FFM</t>
  </si>
  <si>
    <t>● • (aN) Pos. 1 Abstimmungstermine und Teilnahme an der Wirk-Prinzip-Prüfung</t>
  </si>
  <si>
    <t>● • (p) Pos. 2 Qualitative Brandfallsteuermatrix</t>
  </si>
  <si>
    <t>7426.02 MPI-BTB-Sanierung-Biophysik-Max-von-Laue-Str3-FFM</t>
  </si>
  <si>
    <t>● • (aN) Pos. 1 Brandschutztechnische Beratung während der Planungsphase</t>
  </si>
  <si>
    <t>7426.03 MPI-Fortschr-BSK-Biophysik-Max-von-Laue-Str3-FFM</t>
  </si>
  <si>
    <t>● • Pos. 1 Fortschreibung eines Brandschutzkonzeptes</t>
  </si>
  <si>
    <t>7427 IKEA-PLA-Rheiner-Landstr-215-Osnabrück</t>
  </si>
  <si>
    <t>● (aN) Pos. 1 Fachtechnische Beratung/Konzept Ertüchtigung Sprinklerpumpe</t>
  </si>
  <si>
    <t>● Pos. 2 Optional: 3D-Modeel Sprinklerzentrale</t>
  </si>
  <si>
    <t>7428 BTB-Europa-Allee-12-22-Frankfurt-Sicherheitsbeleuchtung</t>
  </si>
  <si>
    <t>● (aN) Pos.1 BTB-Bew. d.festgestellten Mängel d.Prüfsachverständigen zur Sicherheitsbeleuchtung</t>
  </si>
  <si>
    <t>7429 BSN-Klosterhofstraße-27-Frankfurt</t>
  </si>
  <si>
    <t>● (aN) Pos.3 Baubegl. Brandschutzberatung+Qualitätsüberwachung</t>
  </si>
  <si>
    <t>7430 Grethenweg-HPPVO</t>
  </si>
  <si>
    <t>7431 Porta-FRP-Hansestraße-28-Braunschweig</t>
  </si>
  <si>
    <t>● (p) Pos. 1.001 Neuerst. FRP 45 Stck - Aufteilung s. Schätzung</t>
  </si>
  <si>
    <t>● (aN) Pos. 1.002 Laminierung A3 45 Stck.</t>
  </si>
  <si>
    <t>● (aN) Pos. 1.003 Aluklapprahmen DIN A3 40€/Stck.</t>
  </si>
  <si>
    <t>● (p) Pos. 1.004  Abgleich/Aufnahme vor Ort</t>
  </si>
  <si>
    <t>● (p) Pos. 2.002 Verpackung + Versankosten 2x 40€= 80€ abzgl. 10%</t>
  </si>
  <si>
    <t>● (p) Pos.2.003 Fahrtkostenpauschale 200€ N.E.P.</t>
  </si>
  <si>
    <t>7431.01 Porta-FWP-Hansestraße-28-Braunschweig</t>
  </si>
  <si>
    <t>● (aN) Pos. 1.001 Neuerstellung FWP 1Stck</t>
  </si>
  <si>
    <t>● (aN) Pos. 1.002 Abschnittsplan/Geschossplan 4 Stck</t>
  </si>
  <si>
    <t>● (aN) Pos. 1.003 Objektinformation zum FWP 1 Stck</t>
  </si>
  <si>
    <t>● (aN) Pos. 1.004 Mehrfertigung FWP 6Stck.</t>
  </si>
  <si>
    <t>● (p) Pos. 1.005 Abgleich FWP</t>
  </si>
  <si>
    <t>● (aN) Pos. 1.006 Datenübermittlung 1 Stck.</t>
  </si>
  <si>
    <t>● (aN) Pos. 2.001 digitale Aufbereitung 5 Stck.</t>
  </si>
  <si>
    <t>● (aN) Pos. 2.002 Verpackung/Versand 2 Stck.</t>
  </si>
  <si>
    <t>● (aN) Pos. 2.003 Fahrtkostenpauschale 1 Stck.</t>
  </si>
  <si>
    <t>7431.02 Porta-Brandschutzzeichen-Treppe -Hansestraße-28-Braunschweig</t>
  </si>
  <si>
    <t>● (aN) Pos. 1 Brandschutzzeichen Treppe - Sonderanfertigung je Treppe 6 Stck á 110€ ges. 660€</t>
  </si>
  <si>
    <t>● (aN) Verpackung u. Versandkosten 2 Stck. á 12€ ges. 24€</t>
  </si>
  <si>
    <t>7432 BER-Neue-Straße-27-Hamburg-Harburg-EG</t>
  </si>
  <si>
    <t>● (p) Pos.1 Erstellen einer Gutachterlichen Stellungnahme</t>
  </si>
  <si>
    <t>7433 bika-BST-Schießstattweg2+4-Memmingen</t>
  </si>
  <si>
    <t>● Pos. 1 BST Rettungswege</t>
  </si>
  <si>
    <t>7434 AHO-Los3-Jagdschloss-Kranichsteiner-Straße-261-Darmstadt-Schloss</t>
  </si>
  <si>
    <t>● (p) LPH1 Grundlagenermittlung GL</t>
  </si>
  <si>
    <t>● (p) LPH 2 Vorplanung GL</t>
  </si>
  <si>
    <t>● (p) LPH 3 Entwurfsplanung GL</t>
  </si>
  <si>
    <t>● (p) LPH  4 Genehmigungsplanung GL</t>
  </si>
  <si>
    <t>● (p) LPH 5 Ausführungsplanung GL</t>
  </si>
  <si>
    <t>● (p) LPH 8 Bauüberwachung GL</t>
  </si>
  <si>
    <t>● (p) LPH 1 BL Sichtung Bestandsunterlagen</t>
  </si>
  <si>
    <t>● (p) LPH 1 BL OT - 6 Stck.</t>
  </si>
  <si>
    <t>● (p) LPH   BL Doku+Erst. Verwendungsnachweis</t>
  </si>
  <si>
    <t>● (p) LPH 9 BL Erstellen BSO</t>
  </si>
  <si>
    <t>● (p) LPH 9 BL Erstellen FRP</t>
  </si>
  <si>
    <t>7434.01 AHO-Los3-Jagdschloss-Kranichsteiner-Straße-261-Darmstadt-NB-Depot</t>
  </si>
  <si>
    <t>7435 wiwi-BSK-WEA-Spiesheim-Wörrstadt-Ost</t>
  </si>
  <si>
    <t>● (p) Pos. 1 Erst. BSK</t>
  </si>
  <si>
    <t>● (aN) Pos. 2 Optional: Anpassung Brandschutzkonzept</t>
  </si>
  <si>
    <t>● (aN) Pos. 3 Optional: Anpassung Brandschutzkonzeptpläne (CAD) 450€</t>
  </si>
  <si>
    <t>7436 JC-Samurai-BSK-Neubau-Sportstätte-Gravenbruchweg1-Offenbach</t>
  </si>
  <si>
    <t>7437 MVV-BSK-UW3-Käfertal-Mannheim</t>
  </si>
  <si>
    <t>7438 INEOS-PLA-GebF414+F407-G720-BASF-Ammoniakstr-LUD</t>
  </si>
  <si>
    <t>● (p) Pos. 1 Maßnahmen Geb. F414</t>
  </si>
  <si>
    <t>● (p) Pos. 2 Maßnahmen Geb. F407</t>
  </si>
  <si>
    <t>● (p) Pos. 5 Auftragsbearbeitung</t>
  </si>
  <si>
    <t>7438.01 INEOS-PLA-GebF407-BASF-Ammoniakstr-LUD</t>
  </si>
  <si>
    <t>● ANG-PLA-001-2025-09-12-INEOS-Geb.F40</t>
  </si>
  <si>
    <t>7439 BTB-Industriestraße-10-Haldensleben-Anlageninbetriebnahme</t>
  </si>
  <si>
    <t>● (p) Pos.1 Begleitung der ZÜS-Abnahme einer LPG-Anlage</t>
  </si>
  <si>
    <t>● (p) Pos.2 Begleitung der Abnahme</t>
  </si>
  <si>
    <t>7439.01 Geberit-FRP-Industriestraße-10-Haldensleben-Werksgelände</t>
  </si>
  <si>
    <t>● (aN) Pos.1 Ortsbegehung mit Bestandsaufnahme</t>
  </si>
  <si>
    <t>● p) Pos.3 FWP</t>
  </si>
  <si>
    <t>● (p) Pos.4 Erstellung + Aktualisierung v. Brandschutzdokumenten</t>
  </si>
  <si>
    <t>7439.02 Geberit-BSN-Industriestraße-10-Haldensleben</t>
  </si>
  <si>
    <t>● (aN) Pos.1 Grundlagenermittlung +Machbarkeitsanalyse -Realisierung Lagerfläche im Produktionsumfeld</t>
  </si>
  <si>
    <t>7440 BTB-Elisabeth-Schwarzhaupt-Platz-1-Berlin-Steigleitern</t>
  </si>
  <si>
    <t>● (p) Pos.1 BTB Überprüfung des neuen Arbeitsplans für Steigleitern - Tagespauschale</t>
  </si>
  <si>
    <t>7441 Baupionier-Garagenpark-Öhringen-BSK</t>
  </si>
  <si>
    <t>● ANG (p) Pos. 2 Erst. BSK</t>
  </si>
  <si>
    <t>● NAT (p) Anpassung BSK</t>
  </si>
  <si>
    <t>7442 Aldi-Süd-PLA-Logistikzentrum-Holzäckerstr1a-Adelsdorf</t>
  </si>
  <si>
    <t>● (Stufe 4 (p) LP 8 - Objektüberwachung – Bauüberwachung</t>
  </si>
  <si>
    <t>7443 AVG-PHP-Nachprüfung-Funkenlöschanlage-Siemensstr81-Goch</t>
  </si>
  <si>
    <t>● (aN) Nachprüfung nach Mängelbeseitigung an einer Funkenlöschanlage</t>
  </si>
  <si>
    <t>7444 Energieprojekte-DK-BSK-WEA-Schußbachwald</t>
  </si>
  <si>
    <t>7445 Energieprojekte-DK-BSK-WEA-Thüngersheim</t>
  </si>
  <si>
    <t>7446 Hamm-Architektur-BSK-BTB-Dom-zu-Worms-Lutherring9-Worms</t>
  </si>
  <si>
    <t>● (aN) Pos. 1 Grundlagenermittlung und Objektbegehung (Ortsbesichtigung inkludiert/SV)</t>
  </si>
  <si>
    <t>● (aN) Pos. 2.1 Erstellen BSK (Teilnahme an bis 2 Vor-Ort- Terminen in Worms inkludiert/SV)</t>
  </si>
  <si>
    <t>● (aN) Pos. 2.2 Erstellen der zugehörigen Pläne (CAD)</t>
  </si>
  <si>
    <t>● (aN) Pos. 3 optional, Abruf offen: Gebäudekonkreter Brandschutznachweis (Teilnahme an bis 1 Vor-Ort- Terminen in Worms inkludiert/SV)</t>
  </si>
  <si>
    <t>● (aN) Pos. 4 optional, Abruf offen Mitwirken bei der brandschutztechnischen Ausführungsplanung (SV)</t>
  </si>
  <si>
    <t>● (aN) Pos. 5 Objektüberwachung Mitwirkung / Kontrolle der baulichen Umsetzung (SV)</t>
  </si>
  <si>
    <t>● (aN) Pos. 6 Erstellen einer Brandschutzordnung A - C DIN 14096 (CAD)</t>
  </si>
  <si>
    <t>● (aN) Pos. 7 Erstellen Feuerwehrpläne (CAD)</t>
  </si>
  <si>
    <t>● (aN) Pos. 8 Erstellen Flucht - und Rettungswegpläne (CAD)</t>
  </si>
  <si>
    <t>● (aN) Pos. 9 Rettung Kulturgut (SV)</t>
  </si>
  <si>
    <t>● (aN) Pos. 10 Vor-Ort-Termin zur Abstimmung der Planung (wenn kalkulierte nicht ausreichen/SV zzgl. Fahrtkosten))</t>
  </si>
  <si>
    <t>7447 BGT-BSN-Begegnungsstätte-Friedrichsthal</t>
  </si>
  <si>
    <t>7448 Seniorenresidenz-Sonnenwinkel-BSH-Im-Füllengarten14-16-Saarbrücken</t>
  </si>
  <si>
    <t>● (p) Pos. 1 Brandschutzschulung (Theorie) für Brandschutzhelfer + Feuerlöschtraining</t>
  </si>
  <si>
    <t>7449 KOF-Steinheimer-Vorstadt-11-Hanau-Bestandsgebäude</t>
  </si>
  <si>
    <t>● (aN) Pos.1 KOF Bestgandsgebäude</t>
  </si>
  <si>
    <t>7450 ServiceNow-Kinzo-BTB-FRP-Levelingstr4-München</t>
  </si>
  <si>
    <t>● (aN) Pos. 2 Anpassung von Flucht- und Rettungsplänen</t>
  </si>
  <si>
    <t>7451 BTB-Brückhofstraße-1-Frankfurt-Außenwände</t>
  </si>
  <si>
    <t>● 2025-07-10 /kk (aN) Pos.1 BTB - Baumaßnahmen an Außenwänden/Brandwänden</t>
  </si>
  <si>
    <t>7452 PadelCity-CFD-Strömungs-+Brandsimulation-Emma-Herwegh-Str-Berlin</t>
  </si>
  <si>
    <t>● (p) Pos. 1 CFD Strömungs- und Brandsimulation Basisvariante</t>
  </si>
  <si>
    <t>7453 BSN-Louisenstraße-94-Bad-Homburg-Gastronomie</t>
  </si>
  <si>
    <t>● (p) Pos.2 erstellung Brandschutzpläne</t>
  </si>
  <si>
    <t>● (aN) Pos.3 BAB + Qualitätsüberwachung für die Durchführung der BM</t>
  </si>
  <si>
    <t>7454 BTB-Werner-Eckert-Straße-8-12-München-2.OG</t>
  </si>
  <si>
    <t>● (p) pos. 1 Brandschutztechnische Stellungnahme</t>
  </si>
  <si>
    <t>7455 IKEA-PLA-Griesenhörn-2-4-Elsdorf</t>
  </si>
  <si>
    <t>● (aN) Pos.1 Erstellung eines Löschanlagenkonzeptes</t>
  </si>
  <si>
    <t>7455.01 Ikea-BTB-Griesenhörn-2-4-Elsdorf-Hochregallager</t>
  </si>
  <si>
    <t>● (p) Pos.1 BTB</t>
  </si>
  <si>
    <t>7456 BTB-Behördenzentrum-Gerichtsstraße-1+3-Idstein-Brandmeldeanlage</t>
  </si>
  <si>
    <t>● (aN) ohne ANG BTB zur Thematik Ausführung der Brandmeldeanlage</t>
  </si>
  <si>
    <t>7457 BTB-Lilienthalstr-Unterbiberg-Quartiersentwicklung</t>
  </si>
  <si>
    <t>● (p) Pos.1 BTB inkl. Zusammenfassung der Ergebnisse div. Flurnummern</t>
  </si>
  <si>
    <t>7458 Finzelberg-FLAK-Koblenzer-Straße-48-56-Andernach</t>
  </si>
  <si>
    <t>● (p) Pos.1 Erstellen einer gutachterlichen Stellungnahme</t>
  </si>
  <si>
    <t>7459 Baupionier-BTB-Prüfung-Details-Garagenparks</t>
  </si>
  <si>
    <t>● (p) Erstellung brandschutztechnische Stellungnahme (16h SV / 1h Admin) 1.900€ / 2.200€</t>
  </si>
  <si>
    <t>7461 SEF-LOS-2-ARA-Gutleutstraße-407-Griesheim-Explosionsschutzpläne</t>
  </si>
  <si>
    <t>● (p) LOS 2 Aktualisierung Explosionsschutzdokument-ARA</t>
  </si>
  <si>
    <t>7462 SEF-LOS-2-ARA-Goldsteinstraße-160-Niederrad-Explosionsschutzpläne</t>
  </si>
  <si>
    <t>7463 Baupionier-GP-Danziger-Straße-3-Hannover</t>
  </si>
  <si>
    <t>● Stundensammler SV</t>
  </si>
  <si>
    <t>● Stundensammler CAD</t>
  </si>
  <si>
    <t>7464 BTB-Europaallee12-22-Ffm-Geb-OPTIONS</t>
  </si>
  <si>
    <t>7465 Begehung-FWP-Grüner-Weg-33-Kassel-Polizeipräsidium</t>
  </si>
  <si>
    <t>● (p) Pos.1 Objektbegeh.-Aufnahme brandschutztechn. Einrichtungen+Abgleich  vorhandenen FWP m. Bestand</t>
  </si>
  <si>
    <t>● (p) Pos.3 Anpassung Grundrisspläne nach Abgleich</t>
  </si>
  <si>
    <t>7465.01 FWP-Grüner-Weg-33-Kassel-Polizeipräsidium</t>
  </si>
  <si>
    <t>7466 Hoppe-PHP-Mühlstr76-Darmstadt-HPPVO</t>
  </si>
  <si>
    <t>● (aN) Prüfung und Bescheinigung von Abweichungen zum Bauvorhaben</t>
  </si>
  <si>
    <t>● (p) Auftragsbearbeitung/Administrative Tätigkeiten zur Projektunterstützung</t>
  </si>
  <si>
    <t>7467 Kernig-BSK-Bismarckstraße-27-Köln-EG-EVO-Fitnessstudio</t>
  </si>
  <si>
    <t>● (p) Pos.1 Erstellung BSK für Nutzungsänderung der EG-Einheit in ein EVO-Fitnessstudio</t>
  </si>
  <si>
    <t>● (aN) Pos.2 Baubegl. Brandschutzberatung +Qualitätsüberwachung für Durchführung der BM</t>
  </si>
  <si>
    <t>7468 PasingGmbH-BTB-FRP-FWP-Steinerweg3a-Pasing</t>
  </si>
  <si>
    <t>● (aN) Pos. 1 Brandschutztechnische Beratungsleistungen (LP5)</t>
  </si>
  <si>
    <t>● (aN) Pos. 2 Brandschutztechnische Beratungsleistungen (LP8)</t>
  </si>
  <si>
    <t>● (aN) Pos. 3 Erstellung bzw. Anpassung der Feuerwehrplän</t>
  </si>
  <si>
    <t>● (aN) Pos. 4 Erstellung bzw. Anpassung der Flucht- und Rettungspläne (+ optional Klapprahmen)</t>
  </si>
  <si>
    <t>● Pos. 5 Optional: Zusätzliche Beratungsleistungen</t>
  </si>
  <si>
    <t>7469 DRV-BSB-06-2025-052026-Los1-FK-Gaißach</t>
  </si>
  <si>
    <t>● (aN) BSB 06-2025/05-2026  Los 1</t>
  </si>
  <si>
    <t>● Anfahrten / Jahr á 4h zu 95€ = 2.280€</t>
  </si>
  <si>
    <t>7471 Löw-FRP-Benzstr-14-Bad Homburg-Krippe</t>
  </si>
  <si>
    <t>7472 ASB-FWP-Frankfurter-Str-2-Weilbach-WG</t>
  </si>
  <si>
    <t>7473 BST-FritzKortnerBogen2-MUC-5.OG-UP-WC-Spülkasten</t>
  </si>
  <si>
    <t>● (p) Pos.1 Erstellung BST zu -UP-WC-Spülkasten</t>
  </si>
  <si>
    <t>7474 Alterric-BSK-Simmerner-Str-Simmern</t>
  </si>
  <si>
    <t>● (p) Pos. 1 BSK Prüpfung + Fortschr. eines bestehenden, genehmigten Gutachtens</t>
  </si>
  <si>
    <t>7475 URL-WEG-BTB-Schwarzenbergstr1+3+5-Rosenheim</t>
  </si>
  <si>
    <t>7476 Porr-BTB-Frankfurter-Straße-62-Raunheim-FRA32</t>
  </si>
  <si>
    <t>● (aN) Pos.1 BTB - consulting services</t>
  </si>
  <si>
    <t>● (p) Pos.2 Ortstermin - On-site inspections</t>
  </si>
  <si>
    <t>● (aN) Pos.3 BSK - Summary of changes to the fire protection concept</t>
  </si>
  <si>
    <t>7477 WindBauer-BSK-WEA-Waldhausen</t>
  </si>
  <si>
    <t>7478 WindBauer-BSK-WEA-Hofstett</t>
  </si>
  <si>
    <t>7479 Weinke-BST-Oranienstraße-9-Frankfurt-DG</t>
  </si>
  <si>
    <t>● (aN) Pos.1 BTB bzgl. der Wohnnutzung im DG sowie der Büronutzung im KG</t>
  </si>
  <si>
    <t>7481 The Oswalds-BSO-Gewerbegegäude-Reichertshausen</t>
  </si>
  <si>
    <t>● (p) Pos. 1 Ermittlung der Feuerlöscheranzahl</t>
  </si>
  <si>
    <t>● (p) Pos.2 Brandschutzordnung</t>
  </si>
  <si>
    <t>7482 Telehouse-BSK-TDE-Campus-Kleyerstraße-FFM-übergeordnetes-BSK</t>
  </si>
  <si>
    <t>● (p) Pos. 1 Zusammenstellung der Gebäude mit vorhandenen brandschutztechnischen Bewertungen</t>
  </si>
  <si>
    <t>● (aN) Pos. 2 übergreifendes BSK (Campus)x</t>
  </si>
  <si>
    <t>7483 Fortschr.-BSK-Bhf-Traunstein</t>
  </si>
  <si>
    <t>● (p) Pos. 01.16.03 Fortschreibung des bestehenden BSK für Personenverkehrsanlagen mit Gebäuden</t>
  </si>
  <si>
    <t>7484 Vitzthum-AHO-NeubauOtto9-Otto-Straße 9-München</t>
  </si>
  <si>
    <t>● (p) Pos1 LPH 1 Grundlagenermittlung RL</t>
  </si>
  <si>
    <t>● (p) Pos.4 LPH 4 Genehmigungsplanung RL</t>
  </si>
  <si>
    <t>● (p) Pos.5 OPTIONAL LPH 5</t>
  </si>
  <si>
    <t>● (p) Pos.8 OPTIONAL LPH 8 RL</t>
  </si>
  <si>
    <t>7485 Hijran-Sohrab-BSK-Europaplatz10-BKR</t>
  </si>
  <si>
    <t>● (aN) Pos. 1 BST</t>
  </si>
  <si>
    <t>7486 wiwi-BSK-WEA-Mainz-Hechtsheim</t>
  </si>
  <si>
    <t>7487 BLB-Mühlenhagen-85-Hamburg-NB-Pulverproduktion</t>
  </si>
  <si>
    <t>● (aN) Pos.1 Beratung zur Brandlastberechnung</t>
  </si>
  <si>
    <t>7488 BTB-Adelheidstr.18-Königstein-Klinik-Dr.Steib</t>
  </si>
  <si>
    <t>● (aN) Pos.1 BTB während der Ausführungsphase</t>
  </si>
  <si>
    <t>7489 HKT-BST-Funkturm-Zülpicher-Wall-48-Köln-Dachbodendecke</t>
  </si>
  <si>
    <t>● (p) Pos. 1 BST - Artikel-Nr. B00000</t>
  </si>
  <si>
    <t>7490 BSB-Kinderhaus-Krabbelkäfer-Benzstr-14-Bad Homburg</t>
  </si>
  <si>
    <t>● (aN) Pos.1 Stellung eines externen BSB 1 Begehung pro Jahr</t>
  </si>
  <si>
    <t>7491 BSB-Kita-Taunuskrebse-Zeppelinstr34-Bad Homburg</t>
  </si>
  <si>
    <t>7492 HD-FRP-Ausbildungshaus-Römerstr129-131-Heidelberg</t>
  </si>
  <si>
    <t>● (p) Pos. 1 Flucht- und Rettungspläne</t>
  </si>
  <si>
    <t>7493 xpressSeals-BSH-Elbring-14-Wedel</t>
  </si>
  <si>
    <t>● (p) Pos.1 Brandschutzhelferausbildung (Theorie + Praxis)</t>
  </si>
  <si>
    <t>7494 Fresenius-BTB-Forum-EK2--Else-Kröner-Straße-2-Bad Homburg-Verschattungsanlage</t>
  </si>
  <si>
    <t>● (aN) Pos.1 BTB-Bew. gepl. Verschattungsanlage Forum EK2 hinsichtl. Tragkonstruktion + Rauchableitung</t>
  </si>
  <si>
    <t>7495 WEG-BTB-Instandhaltung-Implerstr29-33-München</t>
  </si>
  <si>
    <t>● (aN) Pos. 1 BTB Ausführungsplanung (SV)</t>
  </si>
  <si>
    <t>● (aN) Pos. 1 BTB Ausführungsplanung (ADM)</t>
  </si>
  <si>
    <t>7495.01 WEG-BTB-TG-Implerstr29-33-München</t>
  </si>
  <si>
    <t>7496 FWP-An-der-alten-Mühle-20-Eschborn-Alte-Mühle</t>
  </si>
  <si>
    <t>7497 Fichter-BTB-Dachsanierung-Kettlerstraße44-Ludwigshafen</t>
  </si>
  <si>
    <t>● (aN) Pos. 1 Brandschutztechnische Beratung während der Planungsphase (SV)</t>
  </si>
  <si>
    <t>7499 Hauer-BTB-2.OG-Helene-Wessel-Bogen21-MUC</t>
  </si>
  <si>
    <t>● (aN) Pos. 1 BTB und BST</t>
  </si>
  <si>
    <t>7500 Baupionier-PCP-RV-diverse-Garagenparks</t>
  </si>
  <si>
    <t>● Garagenpark-Malsch (#7208)</t>
  </si>
  <si>
    <t>● • (p) Pos. 2 Erstellung Brandschutzkonzept inkl. BS-Plan</t>
  </si>
  <si>
    <t>● • (p) Mehraufwand Planänderungen</t>
  </si>
  <si>
    <t>● Garagenpark-Erlangen-Löschwasserversorgung</t>
  </si>
  <si>
    <t>● • (p) BSK</t>
  </si>
  <si>
    <t>● • (p) Pos. 1 Brandschutztechnische Beratung zur Konzeption/Machbarkeitsstudie</t>
  </si>
  <si>
    <t>7501 GA-tec-BFM-BTB-Apple-Karlstr77-MUC</t>
  </si>
  <si>
    <t>● (aN) Pos. 1 Anpassung des Brandschutznachweises</t>
  </si>
  <si>
    <t>● (aN) Pos. 2 Anpassung der Brandfallsteuertabelle</t>
  </si>
  <si>
    <t>● Pos. 3 Optional: Zusätzliche Beratungsleistungen</t>
  </si>
  <si>
    <t>7502 FRP-Große-Bockenheimer-Str-50-Frankfurt</t>
  </si>
  <si>
    <t>● (p) Pos.2 Übermittlung von DWG-Dateien</t>
  </si>
  <si>
    <t>7503 MSP-AHO-BSN-Einsteinstr-Ismaningerstr-Muenchen</t>
  </si>
  <si>
    <t>7504 e-con-FWP-Solarpark-am-Airport-Schlachthofstr61-Memmingen</t>
  </si>
  <si>
    <t>● (aN) Pos. 1 Erstellung von Feuerwehrplänen</t>
  </si>
  <si>
    <t>7505 Züblin-AHO-Neubau-Grundschule-Gengenbach</t>
  </si>
  <si>
    <t>● Pos. 1 LPH 3 Entwurfsplanung</t>
  </si>
  <si>
    <t>● Pos. 2 LPH 4 Genehmigungsplanung</t>
  </si>
  <si>
    <t>● Pos. 3 LPH 5 Ausführungsplanung</t>
  </si>
  <si>
    <t>● Pos. 6 LPH 8 Objektüberwachung</t>
  </si>
  <si>
    <t>7506 bsb-BSK-Schnackenburgallee-49-Hamburg-AT-Matthies</t>
  </si>
  <si>
    <t>● (aN) Pos.2 (optional) Löschanlagenkonzept</t>
  </si>
  <si>
    <t>7506.01 bsb-FRP-Schnackenburgallee-51-Hamburg-AT-Matthies</t>
  </si>
  <si>
    <t>7507 Metzeler-Vita-BSB-Donaustr51-Memmingen</t>
  </si>
  <si>
    <t>● BSB 2025 (VER unbefristet)</t>
  </si>
  <si>
    <t>7508 Schleiergarten-PHP-Schleiermacherstr21-23-Darmstadt</t>
  </si>
  <si>
    <t>● (p) Pos. 1 Prüfung +Bescheinigung d. Nachweis d. vorbeugenden Brandschutzes</t>
  </si>
  <si>
    <t>● (p) Pos. 2 Überwachung und Bescheinigung der übereinstimmenden Bauausführung</t>
  </si>
  <si>
    <t>7509 PPB-FWP-Grundschule-Patton Barracks-Palo-Alto-Platz-4-6-Heidelberg</t>
  </si>
  <si>
    <t>7510 Equinix-BTB-Friesstraße-9-Frankfurt-Gebäude-FR13.2</t>
  </si>
  <si>
    <t>● (aN) Pos.1 Baustellenbegehung im Zeitraum August 2025 - März 2026, bei 2 Begehungen pro Monat</t>
  </si>
  <si>
    <t>● (aN) Pos.2 Beratungsleistung in der Planungsphase</t>
  </si>
  <si>
    <t>7511 BST-Zum-Wartturm-9-Gelnhausen-Physio-Campus-MK</t>
  </si>
  <si>
    <t>● (aN) Pos.1 BST für die Räume des Physio Campus MK</t>
  </si>
  <si>
    <t>7512 BWSW-Hotel-Edelweiß-BSB-Martinswinkelstr17-Garmisch-Partenkirchen</t>
  </si>
  <si>
    <t>● (p) Brandschutzbeauftragter MM/JJ - MM/JJ</t>
  </si>
  <si>
    <t>7513 Rührgarten, Stefan-BTB-Weißenburgerstr18-München</t>
  </si>
  <si>
    <t>7514 AG-offen-BTB+BSN-Burgstr4-München</t>
  </si>
  <si>
    <t>● (?) BSN</t>
  </si>
  <si>
    <t>7515 BSK-Hannoversche-Str.113-Isernhagen</t>
  </si>
  <si>
    <t>● (p) Pos.1 BST nach Abgleich des umstrukturieten Bereichs (BA II) mit dem BSK</t>
  </si>
  <si>
    <t>● (p) Pos.2 Fortschreibung BSK auf Grundlage der aktuellen Nutzung (in BA II)</t>
  </si>
  <si>
    <t>● (p) Pos.3 FRP für den Hallenbereich in Brandabschnitt II</t>
  </si>
  <si>
    <t>7516 svt-BST-Griesbergstraße-8-Bad Salzdetfurth</t>
  </si>
  <si>
    <t>7517 HuSch-FWP-WEA-Nußbach</t>
  </si>
  <si>
    <t>7518 LBB-KL-AHO-Instandsetzung-Geb3205-Kleber-Kaserne-KL</t>
  </si>
  <si>
    <t>● • ‧ Besprechungen</t>
  </si>
  <si>
    <t>● • ‧ ‧ ‧ 1.1  Grundlagenermittlung Regelleistung</t>
  </si>
  <si>
    <t>● • ‧ ‧ ‧ 1.2. Grundlagenermittlung optionale Leistung</t>
  </si>
  <si>
    <t>● • ‧ ‧ ‧ 2.1  Vorplanung Regelleistung</t>
  </si>
  <si>
    <t>● • ‧ ‧ ‧ 2.2. Vorplanung optionale Leistung</t>
  </si>
  <si>
    <t>● • ‧ ‧ ‧ 3.1  Entwurfsplanung Regelleistungen</t>
  </si>
  <si>
    <t>● • ‧ ‧ ‧ ‧ SV</t>
  </si>
  <si>
    <t>● • ‧ ‧ ‧ ‧ CAD</t>
  </si>
  <si>
    <t>● • ‧ ‧ ‧ 4.2  Genehmigungsplanung optionale Leistungen</t>
  </si>
  <si>
    <t>● • ‧ ‧  5.1  Ausführungsplanung Regelleistungen</t>
  </si>
  <si>
    <t>● • ‧ ‧  5.2  Ausführungsplanung Optionale Leistungen</t>
  </si>
  <si>
    <t>● • ‧ ‧  6.2  Vorbereitung der Vergabe Optionale Leistungen</t>
  </si>
  <si>
    <t>● • ‧ ‧ 7.2  Mitwirkung bei der Vergabe Optionale Leistungen</t>
  </si>
  <si>
    <t>● • ‧ ‧ 8.1 Objektüberwachung Regelleistungen</t>
  </si>
  <si>
    <t>● • ‧ ‧ ‧ 1.1  Grundlagenermittlung Regelleistungen</t>
  </si>
  <si>
    <t>● • ‧ ‧ ‧ 1.2. Grundlagenermittlung Optionale Leistungen</t>
  </si>
  <si>
    <t>● • ‧ ‧ ‧  2.1  Vorplanung Regelleistungen</t>
  </si>
  <si>
    <t>● • ‧ ‧ ‧ 2.2 Vorplanung Optionale Leistungen</t>
  </si>
  <si>
    <t>● • ‧ ‧ ‧ 3.2 Entwurfsplanung Optionale Leistungen</t>
  </si>
  <si>
    <t>● • ‧ ‧ ‧ 4.1  Genehmigungsplanung Regelleistungen</t>
  </si>
  <si>
    <t>● • ‧ ‧ ‧ 4.2 Genehmigungsplanung Optionale Leistungen</t>
  </si>
  <si>
    <t>● • ‧ ‧ 5.1 RL</t>
  </si>
  <si>
    <t>● • ‧ ‧ 5.2 OL</t>
  </si>
  <si>
    <t>● • ‧ ‧ 6.2 OL</t>
  </si>
  <si>
    <t>● • ‧ ‧ 7.2 OL</t>
  </si>
  <si>
    <t>● • ‧ ‧ 8.1 RL</t>
  </si>
  <si>
    <t>● • ‧ ‧ 8.2 OL</t>
  </si>
  <si>
    <t>7519 DKB-BTB-Parkweg-1-Löwenberger-Land</t>
  </si>
  <si>
    <t>● (p) Pos.1 Grundlagenermittung und Bestandserfassung</t>
  </si>
  <si>
    <t>● (p) Pos.2 Analyse +Bew. IST-Zustand d. Gebäude(-teile) +Ableitung von Maßnahmen</t>
  </si>
  <si>
    <t>● (p) Pos.3 Option: Rechtskonformität Inspektorenhaus (Nr. 5) und Schloss (Nrn. 1 und 2)</t>
  </si>
  <si>
    <t>● (p) Pos.4 Option: Rechtskonformität Seehaus (Nr. 29)</t>
  </si>
  <si>
    <t>● (p) Pos.5 Gefährdungsanalyse + Priorisierung der umzusetzenden Maßnahmen</t>
  </si>
  <si>
    <t>● (p) Pos.6 Kostengrobschätzung Maßnahmenkatalog</t>
  </si>
  <si>
    <t>7520 Baxter-Provendor-PHP-BMA-Carl-Zeiss-Str7-9-Saalfeld</t>
  </si>
  <si>
    <t>● ANG per eMail</t>
  </si>
  <si>
    <t>7520.01 Baxter-Provendor-PHP-SV-Prüfung- Bau13-Halle9,5-Carl-Zeiss-Str7-9-Saalfeld</t>
  </si>
  <si>
    <t>● • ‧ (aN) PrüfSV, prüfend</t>
  </si>
  <si>
    <t>● • ‧ (aN) ADM</t>
  </si>
  <si>
    <t>● • (p) Pos. 2 Sachverständigenprüfung nach Prüfverordnung der Bundesländer</t>
  </si>
  <si>
    <t>● • optional: Pos. 3 Mängelkontrollen nach Aufwand</t>
  </si>
  <si>
    <t>7521 Telelink-BSK-Funk-Gebäude-Aachen</t>
  </si>
  <si>
    <t>● (p) Pos. 1 BSK für Beton+Stahlgittermasten ohne Begehung</t>
  </si>
  <si>
    <t>● (p) Pos. 2 Begehung Spez. BV bis 400 km</t>
  </si>
  <si>
    <t>7522 Herth&amp;Buss; Heusenstamm-Dachsanierung Gebäude G&amp;F</t>
  </si>
  <si>
    <t>7523 MaurerPharma-FWP-Gutenbergring-40-Norderstedt</t>
  </si>
  <si>
    <t>● (p) Pos.1 FWP (14 Einzelpläne)</t>
  </si>
  <si>
    <t>● (p) Pos.2 FRP (18 Grundpläne, 64 Standortpläne)</t>
  </si>
  <si>
    <t>7524 FuchsEuropols-KOF-Funkturm-Eschweiler</t>
  </si>
  <si>
    <t>● (p) Pos.1 Schlussbescheinigung</t>
  </si>
  <si>
    <t>7525 SWM-RV-BSK-uPVA-Mangfallplatz-München</t>
  </si>
  <si>
    <t>● (p) Pos. 1 Erstellung BSK inkl. Brandschutzkonzeptpläne</t>
  </si>
  <si>
    <t>● (p) Pos.2 Dokumentation Bestandsaufnahme</t>
  </si>
  <si>
    <t>● (p) Pos.3 Projektbezogene Besprechungen</t>
  </si>
  <si>
    <t>7525.01 SWM-RV-BSK-uPVA-Nordfriedhof-München</t>
  </si>
  <si>
    <t>7525.02 SWM-RV-BSK-uPVA-Therese-Giese-Allee-München</t>
  </si>
  <si>
    <t>7525.03 SWM-RV-BSK-uPVA-Dietlindstraße-München</t>
  </si>
  <si>
    <t>7525.04 SWM-RV-BSK-uPVA-Alte Heide-München</t>
  </si>
  <si>
    <t>7525.05 SWM-RV-BSK-uPVA-Milbertshofen-München</t>
  </si>
  <si>
    <t>7525.06 SWM-RV-BSK-uPVA-Fürstenried West-München</t>
  </si>
  <si>
    <t>7525.07 SWM-RV-BSK-uPVA-Giesing-München</t>
  </si>
  <si>
    <t>7525.08 SWM-RV-BSK-uPVA-Wettersteinplatz-München</t>
  </si>
  <si>
    <t>7526 TÜV-Saarland-Seminare</t>
  </si>
  <si>
    <t>● (p) Seminar Hamburg Präsentationserstellung</t>
  </si>
  <si>
    <t>● 25-10-20 /dq (p) 25-11-28 19. Fachtagung Brandschutz Freiburg 450€ zzgl. FK 40km x 0,35€</t>
  </si>
  <si>
    <t>7527 Fuyao-Ohmstr1-Leingarten-LAK-Gaslöschanlage</t>
  </si>
  <si>
    <t>● ANG</t>
  </si>
  <si>
    <t>7528 BST-Funkturm-Wesseling</t>
  </si>
  <si>
    <t>● (p) Pos. 1 Erstellen brandschutztechnischer Stellungnahme</t>
  </si>
  <si>
    <t>7529 FairDoctors-Fortschr-BSK-HoheStr77-Bonn</t>
  </si>
  <si>
    <t>● Kompensationsmaßnahme Feuerwiderstand</t>
  </si>
  <si>
    <t>7530 Freiwald-BST-Wohnhaus-Zeppelinstr182-Heidelberg</t>
  </si>
  <si>
    <t>● ohne ANG/BAU</t>
  </si>
  <si>
    <t>7531 CBRE-FRP-Gwinnerstraße-1-Frankfurt</t>
  </si>
  <si>
    <t>● (p) Pos.1 Überarbeitung FRP</t>
  </si>
  <si>
    <t>● (p) Pos.2 Erstellung der zu erweiternden FRP</t>
  </si>
  <si>
    <t>7532 Blatt-BSK-Kriegkstr22-FFM-Restaurant-KG</t>
  </si>
  <si>
    <t>● (p) Pos.1 Fortschreibung des bestehenden  BSK</t>
  </si>
  <si>
    <t>7534 RMK-KH-Spitalstraße -25-Lörrach</t>
  </si>
  <si>
    <t>● aN) Pos.1 Erstellung Räumungskonzept</t>
  </si>
  <si>
    <t>● (aN) Pos.2 Erstellung d. 'Lage Brand' für Notfallhandbuch</t>
  </si>
  <si>
    <t>● (aN) Pos.3 Räumungskonzeptpläne</t>
  </si>
  <si>
    <t>● (aN) Pos.4 Optional Erstellung Räumungsbereichspläne Pauschal 150 €/Stück</t>
  </si>
  <si>
    <t>● (aN) Pos.5 Optional Prakt. Ausbildung BSH (Tagespauschale)</t>
  </si>
  <si>
    <t>● (aN) Pos.6 Optional Fachl. Prüfung v. Dokumenten = individuelle Abstimmung mit AG</t>
  </si>
  <si>
    <t>● (aN) Pos.7 Optional Material für Räumung u. Einsatzfall</t>
  </si>
  <si>
    <t>7535 Kernig-BTB-Fitness-First-Hans-Sachs-Str2-4-Heilbronn</t>
  </si>
  <si>
    <t>● (a.N.) pos.1 BTB - Bewertung der Errichtung einer feuerbeständigen Trennwand</t>
  </si>
  <si>
    <t>7536 T&amp;W-BTB-Lenbachstraße-18-Rüsselsheim-Wohnungseingangstüren</t>
  </si>
  <si>
    <t>● (aN) Pos.1 BTB - Bewertung Wohnungsein-gangstüren+Prüfung Sanierungsvorschlag der ausführenden Firma</t>
  </si>
  <si>
    <t>7537 Remmers-Löningen</t>
  </si>
  <si>
    <t>● Brandschutz</t>
  </si>
  <si>
    <t>● Löschanlagen</t>
  </si>
  <si>
    <t>● Umwelschutz</t>
  </si>
  <si>
    <t>7537.100 Remmers-Löningen-Gebäude E</t>
  </si>
  <si>
    <t>● Umweltschutz</t>
  </si>
  <si>
    <t>7537.200 Remmers-Löningen-NB-Flooring</t>
  </si>
  <si>
    <t>7537.300 Remmers-Löningen-Polymerisation</t>
  </si>
  <si>
    <t>7554 Badtke-FWP-Carl-Friedrich-Benz-Str-7-Langenselbold</t>
  </si>
  <si>
    <t>● (p) Pos.1 Erstellung FWP + Begehung</t>
  </si>
  <si>
    <t>7555 Endreß Academy</t>
  </si>
  <si>
    <t>● • Projektbezogen</t>
  </si>
  <si>
    <t>● • ‧ Tagespauschale</t>
  </si>
  <si>
    <t>● • ‧ auf Nachweis</t>
  </si>
  <si>
    <t>● • Academy-Schulungsinhalte erstellen (pauschal?)</t>
  </si>
  <si>
    <t>● • Academy-E-Learning erstellen (auf Nachweis)</t>
  </si>
  <si>
    <t>● • ‧ 3 Std. pauschal</t>
  </si>
  <si>
    <t>● • Academy-Vorträge halten (45 Minuten pauschal)</t>
  </si>
  <si>
    <t>● • NLL</t>
  </si>
  <si>
    <t>● • ADM</t>
  </si>
  <si>
    <t>7556 Stadt-Bottrop-AHO-NB-Feuerwache-Josef-Albers-Str-Bottrop</t>
  </si>
  <si>
    <t>● • (p) LP 5</t>
  </si>
  <si>
    <t>● • (p) LP 6</t>
  </si>
  <si>
    <t>● • (p) LP 8</t>
  </si>
  <si>
    <t>● • (p) LP 9</t>
  </si>
  <si>
    <t>7557 Bauer-BTB-Bayerwaldstr6+8-Geretsried</t>
  </si>
  <si>
    <t>7558 Synthomer-PLA-Paul-Baumann-Str1-Marl</t>
  </si>
  <si>
    <t>● ANG-PLA-001-2025-07-28-Synthomer-Marl</t>
  </si>
  <si>
    <t>7559 Saarpflege-BSH-Intensivpflege-WG-SprengerStr19-Püttlingen</t>
  </si>
  <si>
    <t>7560 BSK-Limburger-Straße-53-Idstein-Astro-Automaten</t>
  </si>
  <si>
    <t>● (p) Pos.1 Erstellung BSK zur Legalisierung der bestehenden Spielstätte. Die übrigen Gebäudeteile werden nicht betrachtet</t>
  </si>
  <si>
    <t>7561 BSK-Wiesbadener-Straße-173-Königstein-Astro-Automaten</t>
  </si>
  <si>
    <t>7562 LW-BSK-Brauereistraße-Plankstadt-Areal2-Aufbereitungshalle</t>
  </si>
  <si>
    <t>● (p) Pos.1 Erstellen BSK</t>
  </si>
  <si>
    <t>● (aN) Pos.2 Beratungsleistung</t>
  </si>
  <si>
    <t>7563 Hanse-Service-BSK-Dratelnstraße-18-Hamburg-Lagerhalle</t>
  </si>
  <si>
    <t>7570.01 Sinn-BSH-Louisenstraße-86-90-Bad-Homburg-Hompageanmeldung</t>
  </si>
  <si>
    <t>● (p) BSH für 4 Pers. à 120€/Pers.</t>
  </si>
  <si>
    <t>7570.02 Lebenslust-BSH-Michaelkirchplatz-1-2-Berlin-HJompageanmeldung</t>
  </si>
  <si>
    <t>● (p) BSH 3 Pers.</t>
  </si>
  <si>
    <t>7600 Altus-Dummy-für-Unterprojekte</t>
  </si>
  <si>
    <t>7601 Klink-FWP-Industriestr44-Waldmohr</t>
  </si>
  <si>
    <t>● • (p) Pos. 1 Fertigstellung der Feuerwehrpläne Hotel Amerika (CAD)</t>
  </si>
  <si>
    <t>● • (p) Pos. 2 Fertigstellung der Feuerwehrpläne Hotel Europa</t>
  </si>
  <si>
    <t>● • (p) Pos. 3 Fertigstellung der Feuerwehrpläne SW Immobilien Pirmasens</t>
  </si>
  <si>
    <t>● • (p) Pos. 4 Erstellung eines Sonderfeuerwehrplans - PV Anlage</t>
  </si>
  <si>
    <t>● • (p) Pos. 5 Feuerwehrlaufkarten Kursana Kaiserslautern</t>
  </si>
  <si>
    <t>● • (p) Pos. 6 Feuerwehrpläne Kursana Kaiserslautern</t>
  </si>
  <si>
    <t>7602 1100-Architekten-MBS-Cafeteria-US-Wohngeb-Bundesbank-FFM</t>
  </si>
  <si>
    <t>● • (p) Pos. 1 Erstellung Eckdatenkonzept</t>
  </si>
  <si>
    <t>7603 Hundhausen-FWP-Justus-von-Liebig-Str-27-Achim</t>
  </si>
  <si>
    <t>● • (p) Pos. 1 Feuerwehrpläne</t>
  </si>
  <si>
    <t>7604 Lakeward-AHO-Rise-Räpplenstr19-Stuttgart</t>
  </si>
  <si>
    <t>● • (p) 1.1 Brandschutzkonzept LP 2-4</t>
  </si>
  <si>
    <t>7605 PE-Hellerhöfe-PHP-Gallusviertel-FFM</t>
  </si>
  <si>
    <t>● (p) Pos. 1 Prüfung +Bescheinigung d. Nachweis d. vorbeugenden Brandschutzes (SV)</t>
  </si>
  <si>
    <t>● (p) Pos. 2 Überwachung und Bescheinigung der übereinstimmenden Bauausführung (SV)</t>
  </si>
  <si>
    <t>● ADM (nicht abrechenbar)</t>
  </si>
  <si>
    <t>7606 RIZ-BSK-Badstr22A-Offenburg</t>
  </si>
  <si>
    <t>7607 LAER-Garagenpark-Möchengladbach</t>
  </si>
  <si>
    <t>7608 Ratisbona-AHO-BSK-RheinsbergerStr2-Lindow</t>
  </si>
  <si>
    <t>● • (p) 1.4 Bestandsbegehung (SV)</t>
  </si>
  <si>
    <t>● • (p) Fahrtkostenpauschale optional</t>
  </si>
  <si>
    <t>7609 Ratisbona-AHO-BSK-Neubau-Eichendorffstr1-Regenstauf</t>
  </si>
  <si>
    <t>● • (p) 1.1 Brandschutzkonzept LP 1 bis 4</t>
  </si>
  <si>
    <t>● • Fahrtkostenpauschale je Termin</t>
  </si>
  <si>
    <t>7610 Ratisbona-AHO-BSK-Umbau-Eichendorffstr1-Regenstauf</t>
  </si>
  <si>
    <t>● • (p) 1.2 Auswertung übergebene Bauakte</t>
  </si>
  <si>
    <t>7611 Telcat-FRP-Lagerhalle-Veckenstädter-Weg10-Ilsenburg</t>
  </si>
  <si>
    <t>● • 1.001 Flucht- und Rettungsplan DIN A3</t>
  </si>
  <si>
    <t>● • 1.002 Aluminiumklapprahmen DIN A3</t>
  </si>
  <si>
    <t>● • 1.003 Abgleich/Aufnahme vor Ort der Flucht-/Rettungspläne (CAD)</t>
  </si>
  <si>
    <t>● • 2.001 Digitale Aufbereitung (pro Grundriss/Geschoss/Brandabschnitt)</t>
  </si>
  <si>
    <t>● • 2.002 Verpackung und Versandkosten</t>
  </si>
  <si>
    <t>● • 2.005 Fahrtkostenpauschale je Termin, Fahrzeugkosten und Fahrtzeit NL Braunschweig - Ilsenburg - NL Braunschweig</t>
  </si>
  <si>
    <t>7612 SVT-Schadensanierung-Digit-Grundrisse-Heydeckplatz1-Ingolstadt</t>
  </si>
  <si>
    <t>● • (aN) Digitalisierung der Grundrisse</t>
  </si>
  <si>
    <t>7613 UTS-BSH-Europa-Allee11-Föhren</t>
  </si>
  <si>
    <t>● • (p) Pos. 1 Seminar Erweiterte Brandschutz- und Einsatzunterstützung im Werkschutz</t>
  </si>
  <si>
    <t>● • Fahrtkosten</t>
  </si>
  <si>
    <t>7614 Goldbeck-LAK-NB-Industriehalle-Im-Flürle-Öhringen</t>
  </si>
  <si>
    <t>● • (p) Pos. 1 Erstellung LAK</t>
  </si>
  <si>
    <t>● • Pos. pauschal</t>
  </si>
  <si>
    <t>7615 Spantech-Condor-Hangar</t>
  </si>
  <si>
    <t>● (p) BSK</t>
  </si>
  <si>
    <t>● (p) Admin-Intern</t>
  </si>
  <si>
    <t>7616 Projahn-BST-Gottlieb-Daimler-Str.5-Dietzenbach</t>
  </si>
  <si>
    <t>● Pos.1 - Beratung und Stellungnahme</t>
  </si>
  <si>
    <t>● Pos 2. - Administrative Tätigkeiten</t>
  </si>
  <si>
    <t>7700 EAM-Dummy-Unterobjekte</t>
  </si>
  <si>
    <t>7700.01 EAM-BSK-WEA-Herborn</t>
  </si>
  <si>
    <t>7800.01 LBB-RV-KL-MunLgr-KRI-TP04-MAH-Wasenbacher-Höhe-Kriegsfeld</t>
  </si>
  <si>
    <t>● TP04/alle Geb. Stufe 1a (LP 1+2)</t>
  </si>
  <si>
    <t>● TP04/alle Geb. Stufe 1b (LP 3+4)</t>
  </si>
  <si>
    <t>● TP04/alle Geb. Stufe 2 (LP 5)</t>
  </si>
  <si>
    <t>● TP04/alle Geb. Stufe 3 (LP 6+7)</t>
  </si>
  <si>
    <t>● TP04/alle Geb. Stufe 4 (LP 8)</t>
  </si>
  <si>
    <t>7800.02 LBB-RV-KL-MunLgr-KRI-TP06-MLH-WasenbacherHöhe-Kriegsfeld</t>
  </si>
  <si>
    <t>● TP06/alle Geb. Stufe 1a (LP 1+2)</t>
  </si>
  <si>
    <t>● TP06/alle Geb. Stufe 1b (LP 3+4)</t>
  </si>
  <si>
    <t>● TP06/alle Geb. Stufe 2 (LP 5)</t>
  </si>
  <si>
    <t>● TP06/alle Geb. Stufe 3 (LP 6+7)</t>
  </si>
  <si>
    <t>● TP06/alle Geb. Stufe 4 (LP 8)</t>
  </si>
  <si>
    <t>7800.03 LBB-RV-KL-Fahrtkosten-WasenbacherHöhe-Kriegsfeld</t>
  </si>
  <si>
    <t>● (p) Fahrtkosten für TP04 / TP06</t>
  </si>
  <si>
    <t>7900 Carl-Zeiss-Rahmenvertrag-Dummy-Unterprojekte</t>
  </si>
  <si>
    <t>7900.01 CZ-RV-KVA-1633-zwei HighNA-CCP</t>
  </si>
  <si>
    <t>● (p) Pos. 3 KVA 1633 zwei HighNA CCP, Ausführungsplanung</t>
  </si>
  <si>
    <t>7900.02 CZ-RV-KVA-1581-2-Regale</t>
  </si>
  <si>
    <t>● (p) Pos. 2 KVA 1581 zwei Regale, Ausführungsplanung</t>
  </si>
  <si>
    <t>7900.03 CZ-RV-KVA-1357-Auto-Fügestand-2</t>
  </si>
  <si>
    <t>7900.04 CZ-RV-KVA-1316-Regal-Halle8</t>
  </si>
  <si>
    <t>● (aN) Pos. 1 KVA 1316 Regal Halle 8</t>
  </si>
  <si>
    <t>7900.05 CZ-KVA-1739-PLA-Schwerlastregale-Grauraum-Halle-7.3</t>
  </si>
  <si>
    <t>● (p) Pos. 1 Sprinklerschutzplanung, Regal 1 Halle 7.3 (Durchgangsbereich)</t>
  </si>
  <si>
    <t>● (p) Pos. 2 Sprinklerschutzplanung, Regal 2 Halle 7.3 (Durchgangsbereich)</t>
  </si>
  <si>
    <t>● (aN) Pos. zusätzliche Beratungsleistungen</t>
  </si>
  <si>
    <t>8000 Fraport-RV-Dummy-für-Unterprojekte</t>
  </si>
  <si>
    <t>8000.01 Fraport-RV-BSK-NB-Trafostation-Ramp9+12-FFM</t>
  </si>
  <si>
    <t>● (p) Erstellung BSK + Pläne</t>
  </si>
  <si>
    <t>8000.03 Fraport-RV-BSK-Geb. 584</t>
  </si>
  <si>
    <t>● (a.N.) Pos. 1 - Einmalige Erstellung BSK</t>
  </si>
  <si>
    <t>● (a.N.) Pos. 2 - Erstellung BSK-Pläne (CAD 4h) 284€</t>
  </si>
  <si>
    <t>8100 UStrich-Stunden-für-Mosaik-/Kaarst-Projekte</t>
  </si>
  <si>
    <t>● (aN) GEL für Erfurt: Begehung zur Aufnahme für FRP-Spessartstraße 3-Bad Orb-C.Grauel-Std.satz:110€</t>
  </si>
  <si>
    <t>● (aN) LUD für ERF: FWP-FRP-Four Points Flex by Sheraton- Industriestr.6-Östringen-Mosaik 1025220131</t>
  </si>
  <si>
    <t>● (aN) LUD für ERF: Treffert, Bingen - UStrich wg. Unterstützung NL Erfurt</t>
  </si>
  <si>
    <t>● FLA-FRA für STU: Denkendorf Körschtalstraße Sprinkleranlage</t>
  </si>
  <si>
    <t>● (p) NL BHG für BER: Strittmatter Gymnasium in Gransee - Bearbeiter: Yalda Sultani</t>
  </si>
  <si>
    <t>● • • Explosionsschutzdokument</t>
  </si>
  <si>
    <t>● ADM für alle MST</t>
  </si>
  <si>
    <t>9000.01 TESTPROJEKT Bauer-BTB-Bayerwaldstr6+8-Geretsried</t>
  </si>
  <si>
    <t>9000.02 TESTPROJEKT Blatt-BSK-Kriegkstr22-FFM-Restaurant-KG</t>
  </si>
  <si>
    <t>9000.03 TESTPROJEKT Blatt-xxx-Kriegkstr22-FFM-Restaurant-KG</t>
  </si>
  <si>
    <t>A. Kokott - Quartalsreport 2025Q3</t>
  </si>
  <si>
    <t>Position:</t>
  </si>
  <si>
    <t>SV</t>
  </si>
  <si>
    <t>--- Juli 2025 ---</t>
  </si>
  <si>
    <t>Meilenstein</t>
  </si>
  <si>
    <t>Soll (h)</t>
  </si>
  <si>
    <t>Ist (h)</t>
  </si>
  <si>
    <t>Juli 2025 (h)</t>
  </si>
  <si>
    <t>%</t>
  </si>
  <si>
    <t>Bonus-Anpassung (h)</t>
  </si>
  <si>
    <t>Differenz (h)</t>
  </si>
  <si>
    <t>Zuordnen an</t>
  </si>
  <si>
    <t>Von anderen (h)</t>
  </si>
  <si>
    <t>Stundensatz (€/h)</t>
  </si>
  <si>
    <t>Umsatz (€)</t>
  </si>
  <si>
    <t>Möglicher Umsatz (€)</t>
  </si>
  <si>
    <t>Entgangener Umsatz (€)</t>
  </si>
  <si>
    <t>Umsatz kumuliert (€)</t>
  </si>
  <si>
    <t>Soll Obermeilenstein (h)</t>
  </si>
  <si>
    <t>Budget Gesamt (€)</t>
  </si>
  <si>
    <t>Kosten (€)</t>
  </si>
  <si>
    <t>Rechnung</t>
  </si>
  <si>
    <t>Kommentar</t>
  </si>
  <si>
    <t>Angebote-Ausschreibungen-Kalkulationen (max. 8h/Monat pro MA)</t>
  </si>
  <si>
    <t>Einarbeitung neuer Mitarbeiter (max. 8h/Monat pro MA)</t>
  </si>
  <si>
    <t>0014 Urlaubstage</t>
  </si>
  <si>
    <t>0001-Stunden ohne Leistungsphase</t>
  </si>
  <si>
    <t>ADM</t>
  </si>
  <si>
    <t>3100-Erarbeiten des Brandschutzkonzept/Nachweis/Stellungnahme</t>
  </si>
  <si>
    <t>CAD</t>
  </si>
  <si>
    <t>(aN) Pos. 1 Brandschutztechnische Beratung</t>
  </si>
  <si>
    <t>(p) Anp. BSK</t>
  </si>
  <si>
    <t>(aN) BTB (SV)</t>
  </si>
  <si>
    <t>0100-Anlage Projekt, Angebot, Versand, Auftrag</t>
  </si>
  <si>
    <t>Anlage Projekt, Angebot, Versand, Auftrag</t>
  </si>
  <si>
    <t>Summe</t>
  </si>
  <si>
    <t>Zugeordnete Stunden von anderen MA</t>
  </si>
  <si>
    <t>Gesamt Bonus Stunden</t>
  </si>
  <si>
    <t>--- August 2025 ---</t>
  </si>
  <si>
    <t>August 2025 (h)</t>
  </si>
  <si>
    <t>3943.06 TFD-BSK-EuropePlaza-Innere-Wiener-Straße17-München</t>
  </si>
  <si>
    <t>9200-Erstellen od. Prüfen Feuerwehrpläne….</t>
  </si>
  <si>
    <t>(p) NAT03-Bestandsaufnahme (Ist-Aufnahme)</t>
  </si>
  <si>
    <t>9101-Fortschreibung Brandschutzkonzept….</t>
  </si>
  <si>
    <t>3100-Erarbeiten des Brandschutzkonzept/Nachweis/Stellungnahme (SV)</t>
  </si>
  <si>
    <t>4103-Erarbeiten Brandschutzkonzeptpläne….</t>
  </si>
  <si>
    <t>6649.03 formica-Anp-BSK-Otto-Hahn-Str-Hilden-Laer</t>
  </si>
  <si>
    <t>5000-Ausführungsplanung</t>
  </si>
  <si>
    <t>7272 SW-Tübingen-BSK-WEA-Ostelsheim</t>
  </si>
  <si>
    <t xml:space="preserve">7400 JUWI-WP-div-MST </t>
  </si>
  <si>
    <t>(p) Pos. 1 Anp. BSK (Best. 4500008752 25-03-20)</t>
  </si>
  <si>
    <t>(p) Pos. 1 Anp. BSK gem. RV (Best. 4500010513 25.06.27)</t>
  </si>
  <si>
    <t>Erarbeiten des Brandschutzkonzept/Nachweis/Stellungnahme</t>
  </si>
  <si>
    <t>ADM (nicht kalkuliert)</t>
  </si>
  <si>
    <t>(aN) Pos. 1 Brandschutztechnische Beratung während der Planungsphase (SV)</t>
  </si>
  <si>
    <t>--- September 2025 ---</t>
  </si>
  <si>
    <t>September 2025 (h)</t>
  </si>
  <si>
    <t>8103-Prüfen Plausibilität der Sachverständigennachweise auf Schnittstellen….</t>
  </si>
  <si>
    <t>(aN) Pos. 1 Brandschutztechnische Beratung (SV 30h) 3.000€</t>
  </si>
  <si>
    <t>4000-Genehmigungsplanung</t>
  </si>
  <si>
    <t>(aN) Tektur BSK Polch II (Abruf RV 2024)</t>
  </si>
  <si>
    <t>7246.01 Altus-WP-An-der-Nethe-NRW-Wiederaufnahme-BSK</t>
  </si>
  <si>
    <t>(aN) Pos. 1 Brandschutztechnische Beratung und SOLL-IST-Abgleich (SV)</t>
  </si>
  <si>
    <t>Pos. 1.10 GL (SV)</t>
  </si>
  <si>
    <t>3312-Beratungsleistungen in der Planungsphase...</t>
  </si>
  <si>
    <t>(aN) Pos. 1 Objektüberwachung</t>
  </si>
  <si>
    <t>1.1  Grundlagenermittlung Regelleistung</t>
  </si>
  <si>
    <t>--- Übertragshilfe ---</t>
  </si>
  <si>
    <t>Mitarbeiter</t>
  </si>
  <si>
    <t>Prod. Stunden</t>
  </si>
  <si>
    <t>Zugeordnet von anderen</t>
  </si>
  <si>
    <t>Gesamt Bonus</t>
  </si>
  <si>
    <t>--- Quartalszusammenfassung 2025Q3 ---</t>
  </si>
  <si>
    <t>Quartal (h)</t>
  </si>
  <si>
    <t>-</t>
  </si>
  <si>
    <t>--- Gesamtstunden 2025Q3 ---</t>
  </si>
  <si>
    <t>C. Trapp SV - Quartalsreport 2025Q3</t>
  </si>
  <si>
    <t>(aN) Pos. 2 weiterführende BAB über die Verlängerung der Bauzeit von 28 Monaten hinaus</t>
  </si>
  <si>
    <t>4105-Zusammenstellung Unterlagen für Einreichung bei BA….</t>
  </si>
  <si>
    <t>5100-Beraten Planer ausführungsreife Lösungen….</t>
  </si>
  <si>
    <t>5101-Mitwirken Koordination Fachplanung….</t>
  </si>
  <si>
    <t>5106-Prüfen auf zusätzl. genehmigungspfl. Sachverhalte....</t>
  </si>
  <si>
    <t>5205-Mitwirken Erstellen Brandmelde- und Alarmierungskonzept....</t>
  </si>
  <si>
    <t>8100-Prüfen der Ausführung auf prinzipielle Übereinstimmung (Stufe 1)....</t>
  </si>
  <si>
    <t>8101-Kontrolle Verwendbarkeitsnachweise/Bescheinigungen….</t>
  </si>
  <si>
    <t>8200-Prüfen der Ausführung - system. stichprobenart. Kontrolle (Stufe 2)….</t>
  </si>
  <si>
    <t>(aN) 8200-Prüfen der Ausführung - system. stichprobenart. Kontrolle (Stufe 2)….</t>
  </si>
  <si>
    <t>8000-Objektüberwachung</t>
  </si>
  <si>
    <t>8104-Statusbericht Bewertung auf Möglichkeiten zur Inbetriebnahme….</t>
  </si>
  <si>
    <t>1200-Bestandserfassung vor Ort....</t>
  </si>
  <si>
    <t>Erstellung Vorlagen (übergreifend) (max. 8h/Monat pro MA)</t>
  </si>
  <si>
    <t>9000-Mitwirken Abstimmung Behörden</t>
  </si>
  <si>
    <t>Vorträge, Repräsentation (übergreifend)  (max. 4h/Quartal pro MA)</t>
  </si>
  <si>
    <t>--- Quartalsübersicht 2025Q3 ---</t>
  </si>
  <si>
    <t>Q-Soll (h)</t>
  </si>
  <si>
    <t>Q-Ist (h)</t>
  </si>
  <si>
    <t>D. Brucker - Quartalsreport 2025Q3</t>
  </si>
  <si>
    <t>2202-Erarbeitung Entrauchungskonzept….</t>
  </si>
  <si>
    <t>25-07-01 (p) prakt. Unterweisung (MA250060272)</t>
  </si>
  <si>
    <t>(aN) Pos. 1 Brandschutztechnische Stellungnahmen (SV)</t>
  </si>
  <si>
    <t>(aN) Pos. 1 BTB + Abstimmungstermine (SV ~40h á 115€/h) 4.600€</t>
  </si>
  <si>
    <t>0300-QM, prüfen Plausibilität, Fertigstellung der Unterlagen</t>
  </si>
  <si>
    <t>5204-Mitwirken Erstellen Lüftungsgesuch....</t>
  </si>
  <si>
    <t>25-07-04 (p) ind. Schulung BSH Idar-Oberstein (MA250060403)</t>
  </si>
  <si>
    <t>25-09-24 (p) ind. Schulung BSH Grünstadt (MA250060272)</t>
  </si>
  <si>
    <t>E. Bieler - Quartalsreport 2025Q3</t>
  </si>
  <si>
    <t>(p) Pos. 8 LPH 8 Objektüberwachung</t>
  </si>
  <si>
    <t>3000-Entwurfsplanung SV</t>
  </si>
  <si>
    <t>(aN) Pos. 1 Abstimmungstermin mit den Behörden und Beratungsleistungen</t>
  </si>
  <si>
    <t>(p) Pos. 3 Brandschutzberatung in der Ausführungsplanung</t>
  </si>
  <si>
    <t>(p) Pos. 1.00 Brandschutzkonzept</t>
  </si>
  <si>
    <t>7600.01 Altus-BSK-FWP-WP-Padberg</t>
  </si>
  <si>
    <t>Pos. 1.003: Abgleich FRP – 400€</t>
  </si>
  <si>
    <t>4202-Fortschreiben BSK aufgrund Vorprüfung Behörden</t>
  </si>
  <si>
    <t>E. Iago Barros de Oliveira - Quartalsreport 2025Q3</t>
  </si>
  <si>
    <t>0.2420 LUD Allgemeinprojekt</t>
  </si>
  <si>
    <t>11 Stunden, die auf Projekte umgetragen werden müssen</t>
  </si>
  <si>
    <t>2101-Erarbeiten Eckdaten Brandschutzkonzept….</t>
  </si>
  <si>
    <t>H. Bektas - Quartalsreport 2025Q3</t>
  </si>
  <si>
    <t>(aN) Anp. BSK (Abruf offen)</t>
  </si>
  <si>
    <t>(aN) Pos. 7 Weitere Leistungen auf Nachweis</t>
  </si>
  <si>
    <t>(p) Pos. 1 Brandschutzkonzept</t>
  </si>
  <si>
    <t>J. Dorchies - Quartalsreport 2025Q3</t>
  </si>
  <si>
    <t>7208.01 PCP-Baupionier-AnpBSK-Garagenpark-Malsch</t>
  </si>
  <si>
    <t>(p) Anpassung BSK (ANG per eMail)</t>
  </si>
  <si>
    <t>J. Dorn - Quartalsreport 2025Q3</t>
  </si>
  <si>
    <t>(p) Pos. 1 KOF</t>
  </si>
  <si>
    <t>2302-Beratungsleistungen in der Planungsphase SV</t>
  </si>
  <si>
    <t>(aN) Pos. 1 BTB Planungsph. BT B</t>
  </si>
  <si>
    <t>RL</t>
  </si>
  <si>
    <t>(aN) Anpassung BSK (SV)</t>
  </si>
  <si>
    <t>3.1.2 Konkretisieren Brandschutzanforderungen</t>
  </si>
  <si>
    <t>3.2.2 Konkretisieren Brandschutzanforderungen</t>
  </si>
  <si>
    <t>LP 3 vorab, BAU offen</t>
  </si>
  <si>
    <t>LP 5 RL</t>
  </si>
  <si>
    <t>(p) Pos. 1 Erstellung eines Brandschutznachweises GK 4</t>
  </si>
  <si>
    <t>(p) LP 1+2 RL (SV)</t>
  </si>
  <si>
    <t>(p) LP 5 GL</t>
  </si>
  <si>
    <t>LP 4 vorab, BAU offen</t>
  </si>
  <si>
    <t>(p) LP 3 RL (SV)</t>
  </si>
  <si>
    <t>(p) LP 6 GL</t>
  </si>
  <si>
    <t>M. Bandlofsky - Quartalsreport 2025Q3</t>
  </si>
  <si>
    <t>(p) Pos. 2.1.1.3 - Entwurfsplanung</t>
  </si>
  <si>
    <t>Abstimmungstermine</t>
  </si>
  <si>
    <t>4200-Überprüfen der Bauvorlagen….</t>
  </si>
  <si>
    <t>5207-Planung Ausstattung Feuerlöscher....</t>
  </si>
  <si>
    <t>Messeauftritt  (max. 4h/Quartal pro MA)</t>
  </si>
  <si>
    <t>5102-Zusammenstellen Ergebnisse….</t>
  </si>
  <si>
    <t>5103-Prüfen Baugenehmigung auf Widerspruch BSK....</t>
  </si>
  <si>
    <t>5201-Prüfen Ausführungs- und Montagepläne….</t>
  </si>
  <si>
    <t>5202-Prüfen Funktionsbeschreibungen anlagentechnischer Brandschutz….</t>
  </si>
  <si>
    <t>M. Bandlofsky CAD - Quartalsreport 2025Q3</t>
  </si>
  <si>
    <t>Pos. 2.005: Abgleich FWP – 800€</t>
  </si>
  <si>
    <t>Bestandsaufnahme FuR + FWP</t>
  </si>
  <si>
    <t>M. Warner - Quartalsreport 2025Q3</t>
  </si>
  <si>
    <t>(aN) Pos. 2 Begehung</t>
  </si>
  <si>
    <t>(aN) Pos. 2 Begehung (CAD)</t>
  </si>
  <si>
    <t>(aN) Erstellung FWP (CAD)</t>
  </si>
  <si>
    <t>O. Haag BS-CAD - Quartalsreport 2025Q3</t>
  </si>
  <si>
    <t>4894.031 Aktualisierung-Pläne-BA1-Fiduciastraße-20-Karlsruhe</t>
  </si>
  <si>
    <t>9201-Erstellen od. Prüfen FuR pauschal</t>
  </si>
  <si>
    <t>(p) Pos. 2 Aktualisieren der Flucht- und Rettungspläne</t>
  </si>
  <si>
    <t>Fortschr. Brandfallsteuertabelle</t>
  </si>
  <si>
    <t>9201-Erstellen od. Prüfen Flucht- und Rettungspläne….</t>
  </si>
  <si>
    <t>4103-Erarbeiten Brandschutzkonzeptpläne (CAD)</t>
  </si>
  <si>
    <t>LP 5 Stundendsammler vorab, ANG noch nicht erstellt</t>
  </si>
  <si>
    <t>5304-100% -Review, AFU-BAU-FINALE-KORREKTUR…..</t>
  </si>
  <si>
    <t>(p) Pos. 1 Feuerwehrpläne (CAD)</t>
  </si>
  <si>
    <t>7366 RWE-BSK-WP-Günsterswald</t>
  </si>
  <si>
    <t>7411 FightGroove-BSN-Schellingstr45-München</t>
  </si>
  <si>
    <t>(p) Pos. 1 Erstellung eines Brandschutznachweises (SV)</t>
  </si>
  <si>
    <t>(p) Pos. 3 FRP (CAD)</t>
  </si>
  <si>
    <t>5104-Erstellen Brandfallsteuertabelle....</t>
  </si>
  <si>
    <t>CAD Erarbeiten Brandschutzkonzeptpläne….</t>
  </si>
  <si>
    <t>(p) Pos. 1 Erstellung von Flucht- und Rettungsplänen</t>
  </si>
  <si>
    <t>(p) Pos. 1 Feuerwehrpläne LP 9</t>
  </si>
  <si>
    <t>(aN) Pos. 1 0500-Digitalisieren von CAD-Plänen</t>
  </si>
  <si>
    <t>Pos. 2.83 GL (SV) US-Recht</t>
  </si>
  <si>
    <t>(p) Pos. 4 FWP</t>
  </si>
  <si>
    <t>Pos. 1.81 BL (SV)</t>
  </si>
  <si>
    <t>P. Bergner - Quartalsreport 2025Q3</t>
  </si>
  <si>
    <t>Pos. 1.80 GL (SV)</t>
  </si>
  <si>
    <t>5301-95% -Review, AFU-BAU…..</t>
  </si>
  <si>
    <t>ANG BAB (aN) Pos. 1 LP 5 + 8</t>
  </si>
  <si>
    <t>2203-Ermittlung Brandlasten vor Ort….</t>
  </si>
  <si>
    <t>Firmenveranstaltungen (max. 4h/Quartal pro MA)</t>
  </si>
  <si>
    <t>4101-Erläuterungsbericht Brandschutzkonzept….</t>
  </si>
  <si>
    <t>4100-Erläuterungsbericht Rechtsgrundlagen….</t>
  </si>
  <si>
    <t>Pos. 2.81 GL (SV) US-Recht</t>
  </si>
  <si>
    <t>(aN) ITR-CAC-Ansbach-Urlas</t>
  </si>
  <si>
    <t>R. Böttiger - Quartalsreport 2025Q3</t>
  </si>
  <si>
    <t>(aN) Pos. 2 BTB Ausführungsplanung</t>
  </si>
  <si>
    <t>(p) Lph. 5 (Ausführungsplanung)</t>
  </si>
  <si>
    <t>(aN) Pos. 1 Brandschutztechnische Beratung während der Planungsphase</t>
  </si>
  <si>
    <t>(p) Besprechungen Brandschutz gebündelt</t>
  </si>
  <si>
    <t>(p) LP 5</t>
  </si>
  <si>
    <t>(p) 5 Besprechungen á 4 h Brandschutz nicht gebündet behandelt</t>
  </si>
  <si>
    <t>2302-Beratungsleistungen - Beratung</t>
  </si>
  <si>
    <t>R. Wagen CAD - Quartalsreport 2025Q3</t>
  </si>
  <si>
    <t>(aN) Pos. 1 Aktualisierung der Flucht- und Rettungspläne (CAD)</t>
  </si>
  <si>
    <t>(aN) Pos. 2 Begehung zu Bestandsaufnahme für die Flucht- und Rettungspläne (CAD)</t>
  </si>
  <si>
    <t>(aN) Pos. 3 Überarbeitung der Feuerwehrpläne aufgrund neuer Vorgaben der Feuerwehr  (CAD)</t>
  </si>
  <si>
    <t>(aN) Pos. 4 Digitalisierung der Pläne (CAD)</t>
  </si>
  <si>
    <t>(p) Pos. 1 Aktualisierung der Feuerwehrpläne</t>
  </si>
  <si>
    <t>BL FWP</t>
  </si>
  <si>
    <t>Erarbeiten Brandschutzkonzeptpläne</t>
  </si>
  <si>
    <t>S. Roßkopf - Quartalsreport 2025Q3</t>
  </si>
  <si>
    <t>S. Schüler - Quartalsreport 2025Q3</t>
  </si>
  <si>
    <t>1101-Zusammenstellen Ergebnisse….</t>
  </si>
  <si>
    <t>2105-Erstellen Brandschutzskizzen....</t>
  </si>
  <si>
    <t>9000-Beratungsleistungen</t>
  </si>
  <si>
    <t>9100-Aktualisierung Brandschutzkonzeptpläne….</t>
  </si>
  <si>
    <t>2302-Beratungsleistungen in der Planungsphase...</t>
  </si>
  <si>
    <t>Teilnahme an Besprechungen (noch nicht beauftragt)</t>
  </si>
  <si>
    <t>Pos. 2.60 GL (SV) US-Recht</t>
  </si>
  <si>
    <t>Pos. 2.82 GL (SV) US-Recht</t>
  </si>
  <si>
    <t>Pos. 2.84 GL (SV) US-Recht</t>
  </si>
  <si>
    <t>(aN) Pos. 1 Grundlagenermittlung und Objektbegehung (Ortsbesichtigung inkludiert/SV)</t>
  </si>
  <si>
    <t>Pos. 1.003</t>
  </si>
  <si>
    <t>Pos. 2.002</t>
  </si>
  <si>
    <t>Pos. 3.006</t>
  </si>
  <si>
    <t>5206-Mitwirken Erstellen Brandschutzmatrix....</t>
  </si>
  <si>
    <t>Prüfen der Ausführung auf prinzipielle Übereinstimmung (Stufe 1)....</t>
  </si>
  <si>
    <t>Pos. 2.85 GL (SV) US-Recht</t>
  </si>
  <si>
    <t>(aN) Pos. 1 BST</t>
  </si>
  <si>
    <t>(aN) Pos. 1 Ortstermin, Abstimmungen und BTB (SV)</t>
  </si>
  <si>
    <t>1.1  Grundlagenermittlung Regelleistungen</t>
  </si>
  <si>
    <t>1.2. Grundlagenermittlung optionale Leistung</t>
  </si>
  <si>
    <t>T. Trautmann - Quartalsreport 2025Q3</t>
  </si>
  <si>
    <t>(a.N) Brandschutztechnische Beratung</t>
  </si>
  <si>
    <t>(p) Pos. 4 LP 8 GL (SV)</t>
  </si>
  <si>
    <t>NAT 02 (aN) LP2 Hykos+H2T (Beratung a.N. bis Ausschreibung beauftragt)</t>
  </si>
  <si>
    <t>(aN) Pos. 1 Zusätzl. Beratungsleistungen</t>
  </si>
  <si>
    <t>(p) Pos. 1 BTB Geb. 15</t>
  </si>
  <si>
    <t>SV Erarbeiten des Brandschutzkonzept/Nachweis/Stellungnahme</t>
  </si>
  <si>
    <t>Nr. 5/LP 8 GL</t>
  </si>
  <si>
    <t>(aN) Pos. 2 BTB (SV)</t>
  </si>
  <si>
    <t>4302-Ortstermine, Besprechung Behörde, Feuerwehr etc...</t>
  </si>
  <si>
    <t>(aN) BTB + BAB</t>
  </si>
  <si>
    <t>BTB</t>
  </si>
  <si>
    <t>(a.N) Erstellung Brandschutztechnische Stellungnahme</t>
  </si>
  <si>
    <t>(aN) Pos. 1 Brandschutzbegehung</t>
  </si>
  <si>
    <t>U. Sutter ADM - Quartalsreport 2025Q3</t>
  </si>
  <si>
    <t>Prüfung Brandfallsteuertabelle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</si>
</sst>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0"/>
      <name val="Calibri"/>
    </font>
    <font>
      <b/>
      <sz val="11"/>
      <name val="Calibri"/>
    </font>
    <font>
      <b/>
      <sz val="11"/>
      <color rgb="FFFFFFFF"/>
      <name val="Calibri"/>
    </font>
    <font>
      <b/>
      <sz val="11"/>
      <color rgb="FF9C0006"/>
      <name val="Calibri"/>
    </font>
    <font>
      <b/>
      <sz val="11"/>
      <color rgb="FF9C5700"/>
      <name val="Calibri"/>
    </font>
    <font>
      <b/>
      <sz val="11"/>
      <color rgb="FF006100"/>
      <name val="Calibri"/>
    </font>
    <font>
      <b/>
      <sz val="12"/>
      <name val="Calibri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2CC"/>
        <bgColor rgb="FFFFF2CC"/>
      </patternFill>
    </fill>
    <fill>
      <patternFill patternType="solid">
        <fgColor rgb="FFF8CBAD"/>
        <bgColor rgb="FFF8CBAD"/>
      </patternFill>
    </fill>
    <fill>
      <patternFill patternType="solid">
        <fgColor rgb="FFD9EAD3"/>
        <bgColor rgb="FFD9EAD3"/>
      </patternFill>
    </fill>
  </fills>
  <borders count="4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/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8" fillId="0" borderId="0" xfId="0" applyFont="1"/>
    <xf numFmtId="0" fontId="3" fillId="0" borderId="1" xfId="0" applyFont="1" applyBorder="1"/>
    <xf numFmtId="0" fontId="0" fillId="0" borderId="1" xfId="0" applyBorder="1"/>
    <xf numFmtId="2" fontId="0" fillId="0" borderId="1" xfId="0" applyNumberFormat="1" applyBorder="1"/>
    <xf numFmtId="2" fontId="3" fillId="0" borderId="1" xfId="0" applyNumberFormat="1" applyFont="1" applyBorder="1"/>
    <xf numFmtId="0" fontId="2" fillId="0" borderId="0" xfId="0" applyFont="1"/>
    <xf numFmtId="0" fontId="4" fillId="2" borderId="1" xfId="0" applyFont="1" applyFill="1" applyBorder="1"/>
    <xf numFmtId="0" fontId="5" fillId="3" borderId="1" xfId="0" applyFont="1" applyFill="1" applyBorder="1"/>
    <xf numFmtId="4" fontId="0" fillId="0" borderId="1" xfId="0" applyNumberFormat="1" applyBorder="1"/>
    <xf numFmtId="0" fontId="6" fillId="4" borderId="1" xfId="0" applyFont="1" applyFill="1" applyBorder="1"/>
    <xf numFmtId="0" fontId="7" fillId="5" borderId="1" xfId="0" applyFont="1" applyFill="1" applyBorder="1"/>
    <xf numFmtId="0" fontId="3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5" borderId="1" xfId="0" applyFill="1" applyBorder="1"/>
    <xf numFmtId="4" fontId="3" fillId="0" borderId="1" xfId="0" applyNumberFormat="1" applyFont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2" fontId="3" fillId="0" borderId="0" xfId="0" applyNumberFormat="1" applyFont="1"/>
    <xf numFmtId="0" fontId="0" fillId="0" borderId="1" xfId="0" applyBorder="1" applyAlignment="1">
      <alignment vertical="top"/>
    </xf>
    <xf numFmtId="0" fontId="0" fillId="0" borderId="3" xfId="0" applyBorder="1"/>
    <xf numFmtId="0" fontId="0" fillId="0" borderId="2" xfId="0" applyBorder="1"/>
  </cellXfs>
  <cellStyles count="1">
    <cellStyle name="Standard" xfId="0" builtinId="0"/>
  </cellStyles>
  <dxfs count="70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11</xdr:col>
          <xdr:colOff>123825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019E92F-1110-4170-D02A-DE0DF1305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Mitarbeiter-Sheets exportieren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33"/>
  <sheetViews>
    <sheetView tabSelected="1" workbookViewId="0"/>
  </sheetViews>
  <sheetFormatPr baseColWidth="10" defaultColWidth="9.140625" defaultRowHeight="15" x14ac:dyDescent="0.25"/>
  <cols>
    <col min="1" max="1" width="50" customWidth="1"/>
    <col min="2" max="2" width="20" customWidth="1"/>
    <col min="3" max="3" width="25" customWidth="1"/>
    <col min="4" max="4" width="35" customWidth="1"/>
  </cols>
  <sheetData>
    <row r="1" spans="1:4" ht="18.75" x14ac:dyDescent="0.3">
      <c r="A1" s="1" t="s">
        <v>0</v>
      </c>
    </row>
    <row r="3" spans="1:4" ht="15.75" x14ac:dyDescent="0.25">
      <c r="A3" s="2" t="s">
        <v>1</v>
      </c>
    </row>
    <row r="4" spans="1:4" x14ac:dyDescent="0.25">
      <c r="A4" s="3" t="s">
        <v>2</v>
      </c>
      <c r="B4" s="3" t="s">
        <v>3</v>
      </c>
      <c r="C4" s="3" t="s">
        <v>4</v>
      </c>
      <c r="D4" s="3" t="s">
        <v>5</v>
      </c>
    </row>
    <row r="5" spans="1:4" x14ac:dyDescent="0.25">
      <c r="A5" s="4" t="s">
        <v>6</v>
      </c>
      <c r="B5" s="5">
        <f>SUM('A. Kokott'!F31,'C. Trapp SV'!F24,'D. Brucker'!F16,'E. Bieler'!F42,'E. Iago Barros de Oliveira'!F8,'H. Bektas'!F23,'J. Dorchies'!F15,'J. Dorn'!F37,'M. Bandlofsky'!F18,'M. Bandlofsky CAD'!F9,'O. Haag BS-CAD'!F43,'P. Bergner'!F13,'R. Böttiger'!F23,'R. Wagen CAD'!F23,'S. Schüler'!F45,'T. Trautmann'!F20,'U. Sutter ADM'!F20)</f>
        <v>1414.83</v>
      </c>
      <c r="C5" s="5">
        <f>SUM('A. Kokott'!F32,'C. Trapp SV'!F25,'D. Brucker'!F17,'E. Bieler'!F43,'E. Iago Barros de Oliveira'!F9,'H. Bektas'!F24,'J. Dorchies'!F16,'J. Dorn'!F38,'M. Bandlofsky'!F19,'M. Bandlofsky CAD'!F10,'O. Haag BS-CAD'!F44,'P. Bergner'!F14,'R. Böttiger'!F24,'R. Wagen CAD'!F24,'S. Schüler'!F46,'T. Trautmann'!F21,'U. Sutter ADM'!F21)</f>
        <v>822.75</v>
      </c>
      <c r="D5" s="5">
        <f>SUM('A. Kokott'!F33,'C. Trapp SV'!F26,'D. Brucker'!F18,'E. Bieler'!F44,'E. Iago Barros de Oliveira'!F10,'H. Bektas'!F25,'J. Dorchies'!F17,'J. Dorn'!F39,'M. Bandlofsky'!F20,'M. Bandlofsky CAD'!F11,'O. Haag BS-CAD'!F45,'P. Bergner'!F15,'R. Böttiger'!F25,'R. Wagen CAD'!F25,'S. Schüler'!F47,'T. Trautmann'!F22,'U. Sutter ADM'!F22)</f>
        <v>68</v>
      </c>
    </row>
    <row r="6" spans="1:4" x14ac:dyDescent="0.25">
      <c r="A6" s="4" t="s">
        <v>7</v>
      </c>
      <c r="B6" s="5">
        <f>SUM('A. Kokott'!F77,'C. Trapp SV'!F48,'D. Brucker'!F25,'E. Bieler'!F53,'H. Bektas'!F39,'J. Dorchies'!F24,'J. Dorn'!F75,'M. Bandlofsky'!F37,'M. Warner'!F14,'O. Haag BS-CAD'!F84,'P. Bergner'!F34,'R. Böttiger'!F47,'R. Wagen CAD'!F49,'S. Roßkopf'!F10,'S. Schüler'!F85,'T. Trautmann'!F64,'U. Sutter ADM'!F43)</f>
        <v>1424</v>
      </c>
      <c r="C6" s="5">
        <f>SUM('A. Kokott'!F78,'C. Trapp SV'!F49,'D. Brucker'!F26,'E. Bieler'!F54,'H. Bektas'!F40,'J. Dorchies'!F25,'J. Dorn'!F76,'M. Bandlofsky'!F38,'M. Warner'!F15,'O. Haag BS-CAD'!F85,'P. Bergner'!F35,'R. Böttiger'!F48,'R. Wagen CAD'!F50,'S. Roßkopf'!F11,'S. Schüler'!F86,'T. Trautmann'!F65,'U. Sutter ADM'!F44)</f>
        <v>932.75</v>
      </c>
      <c r="D6" s="5">
        <f>SUM('A. Kokott'!F79,'C. Trapp SV'!F50,'D. Brucker'!F27,'E. Bieler'!F55,'H. Bektas'!F41,'J. Dorchies'!F26,'J. Dorn'!F77,'M. Bandlofsky'!F39,'M. Warner'!F16,'O. Haag BS-CAD'!F86,'P. Bergner'!F36,'R. Böttiger'!F49,'R. Wagen CAD'!F51,'S. Roßkopf'!F12,'S. Schüler'!F87,'T. Trautmann'!F66,'U. Sutter ADM'!F45)</f>
        <v>67.25</v>
      </c>
    </row>
    <row r="7" spans="1:4" x14ac:dyDescent="0.25">
      <c r="A7" s="4" t="s">
        <v>8</v>
      </c>
      <c r="B7" s="5">
        <f>SUM('A. Kokott'!F123,'C. Trapp SV'!F66,'D. Brucker'!F39,'E. Bieler'!F63,'H. Bektas'!F56,'J. Dorn'!F103,'M. Bandlofsky'!F64,'M. Bandlofsky CAD'!F19,'M. Warner'!F29,'O. Haag BS-CAD'!F127,'P. Bergner'!F55,'R. Böttiger'!F70,'R. Wagen CAD'!F63,'S. Roßkopf'!F22,'S. Schüler'!F118,'T. Trautmann'!F97,'U. Sutter ADM'!F60)</f>
        <v>1374.25</v>
      </c>
      <c r="C7" s="5">
        <f>SUM('A. Kokott'!F124,'C. Trapp SV'!F67,'D. Brucker'!F40,'E. Bieler'!F64,'H. Bektas'!F57,'J. Dorn'!F104,'M. Bandlofsky'!F65,'M. Bandlofsky CAD'!F20,'M. Warner'!F30,'O. Haag BS-CAD'!F128,'P. Bergner'!F56,'R. Böttiger'!F71,'R. Wagen CAD'!F64,'S. Roßkopf'!F23,'S. Schüler'!F119,'T. Trautmann'!F98,'U. Sutter ADM'!F61)</f>
        <v>996.25</v>
      </c>
      <c r="D7" s="5">
        <f>SUM('A. Kokott'!F125,'C. Trapp SV'!F68,'D. Brucker'!F41,'E. Bieler'!F65,'H. Bektas'!F58,'J. Dorn'!F105,'M. Bandlofsky'!F66,'M. Bandlofsky CAD'!F21,'M. Warner'!F31,'O. Haag BS-CAD'!F129,'P. Bergner'!F57,'R. Böttiger'!F72,'R. Wagen CAD'!F65,'S. Roßkopf'!F24,'S. Schüler'!F120,'T. Trautmann'!F99,'U. Sutter ADM'!F62)</f>
        <v>72</v>
      </c>
    </row>
    <row r="9" spans="1:4" ht="15.75" x14ac:dyDescent="0.25">
      <c r="A9" s="2" t="s">
        <v>9</v>
      </c>
    </row>
    <row r="10" spans="1:4" x14ac:dyDescent="0.25">
      <c r="A10" s="3" t="s">
        <v>10</v>
      </c>
      <c r="B10" s="6">
        <f>SUM('A. Kokott'!B225,'C. Trapp SV'!B120,'D. Brucker'!B75,'E. Bieler'!B123,'E. Iago Barros de Oliveira'!B29,'H. Bektas'!B105,'J. Dorchies'!B54,'J. Dorn'!B166,'M. Bandlofsky'!B114,'M. Bandlofsky CAD'!B45,'M. Warner'!B60,'O. Haag BS-CAD'!B224,'P. Bergner'!B109,'R. Böttiger'!B119,'R. Wagen CAD'!B108,'S. Roßkopf'!B48,'S. Schüler'!B196,'T. Trautmann'!B163,'U. Sutter ADM'!B103)</f>
        <v>0</v>
      </c>
      <c r="C10" s="3"/>
      <c r="D10" s="3"/>
    </row>
    <row r="11" spans="1:4" x14ac:dyDescent="0.25">
      <c r="A11" s="3" t="s">
        <v>11</v>
      </c>
      <c r="B11" s="6">
        <f>SUM('A. Kokott'!B227,'C. Trapp SV'!B122,'D. Brucker'!B77,'E. Bieler'!B125,'E. Iago Barros de Oliveira'!B31,'H. Bektas'!B107,'J. Dorchies'!B56,'J. Dorn'!B168,'M. Bandlofsky'!B116,'M. Bandlofsky CAD'!B47,'M. Warner'!B62,'O. Haag BS-CAD'!B226,'P. Bergner'!B111,'R. Böttiger'!B121,'R. Wagen CAD'!B110,'S. Roßkopf'!B50,'S. Schüler'!B198,'T. Trautmann'!B165,'U. Sutter ADM'!B105)</f>
        <v>2751.75</v>
      </c>
      <c r="C11" s="3"/>
      <c r="D11" s="3"/>
    </row>
    <row r="12" spans="1:4" x14ac:dyDescent="0.25">
      <c r="A12" s="3" t="s">
        <v>12</v>
      </c>
      <c r="B12" s="6">
        <f>SUM('A. Kokott'!B228,'C. Trapp SV'!B123,'D. Brucker'!B78,'E. Bieler'!B126,'E. Iago Barros de Oliveira'!B32,'H. Bektas'!B108,'J. Dorchies'!B57,'J. Dorn'!B169,'M. Bandlofsky'!B117,'M. Bandlofsky CAD'!B48,'M. Warner'!B63,'O. Haag BS-CAD'!B227,'P. Bergner'!B112,'R. Böttiger'!B122,'R. Wagen CAD'!B111,'S. Roßkopf'!B51,'S. Schüler'!B199,'T. Trautmann'!B166,'U. Sutter ADM'!B106)</f>
        <v>207.25</v>
      </c>
      <c r="C12" s="3"/>
      <c r="D12" s="3"/>
    </row>
    <row r="14" spans="1:4" ht="15.75" x14ac:dyDescent="0.25">
      <c r="A14" s="2" t="s">
        <v>13</v>
      </c>
    </row>
    <row r="15" spans="1:4" x14ac:dyDescent="0.25">
      <c r="A15" s="4" t="s">
        <v>14</v>
      </c>
    </row>
    <row r="16" spans="1:4" x14ac:dyDescent="0.25">
      <c r="A16" s="4" t="s">
        <v>15</v>
      </c>
    </row>
    <row r="17" spans="1:1" x14ac:dyDescent="0.25">
      <c r="A17" s="4" t="s">
        <v>16</v>
      </c>
    </row>
    <row r="18" spans="1:1" x14ac:dyDescent="0.25">
      <c r="A18" s="4" t="s">
        <v>17</v>
      </c>
    </row>
    <row r="19" spans="1:1" x14ac:dyDescent="0.25">
      <c r="A19" s="4" t="s">
        <v>18</v>
      </c>
    </row>
    <row r="20" spans="1:1" x14ac:dyDescent="0.25">
      <c r="A20" s="4" t="s">
        <v>19</v>
      </c>
    </row>
    <row r="21" spans="1:1" x14ac:dyDescent="0.25">
      <c r="A21" s="4" t="s">
        <v>20</v>
      </c>
    </row>
    <row r="22" spans="1:1" x14ac:dyDescent="0.25">
      <c r="A22" s="4" t="s">
        <v>21</v>
      </c>
    </row>
    <row r="23" spans="1:1" x14ac:dyDescent="0.25">
      <c r="A23" s="4" t="s">
        <v>22</v>
      </c>
    </row>
    <row r="24" spans="1:1" x14ac:dyDescent="0.25">
      <c r="A24" s="4" t="s">
        <v>23</v>
      </c>
    </row>
    <row r="25" spans="1:1" x14ac:dyDescent="0.25">
      <c r="A25" s="4" t="s">
        <v>24</v>
      </c>
    </row>
    <row r="26" spans="1:1" x14ac:dyDescent="0.25">
      <c r="A26" s="4" t="s">
        <v>25</v>
      </c>
    </row>
    <row r="27" spans="1:1" x14ac:dyDescent="0.25">
      <c r="A27" s="4" t="s">
        <v>26</v>
      </c>
    </row>
    <row r="28" spans="1:1" x14ac:dyDescent="0.25">
      <c r="A28" s="4" t="s">
        <v>27</v>
      </c>
    </row>
    <row r="29" spans="1:1" x14ac:dyDescent="0.25">
      <c r="A29" s="4" t="s">
        <v>28</v>
      </c>
    </row>
    <row r="30" spans="1:1" x14ac:dyDescent="0.25">
      <c r="A30" s="4" t="s">
        <v>29</v>
      </c>
    </row>
    <row r="31" spans="1:1" x14ac:dyDescent="0.25">
      <c r="A31" s="4" t="s">
        <v>30</v>
      </c>
    </row>
    <row r="32" spans="1:1" x14ac:dyDescent="0.25">
      <c r="A32" s="4" t="s">
        <v>31</v>
      </c>
    </row>
    <row r="33" spans="1:1" x14ac:dyDescent="0.25">
      <c r="A33" s="4" t="s">
        <v>32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portMitarbeiterSheets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11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M540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2" width="50" customWidth="1"/>
    <col min="3" max="4" width="18" customWidth="1"/>
    <col min="5" max="5" width="20" customWidth="1"/>
    <col min="6" max="8" width="18" customWidth="1"/>
    <col min="9" max="11" width="22" customWidth="1"/>
    <col min="12" max="12" width="40" customWidth="1"/>
    <col min="13" max="13" width="3" hidden="1" customWidth="1"/>
  </cols>
  <sheetData>
    <row r="1" spans="1:13" ht="18.75" x14ac:dyDescent="0.3">
      <c r="A1" s="1" t="s">
        <v>33</v>
      </c>
    </row>
    <row r="3" spans="1:13" x14ac:dyDescent="0.25">
      <c r="A3" s="7" t="s">
        <v>34</v>
      </c>
    </row>
    <row r="5" spans="1:13" x14ac:dyDescent="0.25">
      <c r="A5" s="8" t="s">
        <v>35</v>
      </c>
      <c r="B5" s="8" t="s">
        <v>36</v>
      </c>
      <c r="C5" s="8" t="s">
        <v>37</v>
      </c>
      <c r="D5" s="8" t="s">
        <v>38</v>
      </c>
      <c r="E5" s="8" t="s">
        <v>39</v>
      </c>
      <c r="F5" s="8" t="s">
        <v>40</v>
      </c>
      <c r="G5" s="8" t="s">
        <v>41</v>
      </c>
      <c r="H5" s="8" t="s">
        <v>42</v>
      </c>
      <c r="I5" s="8" t="s">
        <v>43</v>
      </c>
      <c r="J5" s="8" t="s">
        <v>44</v>
      </c>
      <c r="K5" s="8" t="s">
        <v>45</v>
      </c>
      <c r="L5" s="8" t="s">
        <v>46</v>
      </c>
      <c r="M5" s="8" t="s">
        <v>47</v>
      </c>
    </row>
    <row r="6" spans="1:13" x14ac:dyDescent="0.25">
      <c r="A6" s="4" t="s">
        <v>48</v>
      </c>
      <c r="B6" s="4" t="s">
        <v>49</v>
      </c>
      <c r="C6" s="9" t="s">
        <v>50</v>
      </c>
      <c r="D6" s="10"/>
      <c r="E6" s="11" t="s">
        <v>51</v>
      </c>
      <c r="F6" s="10"/>
      <c r="G6" s="10">
        <v>0</v>
      </c>
      <c r="H6" s="10">
        <f t="shared" ref="H6:H69" si="0">F6-G6</f>
        <v>0</v>
      </c>
      <c r="I6" s="10"/>
      <c r="J6" s="10"/>
      <c r="K6" s="10"/>
      <c r="L6" s="4" t="s">
        <v>52</v>
      </c>
      <c r="M6" s="4">
        <v>1</v>
      </c>
    </row>
    <row r="7" spans="1:13" x14ac:dyDescent="0.25">
      <c r="A7" s="4" t="s">
        <v>48</v>
      </c>
      <c r="B7" s="4" t="s">
        <v>53</v>
      </c>
      <c r="C7" s="9" t="s">
        <v>50</v>
      </c>
      <c r="D7" s="10"/>
      <c r="E7" s="11" t="s">
        <v>51</v>
      </c>
      <c r="F7" s="10"/>
      <c r="G7" s="10">
        <v>0</v>
      </c>
      <c r="H7" s="10">
        <f t="shared" si="0"/>
        <v>0</v>
      </c>
      <c r="I7" s="10"/>
      <c r="J7" s="10"/>
      <c r="K7" s="10"/>
      <c r="L7" s="4" t="s">
        <v>52</v>
      </c>
      <c r="M7" s="4">
        <v>2</v>
      </c>
    </row>
    <row r="8" spans="1:13" x14ac:dyDescent="0.25">
      <c r="A8" s="4" t="s">
        <v>48</v>
      </c>
      <c r="B8" s="4" t="s">
        <v>54</v>
      </c>
      <c r="C8" s="9" t="s">
        <v>50</v>
      </c>
      <c r="D8" s="10"/>
      <c r="E8" s="11" t="s">
        <v>51</v>
      </c>
      <c r="F8" s="10"/>
      <c r="G8" s="10">
        <v>0</v>
      </c>
      <c r="H8" s="10">
        <f t="shared" si="0"/>
        <v>0</v>
      </c>
      <c r="I8" s="10"/>
      <c r="J8" s="10"/>
      <c r="K8" s="10"/>
      <c r="L8" s="4" t="s">
        <v>52</v>
      </c>
      <c r="M8" s="4">
        <v>3</v>
      </c>
    </row>
    <row r="9" spans="1:13" x14ac:dyDescent="0.25">
      <c r="A9" s="4" t="s">
        <v>48</v>
      </c>
      <c r="B9" s="4" t="s">
        <v>55</v>
      </c>
      <c r="C9" s="9" t="s">
        <v>50</v>
      </c>
      <c r="D9" s="10"/>
      <c r="E9" s="11" t="s">
        <v>51</v>
      </c>
      <c r="F9" s="10"/>
      <c r="G9" s="10">
        <v>0</v>
      </c>
      <c r="H9" s="10">
        <f t="shared" si="0"/>
        <v>0</v>
      </c>
      <c r="I9" s="10"/>
      <c r="J9" s="10"/>
      <c r="K9" s="10"/>
      <c r="L9" s="4" t="s">
        <v>52</v>
      </c>
      <c r="M9" s="4">
        <v>4</v>
      </c>
    </row>
    <row r="10" spans="1:13" x14ac:dyDescent="0.25">
      <c r="A10" s="4" t="s">
        <v>48</v>
      </c>
      <c r="B10" s="4" t="s">
        <v>56</v>
      </c>
      <c r="C10" s="9" t="s">
        <v>50</v>
      </c>
      <c r="D10" s="10"/>
      <c r="E10" s="11" t="s">
        <v>51</v>
      </c>
      <c r="F10" s="10"/>
      <c r="G10" s="10">
        <v>0</v>
      </c>
      <c r="H10" s="10">
        <f t="shared" si="0"/>
        <v>0</v>
      </c>
      <c r="I10" s="10"/>
      <c r="J10" s="10"/>
      <c r="K10" s="10"/>
      <c r="L10" s="4" t="s">
        <v>52</v>
      </c>
      <c r="M10" s="4">
        <v>5</v>
      </c>
    </row>
    <row r="11" spans="1:13" x14ac:dyDescent="0.25">
      <c r="A11" s="4" t="s">
        <v>48</v>
      </c>
      <c r="B11" s="4" t="s">
        <v>57</v>
      </c>
      <c r="C11" s="9" t="s">
        <v>50</v>
      </c>
      <c r="D11" s="10"/>
      <c r="E11" s="11" t="s">
        <v>51</v>
      </c>
      <c r="F11" s="10"/>
      <c r="G11" s="10">
        <v>0</v>
      </c>
      <c r="H11" s="10">
        <f t="shared" si="0"/>
        <v>0</v>
      </c>
      <c r="I11" s="10"/>
      <c r="J11" s="10"/>
      <c r="K11" s="10"/>
      <c r="L11" s="4" t="s">
        <v>52</v>
      </c>
      <c r="M11" s="4">
        <v>6</v>
      </c>
    </row>
    <row r="12" spans="1:13" x14ac:dyDescent="0.25">
      <c r="A12" s="4" t="s">
        <v>48</v>
      </c>
      <c r="B12" s="4" t="s">
        <v>58</v>
      </c>
      <c r="C12" s="9" t="s">
        <v>50</v>
      </c>
      <c r="D12" s="10"/>
      <c r="E12" s="11" t="s">
        <v>51</v>
      </c>
      <c r="F12" s="10"/>
      <c r="G12" s="10">
        <v>0</v>
      </c>
      <c r="H12" s="10">
        <f t="shared" si="0"/>
        <v>0</v>
      </c>
      <c r="I12" s="10"/>
      <c r="J12" s="10"/>
      <c r="K12" s="10"/>
      <c r="L12" s="4" t="s">
        <v>52</v>
      </c>
      <c r="M12" s="4">
        <v>7</v>
      </c>
    </row>
    <row r="13" spans="1:13" x14ac:dyDescent="0.25">
      <c r="A13" s="4" t="s">
        <v>48</v>
      </c>
      <c r="B13" s="4" t="s">
        <v>59</v>
      </c>
      <c r="C13" s="9" t="s">
        <v>50</v>
      </c>
      <c r="D13" s="10"/>
      <c r="E13" s="11" t="s">
        <v>51</v>
      </c>
      <c r="F13" s="10"/>
      <c r="G13" s="10">
        <v>0</v>
      </c>
      <c r="H13" s="10">
        <f t="shared" si="0"/>
        <v>0</v>
      </c>
      <c r="I13" s="10"/>
      <c r="J13" s="10"/>
      <c r="K13" s="10"/>
      <c r="L13" s="4" t="s">
        <v>52</v>
      </c>
      <c r="M13" s="4">
        <v>8</v>
      </c>
    </row>
    <row r="14" spans="1:13" x14ac:dyDescent="0.25">
      <c r="A14" s="4" t="s">
        <v>48</v>
      </c>
      <c r="B14" s="4" t="s">
        <v>60</v>
      </c>
      <c r="C14" s="9" t="s">
        <v>50</v>
      </c>
      <c r="D14" s="10"/>
      <c r="E14" s="11" t="s">
        <v>51</v>
      </c>
      <c r="F14" s="10"/>
      <c r="G14" s="10">
        <v>0</v>
      </c>
      <c r="H14" s="10">
        <f t="shared" si="0"/>
        <v>0</v>
      </c>
      <c r="I14" s="10"/>
      <c r="J14" s="10"/>
      <c r="K14" s="10"/>
      <c r="L14" s="4" t="s">
        <v>52</v>
      </c>
      <c r="M14" s="4">
        <v>9</v>
      </c>
    </row>
    <row r="15" spans="1:13" x14ac:dyDescent="0.25">
      <c r="A15" s="4" t="s">
        <v>61</v>
      </c>
      <c r="B15" s="4" t="s">
        <v>62</v>
      </c>
      <c r="C15" s="9" t="s">
        <v>50</v>
      </c>
      <c r="D15" s="10">
        <v>132</v>
      </c>
      <c r="E15" s="11" t="s">
        <v>51</v>
      </c>
      <c r="F15" s="10"/>
      <c r="G15" s="10">
        <v>0</v>
      </c>
      <c r="H15" s="10">
        <f t="shared" si="0"/>
        <v>0</v>
      </c>
      <c r="I15" s="10"/>
      <c r="J15" s="10"/>
      <c r="K15" s="10"/>
      <c r="L15" s="4" t="s">
        <v>52</v>
      </c>
      <c r="M15" s="4">
        <v>10</v>
      </c>
    </row>
    <row r="16" spans="1:13" x14ac:dyDescent="0.25">
      <c r="A16" s="4" t="s">
        <v>63</v>
      </c>
      <c r="B16" s="4" t="s">
        <v>64</v>
      </c>
      <c r="C16" s="4" t="s">
        <v>65</v>
      </c>
      <c r="D16" s="10">
        <v>92</v>
      </c>
      <c r="E16" s="12" t="s">
        <v>66</v>
      </c>
      <c r="F16" s="10">
        <v>7475</v>
      </c>
      <c r="G16" s="10">
        <v>0</v>
      </c>
      <c r="H16" s="10">
        <f t="shared" si="0"/>
        <v>7475</v>
      </c>
      <c r="I16" s="10">
        <v>81.25</v>
      </c>
      <c r="J16" s="10">
        <v>81.25</v>
      </c>
      <c r="K16" s="10">
        <v>81.25</v>
      </c>
      <c r="L16" s="4"/>
      <c r="M16" s="4">
        <v>11</v>
      </c>
    </row>
    <row r="17" spans="1:13" x14ac:dyDescent="0.25">
      <c r="A17" s="4" t="s">
        <v>63</v>
      </c>
      <c r="B17" s="4" t="s">
        <v>67</v>
      </c>
      <c r="C17" s="4" t="s">
        <v>68</v>
      </c>
      <c r="D17" s="10">
        <v>155</v>
      </c>
      <c r="E17" s="11" t="s">
        <v>51</v>
      </c>
      <c r="F17" s="10">
        <v>4600</v>
      </c>
      <c r="G17" s="10">
        <v>0</v>
      </c>
      <c r="H17" s="10">
        <f t="shared" si="0"/>
        <v>4600</v>
      </c>
      <c r="I17" s="10"/>
      <c r="J17" s="10"/>
      <c r="K17" s="10"/>
      <c r="L17" s="4" t="s">
        <v>69</v>
      </c>
      <c r="M17" s="4">
        <v>12</v>
      </c>
    </row>
    <row r="18" spans="1:13" x14ac:dyDescent="0.25">
      <c r="A18" s="4" t="s">
        <v>70</v>
      </c>
      <c r="B18" s="4" t="s">
        <v>71</v>
      </c>
      <c r="C18" s="4" t="s">
        <v>65</v>
      </c>
      <c r="D18" s="10">
        <v>75</v>
      </c>
      <c r="E18" s="12" t="s">
        <v>66</v>
      </c>
      <c r="F18" s="10">
        <v>7900</v>
      </c>
      <c r="G18" s="10">
        <v>0</v>
      </c>
      <c r="H18" s="10">
        <f t="shared" si="0"/>
        <v>7900</v>
      </c>
      <c r="I18" s="10">
        <v>105.3333333333333</v>
      </c>
      <c r="J18" s="10">
        <v>105.3333333333333</v>
      </c>
      <c r="K18" s="10">
        <v>105.3333333333333</v>
      </c>
      <c r="L18" s="4"/>
      <c r="M18" s="4">
        <v>13</v>
      </c>
    </row>
    <row r="19" spans="1:13" x14ac:dyDescent="0.25">
      <c r="A19" s="4" t="s">
        <v>70</v>
      </c>
      <c r="B19" s="4" t="s">
        <v>72</v>
      </c>
      <c r="C19" s="4" t="s">
        <v>68</v>
      </c>
      <c r="D19" s="10">
        <v>98</v>
      </c>
      <c r="E19" s="11" t="s">
        <v>51</v>
      </c>
      <c r="F19" s="10">
        <v>4600</v>
      </c>
      <c r="G19" s="10">
        <v>0</v>
      </c>
      <c r="H19" s="10">
        <f t="shared" si="0"/>
        <v>4600</v>
      </c>
      <c r="I19" s="10"/>
      <c r="J19" s="10"/>
      <c r="K19" s="10"/>
      <c r="L19" s="4" t="s">
        <v>69</v>
      </c>
      <c r="M19" s="4">
        <v>14</v>
      </c>
    </row>
    <row r="20" spans="1:13" x14ac:dyDescent="0.25">
      <c r="A20" s="4" t="s">
        <v>73</v>
      </c>
      <c r="B20" s="4" t="s">
        <v>74</v>
      </c>
      <c r="C20" s="4" t="s">
        <v>65</v>
      </c>
      <c r="D20" s="10">
        <v>27</v>
      </c>
      <c r="E20" s="12" t="s">
        <v>66</v>
      </c>
      <c r="F20" s="10">
        <v>3300</v>
      </c>
      <c r="G20" s="10">
        <v>0</v>
      </c>
      <c r="H20" s="10">
        <f t="shared" si="0"/>
        <v>3300</v>
      </c>
      <c r="I20" s="10">
        <v>122.2222222222222</v>
      </c>
      <c r="J20" s="10">
        <v>122.2222222222222</v>
      </c>
      <c r="K20" s="10">
        <v>122.2222222222222</v>
      </c>
      <c r="L20" s="4"/>
      <c r="M20" s="4">
        <v>15</v>
      </c>
    </row>
    <row r="21" spans="1:13" x14ac:dyDescent="0.25">
      <c r="A21" s="4" t="s">
        <v>73</v>
      </c>
      <c r="B21" s="4" t="s">
        <v>75</v>
      </c>
      <c r="C21" s="4" t="s">
        <v>65</v>
      </c>
      <c r="D21" s="10">
        <v>92</v>
      </c>
      <c r="E21" s="12" t="s">
        <v>66</v>
      </c>
      <c r="F21" s="10">
        <v>150</v>
      </c>
      <c r="G21" s="10">
        <v>0</v>
      </c>
      <c r="H21" s="10">
        <f t="shared" si="0"/>
        <v>150</v>
      </c>
      <c r="I21" s="10">
        <v>75</v>
      </c>
      <c r="J21" s="10">
        <v>75</v>
      </c>
      <c r="K21" s="10">
        <v>75</v>
      </c>
      <c r="L21" s="4"/>
      <c r="M21" s="4">
        <v>16</v>
      </c>
    </row>
    <row r="22" spans="1:13" x14ac:dyDescent="0.25">
      <c r="A22" s="4" t="s">
        <v>76</v>
      </c>
      <c r="B22" s="4" t="s">
        <v>77</v>
      </c>
      <c r="C22" s="4" t="s">
        <v>68</v>
      </c>
      <c r="D22" s="10">
        <v>20</v>
      </c>
      <c r="E22" s="11" t="s">
        <v>51</v>
      </c>
      <c r="F22" s="10">
        <v>2200</v>
      </c>
      <c r="G22" s="10">
        <v>0</v>
      </c>
      <c r="H22" s="10">
        <f t="shared" si="0"/>
        <v>2200</v>
      </c>
      <c r="I22" s="10"/>
      <c r="J22" s="10"/>
      <c r="K22" s="10"/>
      <c r="L22" s="4" t="s">
        <v>69</v>
      </c>
      <c r="M22" s="4">
        <v>17</v>
      </c>
    </row>
    <row r="23" spans="1:13" x14ac:dyDescent="0.25">
      <c r="A23" s="4" t="s">
        <v>76</v>
      </c>
      <c r="B23" s="4" t="s">
        <v>78</v>
      </c>
      <c r="C23" s="4" t="s">
        <v>65</v>
      </c>
      <c r="D23" s="10">
        <v>38</v>
      </c>
      <c r="E23" s="12" t="s">
        <v>66</v>
      </c>
      <c r="F23" s="10">
        <v>4300</v>
      </c>
      <c r="G23" s="10">
        <v>0</v>
      </c>
      <c r="H23" s="10">
        <f t="shared" si="0"/>
        <v>4300</v>
      </c>
      <c r="I23" s="10">
        <v>113.1578947368421</v>
      </c>
      <c r="J23" s="10">
        <v>113.1578947368421</v>
      </c>
      <c r="K23" s="10">
        <v>113.1578947368421</v>
      </c>
      <c r="L23" s="4"/>
      <c r="M23" s="4">
        <v>18</v>
      </c>
    </row>
    <row r="24" spans="1:13" x14ac:dyDescent="0.25">
      <c r="A24" s="4" t="s">
        <v>76</v>
      </c>
      <c r="B24" s="4" t="s">
        <v>79</v>
      </c>
      <c r="C24" s="4" t="s">
        <v>68</v>
      </c>
      <c r="D24" s="10">
        <v>10</v>
      </c>
      <c r="E24" s="11" t="s">
        <v>51</v>
      </c>
      <c r="F24" s="10">
        <v>1100</v>
      </c>
      <c r="G24" s="10">
        <v>0</v>
      </c>
      <c r="H24" s="10">
        <f t="shared" si="0"/>
        <v>1100</v>
      </c>
      <c r="I24" s="10"/>
      <c r="J24" s="10"/>
      <c r="K24" s="10"/>
      <c r="L24" s="4" t="s">
        <v>69</v>
      </c>
      <c r="M24" s="4">
        <v>19</v>
      </c>
    </row>
    <row r="25" spans="1:13" x14ac:dyDescent="0.25">
      <c r="A25" s="4" t="s">
        <v>76</v>
      </c>
      <c r="B25" s="4" t="s">
        <v>80</v>
      </c>
      <c r="C25" s="4" t="s">
        <v>68</v>
      </c>
      <c r="D25" s="10">
        <v>34</v>
      </c>
      <c r="E25" s="11" t="s">
        <v>51</v>
      </c>
      <c r="F25" s="10">
        <v>2640</v>
      </c>
      <c r="G25" s="10">
        <v>0</v>
      </c>
      <c r="H25" s="10">
        <f t="shared" si="0"/>
        <v>2640</v>
      </c>
      <c r="I25" s="10"/>
      <c r="J25" s="10"/>
      <c r="K25" s="10"/>
      <c r="L25" s="4" t="s">
        <v>69</v>
      </c>
      <c r="M25" s="4">
        <v>20</v>
      </c>
    </row>
    <row r="26" spans="1:13" x14ac:dyDescent="0.25">
      <c r="A26" s="4" t="s">
        <v>81</v>
      </c>
      <c r="B26" s="4" t="s">
        <v>82</v>
      </c>
      <c r="C26" s="9" t="s">
        <v>50</v>
      </c>
      <c r="D26" s="10">
        <v>34</v>
      </c>
      <c r="E26" s="11" t="s">
        <v>51</v>
      </c>
      <c r="F26" s="10">
        <v>951.32</v>
      </c>
      <c r="G26" s="10">
        <v>0</v>
      </c>
      <c r="H26" s="10">
        <f t="shared" si="0"/>
        <v>951.32</v>
      </c>
      <c r="I26" s="10"/>
      <c r="J26" s="10"/>
      <c r="K26" s="10"/>
      <c r="L26" s="4" t="s">
        <v>52</v>
      </c>
      <c r="M26" s="4">
        <v>21</v>
      </c>
    </row>
    <row r="27" spans="1:13" x14ac:dyDescent="0.25">
      <c r="A27" s="4" t="s">
        <v>83</v>
      </c>
      <c r="B27" s="4" t="s">
        <v>84</v>
      </c>
      <c r="C27" s="4" t="s">
        <v>68</v>
      </c>
      <c r="D27" s="10">
        <v>67</v>
      </c>
      <c r="E27" s="11" t="s">
        <v>51</v>
      </c>
      <c r="F27" s="10">
        <v>2880</v>
      </c>
      <c r="G27" s="10">
        <v>0</v>
      </c>
      <c r="H27" s="10">
        <f t="shared" si="0"/>
        <v>2880</v>
      </c>
      <c r="I27" s="10"/>
      <c r="J27" s="10"/>
      <c r="K27" s="10"/>
      <c r="L27" s="4" t="s">
        <v>69</v>
      </c>
      <c r="M27" s="4">
        <v>22</v>
      </c>
    </row>
    <row r="28" spans="1:13" x14ac:dyDescent="0.25">
      <c r="A28" s="4" t="s">
        <v>85</v>
      </c>
      <c r="B28" s="4" t="s">
        <v>86</v>
      </c>
      <c r="C28" s="4" t="s">
        <v>68</v>
      </c>
      <c r="D28" s="10">
        <v>83</v>
      </c>
      <c r="E28" s="11" t="s">
        <v>51</v>
      </c>
      <c r="F28" s="10">
        <v>5160</v>
      </c>
      <c r="G28" s="10">
        <v>0</v>
      </c>
      <c r="H28" s="10">
        <f t="shared" si="0"/>
        <v>5160</v>
      </c>
      <c r="I28" s="10"/>
      <c r="J28" s="10"/>
      <c r="K28" s="10"/>
      <c r="L28" s="4" t="s">
        <v>69</v>
      </c>
      <c r="M28" s="4">
        <v>23</v>
      </c>
    </row>
    <row r="29" spans="1:13" x14ac:dyDescent="0.25">
      <c r="A29" s="4" t="s">
        <v>87</v>
      </c>
      <c r="B29" s="4" t="s">
        <v>88</v>
      </c>
      <c r="C29" s="9" t="s">
        <v>50</v>
      </c>
      <c r="D29" s="10">
        <v>40</v>
      </c>
      <c r="E29" s="11" t="s">
        <v>51</v>
      </c>
      <c r="F29" s="10">
        <v>2880</v>
      </c>
      <c r="G29" s="10">
        <v>0</v>
      </c>
      <c r="H29" s="10">
        <f t="shared" si="0"/>
        <v>2880</v>
      </c>
      <c r="I29" s="10"/>
      <c r="J29" s="10"/>
      <c r="K29" s="10"/>
      <c r="L29" s="4" t="s">
        <v>52</v>
      </c>
      <c r="M29" s="4">
        <v>24</v>
      </c>
    </row>
    <row r="30" spans="1:13" x14ac:dyDescent="0.25">
      <c r="A30" s="4" t="s">
        <v>89</v>
      </c>
      <c r="B30" s="4" t="s">
        <v>90</v>
      </c>
      <c r="C30" s="4" t="s">
        <v>68</v>
      </c>
      <c r="D30" s="10">
        <v>40</v>
      </c>
      <c r="E30" s="11" t="s">
        <v>51</v>
      </c>
      <c r="F30" s="10">
        <v>4750</v>
      </c>
      <c r="G30" s="10">
        <v>0</v>
      </c>
      <c r="H30" s="10">
        <f t="shared" si="0"/>
        <v>4750</v>
      </c>
      <c r="I30" s="10"/>
      <c r="J30" s="10"/>
      <c r="K30" s="10"/>
      <c r="L30" s="4" t="s">
        <v>69</v>
      </c>
      <c r="M30" s="4">
        <v>25</v>
      </c>
    </row>
    <row r="31" spans="1:13" x14ac:dyDescent="0.25">
      <c r="A31" s="4" t="s">
        <v>91</v>
      </c>
      <c r="B31" s="4" t="s">
        <v>92</v>
      </c>
      <c r="C31" s="4" t="s">
        <v>65</v>
      </c>
      <c r="D31" s="10">
        <v>131</v>
      </c>
      <c r="E31" s="12" t="s">
        <v>66</v>
      </c>
      <c r="F31" s="10">
        <v>4350</v>
      </c>
      <c r="G31" s="10">
        <v>0</v>
      </c>
      <c r="H31" s="10">
        <f t="shared" si="0"/>
        <v>4350</v>
      </c>
      <c r="I31" s="10">
        <v>108.75</v>
      </c>
      <c r="J31" s="10">
        <v>108.75</v>
      </c>
      <c r="K31" s="10">
        <v>108.75</v>
      </c>
      <c r="L31" s="4"/>
      <c r="M31" s="4">
        <v>26</v>
      </c>
    </row>
    <row r="32" spans="1:13" x14ac:dyDescent="0.25">
      <c r="A32" s="4" t="s">
        <v>93</v>
      </c>
      <c r="B32" s="4" t="s">
        <v>94</v>
      </c>
      <c r="C32" s="4" t="s">
        <v>68</v>
      </c>
      <c r="D32" s="10">
        <v>35</v>
      </c>
      <c r="E32" s="11" t="s">
        <v>51</v>
      </c>
      <c r="F32" s="10">
        <v>4200</v>
      </c>
      <c r="G32" s="10">
        <v>0</v>
      </c>
      <c r="H32" s="10">
        <f t="shared" si="0"/>
        <v>4200</v>
      </c>
      <c r="I32" s="10"/>
      <c r="J32" s="10"/>
      <c r="K32" s="10"/>
      <c r="L32" s="4" t="s">
        <v>69</v>
      </c>
      <c r="M32" s="4">
        <v>27</v>
      </c>
    </row>
    <row r="33" spans="1:13" x14ac:dyDescent="0.25">
      <c r="A33" s="4" t="s">
        <v>93</v>
      </c>
      <c r="B33" s="4" t="s">
        <v>95</v>
      </c>
      <c r="C33" s="4" t="s">
        <v>68</v>
      </c>
      <c r="D33" s="10">
        <v>30</v>
      </c>
      <c r="E33" s="11" t="s">
        <v>51</v>
      </c>
      <c r="F33" s="10">
        <v>3600</v>
      </c>
      <c r="G33" s="10">
        <v>0</v>
      </c>
      <c r="H33" s="10">
        <f t="shared" si="0"/>
        <v>3600</v>
      </c>
      <c r="I33" s="10"/>
      <c r="J33" s="10"/>
      <c r="K33" s="10"/>
      <c r="L33" s="4" t="s">
        <v>69</v>
      </c>
      <c r="M33" s="4">
        <v>28</v>
      </c>
    </row>
    <row r="34" spans="1:13" x14ac:dyDescent="0.25">
      <c r="A34" s="4" t="s">
        <v>93</v>
      </c>
      <c r="B34" s="4" t="s">
        <v>96</v>
      </c>
      <c r="C34" s="4" t="s">
        <v>65</v>
      </c>
      <c r="D34" s="10">
        <v>25</v>
      </c>
      <c r="E34" s="12" t="s">
        <v>66</v>
      </c>
      <c r="F34" s="10">
        <v>3000</v>
      </c>
      <c r="G34" s="10">
        <v>0</v>
      </c>
      <c r="H34" s="10">
        <f t="shared" si="0"/>
        <v>3000</v>
      </c>
      <c r="I34" s="10">
        <v>120</v>
      </c>
      <c r="J34" s="10">
        <v>120</v>
      </c>
      <c r="K34" s="10">
        <v>120</v>
      </c>
      <c r="L34" s="4"/>
      <c r="M34" s="4">
        <v>29</v>
      </c>
    </row>
    <row r="35" spans="1:13" x14ac:dyDescent="0.25">
      <c r="A35" s="4" t="s">
        <v>93</v>
      </c>
      <c r="B35" s="4" t="s">
        <v>97</v>
      </c>
      <c r="C35" s="9" t="s">
        <v>50</v>
      </c>
      <c r="D35" s="10">
        <v>29</v>
      </c>
      <c r="E35" s="11" t="s">
        <v>51</v>
      </c>
      <c r="F35" s="10"/>
      <c r="G35" s="10">
        <v>0</v>
      </c>
      <c r="H35" s="10">
        <f t="shared" si="0"/>
        <v>0</v>
      </c>
      <c r="I35" s="10"/>
      <c r="J35" s="10"/>
      <c r="K35" s="10"/>
      <c r="L35" s="4" t="s">
        <v>52</v>
      </c>
      <c r="M35" s="4">
        <v>30</v>
      </c>
    </row>
    <row r="36" spans="1:13" x14ac:dyDescent="0.25">
      <c r="A36" s="4" t="s">
        <v>98</v>
      </c>
      <c r="B36" s="4" t="s">
        <v>99</v>
      </c>
      <c r="C36" s="4" t="s">
        <v>65</v>
      </c>
      <c r="D36" s="10">
        <v>45.75</v>
      </c>
      <c r="E36" s="12" t="s">
        <v>66</v>
      </c>
      <c r="F36" s="10">
        <v>3550</v>
      </c>
      <c r="G36" s="10">
        <v>0</v>
      </c>
      <c r="H36" s="10">
        <f t="shared" si="0"/>
        <v>3550</v>
      </c>
      <c r="I36" s="10">
        <v>122.4137931034483</v>
      </c>
      <c r="J36" s="10">
        <v>122.4137931034483</v>
      </c>
      <c r="K36" s="10">
        <v>122.4137931034483</v>
      </c>
      <c r="L36" s="4"/>
      <c r="M36" s="4">
        <v>31</v>
      </c>
    </row>
    <row r="37" spans="1:13" x14ac:dyDescent="0.25">
      <c r="A37" s="4" t="s">
        <v>100</v>
      </c>
      <c r="B37" s="4" t="s">
        <v>101</v>
      </c>
      <c r="C37" s="9" t="s">
        <v>50</v>
      </c>
      <c r="D37" s="10">
        <v>10.75</v>
      </c>
      <c r="E37" s="11" t="s">
        <v>51</v>
      </c>
      <c r="F37" s="10">
        <v>1200</v>
      </c>
      <c r="G37" s="10">
        <v>0</v>
      </c>
      <c r="H37" s="10">
        <f t="shared" si="0"/>
        <v>1200</v>
      </c>
      <c r="I37" s="10"/>
      <c r="J37" s="10"/>
      <c r="K37" s="10"/>
      <c r="L37" s="4" t="s">
        <v>52</v>
      </c>
      <c r="M37" s="4">
        <v>32</v>
      </c>
    </row>
    <row r="38" spans="1:13" x14ac:dyDescent="0.25">
      <c r="A38" s="4" t="s">
        <v>100</v>
      </c>
      <c r="B38" s="4" t="s">
        <v>102</v>
      </c>
      <c r="C38" s="9" t="s">
        <v>50</v>
      </c>
      <c r="D38" s="10">
        <v>22</v>
      </c>
      <c r="E38" s="11" t="s">
        <v>51</v>
      </c>
      <c r="F38" s="10">
        <v>650</v>
      </c>
      <c r="G38" s="10">
        <v>0</v>
      </c>
      <c r="H38" s="10">
        <f t="shared" si="0"/>
        <v>650</v>
      </c>
      <c r="I38" s="10"/>
      <c r="J38" s="10"/>
      <c r="K38" s="10"/>
      <c r="L38" s="4" t="s">
        <v>52</v>
      </c>
      <c r="M38" s="4">
        <v>33</v>
      </c>
    </row>
    <row r="39" spans="1:13" x14ac:dyDescent="0.25">
      <c r="A39" s="4" t="s">
        <v>103</v>
      </c>
      <c r="B39" s="4" t="s">
        <v>104</v>
      </c>
      <c r="C39" s="4" t="s">
        <v>68</v>
      </c>
      <c r="D39" s="10">
        <v>112</v>
      </c>
      <c r="E39" s="11" t="s">
        <v>51</v>
      </c>
      <c r="F39" s="10">
        <v>1840</v>
      </c>
      <c r="G39" s="10">
        <v>0</v>
      </c>
      <c r="H39" s="10">
        <f t="shared" si="0"/>
        <v>1840</v>
      </c>
      <c r="I39" s="10"/>
      <c r="J39" s="10"/>
      <c r="K39" s="10"/>
      <c r="L39" s="4" t="s">
        <v>69</v>
      </c>
      <c r="M39" s="4">
        <v>34</v>
      </c>
    </row>
    <row r="40" spans="1:13" x14ac:dyDescent="0.25">
      <c r="A40" s="4" t="s">
        <v>105</v>
      </c>
      <c r="B40" s="4" t="s">
        <v>88</v>
      </c>
      <c r="C40" s="9" t="s">
        <v>50</v>
      </c>
      <c r="D40" s="10">
        <v>26</v>
      </c>
      <c r="E40" s="11" t="s">
        <v>51</v>
      </c>
      <c r="F40" s="10">
        <v>2121.02</v>
      </c>
      <c r="G40" s="10">
        <v>0</v>
      </c>
      <c r="H40" s="10">
        <f t="shared" si="0"/>
        <v>2121.02</v>
      </c>
      <c r="I40" s="10"/>
      <c r="J40" s="10"/>
      <c r="K40" s="10"/>
      <c r="L40" s="4" t="s">
        <v>52</v>
      </c>
      <c r="M40" s="4">
        <v>35</v>
      </c>
    </row>
    <row r="41" spans="1:13" x14ac:dyDescent="0.25">
      <c r="A41" s="4" t="s">
        <v>105</v>
      </c>
      <c r="B41" s="4" t="s">
        <v>106</v>
      </c>
      <c r="C41" s="9" t="s">
        <v>50</v>
      </c>
      <c r="D41" s="10">
        <v>30</v>
      </c>
      <c r="E41" s="11" t="s">
        <v>51</v>
      </c>
      <c r="F41" s="10">
        <v>2447.14</v>
      </c>
      <c r="G41" s="10">
        <v>0</v>
      </c>
      <c r="H41" s="10">
        <f t="shared" si="0"/>
        <v>2447.14</v>
      </c>
      <c r="I41" s="10"/>
      <c r="J41" s="10"/>
      <c r="K41" s="10"/>
      <c r="L41" s="4" t="s">
        <v>52</v>
      </c>
      <c r="M41" s="4">
        <v>36</v>
      </c>
    </row>
    <row r="42" spans="1:13" x14ac:dyDescent="0.25">
      <c r="A42" s="4" t="s">
        <v>105</v>
      </c>
      <c r="B42" s="4" t="s">
        <v>107</v>
      </c>
      <c r="C42" s="9" t="s">
        <v>50</v>
      </c>
      <c r="D42" s="10">
        <v>20</v>
      </c>
      <c r="E42" s="11" t="s">
        <v>51</v>
      </c>
      <c r="F42" s="10">
        <v>1631.84</v>
      </c>
      <c r="G42" s="10">
        <v>0</v>
      </c>
      <c r="H42" s="10">
        <f t="shared" si="0"/>
        <v>1631.84</v>
      </c>
      <c r="I42" s="10"/>
      <c r="J42" s="10"/>
      <c r="K42" s="10"/>
      <c r="L42" s="4" t="s">
        <v>52</v>
      </c>
      <c r="M42" s="4">
        <v>37</v>
      </c>
    </row>
    <row r="43" spans="1:13" x14ac:dyDescent="0.25">
      <c r="A43" s="4" t="s">
        <v>105</v>
      </c>
      <c r="B43" s="4" t="s">
        <v>108</v>
      </c>
      <c r="C43" s="9" t="s">
        <v>50</v>
      </c>
      <c r="D43" s="10">
        <v>51</v>
      </c>
      <c r="E43" s="11" t="s">
        <v>51</v>
      </c>
      <c r="F43" s="10">
        <v>1650</v>
      </c>
      <c r="G43" s="10">
        <v>0</v>
      </c>
      <c r="H43" s="10">
        <f t="shared" si="0"/>
        <v>1650</v>
      </c>
      <c r="I43" s="10"/>
      <c r="J43" s="10"/>
      <c r="K43" s="10"/>
      <c r="L43" s="4" t="s">
        <v>52</v>
      </c>
      <c r="M43" s="4">
        <v>38</v>
      </c>
    </row>
    <row r="44" spans="1:13" x14ac:dyDescent="0.25">
      <c r="A44" s="4" t="s">
        <v>109</v>
      </c>
      <c r="B44" s="4" t="s">
        <v>110</v>
      </c>
      <c r="C44" s="9" t="s">
        <v>50</v>
      </c>
      <c r="D44" s="10">
        <v>19</v>
      </c>
      <c r="E44" s="11" t="s">
        <v>51</v>
      </c>
      <c r="F44" s="10">
        <v>1750</v>
      </c>
      <c r="G44" s="10">
        <v>0</v>
      </c>
      <c r="H44" s="10">
        <f t="shared" si="0"/>
        <v>1750</v>
      </c>
      <c r="I44" s="10"/>
      <c r="J44" s="10"/>
      <c r="K44" s="10"/>
      <c r="L44" s="4" t="s">
        <v>52</v>
      </c>
      <c r="M44" s="4">
        <v>39</v>
      </c>
    </row>
    <row r="45" spans="1:13" x14ac:dyDescent="0.25">
      <c r="A45" s="4" t="s">
        <v>109</v>
      </c>
      <c r="B45" s="4" t="s">
        <v>111</v>
      </c>
      <c r="C45" s="9" t="s">
        <v>50</v>
      </c>
      <c r="D45" s="10">
        <v>48</v>
      </c>
      <c r="E45" s="11" t="s">
        <v>51</v>
      </c>
      <c r="F45" s="10">
        <v>675</v>
      </c>
      <c r="G45" s="10">
        <v>0</v>
      </c>
      <c r="H45" s="10">
        <f t="shared" si="0"/>
        <v>675</v>
      </c>
      <c r="I45" s="10"/>
      <c r="J45" s="10"/>
      <c r="K45" s="10"/>
      <c r="L45" s="4" t="s">
        <v>52</v>
      </c>
      <c r="M45" s="4">
        <v>40</v>
      </c>
    </row>
    <row r="46" spans="1:13" x14ac:dyDescent="0.25">
      <c r="A46" s="4" t="s">
        <v>112</v>
      </c>
      <c r="B46" s="4" t="s">
        <v>113</v>
      </c>
      <c r="C46" s="4" t="s">
        <v>65</v>
      </c>
      <c r="D46" s="10">
        <v>51</v>
      </c>
      <c r="E46" s="12" t="s">
        <v>66</v>
      </c>
      <c r="F46" s="10">
        <v>3950</v>
      </c>
      <c r="G46" s="10">
        <v>0</v>
      </c>
      <c r="H46" s="10">
        <f t="shared" si="0"/>
        <v>3950</v>
      </c>
      <c r="I46" s="10">
        <v>109.7222222222222</v>
      </c>
      <c r="J46" s="10">
        <v>109.7222222222222</v>
      </c>
      <c r="K46" s="10">
        <v>109.7222222222222</v>
      </c>
      <c r="L46" s="4"/>
      <c r="M46" s="4">
        <v>41</v>
      </c>
    </row>
    <row r="47" spans="1:13" x14ac:dyDescent="0.25">
      <c r="A47" s="4" t="s">
        <v>114</v>
      </c>
      <c r="B47" s="4" t="s">
        <v>64</v>
      </c>
      <c r="C47" s="4" t="s">
        <v>65</v>
      </c>
      <c r="D47" s="10">
        <v>11</v>
      </c>
      <c r="E47" s="12" t="s">
        <v>66</v>
      </c>
      <c r="F47" s="10">
        <v>1000</v>
      </c>
      <c r="G47" s="10">
        <v>0</v>
      </c>
      <c r="H47" s="10">
        <f t="shared" si="0"/>
        <v>1000</v>
      </c>
      <c r="I47" s="10">
        <v>90.909090909090907</v>
      </c>
      <c r="J47" s="10">
        <v>90.909090909090907</v>
      </c>
      <c r="K47" s="10">
        <v>90.909090909090907</v>
      </c>
      <c r="L47" s="4"/>
      <c r="M47" s="4">
        <v>42</v>
      </c>
    </row>
    <row r="48" spans="1:13" x14ac:dyDescent="0.25">
      <c r="A48" s="4" t="s">
        <v>114</v>
      </c>
      <c r="B48" s="4" t="s">
        <v>115</v>
      </c>
      <c r="C48" s="4" t="s">
        <v>68</v>
      </c>
      <c r="D48" s="10">
        <v>71</v>
      </c>
      <c r="E48" s="11" t="s">
        <v>51</v>
      </c>
      <c r="F48" s="10">
        <v>320</v>
      </c>
      <c r="G48" s="10">
        <v>0</v>
      </c>
      <c r="H48" s="10">
        <f t="shared" si="0"/>
        <v>320</v>
      </c>
      <c r="I48" s="10"/>
      <c r="J48" s="10"/>
      <c r="K48" s="10"/>
      <c r="L48" s="4" t="s">
        <v>69</v>
      </c>
      <c r="M48" s="4">
        <v>43</v>
      </c>
    </row>
    <row r="49" spans="1:13" x14ac:dyDescent="0.25">
      <c r="A49" s="4" t="s">
        <v>116</v>
      </c>
      <c r="B49" s="4" t="s">
        <v>117</v>
      </c>
      <c r="C49" s="9" t="s">
        <v>50</v>
      </c>
      <c r="D49" s="10">
        <v>12</v>
      </c>
      <c r="E49" s="11" t="s">
        <v>51</v>
      </c>
      <c r="F49" s="10">
        <v>1300</v>
      </c>
      <c r="G49" s="10">
        <v>0</v>
      </c>
      <c r="H49" s="10">
        <f t="shared" si="0"/>
        <v>1300</v>
      </c>
      <c r="I49" s="10"/>
      <c r="J49" s="10"/>
      <c r="K49" s="10"/>
      <c r="L49" s="4" t="s">
        <v>52</v>
      </c>
      <c r="M49" s="4">
        <v>44</v>
      </c>
    </row>
    <row r="50" spans="1:13" x14ac:dyDescent="0.25">
      <c r="A50" s="4" t="s">
        <v>116</v>
      </c>
      <c r="B50" s="4" t="s">
        <v>118</v>
      </c>
      <c r="C50" s="9" t="s">
        <v>50</v>
      </c>
      <c r="D50" s="10">
        <v>8</v>
      </c>
      <c r="E50" s="11" t="s">
        <v>51</v>
      </c>
      <c r="F50" s="10">
        <v>500</v>
      </c>
      <c r="G50" s="10">
        <v>0</v>
      </c>
      <c r="H50" s="10">
        <f t="shared" si="0"/>
        <v>500</v>
      </c>
      <c r="I50" s="10"/>
      <c r="J50" s="10"/>
      <c r="K50" s="10"/>
      <c r="L50" s="4" t="s">
        <v>52</v>
      </c>
      <c r="M50" s="4">
        <v>45</v>
      </c>
    </row>
    <row r="51" spans="1:13" x14ac:dyDescent="0.25">
      <c r="A51" s="4" t="s">
        <v>116</v>
      </c>
      <c r="B51" s="4" t="s">
        <v>119</v>
      </c>
      <c r="C51" s="9" t="s">
        <v>50</v>
      </c>
      <c r="D51" s="10">
        <v>13</v>
      </c>
      <c r="E51" s="11" t="s">
        <v>51</v>
      </c>
      <c r="F51" s="10">
        <v>800</v>
      </c>
      <c r="G51" s="10">
        <v>0</v>
      </c>
      <c r="H51" s="10">
        <f t="shared" si="0"/>
        <v>800</v>
      </c>
      <c r="I51" s="10"/>
      <c r="J51" s="10"/>
      <c r="K51" s="10"/>
      <c r="L51" s="4" t="s">
        <v>52</v>
      </c>
      <c r="M51" s="4">
        <v>46</v>
      </c>
    </row>
    <row r="52" spans="1:13" x14ac:dyDescent="0.25">
      <c r="A52" s="4" t="s">
        <v>116</v>
      </c>
      <c r="B52" s="4" t="s">
        <v>120</v>
      </c>
      <c r="C52" s="9" t="s">
        <v>50</v>
      </c>
      <c r="D52" s="10">
        <v>5</v>
      </c>
      <c r="E52" s="11" t="s">
        <v>51</v>
      </c>
      <c r="F52" s="10">
        <v>550</v>
      </c>
      <c r="G52" s="10">
        <v>0</v>
      </c>
      <c r="H52" s="10">
        <f t="shared" si="0"/>
        <v>550</v>
      </c>
      <c r="I52" s="10"/>
      <c r="J52" s="10"/>
      <c r="K52" s="10"/>
      <c r="L52" s="4" t="s">
        <v>52</v>
      </c>
      <c r="M52" s="4">
        <v>47</v>
      </c>
    </row>
    <row r="53" spans="1:13" x14ac:dyDescent="0.25">
      <c r="A53" s="4" t="s">
        <v>116</v>
      </c>
      <c r="B53" s="4" t="s">
        <v>121</v>
      </c>
      <c r="C53" s="9" t="s">
        <v>50</v>
      </c>
      <c r="D53" s="10">
        <v>8</v>
      </c>
      <c r="E53" s="11" t="s">
        <v>51</v>
      </c>
      <c r="F53" s="10">
        <v>850</v>
      </c>
      <c r="G53" s="10">
        <v>0</v>
      </c>
      <c r="H53" s="10">
        <f t="shared" si="0"/>
        <v>850</v>
      </c>
      <c r="I53" s="10"/>
      <c r="J53" s="10"/>
      <c r="K53" s="10"/>
      <c r="L53" s="4" t="s">
        <v>52</v>
      </c>
      <c r="M53" s="4">
        <v>48</v>
      </c>
    </row>
    <row r="54" spans="1:13" x14ac:dyDescent="0.25">
      <c r="A54" s="4" t="s">
        <v>116</v>
      </c>
      <c r="B54" s="4" t="s">
        <v>122</v>
      </c>
      <c r="C54" s="9" t="s">
        <v>50</v>
      </c>
      <c r="D54" s="10">
        <v>45</v>
      </c>
      <c r="E54" s="11" t="s">
        <v>51</v>
      </c>
      <c r="F54" s="10">
        <v>2700</v>
      </c>
      <c r="G54" s="10">
        <v>0</v>
      </c>
      <c r="H54" s="10">
        <f t="shared" si="0"/>
        <v>2700</v>
      </c>
      <c r="I54" s="10"/>
      <c r="J54" s="10"/>
      <c r="K54" s="10"/>
      <c r="L54" s="4" t="s">
        <v>52</v>
      </c>
      <c r="M54" s="4">
        <v>49</v>
      </c>
    </row>
    <row r="55" spans="1:13" x14ac:dyDescent="0.25">
      <c r="A55" s="4" t="s">
        <v>123</v>
      </c>
      <c r="B55" s="4" t="s">
        <v>124</v>
      </c>
      <c r="C55" s="4" t="s">
        <v>68</v>
      </c>
      <c r="D55" s="10">
        <v>32</v>
      </c>
      <c r="E55" s="11" t="s">
        <v>51</v>
      </c>
      <c r="F55" s="10">
        <v>1900</v>
      </c>
      <c r="G55" s="10">
        <v>0</v>
      </c>
      <c r="H55" s="10">
        <f t="shared" si="0"/>
        <v>1900</v>
      </c>
      <c r="I55" s="10"/>
      <c r="J55" s="10"/>
      <c r="K55" s="10"/>
      <c r="L55" s="4" t="s">
        <v>69</v>
      </c>
      <c r="M55" s="4">
        <v>50</v>
      </c>
    </row>
    <row r="56" spans="1:13" x14ac:dyDescent="0.25">
      <c r="A56" s="4" t="s">
        <v>125</v>
      </c>
      <c r="B56" s="4" t="s">
        <v>126</v>
      </c>
      <c r="C56" s="4" t="s">
        <v>68</v>
      </c>
      <c r="D56" s="10">
        <v>32</v>
      </c>
      <c r="E56" s="11" t="s">
        <v>51</v>
      </c>
      <c r="F56" s="10">
        <v>1440</v>
      </c>
      <c r="G56" s="10">
        <v>0</v>
      </c>
      <c r="H56" s="10">
        <f t="shared" si="0"/>
        <v>1440</v>
      </c>
      <c r="I56" s="10"/>
      <c r="J56" s="10"/>
      <c r="K56" s="10"/>
      <c r="L56" s="4" t="s">
        <v>69</v>
      </c>
      <c r="M56" s="4">
        <v>51</v>
      </c>
    </row>
    <row r="57" spans="1:13" x14ac:dyDescent="0.25">
      <c r="A57" s="4" t="s">
        <v>127</v>
      </c>
      <c r="B57" s="4" t="s">
        <v>128</v>
      </c>
      <c r="C57" s="9" t="s">
        <v>50</v>
      </c>
      <c r="D57" s="10">
        <v>50</v>
      </c>
      <c r="E57" s="11" t="s">
        <v>51</v>
      </c>
      <c r="F57" s="10">
        <v>1500</v>
      </c>
      <c r="G57" s="10">
        <v>0</v>
      </c>
      <c r="H57" s="10">
        <f t="shared" si="0"/>
        <v>1500</v>
      </c>
      <c r="I57" s="10"/>
      <c r="J57" s="10"/>
      <c r="K57" s="10"/>
      <c r="L57" s="4" t="s">
        <v>52</v>
      </c>
      <c r="M57" s="4">
        <v>52</v>
      </c>
    </row>
    <row r="58" spans="1:13" x14ac:dyDescent="0.25">
      <c r="A58" s="4" t="s">
        <v>129</v>
      </c>
      <c r="B58" s="4" t="s">
        <v>130</v>
      </c>
      <c r="C58" s="4" t="s">
        <v>68</v>
      </c>
      <c r="D58" s="10">
        <v>60</v>
      </c>
      <c r="E58" s="11" t="s">
        <v>51</v>
      </c>
      <c r="F58" s="10">
        <v>3300</v>
      </c>
      <c r="G58" s="10">
        <v>0</v>
      </c>
      <c r="H58" s="10">
        <f t="shared" si="0"/>
        <v>3300</v>
      </c>
      <c r="I58" s="10"/>
      <c r="J58" s="10"/>
      <c r="K58" s="10"/>
      <c r="L58" s="4" t="s">
        <v>69</v>
      </c>
      <c r="M58" s="4">
        <v>53</v>
      </c>
    </row>
    <row r="59" spans="1:13" x14ac:dyDescent="0.25">
      <c r="A59" s="4" t="s">
        <v>131</v>
      </c>
      <c r="B59" s="4" t="s">
        <v>132</v>
      </c>
      <c r="C59" s="4" t="s">
        <v>68</v>
      </c>
      <c r="D59" s="10">
        <v>30</v>
      </c>
      <c r="E59" s="11" t="s">
        <v>51</v>
      </c>
      <c r="F59" s="10">
        <v>3000</v>
      </c>
      <c r="G59" s="10">
        <v>0</v>
      </c>
      <c r="H59" s="10">
        <f t="shared" si="0"/>
        <v>3000</v>
      </c>
      <c r="I59" s="10"/>
      <c r="J59" s="10"/>
      <c r="K59" s="10"/>
      <c r="L59" s="4" t="s">
        <v>69</v>
      </c>
      <c r="M59" s="4">
        <v>54</v>
      </c>
    </row>
    <row r="60" spans="1:13" x14ac:dyDescent="0.25">
      <c r="A60" s="4" t="s">
        <v>133</v>
      </c>
      <c r="B60" s="4" t="s">
        <v>107</v>
      </c>
      <c r="C60" s="9" t="s">
        <v>50</v>
      </c>
      <c r="D60" s="10"/>
      <c r="E60" s="11" t="s">
        <v>51</v>
      </c>
      <c r="F60" s="10"/>
      <c r="G60" s="10">
        <v>0</v>
      </c>
      <c r="H60" s="10">
        <f t="shared" si="0"/>
        <v>0</v>
      </c>
      <c r="I60" s="10"/>
      <c r="J60" s="10"/>
      <c r="K60" s="10"/>
      <c r="L60" s="4" t="s">
        <v>52</v>
      </c>
      <c r="M60" s="4">
        <v>55</v>
      </c>
    </row>
    <row r="61" spans="1:13" x14ac:dyDescent="0.25">
      <c r="A61" s="4" t="s">
        <v>133</v>
      </c>
      <c r="B61" s="4" t="s">
        <v>134</v>
      </c>
      <c r="C61" s="9" t="s">
        <v>50</v>
      </c>
      <c r="D61" s="10">
        <v>100</v>
      </c>
      <c r="E61" s="11" t="s">
        <v>51</v>
      </c>
      <c r="F61" s="10"/>
      <c r="G61" s="10">
        <v>0</v>
      </c>
      <c r="H61" s="10">
        <f t="shared" si="0"/>
        <v>0</v>
      </c>
      <c r="I61" s="10"/>
      <c r="J61" s="10"/>
      <c r="K61" s="10"/>
      <c r="L61" s="4" t="s">
        <v>52</v>
      </c>
      <c r="M61" s="4">
        <v>56</v>
      </c>
    </row>
    <row r="62" spans="1:13" x14ac:dyDescent="0.25">
      <c r="A62" s="4" t="s">
        <v>135</v>
      </c>
      <c r="B62" s="4" t="s">
        <v>136</v>
      </c>
      <c r="C62" s="9" t="s">
        <v>50</v>
      </c>
      <c r="D62" s="10">
        <v>21</v>
      </c>
      <c r="E62" s="11" t="s">
        <v>51</v>
      </c>
      <c r="F62" s="10">
        <v>1785</v>
      </c>
      <c r="G62" s="10">
        <v>0</v>
      </c>
      <c r="H62" s="10">
        <f t="shared" si="0"/>
        <v>1785</v>
      </c>
      <c r="I62" s="10"/>
      <c r="J62" s="10"/>
      <c r="K62" s="10"/>
      <c r="L62" s="4" t="s">
        <v>52</v>
      </c>
      <c r="M62" s="4">
        <v>57</v>
      </c>
    </row>
    <row r="63" spans="1:13" x14ac:dyDescent="0.25">
      <c r="A63" s="4" t="s">
        <v>135</v>
      </c>
      <c r="B63" s="4" t="s">
        <v>82</v>
      </c>
      <c r="C63" s="9" t="s">
        <v>50</v>
      </c>
      <c r="D63" s="10">
        <v>27</v>
      </c>
      <c r="E63" s="11" t="s">
        <v>51</v>
      </c>
      <c r="F63" s="10">
        <v>2295</v>
      </c>
      <c r="G63" s="10">
        <v>0</v>
      </c>
      <c r="H63" s="10">
        <f t="shared" si="0"/>
        <v>2295</v>
      </c>
      <c r="I63" s="10"/>
      <c r="J63" s="10"/>
      <c r="K63" s="10"/>
      <c r="L63" s="4" t="s">
        <v>52</v>
      </c>
      <c r="M63" s="4">
        <v>58</v>
      </c>
    </row>
    <row r="64" spans="1:13" x14ac:dyDescent="0.25">
      <c r="A64" s="4" t="s">
        <v>135</v>
      </c>
      <c r="B64" s="4" t="s">
        <v>88</v>
      </c>
      <c r="C64" s="9" t="s">
        <v>50</v>
      </c>
      <c r="D64" s="10">
        <v>40</v>
      </c>
      <c r="E64" s="11" t="s">
        <v>51</v>
      </c>
      <c r="F64" s="10">
        <v>3400</v>
      </c>
      <c r="G64" s="10">
        <v>0</v>
      </c>
      <c r="H64" s="10">
        <f t="shared" si="0"/>
        <v>3400</v>
      </c>
      <c r="I64" s="10"/>
      <c r="J64" s="10"/>
      <c r="K64" s="10"/>
      <c r="L64" s="4" t="s">
        <v>52</v>
      </c>
      <c r="M64" s="4">
        <v>59</v>
      </c>
    </row>
    <row r="65" spans="1:13" x14ac:dyDescent="0.25">
      <c r="A65" s="4" t="s">
        <v>135</v>
      </c>
      <c r="B65" s="4" t="s">
        <v>137</v>
      </c>
      <c r="C65" s="9" t="s">
        <v>50</v>
      </c>
      <c r="D65" s="10">
        <v>52</v>
      </c>
      <c r="E65" s="11" t="s">
        <v>51</v>
      </c>
      <c r="F65" s="10">
        <v>1020</v>
      </c>
      <c r="G65" s="10">
        <v>0</v>
      </c>
      <c r="H65" s="10">
        <f t="shared" si="0"/>
        <v>1020</v>
      </c>
      <c r="I65" s="10"/>
      <c r="J65" s="10"/>
      <c r="K65" s="10"/>
      <c r="L65" s="4" t="s">
        <v>52</v>
      </c>
      <c r="M65" s="4">
        <v>60</v>
      </c>
    </row>
    <row r="66" spans="1:13" x14ac:dyDescent="0.25">
      <c r="A66" s="4" t="s">
        <v>138</v>
      </c>
      <c r="B66" s="4" t="s">
        <v>139</v>
      </c>
      <c r="C66" s="4" t="s">
        <v>68</v>
      </c>
      <c r="D66" s="10">
        <v>240</v>
      </c>
      <c r="E66" s="11" t="s">
        <v>51</v>
      </c>
      <c r="F66" s="10">
        <v>4600</v>
      </c>
      <c r="G66" s="10">
        <v>0</v>
      </c>
      <c r="H66" s="10">
        <f t="shared" si="0"/>
        <v>4600</v>
      </c>
      <c r="I66" s="10"/>
      <c r="J66" s="10"/>
      <c r="K66" s="10"/>
      <c r="L66" s="4" t="s">
        <v>69</v>
      </c>
      <c r="M66" s="4">
        <v>61</v>
      </c>
    </row>
    <row r="67" spans="1:13" x14ac:dyDescent="0.25">
      <c r="A67" s="4" t="s">
        <v>140</v>
      </c>
      <c r="B67" s="4" t="s">
        <v>141</v>
      </c>
      <c r="C67" s="4" t="s">
        <v>68</v>
      </c>
      <c r="D67" s="10">
        <v>224</v>
      </c>
      <c r="E67" s="11" t="s">
        <v>51</v>
      </c>
      <c r="F67" s="10">
        <v>21600</v>
      </c>
      <c r="G67" s="10">
        <v>0</v>
      </c>
      <c r="H67" s="10">
        <f t="shared" si="0"/>
        <v>21600</v>
      </c>
      <c r="I67" s="10"/>
      <c r="J67" s="10"/>
      <c r="K67" s="10"/>
      <c r="L67" s="4" t="s">
        <v>69</v>
      </c>
      <c r="M67" s="4">
        <v>62</v>
      </c>
    </row>
    <row r="68" spans="1:13" x14ac:dyDescent="0.25">
      <c r="A68" s="4" t="s">
        <v>142</v>
      </c>
      <c r="B68" s="4" t="s">
        <v>143</v>
      </c>
      <c r="C68" s="4" t="s">
        <v>68</v>
      </c>
      <c r="D68" s="10">
        <v>84</v>
      </c>
      <c r="E68" s="11" t="s">
        <v>51</v>
      </c>
      <c r="F68" s="10">
        <v>2760</v>
      </c>
      <c r="G68" s="10">
        <v>0</v>
      </c>
      <c r="H68" s="10">
        <f t="shared" si="0"/>
        <v>2760</v>
      </c>
      <c r="I68" s="10"/>
      <c r="J68" s="10"/>
      <c r="K68" s="10"/>
      <c r="L68" s="4" t="s">
        <v>69</v>
      </c>
      <c r="M68" s="4">
        <v>63</v>
      </c>
    </row>
    <row r="69" spans="1:13" x14ac:dyDescent="0.25">
      <c r="A69" s="4" t="s">
        <v>144</v>
      </c>
      <c r="B69" s="4" t="s">
        <v>145</v>
      </c>
      <c r="C69" s="4" t="s">
        <v>68</v>
      </c>
      <c r="D69" s="10">
        <v>84</v>
      </c>
      <c r="E69" s="11" t="s">
        <v>51</v>
      </c>
      <c r="F69" s="10">
        <v>5700</v>
      </c>
      <c r="G69" s="10">
        <v>0</v>
      </c>
      <c r="H69" s="10">
        <f t="shared" si="0"/>
        <v>5700</v>
      </c>
      <c r="I69" s="10"/>
      <c r="J69" s="10"/>
      <c r="K69" s="10"/>
      <c r="L69" s="4" t="s">
        <v>69</v>
      </c>
      <c r="M69" s="4">
        <v>64</v>
      </c>
    </row>
    <row r="70" spans="1:13" x14ac:dyDescent="0.25">
      <c r="A70" s="4" t="s">
        <v>146</v>
      </c>
      <c r="B70" s="4" t="s">
        <v>147</v>
      </c>
      <c r="C70" s="4" t="s">
        <v>68</v>
      </c>
      <c r="D70" s="10">
        <v>24</v>
      </c>
      <c r="E70" s="11" t="s">
        <v>51</v>
      </c>
      <c r="F70" s="10">
        <v>2760</v>
      </c>
      <c r="G70" s="10">
        <v>0</v>
      </c>
      <c r="H70" s="10">
        <f t="shared" ref="H70:H133" si="1">F70-G70</f>
        <v>2760</v>
      </c>
      <c r="I70" s="10"/>
      <c r="J70" s="10"/>
      <c r="K70" s="10"/>
      <c r="L70" s="4" t="s">
        <v>69</v>
      </c>
      <c r="M70" s="4">
        <v>65</v>
      </c>
    </row>
    <row r="71" spans="1:13" x14ac:dyDescent="0.25">
      <c r="A71" s="4" t="s">
        <v>148</v>
      </c>
      <c r="B71" s="4" t="s">
        <v>88</v>
      </c>
      <c r="C71" s="9" t="s">
        <v>50</v>
      </c>
      <c r="D71" s="10"/>
      <c r="E71" s="11" t="s">
        <v>51</v>
      </c>
      <c r="F71" s="10"/>
      <c r="G71" s="10">
        <v>0</v>
      </c>
      <c r="H71" s="10">
        <f t="shared" si="1"/>
        <v>0</v>
      </c>
      <c r="I71" s="10"/>
      <c r="J71" s="10"/>
      <c r="K71" s="10"/>
      <c r="L71" s="4" t="s">
        <v>52</v>
      </c>
      <c r="M71" s="4">
        <v>66</v>
      </c>
    </row>
    <row r="72" spans="1:13" x14ac:dyDescent="0.25">
      <c r="A72" s="4" t="s">
        <v>148</v>
      </c>
      <c r="B72" s="4" t="s">
        <v>137</v>
      </c>
      <c r="C72" s="9" t="s">
        <v>50</v>
      </c>
      <c r="D72" s="10"/>
      <c r="E72" s="11" t="s">
        <v>51</v>
      </c>
      <c r="F72" s="10"/>
      <c r="G72" s="10">
        <v>0</v>
      </c>
      <c r="H72" s="10">
        <f t="shared" si="1"/>
        <v>0</v>
      </c>
      <c r="I72" s="10"/>
      <c r="J72" s="10"/>
      <c r="K72" s="10"/>
      <c r="L72" s="4" t="s">
        <v>52</v>
      </c>
      <c r="M72" s="4">
        <v>67</v>
      </c>
    </row>
    <row r="73" spans="1:13" x14ac:dyDescent="0.25">
      <c r="A73" s="4" t="s">
        <v>148</v>
      </c>
      <c r="B73" s="4" t="s">
        <v>107</v>
      </c>
      <c r="C73" s="9" t="s">
        <v>50</v>
      </c>
      <c r="D73" s="10">
        <v>10</v>
      </c>
      <c r="E73" s="11" t="s">
        <v>51</v>
      </c>
      <c r="F73" s="10"/>
      <c r="G73" s="10">
        <v>0</v>
      </c>
      <c r="H73" s="10">
        <f t="shared" si="1"/>
        <v>0</v>
      </c>
      <c r="I73" s="10"/>
      <c r="J73" s="10"/>
      <c r="K73" s="10"/>
      <c r="L73" s="4" t="s">
        <v>52</v>
      </c>
      <c r="M73" s="4">
        <v>68</v>
      </c>
    </row>
    <row r="74" spans="1:13" x14ac:dyDescent="0.25">
      <c r="A74" s="4" t="s">
        <v>149</v>
      </c>
      <c r="B74" s="4" t="s">
        <v>150</v>
      </c>
      <c r="C74" s="4" t="s">
        <v>68</v>
      </c>
      <c r="D74" s="10">
        <v>39</v>
      </c>
      <c r="E74" s="11" t="s">
        <v>51</v>
      </c>
      <c r="F74" s="10">
        <v>1200</v>
      </c>
      <c r="G74" s="10">
        <v>0</v>
      </c>
      <c r="H74" s="10">
        <f t="shared" si="1"/>
        <v>1200</v>
      </c>
      <c r="I74" s="10"/>
      <c r="J74" s="10"/>
      <c r="K74" s="10"/>
      <c r="L74" s="4" t="s">
        <v>69</v>
      </c>
      <c r="M74" s="4">
        <v>69</v>
      </c>
    </row>
    <row r="75" spans="1:13" x14ac:dyDescent="0.25">
      <c r="A75" s="4" t="s">
        <v>151</v>
      </c>
      <c r="B75" s="4" t="s">
        <v>152</v>
      </c>
      <c r="C75" s="4" t="s">
        <v>65</v>
      </c>
      <c r="D75" s="10">
        <v>12</v>
      </c>
      <c r="E75" s="12" t="s">
        <v>66</v>
      </c>
      <c r="F75" s="10">
        <v>1200</v>
      </c>
      <c r="G75" s="10">
        <v>0</v>
      </c>
      <c r="H75" s="10">
        <f t="shared" si="1"/>
        <v>1200</v>
      </c>
      <c r="I75" s="10">
        <v>100</v>
      </c>
      <c r="J75" s="10">
        <v>100</v>
      </c>
      <c r="K75" s="10">
        <v>100</v>
      </c>
      <c r="L75" s="4"/>
      <c r="M75" s="4">
        <v>70</v>
      </c>
    </row>
    <row r="76" spans="1:13" x14ac:dyDescent="0.25">
      <c r="A76" s="4" t="s">
        <v>151</v>
      </c>
      <c r="B76" s="4" t="s">
        <v>153</v>
      </c>
      <c r="C76" s="4" t="s">
        <v>65</v>
      </c>
      <c r="D76" s="10">
        <v>16</v>
      </c>
      <c r="E76" s="12" t="s">
        <v>66</v>
      </c>
      <c r="F76" s="10">
        <v>1650</v>
      </c>
      <c r="G76" s="10">
        <v>0</v>
      </c>
      <c r="H76" s="10">
        <f t="shared" si="1"/>
        <v>1650</v>
      </c>
      <c r="I76" s="10">
        <v>103.125</v>
      </c>
      <c r="J76" s="10">
        <v>103.125</v>
      </c>
      <c r="K76" s="10">
        <v>103.125</v>
      </c>
      <c r="L76" s="4"/>
      <c r="M76" s="4">
        <v>71</v>
      </c>
    </row>
    <row r="77" spans="1:13" x14ac:dyDescent="0.25">
      <c r="A77" s="4" t="s">
        <v>151</v>
      </c>
      <c r="B77" s="4" t="s">
        <v>97</v>
      </c>
      <c r="C77" s="9" t="s">
        <v>50</v>
      </c>
      <c r="D77" s="10">
        <v>102</v>
      </c>
      <c r="E77" s="11" t="s">
        <v>51</v>
      </c>
      <c r="F77" s="10"/>
      <c r="G77" s="10">
        <v>0</v>
      </c>
      <c r="H77" s="10">
        <f t="shared" si="1"/>
        <v>0</v>
      </c>
      <c r="I77" s="10"/>
      <c r="J77" s="10"/>
      <c r="K77" s="10"/>
      <c r="L77" s="4" t="s">
        <v>52</v>
      </c>
      <c r="M77" s="4">
        <v>72</v>
      </c>
    </row>
    <row r="78" spans="1:13" x14ac:dyDescent="0.25">
      <c r="A78" s="4" t="s">
        <v>154</v>
      </c>
      <c r="B78" s="4" t="s">
        <v>155</v>
      </c>
      <c r="C78" s="4" t="s">
        <v>65</v>
      </c>
      <c r="D78" s="10">
        <v>24</v>
      </c>
      <c r="E78" s="12" t="s">
        <v>66</v>
      </c>
      <c r="F78" s="10">
        <v>2200</v>
      </c>
      <c r="G78" s="10">
        <v>0</v>
      </c>
      <c r="H78" s="10">
        <f t="shared" si="1"/>
        <v>2200</v>
      </c>
      <c r="I78" s="10">
        <v>91.666666666666671</v>
      </c>
      <c r="J78" s="10">
        <v>91.666666666666671</v>
      </c>
      <c r="K78" s="10">
        <v>91.666666666666671</v>
      </c>
      <c r="L78" s="4"/>
      <c r="M78" s="4">
        <v>73</v>
      </c>
    </row>
    <row r="79" spans="1:13" x14ac:dyDescent="0.25">
      <c r="A79" s="4" t="s">
        <v>154</v>
      </c>
      <c r="B79" s="4" t="s">
        <v>156</v>
      </c>
      <c r="C79" s="4" t="s">
        <v>68</v>
      </c>
      <c r="D79" s="10">
        <v>8</v>
      </c>
      <c r="E79" s="11" t="s">
        <v>51</v>
      </c>
      <c r="F79" s="10">
        <v>960</v>
      </c>
      <c r="G79" s="10">
        <v>0</v>
      </c>
      <c r="H79" s="10">
        <f t="shared" si="1"/>
        <v>960</v>
      </c>
      <c r="I79" s="10"/>
      <c r="J79" s="10"/>
      <c r="K79" s="10"/>
      <c r="L79" s="4" t="s">
        <v>69</v>
      </c>
      <c r="M79" s="4">
        <v>74</v>
      </c>
    </row>
    <row r="80" spans="1:13" x14ac:dyDescent="0.25">
      <c r="A80" s="4" t="s">
        <v>154</v>
      </c>
      <c r="B80" s="4" t="s">
        <v>157</v>
      </c>
      <c r="C80" s="4" t="s">
        <v>65</v>
      </c>
      <c r="D80" s="10">
        <v>114</v>
      </c>
      <c r="E80" s="12" t="s">
        <v>66</v>
      </c>
      <c r="F80" s="10">
        <v>5600</v>
      </c>
      <c r="G80" s="10">
        <v>0</v>
      </c>
      <c r="H80" s="10">
        <f t="shared" si="1"/>
        <v>5600</v>
      </c>
      <c r="I80" s="10">
        <v>80</v>
      </c>
      <c r="J80" s="10">
        <v>80</v>
      </c>
      <c r="K80" s="10">
        <v>80</v>
      </c>
      <c r="L80" s="4"/>
      <c r="M80" s="4">
        <v>75</v>
      </c>
    </row>
    <row r="81" spans="1:13" x14ac:dyDescent="0.25">
      <c r="A81" s="4" t="s">
        <v>158</v>
      </c>
      <c r="B81" s="4" t="s">
        <v>159</v>
      </c>
      <c r="C81" s="9" t="s">
        <v>50</v>
      </c>
      <c r="D81" s="10">
        <v>51</v>
      </c>
      <c r="E81" s="11" t="s">
        <v>51</v>
      </c>
      <c r="F81" s="10">
        <v>4340</v>
      </c>
      <c r="G81" s="10">
        <v>0</v>
      </c>
      <c r="H81" s="10">
        <f t="shared" si="1"/>
        <v>4340</v>
      </c>
      <c r="I81" s="10"/>
      <c r="J81" s="10"/>
      <c r="K81" s="10"/>
      <c r="L81" s="4" t="s">
        <v>52</v>
      </c>
      <c r="M81" s="4">
        <v>76</v>
      </c>
    </row>
    <row r="82" spans="1:13" x14ac:dyDescent="0.25">
      <c r="A82" s="4" t="s">
        <v>160</v>
      </c>
      <c r="B82" s="4" t="s">
        <v>161</v>
      </c>
      <c r="C82" s="4" t="s">
        <v>65</v>
      </c>
      <c r="D82" s="10">
        <v>33</v>
      </c>
      <c r="E82" s="12" t="s">
        <v>66</v>
      </c>
      <c r="F82" s="10">
        <v>900</v>
      </c>
      <c r="G82" s="10">
        <v>0</v>
      </c>
      <c r="H82" s="10">
        <f t="shared" si="1"/>
        <v>900</v>
      </c>
      <c r="I82" s="10">
        <v>128.57142857142861</v>
      </c>
      <c r="J82" s="10">
        <v>128.57142857142861</v>
      </c>
      <c r="K82" s="10">
        <v>128.57142857142861</v>
      </c>
      <c r="L82" s="4"/>
      <c r="M82" s="4">
        <v>77</v>
      </c>
    </row>
    <row r="83" spans="1:13" x14ac:dyDescent="0.25">
      <c r="A83" s="4" t="s">
        <v>162</v>
      </c>
      <c r="B83" s="4" t="s">
        <v>88</v>
      </c>
      <c r="C83" s="9" t="s">
        <v>50</v>
      </c>
      <c r="D83" s="10">
        <v>10</v>
      </c>
      <c r="E83" s="11" t="s">
        <v>51</v>
      </c>
      <c r="F83" s="10">
        <v>826.89</v>
      </c>
      <c r="G83" s="10">
        <v>0</v>
      </c>
      <c r="H83" s="10">
        <f t="shared" si="1"/>
        <v>826.89</v>
      </c>
      <c r="I83" s="10"/>
      <c r="J83" s="10"/>
      <c r="K83" s="10"/>
      <c r="L83" s="4" t="s">
        <v>52</v>
      </c>
      <c r="M83" s="4">
        <v>78</v>
      </c>
    </row>
    <row r="84" spans="1:13" x14ac:dyDescent="0.25">
      <c r="A84" s="4" t="s">
        <v>162</v>
      </c>
      <c r="B84" s="4" t="s">
        <v>107</v>
      </c>
      <c r="C84" s="9" t="s">
        <v>50</v>
      </c>
      <c r="D84" s="10">
        <v>38</v>
      </c>
      <c r="E84" s="11" t="s">
        <v>51</v>
      </c>
      <c r="F84" s="10">
        <v>1323.11</v>
      </c>
      <c r="G84" s="10">
        <v>0</v>
      </c>
      <c r="H84" s="10">
        <f t="shared" si="1"/>
        <v>1323.11</v>
      </c>
      <c r="I84" s="10"/>
      <c r="J84" s="10"/>
      <c r="K84" s="10"/>
      <c r="L84" s="4" t="s">
        <v>52</v>
      </c>
      <c r="M84" s="4">
        <v>79</v>
      </c>
    </row>
    <row r="85" spans="1:13" x14ac:dyDescent="0.25">
      <c r="A85" s="4" t="s">
        <v>163</v>
      </c>
      <c r="B85" s="4" t="s">
        <v>88</v>
      </c>
      <c r="C85" s="9" t="s">
        <v>50</v>
      </c>
      <c r="D85" s="10">
        <v>6</v>
      </c>
      <c r="E85" s="11" t="s">
        <v>51</v>
      </c>
      <c r="F85" s="10">
        <v>504.5</v>
      </c>
      <c r="G85" s="10">
        <v>0</v>
      </c>
      <c r="H85" s="10">
        <f t="shared" si="1"/>
        <v>504.5</v>
      </c>
      <c r="I85" s="10"/>
      <c r="J85" s="10"/>
      <c r="K85" s="10"/>
      <c r="L85" s="4" t="s">
        <v>52</v>
      </c>
      <c r="M85" s="4">
        <v>80</v>
      </c>
    </row>
    <row r="86" spans="1:13" x14ac:dyDescent="0.25">
      <c r="A86" s="4" t="s">
        <v>163</v>
      </c>
      <c r="B86" s="4" t="s">
        <v>107</v>
      </c>
      <c r="C86" s="9" t="s">
        <v>50</v>
      </c>
      <c r="D86" s="10">
        <v>2364</v>
      </c>
      <c r="E86" s="11" t="s">
        <v>51</v>
      </c>
      <c r="F86" s="10">
        <v>1345.51</v>
      </c>
      <c r="G86" s="10">
        <v>0</v>
      </c>
      <c r="H86" s="10">
        <f t="shared" si="1"/>
        <v>1345.51</v>
      </c>
      <c r="I86" s="10"/>
      <c r="J86" s="10"/>
      <c r="K86" s="10"/>
      <c r="L86" s="4" t="s">
        <v>52</v>
      </c>
      <c r="M86" s="4">
        <v>81</v>
      </c>
    </row>
    <row r="87" spans="1:13" x14ac:dyDescent="0.25">
      <c r="A87" s="4" t="s">
        <v>164</v>
      </c>
      <c r="B87" s="4" t="s">
        <v>106</v>
      </c>
      <c r="C87" s="9" t="s">
        <v>50</v>
      </c>
      <c r="D87" s="10">
        <v>2519</v>
      </c>
      <c r="E87" s="11" t="s">
        <v>51</v>
      </c>
      <c r="F87" s="10">
        <v>228398.93</v>
      </c>
      <c r="G87" s="10">
        <v>0</v>
      </c>
      <c r="H87" s="10">
        <f t="shared" si="1"/>
        <v>228398.93</v>
      </c>
      <c r="I87" s="10"/>
      <c r="J87" s="10"/>
      <c r="K87" s="10"/>
      <c r="L87" s="4" t="s">
        <v>52</v>
      </c>
      <c r="M87" s="4">
        <v>82</v>
      </c>
    </row>
    <row r="88" spans="1:13" x14ac:dyDescent="0.25">
      <c r="A88" s="4" t="s">
        <v>165</v>
      </c>
      <c r="B88" s="4" t="s">
        <v>166</v>
      </c>
      <c r="C88" s="4" t="s">
        <v>65</v>
      </c>
      <c r="D88" s="10">
        <v>143</v>
      </c>
      <c r="E88" s="12" t="s">
        <v>66</v>
      </c>
      <c r="F88" s="10">
        <v>13000</v>
      </c>
      <c r="G88" s="10">
        <v>0</v>
      </c>
      <c r="H88" s="10">
        <f t="shared" si="1"/>
        <v>13000</v>
      </c>
      <c r="I88" s="10">
        <v>90.909090909090907</v>
      </c>
      <c r="J88" s="10">
        <v>90.909090909090907</v>
      </c>
      <c r="K88" s="10">
        <v>90.909090909090907</v>
      </c>
      <c r="L88" s="4"/>
      <c r="M88" s="4">
        <v>83</v>
      </c>
    </row>
    <row r="89" spans="1:13" x14ac:dyDescent="0.25">
      <c r="A89" s="4" t="s">
        <v>167</v>
      </c>
      <c r="B89" s="4" t="s">
        <v>168</v>
      </c>
      <c r="C89" s="9" t="s">
        <v>50</v>
      </c>
      <c r="D89" s="10"/>
      <c r="E89" s="11" t="s">
        <v>51</v>
      </c>
      <c r="F89" s="10"/>
      <c r="G89" s="10">
        <v>0</v>
      </c>
      <c r="H89" s="10">
        <f t="shared" si="1"/>
        <v>0</v>
      </c>
      <c r="I89" s="10"/>
      <c r="J89" s="10"/>
      <c r="K89" s="10"/>
      <c r="L89" s="4" t="s">
        <v>52</v>
      </c>
      <c r="M89" s="4">
        <v>84</v>
      </c>
    </row>
    <row r="90" spans="1:13" x14ac:dyDescent="0.25">
      <c r="A90" s="4" t="s">
        <v>167</v>
      </c>
      <c r="B90" s="4" t="s">
        <v>169</v>
      </c>
      <c r="C90" s="9" t="s">
        <v>50</v>
      </c>
      <c r="D90" s="10"/>
      <c r="E90" s="11" t="s">
        <v>51</v>
      </c>
      <c r="F90" s="10"/>
      <c r="G90" s="10">
        <v>0</v>
      </c>
      <c r="H90" s="10">
        <f t="shared" si="1"/>
        <v>0</v>
      </c>
      <c r="I90" s="10"/>
      <c r="J90" s="10"/>
      <c r="K90" s="10"/>
      <c r="L90" s="4" t="s">
        <v>52</v>
      </c>
      <c r="M90" s="4">
        <v>85</v>
      </c>
    </row>
    <row r="91" spans="1:13" x14ac:dyDescent="0.25">
      <c r="A91" s="4" t="s">
        <v>167</v>
      </c>
      <c r="B91" s="4" t="s">
        <v>170</v>
      </c>
      <c r="C91" s="9" t="s">
        <v>50</v>
      </c>
      <c r="D91" s="10"/>
      <c r="E91" s="11" t="s">
        <v>51</v>
      </c>
      <c r="F91" s="10"/>
      <c r="G91" s="10">
        <v>0</v>
      </c>
      <c r="H91" s="10">
        <f t="shared" si="1"/>
        <v>0</v>
      </c>
      <c r="I91" s="10"/>
      <c r="J91" s="10"/>
      <c r="K91" s="10"/>
      <c r="L91" s="4" t="s">
        <v>52</v>
      </c>
      <c r="M91" s="4">
        <v>86</v>
      </c>
    </row>
    <row r="92" spans="1:13" x14ac:dyDescent="0.25">
      <c r="A92" s="4" t="s">
        <v>167</v>
      </c>
      <c r="B92" s="4" t="s">
        <v>171</v>
      </c>
      <c r="C92" s="9" t="s">
        <v>50</v>
      </c>
      <c r="D92" s="10"/>
      <c r="E92" s="11" t="s">
        <v>51</v>
      </c>
      <c r="F92" s="10"/>
      <c r="G92" s="10">
        <v>0</v>
      </c>
      <c r="H92" s="10">
        <f t="shared" si="1"/>
        <v>0</v>
      </c>
      <c r="I92" s="10"/>
      <c r="J92" s="10"/>
      <c r="K92" s="10"/>
      <c r="L92" s="4" t="s">
        <v>52</v>
      </c>
      <c r="M92" s="4">
        <v>87</v>
      </c>
    </row>
    <row r="93" spans="1:13" x14ac:dyDescent="0.25">
      <c r="A93" s="4" t="s">
        <v>167</v>
      </c>
      <c r="B93" s="4" t="s">
        <v>172</v>
      </c>
      <c r="C93" s="9" t="s">
        <v>50</v>
      </c>
      <c r="D93" s="10"/>
      <c r="E93" s="11" t="s">
        <v>51</v>
      </c>
      <c r="F93" s="10"/>
      <c r="G93" s="10">
        <v>0</v>
      </c>
      <c r="H93" s="10">
        <f t="shared" si="1"/>
        <v>0</v>
      </c>
      <c r="I93" s="10"/>
      <c r="J93" s="10"/>
      <c r="K93" s="10"/>
      <c r="L93" s="4" t="s">
        <v>52</v>
      </c>
      <c r="M93" s="4">
        <v>88</v>
      </c>
    </row>
    <row r="94" spans="1:13" x14ac:dyDescent="0.25">
      <c r="A94" s="4" t="s">
        <v>167</v>
      </c>
      <c r="B94" s="4" t="s">
        <v>173</v>
      </c>
      <c r="C94" s="9" t="s">
        <v>50</v>
      </c>
      <c r="D94" s="10"/>
      <c r="E94" s="11" t="s">
        <v>51</v>
      </c>
      <c r="F94" s="10"/>
      <c r="G94" s="10">
        <v>0</v>
      </c>
      <c r="H94" s="10">
        <f t="shared" si="1"/>
        <v>0</v>
      </c>
      <c r="I94" s="10"/>
      <c r="J94" s="10"/>
      <c r="K94" s="10"/>
      <c r="L94" s="4" t="s">
        <v>52</v>
      </c>
      <c r="M94" s="4">
        <v>89</v>
      </c>
    </row>
    <row r="95" spans="1:13" x14ac:dyDescent="0.25">
      <c r="A95" s="4" t="s">
        <v>167</v>
      </c>
      <c r="B95" s="4" t="s">
        <v>174</v>
      </c>
      <c r="C95" s="9" t="s">
        <v>50</v>
      </c>
      <c r="D95" s="10"/>
      <c r="E95" s="11" t="s">
        <v>51</v>
      </c>
      <c r="F95" s="10"/>
      <c r="G95" s="10">
        <v>0</v>
      </c>
      <c r="H95" s="10">
        <f t="shared" si="1"/>
        <v>0</v>
      </c>
      <c r="I95" s="10"/>
      <c r="J95" s="10"/>
      <c r="K95" s="10"/>
      <c r="L95" s="4" t="s">
        <v>52</v>
      </c>
      <c r="M95" s="4">
        <v>90</v>
      </c>
    </row>
    <row r="96" spans="1:13" x14ac:dyDescent="0.25">
      <c r="A96" s="4" t="s">
        <v>167</v>
      </c>
      <c r="B96" s="4" t="s">
        <v>175</v>
      </c>
      <c r="C96" s="9" t="s">
        <v>50</v>
      </c>
      <c r="D96" s="10"/>
      <c r="E96" s="11" t="s">
        <v>51</v>
      </c>
      <c r="F96" s="10"/>
      <c r="G96" s="10">
        <v>0</v>
      </c>
      <c r="H96" s="10">
        <f t="shared" si="1"/>
        <v>0</v>
      </c>
      <c r="I96" s="10"/>
      <c r="J96" s="10"/>
      <c r="K96" s="10"/>
      <c r="L96" s="4" t="s">
        <v>52</v>
      </c>
      <c r="M96" s="4">
        <v>91</v>
      </c>
    </row>
    <row r="97" spans="1:13" x14ac:dyDescent="0.25">
      <c r="A97" s="4" t="s">
        <v>167</v>
      </c>
      <c r="B97" s="4" t="s">
        <v>176</v>
      </c>
      <c r="C97" s="9" t="s">
        <v>50</v>
      </c>
      <c r="D97" s="10"/>
      <c r="E97" s="11" t="s">
        <v>51</v>
      </c>
      <c r="F97" s="10"/>
      <c r="G97" s="10">
        <v>0</v>
      </c>
      <c r="H97" s="10">
        <f t="shared" si="1"/>
        <v>0</v>
      </c>
      <c r="I97" s="10"/>
      <c r="J97" s="10"/>
      <c r="K97" s="10"/>
      <c r="L97" s="4" t="s">
        <v>52</v>
      </c>
      <c r="M97" s="4">
        <v>92</v>
      </c>
    </row>
    <row r="98" spans="1:13" x14ac:dyDescent="0.25">
      <c r="A98" s="4" t="s">
        <v>167</v>
      </c>
      <c r="B98" s="4" t="s">
        <v>177</v>
      </c>
      <c r="C98" s="9" t="s">
        <v>50</v>
      </c>
      <c r="D98" s="10"/>
      <c r="E98" s="11" t="s">
        <v>51</v>
      </c>
      <c r="F98" s="10"/>
      <c r="G98" s="10">
        <v>0</v>
      </c>
      <c r="H98" s="10">
        <f t="shared" si="1"/>
        <v>0</v>
      </c>
      <c r="I98" s="10"/>
      <c r="J98" s="10"/>
      <c r="K98" s="10"/>
      <c r="L98" s="4" t="s">
        <v>52</v>
      </c>
      <c r="M98" s="4">
        <v>93</v>
      </c>
    </row>
    <row r="99" spans="1:13" x14ac:dyDescent="0.25">
      <c r="A99" s="4" t="s">
        <v>167</v>
      </c>
      <c r="B99" s="4" t="s">
        <v>178</v>
      </c>
      <c r="C99" s="9" t="s">
        <v>50</v>
      </c>
      <c r="D99" s="10">
        <v>96</v>
      </c>
      <c r="E99" s="11" t="s">
        <v>51</v>
      </c>
      <c r="F99" s="10"/>
      <c r="G99" s="10">
        <v>0</v>
      </c>
      <c r="H99" s="10">
        <f t="shared" si="1"/>
        <v>0</v>
      </c>
      <c r="I99" s="10"/>
      <c r="J99" s="10"/>
      <c r="K99" s="10"/>
      <c r="L99" s="4" t="s">
        <v>52</v>
      </c>
      <c r="M99" s="4">
        <v>94</v>
      </c>
    </row>
    <row r="100" spans="1:13" x14ac:dyDescent="0.25">
      <c r="A100" s="4" t="s">
        <v>179</v>
      </c>
      <c r="B100" s="4" t="s">
        <v>180</v>
      </c>
      <c r="C100" s="4" t="s">
        <v>68</v>
      </c>
      <c r="D100" s="10">
        <v>32</v>
      </c>
      <c r="E100" s="11" t="s">
        <v>51</v>
      </c>
      <c r="F100" s="10">
        <v>4000</v>
      </c>
      <c r="G100" s="10">
        <v>0</v>
      </c>
      <c r="H100" s="10">
        <f t="shared" si="1"/>
        <v>4000</v>
      </c>
      <c r="I100" s="10"/>
      <c r="J100" s="10"/>
      <c r="K100" s="10"/>
      <c r="L100" s="4" t="s">
        <v>69</v>
      </c>
      <c r="M100" s="4">
        <v>95</v>
      </c>
    </row>
    <row r="101" spans="1:13" x14ac:dyDescent="0.25">
      <c r="A101" s="4" t="s">
        <v>179</v>
      </c>
      <c r="B101" s="4" t="s">
        <v>181</v>
      </c>
      <c r="C101" s="4" t="s">
        <v>68</v>
      </c>
      <c r="D101" s="10">
        <v>32</v>
      </c>
      <c r="E101" s="11" t="s">
        <v>51</v>
      </c>
      <c r="F101" s="10">
        <v>4000</v>
      </c>
      <c r="G101" s="10">
        <v>0</v>
      </c>
      <c r="H101" s="10">
        <f t="shared" si="1"/>
        <v>4000</v>
      </c>
      <c r="I101" s="10"/>
      <c r="J101" s="10"/>
      <c r="K101" s="10"/>
      <c r="L101" s="4" t="s">
        <v>69</v>
      </c>
      <c r="M101" s="4">
        <v>96</v>
      </c>
    </row>
    <row r="102" spans="1:13" x14ac:dyDescent="0.25">
      <c r="A102" s="4" t="s">
        <v>179</v>
      </c>
      <c r="B102" s="4" t="s">
        <v>182</v>
      </c>
      <c r="C102" s="4" t="s">
        <v>68</v>
      </c>
      <c r="D102" s="10">
        <v>160</v>
      </c>
      <c r="E102" s="11" t="s">
        <v>51</v>
      </c>
      <c r="F102" s="10">
        <v>4000</v>
      </c>
      <c r="G102" s="10">
        <v>0</v>
      </c>
      <c r="H102" s="10">
        <f t="shared" si="1"/>
        <v>4000</v>
      </c>
      <c r="I102" s="10"/>
      <c r="J102" s="10"/>
      <c r="K102" s="10"/>
      <c r="L102" s="4" t="s">
        <v>69</v>
      </c>
      <c r="M102" s="4">
        <v>97</v>
      </c>
    </row>
    <row r="103" spans="1:13" x14ac:dyDescent="0.25">
      <c r="A103" s="4" t="s">
        <v>183</v>
      </c>
      <c r="B103" s="4" t="s">
        <v>184</v>
      </c>
      <c r="C103" s="9" t="s">
        <v>50</v>
      </c>
      <c r="D103" s="10">
        <v>60</v>
      </c>
      <c r="E103" s="11" t="s">
        <v>51</v>
      </c>
      <c r="F103" s="10">
        <v>7500</v>
      </c>
      <c r="G103" s="10">
        <v>0</v>
      </c>
      <c r="H103" s="10">
        <f t="shared" si="1"/>
        <v>7500</v>
      </c>
      <c r="I103" s="10"/>
      <c r="J103" s="10"/>
      <c r="K103" s="10"/>
      <c r="L103" s="4" t="s">
        <v>52</v>
      </c>
      <c r="M103" s="4">
        <v>98</v>
      </c>
    </row>
    <row r="104" spans="1:13" x14ac:dyDescent="0.25">
      <c r="A104" s="4" t="s">
        <v>183</v>
      </c>
      <c r="B104" s="4" t="s">
        <v>185</v>
      </c>
      <c r="C104" s="9" t="s">
        <v>50</v>
      </c>
      <c r="D104" s="10">
        <v>60</v>
      </c>
      <c r="E104" s="11" t="s">
        <v>51</v>
      </c>
      <c r="F104" s="10">
        <v>7500</v>
      </c>
      <c r="G104" s="10">
        <v>0</v>
      </c>
      <c r="H104" s="10">
        <f t="shared" si="1"/>
        <v>7500</v>
      </c>
      <c r="I104" s="10"/>
      <c r="J104" s="10"/>
      <c r="K104" s="10"/>
      <c r="L104" s="4" t="s">
        <v>52</v>
      </c>
      <c r="M104" s="4">
        <v>99</v>
      </c>
    </row>
    <row r="105" spans="1:13" x14ac:dyDescent="0.25">
      <c r="A105" s="4" t="s">
        <v>183</v>
      </c>
      <c r="B105" s="4" t="s">
        <v>186</v>
      </c>
      <c r="C105" s="9" t="s">
        <v>50</v>
      </c>
      <c r="D105" s="10">
        <v>48</v>
      </c>
      <c r="E105" s="11" t="s">
        <v>51</v>
      </c>
      <c r="F105" s="10">
        <v>5000</v>
      </c>
      <c r="G105" s="10">
        <v>0</v>
      </c>
      <c r="H105" s="10">
        <f t="shared" si="1"/>
        <v>5000</v>
      </c>
      <c r="I105" s="10"/>
      <c r="J105" s="10"/>
      <c r="K105" s="10"/>
      <c r="L105" s="4" t="s">
        <v>52</v>
      </c>
      <c r="M105" s="4">
        <v>100</v>
      </c>
    </row>
    <row r="106" spans="1:13" x14ac:dyDescent="0.25">
      <c r="A106" s="4" t="s">
        <v>187</v>
      </c>
      <c r="B106" s="4" t="s">
        <v>184</v>
      </c>
      <c r="C106" s="9" t="s">
        <v>50</v>
      </c>
      <c r="D106" s="10">
        <v>18</v>
      </c>
      <c r="E106" s="11" t="s">
        <v>51</v>
      </c>
      <c r="F106" s="10">
        <v>2250</v>
      </c>
      <c r="G106" s="10">
        <v>0</v>
      </c>
      <c r="H106" s="10">
        <f t="shared" si="1"/>
        <v>2250</v>
      </c>
      <c r="I106" s="10"/>
      <c r="J106" s="10"/>
      <c r="K106" s="10"/>
      <c r="L106" s="4" t="s">
        <v>52</v>
      </c>
      <c r="M106" s="4">
        <v>101</v>
      </c>
    </row>
    <row r="107" spans="1:13" x14ac:dyDescent="0.25">
      <c r="A107" s="4" t="s">
        <v>187</v>
      </c>
      <c r="B107" s="4" t="s">
        <v>185</v>
      </c>
      <c r="C107" s="9" t="s">
        <v>50</v>
      </c>
      <c r="D107" s="10">
        <v>18</v>
      </c>
      <c r="E107" s="11" t="s">
        <v>51</v>
      </c>
      <c r="F107" s="10">
        <v>2250</v>
      </c>
      <c r="G107" s="10">
        <v>0</v>
      </c>
      <c r="H107" s="10">
        <f t="shared" si="1"/>
        <v>2250</v>
      </c>
      <c r="I107" s="10"/>
      <c r="J107" s="10"/>
      <c r="K107" s="10"/>
      <c r="L107" s="4" t="s">
        <v>52</v>
      </c>
      <c r="M107" s="4">
        <v>102</v>
      </c>
    </row>
    <row r="108" spans="1:13" x14ac:dyDescent="0.25">
      <c r="A108" s="4" t="s">
        <v>187</v>
      </c>
      <c r="B108" s="4" t="s">
        <v>186</v>
      </c>
      <c r="C108" s="9" t="s">
        <v>50</v>
      </c>
      <c r="D108" s="10">
        <v>64</v>
      </c>
      <c r="E108" s="11" t="s">
        <v>51</v>
      </c>
      <c r="F108" s="10">
        <v>1500</v>
      </c>
      <c r="G108" s="10">
        <v>0</v>
      </c>
      <c r="H108" s="10">
        <f t="shared" si="1"/>
        <v>1500</v>
      </c>
      <c r="I108" s="10"/>
      <c r="J108" s="10"/>
      <c r="K108" s="10"/>
      <c r="L108" s="4" t="s">
        <v>52</v>
      </c>
      <c r="M108" s="4">
        <v>103</v>
      </c>
    </row>
    <row r="109" spans="1:13" x14ac:dyDescent="0.25">
      <c r="A109" s="4" t="s">
        <v>188</v>
      </c>
      <c r="B109" s="4" t="s">
        <v>180</v>
      </c>
      <c r="C109" s="4" t="s">
        <v>68</v>
      </c>
      <c r="D109" s="10">
        <v>24</v>
      </c>
      <c r="E109" s="11" t="s">
        <v>51</v>
      </c>
      <c r="F109" s="10">
        <v>3000</v>
      </c>
      <c r="G109" s="10">
        <v>0</v>
      </c>
      <c r="H109" s="10">
        <f t="shared" si="1"/>
        <v>3000</v>
      </c>
      <c r="I109" s="10"/>
      <c r="J109" s="10"/>
      <c r="K109" s="10"/>
      <c r="L109" s="4" t="s">
        <v>69</v>
      </c>
      <c r="M109" s="4">
        <v>104</v>
      </c>
    </row>
    <row r="110" spans="1:13" x14ac:dyDescent="0.25">
      <c r="A110" s="4" t="s">
        <v>188</v>
      </c>
      <c r="B110" s="4" t="s">
        <v>181</v>
      </c>
      <c r="C110" s="4" t="s">
        <v>68</v>
      </c>
      <c r="D110" s="10">
        <v>24</v>
      </c>
      <c r="E110" s="11" t="s">
        <v>51</v>
      </c>
      <c r="F110" s="10">
        <v>3000</v>
      </c>
      <c r="G110" s="10">
        <v>0</v>
      </c>
      <c r="H110" s="10">
        <f t="shared" si="1"/>
        <v>3000</v>
      </c>
      <c r="I110" s="10"/>
      <c r="J110" s="10"/>
      <c r="K110" s="10"/>
      <c r="L110" s="4" t="s">
        <v>69</v>
      </c>
      <c r="M110" s="4">
        <v>105</v>
      </c>
    </row>
    <row r="111" spans="1:13" x14ac:dyDescent="0.25">
      <c r="A111" s="4" t="s">
        <v>188</v>
      </c>
      <c r="B111" s="4" t="s">
        <v>182</v>
      </c>
      <c r="C111" s="4" t="s">
        <v>68</v>
      </c>
      <c r="D111" s="10">
        <v>24</v>
      </c>
      <c r="E111" s="11" t="s">
        <v>51</v>
      </c>
      <c r="F111" s="10">
        <v>2000</v>
      </c>
      <c r="G111" s="10">
        <v>0</v>
      </c>
      <c r="H111" s="10">
        <f t="shared" si="1"/>
        <v>2000</v>
      </c>
      <c r="I111" s="10"/>
      <c r="J111" s="10"/>
      <c r="K111" s="10"/>
      <c r="L111" s="4" t="s">
        <v>69</v>
      </c>
      <c r="M111" s="4">
        <v>106</v>
      </c>
    </row>
    <row r="112" spans="1:13" x14ac:dyDescent="0.25">
      <c r="A112" s="4" t="s">
        <v>189</v>
      </c>
      <c r="B112" s="4" t="s">
        <v>180</v>
      </c>
      <c r="C112" s="4" t="s">
        <v>68</v>
      </c>
      <c r="D112" s="10">
        <v>8</v>
      </c>
      <c r="E112" s="11" t="s">
        <v>51</v>
      </c>
      <c r="F112" s="10">
        <v>1000</v>
      </c>
      <c r="G112" s="10">
        <v>0</v>
      </c>
      <c r="H112" s="10">
        <f t="shared" si="1"/>
        <v>1000</v>
      </c>
      <c r="I112" s="10"/>
      <c r="J112" s="10"/>
      <c r="K112" s="10"/>
      <c r="L112" s="4" t="s">
        <v>69</v>
      </c>
      <c r="M112" s="4">
        <v>107</v>
      </c>
    </row>
    <row r="113" spans="1:13" x14ac:dyDescent="0.25">
      <c r="A113" s="4" t="s">
        <v>189</v>
      </c>
      <c r="B113" s="4" t="s">
        <v>181</v>
      </c>
      <c r="C113" s="4" t="s">
        <v>68</v>
      </c>
      <c r="D113" s="10">
        <v>8</v>
      </c>
      <c r="E113" s="11" t="s">
        <v>51</v>
      </c>
      <c r="F113" s="10">
        <v>1000</v>
      </c>
      <c r="G113" s="10">
        <v>0</v>
      </c>
      <c r="H113" s="10">
        <f t="shared" si="1"/>
        <v>1000</v>
      </c>
      <c r="I113" s="10"/>
      <c r="J113" s="10"/>
      <c r="K113" s="10"/>
      <c r="L113" s="4" t="s">
        <v>69</v>
      </c>
      <c r="M113" s="4">
        <v>108</v>
      </c>
    </row>
    <row r="114" spans="1:13" x14ac:dyDescent="0.25">
      <c r="A114" s="4" t="s">
        <v>189</v>
      </c>
      <c r="B114" s="4" t="s">
        <v>182</v>
      </c>
      <c r="C114" s="4" t="s">
        <v>68</v>
      </c>
      <c r="D114" s="10">
        <v>36</v>
      </c>
      <c r="E114" s="11" t="s">
        <v>51</v>
      </c>
      <c r="F114" s="10">
        <v>1000</v>
      </c>
      <c r="G114" s="10">
        <v>0</v>
      </c>
      <c r="H114" s="10">
        <f t="shared" si="1"/>
        <v>1000</v>
      </c>
      <c r="I114" s="10"/>
      <c r="J114" s="10"/>
      <c r="K114" s="10"/>
      <c r="L114" s="4" t="s">
        <v>69</v>
      </c>
      <c r="M114" s="4">
        <v>109</v>
      </c>
    </row>
    <row r="115" spans="1:13" x14ac:dyDescent="0.25">
      <c r="A115" s="4" t="s">
        <v>190</v>
      </c>
      <c r="B115" s="4" t="s">
        <v>67</v>
      </c>
      <c r="C115" s="4" t="s">
        <v>68</v>
      </c>
      <c r="D115" s="10">
        <v>32</v>
      </c>
      <c r="E115" s="11" t="s">
        <v>51</v>
      </c>
      <c r="F115" s="10"/>
      <c r="G115" s="10">
        <v>0</v>
      </c>
      <c r="H115" s="10">
        <f t="shared" si="1"/>
        <v>0</v>
      </c>
      <c r="I115" s="10"/>
      <c r="J115" s="10"/>
      <c r="K115" s="10"/>
      <c r="L115" s="4" t="s">
        <v>69</v>
      </c>
      <c r="M115" s="4">
        <v>110</v>
      </c>
    </row>
    <row r="116" spans="1:13" x14ac:dyDescent="0.25">
      <c r="A116" s="4" t="s">
        <v>190</v>
      </c>
      <c r="B116" s="4" t="s">
        <v>191</v>
      </c>
      <c r="C116" s="4" t="s">
        <v>65</v>
      </c>
      <c r="D116" s="10">
        <v>32</v>
      </c>
      <c r="E116" s="11" t="s">
        <v>51</v>
      </c>
      <c r="F116" s="10"/>
      <c r="G116" s="10">
        <v>0</v>
      </c>
      <c r="H116" s="10">
        <f t="shared" si="1"/>
        <v>0</v>
      </c>
      <c r="I116" s="10">
        <v>0</v>
      </c>
      <c r="J116" s="10">
        <v>0</v>
      </c>
      <c r="K116" s="10">
        <v>0</v>
      </c>
      <c r="L116" s="4" t="s">
        <v>69</v>
      </c>
      <c r="M116" s="4">
        <v>111</v>
      </c>
    </row>
    <row r="117" spans="1:13" x14ac:dyDescent="0.25">
      <c r="A117" s="4" t="s">
        <v>192</v>
      </c>
      <c r="B117" s="4" t="s">
        <v>180</v>
      </c>
      <c r="C117" s="4" t="s">
        <v>68</v>
      </c>
      <c r="D117" s="10">
        <v>12</v>
      </c>
      <c r="E117" s="11" t="s">
        <v>51</v>
      </c>
      <c r="F117" s="10">
        <v>1500</v>
      </c>
      <c r="G117" s="10">
        <v>0</v>
      </c>
      <c r="H117" s="10">
        <f t="shared" si="1"/>
        <v>1500</v>
      </c>
      <c r="I117" s="10"/>
      <c r="J117" s="10"/>
      <c r="K117" s="10"/>
      <c r="L117" s="4" t="s">
        <v>69</v>
      </c>
      <c r="M117" s="4">
        <v>112</v>
      </c>
    </row>
    <row r="118" spans="1:13" x14ac:dyDescent="0.25">
      <c r="A118" s="4" t="s">
        <v>192</v>
      </c>
      <c r="B118" s="4" t="s">
        <v>181</v>
      </c>
      <c r="C118" s="4" t="s">
        <v>68</v>
      </c>
      <c r="D118" s="10">
        <v>12</v>
      </c>
      <c r="E118" s="11" t="s">
        <v>51</v>
      </c>
      <c r="F118" s="10">
        <v>1500</v>
      </c>
      <c r="G118" s="10">
        <v>0</v>
      </c>
      <c r="H118" s="10">
        <f t="shared" si="1"/>
        <v>1500</v>
      </c>
      <c r="I118" s="10"/>
      <c r="J118" s="10"/>
      <c r="K118" s="10"/>
      <c r="L118" s="4" t="s">
        <v>69</v>
      </c>
      <c r="M118" s="4">
        <v>113</v>
      </c>
    </row>
    <row r="119" spans="1:13" x14ac:dyDescent="0.25">
      <c r="A119" s="4" t="s">
        <v>192</v>
      </c>
      <c r="B119" s="4" t="s">
        <v>182</v>
      </c>
      <c r="C119" s="4" t="s">
        <v>68</v>
      </c>
      <c r="D119" s="10">
        <v>24</v>
      </c>
      <c r="E119" s="11" t="s">
        <v>51</v>
      </c>
      <c r="F119" s="10">
        <v>1000</v>
      </c>
      <c r="G119" s="10">
        <v>0</v>
      </c>
      <c r="H119" s="10">
        <f t="shared" si="1"/>
        <v>1000</v>
      </c>
      <c r="I119" s="10"/>
      <c r="J119" s="10"/>
      <c r="K119" s="10"/>
      <c r="L119" s="4" t="s">
        <v>69</v>
      </c>
      <c r="M119" s="4">
        <v>114</v>
      </c>
    </row>
    <row r="120" spans="1:13" x14ac:dyDescent="0.25">
      <c r="A120" s="4" t="s">
        <v>193</v>
      </c>
      <c r="B120" s="4" t="s">
        <v>180</v>
      </c>
      <c r="C120" s="4" t="s">
        <v>68</v>
      </c>
      <c r="D120" s="10">
        <v>8</v>
      </c>
      <c r="E120" s="11" t="s">
        <v>51</v>
      </c>
      <c r="F120" s="10">
        <v>1000</v>
      </c>
      <c r="G120" s="10">
        <v>0</v>
      </c>
      <c r="H120" s="10">
        <f t="shared" si="1"/>
        <v>1000</v>
      </c>
      <c r="I120" s="10"/>
      <c r="J120" s="10"/>
      <c r="K120" s="10"/>
      <c r="L120" s="4" t="s">
        <v>69</v>
      </c>
      <c r="M120" s="4">
        <v>115</v>
      </c>
    </row>
    <row r="121" spans="1:13" x14ac:dyDescent="0.25">
      <c r="A121" s="4" t="s">
        <v>193</v>
      </c>
      <c r="B121" s="4" t="s">
        <v>181</v>
      </c>
      <c r="C121" s="4" t="s">
        <v>68</v>
      </c>
      <c r="D121" s="10">
        <v>8</v>
      </c>
      <c r="E121" s="11" t="s">
        <v>51</v>
      </c>
      <c r="F121" s="10">
        <v>1000</v>
      </c>
      <c r="G121" s="10">
        <v>0</v>
      </c>
      <c r="H121" s="10">
        <f t="shared" si="1"/>
        <v>1000</v>
      </c>
      <c r="I121" s="10"/>
      <c r="J121" s="10"/>
      <c r="K121" s="10"/>
      <c r="L121" s="4" t="s">
        <v>69</v>
      </c>
      <c r="M121" s="4">
        <v>116</v>
      </c>
    </row>
    <row r="122" spans="1:13" x14ac:dyDescent="0.25">
      <c r="A122" s="4" t="s">
        <v>193</v>
      </c>
      <c r="B122" s="4" t="s">
        <v>182</v>
      </c>
      <c r="C122" s="4" t="s">
        <v>68</v>
      </c>
      <c r="D122" s="10">
        <v>36</v>
      </c>
      <c r="E122" s="11" t="s">
        <v>51</v>
      </c>
      <c r="F122" s="10">
        <v>1000</v>
      </c>
      <c r="G122" s="10">
        <v>0</v>
      </c>
      <c r="H122" s="10">
        <f t="shared" si="1"/>
        <v>1000</v>
      </c>
      <c r="I122" s="10"/>
      <c r="J122" s="10"/>
      <c r="K122" s="10"/>
      <c r="L122" s="4" t="s">
        <v>69</v>
      </c>
      <c r="M122" s="4">
        <v>117</v>
      </c>
    </row>
    <row r="123" spans="1:13" x14ac:dyDescent="0.25">
      <c r="A123" s="4" t="s">
        <v>194</v>
      </c>
      <c r="B123" s="4" t="s">
        <v>67</v>
      </c>
      <c r="C123" s="4" t="s">
        <v>68</v>
      </c>
      <c r="D123" s="10">
        <v>32</v>
      </c>
      <c r="E123" s="11" t="s">
        <v>51</v>
      </c>
      <c r="F123" s="10"/>
      <c r="G123" s="10">
        <v>0</v>
      </c>
      <c r="H123" s="10">
        <f t="shared" si="1"/>
        <v>0</v>
      </c>
      <c r="I123" s="10"/>
      <c r="J123" s="10"/>
      <c r="K123" s="10"/>
      <c r="L123" s="4" t="s">
        <v>69</v>
      </c>
      <c r="M123" s="4">
        <v>118</v>
      </c>
    </row>
    <row r="124" spans="1:13" x14ac:dyDescent="0.25">
      <c r="A124" s="4" t="s">
        <v>194</v>
      </c>
      <c r="B124" s="4" t="s">
        <v>191</v>
      </c>
      <c r="C124" s="4" t="s">
        <v>65</v>
      </c>
      <c r="D124" s="10">
        <v>24</v>
      </c>
      <c r="E124" s="11" t="s">
        <v>51</v>
      </c>
      <c r="F124" s="10"/>
      <c r="G124" s="10">
        <v>0</v>
      </c>
      <c r="H124" s="10">
        <f t="shared" si="1"/>
        <v>0</v>
      </c>
      <c r="I124" s="10">
        <v>0</v>
      </c>
      <c r="J124" s="10">
        <v>0</v>
      </c>
      <c r="K124" s="10">
        <v>0</v>
      </c>
      <c r="L124" s="4" t="s">
        <v>69</v>
      </c>
      <c r="M124" s="4">
        <v>119</v>
      </c>
    </row>
    <row r="125" spans="1:13" x14ac:dyDescent="0.25">
      <c r="A125" s="4" t="s">
        <v>195</v>
      </c>
      <c r="B125" s="4" t="s">
        <v>180</v>
      </c>
      <c r="C125" s="4" t="s">
        <v>68</v>
      </c>
      <c r="D125" s="10">
        <v>8</v>
      </c>
      <c r="E125" s="11" t="s">
        <v>51</v>
      </c>
      <c r="F125" s="10">
        <v>1000</v>
      </c>
      <c r="G125" s="10">
        <v>0</v>
      </c>
      <c r="H125" s="10">
        <f t="shared" si="1"/>
        <v>1000</v>
      </c>
      <c r="I125" s="10"/>
      <c r="J125" s="10"/>
      <c r="K125" s="10"/>
      <c r="L125" s="4" t="s">
        <v>69</v>
      </c>
      <c r="M125" s="4">
        <v>120</v>
      </c>
    </row>
    <row r="126" spans="1:13" x14ac:dyDescent="0.25">
      <c r="A126" s="4" t="s">
        <v>195</v>
      </c>
      <c r="B126" s="4" t="s">
        <v>181</v>
      </c>
      <c r="C126" s="4" t="s">
        <v>68</v>
      </c>
      <c r="D126" s="10">
        <v>8</v>
      </c>
      <c r="E126" s="11" t="s">
        <v>51</v>
      </c>
      <c r="F126" s="10">
        <v>1000</v>
      </c>
      <c r="G126" s="10">
        <v>0</v>
      </c>
      <c r="H126" s="10">
        <f t="shared" si="1"/>
        <v>1000</v>
      </c>
      <c r="I126" s="10"/>
      <c r="J126" s="10"/>
      <c r="K126" s="10"/>
      <c r="L126" s="4" t="s">
        <v>69</v>
      </c>
      <c r="M126" s="4">
        <v>121</v>
      </c>
    </row>
    <row r="127" spans="1:13" x14ac:dyDescent="0.25">
      <c r="A127" s="4" t="s">
        <v>195</v>
      </c>
      <c r="B127" s="4" t="s">
        <v>182</v>
      </c>
      <c r="C127" s="4" t="s">
        <v>68</v>
      </c>
      <c r="D127" s="10">
        <v>320</v>
      </c>
      <c r="E127" s="11" t="s">
        <v>51</v>
      </c>
      <c r="F127" s="10">
        <v>1000</v>
      </c>
      <c r="G127" s="10">
        <v>0</v>
      </c>
      <c r="H127" s="10">
        <f t="shared" si="1"/>
        <v>1000</v>
      </c>
      <c r="I127" s="10"/>
      <c r="J127" s="10"/>
      <c r="K127" s="10"/>
      <c r="L127" s="4" t="s">
        <v>69</v>
      </c>
      <c r="M127" s="4">
        <v>122</v>
      </c>
    </row>
    <row r="128" spans="1:13" x14ac:dyDescent="0.25">
      <c r="A128" s="4" t="s">
        <v>196</v>
      </c>
      <c r="B128" s="4" t="s">
        <v>197</v>
      </c>
      <c r="C128" s="4" t="s">
        <v>68</v>
      </c>
      <c r="D128" s="10">
        <v>48</v>
      </c>
      <c r="E128" s="11" t="s">
        <v>51</v>
      </c>
      <c r="F128" s="10">
        <v>6000</v>
      </c>
      <c r="G128" s="10">
        <v>0</v>
      </c>
      <c r="H128" s="10">
        <f t="shared" si="1"/>
        <v>6000</v>
      </c>
      <c r="I128" s="10"/>
      <c r="J128" s="10"/>
      <c r="K128" s="10"/>
      <c r="L128" s="4" t="s">
        <v>69</v>
      </c>
      <c r="M128" s="4">
        <v>123</v>
      </c>
    </row>
    <row r="129" spans="1:13" x14ac:dyDescent="0.25">
      <c r="A129" s="4" t="s">
        <v>196</v>
      </c>
      <c r="B129" s="4" t="s">
        <v>198</v>
      </c>
      <c r="C129" s="4" t="s">
        <v>68</v>
      </c>
      <c r="D129" s="10">
        <v>48</v>
      </c>
      <c r="E129" s="11" t="s">
        <v>51</v>
      </c>
      <c r="F129" s="10">
        <v>6000</v>
      </c>
      <c r="G129" s="10">
        <v>0</v>
      </c>
      <c r="H129" s="10">
        <f t="shared" si="1"/>
        <v>6000</v>
      </c>
      <c r="I129" s="10"/>
      <c r="J129" s="10"/>
      <c r="K129" s="10"/>
      <c r="L129" s="4" t="s">
        <v>69</v>
      </c>
      <c r="M129" s="4">
        <v>124</v>
      </c>
    </row>
    <row r="130" spans="1:13" x14ac:dyDescent="0.25">
      <c r="A130" s="4" t="s">
        <v>196</v>
      </c>
      <c r="B130" s="4" t="s">
        <v>199</v>
      </c>
      <c r="C130" s="4" t="s">
        <v>68</v>
      </c>
      <c r="D130" s="10">
        <v>32</v>
      </c>
      <c r="E130" s="11" t="s">
        <v>51</v>
      </c>
      <c r="F130" s="10">
        <v>4000</v>
      </c>
      <c r="G130" s="10">
        <v>0</v>
      </c>
      <c r="H130" s="10">
        <f t="shared" si="1"/>
        <v>4000</v>
      </c>
      <c r="I130" s="10"/>
      <c r="J130" s="10"/>
      <c r="K130" s="10"/>
      <c r="L130" s="4" t="s">
        <v>69</v>
      </c>
      <c r="M130" s="4">
        <v>125</v>
      </c>
    </row>
    <row r="131" spans="1:13" x14ac:dyDescent="0.25">
      <c r="A131" s="4" t="s">
        <v>196</v>
      </c>
      <c r="B131" s="4" t="s">
        <v>200</v>
      </c>
      <c r="C131" s="4" t="s">
        <v>68</v>
      </c>
      <c r="D131" s="10">
        <v>192</v>
      </c>
      <c r="E131" s="11" t="s">
        <v>51</v>
      </c>
      <c r="F131" s="10">
        <v>24000</v>
      </c>
      <c r="G131" s="10">
        <v>0</v>
      </c>
      <c r="H131" s="10">
        <f t="shared" si="1"/>
        <v>24000</v>
      </c>
      <c r="I131" s="10"/>
      <c r="J131" s="10"/>
      <c r="K131" s="10"/>
      <c r="L131" s="4" t="s">
        <v>69</v>
      </c>
      <c r="M131" s="4">
        <v>126</v>
      </c>
    </row>
    <row r="132" spans="1:13" x14ac:dyDescent="0.25">
      <c r="A132" s="4" t="s">
        <v>201</v>
      </c>
      <c r="B132" s="4" t="s">
        <v>180</v>
      </c>
      <c r="C132" s="4" t="s">
        <v>68</v>
      </c>
      <c r="D132" s="10"/>
      <c r="E132" s="11" t="s">
        <v>51</v>
      </c>
      <c r="F132" s="10">
        <v>12</v>
      </c>
      <c r="G132" s="10">
        <v>0</v>
      </c>
      <c r="H132" s="10">
        <f t="shared" si="1"/>
        <v>12</v>
      </c>
      <c r="I132" s="10"/>
      <c r="J132" s="10"/>
      <c r="K132" s="10"/>
      <c r="L132" s="4" t="s">
        <v>69</v>
      </c>
      <c r="M132" s="4">
        <v>127</v>
      </c>
    </row>
    <row r="133" spans="1:13" x14ac:dyDescent="0.25">
      <c r="A133" s="4" t="s">
        <v>201</v>
      </c>
      <c r="B133" s="4" t="s">
        <v>181</v>
      </c>
      <c r="C133" s="4" t="s">
        <v>68</v>
      </c>
      <c r="D133" s="10"/>
      <c r="E133" s="11" t="s">
        <v>51</v>
      </c>
      <c r="F133" s="10">
        <v>12</v>
      </c>
      <c r="G133" s="10">
        <v>0</v>
      </c>
      <c r="H133" s="10">
        <f t="shared" si="1"/>
        <v>12</v>
      </c>
      <c r="I133" s="10"/>
      <c r="J133" s="10"/>
      <c r="K133" s="10"/>
      <c r="L133" s="4" t="s">
        <v>69</v>
      </c>
      <c r="M133" s="4">
        <v>128</v>
      </c>
    </row>
    <row r="134" spans="1:13" x14ac:dyDescent="0.25">
      <c r="A134" s="4" t="s">
        <v>201</v>
      </c>
      <c r="B134" s="4" t="s">
        <v>182</v>
      </c>
      <c r="C134" s="4" t="s">
        <v>68</v>
      </c>
      <c r="D134" s="10">
        <v>80</v>
      </c>
      <c r="E134" s="11" t="s">
        <v>51</v>
      </c>
      <c r="F134" s="10">
        <v>8</v>
      </c>
      <c r="G134" s="10">
        <v>0</v>
      </c>
      <c r="H134" s="10">
        <f t="shared" ref="H134:H197" si="2">F134-G134</f>
        <v>8</v>
      </c>
      <c r="I134" s="10"/>
      <c r="J134" s="10"/>
      <c r="K134" s="10"/>
      <c r="L134" s="4" t="s">
        <v>69</v>
      </c>
      <c r="M134" s="4">
        <v>129</v>
      </c>
    </row>
    <row r="135" spans="1:13" x14ac:dyDescent="0.25">
      <c r="A135" s="4" t="s">
        <v>202</v>
      </c>
      <c r="B135" s="4" t="s">
        <v>180</v>
      </c>
      <c r="C135" s="4" t="s">
        <v>68</v>
      </c>
      <c r="D135" s="10">
        <v>40</v>
      </c>
      <c r="E135" s="11" t="s">
        <v>51</v>
      </c>
      <c r="F135" s="10">
        <v>5000</v>
      </c>
      <c r="G135" s="10">
        <v>0</v>
      </c>
      <c r="H135" s="10">
        <f t="shared" si="2"/>
        <v>5000</v>
      </c>
      <c r="I135" s="10"/>
      <c r="J135" s="10"/>
      <c r="K135" s="10"/>
      <c r="L135" s="4" t="s">
        <v>69</v>
      </c>
      <c r="M135" s="4">
        <v>130</v>
      </c>
    </row>
    <row r="136" spans="1:13" x14ac:dyDescent="0.25">
      <c r="A136" s="4" t="s">
        <v>202</v>
      </c>
      <c r="B136" s="4" t="s">
        <v>203</v>
      </c>
      <c r="C136" s="4" t="s">
        <v>65</v>
      </c>
      <c r="D136" s="10">
        <v>72</v>
      </c>
      <c r="E136" s="12" t="s">
        <v>66</v>
      </c>
      <c r="F136" s="10">
        <v>5000</v>
      </c>
      <c r="G136" s="10">
        <v>0</v>
      </c>
      <c r="H136" s="10">
        <f t="shared" si="2"/>
        <v>5000</v>
      </c>
      <c r="I136" s="10">
        <v>125</v>
      </c>
      <c r="J136" s="10">
        <v>125</v>
      </c>
      <c r="K136" s="10">
        <v>125</v>
      </c>
      <c r="L136" s="4"/>
      <c r="M136" s="4">
        <v>131</v>
      </c>
    </row>
    <row r="137" spans="1:13" x14ac:dyDescent="0.25">
      <c r="A137" s="4" t="s">
        <v>204</v>
      </c>
      <c r="B137" s="4" t="s">
        <v>180</v>
      </c>
      <c r="C137" s="4" t="s">
        <v>68</v>
      </c>
      <c r="D137" s="10">
        <v>12</v>
      </c>
      <c r="E137" s="11" t="s">
        <v>51</v>
      </c>
      <c r="F137" s="10">
        <v>1500</v>
      </c>
      <c r="G137" s="10">
        <v>0</v>
      </c>
      <c r="H137" s="10">
        <f t="shared" si="2"/>
        <v>1500</v>
      </c>
      <c r="I137" s="10"/>
      <c r="J137" s="10"/>
      <c r="K137" s="10"/>
      <c r="L137" s="4" t="s">
        <v>69</v>
      </c>
      <c r="M137" s="4">
        <v>132</v>
      </c>
    </row>
    <row r="138" spans="1:13" x14ac:dyDescent="0.25">
      <c r="A138" s="4" t="s">
        <v>204</v>
      </c>
      <c r="B138" s="4" t="s">
        <v>181</v>
      </c>
      <c r="C138" s="4" t="s">
        <v>68</v>
      </c>
      <c r="D138" s="10">
        <v>8</v>
      </c>
      <c r="E138" s="11" t="s">
        <v>51</v>
      </c>
      <c r="F138" s="10">
        <v>1000</v>
      </c>
      <c r="G138" s="10">
        <v>0</v>
      </c>
      <c r="H138" s="10">
        <f t="shared" si="2"/>
        <v>1000</v>
      </c>
      <c r="I138" s="10"/>
      <c r="J138" s="10"/>
      <c r="K138" s="10"/>
      <c r="L138" s="4" t="s">
        <v>69</v>
      </c>
      <c r="M138" s="4">
        <v>133</v>
      </c>
    </row>
    <row r="139" spans="1:13" x14ac:dyDescent="0.25">
      <c r="A139" s="4" t="s">
        <v>204</v>
      </c>
      <c r="B139" s="4" t="s">
        <v>182</v>
      </c>
      <c r="C139" s="4" t="s">
        <v>68</v>
      </c>
      <c r="D139" s="10">
        <v>568</v>
      </c>
      <c r="E139" s="11" t="s">
        <v>51</v>
      </c>
      <c r="F139" s="10">
        <v>1500</v>
      </c>
      <c r="G139" s="10">
        <v>0</v>
      </c>
      <c r="H139" s="10">
        <f t="shared" si="2"/>
        <v>1500</v>
      </c>
      <c r="I139" s="10"/>
      <c r="J139" s="10"/>
      <c r="K139" s="10"/>
      <c r="L139" s="4" t="s">
        <v>69</v>
      </c>
      <c r="M139" s="4">
        <v>134</v>
      </c>
    </row>
    <row r="140" spans="1:13" x14ac:dyDescent="0.25">
      <c r="A140" s="4" t="s">
        <v>205</v>
      </c>
      <c r="B140" s="4" t="s">
        <v>206</v>
      </c>
      <c r="C140" s="9" t="s">
        <v>50</v>
      </c>
      <c r="D140" s="10">
        <v>64</v>
      </c>
      <c r="E140" s="11" t="s">
        <v>51</v>
      </c>
      <c r="F140" s="10">
        <v>7680</v>
      </c>
      <c r="G140" s="10">
        <v>0</v>
      </c>
      <c r="H140" s="10">
        <f t="shared" si="2"/>
        <v>7680</v>
      </c>
      <c r="I140" s="10"/>
      <c r="J140" s="10"/>
      <c r="K140" s="10"/>
      <c r="L140" s="4" t="s">
        <v>52</v>
      </c>
      <c r="M140" s="4">
        <v>135</v>
      </c>
    </row>
    <row r="141" spans="1:13" x14ac:dyDescent="0.25">
      <c r="A141" s="4" t="s">
        <v>205</v>
      </c>
      <c r="B141" s="4" t="s">
        <v>207</v>
      </c>
      <c r="C141" s="9" t="s">
        <v>50</v>
      </c>
      <c r="D141" s="10">
        <v>64</v>
      </c>
      <c r="E141" s="11" t="s">
        <v>51</v>
      </c>
      <c r="F141" s="10">
        <v>7680</v>
      </c>
      <c r="G141" s="10">
        <v>0</v>
      </c>
      <c r="H141" s="10">
        <f t="shared" si="2"/>
        <v>7680</v>
      </c>
      <c r="I141" s="10"/>
      <c r="J141" s="10"/>
      <c r="K141" s="10"/>
      <c r="L141" s="4" t="s">
        <v>52</v>
      </c>
      <c r="M141" s="4">
        <v>136</v>
      </c>
    </row>
    <row r="142" spans="1:13" x14ac:dyDescent="0.25">
      <c r="A142" s="4" t="s">
        <v>205</v>
      </c>
      <c r="B142" s="4" t="s">
        <v>208</v>
      </c>
      <c r="C142" s="9" t="s">
        <v>50</v>
      </c>
      <c r="D142" s="10">
        <v>182</v>
      </c>
      <c r="E142" s="11" t="s">
        <v>51</v>
      </c>
      <c r="F142" s="10">
        <v>21840</v>
      </c>
      <c r="G142" s="10">
        <v>0</v>
      </c>
      <c r="H142" s="10">
        <f t="shared" si="2"/>
        <v>21840</v>
      </c>
      <c r="I142" s="10"/>
      <c r="J142" s="10"/>
      <c r="K142" s="10"/>
      <c r="L142" s="4" t="s">
        <v>52</v>
      </c>
      <c r="M142" s="4">
        <v>137</v>
      </c>
    </row>
    <row r="143" spans="1:13" x14ac:dyDescent="0.25">
      <c r="A143" s="4" t="s">
        <v>205</v>
      </c>
      <c r="B143" s="4" t="s">
        <v>209</v>
      </c>
      <c r="C143" s="9" t="s">
        <v>50</v>
      </c>
      <c r="D143" s="10">
        <v>50</v>
      </c>
      <c r="E143" s="11" t="s">
        <v>51</v>
      </c>
      <c r="F143" s="10">
        <v>6000</v>
      </c>
      <c r="G143" s="10">
        <v>0</v>
      </c>
      <c r="H143" s="10">
        <f t="shared" si="2"/>
        <v>6000</v>
      </c>
      <c r="I143" s="10"/>
      <c r="J143" s="10"/>
      <c r="K143" s="10"/>
      <c r="L143" s="4" t="s">
        <v>52</v>
      </c>
      <c r="M143" s="4">
        <v>138</v>
      </c>
    </row>
    <row r="144" spans="1:13" x14ac:dyDescent="0.25">
      <c r="A144" s="4" t="s">
        <v>205</v>
      </c>
      <c r="B144" s="4" t="s">
        <v>210</v>
      </c>
      <c r="C144" s="9" t="s">
        <v>50</v>
      </c>
      <c r="D144" s="10">
        <v>240</v>
      </c>
      <c r="E144" s="11" t="s">
        <v>51</v>
      </c>
      <c r="F144" s="10">
        <v>24960</v>
      </c>
      <c r="G144" s="10">
        <v>0</v>
      </c>
      <c r="H144" s="10">
        <f t="shared" si="2"/>
        <v>24960</v>
      </c>
      <c r="I144" s="10"/>
      <c r="J144" s="10"/>
      <c r="K144" s="10"/>
      <c r="L144" s="4" t="s">
        <v>52</v>
      </c>
      <c r="M144" s="4">
        <v>139</v>
      </c>
    </row>
    <row r="145" spans="1:13" x14ac:dyDescent="0.25">
      <c r="A145" s="4" t="s">
        <v>211</v>
      </c>
      <c r="B145" s="4" t="s">
        <v>180</v>
      </c>
      <c r="C145" s="4" t="s">
        <v>68</v>
      </c>
      <c r="D145" s="10">
        <v>16</v>
      </c>
      <c r="E145" s="11" t="s">
        <v>51</v>
      </c>
      <c r="F145" s="10">
        <v>4000</v>
      </c>
      <c r="G145" s="10">
        <v>0</v>
      </c>
      <c r="H145" s="10">
        <f t="shared" si="2"/>
        <v>4000</v>
      </c>
      <c r="I145" s="10"/>
      <c r="J145" s="10"/>
      <c r="K145" s="10"/>
      <c r="L145" s="4" t="s">
        <v>69</v>
      </c>
      <c r="M145" s="4">
        <v>140</v>
      </c>
    </row>
    <row r="146" spans="1:13" x14ac:dyDescent="0.25">
      <c r="A146" s="4" t="s">
        <v>211</v>
      </c>
      <c r="B146" s="4" t="s">
        <v>181</v>
      </c>
      <c r="C146" s="4" t="s">
        <v>68</v>
      </c>
      <c r="D146" s="10">
        <v>8</v>
      </c>
      <c r="E146" s="11" t="s">
        <v>51</v>
      </c>
      <c r="F146" s="10"/>
      <c r="G146" s="10">
        <v>0</v>
      </c>
      <c r="H146" s="10">
        <f t="shared" si="2"/>
        <v>0</v>
      </c>
      <c r="I146" s="10"/>
      <c r="J146" s="10"/>
      <c r="K146" s="10"/>
      <c r="L146" s="4" t="s">
        <v>69</v>
      </c>
      <c r="M146" s="4">
        <v>141</v>
      </c>
    </row>
    <row r="147" spans="1:13" x14ac:dyDescent="0.25">
      <c r="A147" s="4" t="s">
        <v>211</v>
      </c>
      <c r="B147" s="4" t="s">
        <v>182</v>
      </c>
      <c r="C147" s="4" t="s">
        <v>68</v>
      </c>
      <c r="D147" s="10">
        <v>60</v>
      </c>
      <c r="E147" s="11" t="s">
        <v>51</v>
      </c>
      <c r="F147" s="10"/>
      <c r="G147" s="10">
        <v>0</v>
      </c>
      <c r="H147" s="10">
        <f t="shared" si="2"/>
        <v>0</v>
      </c>
      <c r="I147" s="10"/>
      <c r="J147" s="10"/>
      <c r="K147" s="10"/>
      <c r="L147" s="4" t="s">
        <v>69</v>
      </c>
      <c r="M147" s="4">
        <v>142</v>
      </c>
    </row>
    <row r="148" spans="1:13" x14ac:dyDescent="0.25">
      <c r="A148" s="4" t="s">
        <v>212</v>
      </c>
      <c r="B148" s="4" t="s">
        <v>180</v>
      </c>
      <c r="C148" s="4" t="s">
        <v>68</v>
      </c>
      <c r="D148" s="10">
        <v>20</v>
      </c>
      <c r="E148" s="11" t="s">
        <v>51</v>
      </c>
      <c r="F148" s="10">
        <v>2500</v>
      </c>
      <c r="G148" s="10">
        <v>0</v>
      </c>
      <c r="H148" s="10">
        <f t="shared" si="2"/>
        <v>2500</v>
      </c>
      <c r="I148" s="10"/>
      <c r="J148" s="10"/>
      <c r="K148" s="10"/>
      <c r="L148" s="4" t="s">
        <v>69</v>
      </c>
      <c r="M148" s="4">
        <v>143</v>
      </c>
    </row>
    <row r="149" spans="1:13" x14ac:dyDescent="0.25">
      <c r="A149" s="4" t="s">
        <v>212</v>
      </c>
      <c r="B149" s="4" t="s">
        <v>181</v>
      </c>
      <c r="C149" s="4" t="s">
        <v>68</v>
      </c>
      <c r="D149" s="10">
        <v>20</v>
      </c>
      <c r="E149" s="11" t="s">
        <v>51</v>
      </c>
      <c r="F149" s="10">
        <v>2500</v>
      </c>
      <c r="G149" s="10">
        <v>0</v>
      </c>
      <c r="H149" s="10">
        <f t="shared" si="2"/>
        <v>2500</v>
      </c>
      <c r="I149" s="10"/>
      <c r="J149" s="10"/>
      <c r="K149" s="10"/>
      <c r="L149" s="4" t="s">
        <v>69</v>
      </c>
      <c r="M149" s="4">
        <v>144</v>
      </c>
    </row>
    <row r="150" spans="1:13" x14ac:dyDescent="0.25">
      <c r="A150" s="4" t="s">
        <v>212</v>
      </c>
      <c r="B150" s="4" t="s">
        <v>182</v>
      </c>
      <c r="C150" s="4" t="s">
        <v>68</v>
      </c>
      <c r="D150" s="10">
        <v>3505</v>
      </c>
      <c r="E150" s="11" t="s">
        <v>51</v>
      </c>
      <c r="F150" s="10">
        <v>2500</v>
      </c>
      <c r="G150" s="10">
        <v>0</v>
      </c>
      <c r="H150" s="10">
        <f t="shared" si="2"/>
        <v>2500</v>
      </c>
      <c r="I150" s="10"/>
      <c r="J150" s="10"/>
      <c r="K150" s="10"/>
      <c r="L150" s="4" t="s">
        <v>69</v>
      </c>
      <c r="M150" s="4">
        <v>145</v>
      </c>
    </row>
    <row r="151" spans="1:13" x14ac:dyDescent="0.25">
      <c r="A151" s="4" t="s">
        <v>213</v>
      </c>
      <c r="B151" s="4" t="s">
        <v>214</v>
      </c>
      <c r="C151" s="4" t="s">
        <v>65</v>
      </c>
      <c r="D151" s="10">
        <v>3562</v>
      </c>
      <c r="E151" s="12" t="s">
        <v>66</v>
      </c>
      <c r="F151" s="10">
        <v>3900</v>
      </c>
      <c r="G151" s="10">
        <v>0</v>
      </c>
      <c r="H151" s="10">
        <f t="shared" si="2"/>
        <v>3900</v>
      </c>
      <c r="I151" s="10">
        <v>1.1126961483594859</v>
      </c>
      <c r="J151" s="10">
        <v>1.1126961483594859</v>
      </c>
      <c r="K151" s="10">
        <v>1.1126961483594859</v>
      </c>
      <c r="L151" s="4"/>
      <c r="M151" s="4">
        <v>146</v>
      </c>
    </row>
    <row r="152" spans="1:13" x14ac:dyDescent="0.25">
      <c r="A152" s="4" t="s">
        <v>215</v>
      </c>
      <c r="B152" s="4" t="s">
        <v>216</v>
      </c>
      <c r="C152" s="4" t="s">
        <v>68</v>
      </c>
      <c r="D152" s="10">
        <v>55</v>
      </c>
      <c r="E152" s="11" t="s">
        <v>51</v>
      </c>
      <c r="F152" s="10">
        <v>6875</v>
      </c>
      <c r="G152" s="10">
        <v>0</v>
      </c>
      <c r="H152" s="10">
        <f t="shared" si="2"/>
        <v>6875</v>
      </c>
      <c r="I152" s="10"/>
      <c r="J152" s="10"/>
      <c r="K152" s="10"/>
      <c r="L152" s="4" t="s">
        <v>69</v>
      </c>
      <c r="M152" s="4">
        <v>147</v>
      </c>
    </row>
    <row r="153" spans="1:13" x14ac:dyDescent="0.25">
      <c r="A153" s="4" t="s">
        <v>215</v>
      </c>
      <c r="B153" s="4" t="s">
        <v>217</v>
      </c>
      <c r="C153" s="4" t="s">
        <v>65</v>
      </c>
      <c r="D153" s="10">
        <v>15</v>
      </c>
      <c r="E153" s="12" t="s">
        <v>66</v>
      </c>
      <c r="F153" s="10">
        <v>150</v>
      </c>
      <c r="G153" s="10">
        <v>0</v>
      </c>
      <c r="H153" s="10">
        <f t="shared" si="2"/>
        <v>150</v>
      </c>
      <c r="I153" s="10">
        <v>75</v>
      </c>
      <c r="J153" s="10">
        <v>75</v>
      </c>
      <c r="K153" s="10">
        <v>75</v>
      </c>
      <c r="L153" s="4"/>
      <c r="M153" s="4">
        <v>148</v>
      </c>
    </row>
    <row r="154" spans="1:13" x14ac:dyDescent="0.25">
      <c r="A154" s="4" t="s">
        <v>218</v>
      </c>
      <c r="B154" s="4" t="s">
        <v>219</v>
      </c>
      <c r="C154" s="4" t="s">
        <v>65</v>
      </c>
      <c r="D154" s="10">
        <v>75</v>
      </c>
      <c r="E154" s="12" t="s">
        <v>66</v>
      </c>
      <c r="F154" s="10">
        <v>1850</v>
      </c>
      <c r="G154" s="10">
        <v>0</v>
      </c>
      <c r="H154" s="10">
        <f t="shared" si="2"/>
        <v>1850</v>
      </c>
      <c r="I154" s="10">
        <v>123.3333333333333</v>
      </c>
      <c r="J154" s="10">
        <v>123.3333333333333</v>
      </c>
      <c r="K154" s="10">
        <v>123.3333333333333</v>
      </c>
      <c r="L154" s="4"/>
      <c r="M154" s="4">
        <v>149</v>
      </c>
    </row>
    <row r="155" spans="1:13" x14ac:dyDescent="0.25">
      <c r="A155" s="4" t="s">
        <v>220</v>
      </c>
      <c r="B155" s="4" t="s">
        <v>180</v>
      </c>
      <c r="C155" s="4" t="s">
        <v>68</v>
      </c>
      <c r="D155" s="10">
        <v>20</v>
      </c>
      <c r="E155" s="11" t="s">
        <v>51</v>
      </c>
      <c r="F155" s="10">
        <v>2500</v>
      </c>
      <c r="G155" s="10">
        <v>0</v>
      </c>
      <c r="H155" s="10">
        <f t="shared" si="2"/>
        <v>2500</v>
      </c>
      <c r="I155" s="10"/>
      <c r="J155" s="10"/>
      <c r="K155" s="10"/>
      <c r="L155" s="4" t="s">
        <v>69</v>
      </c>
      <c r="M155" s="4">
        <v>150</v>
      </c>
    </row>
    <row r="156" spans="1:13" x14ac:dyDescent="0.25">
      <c r="A156" s="4" t="s">
        <v>220</v>
      </c>
      <c r="B156" s="4" t="s">
        <v>181</v>
      </c>
      <c r="C156" s="4" t="s">
        <v>68</v>
      </c>
      <c r="D156" s="10">
        <v>20</v>
      </c>
      <c r="E156" s="11" t="s">
        <v>51</v>
      </c>
      <c r="F156" s="10">
        <v>2500</v>
      </c>
      <c r="G156" s="10">
        <v>0</v>
      </c>
      <c r="H156" s="10">
        <f t="shared" si="2"/>
        <v>2500</v>
      </c>
      <c r="I156" s="10"/>
      <c r="J156" s="10"/>
      <c r="K156" s="10"/>
      <c r="L156" s="4" t="s">
        <v>69</v>
      </c>
      <c r="M156" s="4">
        <v>151</v>
      </c>
    </row>
    <row r="157" spans="1:13" x14ac:dyDescent="0.25">
      <c r="A157" s="4" t="s">
        <v>220</v>
      </c>
      <c r="B157" s="4" t="s">
        <v>182</v>
      </c>
      <c r="C157" s="4" t="s">
        <v>68</v>
      </c>
      <c r="D157" s="10">
        <v>20</v>
      </c>
      <c r="E157" s="11" t="s">
        <v>51</v>
      </c>
      <c r="F157" s="10">
        <v>2500</v>
      </c>
      <c r="G157" s="10">
        <v>0</v>
      </c>
      <c r="H157" s="10">
        <f t="shared" si="2"/>
        <v>2500</v>
      </c>
      <c r="I157" s="10"/>
      <c r="J157" s="10"/>
      <c r="K157" s="10"/>
      <c r="L157" s="4" t="s">
        <v>69</v>
      </c>
      <c r="M157" s="4">
        <v>152</v>
      </c>
    </row>
    <row r="158" spans="1:13" x14ac:dyDescent="0.25">
      <c r="A158" s="4" t="s">
        <v>220</v>
      </c>
      <c r="B158" s="4" t="s">
        <v>221</v>
      </c>
      <c r="C158" s="9" t="s">
        <v>50</v>
      </c>
      <c r="D158" s="10">
        <v>59</v>
      </c>
      <c r="E158" s="11" t="s">
        <v>51</v>
      </c>
      <c r="F158" s="10"/>
      <c r="G158" s="10">
        <v>0</v>
      </c>
      <c r="H158" s="10">
        <f t="shared" si="2"/>
        <v>0</v>
      </c>
      <c r="I158" s="10"/>
      <c r="J158" s="10"/>
      <c r="K158" s="10"/>
      <c r="L158" s="4" t="s">
        <v>52</v>
      </c>
      <c r="M158" s="4">
        <v>153</v>
      </c>
    </row>
    <row r="159" spans="1:13" x14ac:dyDescent="0.25">
      <c r="A159" s="4" t="s">
        <v>222</v>
      </c>
      <c r="B159" s="4" t="s">
        <v>223</v>
      </c>
      <c r="C159" s="9" t="s">
        <v>50</v>
      </c>
      <c r="D159" s="10">
        <v>125</v>
      </c>
      <c r="E159" s="11" t="s">
        <v>51</v>
      </c>
      <c r="F159" s="10">
        <v>7125</v>
      </c>
      <c r="G159" s="10">
        <v>0</v>
      </c>
      <c r="H159" s="10">
        <f t="shared" si="2"/>
        <v>7125</v>
      </c>
      <c r="I159" s="10"/>
      <c r="J159" s="10"/>
      <c r="K159" s="10"/>
      <c r="L159" s="4" t="s">
        <v>52</v>
      </c>
      <c r="M159" s="4">
        <v>154</v>
      </c>
    </row>
    <row r="160" spans="1:13" x14ac:dyDescent="0.25">
      <c r="A160" s="4" t="s">
        <v>224</v>
      </c>
      <c r="B160" s="4" t="s">
        <v>225</v>
      </c>
      <c r="C160" s="4" t="s">
        <v>65</v>
      </c>
      <c r="D160" s="10">
        <v>93</v>
      </c>
      <c r="E160" s="12" t="s">
        <v>66</v>
      </c>
      <c r="F160" s="10">
        <v>4350</v>
      </c>
      <c r="G160" s="10">
        <v>0</v>
      </c>
      <c r="H160" s="10">
        <f t="shared" si="2"/>
        <v>4350</v>
      </c>
      <c r="I160" s="10">
        <v>131.81818181818181</v>
      </c>
      <c r="J160" s="10">
        <v>131.81818181818181</v>
      </c>
      <c r="K160" s="10">
        <v>131.81818181818181</v>
      </c>
      <c r="L160" s="4"/>
      <c r="M160" s="4">
        <v>155</v>
      </c>
    </row>
    <row r="161" spans="1:13" x14ac:dyDescent="0.25">
      <c r="A161" s="4" t="s">
        <v>226</v>
      </c>
      <c r="B161" s="4" t="s">
        <v>180</v>
      </c>
      <c r="C161" s="4" t="s">
        <v>68</v>
      </c>
      <c r="D161" s="10">
        <v>20</v>
      </c>
      <c r="E161" s="11" t="s">
        <v>51</v>
      </c>
      <c r="F161" s="10">
        <v>2500</v>
      </c>
      <c r="G161" s="10">
        <v>0</v>
      </c>
      <c r="H161" s="10">
        <f t="shared" si="2"/>
        <v>2500</v>
      </c>
      <c r="I161" s="10"/>
      <c r="J161" s="10"/>
      <c r="K161" s="10"/>
      <c r="L161" s="4" t="s">
        <v>69</v>
      </c>
      <c r="M161" s="4">
        <v>156</v>
      </c>
    </row>
    <row r="162" spans="1:13" x14ac:dyDescent="0.25">
      <c r="A162" s="4" t="s">
        <v>226</v>
      </c>
      <c r="B162" s="4" t="s">
        <v>181</v>
      </c>
      <c r="C162" s="4" t="s">
        <v>68</v>
      </c>
      <c r="D162" s="10">
        <v>20</v>
      </c>
      <c r="E162" s="11" t="s">
        <v>51</v>
      </c>
      <c r="F162" s="10">
        <v>2500</v>
      </c>
      <c r="G162" s="10">
        <v>0</v>
      </c>
      <c r="H162" s="10">
        <f t="shared" si="2"/>
        <v>2500</v>
      </c>
      <c r="I162" s="10"/>
      <c r="J162" s="10"/>
      <c r="K162" s="10"/>
      <c r="L162" s="4" t="s">
        <v>69</v>
      </c>
      <c r="M162" s="4">
        <v>157</v>
      </c>
    </row>
    <row r="163" spans="1:13" x14ac:dyDescent="0.25">
      <c r="A163" s="4" t="s">
        <v>226</v>
      </c>
      <c r="B163" s="4" t="s">
        <v>182</v>
      </c>
      <c r="C163" s="4" t="s">
        <v>68</v>
      </c>
      <c r="D163" s="10">
        <v>33</v>
      </c>
      <c r="E163" s="11" t="s">
        <v>51</v>
      </c>
      <c r="F163" s="10">
        <v>2500</v>
      </c>
      <c r="G163" s="10">
        <v>0</v>
      </c>
      <c r="H163" s="10">
        <f t="shared" si="2"/>
        <v>2500</v>
      </c>
      <c r="I163" s="10"/>
      <c r="J163" s="10"/>
      <c r="K163" s="10"/>
      <c r="L163" s="4" t="s">
        <v>69</v>
      </c>
      <c r="M163" s="4">
        <v>158</v>
      </c>
    </row>
    <row r="164" spans="1:13" x14ac:dyDescent="0.25">
      <c r="A164" s="4" t="s">
        <v>227</v>
      </c>
      <c r="B164" s="4" t="s">
        <v>228</v>
      </c>
      <c r="C164" s="9" t="s">
        <v>50</v>
      </c>
      <c r="D164" s="10">
        <v>120</v>
      </c>
      <c r="E164" s="11" t="s">
        <v>51</v>
      </c>
      <c r="F164" s="10">
        <v>4350</v>
      </c>
      <c r="G164" s="10">
        <v>0</v>
      </c>
      <c r="H164" s="10">
        <f t="shared" si="2"/>
        <v>4350</v>
      </c>
      <c r="I164" s="10"/>
      <c r="J164" s="10"/>
      <c r="K164" s="10"/>
      <c r="L164" s="4" t="s">
        <v>52</v>
      </c>
      <c r="M164" s="4">
        <v>159</v>
      </c>
    </row>
    <row r="165" spans="1:13" x14ac:dyDescent="0.25">
      <c r="A165" s="4" t="s">
        <v>229</v>
      </c>
      <c r="B165" s="4" t="s">
        <v>230</v>
      </c>
      <c r="C165" s="4" t="s">
        <v>68</v>
      </c>
      <c r="D165" s="10">
        <v>25</v>
      </c>
      <c r="E165" s="11" t="s">
        <v>51</v>
      </c>
      <c r="F165" s="10"/>
      <c r="G165" s="10">
        <v>0</v>
      </c>
      <c r="H165" s="10">
        <f t="shared" si="2"/>
        <v>0</v>
      </c>
      <c r="I165" s="10"/>
      <c r="J165" s="10"/>
      <c r="K165" s="10"/>
      <c r="L165" s="4" t="s">
        <v>69</v>
      </c>
      <c r="M165" s="4">
        <v>160</v>
      </c>
    </row>
    <row r="166" spans="1:13" x14ac:dyDescent="0.25">
      <c r="A166" s="4" t="s">
        <v>229</v>
      </c>
      <c r="B166" s="4" t="s">
        <v>231</v>
      </c>
      <c r="C166" s="4" t="s">
        <v>68</v>
      </c>
      <c r="D166" s="10">
        <v>25</v>
      </c>
      <c r="E166" s="11" t="s">
        <v>51</v>
      </c>
      <c r="F166" s="10"/>
      <c r="G166" s="10">
        <v>0</v>
      </c>
      <c r="H166" s="10">
        <f t="shared" si="2"/>
        <v>0</v>
      </c>
      <c r="I166" s="10"/>
      <c r="J166" s="10"/>
      <c r="K166" s="10"/>
      <c r="L166" s="4" t="s">
        <v>69</v>
      </c>
      <c r="M166" s="4">
        <v>161</v>
      </c>
    </row>
    <row r="167" spans="1:13" x14ac:dyDescent="0.25">
      <c r="A167" s="4" t="s">
        <v>229</v>
      </c>
      <c r="B167" s="4" t="s">
        <v>191</v>
      </c>
      <c r="C167" s="4" t="s">
        <v>65</v>
      </c>
      <c r="D167" s="10">
        <v>80</v>
      </c>
      <c r="E167" s="11" t="s">
        <v>51</v>
      </c>
      <c r="F167" s="10"/>
      <c r="G167" s="10">
        <v>0</v>
      </c>
      <c r="H167" s="10">
        <f t="shared" si="2"/>
        <v>0</v>
      </c>
      <c r="I167" s="10">
        <v>0</v>
      </c>
      <c r="J167" s="10">
        <v>0</v>
      </c>
      <c r="K167" s="10">
        <v>0</v>
      </c>
      <c r="L167" s="4" t="s">
        <v>69</v>
      </c>
      <c r="M167" s="4">
        <v>162</v>
      </c>
    </row>
    <row r="168" spans="1:13" x14ac:dyDescent="0.25">
      <c r="A168" s="4" t="s">
        <v>232</v>
      </c>
      <c r="B168" s="4" t="s">
        <v>180</v>
      </c>
      <c r="C168" s="4" t="s">
        <v>68</v>
      </c>
      <c r="D168" s="10">
        <v>32</v>
      </c>
      <c r="E168" s="11" t="s">
        <v>51</v>
      </c>
      <c r="F168" s="10">
        <v>4000</v>
      </c>
      <c r="G168" s="10">
        <v>0</v>
      </c>
      <c r="H168" s="10">
        <f t="shared" si="2"/>
        <v>4000</v>
      </c>
      <c r="I168" s="10"/>
      <c r="J168" s="10"/>
      <c r="K168" s="10"/>
      <c r="L168" s="4" t="s">
        <v>69</v>
      </c>
      <c r="M168" s="4">
        <v>163</v>
      </c>
    </row>
    <row r="169" spans="1:13" x14ac:dyDescent="0.25">
      <c r="A169" s="4" t="s">
        <v>232</v>
      </c>
      <c r="B169" s="4" t="s">
        <v>181</v>
      </c>
      <c r="C169" s="4" t="s">
        <v>68</v>
      </c>
      <c r="D169" s="10">
        <v>32</v>
      </c>
      <c r="E169" s="11" t="s">
        <v>51</v>
      </c>
      <c r="F169" s="10">
        <v>4000</v>
      </c>
      <c r="G169" s="10">
        <v>0</v>
      </c>
      <c r="H169" s="10">
        <f t="shared" si="2"/>
        <v>4000</v>
      </c>
      <c r="I169" s="10"/>
      <c r="J169" s="10"/>
      <c r="K169" s="10"/>
      <c r="L169" s="4" t="s">
        <v>69</v>
      </c>
      <c r="M169" s="4">
        <v>164</v>
      </c>
    </row>
    <row r="170" spans="1:13" x14ac:dyDescent="0.25">
      <c r="A170" s="4" t="s">
        <v>232</v>
      </c>
      <c r="B170" s="4" t="s">
        <v>182</v>
      </c>
      <c r="C170" s="4" t="s">
        <v>68</v>
      </c>
      <c r="D170" s="10">
        <v>32</v>
      </c>
      <c r="E170" s="11" t="s">
        <v>51</v>
      </c>
      <c r="F170" s="10">
        <v>2000</v>
      </c>
      <c r="G170" s="10">
        <v>0</v>
      </c>
      <c r="H170" s="10">
        <f t="shared" si="2"/>
        <v>2000</v>
      </c>
      <c r="I170" s="10"/>
      <c r="J170" s="10"/>
      <c r="K170" s="10"/>
      <c r="L170" s="4" t="s">
        <v>69</v>
      </c>
      <c r="M170" s="4">
        <v>165</v>
      </c>
    </row>
    <row r="171" spans="1:13" x14ac:dyDescent="0.25">
      <c r="A171" s="4" t="s">
        <v>233</v>
      </c>
      <c r="B171" s="4" t="s">
        <v>180</v>
      </c>
      <c r="C171" s="4" t="s">
        <v>68</v>
      </c>
      <c r="D171" s="10">
        <v>9</v>
      </c>
      <c r="E171" s="11" t="s">
        <v>51</v>
      </c>
      <c r="F171" s="10">
        <v>1125</v>
      </c>
      <c r="G171" s="10">
        <v>0</v>
      </c>
      <c r="H171" s="10">
        <f t="shared" si="2"/>
        <v>1125</v>
      </c>
      <c r="I171" s="10"/>
      <c r="J171" s="10"/>
      <c r="K171" s="10"/>
      <c r="L171" s="4" t="s">
        <v>69</v>
      </c>
      <c r="M171" s="4">
        <v>166</v>
      </c>
    </row>
    <row r="172" spans="1:13" x14ac:dyDescent="0.25">
      <c r="A172" s="4" t="s">
        <v>233</v>
      </c>
      <c r="B172" s="4" t="s">
        <v>181</v>
      </c>
      <c r="C172" s="4" t="s">
        <v>68</v>
      </c>
      <c r="D172" s="10">
        <v>14</v>
      </c>
      <c r="E172" s="11" t="s">
        <v>51</v>
      </c>
      <c r="F172" s="10">
        <v>1750</v>
      </c>
      <c r="G172" s="10">
        <v>0</v>
      </c>
      <c r="H172" s="10">
        <f t="shared" si="2"/>
        <v>1750</v>
      </c>
      <c r="I172" s="10"/>
      <c r="J172" s="10"/>
      <c r="K172" s="10"/>
      <c r="L172" s="4" t="s">
        <v>69</v>
      </c>
      <c r="M172" s="4">
        <v>167</v>
      </c>
    </row>
    <row r="173" spans="1:13" x14ac:dyDescent="0.25">
      <c r="A173" s="4" t="s">
        <v>233</v>
      </c>
      <c r="B173" s="4" t="s">
        <v>182</v>
      </c>
      <c r="C173" s="4" t="s">
        <v>68</v>
      </c>
      <c r="D173" s="10">
        <v>15</v>
      </c>
      <c r="E173" s="11" t="s">
        <v>51</v>
      </c>
      <c r="F173" s="10">
        <v>1125</v>
      </c>
      <c r="G173" s="10">
        <v>0</v>
      </c>
      <c r="H173" s="10">
        <f t="shared" si="2"/>
        <v>1125</v>
      </c>
      <c r="I173" s="10"/>
      <c r="J173" s="10"/>
      <c r="K173" s="10"/>
      <c r="L173" s="4" t="s">
        <v>69</v>
      </c>
      <c r="M173" s="4">
        <v>168</v>
      </c>
    </row>
    <row r="174" spans="1:13" x14ac:dyDescent="0.25">
      <c r="A174" s="4" t="s">
        <v>234</v>
      </c>
      <c r="B174" s="4" t="s">
        <v>180</v>
      </c>
      <c r="C174" s="4" t="s">
        <v>68</v>
      </c>
      <c r="D174" s="10">
        <v>5</v>
      </c>
      <c r="E174" s="11" t="s">
        <v>51</v>
      </c>
      <c r="F174" s="10">
        <v>666.67</v>
      </c>
      <c r="G174" s="10">
        <v>0</v>
      </c>
      <c r="H174" s="10">
        <f t="shared" si="2"/>
        <v>666.67</v>
      </c>
      <c r="I174" s="10"/>
      <c r="J174" s="10"/>
      <c r="K174" s="10"/>
      <c r="L174" s="4" t="s">
        <v>69</v>
      </c>
      <c r="M174" s="4">
        <v>169</v>
      </c>
    </row>
    <row r="175" spans="1:13" x14ac:dyDescent="0.25">
      <c r="A175" s="4" t="s">
        <v>234</v>
      </c>
      <c r="B175" s="4" t="s">
        <v>181</v>
      </c>
      <c r="C175" s="4" t="s">
        <v>68</v>
      </c>
      <c r="D175" s="10">
        <v>5</v>
      </c>
      <c r="E175" s="11" t="s">
        <v>51</v>
      </c>
      <c r="F175" s="10">
        <v>666.67</v>
      </c>
      <c r="G175" s="10">
        <v>0</v>
      </c>
      <c r="H175" s="10">
        <f t="shared" si="2"/>
        <v>666.67</v>
      </c>
      <c r="I175" s="10"/>
      <c r="J175" s="10"/>
      <c r="K175" s="10"/>
      <c r="L175" s="4" t="s">
        <v>69</v>
      </c>
      <c r="M175" s="4">
        <v>170</v>
      </c>
    </row>
    <row r="176" spans="1:13" x14ac:dyDescent="0.25">
      <c r="A176" s="4" t="s">
        <v>234</v>
      </c>
      <c r="B176" s="4" t="s">
        <v>182</v>
      </c>
      <c r="C176" s="4" t="s">
        <v>68</v>
      </c>
      <c r="D176" s="10">
        <v>60</v>
      </c>
      <c r="E176" s="11" t="s">
        <v>51</v>
      </c>
      <c r="F176" s="10">
        <v>666.66</v>
      </c>
      <c r="G176" s="10">
        <v>0</v>
      </c>
      <c r="H176" s="10">
        <f t="shared" si="2"/>
        <v>666.66</v>
      </c>
      <c r="I176" s="10"/>
      <c r="J176" s="10"/>
      <c r="K176" s="10"/>
      <c r="L176" s="4" t="s">
        <v>69</v>
      </c>
      <c r="M176" s="4">
        <v>171</v>
      </c>
    </row>
    <row r="177" spans="1:13" x14ac:dyDescent="0.25">
      <c r="A177" s="4" t="s">
        <v>235</v>
      </c>
      <c r="B177" s="4" t="s">
        <v>180</v>
      </c>
      <c r="C177" s="4" t="s">
        <v>68</v>
      </c>
      <c r="D177" s="10">
        <v>20</v>
      </c>
      <c r="E177" s="11" t="s">
        <v>51</v>
      </c>
      <c r="F177" s="10">
        <v>2500</v>
      </c>
      <c r="G177" s="10">
        <v>0</v>
      </c>
      <c r="H177" s="10">
        <f t="shared" si="2"/>
        <v>2500</v>
      </c>
      <c r="I177" s="10"/>
      <c r="J177" s="10"/>
      <c r="K177" s="10"/>
      <c r="L177" s="4" t="s">
        <v>69</v>
      </c>
      <c r="M177" s="4">
        <v>172</v>
      </c>
    </row>
    <row r="178" spans="1:13" x14ac:dyDescent="0.25">
      <c r="A178" s="4" t="s">
        <v>235</v>
      </c>
      <c r="B178" s="4" t="s">
        <v>181</v>
      </c>
      <c r="C178" s="4" t="s">
        <v>68</v>
      </c>
      <c r="D178" s="10">
        <v>20</v>
      </c>
      <c r="E178" s="11" t="s">
        <v>51</v>
      </c>
      <c r="F178" s="10">
        <v>2500</v>
      </c>
      <c r="G178" s="10">
        <v>0</v>
      </c>
      <c r="H178" s="10">
        <f t="shared" si="2"/>
        <v>2500</v>
      </c>
      <c r="I178" s="10"/>
      <c r="J178" s="10"/>
      <c r="K178" s="10"/>
      <c r="L178" s="4" t="s">
        <v>69</v>
      </c>
      <c r="M178" s="4">
        <v>173</v>
      </c>
    </row>
    <row r="179" spans="1:13" x14ac:dyDescent="0.25">
      <c r="A179" s="4" t="s">
        <v>235</v>
      </c>
      <c r="B179" s="4" t="s">
        <v>182</v>
      </c>
      <c r="C179" s="4" t="s">
        <v>68</v>
      </c>
      <c r="D179" s="10">
        <v>48</v>
      </c>
      <c r="E179" s="11" t="s">
        <v>51</v>
      </c>
      <c r="F179" s="10">
        <v>2500</v>
      </c>
      <c r="G179" s="10">
        <v>0</v>
      </c>
      <c r="H179" s="10">
        <f t="shared" si="2"/>
        <v>2500</v>
      </c>
      <c r="I179" s="10"/>
      <c r="J179" s="10"/>
      <c r="K179" s="10"/>
      <c r="L179" s="4" t="s">
        <v>69</v>
      </c>
      <c r="M179" s="4">
        <v>174</v>
      </c>
    </row>
    <row r="180" spans="1:13" x14ac:dyDescent="0.25">
      <c r="A180" s="4" t="s">
        <v>236</v>
      </c>
      <c r="B180" s="4" t="s">
        <v>180</v>
      </c>
      <c r="C180" s="4" t="s">
        <v>68</v>
      </c>
      <c r="D180" s="10">
        <v>16</v>
      </c>
      <c r="E180" s="11" t="s">
        <v>51</v>
      </c>
      <c r="F180" s="10"/>
      <c r="G180" s="10">
        <v>0</v>
      </c>
      <c r="H180" s="10">
        <f t="shared" si="2"/>
        <v>0</v>
      </c>
      <c r="I180" s="10"/>
      <c r="J180" s="10"/>
      <c r="K180" s="10"/>
      <c r="L180" s="4" t="s">
        <v>69</v>
      </c>
      <c r="M180" s="4">
        <v>175</v>
      </c>
    </row>
    <row r="181" spans="1:13" x14ac:dyDescent="0.25">
      <c r="A181" s="4" t="s">
        <v>236</v>
      </c>
      <c r="B181" s="4" t="s">
        <v>181</v>
      </c>
      <c r="C181" s="4" t="s">
        <v>68</v>
      </c>
      <c r="D181" s="10">
        <v>16</v>
      </c>
      <c r="E181" s="11" t="s">
        <v>51</v>
      </c>
      <c r="F181" s="10"/>
      <c r="G181" s="10">
        <v>0</v>
      </c>
      <c r="H181" s="10">
        <f t="shared" si="2"/>
        <v>0</v>
      </c>
      <c r="I181" s="10"/>
      <c r="J181" s="10"/>
      <c r="K181" s="10"/>
      <c r="L181" s="4" t="s">
        <v>69</v>
      </c>
      <c r="M181" s="4">
        <v>176</v>
      </c>
    </row>
    <row r="182" spans="1:13" x14ac:dyDescent="0.25">
      <c r="A182" s="4" t="s">
        <v>236</v>
      </c>
      <c r="B182" s="4" t="s">
        <v>182</v>
      </c>
      <c r="C182" s="4" t="s">
        <v>68</v>
      </c>
      <c r="D182" s="10">
        <v>16</v>
      </c>
      <c r="E182" s="11" t="s">
        <v>51</v>
      </c>
      <c r="F182" s="10"/>
      <c r="G182" s="10">
        <v>0</v>
      </c>
      <c r="H182" s="10">
        <f t="shared" si="2"/>
        <v>0</v>
      </c>
      <c r="I182" s="10"/>
      <c r="J182" s="10"/>
      <c r="K182" s="10"/>
      <c r="L182" s="4" t="s">
        <v>69</v>
      </c>
      <c r="M182" s="4">
        <v>177</v>
      </c>
    </row>
    <row r="183" spans="1:13" x14ac:dyDescent="0.25">
      <c r="A183" s="4" t="s">
        <v>237</v>
      </c>
      <c r="B183" s="4" t="s">
        <v>238</v>
      </c>
      <c r="C183" s="4" t="s">
        <v>65</v>
      </c>
      <c r="D183" s="10"/>
      <c r="E183" s="11" t="s">
        <v>51</v>
      </c>
      <c r="F183" s="10"/>
      <c r="G183" s="10">
        <v>0</v>
      </c>
      <c r="H183" s="10">
        <f t="shared" si="2"/>
        <v>0</v>
      </c>
      <c r="I183" s="10"/>
      <c r="J183" s="10"/>
      <c r="K183" s="10"/>
      <c r="L183" s="4" t="s">
        <v>69</v>
      </c>
      <c r="M183" s="4">
        <v>178</v>
      </c>
    </row>
    <row r="184" spans="1:13" x14ac:dyDescent="0.25">
      <c r="A184" s="4" t="s">
        <v>237</v>
      </c>
      <c r="B184" s="4" t="s">
        <v>239</v>
      </c>
      <c r="C184" s="4" t="s">
        <v>65</v>
      </c>
      <c r="D184" s="10">
        <v>16</v>
      </c>
      <c r="E184" s="11" t="s">
        <v>51</v>
      </c>
      <c r="F184" s="10"/>
      <c r="G184" s="10">
        <v>0</v>
      </c>
      <c r="H184" s="10">
        <f t="shared" si="2"/>
        <v>0</v>
      </c>
      <c r="I184" s="10"/>
      <c r="J184" s="10"/>
      <c r="K184" s="10"/>
      <c r="L184" s="4" t="s">
        <v>69</v>
      </c>
      <c r="M184" s="4">
        <v>179</v>
      </c>
    </row>
    <row r="185" spans="1:13" x14ac:dyDescent="0.25">
      <c r="A185" s="4" t="s">
        <v>240</v>
      </c>
      <c r="B185" s="4" t="s">
        <v>180</v>
      </c>
      <c r="C185" s="4" t="s">
        <v>68</v>
      </c>
      <c r="D185" s="10">
        <v>5</v>
      </c>
      <c r="E185" s="11" t="s">
        <v>51</v>
      </c>
      <c r="F185" s="10">
        <v>660</v>
      </c>
      <c r="G185" s="10">
        <v>0</v>
      </c>
      <c r="H185" s="10">
        <f t="shared" si="2"/>
        <v>660</v>
      </c>
      <c r="I185" s="10"/>
      <c r="J185" s="10"/>
      <c r="K185" s="10"/>
      <c r="L185" s="4" t="s">
        <v>69</v>
      </c>
      <c r="M185" s="4">
        <v>180</v>
      </c>
    </row>
    <row r="186" spans="1:13" x14ac:dyDescent="0.25">
      <c r="A186" s="4" t="s">
        <v>240</v>
      </c>
      <c r="B186" s="4" t="s">
        <v>181</v>
      </c>
      <c r="C186" s="4" t="s">
        <v>68</v>
      </c>
      <c r="D186" s="10">
        <v>6</v>
      </c>
      <c r="E186" s="11" t="s">
        <v>51</v>
      </c>
      <c r="F186" s="10">
        <v>680</v>
      </c>
      <c r="G186" s="10">
        <v>0</v>
      </c>
      <c r="H186" s="10">
        <f t="shared" si="2"/>
        <v>680</v>
      </c>
      <c r="I186" s="10"/>
      <c r="J186" s="10"/>
      <c r="K186" s="10"/>
      <c r="L186" s="4" t="s">
        <v>69</v>
      </c>
      <c r="M186" s="4">
        <v>181</v>
      </c>
    </row>
    <row r="187" spans="1:13" x14ac:dyDescent="0.25">
      <c r="A187" s="4" t="s">
        <v>240</v>
      </c>
      <c r="B187" s="4" t="s">
        <v>182</v>
      </c>
      <c r="C187" s="4" t="s">
        <v>68</v>
      </c>
      <c r="D187" s="10">
        <v>36</v>
      </c>
      <c r="E187" s="11" t="s">
        <v>51</v>
      </c>
      <c r="F187" s="10">
        <v>660</v>
      </c>
      <c r="G187" s="10">
        <v>0</v>
      </c>
      <c r="H187" s="10">
        <f t="shared" si="2"/>
        <v>660</v>
      </c>
      <c r="I187" s="10"/>
      <c r="J187" s="10"/>
      <c r="K187" s="10"/>
      <c r="L187" s="4" t="s">
        <v>69</v>
      </c>
      <c r="M187" s="4">
        <v>182</v>
      </c>
    </row>
    <row r="188" spans="1:13" x14ac:dyDescent="0.25">
      <c r="A188" s="4" t="s">
        <v>241</v>
      </c>
      <c r="B188" s="4" t="s">
        <v>67</v>
      </c>
      <c r="C188" s="4" t="s">
        <v>68</v>
      </c>
      <c r="D188" s="10">
        <v>32</v>
      </c>
      <c r="E188" s="11" t="s">
        <v>51</v>
      </c>
      <c r="F188" s="10"/>
      <c r="G188" s="10">
        <v>0</v>
      </c>
      <c r="H188" s="10">
        <f t="shared" si="2"/>
        <v>0</v>
      </c>
      <c r="I188" s="10"/>
      <c r="J188" s="10"/>
      <c r="K188" s="10"/>
      <c r="L188" s="4" t="s">
        <v>69</v>
      </c>
      <c r="M188" s="4">
        <v>183</v>
      </c>
    </row>
    <row r="189" spans="1:13" x14ac:dyDescent="0.25">
      <c r="A189" s="4" t="s">
        <v>241</v>
      </c>
      <c r="B189" s="4" t="s">
        <v>191</v>
      </c>
      <c r="C189" s="4" t="s">
        <v>65</v>
      </c>
      <c r="D189" s="10">
        <v>24</v>
      </c>
      <c r="E189" s="11" t="s">
        <v>51</v>
      </c>
      <c r="F189" s="10"/>
      <c r="G189" s="10">
        <v>0</v>
      </c>
      <c r="H189" s="10">
        <f t="shared" si="2"/>
        <v>0</v>
      </c>
      <c r="I189" s="10">
        <v>0</v>
      </c>
      <c r="J189" s="10">
        <v>0</v>
      </c>
      <c r="K189" s="10">
        <v>0</v>
      </c>
      <c r="L189" s="4" t="s">
        <v>69</v>
      </c>
      <c r="M189" s="4">
        <v>184</v>
      </c>
    </row>
    <row r="190" spans="1:13" x14ac:dyDescent="0.25">
      <c r="A190" s="4" t="s">
        <v>242</v>
      </c>
      <c r="B190" s="4" t="s">
        <v>180</v>
      </c>
      <c r="C190" s="4" t="s">
        <v>68</v>
      </c>
      <c r="D190" s="10">
        <v>8</v>
      </c>
      <c r="E190" s="11" t="s">
        <v>51</v>
      </c>
      <c r="F190" s="10"/>
      <c r="G190" s="10">
        <v>0</v>
      </c>
      <c r="H190" s="10">
        <f t="shared" si="2"/>
        <v>0</v>
      </c>
      <c r="I190" s="10"/>
      <c r="J190" s="10"/>
      <c r="K190" s="10"/>
      <c r="L190" s="4" t="s">
        <v>69</v>
      </c>
      <c r="M190" s="4">
        <v>185</v>
      </c>
    </row>
    <row r="191" spans="1:13" x14ac:dyDescent="0.25">
      <c r="A191" s="4" t="s">
        <v>242</v>
      </c>
      <c r="B191" s="4" t="s">
        <v>181</v>
      </c>
      <c r="C191" s="4" t="s">
        <v>68</v>
      </c>
      <c r="D191" s="10">
        <v>8</v>
      </c>
      <c r="E191" s="11" t="s">
        <v>51</v>
      </c>
      <c r="F191" s="10"/>
      <c r="G191" s="10">
        <v>0</v>
      </c>
      <c r="H191" s="10">
        <f t="shared" si="2"/>
        <v>0</v>
      </c>
      <c r="I191" s="10"/>
      <c r="J191" s="10"/>
      <c r="K191" s="10"/>
      <c r="L191" s="4" t="s">
        <v>69</v>
      </c>
      <c r="M191" s="4">
        <v>186</v>
      </c>
    </row>
    <row r="192" spans="1:13" x14ac:dyDescent="0.25">
      <c r="A192" s="4" t="s">
        <v>242</v>
      </c>
      <c r="B192" s="4" t="s">
        <v>182</v>
      </c>
      <c r="C192" s="4" t="s">
        <v>68</v>
      </c>
      <c r="D192" s="10">
        <v>48</v>
      </c>
      <c r="E192" s="11" t="s">
        <v>51</v>
      </c>
      <c r="F192" s="10"/>
      <c r="G192" s="10">
        <v>0</v>
      </c>
      <c r="H192" s="10">
        <f t="shared" si="2"/>
        <v>0</v>
      </c>
      <c r="I192" s="10"/>
      <c r="J192" s="10"/>
      <c r="K192" s="10"/>
      <c r="L192" s="4" t="s">
        <v>69</v>
      </c>
      <c r="M192" s="4">
        <v>187</v>
      </c>
    </row>
    <row r="193" spans="1:13" x14ac:dyDescent="0.25">
      <c r="A193" s="4" t="s">
        <v>243</v>
      </c>
      <c r="B193" s="4" t="s">
        <v>244</v>
      </c>
      <c r="C193" s="4" t="s">
        <v>68</v>
      </c>
      <c r="D193" s="10">
        <v>24</v>
      </c>
      <c r="E193" s="11" t="s">
        <v>51</v>
      </c>
      <c r="F193" s="10">
        <v>3000</v>
      </c>
      <c r="G193" s="10">
        <v>0</v>
      </c>
      <c r="H193" s="10">
        <f t="shared" si="2"/>
        <v>3000</v>
      </c>
      <c r="I193" s="10"/>
      <c r="J193" s="10"/>
      <c r="K193" s="10"/>
      <c r="L193" s="4" t="s">
        <v>69</v>
      </c>
      <c r="M193" s="4">
        <v>188</v>
      </c>
    </row>
    <row r="194" spans="1:13" x14ac:dyDescent="0.25">
      <c r="A194" s="4" t="s">
        <v>243</v>
      </c>
      <c r="B194" s="4" t="s">
        <v>245</v>
      </c>
      <c r="C194" s="4" t="s">
        <v>68</v>
      </c>
      <c r="D194" s="10">
        <v>16</v>
      </c>
      <c r="E194" s="11" t="s">
        <v>51</v>
      </c>
      <c r="F194" s="10">
        <v>3000</v>
      </c>
      <c r="G194" s="10">
        <v>0</v>
      </c>
      <c r="H194" s="10">
        <f t="shared" si="2"/>
        <v>3000</v>
      </c>
      <c r="I194" s="10"/>
      <c r="J194" s="10"/>
      <c r="K194" s="10"/>
      <c r="L194" s="4" t="s">
        <v>69</v>
      </c>
      <c r="M194" s="4">
        <v>189</v>
      </c>
    </row>
    <row r="195" spans="1:13" x14ac:dyDescent="0.25">
      <c r="A195" s="4" t="s">
        <v>246</v>
      </c>
      <c r="B195" s="4" t="s">
        <v>247</v>
      </c>
      <c r="C195" s="9" t="s">
        <v>50</v>
      </c>
      <c r="D195" s="10"/>
      <c r="E195" s="11" t="s">
        <v>51</v>
      </c>
      <c r="F195" s="10"/>
      <c r="G195" s="10">
        <v>0</v>
      </c>
      <c r="H195" s="10">
        <f t="shared" si="2"/>
        <v>0</v>
      </c>
      <c r="I195" s="10"/>
      <c r="J195" s="10"/>
      <c r="K195" s="10"/>
      <c r="L195" s="4" t="s">
        <v>52</v>
      </c>
      <c r="M195" s="4">
        <v>190</v>
      </c>
    </row>
    <row r="196" spans="1:13" x14ac:dyDescent="0.25">
      <c r="A196" s="4" t="s">
        <v>246</v>
      </c>
      <c r="B196" s="4" t="s">
        <v>248</v>
      </c>
      <c r="C196" s="4" t="s">
        <v>68</v>
      </c>
      <c r="D196" s="10">
        <v>6</v>
      </c>
      <c r="E196" s="11" t="s">
        <v>51</v>
      </c>
      <c r="F196" s="10">
        <v>750</v>
      </c>
      <c r="G196" s="10">
        <v>0</v>
      </c>
      <c r="H196" s="10">
        <f t="shared" si="2"/>
        <v>750</v>
      </c>
      <c r="I196" s="10"/>
      <c r="J196" s="10"/>
      <c r="K196" s="10"/>
      <c r="L196" s="4" t="s">
        <v>69</v>
      </c>
      <c r="M196" s="4">
        <v>191</v>
      </c>
    </row>
    <row r="197" spans="1:13" x14ac:dyDescent="0.25">
      <c r="A197" s="4" t="s">
        <v>246</v>
      </c>
      <c r="B197" s="4" t="s">
        <v>249</v>
      </c>
      <c r="C197" s="4" t="s">
        <v>68</v>
      </c>
      <c r="D197" s="10">
        <v>5</v>
      </c>
      <c r="E197" s="11" t="s">
        <v>51</v>
      </c>
      <c r="F197" s="10">
        <v>625</v>
      </c>
      <c r="G197" s="10">
        <v>0</v>
      </c>
      <c r="H197" s="10">
        <f t="shared" si="2"/>
        <v>625</v>
      </c>
      <c r="I197" s="10"/>
      <c r="J197" s="10"/>
      <c r="K197" s="10"/>
      <c r="L197" s="4" t="s">
        <v>69</v>
      </c>
      <c r="M197" s="4">
        <v>192</v>
      </c>
    </row>
    <row r="198" spans="1:13" x14ac:dyDescent="0.25">
      <c r="A198" s="4" t="s">
        <v>246</v>
      </c>
      <c r="B198" s="4" t="s">
        <v>250</v>
      </c>
      <c r="C198" s="4" t="s">
        <v>68</v>
      </c>
      <c r="D198" s="10">
        <v>5</v>
      </c>
      <c r="E198" s="11" t="s">
        <v>51</v>
      </c>
      <c r="F198" s="10">
        <v>625</v>
      </c>
      <c r="G198" s="10">
        <v>0</v>
      </c>
      <c r="H198" s="10">
        <f t="shared" ref="H198:H261" si="3">F198-G198</f>
        <v>625</v>
      </c>
      <c r="I198" s="10"/>
      <c r="J198" s="10"/>
      <c r="K198" s="10"/>
      <c r="L198" s="4" t="s">
        <v>69</v>
      </c>
      <c r="M198" s="4">
        <v>193</v>
      </c>
    </row>
    <row r="199" spans="1:13" x14ac:dyDescent="0.25">
      <c r="A199" s="4" t="s">
        <v>246</v>
      </c>
      <c r="B199" s="4" t="s">
        <v>251</v>
      </c>
      <c r="C199" s="4" t="s">
        <v>65</v>
      </c>
      <c r="D199" s="10">
        <v>4</v>
      </c>
      <c r="E199" s="12" t="s">
        <v>66</v>
      </c>
      <c r="F199" s="10">
        <v>250</v>
      </c>
      <c r="G199" s="10">
        <v>0</v>
      </c>
      <c r="H199" s="10">
        <f t="shared" si="3"/>
        <v>250</v>
      </c>
      <c r="I199" s="10">
        <v>62.5</v>
      </c>
      <c r="J199" s="10">
        <v>62.5</v>
      </c>
      <c r="K199" s="10">
        <v>62.5</v>
      </c>
      <c r="L199" s="4"/>
      <c r="M199" s="4">
        <v>194</v>
      </c>
    </row>
    <row r="200" spans="1:13" x14ac:dyDescent="0.25">
      <c r="A200" s="4" t="s">
        <v>246</v>
      </c>
      <c r="B200" s="4" t="s">
        <v>252</v>
      </c>
      <c r="C200" s="4" t="s">
        <v>68</v>
      </c>
      <c r="D200" s="10">
        <v>12</v>
      </c>
      <c r="E200" s="11" t="s">
        <v>51</v>
      </c>
      <c r="F200" s="10">
        <v>1500</v>
      </c>
      <c r="G200" s="10">
        <v>0</v>
      </c>
      <c r="H200" s="10">
        <f t="shared" si="3"/>
        <v>1500</v>
      </c>
      <c r="I200" s="10"/>
      <c r="J200" s="10"/>
      <c r="K200" s="10"/>
      <c r="L200" s="4" t="s">
        <v>69</v>
      </c>
      <c r="M200" s="4">
        <v>195</v>
      </c>
    </row>
    <row r="201" spans="1:13" x14ac:dyDescent="0.25">
      <c r="A201" s="4" t="s">
        <v>246</v>
      </c>
      <c r="B201" s="4" t="s">
        <v>253</v>
      </c>
      <c r="C201" s="4" t="s">
        <v>68</v>
      </c>
      <c r="D201" s="10">
        <v>12</v>
      </c>
      <c r="E201" s="11" t="s">
        <v>51</v>
      </c>
      <c r="F201" s="10">
        <v>1500</v>
      </c>
      <c r="G201" s="10">
        <v>0</v>
      </c>
      <c r="H201" s="10">
        <f t="shared" si="3"/>
        <v>1500</v>
      </c>
      <c r="I201" s="10"/>
      <c r="J201" s="10"/>
      <c r="K201" s="10"/>
      <c r="L201" s="4" t="s">
        <v>69</v>
      </c>
      <c r="M201" s="4">
        <v>196</v>
      </c>
    </row>
    <row r="202" spans="1:13" x14ac:dyDescent="0.25">
      <c r="A202" s="4" t="s">
        <v>254</v>
      </c>
      <c r="B202" s="4" t="s">
        <v>255</v>
      </c>
      <c r="C202" s="9" t="s">
        <v>50</v>
      </c>
      <c r="D202" s="10">
        <v>10</v>
      </c>
      <c r="E202" s="11" t="s">
        <v>51</v>
      </c>
      <c r="F202" s="10"/>
      <c r="G202" s="10">
        <v>0</v>
      </c>
      <c r="H202" s="10">
        <f t="shared" si="3"/>
        <v>0</v>
      </c>
      <c r="I202" s="10"/>
      <c r="J202" s="10"/>
      <c r="K202" s="10"/>
      <c r="L202" s="4" t="s">
        <v>52</v>
      </c>
      <c r="M202" s="4">
        <v>197</v>
      </c>
    </row>
    <row r="203" spans="1:13" x14ac:dyDescent="0.25">
      <c r="A203" s="4" t="s">
        <v>254</v>
      </c>
      <c r="B203" s="4" t="s">
        <v>256</v>
      </c>
      <c r="C203" s="4" t="s">
        <v>65</v>
      </c>
      <c r="D203" s="10">
        <v>1106</v>
      </c>
      <c r="E203" s="11" t="s">
        <v>51</v>
      </c>
      <c r="F203" s="10"/>
      <c r="G203" s="10">
        <v>0</v>
      </c>
      <c r="H203" s="10">
        <f t="shared" si="3"/>
        <v>0</v>
      </c>
      <c r="I203" s="10">
        <v>0</v>
      </c>
      <c r="J203" s="10">
        <v>0</v>
      </c>
      <c r="K203" s="10">
        <v>0</v>
      </c>
      <c r="L203" s="4" t="s">
        <v>69</v>
      </c>
      <c r="M203" s="4">
        <v>198</v>
      </c>
    </row>
    <row r="204" spans="1:13" x14ac:dyDescent="0.25">
      <c r="A204" s="4" t="s">
        <v>257</v>
      </c>
      <c r="B204" s="4" t="s">
        <v>258</v>
      </c>
      <c r="C204" s="9" t="s">
        <v>50</v>
      </c>
      <c r="D204" s="10">
        <v>48</v>
      </c>
      <c r="E204" s="11" t="s">
        <v>51</v>
      </c>
      <c r="F204" s="10">
        <v>3840</v>
      </c>
      <c r="G204" s="10">
        <v>0</v>
      </c>
      <c r="H204" s="10">
        <f t="shared" si="3"/>
        <v>3840</v>
      </c>
      <c r="I204" s="10">
        <v>80</v>
      </c>
      <c r="J204" s="10">
        <v>80</v>
      </c>
      <c r="K204" s="10">
        <v>80</v>
      </c>
      <c r="L204" s="4" t="s">
        <v>259</v>
      </c>
      <c r="M204" s="4">
        <v>199</v>
      </c>
    </row>
    <row r="205" spans="1:13" x14ac:dyDescent="0.25">
      <c r="A205" s="4" t="s">
        <v>257</v>
      </c>
      <c r="B205" s="4" t="s">
        <v>137</v>
      </c>
      <c r="C205" s="9" t="s">
        <v>50</v>
      </c>
      <c r="D205" s="10">
        <v>2336</v>
      </c>
      <c r="E205" s="11" t="s">
        <v>51</v>
      </c>
      <c r="F205" s="10">
        <v>74476</v>
      </c>
      <c r="G205" s="10">
        <v>0</v>
      </c>
      <c r="H205" s="10">
        <f t="shared" si="3"/>
        <v>74476</v>
      </c>
      <c r="I205" s="10"/>
      <c r="J205" s="10"/>
      <c r="K205" s="10"/>
      <c r="L205" s="4" t="s">
        <v>52</v>
      </c>
      <c r="M205" s="4">
        <v>200</v>
      </c>
    </row>
    <row r="206" spans="1:13" x14ac:dyDescent="0.25">
      <c r="A206" s="4" t="s">
        <v>260</v>
      </c>
      <c r="B206" s="4" t="s">
        <v>88</v>
      </c>
      <c r="C206" s="9" t="s">
        <v>50</v>
      </c>
      <c r="D206" s="10">
        <v>75</v>
      </c>
      <c r="E206" s="11" t="s">
        <v>51</v>
      </c>
      <c r="F206" s="10">
        <v>6000</v>
      </c>
      <c r="G206" s="10">
        <v>0</v>
      </c>
      <c r="H206" s="10">
        <f t="shared" si="3"/>
        <v>6000</v>
      </c>
      <c r="I206" s="10"/>
      <c r="J206" s="10"/>
      <c r="K206" s="10"/>
      <c r="L206" s="4" t="s">
        <v>52</v>
      </c>
      <c r="M206" s="4">
        <v>201</v>
      </c>
    </row>
    <row r="207" spans="1:13" x14ac:dyDescent="0.25">
      <c r="A207" s="4" t="s">
        <v>260</v>
      </c>
      <c r="B207" s="4" t="s">
        <v>137</v>
      </c>
      <c r="C207" s="9" t="s">
        <v>50</v>
      </c>
      <c r="D207" s="10">
        <v>2623</v>
      </c>
      <c r="E207" s="11" t="s">
        <v>51</v>
      </c>
      <c r="F207" s="10">
        <v>76540</v>
      </c>
      <c r="G207" s="10">
        <v>0</v>
      </c>
      <c r="H207" s="10">
        <f t="shared" si="3"/>
        <v>76540</v>
      </c>
      <c r="I207" s="10"/>
      <c r="J207" s="10"/>
      <c r="K207" s="10"/>
      <c r="L207" s="4" t="s">
        <v>52</v>
      </c>
      <c r="M207" s="4">
        <v>202</v>
      </c>
    </row>
    <row r="208" spans="1:13" x14ac:dyDescent="0.25">
      <c r="A208" s="4" t="s">
        <v>261</v>
      </c>
      <c r="B208" s="4" t="s">
        <v>88</v>
      </c>
      <c r="C208" s="9" t="s">
        <v>50</v>
      </c>
      <c r="D208" s="10">
        <v>76.5</v>
      </c>
      <c r="E208" s="11" t="s">
        <v>51</v>
      </c>
      <c r="F208" s="10">
        <v>6675</v>
      </c>
      <c r="G208" s="10">
        <v>0</v>
      </c>
      <c r="H208" s="10">
        <f t="shared" si="3"/>
        <v>6675</v>
      </c>
      <c r="I208" s="10"/>
      <c r="J208" s="10"/>
      <c r="K208" s="10"/>
      <c r="L208" s="4" t="s">
        <v>52</v>
      </c>
      <c r="M208" s="4">
        <v>203</v>
      </c>
    </row>
    <row r="209" spans="1:13" x14ac:dyDescent="0.25">
      <c r="A209" s="4" t="s">
        <v>261</v>
      </c>
      <c r="B209" s="4" t="s">
        <v>137</v>
      </c>
      <c r="C209" s="9" t="s">
        <v>50</v>
      </c>
      <c r="D209" s="10">
        <v>52.5</v>
      </c>
      <c r="E209" s="11" t="s">
        <v>51</v>
      </c>
      <c r="F209" s="10">
        <v>4725</v>
      </c>
      <c r="G209" s="10">
        <v>0</v>
      </c>
      <c r="H209" s="10">
        <f t="shared" si="3"/>
        <v>4725</v>
      </c>
      <c r="I209" s="10"/>
      <c r="J209" s="10"/>
      <c r="K209" s="10"/>
      <c r="L209" s="4" t="s">
        <v>52</v>
      </c>
      <c r="M209" s="4">
        <v>204</v>
      </c>
    </row>
    <row r="210" spans="1:13" x14ac:dyDescent="0.25">
      <c r="A210" s="4" t="s">
        <v>261</v>
      </c>
      <c r="B210" s="4" t="s">
        <v>128</v>
      </c>
      <c r="C210" s="9" t="s">
        <v>50</v>
      </c>
      <c r="D210" s="10">
        <v>8007</v>
      </c>
      <c r="E210" s="11" t="s">
        <v>51</v>
      </c>
      <c r="F210" s="10">
        <v>100055</v>
      </c>
      <c r="G210" s="10">
        <v>0</v>
      </c>
      <c r="H210" s="10">
        <f t="shared" si="3"/>
        <v>100055</v>
      </c>
      <c r="I210" s="10"/>
      <c r="J210" s="10"/>
      <c r="K210" s="10"/>
      <c r="L210" s="4" t="s">
        <v>52</v>
      </c>
      <c r="M210" s="4">
        <v>205</v>
      </c>
    </row>
    <row r="211" spans="1:13" x14ac:dyDescent="0.25">
      <c r="A211" s="4" t="s">
        <v>262</v>
      </c>
      <c r="B211" s="4" t="s">
        <v>263</v>
      </c>
      <c r="C211" s="9" t="s">
        <v>50</v>
      </c>
      <c r="D211" s="10">
        <v>1610</v>
      </c>
      <c r="E211" s="11" t="s">
        <v>51</v>
      </c>
      <c r="F211" s="10">
        <v>169597.17</v>
      </c>
      <c r="G211" s="10">
        <v>0</v>
      </c>
      <c r="H211" s="10">
        <f t="shared" si="3"/>
        <v>169597.17</v>
      </c>
      <c r="I211" s="10"/>
      <c r="J211" s="10"/>
      <c r="K211" s="10"/>
      <c r="L211" s="4" t="s">
        <v>52</v>
      </c>
      <c r="M211" s="4">
        <v>206</v>
      </c>
    </row>
    <row r="212" spans="1:13" x14ac:dyDescent="0.25">
      <c r="A212" s="4" t="s">
        <v>262</v>
      </c>
      <c r="B212" s="4" t="s">
        <v>264</v>
      </c>
      <c r="C212" s="9" t="s">
        <v>50</v>
      </c>
      <c r="D212" s="10">
        <v>2351</v>
      </c>
      <c r="E212" s="11" t="s">
        <v>51</v>
      </c>
      <c r="F212" s="10">
        <v>2292000</v>
      </c>
      <c r="G212" s="10">
        <v>0</v>
      </c>
      <c r="H212" s="10">
        <f t="shared" si="3"/>
        <v>2292000</v>
      </c>
      <c r="I212" s="10"/>
      <c r="J212" s="10"/>
      <c r="K212" s="10"/>
      <c r="L212" s="4" t="s">
        <v>52</v>
      </c>
      <c r="M212" s="4">
        <v>207</v>
      </c>
    </row>
    <row r="213" spans="1:13" x14ac:dyDescent="0.25">
      <c r="A213" s="4" t="s">
        <v>262</v>
      </c>
      <c r="B213" s="4" t="s">
        <v>265</v>
      </c>
      <c r="C213" s="9" t="s">
        <v>50</v>
      </c>
      <c r="D213" s="10">
        <v>704</v>
      </c>
      <c r="E213" s="11" t="s">
        <v>51</v>
      </c>
      <c r="F213" s="10">
        <v>68034</v>
      </c>
      <c r="G213" s="10">
        <v>0</v>
      </c>
      <c r="H213" s="10">
        <f t="shared" si="3"/>
        <v>68034</v>
      </c>
      <c r="I213" s="10"/>
      <c r="J213" s="10"/>
      <c r="K213" s="10"/>
      <c r="L213" s="4" t="s">
        <v>52</v>
      </c>
      <c r="M213" s="4">
        <v>208</v>
      </c>
    </row>
    <row r="214" spans="1:13" x14ac:dyDescent="0.25">
      <c r="A214" s="4" t="s">
        <v>262</v>
      </c>
      <c r="B214" s="4" t="s">
        <v>266</v>
      </c>
      <c r="C214" s="9" t="s">
        <v>50</v>
      </c>
      <c r="D214" s="10">
        <v>832</v>
      </c>
      <c r="E214" s="11" t="s">
        <v>51</v>
      </c>
      <c r="F214" s="10">
        <v>47900</v>
      </c>
      <c r="G214" s="10">
        <v>0</v>
      </c>
      <c r="H214" s="10">
        <f t="shared" si="3"/>
        <v>47900</v>
      </c>
      <c r="I214" s="10"/>
      <c r="J214" s="10"/>
      <c r="K214" s="10"/>
      <c r="L214" s="4" t="s">
        <v>52</v>
      </c>
      <c r="M214" s="4">
        <v>209</v>
      </c>
    </row>
    <row r="215" spans="1:13" x14ac:dyDescent="0.25">
      <c r="A215" s="4" t="s">
        <v>262</v>
      </c>
      <c r="B215" s="4" t="s">
        <v>267</v>
      </c>
      <c r="C215" s="9" t="s">
        <v>50</v>
      </c>
      <c r="D215" s="10">
        <v>1060</v>
      </c>
      <c r="E215" s="11" t="s">
        <v>51</v>
      </c>
      <c r="F215" s="10">
        <v>170412.45</v>
      </c>
      <c r="G215" s="10">
        <v>0</v>
      </c>
      <c r="H215" s="10">
        <f t="shared" si="3"/>
        <v>170412.45</v>
      </c>
      <c r="I215" s="10"/>
      <c r="J215" s="10"/>
      <c r="K215" s="10"/>
      <c r="L215" s="4" t="s">
        <v>52</v>
      </c>
      <c r="M215" s="4">
        <v>210</v>
      </c>
    </row>
    <row r="216" spans="1:13" x14ac:dyDescent="0.25">
      <c r="A216" s="4" t="s">
        <v>262</v>
      </c>
      <c r="B216" s="4" t="s">
        <v>268</v>
      </c>
      <c r="C216" s="9" t="s">
        <v>50</v>
      </c>
      <c r="D216" s="10">
        <v>1323.25</v>
      </c>
      <c r="E216" s="11" t="s">
        <v>51</v>
      </c>
      <c r="F216" s="10"/>
      <c r="G216" s="10">
        <v>0</v>
      </c>
      <c r="H216" s="10">
        <f t="shared" si="3"/>
        <v>0</v>
      </c>
      <c r="I216" s="10"/>
      <c r="J216" s="10"/>
      <c r="K216" s="10"/>
      <c r="L216" s="4" t="s">
        <v>52</v>
      </c>
      <c r="M216" s="4">
        <v>211</v>
      </c>
    </row>
    <row r="217" spans="1:13" x14ac:dyDescent="0.25">
      <c r="A217" s="4" t="s">
        <v>269</v>
      </c>
      <c r="B217" s="4" t="s">
        <v>270</v>
      </c>
      <c r="C217" s="9" t="s">
        <v>50</v>
      </c>
      <c r="D217" s="10"/>
      <c r="E217" s="11" t="s">
        <v>51</v>
      </c>
      <c r="F217" s="10"/>
      <c r="G217" s="10">
        <v>0</v>
      </c>
      <c r="H217" s="10">
        <f t="shared" si="3"/>
        <v>0</v>
      </c>
      <c r="I217" s="10"/>
      <c r="J217" s="10"/>
      <c r="K217" s="10"/>
      <c r="L217" s="4" t="s">
        <v>52</v>
      </c>
      <c r="M217" s="4">
        <v>212</v>
      </c>
    </row>
    <row r="218" spans="1:13" x14ac:dyDescent="0.25">
      <c r="A218" s="4" t="s">
        <v>269</v>
      </c>
      <c r="B218" s="4" t="s">
        <v>136</v>
      </c>
      <c r="C218" s="9" t="s">
        <v>50</v>
      </c>
      <c r="D218" s="10">
        <v>83</v>
      </c>
      <c r="E218" s="11" t="s">
        <v>51</v>
      </c>
      <c r="F218" s="10">
        <v>7500</v>
      </c>
      <c r="G218" s="10">
        <v>0</v>
      </c>
      <c r="H218" s="10">
        <f t="shared" si="3"/>
        <v>7500</v>
      </c>
      <c r="I218" s="10"/>
      <c r="J218" s="10"/>
      <c r="K218" s="10"/>
      <c r="L218" s="4" t="s">
        <v>52</v>
      </c>
      <c r="M218" s="4">
        <v>213</v>
      </c>
    </row>
    <row r="219" spans="1:13" x14ac:dyDescent="0.25">
      <c r="A219" s="4" t="s">
        <v>269</v>
      </c>
      <c r="B219" s="4" t="s">
        <v>82</v>
      </c>
      <c r="C219" s="9" t="s">
        <v>50</v>
      </c>
      <c r="D219" s="10">
        <v>83</v>
      </c>
      <c r="E219" s="11" t="s">
        <v>51</v>
      </c>
      <c r="F219" s="10">
        <v>7500</v>
      </c>
      <c r="G219" s="10">
        <v>0</v>
      </c>
      <c r="H219" s="10">
        <f t="shared" si="3"/>
        <v>7500</v>
      </c>
      <c r="I219" s="10"/>
      <c r="J219" s="10"/>
      <c r="K219" s="10"/>
      <c r="L219" s="4" t="s">
        <v>52</v>
      </c>
      <c r="M219" s="4">
        <v>214</v>
      </c>
    </row>
    <row r="220" spans="1:13" x14ac:dyDescent="0.25">
      <c r="A220" s="4" t="s">
        <v>269</v>
      </c>
      <c r="B220" s="4" t="s">
        <v>88</v>
      </c>
      <c r="C220" s="9" t="s">
        <v>50</v>
      </c>
      <c r="D220" s="10">
        <v>265</v>
      </c>
      <c r="E220" s="11" t="s">
        <v>51</v>
      </c>
      <c r="F220" s="10">
        <v>23900</v>
      </c>
      <c r="G220" s="10">
        <v>0</v>
      </c>
      <c r="H220" s="10">
        <f t="shared" si="3"/>
        <v>23900</v>
      </c>
      <c r="I220" s="10"/>
      <c r="J220" s="10"/>
      <c r="K220" s="10"/>
      <c r="L220" s="4" t="s">
        <v>52</v>
      </c>
      <c r="M220" s="4">
        <v>215</v>
      </c>
    </row>
    <row r="221" spans="1:13" x14ac:dyDescent="0.25">
      <c r="A221" s="4" t="s">
        <v>269</v>
      </c>
      <c r="B221" s="4" t="s">
        <v>137</v>
      </c>
      <c r="C221" s="9" t="s">
        <v>50</v>
      </c>
      <c r="D221" s="10">
        <v>286.25</v>
      </c>
      <c r="E221" s="11" t="s">
        <v>51</v>
      </c>
      <c r="F221" s="10">
        <v>19150</v>
      </c>
      <c r="G221" s="10">
        <v>0</v>
      </c>
      <c r="H221" s="10">
        <f t="shared" si="3"/>
        <v>19150</v>
      </c>
      <c r="I221" s="10"/>
      <c r="J221" s="10"/>
      <c r="K221" s="10"/>
      <c r="L221" s="4" t="s">
        <v>52</v>
      </c>
      <c r="M221" s="4">
        <v>216</v>
      </c>
    </row>
    <row r="222" spans="1:13" x14ac:dyDescent="0.25">
      <c r="A222" s="4" t="s">
        <v>269</v>
      </c>
      <c r="B222" s="4" t="s">
        <v>106</v>
      </c>
      <c r="C222" s="9" t="s">
        <v>50</v>
      </c>
      <c r="D222" s="10">
        <v>218</v>
      </c>
      <c r="E222" s="11" t="s">
        <v>51</v>
      </c>
      <c r="F222" s="10">
        <v>19620</v>
      </c>
      <c r="G222" s="10">
        <v>0</v>
      </c>
      <c r="H222" s="10">
        <f t="shared" si="3"/>
        <v>19620</v>
      </c>
      <c r="I222" s="10"/>
      <c r="J222" s="10"/>
      <c r="K222" s="10"/>
      <c r="L222" s="4" t="s">
        <v>52</v>
      </c>
      <c r="M222" s="4">
        <v>217</v>
      </c>
    </row>
    <row r="223" spans="1:13" x14ac:dyDescent="0.25">
      <c r="A223" s="4" t="s">
        <v>269</v>
      </c>
      <c r="B223" s="4" t="s">
        <v>271</v>
      </c>
      <c r="C223" s="9" t="s">
        <v>50</v>
      </c>
      <c r="D223" s="10"/>
      <c r="E223" s="11" t="s">
        <v>51</v>
      </c>
      <c r="F223" s="10"/>
      <c r="G223" s="10">
        <v>0</v>
      </c>
      <c r="H223" s="10">
        <f t="shared" si="3"/>
        <v>0</v>
      </c>
      <c r="I223" s="10"/>
      <c r="J223" s="10"/>
      <c r="K223" s="10"/>
      <c r="L223" s="4" t="s">
        <v>52</v>
      </c>
      <c r="M223" s="4">
        <v>218</v>
      </c>
    </row>
    <row r="224" spans="1:13" x14ac:dyDescent="0.25">
      <c r="A224" s="4" t="s">
        <v>269</v>
      </c>
      <c r="B224" s="4" t="s">
        <v>272</v>
      </c>
      <c r="C224" s="9" t="s">
        <v>50</v>
      </c>
      <c r="D224" s="10"/>
      <c r="E224" s="11" t="s">
        <v>51</v>
      </c>
      <c r="F224" s="10"/>
      <c r="G224" s="10">
        <v>0</v>
      </c>
      <c r="H224" s="10">
        <f t="shared" si="3"/>
        <v>0</v>
      </c>
      <c r="I224" s="10"/>
      <c r="J224" s="10"/>
      <c r="K224" s="10"/>
      <c r="L224" s="4" t="s">
        <v>52</v>
      </c>
      <c r="M224" s="4">
        <v>219</v>
      </c>
    </row>
    <row r="225" spans="1:13" x14ac:dyDescent="0.25">
      <c r="A225" s="4" t="s">
        <v>269</v>
      </c>
      <c r="B225" s="4" t="s">
        <v>107</v>
      </c>
      <c r="C225" s="9" t="s">
        <v>50</v>
      </c>
      <c r="D225" s="10">
        <v>388</v>
      </c>
      <c r="E225" s="11" t="s">
        <v>51</v>
      </c>
      <c r="F225" s="10">
        <v>34920</v>
      </c>
      <c r="G225" s="10">
        <v>0</v>
      </c>
      <c r="H225" s="10">
        <f t="shared" si="3"/>
        <v>34920</v>
      </c>
      <c r="I225" s="10"/>
      <c r="J225" s="10"/>
      <c r="K225" s="10"/>
      <c r="L225" s="4" t="s">
        <v>52</v>
      </c>
      <c r="M225" s="4">
        <v>220</v>
      </c>
    </row>
    <row r="226" spans="1:13" x14ac:dyDescent="0.25">
      <c r="A226" s="4" t="s">
        <v>269</v>
      </c>
      <c r="B226" s="4" t="s">
        <v>128</v>
      </c>
      <c r="C226" s="9" t="s">
        <v>50</v>
      </c>
      <c r="D226" s="10">
        <v>187.5</v>
      </c>
      <c r="E226" s="11" t="s">
        <v>51</v>
      </c>
      <c r="F226" s="10"/>
      <c r="G226" s="10">
        <v>0</v>
      </c>
      <c r="H226" s="10">
        <f t="shared" si="3"/>
        <v>0</v>
      </c>
      <c r="I226" s="10"/>
      <c r="J226" s="10"/>
      <c r="K226" s="10"/>
      <c r="L226" s="4" t="s">
        <v>52</v>
      </c>
      <c r="M226" s="4">
        <v>221</v>
      </c>
    </row>
    <row r="227" spans="1:13" x14ac:dyDescent="0.25">
      <c r="A227" s="4" t="s">
        <v>273</v>
      </c>
      <c r="B227" s="4" t="s">
        <v>274</v>
      </c>
      <c r="C227" s="9" t="s">
        <v>50</v>
      </c>
      <c r="D227" s="10">
        <v>490</v>
      </c>
      <c r="E227" s="11" t="s">
        <v>51</v>
      </c>
      <c r="F227" s="10">
        <v>15000</v>
      </c>
      <c r="G227" s="10">
        <v>0</v>
      </c>
      <c r="H227" s="10">
        <f t="shared" si="3"/>
        <v>15000</v>
      </c>
      <c r="I227" s="10"/>
      <c r="J227" s="10"/>
      <c r="K227" s="10"/>
      <c r="L227" s="4" t="s">
        <v>52</v>
      </c>
      <c r="M227" s="4">
        <v>222</v>
      </c>
    </row>
    <row r="228" spans="1:13" x14ac:dyDescent="0.25">
      <c r="A228" s="4" t="s">
        <v>275</v>
      </c>
      <c r="B228" s="4" t="s">
        <v>276</v>
      </c>
      <c r="C228" s="9" t="s">
        <v>50</v>
      </c>
      <c r="D228" s="10">
        <v>400</v>
      </c>
      <c r="E228" s="11" t="s">
        <v>51</v>
      </c>
      <c r="F228" s="10">
        <v>10000</v>
      </c>
      <c r="G228" s="10">
        <v>0</v>
      </c>
      <c r="H228" s="10">
        <f t="shared" si="3"/>
        <v>10000</v>
      </c>
      <c r="I228" s="10"/>
      <c r="J228" s="10"/>
      <c r="K228" s="10"/>
      <c r="L228" s="4" t="s">
        <v>52</v>
      </c>
      <c r="M228" s="4">
        <v>223</v>
      </c>
    </row>
    <row r="229" spans="1:13" x14ac:dyDescent="0.25">
      <c r="A229" s="4" t="s">
        <v>275</v>
      </c>
      <c r="B229" s="4" t="s">
        <v>277</v>
      </c>
      <c r="C229" s="9" t="s">
        <v>50</v>
      </c>
      <c r="D229" s="10"/>
      <c r="E229" s="11" t="s">
        <v>51</v>
      </c>
      <c r="F229" s="10">
        <v>10000</v>
      </c>
      <c r="G229" s="10">
        <v>0</v>
      </c>
      <c r="H229" s="10">
        <f t="shared" si="3"/>
        <v>10000</v>
      </c>
      <c r="I229" s="10"/>
      <c r="J229" s="10"/>
      <c r="K229" s="10"/>
      <c r="L229" s="4" t="s">
        <v>52</v>
      </c>
      <c r="M229" s="4">
        <v>224</v>
      </c>
    </row>
    <row r="230" spans="1:13" x14ac:dyDescent="0.25">
      <c r="A230" s="4" t="s">
        <v>275</v>
      </c>
      <c r="B230" s="4" t="s">
        <v>278</v>
      </c>
      <c r="C230" s="9" t="s">
        <v>50</v>
      </c>
      <c r="D230" s="10"/>
      <c r="E230" s="11" t="s">
        <v>51</v>
      </c>
      <c r="F230" s="10">
        <v>10000</v>
      </c>
      <c r="G230" s="10">
        <v>0</v>
      </c>
      <c r="H230" s="10">
        <f t="shared" si="3"/>
        <v>10000</v>
      </c>
      <c r="I230" s="10"/>
      <c r="J230" s="10"/>
      <c r="K230" s="10"/>
      <c r="L230" s="4" t="s">
        <v>52</v>
      </c>
      <c r="M230" s="4">
        <v>225</v>
      </c>
    </row>
    <row r="231" spans="1:13" x14ac:dyDescent="0.25">
      <c r="A231" s="4" t="s">
        <v>275</v>
      </c>
      <c r="B231" s="4" t="s">
        <v>279</v>
      </c>
      <c r="C231" s="9" t="s">
        <v>50</v>
      </c>
      <c r="D231" s="10">
        <v>90</v>
      </c>
      <c r="E231" s="11" t="s">
        <v>51</v>
      </c>
      <c r="F231" s="10">
        <v>10000</v>
      </c>
      <c r="G231" s="10">
        <v>0</v>
      </c>
      <c r="H231" s="10">
        <f t="shared" si="3"/>
        <v>10000</v>
      </c>
      <c r="I231" s="10"/>
      <c r="J231" s="10"/>
      <c r="K231" s="10"/>
      <c r="L231" s="4" t="s">
        <v>52</v>
      </c>
      <c r="M231" s="4">
        <v>226</v>
      </c>
    </row>
    <row r="232" spans="1:13" x14ac:dyDescent="0.25">
      <c r="A232" s="4" t="s">
        <v>275</v>
      </c>
      <c r="B232" s="4" t="s">
        <v>280</v>
      </c>
      <c r="C232" s="9" t="s">
        <v>50</v>
      </c>
      <c r="D232" s="10">
        <v>709</v>
      </c>
      <c r="E232" s="11" t="s">
        <v>51</v>
      </c>
      <c r="F232" s="10"/>
      <c r="G232" s="10">
        <v>0</v>
      </c>
      <c r="H232" s="10">
        <f t="shared" si="3"/>
        <v>0</v>
      </c>
      <c r="I232" s="10"/>
      <c r="J232" s="10"/>
      <c r="K232" s="10"/>
      <c r="L232" s="4" t="s">
        <v>52</v>
      </c>
      <c r="M232" s="4">
        <v>227</v>
      </c>
    </row>
    <row r="233" spans="1:13" x14ac:dyDescent="0.25">
      <c r="A233" s="4" t="s">
        <v>281</v>
      </c>
      <c r="B233" s="4" t="s">
        <v>282</v>
      </c>
      <c r="C233" s="4" t="s">
        <v>68</v>
      </c>
      <c r="D233" s="10">
        <v>294</v>
      </c>
      <c r="E233" s="11" t="s">
        <v>51</v>
      </c>
      <c r="F233" s="10">
        <v>17852</v>
      </c>
      <c r="G233" s="10">
        <v>0</v>
      </c>
      <c r="H233" s="10">
        <f t="shared" si="3"/>
        <v>17852</v>
      </c>
      <c r="I233" s="10"/>
      <c r="J233" s="10"/>
      <c r="K233" s="10"/>
      <c r="L233" s="4" t="s">
        <v>69</v>
      </c>
      <c r="M233" s="4">
        <v>228</v>
      </c>
    </row>
    <row r="234" spans="1:13" x14ac:dyDescent="0.25">
      <c r="A234" s="4" t="s">
        <v>281</v>
      </c>
      <c r="B234" s="4" t="s">
        <v>283</v>
      </c>
      <c r="C234" s="4" t="s">
        <v>68</v>
      </c>
      <c r="D234" s="10">
        <v>150</v>
      </c>
      <c r="E234" s="11" t="s">
        <v>51</v>
      </c>
      <c r="F234" s="10">
        <v>9036</v>
      </c>
      <c r="G234" s="10">
        <v>0</v>
      </c>
      <c r="H234" s="10">
        <f t="shared" si="3"/>
        <v>9036</v>
      </c>
      <c r="I234" s="10"/>
      <c r="J234" s="10"/>
      <c r="K234" s="10"/>
      <c r="L234" s="4" t="s">
        <v>69</v>
      </c>
      <c r="M234" s="4">
        <v>229</v>
      </c>
    </row>
    <row r="235" spans="1:13" x14ac:dyDescent="0.25">
      <c r="A235" s="4" t="s">
        <v>281</v>
      </c>
      <c r="B235" s="4" t="s">
        <v>284</v>
      </c>
      <c r="C235" s="4" t="s">
        <v>68</v>
      </c>
      <c r="D235" s="10">
        <v>226</v>
      </c>
      <c r="E235" s="11" t="s">
        <v>51</v>
      </c>
      <c r="F235" s="10">
        <v>13608</v>
      </c>
      <c r="G235" s="10">
        <v>0</v>
      </c>
      <c r="H235" s="10">
        <f t="shared" si="3"/>
        <v>13608</v>
      </c>
      <c r="I235" s="10"/>
      <c r="J235" s="10"/>
      <c r="K235" s="10"/>
      <c r="L235" s="4" t="s">
        <v>69</v>
      </c>
      <c r="M235" s="4">
        <v>230</v>
      </c>
    </row>
    <row r="236" spans="1:13" x14ac:dyDescent="0.25">
      <c r="A236" s="4" t="s">
        <v>281</v>
      </c>
      <c r="B236" s="4" t="s">
        <v>285</v>
      </c>
      <c r="C236" s="4" t="s">
        <v>68</v>
      </c>
      <c r="D236" s="10">
        <v>55</v>
      </c>
      <c r="E236" s="11" t="s">
        <v>51</v>
      </c>
      <c r="F236" s="10">
        <v>2340</v>
      </c>
      <c r="G236" s="10">
        <v>0</v>
      </c>
      <c r="H236" s="10">
        <f t="shared" si="3"/>
        <v>2340</v>
      </c>
      <c r="I236" s="10"/>
      <c r="J236" s="10"/>
      <c r="K236" s="10"/>
      <c r="L236" s="4" t="s">
        <v>69</v>
      </c>
      <c r="M236" s="4">
        <v>231</v>
      </c>
    </row>
    <row r="237" spans="1:13" x14ac:dyDescent="0.25">
      <c r="A237" s="4" t="s">
        <v>286</v>
      </c>
      <c r="B237" s="4" t="s">
        <v>287</v>
      </c>
      <c r="C237" s="4" t="s">
        <v>65</v>
      </c>
      <c r="D237" s="10">
        <v>55</v>
      </c>
      <c r="E237" s="12" t="s">
        <v>66</v>
      </c>
      <c r="F237" s="10">
        <v>1650</v>
      </c>
      <c r="G237" s="10">
        <v>0</v>
      </c>
      <c r="H237" s="10">
        <f t="shared" si="3"/>
        <v>1650</v>
      </c>
      <c r="I237" s="10">
        <v>103.125</v>
      </c>
      <c r="J237" s="10">
        <v>103.125</v>
      </c>
      <c r="K237" s="10">
        <v>103.125</v>
      </c>
      <c r="L237" s="4"/>
      <c r="M237" s="4">
        <v>232</v>
      </c>
    </row>
    <row r="238" spans="1:13" x14ac:dyDescent="0.25">
      <c r="A238" s="4" t="s">
        <v>288</v>
      </c>
      <c r="B238" s="4" t="s">
        <v>289</v>
      </c>
      <c r="C238" s="4" t="s">
        <v>68</v>
      </c>
      <c r="D238" s="10">
        <v>108</v>
      </c>
      <c r="E238" s="11" t="s">
        <v>51</v>
      </c>
      <c r="F238" s="10">
        <v>3120</v>
      </c>
      <c r="G238" s="10">
        <v>0</v>
      </c>
      <c r="H238" s="10">
        <f t="shared" si="3"/>
        <v>3120</v>
      </c>
      <c r="I238" s="10"/>
      <c r="J238" s="10"/>
      <c r="K238" s="10"/>
      <c r="L238" s="4" t="s">
        <v>69</v>
      </c>
      <c r="M238" s="4">
        <v>233</v>
      </c>
    </row>
    <row r="239" spans="1:13" x14ac:dyDescent="0.25">
      <c r="A239" s="4" t="s">
        <v>290</v>
      </c>
      <c r="B239" s="4" t="s">
        <v>291</v>
      </c>
      <c r="C239" s="4" t="s">
        <v>65</v>
      </c>
      <c r="D239" s="10">
        <v>49</v>
      </c>
      <c r="E239" s="11" t="s">
        <v>51</v>
      </c>
      <c r="F239" s="10"/>
      <c r="G239" s="10">
        <v>0</v>
      </c>
      <c r="H239" s="10">
        <f t="shared" si="3"/>
        <v>0</v>
      </c>
      <c r="I239" s="10">
        <v>0</v>
      </c>
      <c r="J239" s="10">
        <v>0</v>
      </c>
      <c r="K239" s="10">
        <v>0</v>
      </c>
      <c r="L239" s="4" t="s">
        <v>69</v>
      </c>
      <c r="M239" s="4">
        <v>234</v>
      </c>
    </row>
    <row r="240" spans="1:13" x14ac:dyDescent="0.25">
      <c r="A240" s="4" t="s">
        <v>290</v>
      </c>
      <c r="B240" s="4" t="s">
        <v>292</v>
      </c>
      <c r="C240" s="4" t="s">
        <v>68</v>
      </c>
      <c r="D240" s="10">
        <v>16</v>
      </c>
      <c r="E240" s="11" t="s">
        <v>51</v>
      </c>
      <c r="F240" s="10"/>
      <c r="G240" s="10">
        <v>0</v>
      </c>
      <c r="H240" s="10">
        <f t="shared" si="3"/>
        <v>0</v>
      </c>
      <c r="I240" s="10"/>
      <c r="J240" s="10"/>
      <c r="K240" s="10"/>
      <c r="L240" s="4" t="s">
        <v>69</v>
      </c>
      <c r="M240" s="4">
        <v>235</v>
      </c>
    </row>
    <row r="241" spans="1:13" x14ac:dyDescent="0.25">
      <c r="A241" s="4" t="s">
        <v>290</v>
      </c>
      <c r="B241" s="4" t="s">
        <v>191</v>
      </c>
      <c r="C241" s="4" t="s">
        <v>65</v>
      </c>
      <c r="D241" s="10">
        <v>50</v>
      </c>
      <c r="E241" s="11" t="s">
        <v>51</v>
      </c>
      <c r="F241" s="10"/>
      <c r="G241" s="10">
        <v>0</v>
      </c>
      <c r="H241" s="10">
        <f t="shared" si="3"/>
        <v>0</v>
      </c>
      <c r="I241" s="10">
        <v>0</v>
      </c>
      <c r="J241" s="10">
        <v>0</v>
      </c>
      <c r="K241" s="10">
        <v>0</v>
      </c>
      <c r="L241" s="4" t="s">
        <v>69</v>
      </c>
      <c r="M241" s="4">
        <v>236</v>
      </c>
    </row>
    <row r="242" spans="1:13" x14ac:dyDescent="0.25">
      <c r="A242" s="4" t="s">
        <v>293</v>
      </c>
      <c r="B242" s="4" t="s">
        <v>294</v>
      </c>
      <c r="C242" s="4" t="s">
        <v>68</v>
      </c>
      <c r="D242" s="10">
        <v>60</v>
      </c>
      <c r="E242" s="11" t="s">
        <v>51</v>
      </c>
      <c r="F242" s="10">
        <v>5250</v>
      </c>
      <c r="G242" s="10">
        <v>0</v>
      </c>
      <c r="H242" s="10">
        <f t="shared" si="3"/>
        <v>5250</v>
      </c>
      <c r="I242" s="10"/>
      <c r="J242" s="10"/>
      <c r="K242" s="10"/>
      <c r="L242" s="4" t="s">
        <v>69</v>
      </c>
      <c r="M242" s="4">
        <v>237</v>
      </c>
    </row>
    <row r="243" spans="1:13" x14ac:dyDescent="0.25">
      <c r="A243" s="4" t="s">
        <v>295</v>
      </c>
      <c r="B243" s="4" t="s">
        <v>296</v>
      </c>
      <c r="C243" s="4" t="s">
        <v>68</v>
      </c>
      <c r="D243" s="10">
        <v>10</v>
      </c>
      <c r="E243" s="11" t="s">
        <v>51</v>
      </c>
      <c r="F243" s="10">
        <v>1281.25</v>
      </c>
      <c r="G243" s="10">
        <v>0</v>
      </c>
      <c r="H243" s="10">
        <f t="shared" si="3"/>
        <v>1281.25</v>
      </c>
      <c r="I243" s="10"/>
      <c r="J243" s="10"/>
      <c r="K243" s="10"/>
      <c r="L243" s="4" t="s">
        <v>69</v>
      </c>
      <c r="M243" s="4">
        <v>238</v>
      </c>
    </row>
    <row r="244" spans="1:13" x14ac:dyDescent="0.25">
      <c r="A244" s="4" t="s">
        <v>297</v>
      </c>
      <c r="B244" s="4" t="s">
        <v>270</v>
      </c>
      <c r="C244" s="9" t="s">
        <v>50</v>
      </c>
      <c r="D244" s="10"/>
      <c r="E244" s="11" t="s">
        <v>51</v>
      </c>
      <c r="F244" s="10"/>
      <c r="G244" s="10">
        <v>0</v>
      </c>
      <c r="H244" s="10">
        <f t="shared" si="3"/>
        <v>0</v>
      </c>
      <c r="I244" s="10"/>
      <c r="J244" s="10"/>
      <c r="K244" s="10"/>
      <c r="L244" s="4" t="s">
        <v>52</v>
      </c>
      <c r="M244" s="4">
        <v>239</v>
      </c>
    </row>
    <row r="245" spans="1:13" x14ac:dyDescent="0.25">
      <c r="A245" s="4" t="s">
        <v>297</v>
      </c>
      <c r="B245" s="4" t="s">
        <v>136</v>
      </c>
      <c r="C245" s="9" t="s">
        <v>50</v>
      </c>
      <c r="D245" s="10"/>
      <c r="E245" s="11" t="s">
        <v>51</v>
      </c>
      <c r="F245" s="10"/>
      <c r="G245" s="10">
        <v>0</v>
      </c>
      <c r="H245" s="10">
        <f t="shared" si="3"/>
        <v>0</v>
      </c>
      <c r="I245" s="10"/>
      <c r="J245" s="10"/>
      <c r="K245" s="10"/>
      <c r="L245" s="4" t="s">
        <v>52</v>
      </c>
      <c r="M245" s="4">
        <v>240</v>
      </c>
    </row>
    <row r="246" spans="1:13" x14ac:dyDescent="0.25">
      <c r="A246" s="4" t="s">
        <v>297</v>
      </c>
      <c r="B246" s="4" t="s">
        <v>82</v>
      </c>
      <c r="C246" s="9" t="s">
        <v>50</v>
      </c>
      <c r="D246" s="10"/>
      <c r="E246" s="11" t="s">
        <v>51</v>
      </c>
      <c r="F246" s="10"/>
      <c r="G246" s="10">
        <v>0</v>
      </c>
      <c r="H246" s="10">
        <f t="shared" si="3"/>
        <v>0</v>
      </c>
      <c r="I246" s="10"/>
      <c r="J246" s="10"/>
      <c r="K246" s="10"/>
      <c r="L246" s="4" t="s">
        <v>52</v>
      </c>
      <c r="M246" s="4">
        <v>241</v>
      </c>
    </row>
    <row r="247" spans="1:13" x14ac:dyDescent="0.25">
      <c r="A247" s="4" t="s">
        <v>297</v>
      </c>
      <c r="B247" s="4" t="s">
        <v>88</v>
      </c>
      <c r="C247" s="9" t="s">
        <v>50</v>
      </c>
      <c r="D247" s="10"/>
      <c r="E247" s="11" t="s">
        <v>51</v>
      </c>
      <c r="F247" s="10"/>
      <c r="G247" s="10">
        <v>0</v>
      </c>
      <c r="H247" s="10">
        <f t="shared" si="3"/>
        <v>0</v>
      </c>
      <c r="I247" s="10"/>
      <c r="J247" s="10"/>
      <c r="K247" s="10"/>
      <c r="L247" s="4" t="s">
        <v>52</v>
      </c>
      <c r="M247" s="4">
        <v>242</v>
      </c>
    </row>
    <row r="248" spans="1:13" x14ac:dyDescent="0.25">
      <c r="A248" s="4" t="s">
        <v>297</v>
      </c>
      <c r="B248" s="4" t="s">
        <v>137</v>
      </c>
      <c r="C248" s="9" t="s">
        <v>50</v>
      </c>
      <c r="D248" s="10"/>
      <c r="E248" s="11" t="s">
        <v>51</v>
      </c>
      <c r="F248" s="10"/>
      <c r="G248" s="10">
        <v>0</v>
      </c>
      <c r="H248" s="10">
        <f t="shared" si="3"/>
        <v>0</v>
      </c>
      <c r="I248" s="10"/>
      <c r="J248" s="10"/>
      <c r="K248" s="10"/>
      <c r="L248" s="4" t="s">
        <v>52</v>
      </c>
      <c r="M248" s="4">
        <v>243</v>
      </c>
    </row>
    <row r="249" spans="1:13" x14ac:dyDescent="0.25">
      <c r="A249" s="4" t="s">
        <v>297</v>
      </c>
      <c r="B249" s="4" t="s">
        <v>106</v>
      </c>
      <c r="C249" s="9" t="s">
        <v>50</v>
      </c>
      <c r="D249" s="10"/>
      <c r="E249" s="11" t="s">
        <v>51</v>
      </c>
      <c r="F249" s="10"/>
      <c r="G249" s="10">
        <v>0</v>
      </c>
      <c r="H249" s="10">
        <f t="shared" si="3"/>
        <v>0</v>
      </c>
      <c r="I249" s="10"/>
      <c r="J249" s="10"/>
      <c r="K249" s="10"/>
      <c r="L249" s="4" t="s">
        <v>52</v>
      </c>
      <c r="M249" s="4">
        <v>244</v>
      </c>
    </row>
    <row r="250" spans="1:13" x14ac:dyDescent="0.25">
      <c r="A250" s="4" t="s">
        <v>297</v>
      </c>
      <c r="B250" s="4" t="s">
        <v>271</v>
      </c>
      <c r="C250" s="9" t="s">
        <v>50</v>
      </c>
      <c r="D250" s="10"/>
      <c r="E250" s="11" t="s">
        <v>51</v>
      </c>
      <c r="F250" s="10"/>
      <c r="G250" s="10">
        <v>0</v>
      </c>
      <c r="H250" s="10">
        <f t="shared" si="3"/>
        <v>0</v>
      </c>
      <c r="I250" s="10"/>
      <c r="J250" s="10"/>
      <c r="K250" s="10"/>
      <c r="L250" s="4" t="s">
        <v>52</v>
      </c>
      <c r="M250" s="4">
        <v>245</v>
      </c>
    </row>
    <row r="251" spans="1:13" x14ac:dyDescent="0.25">
      <c r="A251" s="4" t="s">
        <v>297</v>
      </c>
      <c r="B251" s="4" t="s">
        <v>272</v>
      </c>
      <c r="C251" s="9" t="s">
        <v>50</v>
      </c>
      <c r="D251" s="10"/>
      <c r="E251" s="11" t="s">
        <v>51</v>
      </c>
      <c r="F251" s="10"/>
      <c r="G251" s="10">
        <v>0</v>
      </c>
      <c r="H251" s="10">
        <f t="shared" si="3"/>
        <v>0</v>
      </c>
      <c r="I251" s="10"/>
      <c r="J251" s="10"/>
      <c r="K251" s="10"/>
      <c r="L251" s="4" t="s">
        <v>52</v>
      </c>
      <c r="M251" s="4">
        <v>246</v>
      </c>
    </row>
    <row r="252" spans="1:13" x14ac:dyDescent="0.25">
      <c r="A252" s="4" t="s">
        <v>297</v>
      </c>
      <c r="B252" s="4" t="s">
        <v>107</v>
      </c>
      <c r="C252" s="9" t="s">
        <v>50</v>
      </c>
      <c r="D252" s="10"/>
      <c r="E252" s="11" t="s">
        <v>51</v>
      </c>
      <c r="F252" s="10"/>
      <c r="G252" s="10">
        <v>0</v>
      </c>
      <c r="H252" s="10">
        <f t="shared" si="3"/>
        <v>0</v>
      </c>
      <c r="I252" s="10"/>
      <c r="J252" s="10"/>
      <c r="K252" s="10"/>
      <c r="L252" s="4" t="s">
        <v>52</v>
      </c>
      <c r="M252" s="4">
        <v>247</v>
      </c>
    </row>
    <row r="253" spans="1:13" x14ac:dyDescent="0.25">
      <c r="A253" s="4" t="s">
        <v>297</v>
      </c>
      <c r="B253" s="4" t="s">
        <v>128</v>
      </c>
      <c r="C253" s="9" t="s">
        <v>50</v>
      </c>
      <c r="D253" s="10">
        <v>20</v>
      </c>
      <c r="E253" s="11" t="s">
        <v>51</v>
      </c>
      <c r="F253" s="10"/>
      <c r="G253" s="10">
        <v>0</v>
      </c>
      <c r="H253" s="10">
        <f t="shared" si="3"/>
        <v>0</v>
      </c>
      <c r="I253" s="10"/>
      <c r="J253" s="10"/>
      <c r="K253" s="10"/>
      <c r="L253" s="4" t="s">
        <v>52</v>
      </c>
      <c r="M253" s="4">
        <v>248</v>
      </c>
    </row>
    <row r="254" spans="1:13" x14ac:dyDescent="0.25">
      <c r="A254" s="4" t="s">
        <v>298</v>
      </c>
      <c r="B254" s="4" t="s">
        <v>128</v>
      </c>
      <c r="C254" s="9" t="s">
        <v>50</v>
      </c>
      <c r="D254" s="10">
        <v>33</v>
      </c>
      <c r="E254" s="11" t="s">
        <v>51</v>
      </c>
      <c r="F254" s="10">
        <v>1600</v>
      </c>
      <c r="G254" s="10">
        <v>0</v>
      </c>
      <c r="H254" s="10">
        <f t="shared" si="3"/>
        <v>1600</v>
      </c>
      <c r="I254" s="10"/>
      <c r="J254" s="10"/>
      <c r="K254" s="10"/>
      <c r="L254" s="4" t="s">
        <v>52</v>
      </c>
      <c r="M254" s="4">
        <v>249</v>
      </c>
    </row>
    <row r="255" spans="1:13" x14ac:dyDescent="0.25">
      <c r="A255" s="4" t="s">
        <v>299</v>
      </c>
      <c r="B255" s="4" t="s">
        <v>300</v>
      </c>
      <c r="C255" s="4" t="s">
        <v>65</v>
      </c>
      <c r="D255" s="10">
        <v>7</v>
      </c>
      <c r="E255" s="12" t="s">
        <v>66</v>
      </c>
      <c r="F255" s="10">
        <v>600</v>
      </c>
      <c r="G255" s="10">
        <v>0</v>
      </c>
      <c r="H255" s="10">
        <f t="shared" si="3"/>
        <v>600</v>
      </c>
      <c r="I255" s="10">
        <v>85.714285714285708</v>
      </c>
      <c r="J255" s="10">
        <v>85.714285714285708</v>
      </c>
      <c r="K255" s="10">
        <v>85.714285714285708</v>
      </c>
      <c r="L255" s="4"/>
      <c r="M255" s="4">
        <v>250</v>
      </c>
    </row>
    <row r="256" spans="1:13" x14ac:dyDescent="0.25">
      <c r="A256" s="4" t="s">
        <v>299</v>
      </c>
      <c r="B256" s="4" t="s">
        <v>301</v>
      </c>
      <c r="C256" s="4" t="s">
        <v>68</v>
      </c>
      <c r="D256" s="10">
        <v>20</v>
      </c>
      <c r="E256" s="11" t="s">
        <v>51</v>
      </c>
      <c r="F256" s="10">
        <v>420</v>
      </c>
      <c r="G256" s="10">
        <v>0</v>
      </c>
      <c r="H256" s="10">
        <f t="shared" si="3"/>
        <v>420</v>
      </c>
      <c r="I256" s="10"/>
      <c r="J256" s="10"/>
      <c r="K256" s="10"/>
      <c r="L256" s="4" t="s">
        <v>69</v>
      </c>
      <c r="M256" s="4">
        <v>251</v>
      </c>
    </row>
    <row r="257" spans="1:13" x14ac:dyDescent="0.25">
      <c r="A257" s="4" t="s">
        <v>302</v>
      </c>
      <c r="B257" s="4" t="s">
        <v>303</v>
      </c>
      <c r="C257" s="4" t="s">
        <v>68</v>
      </c>
      <c r="D257" s="10">
        <v>60</v>
      </c>
      <c r="E257" s="11" t="s">
        <v>51</v>
      </c>
      <c r="F257" s="10">
        <v>2300</v>
      </c>
      <c r="G257" s="10">
        <v>0</v>
      </c>
      <c r="H257" s="10">
        <f t="shared" si="3"/>
        <v>2300</v>
      </c>
      <c r="I257" s="10"/>
      <c r="J257" s="10"/>
      <c r="K257" s="10"/>
      <c r="L257" s="4" t="s">
        <v>69</v>
      </c>
      <c r="M257" s="4">
        <v>252</v>
      </c>
    </row>
    <row r="258" spans="1:13" x14ac:dyDescent="0.25">
      <c r="A258" s="4" t="s">
        <v>304</v>
      </c>
      <c r="B258" s="4" t="s">
        <v>305</v>
      </c>
      <c r="C258" s="4" t="s">
        <v>65</v>
      </c>
      <c r="D258" s="10">
        <v>28</v>
      </c>
      <c r="E258" s="12" t="s">
        <v>66</v>
      </c>
      <c r="F258" s="10">
        <v>3400</v>
      </c>
      <c r="G258" s="10">
        <v>0</v>
      </c>
      <c r="H258" s="10">
        <f t="shared" si="3"/>
        <v>3400</v>
      </c>
      <c r="I258" s="10">
        <v>121.4285714285714</v>
      </c>
      <c r="J258" s="10">
        <v>121.4285714285714</v>
      </c>
      <c r="K258" s="10">
        <v>121.4285714285714</v>
      </c>
      <c r="L258" s="4"/>
      <c r="M258" s="4">
        <v>253</v>
      </c>
    </row>
    <row r="259" spans="1:13" x14ac:dyDescent="0.25">
      <c r="A259" s="4" t="s">
        <v>304</v>
      </c>
      <c r="B259" s="4" t="s">
        <v>306</v>
      </c>
      <c r="C259" s="4" t="s">
        <v>68</v>
      </c>
      <c r="D259" s="10">
        <v>36</v>
      </c>
      <c r="E259" s="11" t="s">
        <v>51</v>
      </c>
      <c r="F259" s="10">
        <v>1440</v>
      </c>
      <c r="G259" s="10">
        <v>0</v>
      </c>
      <c r="H259" s="10">
        <f t="shared" si="3"/>
        <v>1440</v>
      </c>
      <c r="I259" s="10"/>
      <c r="J259" s="10"/>
      <c r="K259" s="10"/>
      <c r="L259" s="4" t="s">
        <v>69</v>
      </c>
      <c r="M259" s="4">
        <v>254</v>
      </c>
    </row>
    <row r="260" spans="1:13" x14ac:dyDescent="0.25">
      <c r="A260" s="4" t="s">
        <v>307</v>
      </c>
      <c r="B260" s="4" t="s">
        <v>308</v>
      </c>
      <c r="C260" s="4" t="s">
        <v>68</v>
      </c>
      <c r="D260" s="10">
        <v>82</v>
      </c>
      <c r="E260" s="11" t="s">
        <v>51</v>
      </c>
      <c r="F260" s="10">
        <v>2880</v>
      </c>
      <c r="G260" s="10">
        <v>0</v>
      </c>
      <c r="H260" s="10">
        <f t="shared" si="3"/>
        <v>2880</v>
      </c>
      <c r="I260" s="10"/>
      <c r="J260" s="10"/>
      <c r="K260" s="10"/>
      <c r="L260" s="4" t="s">
        <v>69</v>
      </c>
      <c r="M260" s="4">
        <v>255</v>
      </c>
    </row>
    <row r="261" spans="1:13" x14ac:dyDescent="0.25">
      <c r="A261" s="4" t="s">
        <v>309</v>
      </c>
      <c r="B261" s="4" t="s">
        <v>310</v>
      </c>
      <c r="C261" s="4" t="s">
        <v>65</v>
      </c>
      <c r="D261" s="10">
        <v>42</v>
      </c>
      <c r="E261" s="12" t="s">
        <v>66</v>
      </c>
      <c r="F261" s="10">
        <v>4900</v>
      </c>
      <c r="G261" s="10">
        <v>0</v>
      </c>
      <c r="H261" s="10">
        <f t="shared" si="3"/>
        <v>4900</v>
      </c>
      <c r="I261" s="10">
        <v>116.6666666666667</v>
      </c>
      <c r="J261" s="10">
        <v>116.6666666666667</v>
      </c>
      <c r="K261" s="10">
        <v>116.6666666666667</v>
      </c>
      <c r="L261" s="4"/>
      <c r="M261" s="4">
        <v>256</v>
      </c>
    </row>
    <row r="262" spans="1:13" x14ac:dyDescent="0.25">
      <c r="A262" s="4" t="s">
        <v>309</v>
      </c>
      <c r="B262" s="4" t="s">
        <v>311</v>
      </c>
      <c r="C262" s="4" t="s">
        <v>68</v>
      </c>
      <c r="D262" s="10">
        <v>16</v>
      </c>
      <c r="E262" s="11" t="s">
        <v>51</v>
      </c>
      <c r="F262" s="10">
        <v>1920</v>
      </c>
      <c r="G262" s="10">
        <v>0</v>
      </c>
      <c r="H262" s="10">
        <f t="shared" ref="H262:H325" si="4">F262-G262</f>
        <v>1920</v>
      </c>
      <c r="I262" s="10"/>
      <c r="J262" s="10"/>
      <c r="K262" s="10"/>
      <c r="L262" s="4" t="s">
        <v>69</v>
      </c>
      <c r="M262" s="4">
        <v>257</v>
      </c>
    </row>
    <row r="263" spans="1:13" x14ac:dyDescent="0.25">
      <c r="A263" s="4" t="s">
        <v>312</v>
      </c>
      <c r="B263" s="4" t="s">
        <v>270</v>
      </c>
      <c r="C263" s="9" t="s">
        <v>50</v>
      </c>
      <c r="D263" s="10"/>
      <c r="E263" s="11" t="s">
        <v>51</v>
      </c>
      <c r="F263" s="10"/>
      <c r="G263" s="10">
        <v>0</v>
      </c>
      <c r="H263" s="10">
        <f t="shared" si="4"/>
        <v>0</v>
      </c>
      <c r="I263" s="10"/>
      <c r="J263" s="10"/>
      <c r="K263" s="10"/>
      <c r="L263" s="4" t="s">
        <v>52</v>
      </c>
      <c r="M263" s="4">
        <v>258</v>
      </c>
    </row>
    <row r="264" spans="1:13" x14ac:dyDescent="0.25">
      <c r="A264" s="4" t="s">
        <v>312</v>
      </c>
      <c r="B264" s="4" t="s">
        <v>136</v>
      </c>
      <c r="C264" s="9" t="s">
        <v>50</v>
      </c>
      <c r="D264" s="10"/>
      <c r="E264" s="11" t="s">
        <v>51</v>
      </c>
      <c r="F264" s="10"/>
      <c r="G264" s="10">
        <v>0</v>
      </c>
      <c r="H264" s="10">
        <f t="shared" si="4"/>
        <v>0</v>
      </c>
      <c r="I264" s="10"/>
      <c r="J264" s="10"/>
      <c r="K264" s="10"/>
      <c r="L264" s="4" t="s">
        <v>52</v>
      </c>
      <c r="M264" s="4">
        <v>259</v>
      </c>
    </row>
    <row r="265" spans="1:13" x14ac:dyDescent="0.25">
      <c r="A265" s="4" t="s">
        <v>312</v>
      </c>
      <c r="B265" s="4" t="s">
        <v>82</v>
      </c>
      <c r="C265" s="9" t="s">
        <v>50</v>
      </c>
      <c r="D265" s="10"/>
      <c r="E265" s="11" t="s">
        <v>51</v>
      </c>
      <c r="F265" s="10"/>
      <c r="G265" s="10">
        <v>0</v>
      </c>
      <c r="H265" s="10">
        <f t="shared" si="4"/>
        <v>0</v>
      </c>
      <c r="I265" s="10"/>
      <c r="J265" s="10"/>
      <c r="K265" s="10"/>
      <c r="L265" s="4" t="s">
        <v>52</v>
      </c>
      <c r="M265" s="4">
        <v>260</v>
      </c>
    </row>
    <row r="266" spans="1:13" x14ac:dyDescent="0.25">
      <c r="A266" s="4" t="s">
        <v>312</v>
      </c>
      <c r="B266" s="4" t="s">
        <v>88</v>
      </c>
      <c r="C266" s="9" t="s">
        <v>50</v>
      </c>
      <c r="D266" s="10"/>
      <c r="E266" s="11" t="s">
        <v>51</v>
      </c>
      <c r="F266" s="10"/>
      <c r="G266" s="10">
        <v>0</v>
      </c>
      <c r="H266" s="10">
        <f t="shared" si="4"/>
        <v>0</v>
      </c>
      <c r="I266" s="10"/>
      <c r="J266" s="10"/>
      <c r="K266" s="10"/>
      <c r="L266" s="4" t="s">
        <v>52</v>
      </c>
      <c r="M266" s="4">
        <v>261</v>
      </c>
    </row>
    <row r="267" spans="1:13" x14ac:dyDescent="0.25">
      <c r="A267" s="4" t="s">
        <v>312</v>
      </c>
      <c r="B267" s="4" t="s">
        <v>137</v>
      </c>
      <c r="C267" s="9" t="s">
        <v>50</v>
      </c>
      <c r="D267" s="10"/>
      <c r="E267" s="11" t="s">
        <v>51</v>
      </c>
      <c r="F267" s="10"/>
      <c r="G267" s="10">
        <v>0</v>
      </c>
      <c r="H267" s="10">
        <f t="shared" si="4"/>
        <v>0</v>
      </c>
      <c r="I267" s="10"/>
      <c r="J267" s="10"/>
      <c r="K267" s="10"/>
      <c r="L267" s="4" t="s">
        <v>52</v>
      </c>
      <c r="M267" s="4">
        <v>262</v>
      </c>
    </row>
    <row r="268" spans="1:13" x14ac:dyDescent="0.25">
      <c r="A268" s="4" t="s">
        <v>312</v>
      </c>
      <c r="B268" s="4" t="s">
        <v>106</v>
      </c>
      <c r="C268" s="9" t="s">
        <v>50</v>
      </c>
      <c r="D268" s="10"/>
      <c r="E268" s="11" t="s">
        <v>51</v>
      </c>
      <c r="F268" s="10"/>
      <c r="G268" s="10">
        <v>0</v>
      </c>
      <c r="H268" s="10">
        <f t="shared" si="4"/>
        <v>0</v>
      </c>
      <c r="I268" s="10"/>
      <c r="J268" s="10"/>
      <c r="K268" s="10"/>
      <c r="L268" s="4" t="s">
        <v>52</v>
      </c>
      <c r="M268" s="4">
        <v>263</v>
      </c>
    </row>
    <row r="269" spans="1:13" x14ac:dyDescent="0.25">
      <c r="A269" s="4" t="s">
        <v>312</v>
      </c>
      <c r="B269" s="4" t="s">
        <v>271</v>
      </c>
      <c r="C269" s="9" t="s">
        <v>50</v>
      </c>
      <c r="D269" s="10"/>
      <c r="E269" s="11" t="s">
        <v>51</v>
      </c>
      <c r="F269" s="10"/>
      <c r="G269" s="10">
        <v>0</v>
      </c>
      <c r="H269" s="10">
        <f t="shared" si="4"/>
        <v>0</v>
      </c>
      <c r="I269" s="10"/>
      <c r="J269" s="10"/>
      <c r="K269" s="10"/>
      <c r="L269" s="4" t="s">
        <v>52</v>
      </c>
      <c r="M269" s="4">
        <v>264</v>
      </c>
    </row>
    <row r="270" spans="1:13" x14ac:dyDescent="0.25">
      <c r="A270" s="4" t="s">
        <v>312</v>
      </c>
      <c r="B270" s="4" t="s">
        <v>272</v>
      </c>
      <c r="C270" s="9" t="s">
        <v>50</v>
      </c>
      <c r="D270" s="10"/>
      <c r="E270" s="11" t="s">
        <v>51</v>
      </c>
      <c r="F270" s="10"/>
      <c r="G270" s="10">
        <v>0</v>
      </c>
      <c r="H270" s="10">
        <f t="shared" si="4"/>
        <v>0</v>
      </c>
      <c r="I270" s="10"/>
      <c r="J270" s="10"/>
      <c r="K270" s="10"/>
      <c r="L270" s="4" t="s">
        <v>52</v>
      </c>
      <c r="M270" s="4">
        <v>265</v>
      </c>
    </row>
    <row r="271" spans="1:13" x14ac:dyDescent="0.25">
      <c r="A271" s="4" t="s">
        <v>312</v>
      </c>
      <c r="B271" s="4" t="s">
        <v>107</v>
      </c>
      <c r="C271" s="9" t="s">
        <v>50</v>
      </c>
      <c r="D271" s="10"/>
      <c r="E271" s="11" t="s">
        <v>51</v>
      </c>
      <c r="F271" s="10"/>
      <c r="G271" s="10">
        <v>0</v>
      </c>
      <c r="H271" s="10">
        <f t="shared" si="4"/>
        <v>0</v>
      </c>
      <c r="I271" s="10"/>
      <c r="J271" s="10"/>
      <c r="K271" s="10"/>
      <c r="L271" s="4" t="s">
        <v>52</v>
      </c>
      <c r="M271" s="4">
        <v>266</v>
      </c>
    </row>
    <row r="272" spans="1:13" x14ac:dyDescent="0.25">
      <c r="A272" s="4" t="s">
        <v>312</v>
      </c>
      <c r="B272" s="4" t="s">
        <v>128</v>
      </c>
      <c r="C272" s="9" t="s">
        <v>50</v>
      </c>
      <c r="D272" s="10">
        <v>60</v>
      </c>
      <c r="E272" s="11" t="s">
        <v>51</v>
      </c>
      <c r="F272" s="10"/>
      <c r="G272" s="10">
        <v>0</v>
      </c>
      <c r="H272" s="10">
        <f t="shared" si="4"/>
        <v>0</v>
      </c>
      <c r="I272" s="10"/>
      <c r="J272" s="10"/>
      <c r="K272" s="10"/>
      <c r="L272" s="4" t="s">
        <v>52</v>
      </c>
      <c r="M272" s="4">
        <v>267</v>
      </c>
    </row>
    <row r="273" spans="1:13" x14ac:dyDescent="0.25">
      <c r="A273" s="4" t="s">
        <v>313</v>
      </c>
      <c r="B273" s="4" t="s">
        <v>314</v>
      </c>
      <c r="C273" s="4" t="s">
        <v>68</v>
      </c>
      <c r="D273" s="10">
        <v>131</v>
      </c>
      <c r="E273" s="11" t="s">
        <v>51</v>
      </c>
      <c r="F273" s="10">
        <v>7200</v>
      </c>
      <c r="G273" s="10">
        <v>0</v>
      </c>
      <c r="H273" s="10">
        <f t="shared" si="4"/>
        <v>7200</v>
      </c>
      <c r="I273" s="10"/>
      <c r="J273" s="10"/>
      <c r="K273" s="10"/>
      <c r="L273" s="4" t="s">
        <v>69</v>
      </c>
      <c r="M273" s="4">
        <v>268</v>
      </c>
    </row>
    <row r="274" spans="1:13" x14ac:dyDescent="0.25">
      <c r="A274" s="4" t="s">
        <v>315</v>
      </c>
      <c r="B274" s="4" t="s">
        <v>316</v>
      </c>
      <c r="C274" s="4" t="s">
        <v>65</v>
      </c>
      <c r="D274" s="10">
        <v>115</v>
      </c>
      <c r="E274" s="12" t="s">
        <v>66</v>
      </c>
      <c r="F274" s="10">
        <v>8600</v>
      </c>
      <c r="G274" s="10">
        <v>0</v>
      </c>
      <c r="H274" s="10">
        <f t="shared" si="4"/>
        <v>8600</v>
      </c>
      <c r="I274" s="10">
        <v>121.1267605633803</v>
      </c>
      <c r="J274" s="10">
        <v>121.1267605633803</v>
      </c>
      <c r="K274" s="10">
        <v>121.1267605633803</v>
      </c>
      <c r="L274" s="4"/>
      <c r="M274" s="4">
        <v>269</v>
      </c>
    </row>
    <row r="275" spans="1:13" x14ac:dyDescent="0.25">
      <c r="A275" s="4" t="s">
        <v>317</v>
      </c>
      <c r="B275" s="4" t="s">
        <v>318</v>
      </c>
      <c r="C275" s="4" t="s">
        <v>65</v>
      </c>
      <c r="D275" s="10">
        <v>16</v>
      </c>
      <c r="E275" s="11" t="s">
        <v>51</v>
      </c>
      <c r="F275" s="10"/>
      <c r="G275" s="10">
        <v>0</v>
      </c>
      <c r="H275" s="10">
        <f t="shared" si="4"/>
        <v>0</v>
      </c>
      <c r="I275" s="10">
        <v>0</v>
      </c>
      <c r="J275" s="10">
        <v>0</v>
      </c>
      <c r="K275" s="10">
        <v>0</v>
      </c>
      <c r="L275" s="4" t="s">
        <v>69</v>
      </c>
      <c r="M275" s="4">
        <v>270</v>
      </c>
    </row>
    <row r="276" spans="1:13" x14ac:dyDescent="0.25">
      <c r="A276" s="4" t="s">
        <v>317</v>
      </c>
      <c r="B276" s="4" t="s">
        <v>319</v>
      </c>
      <c r="C276" s="4" t="s">
        <v>65</v>
      </c>
      <c r="D276" s="10">
        <v>24</v>
      </c>
      <c r="E276" s="11" t="s">
        <v>51</v>
      </c>
      <c r="F276" s="10"/>
      <c r="G276" s="10">
        <v>0</v>
      </c>
      <c r="H276" s="10">
        <f t="shared" si="4"/>
        <v>0</v>
      </c>
      <c r="I276" s="10">
        <v>0</v>
      </c>
      <c r="J276" s="10">
        <v>0</v>
      </c>
      <c r="K276" s="10">
        <v>0</v>
      </c>
      <c r="L276" s="4" t="s">
        <v>69</v>
      </c>
      <c r="M276" s="4">
        <v>271</v>
      </c>
    </row>
    <row r="277" spans="1:13" x14ac:dyDescent="0.25">
      <c r="A277" s="4" t="s">
        <v>317</v>
      </c>
      <c r="B277" s="4" t="s">
        <v>320</v>
      </c>
      <c r="C277" s="9" t="s">
        <v>50</v>
      </c>
      <c r="D277" s="10">
        <v>40</v>
      </c>
      <c r="E277" s="11" t="s">
        <v>51</v>
      </c>
      <c r="F277" s="10"/>
      <c r="G277" s="10">
        <v>0</v>
      </c>
      <c r="H277" s="10">
        <f t="shared" si="4"/>
        <v>0</v>
      </c>
      <c r="I277" s="10"/>
      <c r="J277" s="10"/>
      <c r="K277" s="10"/>
      <c r="L277" s="4" t="s">
        <v>52</v>
      </c>
      <c r="M277" s="4">
        <v>272</v>
      </c>
    </row>
    <row r="278" spans="1:13" x14ac:dyDescent="0.25">
      <c r="A278" s="4" t="s">
        <v>321</v>
      </c>
      <c r="B278" s="4" t="s">
        <v>88</v>
      </c>
      <c r="C278" s="9" t="s">
        <v>50</v>
      </c>
      <c r="D278" s="10">
        <v>12</v>
      </c>
      <c r="E278" s="11" t="s">
        <v>51</v>
      </c>
      <c r="F278" s="10">
        <v>1020</v>
      </c>
      <c r="G278" s="10">
        <v>0</v>
      </c>
      <c r="H278" s="10">
        <f t="shared" si="4"/>
        <v>1020</v>
      </c>
      <c r="I278" s="10"/>
      <c r="J278" s="10"/>
      <c r="K278" s="10"/>
      <c r="L278" s="4" t="s">
        <v>52</v>
      </c>
      <c r="M278" s="4">
        <v>273</v>
      </c>
    </row>
    <row r="279" spans="1:13" x14ac:dyDescent="0.25">
      <c r="A279" s="4" t="s">
        <v>321</v>
      </c>
      <c r="B279" s="4" t="s">
        <v>128</v>
      </c>
      <c r="C279" s="9" t="s">
        <v>50</v>
      </c>
      <c r="D279" s="10">
        <v>68</v>
      </c>
      <c r="E279" s="11" t="s">
        <v>51</v>
      </c>
      <c r="F279" s="10">
        <v>2380</v>
      </c>
      <c r="G279" s="10">
        <v>0</v>
      </c>
      <c r="H279" s="10">
        <f t="shared" si="4"/>
        <v>2380</v>
      </c>
      <c r="I279" s="10"/>
      <c r="J279" s="10"/>
      <c r="K279" s="10"/>
      <c r="L279" s="4" t="s">
        <v>52</v>
      </c>
      <c r="M279" s="4">
        <v>274</v>
      </c>
    </row>
    <row r="280" spans="1:13" x14ac:dyDescent="0.25">
      <c r="A280" s="4" t="s">
        <v>322</v>
      </c>
      <c r="B280" s="4" t="s">
        <v>136</v>
      </c>
      <c r="C280" s="9" t="s">
        <v>50</v>
      </c>
      <c r="D280" s="10">
        <v>8</v>
      </c>
      <c r="E280" s="11" t="s">
        <v>51</v>
      </c>
      <c r="F280" s="10">
        <v>680</v>
      </c>
      <c r="G280" s="10">
        <v>0</v>
      </c>
      <c r="H280" s="10">
        <f t="shared" si="4"/>
        <v>680</v>
      </c>
      <c r="I280" s="10"/>
      <c r="J280" s="10"/>
      <c r="K280" s="10"/>
      <c r="L280" s="4" t="s">
        <v>52</v>
      </c>
      <c r="M280" s="4">
        <v>275</v>
      </c>
    </row>
    <row r="281" spans="1:13" x14ac:dyDescent="0.25">
      <c r="A281" s="4" t="s">
        <v>322</v>
      </c>
      <c r="B281" s="4" t="s">
        <v>88</v>
      </c>
      <c r="C281" s="9" t="s">
        <v>50</v>
      </c>
      <c r="D281" s="10">
        <v>4</v>
      </c>
      <c r="E281" s="11" t="s">
        <v>51</v>
      </c>
      <c r="F281" s="10">
        <v>340</v>
      </c>
      <c r="G281" s="10">
        <v>0</v>
      </c>
      <c r="H281" s="10">
        <f t="shared" si="4"/>
        <v>340</v>
      </c>
      <c r="I281" s="10"/>
      <c r="J281" s="10"/>
      <c r="K281" s="10"/>
      <c r="L281" s="4" t="s">
        <v>52</v>
      </c>
      <c r="M281" s="4">
        <v>276</v>
      </c>
    </row>
    <row r="282" spans="1:13" x14ac:dyDescent="0.25">
      <c r="A282" s="4" t="s">
        <v>322</v>
      </c>
      <c r="B282" s="4" t="s">
        <v>128</v>
      </c>
      <c r="C282" s="9" t="s">
        <v>50</v>
      </c>
      <c r="D282" s="10">
        <v>1298</v>
      </c>
      <c r="E282" s="11" t="s">
        <v>51</v>
      </c>
      <c r="F282" s="10">
        <v>2380</v>
      </c>
      <c r="G282" s="10">
        <v>0</v>
      </c>
      <c r="H282" s="10">
        <f t="shared" si="4"/>
        <v>2380</v>
      </c>
      <c r="I282" s="10"/>
      <c r="J282" s="10"/>
      <c r="K282" s="10"/>
      <c r="L282" s="4" t="s">
        <v>52</v>
      </c>
      <c r="M282" s="4">
        <v>277</v>
      </c>
    </row>
    <row r="283" spans="1:13" x14ac:dyDescent="0.25">
      <c r="A283" s="4" t="s">
        <v>323</v>
      </c>
      <c r="B283" s="4" t="s">
        <v>270</v>
      </c>
      <c r="C283" s="9" t="s">
        <v>50</v>
      </c>
      <c r="D283" s="10"/>
      <c r="E283" s="11" t="s">
        <v>51</v>
      </c>
      <c r="F283" s="10"/>
      <c r="G283" s="10">
        <v>0</v>
      </c>
      <c r="H283" s="10">
        <f t="shared" si="4"/>
        <v>0</v>
      </c>
      <c r="I283" s="10"/>
      <c r="J283" s="10"/>
      <c r="K283" s="10"/>
      <c r="L283" s="4" t="s">
        <v>52</v>
      </c>
      <c r="M283" s="4">
        <v>278</v>
      </c>
    </row>
    <row r="284" spans="1:13" x14ac:dyDescent="0.25">
      <c r="A284" s="4" t="s">
        <v>323</v>
      </c>
      <c r="B284" s="4" t="s">
        <v>136</v>
      </c>
      <c r="C284" s="9" t="s">
        <v>50</v>
      </c>
      <c r="D284" s="10"/>
      <c r="E284" s="11" t="s">
        <v>51</v>
      </c>
      <c r="F284" s="10"/>
      <c r="G284" s="10">
        <v>0</v>
      </c>
      <c r="H284" s="10">
        <f t="shared" si="4"/>
        <v>0</v>
      </c>
      <c r="I284" s="10"/>
      <c r="J284" s="10"/>
      <c r="K284" s="10"/>
      <c r="L284" s="4" t="s">
        <v>52</v>
      </c>
      <c r="M284" s="4">
        <v>279</v>
      </c>
    </row>
    <row r="285" spans="1:13" x14ac:dyDescent="0.25">
      <c r="A285" s="4" t="s">
        <v>323</v>
      </c>
      <c r="B285" s="4" t="s">
        <v>82</v>
      </c>
      <c r="C285" s="9" t="s">
        <v>50</v>
      </c>
      <c r="D285" s="10"/>
      <c r="E285" s="11" t="s">
        <v>51</v>
      </c>
      <c r="F285" s="10"/>
      <c r="G285" s="10">
        <v>0</v>
      </c>
      <c r="H285" s="10">
        <f t="shared" si="4"/>
        <v>0</v>
      </c>
      <c r="I285" s="10"/>
      <c r="J285" s="10"/>
      <c r="K285" s="10"/>
      <c r="L285" s="4" t="s">
        <v>52</v>
      </c>
      <c r="M285" s="4">
        <v>280</v>
      </c>
    </row>
    <row r="286" spans="1:13" x14ac:dyDescent="0.25">
      <c r="A286" s="4" t="s">
        <v>323</v>
      </c>
      <c r="B286" s="4" t="s">
        <v>88</v>
      </c>
      <c r="C286" s="9" t="s">
        <v>50</v>
      </c>
      <c r="D286" s="10"/>
      <c r="E286" s="11" t="s">
        <v>51</v>
      </c>
      <c r="F286" s="10"/>
      <c r="G286" s="10">
        <v>0</v>
      </c>
      <c r="H286" s="10">
        <f t="shared" si="4"/>
        <v>0</v>
      </c>
      <c r="I286" s="10"/>
      <c r="J286" s="10"/>
      <c r="K286" s="10"/>
      <c r="L286" s="4" t="s">
        <v>52</v>
      </c>
      <c r="M286" s="4">
        <v>281</v>
      </c>
    </row>
    <row r="287" spans="1:13" x14ac:dyDescent="0.25">
      <c r="A287" s="4" t="s">
        <v>323</v>
      </c>
      <c r="B287" s="4" t="s">
        <v>137</v>
      </c>
      <c r="C287" s="9" t="s">
        <v>50</v>
      </c>
      <c r="D287" s="10"/>
      <c r="E287" s="11" t="s">
        <v>51</v>
      </c>
      <c r="F287" s="10"/>
      <c r="G287" s="10">
        <v>0</v>
      </c>
      <c r="H287" s="10">
        <f t="shared" si="4"/>
        <v>0</v>
      </c>
      <c r="I287" s="10"/>
      <c r="J287" s="10"/>
      <c r="K287" s="10"/>
      <c r="L287" s="4" t="s">
        <v>52</v>
      </c>
      <c r="M287" s="4">
        <v>282</v>
      </c>
    </row>
    <row r="288" spans="1:13" x14ac:dyDescent="0.25">
      <c r="A288" s="4" t="s">
        <v>323</v>
      </c>
      <c r="B288" s="4" t="s">
        <v>106</v>
      </c>
      <c r="C288" s="9" t="s">
        <v>50</v>
      </c>
      <c r="D288" s="10"/>
      <c r="E288" s="11" t="s">
        <v>51</v>
      </c>
      <c r="F288" s="10"/>
      <c r="G288" s="10">
        <v>0</v>
      </c>
      <c r="H288" s="10">
        <f t="shared" si="4"/>
        <v>0</v>
      </c>
      <c r="I288" s="10"/>
      <c r="J288" s="10"/>
      <c r="K288" s="10"/>
      <c r="L288" s="4" t="s">
        <v>52</v>
      </c>
      <c r="M288" s="4">
        <v>283</v>
      </c>
    </row>
    <row r="289" spans="1:13" x14ac:dyDescent="0.25">
      <c r="A289" s="4" t="s">
        <v>323</v>
      </c>
      <c r="B289" s="4" t="s">
        <v>271</v>
      </c>
      <c r="C289" s="9" t="s">
        <v>50</v>
      </c>
      <c r="D289" s="10"/>
      <c r="E289" s="11" t="s">
        <v>51</v>
      </c>
      <c r="F289" s="10"/>
      <c r="G289" s="10">
        <v>0</v>
      </c>
      <c r="H289" s="10">
        <f t="shared" si="4"/>
        <v>0</v>
      </c>
      <c r="I289" s="10"/>
      <c r="J289" s="10"/>
      <c r="K289" s="10"/>
      <c r="L289" s="4" t="s">
        <v>52</v>
      </c>
      <c r="M289" s="4">
        <v>284</v>
      </c>
    </row>
    <row r="290" spans="1:13" x14ac:dyDescent="0.25">
      <c r="A290" s="4" t="s">
        <v>323</v>
      </c>
      <c r="B290" s="4" t="s">
        <v>272</v>
      </c>
      <c r="C290" s="9" t="s">
        <v>50</v>
      </c>
      <c r="D290" s="10"/>
      <c r="E290" s="11" t="s">
        <v>51</v>
      </c>
      <c r="F290" s="10"/>
      <c r="G290" s="10">
        <v>0</v>
      </c>
      <c r="H290" s="10">
        <f t="shared" si="4"/>
        <v>0</v>
      </c>
      <c r="I290" s="10"/>
      <c r="J290" s="10"/>
      <c r="K290" s="10"/>
      <c r="L290" s="4" t="s">
        <v>52</v>
      </c>
      <c r="M290" s="4">
        <v>285</v>
      </c>
    </row>
    <row r="291" spans="1:13" x14ac:dyDescent="0.25">
      <c r="A291" s="4" t="s">
        <v>323</v>
      </c>
      <c r="B291" s="4" t="s">
        <v>107</v>
      </c>
      <c r="C291" s="9" t="s">
        <v>50</v>
      </c>
      <c r="D291" s="10">
        <v>1270</v>
      </c>
      <c r="E291" s="11" t="s">
        <v>51</v>
      </c>
      <c r="F291" s="10">
        <v>88730</v>
      </c>
      <c r="G291" s="10">
        <v>0</v>
      </c>
      <c r="H291" s="10">
        <f t="shared" si="4"/>
        <v>88730</v>
      </c>
      <c r="I291" s="10"/>
      <c r="J291" s="10"/>
      <c r="K291" s="10"/>
      <c r="L291" s="4" t="s">
        <v>52</v>
      </c>
      <c r="M291" s="4">
        <v>286</v>
      </c>
    </row>
    <row r="292" spans="1:13" x14ac:dyDescent="0.25">
      <c r="A292" s="4" t="s">
        <v>323</v>
      </c>
      <c r="B292" s="4" t="s">
        <v>128</v>
      </c>
      <c r="C292" s="9" t="s">
        <v>50</v>
      </c>
      <c r="D292" s="10">
        <v>70</v>
      </c>
      <c r="E292" s="11" t="s">
        <v>51</v>
      </c>
      <c r="F292" s="10"/>
      <c r="G292" s="10">
        <v>0</v>
      </c>
      <c r="H292" s="10">
        <f t="shared" si="4"/>
        <v>0</v>
      </c>
      <c r="I292" s="10"/>
      <c r="J292" s="10"/>
      <c r="K292" s="10"/>
      <c r="L292" s="4" t="s">
        <v>52</v>
      </c>
      <c r="M292" s="4">
        <v>287</v>
      </c>
    </row>
    <row r="293" spans="1:13" x14ac:dyDescent="0.25">
      <c r="A293" s="4" t="s">
        <v>324</v>
      </c>
      <c r="B293" s="4" t="s">
        <v>325</v>
      </c>
      <c r="C293" s="4" t="s">
        <v>65</v>
      </c>
      <c r="D293" s="10">
        <v>50</v>
      </c>
      <c r="E293" s="12" t="s">
        <v>66</v>
      </c>
      <c r="F293" s="10">
        <v>5700</v>
      </c>
      <c r="G293" s="10">
        <v>0</v>
      </c>
      <c r="H293" s="10">
        <f t="shared" si="4"/>
        <v>5700</v>
      </c>
      <c r="I293" s="10">
        <v>114</v>
      </c>
      <c r="J293" s="10">
        <v>114</v>
      </c>
      <c r="K293" s="10">
        <v>114</v>
      </c>
      <c r="L293" s="4"/>
      <c r="M293" s="4">
        <v>288</v>
      </c>
    </row>
    <row r="294" spans="1:13" x14ac:dyDescent="0.25">
      <c r="A294" s="4" t="s">
        <v>324</v>
      </c>
      <c r="B294" s="4" t="s">
        <v>326</v>
      </c>
      <c r="C294" s="4" t="s">
        <v>68</v>
      </c>
      <c r="D294" s="10">
        <v>569</v>
      </c>
      <c r="E294" s="11" t="s">
        <v>51</v>
      </c>
      <c r="F294" s="10">
        <v>2300</v>
      </c>
      <c r="G294" s="10">
        <v>0</v>
      </c>
      <c r="H294" s="10">
        <f t="shared" si="4"/>
        <v>2300</v>
      </c>
      <c r="I294" s="10"/>
      <c r="J294" s="10"/>
      <c r="K294" s="10"/>
      <c r="L294" s="4" t="s">
        <v>69</v>
      </c>
      <c r="M294" s="4">
        <v>289</v>
      </c>
    </row>
    <row r="295" spans="1:13" x14ac:dyDescent="0.25">
      <c r="A295" s="4" t="s">
        <v>327</v>
      </c>
      <c r="B295" s="4" t="s">
        <v>328</v>
      </c>
      <c r="C295" s="9" t="s">
        <v>50</v>
      </c>
      <c r="D295" s="10">
        <v>5</v>
      </c>
      <c r="E295" s="11" t="s">
        <v>51</v>
      </c>
      <c r="F295" s="10">
        <v>638.65</v>
      </c>
      <c r="G295" s="10">
        <v>0</v>
      </c>
      <c r="H295" s="10">
        <f t="shared" si="4"/>
        <v>638.65</v>
      </c>
      <c r="I295" s="10"/>
      <c r="J295" s="10"/>
      <c r="K295" s="10"/>
      <c r="L295" s="4" t="s">
        <v>52</v>
      </c>
      <c r="M295" s="4">
        <v>290</v>
      </c>
    </row>
    <row r="296" spans="1:13" x14ac:dyDescent="0.25">
      <c r="A296" s="4" t="s">
        <v>327</v>
      </c>
      <c r="B296" s="4" t="s">
        <v>329</v>
      </c>
      <c r="C296" s="9" t="s">
        <v>50</v>
      </c>
      <c r="D296" s="10">
        <v>50</v>
      </c>
      <c r="E296" s="11" t="s">
        <v>51</v>
      </c>
      <c r="F296" s="10">
        <v>5050</v>
      </c>
      <c r="G296" s="10">
        <v>0</v>
      </c>
      <c r="H296" s="10">
        <f t="shared" si="4"/>
        <v>5050</v>
      </c>
      <c r="I296" s="10"/>
      <c r="J296" s="10"/>
      <c r="K296" s="10"/>
      <c r="L296" s="4" t="s">
        <v>52</v>
      </c>
      <c r="M296" s="4">
        <v>291</v>
      </c>
    </row>
    <row r="297" spans="1:13" x14ac:dyDescent="0.25">
      <c r="A297" s="4" t="s">
        <v>327</v>
      </c>
      <c r="B297" s="4" t="s">
        <v>330</v>
      </c>
      <c r="C297" s="9" t="s">
        <v>50</v>
      </c>
      <c r="D297" s="10">
        <v>24</v>
      </c>
      <c r="E297" s="11" t="s">
        <v>51</v>
      </c>
      <c r="F297" s="10">
        <v>2787</v>
      </c>
      <c r="G297" s="10">
        <v>0</v>
      </c>
      <c r="H297" s="10">
        <f t="shared" si="4"/>
        <v>2787</v>
      </c>
      <c r="I297" s="10"/>
      <c r="J297" s="10"/>
      <c r="K297" s="10"/>
      <c r="L297" s="4" t="s">
        <v>52</v>
      </c>
      <c r="M297" s="4">
        <v>292</v>
      </c>
    </row>
    <row r="298" spans="1:13" x14ac:dyDescent="0.25">
      <c r="A298" s="4" t="s">
        <v>327</v>
      </c>
      <c r="B298" s="4" t="s">
        <v>331</v>
      </c>
      <c r="C298" s="9" t="s">
        <v>50</v>
      </c>
      <c r="D298" s="10">
        <v>100</v>
      </c>
      <c r="E298" s="11" t="s">
        <v>51</v>
      </c>
      <c r="F298" s="10">
        <v>10100</v>
      </c>
      <c r="G298" s="10">
        <v>0</v>
      </c>
      <c r="H298" s="10">
        <f t="shared" si="4"/>
        <v>10100</v>
      </c>
      <c r="I298" s="10"/>
      <c r="J298" s="10"/>
      <c r="K298" s="10"/>
      <c r="L298" s="4" t="s">
        <v>52</v>
      </c>
      <c r="M298" s="4">
        <v>293</v>
      </c>
    </row>
    <row r="299" spans="1:13" x14ac:dyDescent="0.25">
      <c r="A299" s="4" t="s">
        <v>327</v>
      </c>
      <c r="B299" s="4" t="s">
        <v>332</v>
      </c>
      <c r="C299" s="4" t="s">
        <v>65</v>
      </c>
      <c r="D299" s="10">
        <v>72</v>
      </c>
      <c r="E299" s="12" t="s">
        <v>66</v>
      </c>
      <c r="F299" s="10">
        <v>8366</v>
      </c>
      <c r="G299" s="10">
        <v>0</v>
      </c>
      <c r="H299" s="10">
        <f t="shared" si="4"/>
        <v>8366</v>
      </c>
      <c r="I299" s="10">
        <v>116.1944444444444</v>
      </c>
      <c r="J299" s="10">
        <v>116.1944444444444</v>
      </c>
      <c r="K299" s="10">
        <v>116.1944444444444</v>
      </c>
      <c r="L299" s="4"/>
      <c r="M299" s="4">
        <v>294</v>
      </c>
    </row>
    <row r="300" spans="1:13" x14ac:dyDescent="0.25">
      <c r="A300" s="4" t="s">
        <v>327</v>
      </c>
      <c r="B300" s="4" t="s">
        <v>333</v>
      </c>
      <c r="C300" s="9" t="s">
        <v>50</v>
      </c>
      <c r="D300" s="10">
        <v>273</v>
      </c>
      <c r="E300" s="11" t="s">
        <v>51</v>
      </c>
      <c r="F300" s="10">
        <v>31090.62</v>
      </c>
      <c r="G300" s="10">
        <v>0</v>
      </c>
      <c r="H300" s="10">
        <f t="shared" si="4"/>
        <v>31090.62</v>
      </c>
      <c r="I300" s="10"/>
      <c r="J300" s="10"/>
      <c r="K300" s="10"/>
      <c r="L300" s="4" t="s">
        <v>52</v>
      </c>
      <c r="M300" s="4">
        <v>295</v>
      </c>
    </row>
    <row r="301" spans="1:13" x14ac:dyDescent="0.25">
      <c r="A301" s="4" t="s">
        <v>327</v>
      </c>
      <c r="B301" s="4" t="s">
        <v>334</v>
      </c>
      <c r="C301" s="9" t="s">
        <v>50</v>
      </c>
      <c r="D301" s="10">
        <v>25</v>
      </c>
      <c r="E301" s="11" t="s">
        <v>51</v>
      </c>
      <c r="F301" s="10">
        <v>2525</v>
      </c>
      <c r="G301" s="10">
        <v>0</v>
      </c>
      <c r="H301" s="10">
        <f t="shared" si="4"/>
        <v>2525</v>
      </c>
      <c r="I301" s="10"/>
      <c r="J301" s="10"/>
      <c r="K301" s="10"/>
      <c r="L301" s="4" t="s">
        <v>52</v>
      </c>
      <c r="M301" s="4">
        <v>296</v>
      </c>
    </row>
    <row r="302" spans="1:13" x14ac:dyDescent="0.25">
      <c r="A302" s="4" t="s">
        <v>327</v>
      </c>
      <c r="B302" s="4" t="s">
        <v>335</v>
      </c>
      <c r="C302" s="9" t="s">
        <v>50</v>
      </c>
      <c r="D302" s="10"/>
      <c r="E302" s="11" t="s">
        <v>51</v>
      </c>
      <c r="F302" s="10"/>
      <c r="G302" s="10">
        <v>0</v>
      </c>
      <c r="H302" s="10">
        <f t="shared" si="4"/>
        <v>0</v>
      </c>
      <c r="I302" s="10"/>
      <c r="J302" s="10"/>
      <c r="K302" s="10"/>
      <c r="L302" s="4" t="s">
        <v>52</v>
      </c>
      <c r="M302" s="4">
        <v>297</v>
      </c>
    </row>
    <row r="303" spans="1:13" x14ac:dyDescent="0.25">
      <c r="A303" s="4" t="s">
        <v>327</v>
      </c>
      <c r="B303" s="4" t="s">
        <v>336</v>
      </c>
      <c r="C303" s="9" t="s">
        <v>50</v>
      </c>
      <c r="D303" s="10">
        <v>29</v>
      </c>
      <c r="E303" s="11" t="s">
        <v>51</v>
      </c>
      <c r="F303" s="10"/>
      <c r="G303" s="10">
        <v>0</v>
      </c>
      <c r="H303" s="10">
        <f t="shared" si="4"/>
        <v>0</v>
      </c>
      <c r="I303" s="10"/>
      <c r="J303" s="10"/>
      <c r="K303" s="10"/>
      <c r="L303" s="4" t="s">
        <v>52</v>
      </c>
      <c r="M303" s="4">
        <v>298</v>
      </c>
    </row>
    <row r="304" spans="1:13" x14ac:dyDescent="0.25">
      <c r="A304" s="4" t="s">
        <v>337</v>
      </c>
      <c r="B304" s="4" t="s">
        <v>338</v>
      </c>
      <c r="C304" s="9" t="s">
        <v>50</v>
      </c>
      <c r="D304" s="10">
        <v>51</v>
      </c>
      <c r="E304" s="11" t="s">
        <v>51</v>
      </c>
      <c r="F304" s="10">
        <v>3150</v>
      </c>
      <c r="G304" s="10">
        <v>0</v>
      </c>
      <c r="H304" s="10">
        <f t="shared" si="4"/>
        <v>3150</v>
      </c>
      <c r="I304" s="10"/>
      <c r="J304" s="10"/>
      <c r="K304" s="10"/>
      <c r="L304" s="4" t="s">
        <v>52</v>
      </c>
      <c r="M304" s="4">
        <v>299</v>
      </c>
    </row>
    <row r="305" spans="1:13" x14ac:dyDescent="0.25">
      <c r="A305" s="4" t="s">
        <v>339</v>
      </c>
      <c r="B305" s="4" t="s">
        <v>340</v>
      </c>
      <c r="C305" s="4" t="s">
        <v>65</v>
      </c>
      <c r="D305" s="10">
        <v>238</v>
      </c>
      <c r="E305" s="12" t="s">
        <v>66</v>
      </c>
      <c r="F305" s="10">
        <v>2400</v>
      </c>
      <c r="G305" s="10">
        <v>0</v>
      </c>
      <c r="H305" s="10">
        <f t="shared" si="4"/>
        <v>2400</v>
      </c>
      <c r="I305" s="10">
        <v>109.09090909090909</v>
      </c>
      <c r="J305" s="10">
        <v>109.09090909090909</v>
      </c>
      <c r="K305" s="10">
        <v>109.09090909090909</v>
      </c>
      <c r="L305" s="4"/>
      <c r="M305" s="4">
        <v>300</v>
      </c>
    </row>
    <row r="306" spans="1:13" x14ac:dyDescent="0.25">
      <c r="A306" s="4" t="s">
        <v>341</v>
      </c>
      <c r="B306" s="4" t="s">
        <v>342</v>
      </c>
      <c r="C306" s="4" t="s">
        <v>65</v>
      </c>
      <c r="D306" s="10">
        <v>96</v>
      </c>
      <c r="E306" s="12" t="s">
        <v>66</v>
      </c>
      <c r="F306" s="10">
        <v>12000</v>
      </c>
      <c r="G306" s="10">
        <v>0</v>
      </c>
      <c r="H306" s="10">
        <f t="shared" si="4"/>
        <v>12000</v>
      </c>
      <c r="I306" s="10">
        <v>125</v>
      </c>
      <c r="J306" s="10">
        <v>125</v>
      </c>
      <c r="K306" s="10">
        <v>125</v>
      </c>
      <c r="L306" s="4"/>
      <c r="M306" s="4">
        <v>301</v>
      </c>
    </row>
    <row r="307" spans="1:13" x14ac:dyDescent="0.25">
      <c r="A307" s="4" t="s">
        <v>341</v>
      </c>
      <c r="B307" s="4" t="s">
        <v>343</v>
      </c>
      <c r="C307" s="4" t="s">
        <v>65</v>
      </c>
      <c r="D307" s="10">
        <v>59</v>
      </c>
      <c r="E307" s="12" t="s">
        <v>66</v>
      </c>
      <c r="F307" s="10">
        <v>7500</v>
      </c>
      <c r="G307" s="10">
        <v>0</v>
      </c>
      <c r="H307" s="10">
        <f t="shared" si="4"/>
        <v>7500</v>
      </c>
      <c r="I307" s="10">
        <v>127.11864406779659</v>
      </c>
      <c r="J307" s="10">
        <v>127.11864406779659</v>
      </c>
      <c r="K307" s="10">
        <v>127.11864406779659</v>
      </c>
      <c r="L307" s="4"/>
      <c r="M307" s="4">
        <v>302</v>
      </c>
    </row>
    <row r="308" spans="1:13" x14ac:dyDescent="0.25">
      <c r="A308" s="4" t="s">
        <v>341</v>
      </c>
      <c r="B308" s="4" t="s">
        <v>344</v>
      </c>
      <c r="C308" s="4" t="s">
        <v>65</v>
      </c>
      <c r="D308" s="10">
        <v>142</v>
      </c>
      <c r="E308" s="12" t="s">
        <v>66</v>
      </c>
      <c r="F308" s="10">
        <v>6500</v>
      </c>
      <c r="G308" s="10">
        <v>0</v>
      </c>
      <c r="H308" s="10">
        <f t="shared" si="4"/>
        <v>6500</v>
      </c>
      <c r="I308" s="10">
        <v>106.5573770491803</v>
      </c>
      <c r="J308" s="10">
        <v>106.5573770491803</v>
      </c>
      <c r="K308" s="10">
        <v>106.5573770491803</v>
      </c>
      <c r="L308" s="4"/>
      <c r="M308" s="4">
        <v>303</v>
      </c>
    </row>
    <row r="309" spans="1:13" x14ac:dyDescent="0.25">
      <c r="A309" s="4" t="s">
        <v>345</v>
      </c>
      <c r="B309" s="4" t="s">
        <v>346</v>
      </c>
      <c r="C309" s="4" t="s">
        <v>65</v>
      </c>
      <c r="D309" s="10">
        <v>111</v>
      </c>
      <c r="E309" s="12" t="s">
        <v>66</v>
      </c>
      <c r="F309" s="10">
        <v>9200</v>
      </c>
      <c r="G309" s="10">
        <v>0</v>
      </c>
      <c r="H309" s="10">
        <f t="shared" si="4"/>
        <v>9200</v>
      </c>
      <c r="I309" s="10">
        <v>113.5802469135803</v>
      </c>
      <c r="J309" s="10">
        <v>113.5802469135803</v>
      </c>
      <c r="K309" s="10">
        <v>113.5802469135803</v>
      </c>
      <c r="L309" s="4"/>
      <c r="M309" s="4">
        <v>304</v>
      </c>
    </row>
    <row r="310" spans="1:13" x14ac:dyDescent="0.25">
      <c r="A310" s="4" t="s">
        <v>347</v>
      </c>
      <c r="B310" s="4" t="s">
        <v>348</v>
      </c>
      <c r="C310" s="4" t="s">
        <v>68</v>
      </c>
      <c r="D310" s="10">
        <v>50</v>
      </c>
      <c r="E310" s="11" t="s">
        <v>51</v>
      </c>
      <c r="F310" s="10">
        <v>3030</v>
      </c>
      <c r="G310" s="10">
        <v>0</v>
      </c>
      <c r="H310" s="10">
        <f t="shared" si="4"/>
        <v>3030</v>
      </c>
      <c r="I310" s="10"/>
      <c r="J310" s="10"/>
      <c r="K310" s="10"/>
      <c r="L310" s="4" t="s">
        <v>69</v>
      </c>
      <c r="M310" s="4">
        <v>305</v>
      </c>
    </row>
    <row r="311" spans="1:13" x14ac:dyDescent="0.25">
      <c r="A311" s="4" t="s">
        <v>349</v>
      </c>
      <c r="B311" s="4" t="s">
        <v>350</v>
      </c>
      <c r="C311" s="4" t="s">
        <v>68</v>
      </c>
      <c r="D311" s="10">
        <v>178</v>
      </c>
      <c r="E311" s="11" t="s">
        <v>51</v>
      </c>
      <c r="F311" s="10">
        <v>2600</v>
      </c>
      <c r="G311" s="10">
        <v>0</v>
      </c>
      <c r="H311" s="10">
        <f t="shared" si="4"/>
        <v>2600</v>
      </c>
      <c r="I311" s="10"/>
      <c r="J311" s="10"/>
      <c r="K311" s="10"/>
      <c r="L311" s="4" t="s">
        <v>69</v>
      </c>
      <c r="M311" s="4">
        <v>306</v>
      </c>
    </row>
    <row r="312" spans="1:13" x14ac:dyDescent="0.25">
      <c r="A312" s="4" t="s">
        <v>351</v>
      </c>
      <c r="B312" s="4" t="s">
        <v>107</v>
      </c>
      <c r="C312" s="9" t="s">
        <v>50</v>
      </c>
      <c r="D312" s="10">
        <v>107</v>
      </c>
      <c r="E312" s="11" t="s">
        <v>51</v>
      </c>
      <c r="F312" s="10">
        <v>6982.5</v>
      </c>
      <c r="G312" s="10">
        <v>0</v>
      </c>
      <c r="H312" s="10">
        <f t="shared" si="4"/>
        <v>6982.5</v>
      </c>
      <c r="I312" s="10"/>
      <c r="J312" s="10"/>
      <c r="K312" s="10"/>
      <c r="L312" s="4" t="s">
        <v>52</v>
      </c>
      <c r="M312" s="4">
        <v>307</v>
      </c>
    </row>
    <row r="313" spans="1:13" x14ac:dyDescent="0.25">
      <c r="A313" s="4" t="s">
        <v>351</v>
      </c>
      <c r="B313" s="4" t="s">
        <v>128</v>
      </c>
      <c r="C313" s="9" t="s">
        <v>50</v>
      </c>
      <c r="D313" s="10">
        <v>251</v>
      </c>
      <c r="E313" s="11" t="s">
        <v>51</v>
      </c>
      <c r="F313" s="10">
        <v>3372.5</v>
      </c>
      <c r="G313" s="10">
        <v>0</v>
      </c>
      <c r="H313" s="10">
        <f t="shared" si="4"/>
        <v>3372.5</v>
      </c>
      <c r="I313" s="10"/>
      <c r="J313" s="10"/>
      <c r="K313" s="10"/>
      <c r="L313" s="4" t="s">
        <v>52</v>
      </c>
      <c r="M313" s="4">
        <v>308</v>
      </c>
    </row>
    <row r="314" spans="1:13" x14ac:dyDescent="0.25">
      <c r="A314" s="4" t="s">
        <v>352</v>
      </c>
      <c r="B314" s="4" t="s">
        <v>106</v>
      </c>
      <c r="C314" s="9" t="s">
        <v>50</v>
      </c>
      <c r="D314" s="10">
        <v>100</v>
      </c>
      <c r="E314" s="11" t="s">
        <v>51</v>
      </c>
      <c r="F314" s="10">
        <v>8500</v>
      </c>
      <c r="G314" s="10">
        <v>0</v>
      </c>
      <c r="H314" s="10">
        <f t="shared" si="4"/>
        <v>8500</v>
      </c>
      <c r="I314" s="10"/>
      <c r="J314" s="10"/>
      <c r="K314" s="10"/>
      <c r="L314" s="4" t="s">
        <v>52</v>
      </c>
      <c r="M314" s="4">
        <v>309</v>
      </c>
    </row>
    <row r="315" spans="1:13" x14ac:dyDescent="0.25">
      <c r="A315" s="4" t="s">
        <v>352</v>
      </c>
      <c r="B315" s="4" t="s">
        <v>107</v>
      </c>
      <c r="C315" s="9" t="s">
        <v>50</v>
      </c>
      <c r="D315" s="10">
        <v>265</v>
      </c>
      <c r="E315" s="11" t="s">
        <v>51</v>
      </c>
      <c r="F315" s="10">
        <v>8500</v>
      </c>
      <c r="G315" s="10">
        <v>0</v>
      </c>
      <c r="H315" s="10">
        <f t="shared" si="4"/>
        <v>8500</v>
      </c>
      <c r="I315" s="10"/>
      <c r="J315" s="10"/>
      <c r="K315" s="10"/>
      <c r="L315" s="4" t="s">
        <v>52</v>
      </c>
      <c r="M315" s="4">
        <v>310</v>
      </c>
    </row>
    <row r="316" spans="1:13" x14ac:dyDescent="0.25">
      <c r="A316" s="4" t="s">
        <v>353</v>
      </c>
      <c r="B316" s="4" t="s">
        <v>128</v>
      </c>
      <c r="C316" s="9" t="s">
        <v>50</v>
      </c>
      <c r="D316" s="10">
        <v>225</v>
      </c>
      <c r="E316" s="11" t="s">
        <v>51</v>
      </c>
      <c r="F316" s="10">
        <v>11200</v>
      </c>
      <c r="G316" s="10">
        <v>0</v>
      </c>
      <c r="H316" s="10">
        <f t="shared" si="4"/>
        <v>11200</v>
      </c>
      <c r="I316" s="10"/>
      <c r="J316" s="10"/>
      <c r="K316" s="10"/>
      <c r="L316" s="4" t="s">
        <v>52</v>
      </c>
      <c r="M316" s="4">
        <v>311</v>
      </c>
    </row>
    <row r="317" spans="1:13" x14ac:dyDescent="0.25">
      <c r="A317" s="4" t="s">
        <v>354</v>
      </c>
      <c r="B317" s="4" t="s">
        <v>355</v>
      </c>
      <c r="C317" s="9" t="s">
        <v>50</v>
      </c>
      <c r="D317" s="10">
        <v>108</v>
      </c>
      <c r="E317" s="11" t="s">
        <v>51</v>
      </c>
      <c r="F317" s="10">
        <v>5700</v>
      </c>
      <c r="G317" s="10">
        <v>0</v>
      </c>
      <c r="H317" s="10">
        <f t="shared" si="4"/>
        <v>5700</v>
      </c>
      <c r="I317" s="10"/>
      <c r="J317" s="10"/>
      <c r="K317" s="10"/>
      <c r="L317" s="4" t="s">
        <v>52</v>
      </c>
      <c r="M317" s="4">
        <v>312</v>
      </c>
    </row>
    <row r="318" spans="1:13" x14ac:dyDescent="0.25">
      <c r="A318" s="4" t="s">
        <v>356</v>
      </c>
      <c r="B318" s="4" t="s">
        <v>128</v>
      </c>
      <c r="C318" s="9" t="s">
        <v>50</v>
      </c>
      <c r="D318" s="10">
        <v>96</v>
      </c>
      <c r="E318" s="11" t="s">
        <v>51</v>
      </c>
      <c r="F318" s="10">
        <v>3840</v>
      </c>
      <c r="G318" s="10">
        <v>0</v>
      </c>
      <c r="H318" s="10">
        <f t="shared" si="4"/>
        <v>3840</v>
      </c>
      <c r="I318" s="10"/>
      <c r="J318" s="10"/>
      <c r="K318" s="10"/>
      <c r="L318" s="4" t="s">
        <v>52</v>
      </c>
      <c r="M318" s="4">
        <v>313</v>
      </c>
    </row>
    <row r="319" spans="1:13" x14ac:dyDescent="0.25">
      <c r="A319" s="4" t="s">
        <v>357</v>
      </c>
      <c r="B319" s="4" t="s">
        <v>358</v>
      </c>
      <c r="C319" s="4" t="s">
        <v>65</v>
      </c>
      <c r="D319" s="10">
        <v>64</v>
      </c>
      <c r="E319" s="12" t="s">
        <v>66</v>
      </c>
      <c r="F319" s="10">
        <v>3840</v>
      </c>
      <c r="G319" s="10">
        <v>0</v>
      </c>
      <c r="H319" s="10">
        <f t="shared" si="4"/>
        <v>3840</v>
      </c>
      <c r="I319" s="10">
        <v>80</v>
      </c>
      <c r="J319" s="10">
        <v>80</v>
      </c>
      <c r="K319" s="10">
        <v>80</v>
      </c>
      <c r="L319" s="4"/>
      <c r="M319" s="4">
        <v>314</v>
      </c>
    </row>
    <row r="320" spans="1:13" x14ac:dyDescent="0.25">
      <c r="A320" s="4" t="s">
        <v>359</v>
      </c>
      <c r="B320" s="4" t="s">
        <v>360</v>
      </c>
      <c r="C320" s="4" t="s">
        <v>68</v>
      </c>
      <c r="D320" s="10">
        <v>102</v>
      </c>
      <c r="E320" s="11" t="s">
        <v>51</v>
      </c>
      <c r="F320" s="10">
        <v>1920</v>
      </c>
      <c r="G320" s="10">
        <v>0</v>
      </c>
      <c r="H320" s="10">
        <f t="shared" si="4"/>
        <v>1920</v>
      </c>
      <c r="I320" s="10"/>
      <c r="J320" s="10"/>
      <c r="K320" s="10"/>
      <c r="L320" s="4" t="s">
        <v>69</v>
      </c>
      <c r="M320" s="4">
        <v>315</v>
      </c>
    </row>
    <row r="321" spans="1:13" x14ac:dyDescent="0.25">
      <c r="A321" s="4" t="s">
        <v>361</v>
      </c>
      <c r="B321" s="4" t="s">
        <v>362</v>
      </c>
      <c r="C321" s="9" t="s">
        <v>50</v>
      </c>
      <c r="D321" s="10">
        <v>26</v>
      </c>
      <c r="E321" s="11" t="s">
        <v>51</v>
      </c>
      <c r="F321" s="10">
        <v>2470</v>
      </c>
      <c r="G321" s="10">
        <v>0</v>
      </c>
      <c r="H321" s="10">
        <f t="shared" si="4"/>
        <v>2470</v>
      </c>
      <c r="I321" s="10"/>
      <c r="J321" s="10"/>
      <c r="K321" s="10"/>
      <c r="L321" s="4" t="s">
        <v>52</v>
      </c>
      <c r="M321" s="4">
        <v>316</v>
      </c>
    </row>
    <row r="322" spans="1:13" x14ac:dyDescent="0.25">
      <c r="A322" s="4" t="s">
        <v>361</v>
      </c>
      <c r="B322" s="4" t="s">
        <v>363</v>
      </c>
      <c r="C322" s="9" t="s">
        <v>50</v>
      </c>
      <c r="D322" s="10">
        <v>60</v>
      </c>
      <c r="E322" s="11" t="s">
        <v>51</v>
      </c>
      <c r="F322" s="10">
        <v>3300</v>
      </c>
      <c r="G322" s="10">
        <v>0</v>
      </c>
      <c r="H322" s="10">
        <f t="shared" si="4"/>
        <v>3300</v>
      </c>
      <c r="I322" s="10"/>
      <c r="J322" s="10"/>
      <c r="K322" s="10"/>
      <c r="L322" s="4" t="s">
        <v>52</v>
      </c>
      <c r="M322" s="4">
        <v>317</v>
      </c>
    </row>
    <row r="323" spans="1:13" x14ac:dyDescent="0.25">
      <c r="A323" s="4" t="s">
        <v>364</v>
      </c>
      <c r="B323" s="4" t="s">
        <v>270</v>
      </c>
      <c r="C323" s="9" t="s">
        <v>50</v>
      </c>
      <c r="D323" s="10"/>
      <c r="E323" s="11" t="s">
        <v>51</v>
      </c>
      <c r="F323" s="10"/>
      <c r="G323" s="10">
        <v>0</v>
      </c>
      <c r="H323" s="10">
        <f t="shared" si="4"/>
        <v>0</v>
      </c>
      <c r="I323" s="10"/>
      <c r="J323" s="10"/>
      <c r="K323" s="10"/>
      <c r="L323" s="4" t="s">
        <v>52</v>
      </c>
      <c r="M323" s="4">
        <v>318</v>
      </c>
    </row>
    <row r="324" spans="1:13" x14ac:dyDescent="0.25">
      <c r="A324" s="4" t="s">
        <v>364</v>
      </c>
      <c r="B324" s="4" t="s">
        <v>136</v>
      </c>
      <c r="C324" s="9" t="s">
        <v>50</v>
      </c>
      <c r="D324" s="10"/>
      <c r="E324" s="11" t="s">
        <v>51</v>
      </c>
      <c r="F324" s="10"/>
      <c r="G324" s="10">
        <v>0</v>
      </c>
      <c r="H324" s="10">
        <f t="shared" si="4"/>
        <v>0</v>
      </c>
      <c r="I324" s="10"/>
      <c r="J324" s="10"/>
      <c r="K324" s="10"/>
      <c r="L324" s="4" t="s">
        <v>52</v>
      </c>
      <c r="M324" s="4">
        <v>319</v>
      </c>
    </row>
    <row r="325" spans="1:13" x14ac:dyDescent="0.25">
      <c r="A325" s="4" t="s">
        <v>364</v>
      </c>
      <c r="B325" s="4" t="s">
        <v>82</v>
      </c>
      <c r="C325" s="9" t="s">
        <v>50</v>
      </c>
      <c r="D325" s="10"/>
      <c r="E325" s="11" t="s">
        <v>51</v>
      </c>
      <c r="F325" s="10"/>
      <c r="G325" s="10">
        <v>0</v>
      </c>
      <c r="H325" s="10">
        <f t="shared" si="4"/>
        <v>0</v>
      </c>
      <c r="I325" s="10"/>
      <c r="J325" s="10"/>
      <c r="K325" s="10"/>
      <c r="L325" s="4" t="s">
        <v>52</v>
      </c>
      <c r="M325" s="4">
        <v>320</v>
      </c>
    </row>
    <row r="326" spans="1:13" x14ac:dyDescent="0.25">
      <c r="A326" s="4" t="s">
        <v>364</v>
      </c>
      <c r="B326" s="4" t="s">
        <v>88</v>
      </c>
      <c r="C326" s="9" t="s">
        <v>50</v>
      </c>
      <c r="D326" s="10"/>
      <c r="E326" s="11" t="s">
        <v>51</v>
      </c>
      <c r="F326" s="10"/>
      <c r="G326" s="10">
        <v>0</v>
      </c>
      <c r="H326" s="10">
        <f t="shared" ref="H326:H389" si="5">F326-G326</f>
        <v>0</v>
      </c>
      <c r="I326" s="10"/>
      <c r="J326" s="10"/>
      <c r="K326" s="10"/>
      <c r="L326" s="4" t="s">
        <v>52</v>
      </c>
      <c r="M326" s="4">
        <v>321</v>
      </c>
    </row>
    <row r="327" spans="1:13" x14ac:dyDescent="0.25">
      <c r="A327" s="4" t="s">
        <v>364</v>
      </c>
      <c r="B327" s="4" t="s">
        <v>137</v>
      </c>
      <c r="C327" s="9" t="s">
        <v>50</v>
      </c>
      <c r="D327" s="10"/>
      <c r="E327" s="11" t="s">
        <v>51</v>
      </c>
      <c r="F327" s="10"/>
      <c r="G327" s="10">
        <v>0</v>
      </c>
      <c r="H327" s="10">
        <f t="shared" si="5"/>
        <v>0</v>
      </c>
      <c r="I327" s="10"/>
      <c r="J327" s="10"/>
      <c r="K327" s="10"/>
      <c r="L327" s="4" t="s">
        <v>52</v>
      </c>
      <c r="M327" s="4">
        <v>322</v>
      </c>
    </row>
    <row r="328" spans="1:13" x14ac:dyDescent="0.25">
      <c r="A328" s="4" t="s">
        <v>364</v>
      </c>
      <c r="B328" s="4" t="s">
        <v>106</v>
      </c>
      <c r="C328" s="9" t="s">
        <v>50</v>
      </c>
      <c r="D328" s="10"/>
      <c r="E328" s="11" t="s">
        <v>51</v>
      </c>
      <c r="F328" s="10"/>
      <c r="G328" s="10">
        <v>0</v>
      </c>
      <c r="H328" s="10">
        <f t="shared" si="5"/>
        <v>0</v>
      </c>
      <c r="I328" s="10"/>
      <c r="J328" s="10"/>
      <c r="K328" s="10"/>
      <c r="L328" s="4" t="s">
        <v>52</v>
      </c>
      <c r="M328" s="4">
        <v>323</v>
      </c>
    </row>
    <row r="329" spans="1:13" x14ac:dyDescent="0.25">
      <c r="A329" s="4" t="s">
        <v>364</v>
      </c>
      <c r="B329" s="4" t="s">
        <v>271</v>
      </c>
      <c r="C329" s="9" t="s">
        <v>50</v>
      </c>
      <c r="D329" s="10"/>
      <c r="E329" s="11" t="s">
        <v>51</v>
      </c>
      <c r="F329" s="10"/>
      <c r="G329" s="10">
        <v>0</v>
      </c>
      <c r="H329" s="10">
        <f t="shared" si="5"/>
        <v>0</v>
      </c>
      <c r="I329" s="10"/>
      <c r="J329" s="10"/>
      <c r="K329" s="10"/>
      <c r="L329" s="4" t="s">
        <v>52</v>
      </c>
      <c r="M329" s="4">
        <v>324</v>
      </c>
    </row>
    <row r="330" spans="1:13" x14ac:dyDescent="0.25">
      <c r="A330" s="4" t="s">
        <v>364</v>
      </c>
      <c r="B330" s="4" t="s">
        <v>272</v>
      </c>
      <c r="C330" s="9" t="s">
        <v>50</v>
      </c>
      <c r="D330" s="10"/>
      <c r="E330" s="11" t="s">
        <v>51</v>
      </c>
      <c r="F330" s="10"/>
      <c r="G330" s="10">
        <v>0</v>
      </c>
      <c r="H330" s="10">
        <f t="shared" si="5"/>
        <v>0</v>
      </c>
      <c r="I330" s="10"/>
      <c r="J330" s="10"/>
      <c r="K330" s="10"/>
      <c r="L330" s="4" t="s">
        <v>52</v>
      </c>
      <c r="M330" s="4">
        <v>325</v>
      </c>
    </row>
    <row r="331" spans="1:13" x14ac:dyDescent="0.25">
      <c r="A331" s="4" t="s">
        <v>364</v>
      </c>
      <c r="B331" s="4" t="s">
        <v>107</v>
      </c>
      <c r="C331" s="9" t="s">
        <v>50</v>
      </c>
      <c r="D331" s="10"/>
      <c r="E331" s="11" t="s">
        <v>51</v>
      </c>
      <c r="F331" s="10"/>
      <c r="G331" s="10">
        <v>0</v>
      </c>
      <c r="H331" s="10">
        <f t="shared" si="5"/>
        <v>0</v>
      </c>
      <c r="I331" s="10"/>
      <c r="J331" s="10"/>
      <c r="K331" s="10"/>
      <c r="L331" s="4" t="s">
        <v>52</v>
      </c>
      <c r="M331" s="4">
        <v>326</v>
      </c>
    </row>
    <row r="332" spans="1:13" x14ac:dyDescent="0.25">
      <c r="A332" s="4" t="s">
        <v>364</v>
      </c>
      <c r="B332" s="4" t="s">
        <v>128</v>
      </c>
      <c r="C332" s="9" t="s">
        <v>50</v>
      </c>
      <c r="D332" s="10">
        <v>148.5</v>
      </c>
      <c r="E332" s="11" t="s">
        <v>51</v>
      </c>
      <c r="F332" s="10"/>
      <c r="G332" s="10">
        <v>0</v>
      </c>
      <c r="H332" s="10">
        <f t="shared" si="5"/>
        <v>0</v>
      </c>
      <c r="I332" s="10"/>
      <c r="J332" s="10"/>
      <c r="K332" s="10"/>
      <c r="L332" s="4" t="s">
        <v>52</v>
      </c>
      <c r="M332" s="4">
        <v>327</v>
      </c>
    </row>
    <row r="333" spans="1:13" x14ac:dyDescent="0.25">
      <c r="A333" s="4" t="s">
        <v>365</v>
      </c>
      <c r="B333" s="4" t="s">
        <v>270</v>
      </c>
      <c r="C333" s="9" t="s">
        <v>50</v>
      </c>
      <c r="D333" s="10">
        <v>148.5</v>
      </c>
      <c r="E333" s="11" t="s">
        <v>51</v>
      </c>
      <c r="F333" s="10"/>
      <c r="G333" s="10">
        <v>0</v>
      </c>
      <c r="H333" s="10">
        <f t="shared" si="5"/>
        <v>0</v>
      </c>
      <c r="I333" s="10"/>
      <c r="J333" s="10"/>
      <c r="K333" s="10"/>
      <c r="L333" s="4" t="s">
        <v>52</v>
      </c>
      <c r="M333" s="4">
        <v>328</v>
      </c>
    </row>
    <row r="334" spans="1:13" x14ac:dyDescent="0.25">
      <c r="A334" s="4" t="s">
        <v>365</v>
      </c>
      <c r="B334" s="4" t="s">
        <v>136</v>
      </c>
      <c r="C334" s="9" t="s">
        <v>50</v>
      </c>
      <c r="D334" s="10"/>
      <c r="E334" s="11" t="s">
        <v>51</v>
      </c>
      <c r="F334" s="10"/>
      <c r="G334" s="10">
        <v>0</v>
      </c>
      <c r="H334" s="10">
        <f t="shared" si="5"/>
        <v>0</v>
      </c>
      <c r="I334" s="10"/>
      <c r="J334" s="10"/>
      <c r="K334" s="10"/>
      <c r="L334" s="4" t="s">
        <v>52</v>
      </c>
      <c r="M334" s="4">
        <v>329</v>
      </c>
    </row>
    <row r="335" spans="1:13" x14ac:dyDescent="0.25">
      <c r="A335" s="4" t="s">
        <v>365</v>
      </c>
      <c r="B335" s="4" t="s">
        <v>82</v>
      </c>
      <c r="C335" s="9" t="s">
        <v>50</v>
      </c>
      <c r="D335" s="10"/>
      <c r="E335" s="11" t="s">
        <v>51</v>
      </c>
      <c r="F335" s="10"/>
      <c r="G335" s="10">
        <v>0</v>
      </c>
      <c r="H335" s="10">
        <f t="shared" si="5"/>
        <v>0</v>
      </c>
      <c r="I335" s="10"/>
      <c r="J335" s="10"/>
      <c r="K335" s="10"/>
      <c r="L335" s="4" t="s">
        <v>52</v>
      </c>
      <c r="M335" s="4">
        <v>330</v>
      </c>
    </row>
    <row r="336" spans="1:13" x14ac:dyDescent="0.25">
      <c r="A336" s="4" t="s">
        <v>365</v>
      </c>
      <c r="B336" s="4" t="s">
        <v>88</v>
      </c>
      <c r="C336" s="9" t="s">
        <v>50</v>
      </c>
      <c r="D336" s="10"/>
      <c r="E336" s="11" t="s">
        <v>51</v>
      </c>
      <c r="F336" s="10"/>
      <c r="G336" s="10">
        <v>0</v>
      </c>
      <c r="H336" s="10">
        <f t="shared" si="5"/>
        <v>0</v>
      </c>
      <c r="I336" s="10"/>
      <c r="J336" s="10"/>
      <c r="K336" s="10"/>
      <c r="L336" s="4" t="s">
        <v>52</v>
      </c>
      <c r="M336" s="4">
        <v>331</v>
      </c>
    </row>
    <row r="337" spans="1:13" x14ac:dyDescent="0.25">
      <c r="A337" s="4" t="s">
        <v>365</v>
      </c>
      <c r="B337" s="4" t="s">
        <v>137</v>
      </c>
      <c r="C337" s="9" t="s">
        <v>50</v>
      </c>
      <c r="D337" s="10"/>
      <c r="E337" s="11" t="s">
        <v>51</v>
      </c>
      <c r="F337" s="10"/>
      <c r="G337" s="10">
        <v>0</v>
      </c>
      <c r="H337" s="10">
        <f t="shared" si="5"/>
        <v>0</v>
      </c>
      <c r="I337" s="10"/>
      <c r="J337" s="10"/>
      <c r="K337" s="10"/>
      <c r="L337" s="4" t="s">
        <v>52</v>
      </c>
      <c r="M337" s="4">
        <v>332</v>
      </c>
    </row>
    <row r="338" spans="1:13" x14ac:dyDescent="0.25">
      <c r="A338" s="4" t="s">
        <v>365</v>
      </c>
      <c r="B338" s="4" t="s">
        <v>106</v>
      </c>
      <c r="C338" s="9" t="s">
        <v>50</v>
      </c>
      <c r="D338" s="10"/>
      <c r="E338" s="11" t="s">
        <v>51</v>
      </c>
      <c r="F338" s="10"/>
      <c r="G338" s="10">
        <v>0</v>
      </c>
      <c r="H338" s="10">
        <f t="shared" si="5"/>
        <v>0</v>
      </c>
      <c r="I338" s="10"/>
      <c r="J338" s="10"/>
      <c r="K338" s="10"/>
      <c r="L338" s="4" t="s">
        <v>52</v>
      </c>
      <c r="M338" s="4">
        <v>333</v>
      </c>
    </row>
    <row r="339" spans="1:13" x14ac:dyDescent="0.25">
      <c r="A339" s="4" t="s">
        <v>365</v>
      </c>
      <c r="B339" s="4" t="s">
        <v>271</v>
      </c>
      <c r="C339" s="9" t="s">
        <v>50</v>
      </c>
      <c r="D339" s="10"/>
      <c r="E339" s="11" t="s">
        <v>51</v>
      </c>
      <c r="F339" s="10"/>
      <c r="G339" s="10">
        <v>0</v>
      </c>
      <c r="H339" s="10">
        <f t="shared" si="5"/>
        <v>0</v>
      </c>
      <c r="I339" s="10"/>
      <c r="J339" s="10"/>
      <c r="K339" s="10"/>
      <c r="L339" s="4" t="s">
        <v>52</v>
      </c>
      <c r="M339" s="4">
        <v>334</v>
      </c>
    </row>
    <row r="340" spans="1:13" x14ac:dyDescent="0.25">
      <c r="A340" s="4" t="s">
        <v>365</v>
      </c>
      <c r="B340" s="4" t="s">
        <v>272</v>
      </c>
      <c r="C340" s="9" t="s">
        <v>50</v>
      </c>
      <c r="D340" s="10"/>
      <c r="E340" s="11" t="s">
        <v>51</v>
      </c>
      <c r="F340" s="10"/>
      <c r="G340" s="10">
        <v>0</v>
      </c>
      <c r="H340" s="10">
        <f t="shared" si="5"/>
        <v>0</v>
      </c>
      <c r="I340" s="10"/>
      <c r="J340" s="10"/>
      <c r="K340" s="10"/>
      <c r="L340" s="4" t="s">
        <v>52</v>
      </c>
      <c r="M340" s="4">
        <v>335</v>
      </c>
    </row>
    <row r="341" spans="1:13" x14ac:dyDescent="0.25">
      <c r="A341" s="4" t="s">
        <v>365</v>
      </c>
      <c r="B341" s="4" t="s">
        <v>107</v>
      </c>
      <c r="C341" s="9" t="s">
        <v>50</v>
      </c>
      <c r="D341" s="10"/>
      <c r="E341" s="11" t="s">
        <v>51</v>
      </c>
      <c r="F341" s="10"/>
      <c r="G341" s="10">
        <v>0</v>
      </c>
      <c r="H341" s="10">
        <f t="shared" si="5"/>
        <v>0</v>
      </c>
      <c r="I341" s="10"/>
      <c r="J341" s="10"/>
      <c r="K341" s="10"/>
      <c r="L341" s="4" t="s">
        <v>52</v>
      </c>
      <c r="M341" s="4">
        <v>336</v>
      </c>
    </row>
    <row r="342" spans="1:13" x14ac:dyDescent="0.25">
      <c r="A342" s="4" t="s">
        <v>365</v>
      </c>
      <c r="B342" s="4" t="s">
        <v>128</v>
      </c>
      <c r="C342" s="9" t="s">
        <v>50</v>
      </c>
      <c r="D342" s="10">
        <v>58</v>
      </c>
      <c r="E342" s="11" t="s">
        <v>51</v>
      </c>
      <c r="F342" s="10"/>
      <c r="G342" s="10">
        <v>0</v>
      </c>
      <c r="H342" s="10">
        <f t="shared" si="5"/>
        <v>0</v>
      </c>
      <c r="I342" s="10"/>
      <c r="J342" s="10"/>
      <c r="K342" s="10"/>
      <c r="L342" s="4" t="s">
        <v>52</v>
      </c>
      <c r="M342" s="4">
        <v>337</v>
      </c>
    </row>
    <row r="343" spans="1:13" x14ac:dyDescent="0.25">
      <c r="A343" s="4" t="s">
        <v>366</v>
      </c>
      <c r="B343" s="4" t="s">
        <v>367</v>
      </c>
      <c r="C343" s="4" t="s">
        <v>68</v>
      </c>
      <c r="D343" s="10">
        <v>16</v>
      </c>
      <c r="E343" s="11" t="s">
        <v>51</v>
      </c>
      <c r="F343" s="10">
        <v>1472</v>
      </c>
      <c r="G343" s="10">
        <v>0</v>
      </c>
      <c r="H343" s="10">
        <f t="shared" si="5"/>
        <v>1472</v>
      </c>
      <c r="I343" s="10"/>
      <c r="J343" s="10"/>
      <c r="K343" s="10"/>
      <c r="L343" s="4" t="s">
        <v>69</v>
      </c>
      <c r="M343" s="4">
        <v>338</v>
      </c>
    </row>
    <row r="344" spans="1:13" x14ac:dyDescent="0.25">
      <c r="A344" s="4" t="s">
        <v>366</v>
      </c>
      <c r="B344" s="4" t="s">
        <v>368</v>
      </c>
      <c r="C344" s="4" t="s">
        <v>68</v>
      </c>
      <c r="D344" s="10">
        <v>12</v>
      </c>
      <c r="E344" s="11" t="s">
        <v>51</v>
      </c>
      <c r="F344" s="10">
        <v>780</v>
      </c>
      <c r="G344" s="10">
        <v>0</v>
      </c>
      <c r="H344" s="10">
        <f t="shared" si="5"/>
        <v>780</v>
      </c>
      <c r="I344" s="10"/>
      <c r="J344" s="10"/>
      <c r="K344" s="10"/>
      <c r="L344" s="4" t="s">
        <v>69</v>
      </c>
      <c r="M344" s="4">
        <v>339</v>
      </c>
    </row>
    <row r="345" spans="1:13" x14ac:dyDescent="0.25">
      <c r="A345" s="4" t="s">
        <v>366</v>
      </c>
      <c r="B345" s="4" t="s">
        <v>369</v>
      </c>
      <c r="C345" s="4" t="s">
        <v>68</v>
      </c>
      <c r="D345" s="10">
        <v>342</v>
      </c>
      <c r="E345" s="11" t="s">
        <v>51</v>
      </c>
      <c r="F345" s="10">
        <v>2760</v>
      </c>
      <c r="G345" s="10">
        <v>0</v>
      </c>
      <c r="H345" s="10">
        <f t="shared" si="5"/>
        <v>2760</v>
      </c>
      <c r="I345" s="10"/>
      <c r="J345" s="10"/>
      <c r="K345" s="10"/>
      <c r="L345" s="4" t="s">
        <v>69</v>
      </c>
      <c r="M345" s="4">
        <v>340</v>
      </c>
    </row>
    <row r="346" spans="1:13" x14ac:dyDescent="0.25">
      <c r="A346" s="4" t="s">
        <v>370</v>
      </c>
      <c r="B346" s="4" t="s">
        <v>106</v>
      </c>
      <c r="C346" s="9" t="s">
        <v>50</v>
      </c>
      <c r="D346" s="10">
        <v>50</v>
      </c>
      <c r="E346" s="11" t="s">
        <v>51</v>
      </c>
      <c r="F346" s="10">
        <v>8550</v>
      </c>
      <c r="G346" s="10">
        <v>0</v>
      </c>
      <c r="H346" s="10">
        <f t="shared" si="5"/>
        <v>8550</v>
      </c>
      <c r="I346" s="10"/>
      <c r="J346" s="10"/>
      <c r="K346" s="10"/>
      <c r="L346" s="4" t="s">
        <v>52</v>
      </c>
      <c r="M346" s="4">
        <v>341</v>
      </c>
    </row>
    <row r="347" spans="1:13" x14ac:dyDescent="0.25">
      <c r="A347" s="4" t="s">
        <v>370</v>
      </c>
      <c r="B347" s="4" t="s">
        <v>107</v>
      </c>
      <c r="C347" s="9" t="s">
        <v>50</v>
      </c>
      <c r="D347" s="10">
        <v>238</v>
      </c>
      <c r="E347" s="11" t="s">
        <v>51</v>
      </c>
      <c r="F347" s="10">
        <v>26291.25</v>
      </c>
      <c r="G347" s="10">
        <v>0</v>
      </c>
      <c r="H347" s="10">
        <f t="shared" si="5"/>
        <v>26291.25</v>
      </c>
      <c r="I347" s="10"/>
      <c r="J347" s="10"/>
      <c r="K347" s="10"/>
      <c r="L347" s="4" t="s">
        <v>52</v>
      </c>
      <c r="M347" s="4">
        <v>342</v>
      </c>
    </row>
    <row r="348" spans="1:13" x14ac:dyDescent="0.25">
      <c r="A348" s="4" t="s">
        <v>370</v>
      </c>
      <c r="B348" s="4" t="s">
        <v>134</v>
      </c>
      <c r="C348" s="9" t="s">
        <v>50</v>
      </c>
      <c r="D348" s="10">
        <v>53</v>
      </c>
      <c r="E348" s="11" t="s">
        <v>51</v>
      </c>
      <c r="F348" s="10">
        <v>3287.5</v>
      </c>
      <c r="G348" s="10">
        <v>0</v>
      </c>
      <c r="H348" s="10">
        <f t="shared" si="5"/>
        <v>3287.5</v>
      </c>
      <c r="I348" s="10"/>
      <c r="J348" s="10"/>
      <c r="K348" s="10"/>
      <c r="L348" s="4" t="s">
        <v>52</v>
      </c>
      <c r="M348" s="4">
        <v>343</v>
      </c>
    </row>
    <row r="349" spans="1:13" x14ac:dyDescent="0.25">
      <c r="A349" s="4" t="s">
        <v>371</v>
      </c>
      <c r="B349" s="4" t="s">
        <v>372</v>
      </c>
      <c r="C349" s="4" t="s">
        <v>65</v>
      </c>
      <c r="D349" s="10">
        <v>28</v>
      </c>
      <c r="E349" s="12" t="s">
        <v>66</v>
      </c>
      <c r="F349" s="10">
        <v>2300</v>
      </c>
      <c r="G349" s="10">
        <v>0</v>
      </c>
      <c r="H349" s="10">
        <f t="shared" si="5"/>
        <v>2300</v>
      </c>
      <c r="I349" s="10">
        <v>82.142857142857139</v>
      </c>
      <c r="J349" s="10">
        <v>82.142857142857139</v>
      </c>
      <c r="K349" s="10">
        <v>82.142857142857139</v>
      </c>
      <c r="L349" s="4"/>
      <c r="M349" s="4">
        <v>344</v>
      </c>
    </row>
    <row r="350" spans="1:13" x14ac:dyDescent="0.25">
      <c r="A350" s="4" t="s">
        <v>371</v>
      </c>
      <c r="B350" s="4" t="s">
        <v>373</v>
      </c>
      <c r="C350" s="4" t="s">
        <v>65</v>
      </c>
      <c r="D350" s="10"/>
      <c r="E350" s="11" t="s">
        <v>51</v>
      </c>
      <c r="F350" s="10">
        <v>150</v>
      </c>
      <c r="G350" s="10">
        <v>0</v>
      </c>
      <c r="H350" s="10">
        <f t="shared" si="5"/>
        <v>150</v>
      </c>
      <c r="I350" s="10"/>
      <c r="J350" s="10"/>
      <c r="K350" s="10"/>
      <c r="L350" s="4" t="s">
        <v>69</v>
      </c>
      <c r="M350" s="4">
        <v>345</v>
      </c>
    </row>
    <row r="351" spans="1:13" x14ac:dyDescent="0.25">
      <c r="A351" s="4" t="s">
        <v>371</v>
      </c>
      <c r="B351" s="4" t="s">
        <v>97</v>
      </c>
      <c r="C351" s="9" t="s">
        <v>50</v>
      </c>
      <c r="D351" s="10">
        <v>48</v>
      </c>
      <c r="E351" s="11" t="s">
        <v>51</v>
      </c>
      <c r="F351" s="10"/>
      <c r="G351" s="10">
        <v>0</v>
      </c>
      <c r="H351" s="10">
        <f t="shared" si="5"/>
        <v>0</v>
      </c>
      <c r="I351" s="10"/>
      <c r="J351" s="10"/>
      <c r="K351" s="10"/>
      <c r="L351" s="4" t="s">
        <v>52</v>
      </c>
      <c r="M351" s="4">
        <v>346</v>
      </c>
    </row>
    <row r="352" spans="1:13" x14ac:dyDescent="0.25">
      <c r="A352" s="4" t="s">
        <v>374</v>
      </c>
      <c r="B352" s="4" t="s">
        <v>375</v>
      </c>
      <c r="C352" s="4" t="s">
        <v>68</v>
      </c>
      <c r="D352" s="10">
        <v>24</v>
      </c>
      <c r="E352" s="11" t="s">
        <v>51</v>
      </c>
      <c r="F352" s="10">
        <v>2280</v>
      </c>
      <c r="G352" s="10">
        <v>0</v>
      </c>
      <c r="H352" s="10">
        <f t="shared" si="5"/>
        <v>2280</v>
      </c>
      <c r="I352" s="10"/>
      <c r="J352" s="10"/>
      <c r="K352" s="10"/>
      <c r="L352" s="4" t="s">
        <v>69</v>
      </c>
      <c r="M352" s="4">
        <v>347</v>
      </c>
    </row>
    <row r="353" spans="1:13" x14ac:dyDescent="0.25">
      <c r="A353" s="4" t="s">
        <v>374</v>
      </c>
      <c r="B353" s="4" t="s">
        <v>376</v>
      </c>
      <c r="C353" s="4" t="s">
        <v>68</v>
      </c>
      <c r="D353" s="10">
        <v>264</v>
      </c>
      <c r="E353" s="11" t="s">
        <v>51</v>
      </c>
      <c r="F353" s="10">
        <v>2280</v>
      </c>
      <c r="G353" s="10">
        <v>0</v>
      </c>
      <c r="H353" s="10">
        <f t="shared" si="5"/>
        <v>2280</v>
      </c>
      <c r="I353" s="10"/>
      <c r="J353" s="10"/>
      <c r="K353" s="10"/>
      <c r="L353" s="4" t="s">
        <v>69</v>
      </c>
      <c r="M353" s="4">
        <v>348</v>
      </c>
    </row>
    <row r="354" spans="1:13" x14ac:dyDescent="0.25">
      <c r="A354" s="4" t="s">
        <v>377</v>
      </c>
      <c r="B354" s="4" t="s">
        <v>378</v>
      </c>
      <c r="C354" s="4" t="s">
        <v>65</v>
      </c>
      <c r="D354" s="10">
        <v>80</v>
      </c>
      <c r="E354" s="12" t="s">
        <v>66</v>
      </c>
      <c r="F354" s="10">
        <v>8900</v>
      </c>
      <c r="G354" s="10">
        <v>0</v>
      </c>
      <c r="H354" s="10">
        <f t="shared" si="5"/>
        <v>8900</v>
      </c>
      <c r="I354" s="10">
        <v>111.25</v>
      </c>
      <c r="J354" s="10">
        <v>111.25</v>
      </c>
      <c r="K354" s="10">
        <v>111.25</v>
      </c>
      <c r="L354" s="4"/>
      <c r="M354" s="4">
        <v>349</v>
      </c>
    </row>
    <row r="355" spans="1:13" x14ac:dyDescent="0.25">
      <c r="A355" s="4" t="s">
        <v>377</v>
      </c>
      <c r="B355" s="4" t="s">
        <v>379</v>
      </c>
      <c r="C355" s="4" t="s">
        <v>68</v>
      </c>
      <c r="D355" s="10">
        <v>120</v>
      </c>
      <c r="E355" s="11" t="s">
        <v>51</v>
      </c>
      <c r="F355" s="10">
        <v>12600</v>
      </c>
      <c r="G355" s="10">
        <v>0</v>
      </c>
      <c r="H355" s="10">
        <f t="shared" si="5"/>
        <v>12600</v>
      </c>
      <c r="I355" s="10"/>
      <c r="J355" s="10"/>
      <c r="K355" s="10"/>
      <c r="L355" s="4" t="s">
        <v>69</v>
      </c>
      <c r="M355" s="4">
        <v>350</v>
      </c>
    </row>
    <row r="356" spans="1:13" x14ac:dyDescent="0.25">
      <c r="A356" s="4" t="s">
        <v>377</v>
      </c>
      <c r="B356" s="4" t="s">
        <v>380</v>
      </c>
      <c r="C356" s="4" t="s">
        <v>68</v>
      </c>
      <c r="D356" s="10">
        <v>40</v>
      </c>
      <c r="E356" s="11" t="s">
        <v>51</v>
      </c>
      <c r="F356" s="10">
        <v>4200</v>
      </c>
      <c r="G356" s="10">
        <v>0</v>
      </c>
      <c r="H356" s="10">
        <f t="shared" si="5"/>
        <v>4200</v>
      </c>
      <c r="I356" s="10"/>
      <c r="J356" s="10"/>
      <c r="K356" s="10"/>
      <c r="L356" s="4" t="s">
        <v>69</v>
      </c>
      <c r="M356" s="4">
        <v>351</v>
      </c>
    </row>
    <row r="357" spans="1:13" x14ac:dyDescent="0.25">
      <c r="A357" s="4" t="s">
        <v>381</v>
      </c>
      <c r="B357" s="4" t="s">
        <v>270</v>
      </c>
      <c r="C357" s="9" t="s">
        <v>50</v>
      </c>
      <c r="D357" s="10"/>
      <c r="E357" s="11" t="s">
        <v>51</v>
      </c>
      <c r="F357" s="10"/>
      <c r="G357" s="10">
        <v>0</v>
      </c>
      <c r="H357" s="10">
        <f t="shared" si="5"/>
        <v>0</v>
      </c>
      <c r="I357" s="10"/>
      <c r="J357" s="10"/>
      <c r="K357" s="10"/>
      <c r="L357" s="4" t="s">
        <v>52</v>
      </c>
      <c r="M357" s="4">
        <v>352</v>
      </c>
    </row>
    <row r="358" spans="1:13" x14ac:dyDescent="0.25">
      <c r="A358" s="4" t="s">
        <v>381</v>
      </c>
      <c r="B358" s="4" t="s">
        <v>136</v>
      </c>
      <c r="C358" s="9" t="s">
        <v>50</v>
      </c>
      <c r="D358" s="10"/>
      <c r="E358" s="11" t="s">
        <v>51</v>
      </c>
      <c r="F358" s="10"/>
      <c r="G358" s="10">
        <v>0</v>
      </c>
      <c r="H358" s="10">
        <f t="shared" si="5"/>
        <v>0</v>
      </c>
      <c r="I358" s="10"/>
      <c r="J358" s="10"/>
      <c r="K358" s="10"/>
      <c r="L358" s="4" t="s">
        <v>52</v>
      </c>
      <c r="M358" s="4">
        <v>353</v>
      </c>
    </row>
    <row r="359" spans="1:13" x14ac:dyDescent="0.25">
      <c r="A359" s="4" t="s">
        <v>381</v>
      </c>
      <c r="B359" s="4" t="s">
        <v>82</v>
      </c>
      <c r="C359" s="9" t="s">
        <v>50</v>
      </c>
      <c r="D359" s="10"/>
      <c r="E359" s="11" t="s">
        <v>51</v>
      </c>
      <c r="F359" s="10"/>
      <c r="G359" s="10">
        <v>0</v>
      </c>
      <c r="H359" s="10">
        <f t="shared" si="5"/>
        <v>0</v>
      </c>
      <c r="I359" s="10"/>
      <c r="J359" s="10"/>
      <c r="K359" s="10"/>
      <c r="L359" s="4" t="s">
        <v>52</v>
      </c>
      <c r="M359" s="4">
        <v>354</v>
      </c>
    </row>
    <row r="360" spans="1:13" x14ac:dyDescent="0.25">
      <c r="A360" s="4" t="s">
        <v>381</v>
      </c>
      <c r="B360" s="4" t="s">
        <v>88</v>
      </c>
      <c r="C360" s="9" t="s">
        <v>50</v>
      </c>
      <c r="D360" s="10"/>
      <c r="E360" s="11" t="s">
        <v>51</v>
      </c>
      <c r="F360" s="10"/>
      <c r="G360" s="10">
        <v>0</v>
      </c>
      <c r="H360" s="10">
        <f t="shared" si="5"/>
        <v>0</v>
      </c>
      <c r="I360" s="10"/>
      <c r="J360" s="10"/>
      <c r="K360" s="10"/>
      <c r="L360" s="4" t="s">
        <v>52</v>
      </c>
      <c r="M360" s="4">
        <v>355</v>
      </c>
    </row>
    <row r="361" spans="1:13" x14ac:dyDescent="0.25">
      <c r="A361" s="4" t="s">
        <v>381</v>
      </c>
      <c r="B361" s="4" t="s">
        <v>137</v>
      </c>
      <c r="C361" s="9" t="s">
        <v>50</v>
      </c>
      <c r="D361" s="10"/>
      <c r="E361" s="11" t="s">
        <v>51</v>
      </c>
      <c r="F361" s="10"/>
      <c r="G361" s="10">
        <v>0</v>
      </c>
      <c r="H361" s="10">
        <f t="shared" si="5"/>
        <v>0</v>
      </c>
      <c r="I361" s="10"/>
      <c r="J361" s="10"/>
      <c r="K361" s="10"/>
      <c r="L361" s="4" t="s">
        <v>52</v>
      </c>
      <c r="M361" s="4">
        <v>356</v>
      </c>
    </row>
    <row r="362" spans="1:13" x14ac:dyDescent="0.25">
      <c r="A362" s="4" t="s">
        <v>381</v>
      </c>
      <c r="B362" s="4" t="s">
        <v>106</v>
      </c>
      <c r="C362" s="9" t="s">
        <v>50</v>
      </c>
      <c r="D362" s="10"/>
      <c r="E362" s="11" t="s">
        <v>51</v>
      </c>
      <c r="F362" s="10"/>
      <c r="G362" s="10">
        <v>0</v>
      </c>
      <c r="H362" s="10">
        <f t="shared" si="5"/>
        <v>0</v>
      </c>
      <c r="I362" s="10"/>
      <c r="J362" s="10"/>
      <c r="K362" s="10"/>
      <c r="L362" s="4" t="s">
        <v>52</v>
      </c>
      <c r="M362" s="4">
        <v>357</v>
      </c>
    </row>
    <row r="363" spans="1:13" x14ac:dyDescent="0.25">
      <c r="A363" s="4" t="s">
        <v>381</v>
      </c>
      <c r="B363" s="4" t="s">
        <v>271</v>
      </c>
      <c r="C363" s="9" t="s">
        <v>50</v>
      </c>
      <c r="D363" s="10"/>
      <c r="E363" s="11" t="s">
        <v>51</v>
      </c>
      <c r="F363" s="10"/>
      <c r="G363" s="10">
        <v>0</v>
      </c>
      <c r="H363" s="10">
        <f t="shared" si="5"/>
        <v>0</v>
      </c>
      <c r="I363" s="10"/>
      <c r="J363" s="10"/>
      <c r="K363" s="10"/>
      <c r="L363" s="4" t="s">
        <v>52</v>
      </c>
      <c r="M363" s="4">
        <v>358</v>
      </c>
    </row>
    <row r="364" spans="1:13" x14ac:dyDescent="0.25">
      <c r="A364" s="4" t="s">
        <v>381</v>
      </c>
      <c r="B364" s="4" t="s">
        <v>272</v>
      </c>
      <c r="C364" s="9" t="s">
        <v>50</v>
      </c>
      <c r="D364" s="10"/>
      <c r="E364" s="11" t="s">
        <v>51</v>
      </c>
      <c r="F364" s="10"/>
      <c r="G364" s="10">
        <v>0</v>
      </c>
      <c r="H364" s="10">
        <f t="shared" si="5"/>
        <v>0</v>
      </c>
      <c r="I364" s="10"/>
      <c r="J364" s="10"/>
      <c r="K364" s="10"/>
      <c r="L364" s="4" t="s">
        <v>52</v>
      </c>
      <c r="M364" s="4">
        <v>359</v>
      </c>
    </row>
    <row r="365" spans="1:13" x14ac:dyDescent="0.25">
      <c r="A365" s="4" t="s">
        <v>381</v>
      </c>
      <c r="B365" s="4" t="s">
        <v>107</v>
      </c>
      <c r="C365" s="9" t="s">
        <v>50</v>
      </c>
      <c r="D365" s="10"/>
      <c r="E365" s="11" t="s">
        <v>51</v>
      </c>
      <c r="F365" s="10"/>
      <c r="G365" s="10">
        <v>0</v>
      </c>
      <c r="H365" s="10">
        <f t="shared" si="5"/>
        <v>0</v>
      </c>
      <c r="I365" s="10"/>
      <c r="J365" s="10"/>
      <c r="K365" s="10"/>
      <c r="L365" s="4" t="s">
        <v>52</v>
      </c>
      <c r="M365" s="4">
        <v>360</v>
      </c>
    </row>
    <row r="366" spans="1:13" x14ac:dyDescent="0.25">
      <c r="A366" s="4" t="s">
        <v>381</v>
      </c>
      <c r="B366" s="4" t="s">
        <v>128</v>
      </c>
      <c r="C366" s="9" t="s">
        <v>50</v>
      </c>
      <c r="D366" s="10">
        <v>75</v>
      </c>
      <c r="E366" s="11" t="s">
        <v>51</v>
      </c>
      <c r="F366" s="10"/>
      <c r="G366" s="10">
        <v>0</v>
      </c>
      <c r="H366" s="10">
        <f t="shared" si="5"/>
        <v>0</v>
      </c>
      <c r="I366" s="10"/>
      <c r="J366" s="10"/>
      <c r="K366" s="10"/>
      <c r="L366" s="4" t="s">
        <v>52</v>
      </c>
      <c r="M366" s="4">
        <v>361</v>
      </c>
    </row>
    <row r="367" spans="1:13" x14ac:dyDescent="0.25">
      <c r="A367" s="4" t="s">
        <v>382</v>
      </c>
      <c r="B367" s="4" t="s">
        <v>137</v>
      </c>
      <c r="C367" s="9" t="s">
        <v>50</v>
      </c>
      <c r="D367" s="10">
        <v>144</v>
      </c>
      <c r="E367" s="11" t="s">
        <v>51</v>
      </c>
      <c r="F367" s="10">
        <v>4275</v>
      </c>
      <c r="G367" s="10">
        <v>0</v>
      </c>
      <c r="H367" s="10">
        <f t="shared" si="5"/>
        <v>4275</v>
      </c>
      <c r="I367" s="10"/>
      <c r="J367" s="10"/>
      <c r="K367" s="10"/>
      <c r="L367" s="4" t="s">
        <v>52</v>
      </c>
      <c r="M367" s="4">
        <v>362</v>
      </c>
    </row>
    <row r="368" spans="1:13" x14ac:dyDescent="0.25">
      <c r="A368" s="4" t="s">
        <v>383</v>
      </c>
      <c r="B368" s="4" t="s">
        <v>107</v>
      </c>
      <c r="C368" s="9" t="s">
        <v>50</v>
      </c>
      <c r="D368" s="10">
        <v>40</v>
      </c>
      <c r="E368" s="11" t="s">
        <v>51</v>
      </c>
      <c r="F368" s="10">
        <v>3532.23</v>
      </c>
      <c r="G368" s="10">
        <v>0</v>
      </c>
      <c r="H368" s="10">
        <f t="shared" si="5"/>
        <v>3532.23</v>
      </c>
      <c r="I368" s="10"/>
      <c r="J368" s="10"/>
      <c r="K368" s="10"/>
      <c r="L368" s="4" t="s">
        <v>52</v>
      </c>
      <c r="M368" s="4">
        <v>363</v>
      </c>
    </row>
    <row r="369" spans="1:13" x14ac:dyDescent="0.25">
      <c r="A369" s="4" t="s">
        <v>383</v>
      </c>
      <c r="B369" s="4" t="s">
        <v>128</v>
      </c>
      <c r="C369" s="9" t="s">
        <v>50</v>
      </c>
      <c r="D369" s="10">
        <v>59</v>
      </c>
      <c r="E369" s="11" t="s">
        <v>51</v>
      </c>
      <c r="F369" s="10">
        <v>2217.7800000000002</v>
      </c>
      <c r="G369" s="10">
        <v>0</v>
      </c>
      <c r="H369" s="10">
        <f t="shared" si="5"/>
        <v>2217.7800000000002</v>
      </c>
      <c r="I369" s="10"/>
      <c r="J369" s="10"/>
      <c r="K369" s="10"/>
      <c r="L369" s="4" t="s">
        <v>52</v>
      </c>
      <c r="M369" s="4">
        <v>364</v>
      </c>
    </row>
    <row r="370" spans="1:13" x14ac:dyDescent="0.25">
      <c r="A370" s="4" t="s">
        <v>384</v>
      </c>
      <c r="B370" s="4" t="s">
        <v>107</v>
      </c>
      <c r="C370" s="9" t="s">
        <v>50</v>
      </c>
      <c r="D370" s="10">
        <v>22</v>
      </c>
      <c r="E370" s="11" t="s">
        <v>51</v>
      </c>
      <c r="F370" s="10">
        <v>1870</v>
      </c>
      <c r="G370" s="10">
        <v>0</v>
      </c>
      <c r="H370" s="10">
        <f t="shared" si="5"/>
        <v>1870</v>
      </c>
      <c r="I370" s="10"/>
      <c r="J370" s="10"/>
      <c r="K370" s="10"/>
      <c r="L370" s="4" t="s">
        <v>52</v>
      </c>
      <c r="M370" s="4">
        <v>365</v>
      </c>
    </row>
    <row r="371" spans="1:13" x14ac:dyDescent="0.25">
      <c r="A371" s="4" t="s">
        <v>384</v>
      </c>
      <c r="B371" s="4" t="s">
        <v>128</v>
      </c>
      <c r="C371" s="9" t="s">
        <v>50</v>
      </c>
      <c r="D371" s="10">
        <v>42</v>
      </c>
      <c r="E371" s="11" t="s">
        <v>51</v>
      </c>
      <c r="F371" s="10">
        <v>680</v>
      </c>
      <c r="G371" s="10">
        <v>0</v>
      </c>
      <c r="H371" s="10">
        <f t="shared" si="5"/>
        <v>680</v>
      </c>
      <c r="I371" s="10"/>
      <c r="J371" s="10"/>
      <c r="K371" s="10"/>
      <c r="L371" s="4" t="s">
        <v>52</v>
      </c>
      <c r="M371" s="4">
        <v>366</v>
      </c>
    </row>
    <row r="372" spans="1:13" x14ac:dyDescent="0.25">
      <c r="A372" s="4" t="s">
        <v>385</v>
      </c>
      <c r="B372" s="4" t="s">
        <v>386</v>
      </c>
      <c r="C372" s="4" t="s">
        <v>65</v>
      </c>
      <c r="D372" s="10">
        <v>18</v>
      </c>
      <c r="E372" s="12" t="s">
        <v>66</v>
      </c>
      <c r="F372" s="10">
        <v>2200</v>
      </c>
      <c r="G372" s="10">
        <v>0</v>
      </c>
      <c r="H372" s="10">
        <f t="shared" si="5"/>
        <v>2200</v>
      </c>
      <c r="I372" s="10">
        <v>122.2222222222222</v>
      </c>
      <c r="J372" s="10">
        <v>122.2222222222222</v>
      </c>
      <c r="K372" s="10">
        <v>122.2222222222222</v>
      </c>
      <c r="L372" s="4"/>
      <c r="M372" s="4">
        <v>367</v>
      </c>
    </row>
    <row r="373" spans="1:13" x14ac:dyDescent="0.25">
      <c r="A373" s="4" t="s">
        <v>385</v>
      </c>
      <c r="B373" s="4" t="s">
        <v>387</v>
      </c>
      <c r="C373" s="4" t="s">
        <v>68</v>
      </c>
      <c r="D373" s="10">
        <v>107</v>
      </c>
      <c r="E373" s="11" t="s">
        <v>51</v>
      </c>
      <c r="F373" s="10">
        <v>1920</v>
      </c>
      <c r="G373" s="10">
        <v>0</v>
      </c>
      <c r="H373" s="10">
        <f t="shared" si="5"/>
        <v>1920</v>
      </c>
      <c r="I373" s="10"/>
      <c r="J373" s="10"/>
      <c r="K373" s="10"/>
      <c r="L373" s="4" t="s">
        <v>69</v>
      </c>
      <c r="M373" s="4">
        <v>368</v>
      </c>
    </row>
    <row r="374" spans="1:13" x14ac:dyDescent="0.25">
      <c r="A374" s="4" t="s">
        <v>388</v>
      </c>
      <c r="B374" s="4" t="s">
        <v>389</v>
      </c>
      <c r="C374" s="4" t="s">
        <v>65</v>
      </c>
      <c r="D374" s="10">
        <v>43</v>
      </c>
      <c r="E374" s="12" t="s">
        <v>66</v>
      </c>
      <c r="F374" s="10">
        <v>4950</v>
      </c>
      <c r="G374" s="10">
        <v>0</v>
      </c>
      <c r="H374" s="10">
        <f t="shared" si="5"/>
        <v>4950</v>
      </c>
      <c r="I374" s="10">
        <v>115.1162790697674</v>
      </c>
      <c r="J374" s="10">
        <v>115.1162790697674</v>
      </c>
      <c r="K374" s="10">
        <v>115.1162790697674</v>
      </c>
      <c r="L374" s="4"/>
      <c r="M374" s="4">
        <v>369</v>
      </c>
    </row>
    <row r="375" spans="1:13" x14ac:dyDescent="0.25">
      <c r="A375" s="4" t="s">
        <v>388</v>
      </c>
      <c r="B375" s="4" t="s">
        <v>390</v>
      </c>
      <c r="C375" s="9" t="s">
        <v>50</v>
      </c>
      <c r="D375" s="10">
        <v>40</v>
      </c>
      <c r="E375" s="11" t="s">
        <v>51</v>
      </c>
      <c r="F375" s="10">
        <v>4600</v>
      </c>
      <c r="G375" s="10">
        <v>0</v>
      </c>
      <c r="H375" s="10">
        <f t="shared" si="5"/>
        <v>4600</v>
      </c>
      <c r="I375" s="10"/>
      <c r="J375" s="10"/>
      <c r="K375" s="10"/>
      <c r="L375" s="4" t="s">
        <v>52</v>
      </c>
      <c r="M375" s="4">
        <v>370</v>
      </c>
    </row>
    <row r="376" spans="1:13" x14ac:dyDescent="0.25">
      <c r="A376" s="4" t="s">
        <v>388</v>
      </c>
      <c r="B376" s="4" t="s">
        <v>391</v>
      </c>
      <c r="C376" s="4" t="s">
        <v>68</v>
      </c>
      <c r="D376" s="10">
        <v>108</v>
      </c>
      <c r="E376" s="11" t="s">
        <v>51</v>
      </c>
      <c r="F376" s="10">
        <v>920</v>
      </c>
      <c r="G376" s="10">
        <v>0</v>
      </c>
      <c r="H376" s="10">
        <f t="shared" si="5"/>
        <v>920</v>
      </c>
      <c r="I376" s="10"/>
      <c r="J376" s="10"/>
      <c r="K376" s="10"/>
      <c r="L376" s="4" t="s">
        <v>69</v>
      </c>
      <c r="M376" s="4">
        <v>371</v>
      </c>
    </row>
    <row r="377" spans="1:13" x14ac:dyDescent="0.25">
      <c r="A377" s="4" t="s">
        <v>392</v>
      </c>
      <c r="B377" s="4" t="s">
        <v>82</v>
      </c>
      <c r="C377" s="9" t="s">
        <v>50</v>
      </c>
      <c r="D377" s="10">
        <v>76</v>
      </c>
      <c r="E377" s="11" t="s">
        <v>51</v>
      </c>
      <c r="F377" s="10">
        <v>7220</v>
      </c>
      <c r="G377" s="10">
        <v>0</v>
      </c>
      <c r="H377" s="10">
        <f t="shared" si="5"/>
        <v>7220</v>
      </c>
      <c r="I377" s="10"/>
      <c r="J377" s="10"/>
      <c r="K377" s="10"/>
      <c r="L377" s="4" t="s">
        <v>52</v>
      </c>
      <c r="M377" s="4">
        <v>372</v>
      </c>
    </row>
    <row r="378" spans="1:13" x14ac:dyDescent="0.25">
      <c r="A378" s="4" t="s">
        <v>392</v>
      </c>
      <c r="B378" s="4" t="s">
        <v>88</v>
      </c>
      <c r="C378" s="9" t="s">
        <v>50</v>
      </c>
      <c r="D378" s="10">
        <v>24</v>
      </c>
      <c r="E378" s="11" t="s">
        <v>51</v>
      </c>
      <c r="F378" s="10">
        <v>2280</v>
      </c>
      <c r="G378" s="10">
        <v>0</v>
      </c>
      <c r="H378" s="10">
        <f t="shared" si="5"/>
        <v>2280</v>
      </c>
      <c r="I378" s="10"/>
      <c r="J378" s="10"/>
      <c r="K378" s="10"/>
      <c r="L378" s="4" t="s">
        <v>52</v>
      </c>
      <c r="M378" s="4">
        <v>373</v>
      </c>
    </row>
    <row r="379" spans="1:13" x14ac:dyDescent="0.25">
      <c r="A379" s="4" t="s">
        <v>393</v>
      </c>
      <c r="B379" s="4" t="s">
        <v>270</v>
      </c>
      <c r="C379" s="9" t="s">
        <v>50</v>
      </c>
      <c r="D379" s="10"/>
      <c r="E379" s="11" t="s">
        <v>51</v>
      </c>
      <c r="F379" s="10"/>
      <c r="G379" s="10">
        <v>0</v>
      </c>
      <c r="H379" s="10">
        <f t="shared" si="5"/>
        <v>0</v>
      </c>
      <c r="I379" s="10"/>
      <c r="J379" s="10"/>
      <c r="K379" s="10"/>
      <c r="L379" s="4" t="s">
        <v>52</v>
      </c>
      <c r="M379" s="4">
        <v>374</v>
      </c>
    </row>
    <row r="380" spans="1:13" x14ac:dyDescent="0.25">
      <c r="A380" s="4" t="s">
        <v>393</v>
      </c>
      <c r="B380" s="4" t="s">
        <v>136</v>
      </c>
      <c r="C380" s="9" t="s">
        <v>50</v>
      </c>
      <c r="D380" s="10"/>
      <c r="E380" s="11" t="s">
        <v>51</v>
      </c>
      <c r="F380" s="10"/>
      <c r="G380" s="10">
        <v>0</v>
      </c>
      <c r="H380" s="10">
        <f t="shared" si="5"/>
        <v>0</v>
      </c>
      <c r="I380" s="10"/>
      <c r="J380" s="10"/>
      <c r="K380" s="10"/>
      <c r="L380" s="4" t="s">
        <v>52</v>
      </c>
      <c r="M380" s="4">
        <v>375</v>
      </c>
    </row>
    <row r="381" spans="1:13" x14ac:dyDescent="0.25">
      <c r="A381" s="4" t="s">
        <v>393</v>
      </c>
      <c r="B381" s="4" t="s">
        <v>82</v>
      </c>
      <c r="C381" s="9" t="s">
        <v>50</v>
      </c>
      <c r="D381" s="10"/>
      <c r="E381" s="11" t="s">
        <v>51</v>
      </c>
      <c r="F381" s="10"/>
      <c r="G381" s="10">
        <v>0</v>
      </c>
      <c r="H381" s="10">
        <f t="shared" si="5"/>
        <v>0</v>
      </c>
      <c r="I381" s="10"/>
      <c r="J381" s="10"/>
      <c r="K381" s="10"/>
      <c r="L381" s="4" t="s">
        <v>52</v>
      </c>
      <c r="M381" s="4">
        <v>376</v>
      </c>
    </row>
    <row r="382" spans="1:13" x14ac:dyDescent="0.25">
      <c r="A382" s="4" t="s">
        <v>393</v>
      </c>
      <c r="B382" s="4" t="s">
        <v>88</v>
      </c>
      <c r="C382" s="9" t="s">
        <v>50</v>
      </c>
      <c r="D382" s="10"/>
      <c r="E382" s="11" t="s">
        <v>51</v>
      </c>
      <c r="F382" s="10"/>
      <c r="G382" s="10">
        <v>0</v>
      </c>
      <c r="H382" s="10">
        <f t="shared" si="5"/>
        <v>0</v>
      </c>
      <c r="I382" s="10"/>
      <c r="J382" s="10"/>
      <c r="K382" s="10"/>
      <c r="L382" s="4" t="s">
        <v>52</v>
      </c>
      <c r="M382" s="4">
        <v>377</v>
      </c>
    </row>
    <row r="383" spans="1:13" x14ac:dyDescent="0.25">
      <c r="A383" s="4" t="s">
        <v>393</v>
      </c>
      <c r="B383" s="4" t="s">
        <v>137</v>
      </c>
      <c r="C383" s="9" t="s">
        <v>50</v>
      </c>
      <c r="D383" s="10"/>
      <c r="E383" s="11" t="s">
        <v>51</v>
      </c>
      <c r="F383" s="10"/>
      <c r="G383" s="10">
        <v>0</v>
      </c>
      <c r="H383" s="10">
        <f t="shared" si="5"/>
        <v>0</v>
      </c>
      <c r="I383" s="10"/>
      <c r="J383" s="10"/>
      <c r="K383" s="10"/>
      <c r="L383" s="4" t="s">
        <v>52</v>
      </c>
      <c r="M383" s="4">
        <v>378</v>
      </c>
    </row>
    <row r="384" spans="1:13" x14ac:dyDescent="0.25">
      <c r="A384" s="4" t="s">
        <v>393</v>
      </c>
      <c r="B384" s="4" t="s">
        <v>106</v>
      </c>
      <c r="C384" s="9" t="s">
        <v>50</v>
      </c>
      <c r="D384" s="10"/>
      <c r="E384" s="11" t="s">
        <v>51</v>
      </c>
      <c r="F384" s="10"/>
      <c r="G384" s="10">
        <v>0</v>
      </c>
      <c r="H384" s="10">
        <f t="shared" si="5"/>
        <v>0</v>
      </c>
      <c r="I384" s="10"/>
      <c r="J384" s="10"/>
      <c r="K384" s="10"/>
      <c r="L384" s="4" t="s">
        <v>52</v>
      </c>
      <c r="M384" s="4">
        <v>379</v>
      </c>
    </row>
    <row r="385" spans="1:13" x14ac:dyDescent="0.25">
      <c r="A385" s="4" t="s">
        <v>393</v>
      </c>
      <c r="B385" s="4" t="s">
        <v>271</v>
      </c>
      <c r="C385" s="9" t="s">
        <v>50</v>
      </c>
      <c r="D385" s="10"/>
      <c r="E385" s="11" t="s">
        <v>51</v>
      </c>
      <c r="F385" s="10"/>
      <c r="G385" s="10">
        <v>0</v>
      </c>
      <c r="H385" s="10">
        <f t="shared" si="5"/>
        <v>0</v>
      </c>
      <c r="I385" s="10"/>
      <c r="J385" s="10"/>
      <c r="K385" s="10"/>
      <c r="L385" s="4" t="s">
        <v>52</v>
      </c>
      <c r="M385" s="4">
        <v>380</v>
      </c>
    </row>
    <row r="386" spans="1:13" x14ac:dyDescent="0.25">
      <c r="A386" s="4" t="s">
        <v>393</v>
      </c>
      <c r="B386" s="4" t="s">
        <v>272</v>
      </c>
      <c r="C386" s="9" t="s">
        <v>50</v>
      </c>
      <c r="D386" s="10"/>
      <c r="E386" s="11" t="s">
        <v>51</v>
      </c>
      <c r="F386" s="10"/>
      <c r="G386" s="10">
        <v>0</v>
      </c>
      <c r="H386" s="10">
        <f t="shared" si="5"/>
        <v>0</v>
      </c>
      <c r="I386" s="10"/>
      <c r="J386" s="10"/>
      <c r="K386" s="10"/>
      <c r="L386" s="4" t="s">
        <v>52</v>
      </c>
      <c r="M386" s="4">
        <v>381</v>
      </c>
    </row>
    <row r="387" spans="1:13" x14ac:dyDescent="0.25">
      <c r="A387" s="4" t="s">
        <v>393</v>
      </c>
      <c r="B387" s="4" t="s">
        <v>107</v>
      </c>
      <c r="C387" s="9" t="s">
        <v>50</v>
      </c>
      <c r="D387" s="10"/>
      <c r="E387" s="11" t="s">
        <v>51</v>
      </c>
      <c r="F387" s="10"/>
      <c r="G387" s="10">
        <v>0</v>
      </c>
      <c r="H387" s="10">
        <f t="shared" si="5"/>
        <v>0</v>
      </c>
      <c r="I387" s="10"/>
      <c r="J387" s="10"/>
      <c r="K387" s="10"/>
      <c r="L387" s="4" t="s">
        <v>52</v>
      </c>
      <c r="M387" s="4">
        <v>382</v>
      </c>
    </row>
    <row r="388" spans="1:13" x14ac:dyDescent="0.25">
      <c r="A388" s="4" t="s">
        <v>393</v>
      </c>
      <c r="B388" s="4" t="s">
        <v>128</v>
      </c>
      <c r="C388" s="9" t="s">
        <v>50</v>
      </c>
      <c r="D388" s="10"/>
      <c r="E388" s="11" t="s">
        <v>51</v>
      </c>
      <c r="F388" s="10"/>
      <c r="G388" s="10">
        <v>0</v>
      </c>
      <c r="H388" s="10">
        <f t="shared" si="5"/>
        <v>0</v>
      </c>
      <c r="I388" s="10"/>
      <c r="J388" s="10"/>
      <c r="K388" s="10"/>
      <c r="L388" s="4" t="s">
        <v>52</v>
      </c>
      <c r="M388" s="4">
        <v>383</v>
      </c>
    </row>
    <row r="389" spans="1:13" x14ac:dyDescent="0.25">
      <c r="A389" s="4" t="s">
        <v>394</v>
      </c>
      <c r="B389" s="4" t="s">
        <v>270</v>
      </c>
      <c r="C389" s="9" t="s">
        <v>50</v>
      </c>
      <c r="D389" s="10"/>
      <c r="E389" s="11" t="s">
        <v>51</v>
      </c>
      <c r="F389" s="10"/>
      <c r="G389" s="10">
        <v>0</v>
      </c>
      <c r="H389" s="10">
        <f t="shared" si="5"/>
        <v>0</v>
      </c>
      <c r="I389" s="10"/>
      <c r="J389" s="10"/>
      <c r="K389" s="10"/>
      <c r="L389" s="4" t="s">
        <v>52</v>
      </c>
      <c r="M389" s="4">
        <v>384</v>
      </c>
    </row>
    <row r="390" spans="1:13" x14ac:dyDescent="0.25">
      <c r="A390" s="4" t="s">
        <v>394</v>
      </c>
      <c r="B390" s="4" t="s">
        <v>136</v>
      </c>
      <c r="C390" s="9" t="s">
        <v>50</v>
      </c>
      <c r="D390" s="10"/>
      <c r="E390" s="11" t="s">
        <v>51</v>
      </c>
      <c r="F390" s="10"/>
      <c r="G390" s="10">
        <v>0</v>
      </c>
      <c r="H390" s="10">
        <f t="shared" ref="H390:H453" si="6">F390-G390</f>
        <v>0</v>
      </c>
      <c r="I390" s="10"/>
      <c r="J390" s="10"/>
      <c r="K390" s="10"/>
      <c r="L390" s="4" t="s">
        <v>52</v>
      </c>
      <c r="M390" s="4">
        <v>385</v>
      </c>
    </row>
    <row r="391" spans="1:13" x14ac:dyDescent="0.25">
      <c r="A391" s="4" t="s">
        <v>394</v>
      </c>
      <c r="B391" s="4" t="s">
        <v>82</v>
      </c>
      <c r="C391" s="9" t="s">
        <v>50</v>
      </c>
      <c r="D391" s="10"/>
      <c r="E391" s="11" t="s">
        <v>51</v>
      </c>
      <c r="F391" s="10"/>
      <c r="G391" s="10">
        <v>0</v>
      </c>
      <c r="H391" s="10">
        <f t="shared" si="6"/>
        <v>0</v>
      </c>
      <c r="I391" s="10"/>
      <c r="J391" s="10"/>
      <c r="K391" s="10"/>
      <c r="L391" s="4" t="s">
        <v>52</v>
      </c>
      <c r="M391" s="4">
        <v>386</v>
      </c>
    </row>
    <row r="392" spans="1:13" x14ac:dyDescent="0.25">
      <c r="A392" s="4" t="s">
        <v>394</v>
      </c>
      <c r="B392" s="4" t="s">
        <v>88</v>
      </c>
      <c r="C392" s="9" t="s">
        <v>50</v>
      </c>
      <c r="D392" s="10"/>
      <c r="E392" s="11" t="s">
        <v>51</v>
      </c>
      <c r="F392" s="10"/>
      <c r="G392" s="10">
        <v>0</v>
      </c>
      <c r="H392" s="10">
        <f t="shared" si="6"/>
        <v>0</v>
      </c>
      <c r="I392" s="10"/>
      <c r="J392" s="10"/>
      <c r="K392" s="10"/>
      <c r="L392" s="4" t="s">
        <v>52</v>
      </c>
      <c r="M392" s="4">
        <v>387</v>
      </c>
    </row>
    <row r="393" spans="1:13" x14ac:dyDescent="0.25">
      <c r="A393" s="4" t="s">
        <v>394</v>
      </c>
      <c r="B393" s="4" t="s">
        <v>137</v>
      </c>
      <c r="C393" s="9" t="s">
        <v>50</v>
      </c>
      <c r="D393" s="10"/>
      <c r="E393" s="11" t="s">
        <v>51</v>
      </c>
      <c r="F393" s="10"/>
      <c r="G393" s="10">
        <v>0</v>
      </c>
      <c r="H393" s="10">
        <f t="shared" si="6"/>
        <v>0</v>
      </c>
      <c r="I393" s="10"/>
      <c r="J393" s="10"/>
      <c r="K393" s="10"/>
      <c r="L393" s="4" t="s">
        <v>52</v>
      </c>
      <c r="M393" s="4">
        <v>388</v>
      </c>
    </row>
    <row r="394" spans="1:13" x14ac:dyDescent="0.25">
      <c r="A394" s="4" t="s">
        <v>394</v>
      </c>
      <c r="B394" s="4" t="s">
        <v>106</v>
      </c>
      <c r="C394" s="9" t="s">
        <v>50</v>
      </c>
      <c r="D394" s="10"/>
      <c r="E394" s="11" t="s">
        <v>51</v>
      </c>
      <c r="F394" s="10"/>
      <c r="G394" s="10">
        <v>0</v>
      </c>
      <c r="H394" s="10">
        <f t="shared" si="6"/>
        <v>0</v>
      </c>
      <c r="I394" s="10"/>
      <c r="J394" s="10"/>
      <c r="K394" s="10"/>
      <c r="L394" s="4" t="s">
        <v>52</v>
      </c>
      <c r="M394" s="4">
        <v>389</v>
      </c>
    </row>
    <row r="395" spans="1:13" x14ac:dyDescent="0.25">
      <c r="A395" s="4" t="s">
        <v>394</v>
      </c>
      <c r="B395" s="4" t="s">
        <v>271</v>
      </c>
      <c r="C395" s="9" t="s">
        <v>50</v>
      </c>
      <c r="D395" s="10"/>
      <c r="E395" s="11" t="s">
        <v>51</v>
      </c>
      <c r="F395" s="10"/>
      <c r="G395" s="10">
        <v>0</v>
      </c>
      <c r="H395" s="10">
        <f t="shared" si="6"/>
        <v>0</v>
      </c>
      <c r="I395" s="10"/>
      <c r="J395" s="10"/>
      <c r="K395" s="10"/>
      <c r="L395" s="4" t="s">
        <v>52</v>
      </c>
      <c r="M395" s="4">
        <v>390</v>
      </c>
    </row>
    <row r="396" spans="1:13" x14ac:dyDescent="0.25">
      <c r="A396" s="4" t="s">
        <v>394</v>
      </c>
      <c r="B396" s="4" t="s">
        <v>272</v>
      </c>
      <c r="C396" s="9" t="s">
        <v>50</v>
      </c>
      <c r="D396" s="10"/>
      <c r="E396" s="11" t="s">
        <v>51</v>
      </c>
      <c r="F396" s="10"/>
      <c r="G396" s="10">
        <v>0</v>
      </c>
      <c r="H396" s="10">
        <f t="shared" si="6"/>
        <v>0</v>
      </c>
      <c r="I396" s="10"/>
      <c r="J396" s="10"/>
      <c r="K396" s="10"/>
      <c r="L396" s="4" t="s">
        <v>52</v>
      </c>
      <c r="M396" s="4">
        <v>391</v>
      </c>
    </row>
    <row r="397" spans="1:13" x14ac:dyDescent="0.25">
      <c r="A397" s="4" t="s">
        <v>394</v>
      </c>
      <c r="B397" s="4" t="s">
        <v>107</v>
      </c>
      <c r="C397" s="9" t="s">
        <v>50</v>
      </c>
      <c r="D397" s="10"/>
      <c r="E397" s="11" t="s">
        <v>51</v>
      </c>
      <c r="F397" s="10"/>
      <c r="G397" s="10">
        <v>0</v>
      </c>
      <c r="H397" s="10">
        <f t="shared" si="6"/>
        <v>0</v>
      </c>
      <c r="I397" s="10"/>
      <c r="J397" s="10"/>
      <c r="K397" s="10"/>
      <c r="L397" s="4" t="s">
        <v>52</v>
      </c>
      <c r="M397" s="4">
        <v>392</v>
      </c>
    </row>
    <row r="398" spans="1:13" x14ac:dyDescent="0.25">
      <c r="A398" s="4" t="s">
        <v>394</v>
      </c>
      <c r="B398" s="4" t="s">
        <v>128</v>
      </c>
      <c r="C398" s="9" t="s">
        <v>50</v>
      </c>
      <c r="D398" s="10">
        <v>20</v>
      </c>
      <c r="E398" s="11" t="s">
        <v>51</v>
      </c>
      <c r="F398" s="10"/>
      <c r="G398" s="10">
        <v>0</v>
      </c>
      <c r="H398" s="10">
        <f t="shared" si="6"/>
        <v>0</v>
      </c>
      <c r="I398" s="10"/>
      <c r="J398" s="10"/>
      <c r="K398" s="10"/>
      <c r="L398" s="4" t="s">
        <v>52</v>
      </c>
      <c r="M398" s="4">
        <v>393</v>
      </c>
    </row>
    <row r="399" spans="1:13" x14ac:dyDescent="0.25">
      <c r="A399" s="4" t="s">
        <v>395</v>
      </c>
      <c r="B399" s="4" t="s">
        <v>396</v>
      </c>
      <c r="C399" s="4" t="s">
        <v>65</v>
      </c>
      <c r="D399" s="10">
        <v>169.5</v>
      </c>
      <c r="E399" s="12" t="s">
        <v>66</v>
      </c>
      <c r="F399" s="10">
        <v>2900</v>
      </c>
      <c r="G399" s="10">
        <v>0</v>
      </c>
      <c r="H399" s="10">
        <f t="shared" si="6"/>
        <v>2900</v>
      </c>
      <c r="I399" s="10">
        <v>145</v>
      </c>
      <c r="J399" s="10">
        <v>145</v>
      </c>
      <c r="K399" s="10">
        <v>145</v>
      </c>
      <c r="L399" s="4"/>
      <c r="M399" s="4">
        <v>394</v>
      </c>
    </row>
    <row r="400" spans="1:13" x14ac:dyDescent="0.25">
      <c r="A400" s="4" t="s">
        <v>397</v>
      </c>
      <c r="B400" s="4" t="s">
        <v>398</v>
      </c>
      <c r="C400" s="4" t="s">
        <v>68</v>
      </c>
      <c r="D400" s="10">
        <v>5</v>
      </c>
      <c r="E400" s="11" t="s">
        <v>51</v>
      </c>
      <c r="F400" s="10">
        <v>12730</v>
      </c>
      <c r="G400" s="10">
        <v>0</v>
      </c>
      <c r="H400" s="10">
        <f t="shared" si="6"/>
        <v>12730</v>
      </c>
      <c r="I400" s="10"/>
      <c r="J400" s="10"/>
      <c r="K400" s="10"/>
      <c r="L400" s="4" t="s">
        <v>69</v>
      </c>
      <c r="M400" s="4">
        <v>395</v>
      </c>
    </row>
    <row r="401" spans="1:13" x14ac:dyDescent="0.25">
      <c r="A401" s="4" t="s">
        <v>397</v>
      </c>
      <c r="B401" s="4" t="s">
        <v>399</v>
      </c>
      <c r="C401" s="9" t="s">
        <v>50</v>
      </c>
      <c r="D401" s="10">
        <v>20</v>
      </c>
      <c r="E401" s="11" t="s">
        <v>51</v>
      </c>
      <c r="F401" s="10">
        <v>2150</v>
      </c>
      <c r="G401" s="10">
        <v>0</v>
      </c>
      <c r="H401" s="10">
        <f t="shared" si="6"/>
        <v>2150</v>
      </c>
      <c r="I401" s="10"/>
      <c r="J401" s="10"/>
      <c r="K401" s="10"/>
      <c r="L401" s="4" t="s">
        <v>52</v>
      </c>
      <c r="M401" s="4">
        <v>396</v>
      </c>
    </row>
    <row r="402" spans="1:13" x14ac:dyDescent="0.25">
      <c r="A402" s="4" t="s">
        <v>397</v>
      </c>
      <c r="B402" s="4" t="s">
        <v>400</v>
      </c>
      <c r="C402" s="9" t="s">
        <v>50</v>
      </c>
      <c r="D402" s="10">
        <v>25.5</v>
      </c>
      <c r="E402" s="11" t="s">
        <v>51</v>
      </c>
      <c r="F402" s="10">
        <v>2700</v>
      </c>
      <c r="G402" s="10">
        <v>0</v>
      </c>
      <c r="H402" s="10">
        <f t="shared" si="6"/>
        <v>2700</v>
      </c>
      <c r="I402" s="10"/>
      <c r="J402" s="10"/>
      <c r="K402" s="10"/>
      <c r="L402" s="4" t="s">
        <v>52</v>
      </c>
      <c r="M402" s="4">
        <v>397</v>
      </c>
    </row>
    <row r="403" spans="1:13" x14ac:dyDescent="0.25">
      <c r="A403" s="4" t="s">
        <v>397</v>
      </c>
      <c r="B403" s="4" t="s">
        <v>401</v>
      </c>
      <c r="C403" s="9" t="s">
        <v>50</v>
      </c>
      <c r="D403" s="10">
        <v>24</v>
      </c>
      <c r="E403" s="11" t="s">
        <v>51</v>
      </c>
      <c r="F403" s="10">
        <v>2150</v>
      </c>
      <c r="G403" s="10">
        <v>0</v>
      </c>
      <c r="H403" s="10">
        <f t="shared" si="6"/>
        <v>2150</v>
      </c>
      <c r="I403" s="10"/>
      <c r="J403" s="10"/>
      <c r="K403" s="10"/>
      <c r="L403" s="4" t="s">
        <v>52</v>
      </c>
      <c r="M403" s="4">
        <v>398</v>
      </c>
    </row>
    <row r="404" spans="1:13" x14ac:dyDescent="0.25">
      <c r="A404" s="4" t="s">
        <v>397</v>
      </c>
      <c r="B404" s="4" t="s">
        <v>402</v>
      </c>
      <c r="C404" s="4" t="s">
        <v>68</v>
      </c>
      <c r="D404" s="10">
        <v>258.75</v>
      </c>
      <c r="E404" s="11" t="s">
        <v>51</v>
      </c>
      <c r="F404" s="10"/>
      <c r="G404" s="10">
        <v>0</v>
      </c>
      <c r="H404" s="10">
        <f t="shared" si="6"/>
        <v>0</v>
      </c>
      <c r="I404" s="10"/>
      <c r="J404" s="10"/>
      <c r="K404" s="10"/>
      <c r="L404" s="4" t="s">
        <v>69</v>
      </c>
      <c r="M404" s="4">
        <v>399</v>
      </c>
    </row>
    <row r="405" spans="1:13" x14ac:dyDescent="0.25">
      <c r="A405" s="4" t="s">
        <v>403</v>
      </c>
      <c r="B405" s="4" t="s">
        <v>404</v>
      </c>
      <c r="C405" s="9" t="s">
        <v>50</v>
      </c>
      <c r="D405" s="10">
        <v>0.75</v>
      </c>
      <c r="E405" s="11" t="s">
        <v>51</v>
      </c>
      <c r="F405" s="10">
        <v>29.7</v>
      </c>
      <c r="G405" s="10">
        <v>0</v>
      </c>
      <c r="H405" s="10">
        <f t="shared" si="6"/>
        <v>29.7</v>
      </c>
      <c r="I405" s="10"/>
      <c r="J405" s="10"/>
      <c r="K405" s="10"/>
      <c r="L405" s="4" t="s">
        <v>52</v>
      </c>
      <c r="M405" s="4">
        <v>400</v>
      </c>
    </row>
    <row r="406" spans="1:13" x14ac:dyDescent="0.25">
      <c r="A406" s="4" t="s">
        <v>403</v>
      </c>
      <c r="B406" s="4" t="s">
        <v>136</v>
      </c>
      <c r="C406" s="9" t="s">
        <v>50</v>
      </c>
      <c r="D406" s="10">
        <v>12</v>
      </c>
      <c r="E406" s="11" t="s">
        <v>51</v>
      </c>
      <c r="F406" s="10">
        <v>1109.3</v>
      </c>
      <c r="G406" s="10">
        <v>0</v>
      </c>
      <c r="H406" s="10">
        <f t="shared" si="6"/>
        <v>1109.3</v>
      </c>
      <c r="I406" s="10"/>
      <c r="J406" s="10"/>
      <c r="K406" s="10"/>
      <c r="L406" s="4" t="s">
        <v>52</v>
      </c>
      <c r="M406" s="4">
        <v>401</v>
      </c>
    </row>
    <row r="407" spans="1:13" x14ac:dyDescent="0.25">
      <c r="A407" s="4" t="s">
        <v>403</v>
      </c>
      <c r="B407" s="4" t="s">
        <v>82</v>
      </c>
      <c r="C407" s="9" t="s">
        <v>50</v>
      </c>
      <c r="D407" s="10">
        <v>15</v>
      </c>
      <c r="E407" s="11" t="s">
        <v>51</v>
      </c>
      <c r="F407" s="10">
        <v>1386.99</v>
      </c>
      <c r="G407" s="10">
        <v>0</v>
      </c>
      <c r="H407" s="10">
        <f t="shared" si="6"/>
        <v>1386.99</v>
      </c>
      <c r="I407" s="10"/>
      <c r="J407" s="10"/>
      <c r="K407" s="10"/>
      <c r="L407" s="4" t="s">
        <v>52</v>
      </c>
      <c r="M407" s="4">
        <v>402</v>
      </c>
    </row>
    <row r="408" spans="1:13" x14ac:dyDescent="0.25">
      <c r="A408" s="4" t="s">
        <v>403</v>
      </c>
      <c r="B408" s="4" t="s">
        <v>88</v>
      </c>
      <c r="C408" s="9" t="s">
        <v>50</v>
      </c>
      <c r="D408" s="10">
        <v>88</v>
      </c>
      <c r="E408" s="11" t="s">
        <v>51</v>
      </c>
      <c r="F408" s="10">
        <v>8136.32</v>
      </c>
      <c r="G408" s="10">
        <v>0</v>
      </c>
      <c r="H408" s="10">
        <f t="shared" si="6"/>
        <v>8136.32</v>
      </c>
      <c r="I408" s="10"/>
      <c r="J408" s="10"/>
      <c r="K408" s="10"/>
      <c r="L408" s="4" t="s">
        <v>52</v>
      </c>
      <c r="M408" s="4">
        <v>403</v>
      </c>
    </row>
    <row r="409" spans="1:13" x14ac:dyDescent="0.25">
      <c r="A409" s="4" t="s">
        <v>403</v>
      </c>
      <c r="B409" s="4" t="s">
        <v>137</v>
      </c>
      <c r="C409" s="9" t="s">
        <v>50</v>
      </c>
      <c r="D409" s="10">
        <v>38</v>
      </c>
      <c r="E409" s="11" t="s">
        <v>51</v>
      </c>
      <c r="F409" s="10">
        <v>2067.12</v>
      </c>
      <c r="G409" s="10">
        <v>0</v>
      </c>
      <c r="H409" s="10">
        <f t="shared" si="6"/>
        <v>2067.12</v>
      </c>
      <c r="I409" s="10"/>
      <c r="J409" s="10"/>
      <c r="K409" s="10"/>
      <c r="L409" s="4" t="s">
        <v>52</v>
      </c>
      <c r="M409" s="4">
        <v>404</v>
      </c>
    </row>
    <row r="410" spans="1:13" x14ac:dyDescent="0.25">
      <c r="A410" s="4" t="s">
        <v>403</v>
      </c>
      <c r="B410" s="4" t="s">
        <v>106</v>
      </c>
      <c r="C410" s="9" t="s">
        <v>50</v>
      </c>
      <c r="D410" s="10">
        <v>30</v>
      </c>
      <c r="E410" s="11" t="s">
        <v>51</v>
      </c>
      <c r="F410" s="10">
        <v>2120.58</v>
      </c>
      <c r="G410" s="10">
        <v>0</v>
      </c>
      <c r="H410" s="10">
        <f t="shared" si="6"/>
        <v>2120.58</v>
      </c>
      <c r="I410" s="10"/>
      <c r="J410" s="10"/>
      <c r="K410" s="10"/>
      <c r="L410" s="4" t="s">
        <v>52</v>
      </c>
      <c r="M410" s="4">
        <v>405</v>
      </c>
    </row>
    <row r="411" spans="1:13" x14ac:dyDescent="0.25">
      <c r="A411" s="4" t="s">
        <v>403</v>
      </c>
      <c r="B411" s="4" t="s">
        <v>107</v>
      </c>
      <c r="C411" s="9" t="s">
        <v>50</v>
      </c>
      <c r="D411" s="10"/>
      <c r="E411" s="11" t="s">
        <v>51</v>
      </c>
      <c r="F411" s="10"/>
      <c r="G411" s="10">
        <v>0</v>
      </c>
      <c r="H411" s="10">
        <f t="shared" si="6"/>
        <v>0</v>
      </c>
      <c r="I411" s="10"/>
      <c r="J411" s="10"/>
      <c r="K411" s="10"/>
      <c r="L411" s="4" t="s">
        <v>52</v>
      </c>
      <c r="M411" s="4">
        <v>406</v>
      </c>
    </row>
    <row r="412" spans="1:13" x14ac:dyDescent="0.25">
      <c r="A412" s="4" t="s">
        <v>403</v>
      </c>
      <c r="B412" s="4" t="s">
        <v>128</v>
      </c>
      <c r="C412" s="9" t="s">
        <v>50</v>
      </c>
      <c r="D412" s="10">
        <v>25</v>
      </c>
      <c r="E412" s="11" t="s">
        <v>51</v>
      </c>
      <c r="F412" s="10"/>
      <c r="G412" s="10">
        <v>0</v>
      </c>
      <c r="H412" s="10">
        <f t="shared" si="6"/>
        <v>0</v>
      </c>
      <c r="I412" s="10"/>
      <c r="J412" s="10"/>
      <c r="K412" s="10"/>
      <c r="L412" s="4" t="s">
        <v>52</v>
      </c>
      <c r="M412" s="4">
        <v>407</v>
      </c>
    </row>
    <row r="413" spans="1:13" x14ac:dyDescent="0.25">
      <c r="A413" s="4" t="s">
        <v>405</v>
      </c>
      <c r="B413" s="4" t="s">
        <v>406</v>
      </c>
      <c r="C413" s="4" t="s">
        <v>65</v>
      </c>
      <c r="D413" s="10">
        <v>391.25</v>
      </c>
      <c r="E413" s="12" t="s">
        <v>66</v>
      </c>
      <c r="F413" s="10">
        <v>3350</v>
      </c>
      <c r="G413" s="10">
        <v>0</v>
      </c>
      <c r="H413" s="10">
        <f t="shared" si="6"/>
        <v>3350</v>
      </c>
      <c r="I413" s="10">
        <v>134</v>
      </c>
      <c r="J413" s="10">
        <v>134</v>
      </c>
      <c r="K413" s="10">
        <v>134</v>
      </c>
      <c r="L413" s="4"/>
      <c r="M413" s="4">
        <v>408</v>
      </c>
    </row>
    <row r="414" spans="1:13" x14ac:dyDescent="0.25">
      <c r="A414" s="4" t="s">
        <v>407</v>
      </c>
      <c r="B414" s="4" t="s">
        <v>136</v>
      </c>
      <c r="C414" s="9" t="s">
        <v>50</v>
      </c>
      <c r="D414" s="10">
        <v>2</v>
      </c>
      <c r="E414" s="11" t="s">
        <v>51</v>
      </c>
      <c r="F414" s="10">
        <v>204.06</v>
      </c>
      <c r="G414" s="10">
        <v>0</v>
      </c>
      <c r="H414" s="10">
        <f t="shared" si="6"/>
        <v>204.06</v>
      </c>
      <c r="I414" s="10"/>
      <c r="J414" s="10"/>
      <c r="K414" s="10"/>
      <c r="L414" s="4" t="s">
        <v>52</v>
      </c>
      <c r="M414" s="4">
        <v>409</v>
      </c>
    </row>
    <row r="415" spans="1:13" x14ac:dyDescent="0.25">
      <c r="A415" s="4" t="s">
        <v>407</v>
      </c>
      <c r="B415" s="4" t="s">
        <v>88</v>
      </c>
      <c r="C415" s="9" t="s">
        <v>50</v>
      </c>
      <c r="D415" s="10">
        <v>18</v>
      </c>
      <c r="E415" s="11" t="s">
        <v>51</v>
      </c>
      <c r="F415" s="10">
        <v>1831.11</v>
      </c>
      <c r="G415" s="10">
        <v>0</v>
      </c>
      <c r="H415" s="10">
        <f t="shared" si="6"/>
        <v>1831.11</v>
      </c>
      <c r="I415" s="10"/>
      <c r="J415" s="10"/>
      <c r="K415" s="10"/>
      <c r="L415" s="4" t="s">
        <v>52</v>
      </c>
      <c r="M415" s="4">
        <v>410</v>
      </c>
    </row>
    <row r="416" spans="1:13" x14ac:dyDescent="0.25">
      <c r="A416" s="4" t="s">
        <v>407</v>
      </c>
      <c r="B416" s="4" t="s">
        <v>137</v>
      </c>
      <c r="C416" s="9" t="s">
        <v>50</v>
      </c>
      <c r="D416" s="10">
        <v>6</v>
      </c>
      <c r="E416" s="11" t="s">
        <v>51</v>
      </c>
      <c r="F416" s="10">
        <v>256.89999999999998</v>
      </c>
      <c r="G416" s="10">
        <v>0</v>
      </c>
      <c r="H416" s="10">
        <f t="shared" si="6"/>
        <v>256.89999999999998</v>
      </c>
      <c r="I416" s="10"/>
      <c r="J416" s="10"/>
      <c r="K416" s="10"/>
      <c r="L416" s="4" t="s">
        <v>52</v>
      </c>
      <c r="M416" s="4">
        <v>411</v>
      </c>
    </row>
    <row r="417" spans="1:13" x14ac:dyDescent="0.25">
      <c r="A417" s="4" t="s">
        <v>407</v>
      </c>
      <c r="B417" s="4" t="s">
        <v>106</v>
      </c>
      <c r="C417" s="9" t="s">
        <v>50</v>
      </c>
      <c r="D417" s="10">
        <v>96</v>
      </c>
      <c r="E417" s="11" t="s">
        <v>51</v>
      </c>
      <c r="F417" s="10">
        <v>9762.2800000000007</v>
      </c>
      <c r="G417" s="10">
        <v>0</v>
      </c>
      <c r="H417" s="10">
        <f t="shared" si="6"/>
        <v>9762.2800000000007</v>
      </c>
      <c r="I417" s="10"/>
      <c r="J417" s="10"/>
      <c r="K417" s="10"/>
      <c r="L417" s="4" t="s">
        <v>52</v>
      </c>
      <c r="M417" s="4">
        <v>412</v>
      </c>
    </row>
    <row r="418" spans="1:13" x14ac:dyDescent="0.25">
      <c r="A418" s="4" t="s">
        <v>407</v>
      </c>
      <c r="B418" s="4" t="s">
        <v>128</v>
      </c>
      <c r="C418" s="9" t="s">
        <v>50</v>
      </c>
      <c r="D418" s="10">
        <v>72</v>
      </c>
      <c r="E418" s="11" t="s">
        <v>51</v>
      </c>
      <c r="F418" s="10">
        <v>6165.65</v>
      </c>
      <c r="G418" s="10">
        <v>0</v>
      </c>
      <c r="H418" s="10">
        <f t="shared" si="6"/>
        <v>6165.65</v>
      </c>
      <c r="I418" s="10"/>
      <c r="J418" s="10"/>
      <c r="K418" s="10"/>
      <c r="L418" s="4" t="s">
        <v>52</v>
      </c>
      <c r="M418" s="4">
        <v>413</v>
      </c>
    </row>
    <row r="419" spans="1:13" x14ac:dyDescent="0.25">
      <c r="A419" s="4" t="s">
        <v>407</v>
      </c>
      <c r="B419" s="4" t="s">
        <v>408</v>
      </c>
      <c r="C419" s="9" t="s">
        <v>50</v>
      </c>
      <c r="D419" s="10">
        <v>8</v>
      </c>
      <c r="E419" s="11" t="s">
        <v>51</v>
      </c>
      <c r="F419" s="10">
        <v>900</v>
      </c>
      <c r="G419" s="10">
        <v>0</v>
      </c>
      <c r="H419" s="10">
        <f t="shared" si="6"/>
        <v>900</v>
      </c>
      <c r="I419" s="10"/>
      <c r="J419" s="10"/>
      <c r="K419" s="10"/>
      <c r="L419" s="4" t="s">
        <v>52</v>
      </c>
      <c r="M419" s="4">
        <v>414</v>
      </c>
    </row>
    <row r="420" spans="1:13" x14ac:dyDescent="0.25">
      <c r="A420" s="4" t="s">
        <v>407</v>
      </c>
      <c r="B420" s="4" t="s">
        <v>409</v>
      </c>
      <c r="C420" s="9" t="s">
        <v>50</v>
      </c>
      <c r="D420" s="10">
        <v>112</v>
      </c>
      <c r="E420" s="11" t="s">
        <v>51</v>
      </c>
      <c r="F420" s="10">
        <v>10640</v>
      </c>
      <c r="G420" s="10">
        <v>0</v>
      </c>
      <c r="H420" s="10">
        <f t="shared" si="6"/>
        <v>10640</v>
      </c>
      <c r="I420" s="10"/>
      <c r="J420" s="10"/>
      <c r="K420" s="10"/>
      <c r="L420" s="4" t="s">
        <v>52</v>
      </c>
      <c r="M420" s="4">
        <v>415</v>
      </c>
    </row>
    <row r="421" spans="1:13" x14ac:dyDescent="0.25">
      <c r="A421" s="4" t="s">
        <v>407</v>
      </c>
      <c r="B421" s="4" t="s">
        <v>410</v>
      </c>
      <c r="C421" s="9" t="s">
        <v>50</v>
      </c>
      <c r="D421" s="10">
        <v>36.25</v>
      </c>
      <c r="E421" s="11" t="s">
        <v>51</v>
      </c>
      <c r="F421" s="10">
        <v>3443.75</v>
      </c>
      <c r="G421" s="10">
        <v>0</v>
      </c>
      <c r="H421" s="10">
        <f t="shared" si="6"/>
        <v>3443.75</v>
      </c>
      <c r="I421" s="10"/>
      <c r="J421" s="10"/>
      <c r="K421" s="10"/>
      <c r="L421" s="4" t="s">
        <v>52</v>
      </c>
      <c r="M421" s="4">
        <v>416</v>
      </c>
    </row>
    <row r="422" spans="1:13" x14ac:dyDescent="0.25">
      <c r="A422" s="4" t="s">
        <v>407</v>
      </c>
      <c r="B422" s="4" t="s">
        <v>411</v>
      </c>
      <c r="C422" s="9" t="s">
        <v>50</v>
      </c>
      <c r="D422" s="10">
        <v>8</v>
      </c>
      <c r="E422" s="11" t="s">
        <v>51</v>
      </c>
      <c r="F422" s="10">
        <v>400</v>
      </c>
      <c r="G422" s="10">
        <v>0</v>
      </c>
      <c r="H422" s="10">
        <f t="shared" si="6"/>
        <v>400</v>
      </c>
      <c r="I422" s="10"/>
      <c r="J422" s="10"/>
      <c r="K422" s="10"/>
      <c r="L422" s="4" t="s">
        <v>52</v>
      </c>
      <c r="M422" s="4">
        <v>417</v>
      </c>
    </row>
    <row r="423" spans="1:13" x14ac:dyDescent="0.25">
      <c r="A423" s="4" t="s">
        <v>407</v>
      </c>
      <c r="B423" s="4" t="s">
        <v>412</v>
      </c>
      <c r="C423" s="9" t="s">
        <v>50</v>
      </c>
      <c r="D423" s="10">
        <v>58</v>
      </c>
      <c r="E423" s="11" t="s">
        <v>51</v>
      </c>
      <c r="F423" s="10">
        <v>900</v>
      </c>
      <c r="G423" s="10">
        <v>0</v>
      </c>
      <c r="H423" s="10">
        <f t="shared" si="6"/>
        <v>900</v>
      </c>
      <c r="I423" s="10"/>
      <c r="J423" s="10"/>
      <c r="K423" s="10"/>
      <c r="L423" s="4" t="s">
        <v>52</v>
      </c>
      <c r="M423" s="4">
        <v>418</v>
      </c>
    </row>
    <row r="424" spans="1:13" x14ac:dyDescent="0.25">
      <c r="A424" s="4" t="s">
        <v>413</v>
      </c>
      <c r="B424" s="4" t="s">
        <v>136</v>
      </c>
      <c r="C424" s="9" t="s">
        <v>50</v>
      </c>
      <c r="D424" s="10">
        <v>2</v>
      </c>
      <c r="E424" s="11" t="s">
        <v>51</v>
      </c>
      <c r="F424" s="10">
        <v>220</v>
      </c>
      <c r="G424" s="10">
        <v>0</v>
      </c>
      <c r="H424" s="10">
        <f t="shared" si="6"/>
        <v>220</v>
      </c>
      <c r="I424" s="10"/>
      <c r="J424" s="10"/>
      <c r="K424" s="10"/>
      <c r="L424" s="4" t="s">
        <v>52</v>
      </c>
      <c r="M424" s="4">
        <v>419</v>
      </c>
    </row>
    <row r="425" spans="1:13" x14ac:dyDescent="0.25">
      <c r="A425" s="4" t="s">
        <v>413</v>
      </c>
      <c r="B425" s="4" t="s">
        <v>88</v>
      </c>
      <c r="C425" s="9" t="s">
        <v>50</v>
      </c>
      <c r="D425" s="10">
        <v>18</v>
      </c>
      <c r="E425" s="11" t="s">
        <v>51</v>
      </c>
      <c r="F425" s="10">
        <v>1980</v>
      </c>
      <c r="G425" s="10">
        <v>0</v>
      </c>
      <c r="H425" s="10">
        <f t="shared" si="6"/>
        <v>1980</v>
      </c>
      <c r="I425" s="10"/>
      <c r="J425" s="10"/>
      <c r="K425" s="10"/>
      <c r="L425" s="4" t="s">
        <v>52</v>
      </c>
      <c r="M425" s="4">
        <v>420</v>
      </c>
    </row>
    <row r="426" spans="1:13" x14ac:dyDescent="0.25">
      <c r="A426" s="4" t="s">
        <v>413</v>
      </c>
      <c r="B426" s="4" t="s">
        <v>137</v>
      </c>
      <c r="C426" s="9" t="s">
        <v>50</v>
      </c>
      <c r="D426" s="10">
        <v>99</v>
      </c>
      <c r="E426" s="11" t="s">
        <v>51</v>
      </c>
      <c r="F426" s="10">
        <v>3300</v>
      </c>
      <c r="G426" s="10">
        <v>0</v>
      </c>
      <c r="H426" s="10">
        <f t="shared" si="6"/>
        <v>3300</v>
      </c>
      <c r="I426" s="10"/>
      <c r="J426" s="10"/>
      <c r="K426" s="10"/>
      <c r="L426" s="4" t="s">
        <v>52</v>
      </c>
      <c r="M426" s="4">
        <v>421</v>
      </c>
    </row>
    <row r="427" spans="1:13" x14ac:dyDescent="0.25">
      <c r="A427" s="4" t="s">
        <v>414</v>
      </c>
      <c r="B427" s="4" t="s">
        <v>415</v>
      </c>
      <c r="C427" s="4" t="s">
        <v>65</v>
      </c>
      <c r="D427" s="10">
        <v>45</v>
      </c>
      <c r="E427" s="12" t="s">
        <v>66</v>
      </c>
      <c r="F427" s="10">
        <v>6000</v>
      </c>
      <c r="G427" s="10">
        <v>0</v>
      </c>
      <c r="H427" s="10">
        <f t="shared" si="6"/>
        <v>6000</v>
      </c>
      <c r="I427" s="10">
        <v>133.33333333333329</v>
      </c>
      <c r="J427" s="10">
        <v>133.33333333333329</v>
      </c>
      <c r="K427" s="10">
        <v>133.33333333333329</v>
      </c>
      <c r="L427" s="4"/>
      <c r="M427" s="4">
        <v>422</v>
      </c>
    </row>
    <row r="428" spans="1:13" x14ac:dyDescent="0.25">
      <c r="A428" s="4" t="s">
        <v>414</v>
      </c>
      <c r="B428" s="4" t="s">
        <v>416</v>
      </c>
      <c r="C428" s="4" t="s">
        <v>68</v>
      </c>
      <c r="D428" s="10">
        <v>91.75</v>
      </c>
      <c r="E428" s="11" t="s">
        <v>51</v>
      </c>
      <c r="F428" s="10">
        <v>3120</v>
      </c>
      <c r="G428" s="10">
        <v>0</v>
      </c>
      <c r="H428" s="10">
        <f t="shared" si="6"/>
        <v>3120</v>
      </c>
      <c r="I428" s="10"/>
      <c r="J428" s="10"/>
      <c r="K428" s="10"/>
      <c r="L428" s="4" t="s">
        <v>69</v>
      </c>
      <c r="M428" s="4">
        <v>423</v>
      </c>
    </row>
    <row r="429" spans="1:13" x14ac:dyDescent="0.25">
      <c r="A429" s="4" t="s">
        <v>417</v>
      </c>
      <c r="B429" s="4" t="s">
        <v>418</v>
      </c>
      <c r="C429" s="4" t="s">
        <v>65</v>
      </c>
      <c r="D429" s="10">
        <v>31.75</v>
      </c>
      <c r="E429" s="12" t="s">
        <v>66</v>
      </c>
      <c r="F429" s="10">
        <v>2850</v>
      </c>
      <c r="G429" s="10">
        <v>0</v>
      </c>
      <c r="H429" s="10">
        <f t="shared" si="6"/>
        <v>2850</v>
      </c>
      <c r="I429" s="10">
        <v>89.763779527559052</v>
      </c>
      <c r="J429" s="10">
        <v>89.763779527559052</v>
      </c>
      <c r="K429" s="10">
        <v>89.763779527559052</v>
      </c>
      <c r="L429" s="4"/>
      <c r="M429" s="4">
        <v>424</v>
      </c>
    </row>
    <row r="430" spans="1:13" x14ac:dyDescent="0.25">
      <c r="A430" s="4" t="s">
        <v>417</v>
      </c>
      <c r="B430" s="4" t="s">
        <v>419</v>
      </c>
      <c r="C430" s="4" t="s">
        <v>68</v>
      </c>
      <c r="D430" s="10">
        <v>56</v>
      </c>
      <c r="E430" s="11" t="s">
        <v>51</v>
      </c>
      <c r="F430" s="10">
        <v>3420</v>
      </c>
      <c r="G430" s="10">
        <v>0</v>
      </c>
      <c r="H430" s="10">
        <f t="shared" si="6"/>
        <v>3420</v>
      </c>
      <c r="I430" s="10"/>
      <c r="J430" s="10"/>
      <c r="K430" s="10"/>
      <c r="L430" s="4" t="s">
        <v>69</v>
      </c>
      <c r="M430" s="4">
        <v>425</v>
      </c>
    </row>
    <row r="431" spans="1:13" x14ac:dyDescent="0.25">
      <c r="A431" s="4" t="s">
        <v>420</v>
      </c>
      <c r="B431" s="4" t="s">
        <v>421</v>
      </c>
      <c r="C431" s="9" t="s">
        <v>50</v>
      </c>
      <c r="D431" s="10">
        <v>20</v>
      </c>
      <c r="E431" s="11" t="s">
        <v>51</v>
      </c>
      <c r="F431" s="10">
        <v>1700</v>
      </c>
      <c r="G431" s="10">
        <v>0</v>
      </c>
      <c r="H431" s="10">
        <f t="shared" si="6"/>
        <v>1700</v>
      </c>
      <c r="I431" s="10"/>
      <c r="J431" s="10"/>
      <c r="K431" s="10"/>
      <c r="L431" s="4" t="s">
        <v>52</v>
      </c>
      <c r="M431" s="4">
        <v>426</v>
      </c>
    </row>
    <row r="432" spans="1:13" x14ac:dyDescent="0.25">
      <c r="A432" s="4" t="s">
        <v>422</v>
      </c>
      <c r="B432" s="4" t="s">
        <v>270</v>
      </c>
      <c r="C432" s="9" t="s">
        <v>50</v>
      </c>
      <c r="D432" s="10"/>
      <c r="E432" s="11" t="s">
        <v>51</v>
      </c>
      <c r="F432" s="10"/>
      <c r="G432" s="10">
        <v>0</v>
      </c>
      <c r="H432" s="10">
        <f t="shared" si="6"/>
        <v>0</v>
      </c>
      <c r="I432" s="10"/>
      <c r="J432" s="10"/>
      <c r="K432" s="10"/>
      <c r="L432" s="4" t="s">
        <v>52</v>
      </c>
      <c r="M432" s="4">
        <v>427</v>
      </c>
    </row>
    <row r="433" spans="1:13" x14ac:dyDescent="0.25">
      <c r="A433" s="4" t="s">
        <v>422</v>
      </c>
      <c r="B433" s="4" t="s">
        <v>136</v>
      </c>
      <c r="C433" s="9" t="s">
        <v>50</v>
      </c>
      <c r="D433" s="10"/>
      <c r="E433" s="11" t="s">
        <v>51</v>
      </c>
      <c r="F433" s="10"/>
      <c r="G433" s="10">
        <v>0</v>
      </c>
      <c r="H433" s="10">
        <f t="shared" si="6"/>
        <v>0</v>
      </c>
      <c r="I433" s="10"/>
      <c r="J433" s="10"/>
      <c r="K433" s="10"/>
      <c r="L433" s="4" t="s">
        <v>52</v>
      </c>
      <c r="M433" s="4">
        <v>428</v>
      </c>
    </row>
    <row r="434" spans="1:13" x14ac:dyDescent="0.25">
      <c r="A434" s="4" t="s">
        <v>422</v>
      </c>
      <c r="B434" s="4" t="s">
        <v>82</v>
      </c>
      <c r="C434" s="9" t="s">
        <v>50</v>
      </c>
      <c r="D434" s="10"/>
      <c r="E434" s="11" t="s">
        <v>51</v>
      </c>
      <c r="F434" s="10"/>
      <c r="G434" s="10">
        <v>0</v>
      </c>
      <c r="H434" s="10">
        <f t="shared" si="6"/>
        <v>0</v>
      </c>
      <c r="I434" s="10"/>
      <c r="J434" s="10"/>
      <c r="K434" s="10"/>
      <c r="L434" s="4" t="s">
        <v>52</v>
      </c>
      <c r="M434" s="4">
        <v>429</v>
      </c>
    </row>
    <row r="435" spans="1:13" x14ac:dyDescent="0.25">
      <c r="A435" s="4" t="s">
        <v>422</v>
      </c>
      <c r="B435" s="4" t="s">
        <v>88</v>
      </c>
      <c r="C435" s="9" t="s">
        <v>50</v>
      </c>
      <c r="D435" s="10"/>
      <c r="E435" s="11" t="s">
        <v>51</v>
      </c>
      <c r="F435" s="10"/>
      <c r="G435" s="10">
        <v>0</v>
      </c>
      <c r="H435" s="10">
        <f t="shared" si="6"/>
        <v>0</v>
      </c>
      <c r="I435" s="10"/>
      <c r="J435" s="10"/>
      <c r="K435" s="10"/>
      <c r="L435" s="4" t="s">
        <v>52</v>
      </c>
      <c r="M435" s="4">
        <v>430</v>
      </c>
    </row>
    <row r="436" spans="1:13" x14ac:dyDescent="0.25">
      <c r="A436" s="4" t="s">
        <v>422</v>
      </c>
      <c r="B436" s="4" t="s">
        <v>137</v>
      </c>
      <c r="C436" s="9" t="s">
        <v>50</v>
      </c>
      <c r="D436" s="10"/>
      <c r="E436" s="11" t="s">
        <v>51</v>
      </c>
      <c r="F436" s="10"/>
      <c r="G436" s="10">
        <v>0</v>
      </c>
      <c r="H436" s="10">
        <f t="shared" si="6"/>
        <v>0</v>
      </c>
      <c r="I436" s="10"/>
      <c r="J436" s="10"/>
      <c r="K436" s="10"/>
      <c r="L436" s="4" t="s">
        <v>52</v>
      </c>
      <c r="M436" s="4">
        <v>431</v>
      </c>
    </row>
    <row r="437" spans="1:13" x14ac:dyDescent="0.25">
      <c r="A437" s="4" t="s">
        <v>422</v>
      </c>
      <c r="B437" s="4" t="s">
        <v>106</v>
      </c>
      <c r="C437" s="9" t="s">
        <v>50</v>
      </c>
      <c r="D437" s="10"/>
      <c r="E437" s="11" t="s">
        <v>51</v>
      </c>
      <c r="F437" s="10"/>
      <c r="G437" s="10">
        <v>0</v>
      </c>
      <c r="H437" s="10">
        <f t="shared" si="6"/>
        <v>0</v>
      </c>
      <c r="I437" s="10"/>
      <c r="J437" s="10"/>
      <c r="K437" s="10"/>
      <c r="L437" s="4" t="s">
        <v>52</v>
      </c>
      <c r="M437" s="4">
        <v>432</v>
      </c>
    </row>
    <row r="438" spans="1:13" x14ac:dyDescent="0.25">
      <c r="A438" s="4" t="s">
        <v>422</v>
      </c>
      <c r="B438" s="4" t="s">
        <v>271</v>
      </c>
      <c r="C438" s="9" t="s">
        <v>50</v>
      </c>
      <c r="D438" s="10"/>
      <c r="E438" s="11" t="s">
        <v>51</v>
      </c>
      <c r="F438" s="10"/>
      <c r="G438" s="10">
        <v>0</v>
      </c>
      <c r="H438" s="10">
        <f t="shared" si="6"/>
        <v>0</v>
      </c>
      <c r="I438" s="10"/>
      <c r="J438" s="10"/>
      <c r="K438" s="10"/>
      <c r="L438" s="4" t="s">
        <v>52</v>
      </c>
      <c r="M438" s="4">
        <v>433</v>
      </c>
    </row>
    <row r="439" spans="1:13" x14ac:dyDescent="0.25">
      <c r="A439" s="4" t="s">
        <v>422</v>
      </c>
      <c r="B439" s="4" t="s">
        <v>272</v>
      </c>
      <c r="C439" s="9" t="s">
        <v>50</v>
      </c>
      <c r="D439" s="10"/>
      <c r="E439" s="11" t="s">
        <v>51</v>
      </c>
      <c r="F439" s="10"/>
      <c r="G439" s="10">
        <v>0</v>
      </c>
      <c r="H439" s="10">
        <f t="shared" si="6"/>
        <v>0</v>
      </c>
      <c r="I439" s="10"/>
      <c r="J439" s="10"/>
      <c r="K439" s="10"/>
      <c r="L439" s="4" t="s">
        <v>52</v>
      </c>
      <c r="M439" s="4">
        <v>434</v>
      </c>
    </row>
    <row r="440" spans="1:13" x14ac:dyDescent="0.25">
      <c r="A440" s="4" t="s">
        <v>422</v>
      </c>
      <c r="B440" s="4" t="s">
        <v>107</v>
      </c>
      <c r="C440" s="9" t="s">
        <v>50</v>
      </c>
      <c r="D440" s="10"/>
      <c r="E440" s="11" t="s">
        <v>51</v>
      </c>
      <c r="F440" s="10"/>
      <c r="G440" s="10">
        <v>0</v>
      </c>
      <c r="H440" s="10">
        <f t="shared" si="6"/>
        <v>0</v>
      </c>
      <c r="I440" s="10"/>
      <c r="J440" s="10"/>
      <c r="K440" s="10"/>
      <c r="L440" s="4" t="s">
        <v>52</v>
      </c>
      <c r="M440" s="4">
        <v>435</v>
      </c>
    </row>
    <row r="441" spans="1:13" x14ac:dyDescent="0.25">
      <c r="A441" s="4" t="s">
        <v>422</v>
      </c>
      <c r="B441" s="4" t="s">
        <v>128</v>
      </c>
      <c r="C441" s="9" t="s">
        <v>50</v>
      </c>
      <c r="D441" s="10">
        <v>80</v>
      </c>
      <c r="E441" s="11" t="s">
        <v>51</v>
      </c>
      <c r="F441" s="10"/>
      <c r="G441" s="10">
        <v>0</v>
      </c>
      <c r="H441" s="10">
        <f t="shared" si="6"/>
        <v>0</v>
      </c>
      <c r="I441" s="10"/>
      <c r="J441" s="10"/>
      <c r="K441" s="10"/>
      <c r="L441" s="4" t="s">
        <v>52</v>
      </c>
      <c r="M441" s="4">
        <v>436</v>
      </c>
    </row>
    <row r="442" spans="1:13" x14ac:dyDescent="0.25">
      <c r="A442" s="4" t="s">
        <v>423</v>
      </c>
      <c r="B442" s="4" t="s">
        <v>128</v>
      </c>
      <c r="C442" s="9" t="s">
        <v>50</v>
      </c>
      <c r="D442" s="10">
        <v>160</v>
      </c>
      <c r="E442" s="11" t="s">
        <v>51</v>
      </c>
      <c r="F442" s="10">
        <v>6000</v>
      </c>
      <c r="G442" s="10">
        <v>0</v>
      </c>
      <c r="H442" s="10">
        <f t="shared" si="6"/>
        <v>6000</v>
      </c>
      <c r="I442" s="10"/>
      <c r="J442" s="10"/>
      <c r="K442" s="10"/>
      <c r="L442" s="4" t="s">
        <v>52</v>
      </c>
      <c r="M442" s="4">
        <v>437</v>
      </c>
    </row>
    <row r="443" spans="1:13" x14ac:dyDescent="0.25">
      <c r="A443" s="4" t="s">
        <v>424</v>
      </c>
      <c r="B443" s="4" t="s">
        <v>425</v>
      </c>
      <c r="C443" s="4" t="s">
        <v>68</v>
      </c>
      <c r="D443" s="10">
        <v>282.98</v>
      </c>
      <c r="E443" s="11" t="s">
        <v>51</v>
      </c>
      <c r="F443" s="10">
        <v>8000</v>
      </c>
      <c r="G443" s="10">
        <v>0</v>
      </c>
      <c r="H443" s="10">
        <f t="shared" si="6"/>
        <v>8000</v>
      </c>
      <c r="I443" s="10"/>
      <c r="J443" s="10"/>
      <c r="K443" s="10"/>
      <c r="L443" s="4" t="s">
        <v>69</v>
      </c>
      <c r="M443" s="4">
        <v>438</v>
      </c>
    </row>
    <row r="444" spans="1:13" x14ac:dyDescent="0.25">
      <c r="A444" s="4" t="s">
        <v>426</v>
      </c>
      <c r="B444" s="4" t="s">
        <v>136</v>
      </c>
      <c r="C444" s="9" t="s">
        <v>50</v>
      </c>
      <c r="D444" s="10">
        <v>36</v>
      </c>
      <c r="E444" s="11" t="s">
        <v>51</v>
      </c>
      <c r="F444" s="10">
        <v>3060</v>
      </c>
      <c r="G444" s="10">
        <v>0</v>
      </c>
      <c r="H444" s="10">
        <f t="shared" si="6"/>
        <v>3060</v>
      </c>
      <c r="I444" s="10"/>
      <c r="J444" s="10"/>
      <c r="K444" s="10"/>
      <c r="L444" s="4" t="s">
        <v>52</v>
      </c>
      <c r="M444" s="4">
        <v>439</v>
      </c>
    </row>
    <row r="445" spans="1:13" x14ac:dyDescent="0.25">
      <c r="A445" s="4" t="s">
        <v>426</v>
      </c>
      <c r="B445" s="4" t="s">
        <v>82</v>
      </c>
      <c r="C445" s="9" t="s">
        <v>50</v>
      </c>
      <c r="D445" s="10">
        <v>52</v>
      </c>
      <c r="E445" s="11" t="s">
        <v>51</v>
      </c>
      <c r="F445" s="10">
        <v>4420</v>
      </c>
      <c r="G445" s="10">
        <v>0</v>
      </c>
      <c r="H445" s="10">
        <f t="shared" si="6"/>
        <v>4420</v>
      </c>
      <c r="I445" s="10"/>
      <c r="J445" s="10"/>
      <c r="K445" s="10"/>
      <c r="L445" s="4" t="s">
        <v>52</v>
      </c>
      <c r="M445" s="4">
        <v>440</v>
      </c>
    </row>
    <row r="446" spans="1:13" x14ac:dyDescent="0.25">
      <c r="A446" s="4" t="s">
        <v>426</v>
      </c>
      <c r="B446" s="4" t="s">
        <v>88</v>
      </c>
      <c r="C446" s="9" t="s">
        <v>50</v>
      </c>
      <c r="D446" s="10">
        <v>40</v>
      </c>
      <c r="E446" s="11" t="s">
        <v>51</v>
      </c>
      <c r="F446" s="10">
        <v>3400</v>
      </c>
      <c r="G446" s="10">
        <v>0</v>
      </c>
      <c r="H446" s="10">
        <f t="shared" si="6"/>
        <v>3400</v>
      </c>
      <c r="I446" s="10"/>
      <c r="J446" s="10"/>
      <c r="K446" s="10"/>
      <c r="L446" s="4" t="s">
        <v>52</v>
      </c>
      <c r="M446" s="4">
        <v>441</v>
      </c>
    </row>
    <row r="447" spans="1:13" x14ac:dyDescent="0.25">
      <c r="A447" s="4" t="s">
        <v>426</v>
      </c>
      <c r="B447" s="4" t="s">
        <v>137</v>
      </c>
      <c r="C447" s="9" t="s">
        <v>50</v>
      </c>
      <c r="D447" s="10">
        <v>75</v>
      </c>
      <c r="E447" s="11" t="s">
        <v>51</v>
      </c>
      <c r="F447" s="10">
        <v>3750</v>
      </c>
      <c r="G447" s="10">
        <v>0</v>
      </c>
      <c r="H447" s="10">
        <f t="shared" si="6"/>
        <v>3750</v>
      </c>
      <c r="I447" s="10"/>
      <c r="J447" s="10"/>
      <c r="K447" s="10"/>
      <c r="L447" s="4" t="s">
        <v>52</v>
      </c>
      <c r="M447" s="4">
        <v>442</v>
      </c>
    </row>
    <row r="448" spans="1:13" x14ac:dyDescent="0.25">
      <c r="A448" s="4" t="s">
        <v>426</v>
      </c>
      <c r="B448" s="4" t="s">
        <v>427</v>
      </c>
      <c r="C448" s="9" t="s">
        <v>50</v>
      </c>
      <c r="D448" s="10">
        <v>30</v>
      </c>
      <c r="E448" s="11" t="s">
        <v>51</v>
      </c>
      <c r="F448" s="10"/>
      <c r="G448" s="10">
        <v>0</v>
      </c>
      <c r="H448" s="10">
        <f t="shared" si="6"/>
        <v>0</v>
      </c>
      <c r="I448" s="10"/>
      <c r="J448" s="10"/>
      <c r="K448" s="10"/>
      <c r="L448" s="4" t="s">
        <v>52</v>
      </c>
      <c r="M448" s="4">
        <v>443</v>
      </c>
    </row>
    <row r="449" spans="1:13" x14ac:dyDescent="0.25">
      <c r="A449" s="4" t="s">
        <v>428</v>
      </c>
      <c r="B449" s="4" t="s">
        <v>429</v>
      </c>
      <c r="C449" s="4" t="s">
        <v>68</v>
      </c>
      <c r="D449" s="10">
        <v>30</v>
      </c>
      <c r="E449" s="11" t="s">
        <v>51</v>
      </c>
      <c r="F449" s="10">
        <v>3600</v>
      </c>
      <c r="G449" s="10">
        <v>0</v>
      </c>
      <c r="H449" s="10">
        <f t="shared" si="6"/>
        <v>3600</v>
      </c>
      <c r="I449" s="10"/>
      <c r="J449" s="10"/>
      <c r="K449" s="10"/>
      <c r="L449" s="4" t="s">
        <v>69</v>
      </c>
      <c r="M449" s="4">
        <v>444</v>
      </c>
    </row>
    <row r="450" spans="1:13" x14ac:dyDescent="0.25">
      <c r="A450" s="4" t="s">
        <v>428</v>
      </c>
      <c r="B450" s="4" t="s">
        <v>430</v>
      </c>
      <c r="C450" s="4" t="s">
        <v>68</v>
      </c>
      <c r="D450" s="10">
        <v>157</v>
      </c>
      <c r="E450" s="11" t="s">
        <v>51</v>
      </c>
      <c r="F450" s="10">
        <v>3600</v>
      </c>
      <c r="G450" s="10">
        <v>0</v>
      </c>
      <c r="H450" s="10">
        <f t="shared" si="6"/>
        <v>3600</v>
      </c>
      <c r="I450" s="10"/>
      <c r="J450" s="10"/>
      <c r="K450" s="10"/>
      <c r="L450" s="4" t="s">
        <v>69</v>
      </c>
      <c r="M450" s="4">
        <v>445</v>
      </c>
    </row>
    <row r="451" spans="1:13" x14ac:dyDescent="0.25">
      <c r="A451" s="4" t="s">
        <v>431</v>
      </c>
      <c r="B451" s="4" t="s">
        <v>432</v>
      </c>
      <c r="C451" s="4" t="s">
        <v>68</v>
      </c>
      <c r="D451" s="10">
        <v>12</v>
      </c>
      <c r="E451" s="11" t="s">
        <v>51</v>
      </c>
      <c r="F451" s="10">
        <v>1440</v>
      </c>
      <c r="G451" s="10">
        <v>0</v>
      </c>
      <c r="H451" s="10">
        <f t="shared" si="6"/>
        <v>1440</v>
      </c>
      <c r="I451" s="10"/>
      <c r="J451" s="10"/>
      <c r="K451" s="10"/>
      <c r="L451" s="4" t="s">
        <v>69</v>
      </c>
      <c r="M451" s="4">
        <v>446</v>
      </c>
    </row>
    <row r="452" spans="1:13" x14ac:dyDescent="0.25">
      <c r="A452" s="4" t="s">
        <v>431</v>
      </c>
      <c r="B452" s="4" t="s">
        <v>433</v>
      </c>
      <c r="C452" s="4" t="s">
        <v>68</v>
      </c>
      <c r="D452" s="10">
        <v>36</v>
      </c>
      <c r="E452" s="11" t="s">
        <v>51</v>
      </c>
      <c r="F452" s="10">
        <v>4320</v>
      </c>
      <c r="G452" s="10">
        <v>0</v>
      </c>
      <c r="H452" s="10">
        <f t="shared" si="6"/>
        <v>4320</v>
      </c>
      <c r="I452" s="10"/>
      <c r="J452" s="10"/>
      <c r="K452" s="10"/>
      <c r="L452" s="4" t="s">
        <v>69</v>
      </c>
      <c r="M452" s="4">
        <v>447</v>
      </c>
    </row>
    <row r="453" spans="1:13" x14ac:dyDescent="0.25">
      <c r="A453" s="4" t="s">
        <v>431</v>
      </c>
      <c r="B453" s="4" t="s">
        <v>434</v>
      </c>
      <c r="C453" s="4" t="s">
        <v>68</v>
      </c>
      <c r="D453" s="10">
        <v>24</v>
      </c>
      <c r="E453" s="11" t="s">
        <v>51</v>
      </c>
      <c r="F453" s="10">
        <v>2880</v>
      </c>
      <c r="G453" s="10">
        <v>0</v>
      </c>
      <c r="H453" s="10">
        <f t="shared" si="6"/>
        <v>2880</v>
      </c>
      <c r="I453" s="10"/>
      <c r="J453" s="10"/>
      <c r="K453" s="10"/>
      <c r="L453" s="4" t="s">
        <v>69</v>
      </c>
      <c r="M453" s="4">
        <v>448</v>
      </c>
    </row>
    <row r="454" spans="1:13" x14ac:dyDescent="0.25">
      <c r="A454" s="4" t="s">
        <v>431</v>
      </c>
      <c r="B454" s="4" t="s">
        <v>435</v>
      </c>
      <c r="C454" s="4" t="s">
        <v>65</v>
      </c>
      <c r="D454" s="10">
        <v>38</v>
      </c>
      <c r="E454" s="12" t="s">
        <v>66</v>
      </c>
      <c r="F454" s="10">
        <v>3200</v>
      </c>
      <c r="G454" s="10">
        <v>0</v>
      </c>
      <c r="H454" s="10">
        <f t="shared" ref="H454:H517" si="7">F454-G454</f>
        <v>3200</v>
      </c>
      <c r="I454" s="10">
        <v>84.21052631578948</v>
      </c>
      <c r="J454" s="10">
        <v>84.21052631578948</v>
      </c>
      <c r="K454" s="10">
        <v>84.21052631578948</v>
      </c>
      <c r="L454" s="4"/>
      <c r="M454" s="4">
        <v>449</v>
      </c>
    </row>
    <row r="455" spans="1:13" x14ac:dyDescent="0.25">
      <c r="A455" s="4" t="s">
        <v>431</v>
      </c>
      <c r="B455" s="4" t="s">
        <v>436</v>
      </c>
      <c r="C455" s="4" t="s">
        <v>65</v>
      </c>
      <c r="D455" s="10">
        <v>65</v>
      </c>
      <c r="E455" s="12" t="s">
        <v>66</v>
      </c>
      <c r="F455" s="10">
        <v>3800</v>
      </c>
      <c r="G455" s="10">
        <v>0</v>
      </c>
      <c r="H455" s="10">
        <f t="shared" si="7"/>
        <v>3800</v>
      </c>
      <c r="I455" s="10">
        <v>80.851063829787236</v>
      </c>
      <c r="J455" s="10">
        <v>80.851063829787236</v>
      </c>
      <c r="K455" s="10">
        <v>80.851063829787236</v>
      </c>
      <c r="L455" s="4"/>
      <c r="M455" s="4">
        <v>450</v>
      </c>
    </row>
    <row r="456" spans="1:13" x14ac:dyDescent="0.25">
      <c r="A456" s="4" t="s">
        <v>437</v>
      </c>
      <c r="B456" s="4" t="s">
        <v>438</v>
      </c>
      <c r="C456" s="4" t="s">
        <v>65</v>
      </c>
      <c r="D456" s="10">
        <v>70</v>
      </c>
      <c r="E456" s="12" t="s">
        <v>66</v>
      </c>
      <c r="F456" s="10">
        <v>2800</v>
      </c>
      <c r="G456" s="10">
        <v>0</v>
      </c>
      <c r="H456" s="10">
        <f t="shared" si="7"/>
        <v>2800</v>
      </c>
      <c r="I456" s="10">
        <v>155.55555555555549</v>
      </c>
      <c r="J456" s="10">
        <v>155.55555555555549</v>
      </c>
      <c r="K456" s="10">
        <v>155.55555555555549</v>
      </c>
      <c r="L456" s="4"/>
      <c r="M456" s="4">
        <v>451</v>
      </c>
    </row>
    <row r="457" spans="1:13" x14ac:dyDescent="0.25">
      <c r="A457" s="4" t="s">
        <v>439</v>
      </c>
      <c r="B457" s="4" t="s">
        <v>440</v>
      </c>
      <c r="C457" s="4" t="s">
        <v>68</v>
      </c>
      <c r="D457" s="10">
        <v>36</v>
      </c>
      <c r="E457" s="11" t="s">
        <v>51</v>
      </c>
      <c r="F457" s="10">
        <v>3960</v>
      </c>
      <c r="G457" s="10">
        <v>0</v>
      </c>
      <c r="H457" s="10">
        <f t="shared" si="7"/>
        <v>3960</v>
      </c>
      <c r="I457" s="10"/>
      <c r="J457" s="10"/>
      <c r="K457" s="10"/>
      <c r="L457" s="4" t="s">
        <v>69</v>
      </c>
      <c r="M457" s="4">
        <v>452</v>
      </c>
    </row>
    <row r="458" spans="1:13" x14ac:dyDescent="0.25">
      <c r="A458" s="4" t="s">
        <v>439</v>
      </c>
      <c r="B458" s="4" t="s">
        <v>441</v>
      </c>
      <c r="C458" s="4" t="s">
        <v>68</v>
      </c>
      <c r="D458" s="10">
        <v>53</v>
      </c>
      <c r="E458" s="11" t="s">
        <v>51</v>
      </c>
      <c r="F458" s="10">
        <v>1760</v>
      </c>
      <c r="G458" s="10">
        <v>0</v>
      </c>
      <c r="H458" s="10">
        <f t="shared" si="7"/>
        <v>1760</v>
      </c>
      <c r="I458" s="10"/>
      <c r="J458" s="10"/>
      <c r="K458" s="10"/>
      <c r="L458" s="4" t="s">
        <v>69</v>
      </c>
      <c r="M458" s="4">
        <v>453</v>
      </c>
    </row>
    <row r="459" spans="1:13" x14ac:dyDescent="0.25">
      <c r="A459" s="4" t="s">
        <v>442</v>
      </c>
      <c r="B459" s="4" t="s">
        <v>443</v>
      </c>
      <c r="C459" s="9" t="s">
        <v>50</v>
      </c>
      <c r="D459" s="10">
        <v>11</v>
      </c>
      <c r="E459" s="11" t="s">
        <v>51</v>
      </c>
      <c r="F459" s="10">
        <v>1250</v>
      </c>
      <c r="G459" s="10">
        <v>0</v>
      </c>
      <c r="H459" s="10">
        <f t="shared" si="7"/>
        <v>1250</v>
      </c>
      <c r="I459" s="10"/>
      <c r="J459" s="10"/>
      <c r="K459" s="10"/>
      <c r="L459" s="4" t="s">
        <v>52</v>
      </c>
      <c r="M459" s="4">
        <v>454</v>
      </c>
    </row>
    <row r="460" spans="1:13" x14ac:dyDescent="0.25">
      <c r="A460" s="4" t="s">
        <v>442</v>
      </c>
      <c r="B460" s="4" t="s">
        <v>444</v>
      </c>
      <c r="C460" s="9" t="s">
        <v>50</v>
      </c>
      <c r="D460" s="10">
        <v>102</v>
      </c>
      <c r="E460" s="11" t="s">
        <v>51</v>
      </c>
      <c r="F460" s="10">
        <v>2090</v>
      </c>
      <c r="G460" s="10">
        <v>0</v>
      </c>
      <c r="H460" s="10">
        <f t="shared" si="7"/>
        <v>2090</v>
      </c>
      <c r="I460" s="10"/>
      <c r="J460" s="10"/>
      <c r="K460" s="10"/>
      <c r="L460" s="4" t="s">
        <v>52</v>
      </c>
      <c r="M460" s="4">
        <v>455</v>
      </c>
    </row>
    <row r="461" spans="1:13" x14ac:dyDescent="0.25">
      <c r="A461" s="4" t="s">
        <v>445</v>
      </c>
      <c r="B461" s="4" t="s">
        <v>446</v>
      </c>
      <c r="C461" s="9" t="s">
        <v>50</v>
      </c>
      <c r="D461" s="10">
        <v>28</v>
      </c>
      <c r="E461" s="11" t="s">
        <v>51</v>
      </c>
      <c r="F461" s="10"/>
      <c r="G461" s="10">
        <v>0</v>
      </c>
      <c r="H461" s="10">
        <f t="shared" si="7"/>
        <v>0</v>
      </c>
      <c r="I461" s="10"/>
      <c r="J461" s="10"/>
      <c r="K461" s="10"/>
      <c r="L461" s="4" t="s">
        <v>52</v>
      </c>
      <c r="M461" s="4">
        <v>456</v>
      </c>
    </row>
    <row r="462" spans="1:13" x14ac:dyDescent="0.25">
      <c r="A462" s="4" t="s">
        <v>445</v>
      </c>
      <c r="B462" s="4" t="s">
        <v>447</v>
      </c>
      <c r="C462" s="9" t="s">
        <v>50</v>
      </c>
      <c r="D462" s="10">
        <v>16</v>
      </c>
      <c r="E462" s="11" t="s">
        <v>51</v>
      </c>
      <c r="F462" s="10"/>
      <c r="G462" s="10">
        <v>0</v>
      </c>
      <c r="H462" s="10">
        <f t="shared" si="7"/>
        <v>0</v>
      </c>
      <c r="I462" s="10"/>
      <c r="J462" s="10"/>
      <c r="K462" s="10"/>
      <c r="L462" s="4" t="s">
        <v>52</v>
      </c>
      <c r="M462" s="4">
        <v>457</v>
      </c>
    </row>
    <row r="463" spans="1:13" x14ac:dyDescent="0.25">
      <c r="A463" s="4" t="s">
        <v>445</v>
      </c>
      <c r="B463" s="4" t="s">
        <v>448</v>
      </c>
      <c r="C463" s="4" t="s">
        <v>68</v>
      </c>
      <c r="D463" s="10">
        <v>24</v>
      </c>
      <c r="E463" s="11" t="s">
        <v>51</v>
      </c>
      <c r="F463" s="10"/>
      <c r="G463" s="10">
        <v>0</v>
      </c>
      <c r="H463" s="10">
        <f t="shared" si="7"/>
        <v>0</v>
      </c>
      <c r="I463" s="10"/>
      <c r="J463" s="10"/>
      <c r="K463" s="10"/>
      <c r="L463" s="4" t="s">
        <v>69</v>
      </c>
      <c r="M463" s="4">
        <v>458</v>
      </c>
    </row>
    <row r="464" spans="1:13" x14ac:dyDescent="0.25">
      <c r="A464" s="4" t="s">
        <v>445</v>
      </c>
      <c r="B464" s="4" t="s">
        <v>449</v>
      </c>
      <c r="C464" s="4" t="s">
        <v>68</v>
      </c>
      <c r="D464" s="10">
        <v>24</v>
      </c>
      <c r="E464" s="11" t="s">
        <v>51</v>
      </c>
      <c r="F464" s="10"/>
      <c r="G464" s="10">
        <v>0</v>
      </c>
      <c r="H464" s="10">
        <f t="shared" si="7"/>
        <v>0</v>
      </c>
      <c r="I464" s="10"/>
      <c r="J464" s="10"/>
      <c r="K464" s="10"/>
      <c r="L464" s="4" t="s">
        <v>69</v>
      </c>
      <c r="M464" s="4">
        <v>459</v>
      </c>
    </row>
    <row r="465" spans="1:13" x14ac:dyDescent="0.25">
      <c r="A465" s="4" t="s">
        <v>450</v>
      </c>
      <c r="B465" s="4" t="s">
        <v>451</v>
      </c>
      <c r="C465" s="4" t="s">
        <v>68</v>
      </c>
      <c r="D465" s="10">
        <v>141</v>
      </c>
      <c r="E465" s="11" t="s">
        <v>51</v>
      </c>
      <c r="F465" s="10">
        <v>1760</v>
      </c>
      <c r="G465" s="10">
        <v>0</v>
      </c>
      <c r="H465" s="10">
        <f t="shared" si="7"/>
        <v>1760</v>
      </c>
      <c r="I465" s="10"/>
      <c r="J465" s="10"/>
      <c r="K465" s="10"/>
      <c r="L465" s="4" t="s">
        <v>69</v>
      </c>
      <c r="M465" s="4">
        <v>460</v>
      </c>
    </row>
    <row r="466" spans="1:13" x14ac:dyDescent="0.25">
      <c r="A466" s="4" t="s">
        <v>452</v>
      </c>
      <c r="B466" s="4" t="s">
        <v>453</v>
      </c>
      <c r="C466" s="4" t="s">
        <v>65</v>
      </c>
      <c r="D466" s="10">
        <v>65</v>
      </c>
      <c r="E466" s="12" t="s">
        <v>66</v>
      </c>
      <c r="F466" s="10">
        <v>5200</v>
      </c>
      <c r="G466" s="10">
        <v>0</v>
      </c>
      <c r="H466" s="10">
        <f t="shared" si="7"/>
        <v>5200</v>
      </c>
      <c r="I466" s="10">
        <v>80</v>
      </c>
      <c r="J466" s="10">
        <v>80</v>
      </c>
      <c r="K466" s="10">
        <v>80</v>
      </c>
      <c r="L466" s="4"/>
      <c r="M466" s="4">
        <v>461</v>
      </c>
    </row>
    <row r="467" spans="1:13" x14ac:dyDescent="0.25">
      <c r="A467" s="4" t="s">
        <v>452</v>
      </c>
      <c r="B467" s="4" t="s">
        <v>454</v>
      </c>
      <c r="C467" s="4" t="s">
        <v>65</v>
      </c>
      <c r="D467" s="10">
        <v>76</v>
      </c>
      <c r="E467" s="12" t="s">
        <v>66</v>
      </c>
      <c r="F467" s="10">
        <v>4800</v>
      </c>
      <c r="G467" s="10">
        <v>0</v>
      </c>
      <c r="H467" s="10">
        <f t="shared" si="7"/>
        <v>4800</v>
      </c>
      <c r="I467" s="10">
        <v>80</v>
      </c>
      <c r="J467" s="10">
        <v>80</v>
      </c>
      <c r="K467" s="10">
        <v>80</v>
      </c>
      <c r="L467" s="4"/>
      <c r="M467" s="4">
        <v>462</v>
      </c>
    </row>
    <row r="468" spans="1:13" x14ac:dyDescent="0.25">
      <c r="A468" s="4" t="s">
        <v>455</v>
      </c>
      <c r="B468" s="4" t="s">
        <v>456</v>
      </c>
      <c r="C468" s="4" t="s">
        <v>68</v>
      </c>
      <c r="D468" s="10">
        <v>556</v>
      </c>
      <c r="E468" s="11" t="s">
        <v>51</v>
      </c>
      <c r="F468" s="10">
        <v>1760</v>
      </c>
      <c r="G468" s="10">
        <v>0</v>
      </c>
      <c r="H468" s="10">
        <f t="shared" si="7"/>
        <v>1760</v>
      </c>
      <c r="I468" s="10"/>
      <c r="J468" s="10"/>
      <c r="K468" s="10"/>
      <c r="L468" s="4" t="s">
        <v>69</v>
      </c>
      <c r="M468" s="4">
        <v>463</v>
      </c>
    </row>
    <row r="469" spans="1:13" x14ac:dyDescent="0.25">
      <c r="A469" s="4" t="s">
        <v>457</v>
      </c>
      <c r="B469" s="4" t="s">
        <v>137</v>
      </c>
      <c r="C469" s="9" t="s">
        <v>50</v>
      </c>
      <c r="D469" s="10">
        <v>8</v>
      </c>
      <c r="E469" s="11" t="s">
        <v>51</v>
      </c>
      <c r="F469" s="10">
        <v>509.49</v>
      </c>
      <c r="G469" s="10">
        <v>0</v>
      </c>
      <c r="H469" s="10">
        <f t="shared" si="7"/>
        <v>509.49</v>
      </c>
      <c r="I469" s="10"/>
      <c r="J469" s="10"/>
      <c r="K469" s="10"/>
      <c r="L469" s="4" t="s">
        <v>52</v>
      </c>
      <c r="M469" s="4">
        <v>464</v>
      </c>
    </row>
    <row r="470" spans="1:13" x14ac:dyDescent="0.25">
      <c r="A470" s="4" t="s">
        <v>457</v>
      </c>
      <c r="B470" s="4" t="s">
        <v>107</v>
      </c>
      <c r="C470" s="9" t="s">
        <v>50</v>
      </c>
      <c r="D470" s="10">
        <v>372</v>
      </c>
      <c r="E470" s="11" t="s">
        <v>51</v>
      </c>
      <c r="F470" s="10">
        <v>34417.74</v>
      </c>
      <c r="G470" s="10">
        <v>0</v>
      </c>
      <c r="H470" s="10">
        <f t="shared" si="7"/>
        <v>34417.74</v>
      </c>
      <c r="I470" s="10"/>
      <c r="J470" s="10"/>
      <c r="K470" s="10"/>
      <c r="L470" s="4" t="s">
        <v>52</v>
      </c>
      <c r="M470" s="4">
        <v>465</v>
      </c>
    </row>
    <row r="471" spans="1:13" x14ac:dyDescent="0.25">
      <c r="A471" s="4" t="s">
        <v>457</v>
      </c>
      <c r="B471" s="4" t="s">
        <v>128</v>
      </c>
      <c r="C471" s="9" t="s">
        <v>50</v>
      </c>
      <c r="D471" s="10">
        <v>208</v>
      </c>
      <c r="E471" s="11" t="s">
        <v>51</v>
      </c>
      <c r="F471" s="10">
        <v>13822.28</v>
      </c>
      <c r="G471" s="10">
        <v>0</v>
      </c>
      <c r="H471" s="10">
        <f t="shared" si="7"/>
        <v>13822.28</v>
      </c>
      <c r="I471" s="10"/>
      <c r="J471" s="10"/>
      <c r="K471" s="10"/>
      <c r="L471" s="4" t="s">
        <v>52</v>
      </c>
      <c r="M471" s="4">
        <v>466</v>
      </c>
    </row>
    <row r="472" spans="1:13" x14ac:dyDescent="0.25">
      <c r="A472" s="4" t="s">
        <v>458</v>
      </c>
      <c r="B472" s="4" t="s">
        <v>128</v>
      </c>
      <c r="C472" s="9" t="s">
        <v>50</v>
      </c>
      <c r="D472" s="10">
        <v>96</v>
      </c>
      <c r="E472" s="11" t="s">
        <v>51</v>
      </c>
      <c r="F472" s="10">
        <v>4800</v>
      </c>
      <c r="G472" s="10">
        <v>0</v>
      </c>
      <c r="H472" s="10">
        <f t="shared" si="7"/>
        <v>4800</v>
      </c>
      <c r="I472" s="10"/>
      <c r="J472" s="10"/>
      <c r="K472" s="10"/>
      <c r="L472" s="4" t="s">
        <v>52</v>
      </c>
      <c r="M472" s="4">
        <v>467</v>
      </c>
    </row>
    <row r="473" spans="1:13" x14ac:dyDescent="0.25">
      <c r="A473" s="4" t="s">
        <v>459</v>
      </c>
      <c r="B473" s="4" t="s">
        <v>128</v>
      </c>
      <c r="C473" s="9" t="s">
        <v>50</v>
      </c>
      <c r="D473" s="10">
        <v>914</v>
      </c>
      <c r="E473" s="11" t="s">
        <v>51</v>
      </c>
      <c r="F473" s="10">
        <v>4800</v>
      </c>
      <c r="G473" s="10">
        <v>0</v>
      </c>
      <c r="H473" s="10">
        <f t="shared" si="7"/>
        <v>4800</v>
      </c>
      <c r="I473" s="10"/>
      <c r="J473" s="10"/>
      <c r="K473" s="10"/>
      <c r="L473" s="4" t="s">
        <v>52</v>
      </c>
      <c r="M473" s="4">
        <v>468</v>
      </c>
    </row>
    <row r="474" spans="1:13" x14ac:dyDescent="0.25">
      <c r="A474" s="4" t="s">
        <v>460</v>
      </c>
      <c r="B474" s="4" t="s">
        <v>461</v>
      </c>
      <c r="C474" s="4" t="s">
        <v>68</v>
      </c>
      <c r="D474" s="10">
        <v>328</v>
      </c>
      <c r="E474" s="11" t="s">
        <v>51</v>
      </c>
      <c r="F474" s="10">
        <v>36080</v>
      </c>
      <c r="G474" s="10">
        <v>0</v>
      </c>
      <c r="H474" s="10">
        <f t="shared" si="7"/>
        <v>36080</v>
      </c>
      <c r="I474" s="10"/>
      <c r="J474" s="10"/>
      <c r="K474" s="10"/>
      <c r="L474" s="4" t="s">
        <v>69</v>
      </c>
      <c r="M474" s="4">
        <v>469</v>
      </c>
    </row>
    <row r="475" spans="1:13" x14ac:dyDescent="0.25">
      <c r="A475" s="4" t="s">
        <v>460</v>
      </c>
      <c r="B475" s="4" t="s">
        <v>462</v>
      </c>
      <c r="C475" s="4" t="s">
        <v>68</v>
      </c>
      <c r="D475" s="10">
        <v>240</v>
      </c>
      <c r="E475" s="11" t="s">
        <v>51</v>
      </c>
      <c r="F475" s="10">
        <v>26400</v>
      </c>
      <c r="G475" s="10">
        <v>0</v>
      </c>
      <c r="H475" s="10">
        <f t="shared" si="7"/>
        <v>26400</v>
      </c>
      <c r="I475" s="10"/>
      <c r="J475" s="10"/>
      <c r="K475" s="10"/>
      <c r="L475" s="4" t="s">
        <v>69</v>
      </c>
      <c r="M475" s="4">
        <v>470</v>
      </c>
    </row>
    <row r="476" spans="1:13" x14ac:dyDescent="0.25">
      <c r="A476" s="4" t="s">
        <v>460</v>
      </c>
      <c r="B476" s="4" t="s">
        <v>463</v>
      </c>
      <c r="C476" s="4" t="s">
        <v>68</v>
      </c>
      <c r="D476" s="10">
        <v>98</v>
      </c>
      <c r="E476" s="11" t="s">
        <v>51</v>
      </c>
      <c r="F476" s="10">
        <v>6370</v>
      </c>
      <c r="G476" s="10">
        <v>0</v>
      </c>
      <c r="H476" s="10">
        <f t="shared" si="7"/>
        <v>6370</v>
      </c>
      <c r="I476" s="10"/>
      <c r="J476" s="10"/>
      <c r="K476" s="10"/>
      <c r="L476" s="4" t="s">
        <v>69</v>
      </c>
      <c r="M476" s="4">
        <v>471</v>
      </c>
    </row>
    <row r="477" spans="1:13" x14ac:dyDescent="0.25">
      <c r="A477" s="4" t="s">
        <v>460</v>
      </c>
      <c r="B477" s="4" t="s">
        <v>464</v>
      </c>
      <c r="C477" s="4" t="s">
        <v>68</v>
      </c>
      <c r="D477" s="10">
        <v>120</v>
      </c>
      <c r="E477" s="11" t="s">
        <v>51</v>
      </c>
      <c r="F477" s="10">
        <v>7800</v>
      </c>
      <c r="G477" s="10">
        <v>0</v>
      </c>
      <c r="H477" s="10">
        <f t="shared" si="7"/>
        <v>7800</v>
      </c>
      <c r="I477" s="10"/>
      <c r="J477" s="10"/>
      <c r="K477" s="10"/>
      <c r="L477" s="4" t="s">
        <v>69</v>
      </c>
      <c r="M477" s="4">
        <v>472</v>
      </c>
    </row>
    <row r="478" spans="1:13" x14ac:dyDescent="0.25">
      <c r="A478" s="4" t="s">
        <v>460</v>
      </c>
      <c r="B478" s="4" t="s">
        <v>465</v>
      </c>
      <c r="C478" s="4" t="s">
        <v>68</v>
      </c>
      <c r="D478" s="10">
        <v>56</v>
      </c>
      <c r="E478" s="11" t="s">
        <v>51</v>
      </c>
      <c r="F478" s="10">
        <v>3640</v>
      </c>
      <c r="G478" s="10">
        <v>0</v>
      </c>
      <c r="H478" s="10">
        <f t="shared" si="7"/>
        <v>3640</v>
      </c>
      <c r="I478" s="10"/>
      <c r="J478" s="10"/>
      <c r="K478" s="10"/>
      <c r="L478" s="4" t="s">
        <v>69</v>
      </c>
      <c r="M478" s="4">
        <v>473</v>
      </c>
    </row>
    <row r="479" spans="1:13" x14ac:dyDescent="0.25">
      <c r="A479" s="4" t="s">
        <v>460</v>
      </c>
      <c r="B479" s="4" t="s">
        <v>466</v>
      </c>
      <c r="C479" s="4" t="s">
        <v>68</v>
      </c>
      <c r="D479" s="10">
        <v>80</v>
      </c>
      <c r="E479" s="11" t="s">
        <v>51</v>
      </c>
      <c r="F479" s="10"/>
      <c r="G479" s="10">
        <v>0</v>
      </c>
      <c r="H479" s="10">
        <f t="shared" si="7"/>
        <v>0</v>
      </c>
      <c r="I479" s="10"/>
      <c r="J479" s="10"/>
      <c r="K479" s="10"/>
      <c r="L479" s="4" t="s">
        <v>69</v>
      </c>
      <c r="M479" s="4">
        <v>474</v>
      </c>
    </row>
    <row r="480" spans="1:13" x14ac:dyDescent="0.25">
      <c r="A480" s="4" t="s">
        <v>467</v>
      </c>
      <c r="B480" s="4" t="s">
        <v>107</v>
      </c>
      <c r="C480" s="9" t="s">
        <v>50</v>
      </c>
      <c r="D480" s="10">
        <v>144</v>
      </c>
      <c r="E480" s="11" t="s">
        <v>51</v>
      </c>
      <c r="F480" s="10">
        <v>6800</v>
      </c>
      <c r="G480" s="10">
        <v>0</v>
      </c>
      <c r="H480" s="10">
        <f t="shared" si="7"/>
        <v>6800</v>
      </c>
      <c r="I480" s="10"/>
      <c r="J480" s="10"/>
      <c r="K480" s="10"/>
      <c r="L480" s="4" t="s">
        <v>52</v>
      </c>
      <c r="M480" s="4">
        <v>475</v>
      </c>
    </row>
    <row r="481" spans="1:13" x14ac:dyDescent="0.25">
      <c r="A481" s="4" t="s">
        <v>468</v>
      </c>
      <c r="B481" s="4" t="s">
        <v>88</v>
      </c>
      <c r="C481" s="9" t="s">
        <v>50</v>
      </c>
      <c r="D481" s="10">
        <v>40</v>
      </c>
      <c r="E481" s="11" t="s">
        <v>51</v>
      </c>
      <c r="F481" s="10">
        <v>3400</v>
      </c>
      <c r="G481" s="10">
        <v>0</v>
      </c>
      <c r="H481" s="10">
        <f t="shared" si="7"/>
        <v>3400</v>
      </c>
      <c r="I481" s="10"/>
      <c r="J481" s="10"/>
      <c r="K481" s="10"/>
      <c r="L481" s="4" t="s">
        <v>52</v>
      </c>
      <c r="M481" s="4">
        <v>476</v>
      </c>
    </row>
    <row r="482" spans="1:13" x14ac:dyDescent="0.25">
      <c r="A482" s="4" t="s">
        <v>468</v>
      </c>
      <c r="B482" s="4" t="s">
        <v>137</v>
      </c>
      <c r="C482" s="9" t="s">
        <v>50</v>
      </c>
      <c r="D482" s="10">
        <v>14</v>
      </c>
      <c r="E482" s="11" t="s">
        <v>51</v>
      </c>
      <c r="F482" s="10">
        <v>700</v>
      </c>
      <c r="G482" s="10">
        <v>0</v>
      </c>
      <c r="H482" s="10">
        <f t="shared" si="7"/>
        <v>700</v>
      </c>
      <c r="I482" s="10"/>
      <c r="J482" s="10"/>
      <c r="K482" s="10"/>
      <c r="L482" s="4" t="s">
        <v>52</v>
      </c>
      <c r="M482" s="4">
        <v>477</v>
      </c>
    </row>
    <row r="483" spans="1:13" x14ac:dyDescent="0.25">
      <c r="A483" s="4" t="s">
        <v>468</v>
      </c>
      <c r="B483" s="4" t="s">
        <v>107</v>
      </c>
      <c r="C483" s="9" t="s">
        <v>50</v>
      </c>
      <c r="D483" s="10">
        <v>28</v>
      </c>
      <c r="E483" s="11" t="s">
        <v>51</v>
      </c>
      <c r="F483" s="10">
        <v>850</v>
      </c>
      <c r="G483" s="10">
        <v>0</v>
      </c>
      <c r="H483" s="10">
        <f t="shared" si="7"/>
        <v>850</v>
      </c>
      <c r="I483" s="10"/>
      <c r="J483" s="10"/>
      <c r="K483" s="10"/>
      <c r="L483" s="4" t="s">
        <v>52</v>
      </c>
      <c r="M483" s="4">
        <v>478</v>
      </c>
    </row>
    <row r="484" spans="1:13" x14ac:dyDescent="0.25">
      <c r="A484" s="4" t="s">
        <v>469</v>
      </c>
      <c r="B484" s="4" t="s">
        <v>470</v>
      </c>
      <c r="C484" s="4" t="s">
        <v>68</v>
      </c>
      <c r="D484" s="10">
        <v>6</v>
      </c>
      <c r="E484" s="11" t="s">
        <v>51</v>
      </c>
      <c r="F484" s="10">
        <v>660</v>
      </c>
      <c r="G484" s="10">
        <v>0</v>
      </c>
      <c r="H484" s="10">
        <f t="shared" si="7"/>
        <v>660</v>
      </c>
      <c r="I484" s="10"/>
      <c r="J484" s="10"/>
      <c r="K484" s="10"/>
      <c r="L484" s="4" t="s">
        <v>69</v>
      </c>
      <c r="M484" s="4">
        <v>479</v>
      </c>
    </row>
    <row r="485" spans="1:13" x14ac:dyDescent="0.25">
      <c r="A485" s="4" t="s">
        <v>469</v>
      </c>
      <c r="B485" s="4" t="s">
        <v>471</v>
      </c>
      <c r="C485" s="4" t="s">
        <v>65</v>
      </c>
      <c r="D485" s="10">
        <v>56</v>
      </c>
      <c r="E485" s="12" t="s">
        <v>66</v>
      </c>
      <c r="F485" s="10">
        <v>925</v>
      </c>
      <c r="G485" s="10">
        <v>0</v>
      </c>
      <c r="H485" s="10">
        <f t="shared" si="7"/>
        <v>925</v>
      </c>
      <c r="I485" s="10">
        <v>77.083333333333329</v>
      </c>
      <c r="J485" s="10">
        <v>77.083333333333329</v>
      </c>
      <c r="K485" s="10">
        <v>77.083333333333329</v>
      </c>
      <c r="L485" s="4"/>
      <c r="M485" s="4">
        <v>480</v>
      </c>
    </row>
    <row r="486" spans="1:13" x14ac:dyDescent="0.25">
      <c r="A486" s="4" t="s">
        <v>472</v>
      </c>
      <c r="B486" s="4" t="s">
        <v>473</v>
      </c>
      <c r="C486" s="4" t="s">
        <v>68</v>
      </c>
      <c r="D486" s="10">
        <v>91</v>
      </c>
      <c r="E486" s="11" t="s">
        <v>51</v>
      </c>
      <c r="F486" s="10">
        <v>7000</v>
      </c>
      <c r="G486" s="10">
        <v>0</v>
      </c>
      <c r="H486" s="10">
        <f t="shared" si="7"/>
        <v>7000</v>
      </c>
      <c r="I486" s="10"/>
      <c r="J486" s="10"/>
      <c r="K486" s="10"/>
      <c r="L486" s="4" t="s">
        <v>69</v>
      </c>
      <c r="M486" s="4">
        <v>481</v>
      </c>
    </row>
    <row r="487" spans="1:13" x14ac:dyDescent="0.25">
      <c r="A487" s="4" t="s">
        <v>474</v>
      </c>
      <c r="B487" s="4" t="s">
        <v>404</v>
      </c>
      <c r="C487" s="9" t="s">
        <v>50</v>
      </c>
      <c r="D487" s="10">
        <v>1</v>
      </c>
      <c r="E487" s="11" t="s">
        <v>51</v>
      </c>
      <c r="F487" s="10">
        <v>54.5</v>
      </c>
      <c r="G487" s="10">
        <v>0</v>
      </c>
      <c r="H487" s="10">
        <f t="shared" si="7"/>
        <v>54.5</v>
      </c>
      <c r="I487" s="10"/>
      <c r="J487" s="10"/>
      <c r="K487" s="10"/>
      <c r="L487" s="4" t="s">
        <v>52</v>
      </c>
      <c r="M487" s="4">
        <v>482</v>
      </c>
    </row>
    <row r="488" spans="1:13" x14ac:dyDescent="0.25">
      <c r="A488" s="4" t="s">
        <v>474</v>
      </c>
      <c r="B488" s="4" t="s">
        <v>136</v>
      </c>
      <c r="C488" s="9" t="s">
        <v>50</v>
      </c>
      <c r="D488" s="10">
        <v>9</v>
      </c>
      <c r="E488" s="11" t="s">
        <v>51</v>
      </c>
      <c r="F488" s="10">
        <v>914.13</v>
      </c>
      <c r="G488" s="10">
        <v>0</v>
      </c>
      <c r="H488" s="10">
        <f t="shared" si="7"/>
        <v>914.13</v>
      </c>
      <c r="I488" s="10"/>
      <c r="J488" s="10"/>
      <c r="K488" s="10"/>
      <c r="L488" s="4" t="s">
        <v>52</v>
      </c>
      <c r="M488" s="4">
        <v>483</v>
      </c>
    </row>
    <row r="489" spans="1:13" x14ac:dyDescent="0.25">
      <c r="A489" s="4" t="s">
        <v>474</v>
      </c>
      <c r="B489" s="4" t="s">
        <v>82</v>
      </c>
      <c r="C489" s="9" t="s">
        <v>50</v>
      </c>
      <c r="D489" s="10">
        <v>6</v>
      </c>
      <c r="E489" s="11" t="s">
        <v>51</v>
      </c>
      <c r="F489" s="10">
        <v>617.09</v>
      </c>
      <c r="G489" s="10">
        <v>0</v>
      </c>
      <c r="H489" s="10">
        <f t="shared" si="7"/>
        <v>617.09</v>
      </c>
      <c r="I489" s="10"/>
      <c r="J489" s="10"/>
      <c r="K489" s="10"/>
      <c r="L489" s="4" t="s">
        <v>52</v>
      </c>
      <c r="M489" s="4">
        <v>484</v>
      </c>
    </row>
    <row r="490" spans="1:13" x14ac:dyDescent="0.25">
      <c r="A490" s="4" t="s">
        <v>474</v>
      </c>
      <c r="B490" s="4" t="s">
        <v>88</v>
      </c>
      <c r="C490" s="9" t="s">
        <v>50</v>
      </c>
      <c r="D490" s="10">
        <v>11</v>
      </c>
      <c r="E490" s="11" t="s">
        <v>51</v>
      </c>
      <c r="F490" s="10">
        <v>1131.17</v>
      </c>
      <c r="G490" s="10">
        <v>0</v>
      </c>
      <c r="H490" s="10">
        <f t="shared" si="7"/>
        <v>1131.17</v>
      </c>
      <c r="I490" s="10"/>
      <c r="J490" s="10"/>
      <c r="K490" s="10"/>
      <c r="L490" s="4" t="s">
        <v>52</v>
      </c>
      <c r="M490" s="4">
        <v>485</v>
      </c>
    </row>
    <row r="491" spans="1:13" x14ac:dyDescent="0.25">
      <c r="A491" s="4" t="s">
        <v>474</v>
      </c>
      <c r="B491" s="4" t="s">
        <v>137</v>
      </c>
      <c r="C491" s="9" t="s">
        <v>50</v>
      </c>
      <c r="D491" s="10">
        <v>62</v>
      </c>
      <c r="E491" s="11" t="s">
        <v>51</v>
      </c>
      <c r="F491" s="10">
        <v>433.13</v>
      </c>
      <c r="G491" s="10">
        <v>0</v>
      </c>
      <c r="H491" s="10">
        <f t="shared" si="7"/>
        <v>433.13</v>
      </c>
      <c r="I491" s="10"/>
      <c r="J491" s="10"/>
      <c r="K491" s="10"/>
      <c r="L491" s="4" t="s">
        <v>52</v>
      </c>
      <c r="M491" s="4">
        <v>486</v>
      </c>
    </row>
    <row r="492" spans="1:13" x14ac:dyDescent="0.25">
      <c r="A492" s="4" t="s">
        <v>475</v>
      </c>
      <c r="B492" s="4" t="s">
        <v>476</v>
      </c>
      <c r="C492" s="9" t="s">
        <v>50</v>
      </c>
      <c r="D492" s="10">
        <v>430</v>
      </c>
      <c r="E492" s="11" t="s">
        <v>51</v>
      </c>
      <c r="F492" s="10">
        <v>2850</v>
      </c>
      <c r="G492" s="10">
        <v>0</v>
      </c>
      <c r="H492" s="10">
        <f t="shared" si="7"/>
        <v>2850</v>
      </c>
      <c r="I492" s="10"/>
      <c r="J492" s="10"/>
      <c r="K492" s="10"/>
      <c r="L492" s="4" t="s">
        <v>52</v>
      </c>
      <c r="M492" s="4">
        <v>487</v>
      </c>
    </row>
    <row r="493" spans="1:13" x14ac:dyDescent="0.25">
      <c r="A493" s="4" t="s">
        <v>477</v>
      </c>
      <c r="B493" s="4" t="s">
        <v>478</v>
      </c>
      <c r="C493" s="9" t="s">
        <v>50</v>
      </c>
      <c r="D493" s="10">
        <v>8</v>
      </c>
      <c r="E493" s="11" t="s">
        <v>51</v>
      </c>
      <c r="F493" s="10">
        <v>1356</v>
      </c>
      <c r="G493" s="10">
        <v>0</v>
      </c>
      <c r="H493" s="10">
        <f t="shared" si="7"/>
        <v>1356</v>
      </c>
      <c r="I493" s="10"/>
      <c r="J493" s="10"/>
      <c r="K493" s="10"/>
      <c r="L493" s="4" t="s">
        <v>52</v>
      </c>
      <c r="M493" s="4">
        <v>488</v>
      </c>
    </row>
    <row r="494" spans="1:13" x14ac:dyDescent="0.25">
      <c r="A494" s="4" t="s">
        <v>477</v>
      </c>
      <c r="B494" s="4" t="s">
        <v>479</v>
      </c>
      <c r="C494" s="9" t="s">
        <v>50</v>
      </c>
      <c r="D494" s="10">
        <v>8</v>
      </c>
      <c r="E494" s="11" t="s">
        <v>51</v>
      </c>
      <c r="F494" s="10">
        <v>940</v>
      </c>
      <c r="G494" s="10">
        <v>0</v>
      </c>
      <c r="H494" s="10">
        <f t="shared" si="7"/>
        <v>940</v>
      </c>
      <c r="I494" s="10"/>
      <c r="J494" s="10"/>
      <c r="K494" s="10"/>
      <c r="L494" s="4" t="s">
        <v>52</v>
      </c>
      <c r="M494" s="4">
        <v>489</v>
      </c>
    </row>
    <row r="495" spans="1:13" x14ac:dyDescent="0.25">
      <c r="A495" s="4" t="s">
        <v>477</v>
      </c>
      <c r="B495" s="4" t="s">
        <v>480</v>
      </c>
      <c r="C495" s="9" t="s">
        <v>50</v>
      </c>
      <c r="D495" s="10">
        <v>8</v>
      </c>
      <c r="E495" s="11" t="s">
        <v>51</v>
      </c>
      <c r="F495" s="10">
        <v>2079</v>
      </c>
      <c r="G495" s="10">
        <v>0</v>
      </c>
      <c r="H495" s="10">
        <f t="shared" si="7"/>
        <v>2079</v>
      </c>
      <c r="I495" s="10"/>
      <c r="J495" s="10"/>
      <c r="K495" s="10"/>
      <c r="L495" s="4" t="s">
        <v>52</v>
      </c>
      <c r="M495" s="4">
        <v>490</v>
      </c>
    </row>
    <row r="496" spans="1:13" x14ac:dyDescent="0.25">
      <c r="A496" s="4" t="s">
        <v>477</v>
      </c>
      <c r="B496" s="4" t="s">
        <v>481</v>
      </c>
      <c r="C496" s="9" t="s">
        <v>50</v>
      </c>
      <c r="D496" s="10">
        <v>16</v>
      </c>
      <c r="E496" s="11" t="s">
        <v>51</v>
      </c>
      <c r="F496" s="10">
        <v>1600</v>
      </c>
      <c r="G496" s="10">
        <v>0</v>
      </c>
      <c r="H496" s="10">
        <f t="shared" si="7"/>
        <v>1600</v>
      </c>
      <c r="I496" s="10"/>
      <c r="J496" s="10"/>
      <c r="K496" s="10"/>
      <c r="L496" s="4" t="s">
        <v>52</v>
      </c>
      <c r="M496" s="4">
        <v>491</v>
      </c>
    </row>
    <row r="497" spans="1:13" x14ac:dyDescent="0.25">
      <c r="A497" s="4" t="s">
        <v>477</v>
      </c>
      <c r="B497" s="4" t="s">
        <v>482</v>
      </c>
      <c r="C497" s="9" t="s">
        <v>50</v>
      </c>
      <c r="D497" s="10">
        <v>56</v>
      </c>
      <c r="E497" s="11" t="s">
        <v>51</v>
      </c>
      <c r="F497" s="10">
        <v>6450</v>
      </c>
      <c r="G497" s="10">
        <v>0</v>
      </c>
      <c r="H497" s="10">
        <f t="shared" si="7"/>
        <v>6450</v>
      </c>
      <c r="I497" s="10"/>
      <c r="J497" s="10"/>
      <c r="K497" s="10"/>
      <c r="L497" s="4" t="s">
        <v>52</v>
      </c>
      <c r="M497" s="4">
        <v>492</v>
      </c>
    </row>
    <row r="498" spans="1:13" x14ac:dyDescent="0.25">
      <c r="A498" s="4" t="s">
        <v>477</v>
      </c>
      <c r="B498" s="4" t="s">
        <v>483</v>
      </c>
      <c r="C498" s="9" t="s">
        <v>50</v>
      </c>
      <c r="D498" s="10">
        <v>40</v>
      </c>
      <c r="E498" s="11" t="s">
        <v>51</v>
      </c>
      <c r="F498" s="10">
        <v>2800</v>
      </c>
      <c r="G498" s="10">
        <v>0</v>
      </c>
      <c r="H498" s="10">
        <f t="shared" si="7"/>
        <v>2800</v>
      </c>
      <c r="I498" s="10"/>
      <c r="J498" s="10"/>
      <c r="K498" s="10"/>
      <c r="L498" s="4" t="s">
        <v>52</v>
      </c>
      <c r="M498" s="4">
        <v>493</v>
      </c>
    </row>
    <row r="499" spans="1:13" x14ac:dyDescent="0.25">
      <c r="A499" s="4" t="s">
        <v>477</v>
      </c>
      <c r="B499" s="4" t="s">
        <v>484</v>
      </c>
      <c r="C499" s="9" t="s">
        <v>50</v>
      </c>
      <c r="D499" s="10">
        <v>96</v>
      </c>
      <c r="E499" s="11" t="s">
        <v>51</v>
      </c>
      <c r="F499" s="10">
        <v>6450</v>
      </c>
      <c r="G499" s="10">
        <v>0</v>
      </c>
      <c r="H499" s="10">
        <f t="shared" si="7"/>
        <v>6450</v>
      </c>
      <c r="I499" s="10"/>
      <c r="J499" s="10"/>
      <c r="K499" s="10"/>
      <c r="L499" s="4" t="s">
        <v>52</v>
      </c>
      <c r="M499" s="4">
        <v>494</v>
      </c>
    </row>
    <row r="500" spans="1:13" x14ac:dyDescent="0.25">
      <c r="A500" s="4" t="s">
        <v>477</v>
      </c>
      <c r="B500" s="4" t="s">
        <v>485</v>
      </c>
      <c r="C500" s="9" t="s">
        <v>50</v>
      </c>
      <c r="D500" s="10">
        <v>40</v>
      </c>
      <c r="E500" s="11" t="s">
        <v>51</v>
      </c>
      <c r="F500" s="10">
        <v>4000</v>
      </c>
      <c r="G500" s="10">
        <v>0</v>
      </c>
      <c r="H500" s="10">
        <f t="shared" si="7"/>
        <v>4000</v>
      </c>
      <c r="I500" s="10"/>
      <c r="J500" s="10"/>
      <c r="K500" s="10"/>
      <c r="L500" s="4" t="s">
        <v>52</v>
      </c>
      <c r="M500" s="4">
        <v>495</v>
      </c>
    </row>
    <row r="501" spans="1:13" x14ac:dyDescent="0.25">
      <c r="A501" s="4" t="s">
        <v>477</v>
      </c>
      <c r="B501" s="4" t="s">
        <v>486</v>
      </c>
      <c r="C501" s="4" t="s">
        <v>68</v>
      </c>
      <c r="D501" s="10">
        <v>24</v>
      </c>
      <c r="E501" s="11" t="s">
        <v>51</v>
      </c>
      <c r="F501" s="10"/>
      <c r="G501" s="10">
        <v>0</v>
      </c>
      <c r="H501" s="10">
        <f t="shared" si="7"/>
        <v>0</v>
      </c>
      <c r="I501" s="10"/>
      <c r="J501" s="10"/>
      <c r="K501" s="10"/>
      <c r="L501" s="4" t="s">
        <v>69</v>
      </c>
      <c r="M501" s="4">
        <v>496</v>
      </c>
    </row>
    <row r="502" spans="1:13" x14ac:dyDescent="0.25">
      <c r="A502" s="4" t="s">
        <v>477</v>
      </c>
      <c r="B502" s="4" t="s">
        <v>487</v>
      </c>
      <c r="C502" s="4" t="s">
        <v>68</v>
      </c>
      <c r="D502" s="10">
        <v>151</v>
      </c>
      <c r="E502" s="11" t="s">
        <v>51</v>
      </c>
      <c r="F502" s="10"/>
      <c r="G502" s="10">
        <v>0</v>
      </c>
      <c r="H502" s="10">
        <f t="shared" si="7"/>
        <v>0</v>
      </c>
      <c r="I502" s="10"/>
      <c r="J502" s="10"/>
      <c r="K502" s="10"/>
      <c r="L502" s="4" t="s">
        <v>69</v>
      </c>
      <c r="M502" s="4">
        <v>497</v>
      </c>
    </row>
    <row r="503" spans="1:13" x14ac:dyDescent="0.25">
      <c r="A503" s="4" t="s">
        <v>488</v>
      </c>
      <c r="B503" s="4" t="s">
        <v>136</v>
      </c>
      <c r="C503" s="9" t="s">
        <v>50</v>
      </c>
      <c r="D503" s="10">
        <v>64</v>
      </c>
      <c r="E503" s="11" t="s">
        <v>51</v>
      </c>
      <c r="F503" s="10">
        <v>5125</v>
      </c>
      <c r="G503" s="10">
        <v>0</v>
      </c>
      <c r="H503" s="10">
        <f t="shared" si="7"/>
        <v>5125</v>
      </c>
      <c r="I503" s="10"/>
      <c r="J503" s="10"/>
      <c r="K503" s="10"/>
      <c r="L503" s="4" t="s">
        <v>52</v>
      </c>
      <c r="M503" s="4">
        <v>498</v>
      </c>
    </row>
    <row r="504" spans="1:13" x14ac:dyDescent="0.25">
      <c r="A504" s="4" t="s">
        <v>488</v>
      </c>
      <c r="B504" s="4" t="s">
        <v>128</v>
      </c>
      <c r="C504" s="9" t="s">
        <v>50</v>
      </c>
      <c r="D504" s="10">
        <v>117</v>
      </c>
      <c r="E504" s="11" t="s">
        <v>51</v>
      </c>
      <c r="F504" s="10">
        <v>7052.5</v>
      </c>
      <c r="G504" s="10">
        <v>0</v>
      </c>
      <c r="H504" s="10">
        <f t="shared" si="7"/>
        <v>7052.5</v>
      </c>
      <c r="I504" s="10"/>
      <c r="J504" s="10"/>
      <c r="K504" s="10"/>
      <c r="L504" s="4" t="s">
        <v>52</v>
      </c>
      <c r="M504" s="4">
        <v>499</v>
      </c>
    </row>
    <row r="505" spans="1:13" x14ac:dyDescent="0.25">
      <c r="A505" s="4" t="s">
        <v>489</v>
      </c>
      <c r="B505" s="4" t="s">
        <v>490</v>
      </c>
      <c r="C505" s="4" t="s">
        <v>68</v>
      </c>
      <c r="D505" s="10">
        <v>10</v>
      </c>
      <c r="E505" s="11" t="s">
        <v>51</v>
      </c>
      <c r="F505" s="10">
        <v>1500</v>
      </c>
      <c r="G505" s="10">
        <v>0</v>
      </c>
      <c r="H505" s="10">
        <f t="shared" si="7"/>
        <v>1500</v>
      </c>
      <c r="I505" s="10"/>
      <c r="J505" s="10"/>
      <c r="K505" s="10"/>
      <c r="L505" s="4" t="s">
        <v>69</v>
      </c>
      <c r="M505" s="4">
        <v>500</v>
      </c>
    </row>
    <row r="506" spans="1:13" x14ac:dyDescent="0.25">
      <c r="A506" s="4" t="s">
        <v>489</v>
      </c>
      <c r="B506" s="4" t="s">
        <v>491</v>
      </c>
      <c r="C506" s="4" t="s">
        <v>68</v>
      </c>
      <c r="D506" s="10">
        <v>10</v>
      </c>
      <c r="E506" s="11" t="s">
        <v>51</v>
      </c>
      <c r="F506" s="10">
        <v>600</v>
      </c>
      <c r="G506" s="10">
        <v>0</v>
      </c>
      <c r="H506" s="10">
        <f t="shared" si="7"/>
        <v>600</v>
      </c>
      <c r="I506" s="10"/>
      <c r="J506" s="10"/>
      <c r="K506" s="10"/>
      <c r="L506" s="4" t="s">
        <v>69</v>
      </c>
      <c r="M506" s="4">
        <v>501</v>
      </c>
    </row>
    <row r="507" spans="1:13" x14ac:dyDescent="0.25">
      <c r="A507" s="4" t="s">
        <v>489</v>
      </c>
      <c r="B507" s="4" t="s">
        <v>492</v>
      </c>
      <c r="C507" s="4" t="s">
        <v>68</v>
      </c>
      <c r="D507" s="10">
        <v>37</v>
      </c>
      <c r="E507" s="11" t="s">
        <v>51</v>
      </c>
      <c r="F507" s="10">
        <v>1000</v>
      </c>
      <c r="G507" s="10">
        <v>0</v>
      </c>
      <c r="H507" s="10">
        <f t="shared" si="7"/>
        <v>1000</v>
      </c>
      <c r="I507" s="10"/>
      <c r="J507" s="10"/>
      <c r="K507" s="10"/>
      <c r="L507" s="4" t="s">
        <v>69</v>
      </c>
      <c r="M507" s="4">
        <v>502</v>
      </c>
    </row>
    <row r="508" spans="1:13" x14ac:dyDescent="0.25">
      <c r="A508" s="4" t="s">
        <v>493</v>
      </c>
      <c r="B508" s="4" t="s">
        <v>453</v>
      </c>
      <c r="C508" s="4" t="s">
        <v>65</v>
      </c>
      <c r="D508" s="10">
        <v>43</v>
      </c>
      <c r="E508" s="12" t="s">
        <v>66</v>
      </c>
      <c r="F508" s="10">
        <v>2500</v>
      </c>
      <c r="G508" s="10">
        <v>0</v>
      </c>
      <c r="H508" s="10">
        <f t="shared" si="7"/>
        <v>2500</v>
      </c>
      <c r="I508" s="10">
        <v>92.592592592592595</v>
      </c>
      <c r="J508" s="10">
        <v>92.592592592592595</v>
      </c>
      <c r="K508" s="10">
        <v>92.592592592592595</v>
      </c>
      <c r="L508" s="4"/>
      <c r="M508" s="4">
        <v>503</v>
      </c>
    </row>
    <row r="509" spans="1:13" x14ac:dyDescent="0.25">
      <c r="A509" s="4" t="s">
        <v>494</v>
      </c>
      <c r="B509" s="4" t="s">
        <v>495</v>
      </c>
      <c r="C509" s="4" t="s">
        <v>68</v>
      </c>
      <c r="D509" s="10">
        <v>36</v>
      </c>
      <c r="E509" s="11" t="s">
        <v>51</v>
      </c>
      <c r="F509" s="10">
        <v>2000</v>
      </c>
      <c r="G509" s="10">
        <v>0</v>
      </c>
      <c r="H509" s="10">
        <f t="shared" si="7"/>
        <v>2000</v>
      </c>
      <c r="I509" s="10"/>
      <c r="J509" s="10"/>
      <c r="K509" s="10"/>
      <c r="L509" s="4" t="s">
        <v>69</v>
      </c>
      <c r="M509" s="4">
        <v>504</v>
      </c>
    </row>
    <row r="510" spans="1:13" x14ac:dyDescent="0.25">
      <c r="A510" s="4" t="s">
        <v>496</v>
      </c>
      <c r="B510" s="4" t="s">
        <v>88</v>
      </c>
      <c r="C510" s="9" t="s">
        <v>50</v>
      </c>
      <c r="D510" s="10">
        <v>20</v>
      </c>
      <c r="E510" s="11" t="s">
        <v>51</v>
      </c>
      <c r="F510" s="10">
        <v>1700</v>
      </c>
      <c r="G510" s="10">
        <v>0</v>
      </c>
      <c r="H510" s="10">
        <f t="shared" si="7"/>
        <v>1700</v>
      </c>
      <c r="I510" s="10"/>
      <c r="J510" s="10"/>
      <c r="K510" s="10"/>
      <c r="L510" s="4" t="s">
        <v>52</v>
      </c>
      <c r="M510" s="4">
        <v>505</v>
      </c>
    </row>
    <row r="511" spans="1:13" x14ac:dyDescent="0.25">
      <c r="A511" s="4" t="s">
        <v>497</v>
      </c>
      <c r="B511" s="4" t="s">
        <v>498</v>
      </c>
      <c r="C511" s="9" t="s">
        <v>50</v>
      </c>
      <c r="D511" s="10"/>
      <c r="E511" s="11" t="s">
        <v>51</v>
      </c>
      <c r="F511" s="10"/>
      <c r="G511" s="10">
        <v>0</v>
      </c>
      <c r="H511" s="10">
        <f t="shared" si="7"/>
        <v>0</v>
      </c>
      <c r="I511" s="10"/>
      <c r="J511" s="10"/>
      <c r="K511" s="10"/>
      <c r="L511" s="4" t="s">
        <v>52</v>
      </c>
      <c r="M511" s="4">
        <v>506</v>
      </c>
    </row>
    <row r="512" spans="1:13" x14ac:dyDescent="0.25">
      <c r="A512" s="4" t="s">
        <v>497</v>
      </c>
      <c r="B512" s="4" t="s">
        <v>499</v>
      </c>
      <c r="C512" s="4" t="s">
        <v>68</v>
      </c>
      <c r="D512" s="10">
        <v>94</v>
      </c>
      <c r="E512" s="11" t="s">
        <v>51</v>
      </c>
      <c r="F512" s="10"/>
      <c r="G512" s="10">
        <v>0</v>
      </c>
      <c r="H512" s="10">
        <f t="shared" si="7"/>
        <v>0</v>
      </c>
      <c r="I512" s="10"/>
      <c r="J512" s="10"/>
      <c r="K512" s="10"/>
      <c r="L512" s="4" t="s">
        <v>69</v>
      </c>
      <c r="M512" s="4">
        <v>507</v>
      </c>
    </row>
    <row r="513" spans="1:13" x14ac:dyDescent="0.25">
      <c r="A513" s="4" t="s">
        <v>500</v>
      </c>
      <c r="B513" s="4" t="s">
        <v>501</v>
      </c>
      <c r="C513" s="4" t="s">
        <v>68</v>
      </c>
      <c r="D513" s="10">
        <v>24</v>
      </c>
      <c r="E513" s="11" t="s">
        <v>51</v>
      </c>
      <c r="F513" s="10">
        <v>2760</v>
      </c>
      <c r="G513" s="10">
        <v>0</v>
      </c>
      <c r="H513" s="10">
        <f t="shared" si="7"/>
        <v>2760</v>
      </c>
      <c r="I513" s="10"/>
      <c r="J513" s="10"/>
      <c r="K513" s="10"/>
      <c r="L513" s="4" t="s">
        <v>69</v>
      </c>
      <c r="M513" s="4">
        <v>508</v>
      </c>
    </row>
    <row r="514" spans="1:13" x14ac:dyDescent="0.25">
      <c r="A514" s="4" t="s">
        <v>500</v>
      </c>
      <c r="B514" s="4" t="s">
        <v>502</v>
      </c>
      <c r="C514" s="4" t="s">
        <v>68</v>
      </c>
      <c r="D514" s="10">
        <v>108</v>
      </c>
      <c r="E514" s="11" t="s">
        <v>51</v>
      </c>
      <c r="F514" s="10">
        <v>6000</v>
      </c>
      <c r="G514" s="10">
        <v>0</v>
      </c>
      <c r="H514" s="10">
        <f t="shared" si="7"/>
        <v>6000</v>
      </c>
      <c r="I514" s="10"/>
      <c r="J514" s="10"/>
      <c r="K514" s="10"/>
      <c r="L514" s="4" t="s">
        <v>69</v>
      </c>
      <c r="M514" s="4">
        <v>509</v>
      </c>
    </row>
    <row r="515" spans="1:13" x14ac:dyDescent="0.25">
      <c r="A515" s="4" t="s">
        <v>503</v>
      </c>
      <c r="B515" s="4" t="s">
        <v>504</v>
      </c>
      <c r="C515" s="4" t="s">
        <v>68</v>
      </c>
      <c r="D515" s="10">
        <v>38</v>
      </c>
      <c r="E515" s="11" t="s">
        <v>51</v>
      </c>
      <c r="F515" s="10">
        <v>3800</v>
      </c>
      <c r="G515" s="10">
        <v>0</v>
      </c>
      <c r="H515" s="10">
        <f t="shared" si="7"/>
        <v>3800</v>
      </c>
      <c r="I515" s="10"/>
      <c r="J515" s="10"/>
      <c r="K515" s="10"/>
      <c r="L515" s="4" t="s">
        <v>69</v>
      </c>
      <c r="M515" s="4">
        <v>510</v>
      </c>
    </row>
    <row r="516" spans="1:13" x14ac:dyDescent="0.25">
      <c r="A516" s="4" t="s">
        <v>503</v>
      </c>
      <c r="B516" s="4" t="s">
        <v>505</v>
      </c>
      <c r="C516" s="4" t="s">
        <v>68</v>
      </c>
      <c r="D516" s="10">
        <v>40</v>
      </c>
      <c r="E516" s="11" t="s">
        <v>51</v>
      </c>
      <c r="F516" s="10">
        <v>3136</v>
      </c>
      <c r="G516" s="10">
        <v>0</v>
      </c>
      <c r="H516" s="10">
        <f t="shared" si="7"/>
        <v>3136</v>
      </c>
      <c r="I516" s="10"/>
      <c r="J516" s="10"/>
      <c r="K516" s="10"/>
      <c r="L516" s="4" t="s">
        <v>69</v>
      </c>
      <c r="M516" s="4">
        <v>511</v>
      </c>
    </row>
    <row r="517" spans="1:13" x14ac:dyDescent="0.25">
      <c r="A517" s="4" t="s">
        <v>506</v>
      </c>
      <c r="B517" s="4" t="s">
        <v>507</v>
      </c>
      <c r="C517" s="4" t="s">
        <v>68</v>
      </c>
      <c r="D517" s="10">
        <v>85</v>
      </c>
      <c r="E517" s="11" t="s">
        <v>51</v>
      </c>
      <c r="F517" s="10">
        <v>4622</v>
      </c>
      <c r="G517" s="10">
        <v>0</v>
      </c>
      <c r="H517" s="10">
        <f t="shared" si="7"/>
        <v>4622</v>
      </c>
      <c r="I517" s="10"/>
      <c r="J517" s="10"/>
      <c r="K517" s="10"/>
      <c r="L517" s="4" t="s">
        <v>69</v>
      </c>
      <c r="M517" s="4">
        <v>512</v>
      </c>
    </row>
    <row r="518" spans="1:13" x14ac:dyDescent="0.25">
      <c r="A518" s="4" t="s">
        <v>508</v>
      </c>
      <c r="B518" s="4" t="s">
        <v>509</v>
      </c>
      <c r="C518" s="4" t="s">
        <v>68</v>
      </c>
      <c r="D518" s="10">
        <v>45</v>
      </c>
      <c r="E518" s="11" t="s">
        <v>51</v>
      </c>
      <c r="F518" s="10">
        <v>4950</v>
      </c>
      <c r="G518" s="10">
        <v>0</v>
      </c>
      <c r="H518" s="10">
        <f t="shared" ref="H518:H581" si="8">F518-G518</f>
        <v>4950</v>
      </c>
      <c r="I518" s="10"/>
      <c r="J518" s="10"/>
      <c r="K518" s="10"/>
      <c r="L518" s="4" t="s">
        <v>69</v>
      </c>
      <c r="M518" s="4">
        <v>513</v>
      </c>
    </row>
    <row r="519" spans="1:13" x14ac:dyDescent="0.25">
      <c r="A519" s="4" t="s">
        <v>510</v>
      </c>
      <c r="B519" s="4" t="s">
        <v>106</v>
      </c>
      <c r="C519" s="9" t="s">
        <v>50</v>
      </c>
      <c r="D519" s="10">
        <v>433.5</v>
      </c>
      <c r="E519" s="11" t="s">
        <v>51</v>
      </c>
      <c r="F519" s="10"/>
      <c r="G519" s="10">
        <v>0</v>
      </c>
      <c r="H519" s="10">
        <f t="shared" si="8"/>
        <v>0</v>
      </c>
      <c r="I519" s="10"/>
      <c r="J519" s="10"/>
      <c r="K519" s="10"/>
      <c r="L519" s="4" t="s">
        <v>52</v>
      </c>
      <c r="M519" s="4">
        <v>514</v>
      </c>
    </row>
    <row r="520" spans="1:13" x14ac:dyDescent="0.25">
      <c r="A520" s="4" t="s">
        <v>511</v>
      </c>
      <c r="B520" s="4" t="s">
        <v>512</v>
      </c>
      <c r="C520" s="9" t="s">
        <v>50</v>
      </c>
      <c r="D520" s="10">
        <v>7</v>
      </c>
      <c r="E520" s="11" t="s">
        <v>51</v>
      </c>
      <c r="F520" s="10">
        <v>347.62</v>
      </c>
      <c r="G520" s="10">
        <v>0</v>
      </c>
      <c r="H520" s="10">
        <f t="shared" si="8"/>
        <v>347.62</v>
      </c>
      <c r="I520" s="10"/>
      <c r="J520" s="10"/>
      <c r="K520" s="10"/>
      <c r="L520" s="4" t="s">
        <v>52</v>
      </c>
      <c r="M520" s="4">
        <v>515</v>
      </c>
    </row>
    <row r="521" spans="1:13" x14ac:dyDescent="0.25">
      <c r="A521" s="4" t="s">
        <v>511</v>
      </c>
      <c r="B521" s="4" t="s">
        <v>136</v>
      </c>
      <c r="C521" s="9" t="s">
        <v>50</v>
      </c>
      <c r="D521" s="10">
        <v>13.5</v>
      </c>
      <c r="E521" s="11" t="s">
        <v>51</v>
      </c>
      <c r="F521" s="10">
        <v>1161.4100000000001</v>
      </c>
      <c r="G521" s="10">
        <v>0</v>
      </c>
      <c r="H521" s="10">
        <f t="shared" si="8"/>
        <v>1161.4100000000001</v>
      </c>
      <c r="I521" s="10"/>
      <c r="J521" s="10"/>
      <c r="K521" s="10"/>
      <c r="L521" s="4" t="s">
        <v>52</v>
      </c>
      <c r="M521" s="4">
        <v>516</v>
      </c>
    </row>
    <row r="522" spans="1:13" x14ac:dyDescent="0.25">
      <c r="A522" s="4" t="s">
        <v>511</v>
      </c>
      <c r="B522" s="4" t="s">
        <v>82</v>
      </c>
      <c r="C522" s="9" t="s">
        <v>50</v>
      </c>
      <c r="D522" s="10">
        <v>7</v>
      </c>
      <c r="E522" s="11" t="s">
        <v>51</v>
      </c>
      <c r="F522" s="10">
        <v>617.98</v>
      </c>
      <c r="G522" s="10">
        <v>0</v>
      </c>
      <c r="H522" s="10">
        <f t="shared" si="8"/>
        <v>617.98</v>
      </c>
      <c r="I522" s="10"/>
      <c r="J522" s="10"/>
      <c r="K522" s="10"/>
      <c r="L522" s="4" t="s">
        <v>52</v>
      </c>
      <c r="M522" s="4">
        <v>517</v>
      </c>
    </row>
    <row r="523" spans="1:13" x14ac:dyDescent="0.25">
      <c r="A523" s="4" t="s">
        <v>511</v>
      </c>
      <c r="B523" s="4" t="s">
        <v>88</v>
      </c>
      <c r="C523" s="9" t="s">
        <v>50</v>
      </c>
      <c r="D523" s="10">
        <v>16</v>
      </c>
      <c r="E523" s="11" t="s">
        <v>51</v>
      </c>
      <c r="F523" s="10">
        <v>1414.6</v>
      </c>
      <c r="G523" s="10">
        <v>0</v>
      </c>
      <c r="H523" s="10">
        <f t="shared" si="8"/>
        <v>1414.6</v>
      </c>
      <c r="I523" s="10"/>
      <c r="J523" s="10"/>
      <c r="K523" s="10"/>
      <c r="L523" s="4" t="s">
        <v>52</v>
      </c>
      <c r="M523" s="4">
        <v>518</v>
      </c>
    </row>
    <row r="524" spans="1:13" x14ac:dyDescent="0.25">
      <c r="A524" s="4" t="s">
        <v>511</v>
      </c>
      <c r="B524" s="4" t="s">
        <v>137</v>
      </c>
      <c r="C524" s="9" t="s">
        <v>50</v>
      </c>
      <c r="D524" s="10">
        <v>36</v>
      </c>
      <c r="E524" s="11" t="s">
        <v>51</v>
      </c>
      <c r="F524" s="10">
        <v>1945.68</v>
      </c>
      <c r="G524" s="10">
        <v>0</v>
      </c>
      <c r="H524" s="10">
        <f t="shared" si="8"/>
        <v>1945.68</v>
      </c>
      <c r="I524" s="10"/>
      <c r="J524" s="10"/>
      <c r="K524" s="10"/>
      <c r="L524" s="4" t="s">
        <v>52</v>
      </c>
      <c r="M524" s="4">
        <v>519</v>
      </c>
    </row>
    <row r="525" spans="1:13" x14ac:dyDescent="0.25">
      <c r="A525" s="4" t="s">
        <v>511</v>
      </c>
      <c r="B525" s="4" t="s">
        <v>272</v>
      </c>
      <c r="C525" s="9" t="s">
        <v>50</v>
      </c>
      <c r="D525" s="10">
        <v>5</v>
      </c>
      <c r="E525" s="11" t="s">
        <v>51</v>
      </c>
      <c r="F525" s="10">
        <v>441.76</v>
      </c>
      <c r="G525" s="10">
        <v>0</v>
      </c>
      <c r="H525" s="10">
        <f t="shared" si="8"/>
        <v>441.76</v>
      </c>
      <c r="I525" s="10"/>
      <c r="J525" s="10"/>
      <c r="K525" s="10"/>
      <c r="L525" s="4" t="s">
        <v>52</v>
      </c>
      <c r="M525" s="4">
        <v>520</v>
      </c>
    </row>
    <row r="526" spans="1:13" x14ac:dyDescent="0.25">
      <c r="A526" s="4" t="s">
        <v>511</v>
      </c>
      <c r="B526" s="4" t="s">
        <v>107</v>
      </c>
      <c r="C526" s="9" t="s">
        <v>50</v>
      </c>
      <c r="D526" s="10">
        <v>25</v>
      </c>
      <c r="E526" s="11" t="s">
        <v>51</v>
      </c>
      <c r="F526" s="10">
        <v>2211.2199999999998</v>
      </c>
      <c r="G526" s="10">
        <v>0</v>
      </c>
      <c r="H526" s="10">
        <f t="shared" si="8"/>
        <v>2211.2199999999998</v>
      </c>
      <c r="I526" s="10"/>
      <c r="J526" s="10"/>
      <c r="K526" s="10"/>
      <c r="L526" s="4" t="s">
        <v>52</v>
      </c>
      <c r="M526" s="4">
        <v>521</v>
      </c>
    </row>
    <row r="527" spans="1:13" x14ac:dyDescent="0.25">
      <c r="A527" s="4" t="s">
        <v>511</v>
      </c>
      <c r="B527" s="4" t="s">
        <v>128</v>
      </c>
      <c r="C527" s="9" t="s">
        <v>50</v>
      </c>
      <c r="D527" s="10">
        <v>369</v>
      </c>
      <c r="E527" s="11" t="s">
        <v>51</v>
      </c>
      <c r="F527" s="10">
        <v>16849.72</v>
      </c>
      <c r="G527" s="10">
        <v>0</v>
      </c>
      <c r="H527" s="10">
        <f t="shared" si="8"/>
        <v>16849.72</v>
      </c>
      <c r="I527" s="10"/>
      <c r="J527" s="10"/>
      <c r="K527" s="10"/>
      <c r="L527" s="4" t="s">
        <v>52</v>
      </c>
      <c r="M527" s="4">
        <v>522</v>
      </c>
    </row>
    <row r="528" spans="1:13" x14ac:dyDescent="0.25">
      <c r="A528" s="4" t="s">
        <v>513</v>
      </c>
      <c r="B528" s="4" t="s">
        <v>514</v>
      </c>
      <c r="C528" s="4" t="s">
        <v>65</v>
      </c>
      <c r="D528" s="10">
        <v>25</v>
      </c>
      <c r="E528" s="12" t="s">
        <v>66</v>
      </c>
      <c r="F528" s="10">
        <v>3050</v>
      </c>
      <c r="G528" s="10">
        <v>0</v>
      </c>
      <c r="H528" s="10">
        <f t="shared" si="8"/>
        <v>3050</v>
      </c>
      <c r="I528" s="10">
        <v>122</v>
      </c>
      <c r="J528" s="10">
        <v>122</v>
      </c>
      <c r="K528" s="10">
        <v>122</v>
      </c>
      <c r="L528" s="4"/>
      <c r="M528" s="4">
        <v>523</v>
      </c>
    </row>
    <row r="529" spans="1:13" x14ac:dyDescent="0.25">
      <c r="A529" s="4" t="s">
        <v>513</v>
      </c>
      <c r="B529" s="4" t="s">
        <v>515</v>
      </c>
      <c r="C529" s="4" t="s">
        <v>65</v>
      </c>
      <c r="D529" s="10">
        <v>1351.03</v>
      </c>
      <c r="E529" s="12" t="s">
        <v>66</v>
      </c>
      <c r="F529" s="10">
        <v>1650</v>
      </c>
      <c r="G529" s="10">
        <v>0</v>
      </c>
      <c r="H529" s="10">
        <f t="shared" si="8"/>
        <v>1650</v>
      </c>
      <c r="I529" s="10">
        <v>82.5</v>
      </c>
      <c r="J529" s="10">
        <v>82.5</v>
      </c>
      <c r="K529" s="10">
        <v>82.5</v>
      </c>
      <c r="L529" s="4"/>
      <c r="M529" s="4">
        <v>524</v>
      </c>
    </row>
    <row r="530" spans="1:13" x14ac:dyDescent="0.25">
      <c r="A530" s="4" t="s">
        <v>516</v>
      </c>
      <c r="B530" s="4" t="s">
        <v>137</v>
      </c>
      <c r="C530" s="9" t="s">
        <v>50</v>
      </c>
      <c r="D530" s="10">
        <v>186.5</v>
      </c>
      <c r="E530" s="11" t="s">
        <v>51</v>
      </c>
      <c r="F530" s="10">
        <v>12000</v>
      </c>
      <c r="G530" s="10">
        <v>0</v>
      </c>
      <c r="H530" s="10">
        <f t="shared" si="8"/>
        <v>12000</v>
      </c>
      <c r="I530" s="10"/>
      <c r="J530" s="10"/>
      <c r="K530" s="10"/>
      <c r="L530" s="4" t="s">
        <v>52</v>
      </c>
      <c r="M530" s="4">
        <v>525</v>
      </c>
    </row>
    <row r="531" spans="1:13" x14ac:dyDescent="0.25">
      <c r="A531" s="4" t="s">
        <v>516</v>
      </c>
      <c r="B531" s="4" t="s">
        <v>106</v>
      </c>
      <c r="C531" s="9" t="s">
        <v>50</v>
      </c>
      <c r="D531" s="10">
        <v>200</v>
      </c>
      <c r="E531" s="11" t="s">
        <v>51</v>
      </c>
      <c r="F531" s="10">
        <v>15000</v>
      </c>
      <c r="G531" s="10">
        <v>0</v>
      </c>
      <c r="H531" s="10">
        <f t="shared" si="8"/>
        <v>15000</v>
      </c>
      <c r="I531" s="10"/>
      <c r="J531" s="10"/>
      <c r="K531" s="10"/>
      <c r="L531" s="4" t="s">
        <v>52</v>
      </c>
      <c r="M531" s="4">
        <v>526</v>
      </c>
    </row>
    <row r="532" spans="1:13" x14ac:dyDescent="0.25">
      <c r="A532" s="4" t="s">
        <v>516</v>
      </c>
      <c r="B532" s="4" t="s">
        <v>271</v>
      </c>
      <c r="C532" s="9" t="s">
        <v>50</v>
      </c>
      <c r="D532" s="10">
        <v>29</v>
      </c>
      <c r="E532" s="11" t="s">
        <v>51</v>
      </c>
      <c r="F532" s="10">
        <v>2200</v>
      </c>
      <c r="G532" s="10">
        <v>0</v>
      </c>
      <c r="H532" s="10">
        <f t="shared" si="8"/>
        <v>2200</v>
      </c>
      <c r="I532" s="10"/>
      <c r="J532" s="10"/>
      <c r="K532" s="10"/>
      <c r="L532" s="4" t="s">
        <v>52</v>
      </c>
      <c r="M532" s="4">
        <v>527</v>
      </c>
    </row>
    <row r="533" spans="1:13" x14ac:dyDescent="0.25">
      <c r="A533" s="4" t="s">
        <v>516</v>
      </c>
      <c r="B533" s="4" t="s">
        <v>272</v>
      </c>
      <c r="C533" s="9" t="s">
        <v>50</v>
      </c>
      <c r="D533" s="10">
        <v>9.65</v>
      </c>
      <c r="E533" s="11" t="s">
        <v>51</v>
      </c>
      <c r="F533" s="10">
        <v>700</v>
      </c>
      <c r="G533" s="10">
        <v>0</v>
      </c>
      <c r="H533" s="10">
        <f t="shared" si="8"/>
        <v>700</v>
      </c>
      <c r="I533" s="10"/>
      <c r="J533" s="10"/>
      <c r="K533" s="10"/>
      <c r="L533" s="4" t="s">
        <v>52</v>
      </c>
      <c r="M533" s="4">
        <v>528</v>
      </c>
    </row>
    <row r="534" spans="1:13" x14ac:dyDescent="0.25">
      <c r="A534" s="4" t="s">
        <v>516</v>
      </c>
      <c r="B534" s="4" t="s">
        <v>107</v>
      </c>
      <c r="C534" s="9" t="s">
        <v>50</v>
      </c>
      <c r="D534" s="10">
        <v>800</v>
      </c>
      <c r="E534" s="11" t="s">
        <v>51</v>
      </c>
      <c r="F534" s="10">
        <v>60000</v>
      </c>
      <c r="G534" s="10">
        <v>0</v>
      </c>
      <c r="H534" s="10">
        <f t="shared" si="8"/>
        <v>60000</v>
      </c>
      <c r="I534" s="10"/>
      <c r="J534" s="10"/>
      <c r="K534" s="10"/>
      <c r="L534" s="4" t="s">
        <v>52</v>
      </c>
      <c r="M534" s="4">
        <v>529</v>
      </c>
    </row>
    <row r="535" spans="1:13" x14ac:dyDescent="0.25">
      <c r="A535" s="4" t="s">
        <v>516</v>
      </c>
      <c r="B535" s="4" t="s">
        <v>128</v>
      </c>
      <c r="C535" s="9" t="s">
        <v>50</v>
      </c>
      <c r="D535" s="10">
        <v>129</v>
      </c>
      <c r="E535" s="11" t="s">
        <v>51</v>
      </c>
      <c r="F535" s="10">
        <v>6650</v>
      </c>
      <c r="G535" s="10">
        <v>0</v>
      </c>
      <c r="H535" s="10">
        <f t="shared" si="8"/>
        <v>6650</v>
      </c>
      <c r="I535" s="10"/>
      <c r="J535" s="10"/>
      <c r="K535" s="10"/>
      <c r="L535" s="4" t="s">
        <v>52</v>
      </c>
      <c r="M535" s="4">
        <v>530</v>
      </c>
    </row>
    <row r="536" spans="1:13" x14ac:dyDescent="0.25">
      <c r="A536" s="4" t="s">
        <v>517</v>
      </c>
      <c r="B536" s="4" t="s">
        <v>518</v>
      </c>
      <c r="C536" s="4" t="s">
        <v>68</v>
      </c>
      <c r="D536" s="10">
        <v>70</v>
      </c>
      <c r="E536" s="11" t="s">
        <v>51</v>
      </c>
      <c r="F536" s="10">
        <v>2530</v>
      </c>
      <c r="G536" s="10">
        <v>0</v>
      </c>
      <c r="H536" s="10">
        <f t="shared" si="8"/>
        <v>2530</v>
      </c>
      <c r="I536" s="10"/>
      <c r="J536" s="10"/>
      <c r="K536" s="10"/>
      <c r="L536" s="4" t="s">
        <v>69</v>
      </c>
      <c r="M536" s="4">
        <v>531</v>
      </c>
    </row>
    <row r="537" spans="1:13" x14ac:dyDescent="0.25">
      <c r="A537" s="4" t="s">
        <v>519</v>
      </c>
      <c r="B537" s="4" t="s">
        <v>520</v>
      </c>
      <c r="C537" s="4" t="s">
        <v>65</v>
      </c>
      <c r="D537" s="10">
        <v>27</v>
      </c>
      <c r="E537" s="12" t="s">
        <v>66</v>
      </c>
      <c r="F537" s="10">
        <v>3150</v>
      </c>
      <c r="G537" s="10">
        <v>0</v>
      </c>
      <c r="H537" s="10">
        <f t="shared" si="8"/>
        <v>3150</v>
      </c>
      <c r="I537" s="10">
        <v>116.6666666666667</v>
      </c>
      <c r="J537" s="10">
        <v>116.6666666666667</v>
      </c>
      <c r="K537" s="10">
        <v>116.6666666666667</v>
      </c>
      <c r="L537" s="4"/>
      <c r="M537" s="4">
        <v>532</v>
      </c>
    </row>
    <row r="538" spans="1:13" x14ac:dyDescent="0.25">
      <c r="A538" s="4" t="s">
        <v>519</v>
      </c>
      <c r="B538" s="4" t="s">
        <v>521</v>
      </c>
      <c r="C538" s="4" t="s">
        <v>68</v>
      </c>
      <c r="D538" s="10">
        <v>40</v>
      </c>
      <c r="E538" s="11" t="s">
        <v>51</v>
      </c>
      <c r="F538" s="10">
        <v>2200</v>
      </c>
      <c r="G538" s="10">
        <v>0</v>
      </c>
      <c r="H538" s="10">
        <f t="shared" si="8"/>
        <v>2200</v>
      </c>
      <c r="I538" s="10"/>
      <c r="J538" s="10"/>
      <c r="K538" s="10"/>
      <c r="L538" s="4" t="s">
        <v>69</v>
      </c>
      <c r="M538" s="4">
        <v>533</v>
      </c>
    </row>
    <row r="539" spans="1:13" x14ac:dyDescent="0.25">
      <c r="A539" s="4" t="s">
        <v>522</v>
      </c>
      <c r="B539" s="4" t="s">
        <v>248</v>
      </c>
      <c r="C539" s="4" t="s">
        <v>68</v>
      </c>
      <c r="D539" s="10">
        <v>28</v>
      </c>
      <c r="E539" s="11" t="s">
        <v>51</v>
      </c>
      <c r="F539" s="10">
        <v>2200</v>
      </c>
      <c r="G539" s="10">
        <v>0</v>
      </c>
      <c r="H539" s="10">
        <f t="shared" si="8"/>
        <v>2200</v>
      </c>
      <c r="I539" s="10"/>
      <c r="J539" s="10"/>
      <c r="K539" s="10"/>
      <c r="L539" s="4" t="s">
        <v>69</v>
      </c>
      <c r="M539" s="4">
        <v>534</v>
      </c>
    </row>
    <row r="540" spans="1:13" x14ac:dyDescent="0.25">
      <c r="A540" s="4" t="s">
        <v>523</v>
      </c>
      <c r="B540" s="4" t="s">
        <v>524</v>
      </c>
      <c r="C540" s="4" t="s">
        <v>65</v>
      </c>
      <c r="D540" s="10">
        <v>12</v>
      </c>
      <c r="E540" s="12" t="s">
        <v>66</v>
      </c>
      <c r="F540" s="10">
        <v>950</v>
      </c>
      <c r="G540" s="10">
        <v>0</v>
      </c>
      <c r="H540" s="10">
        <f t="shared" si="8"/>
        <v>950</v>
      </c>
      <c r="I540" s="10">
        <v>79.166666666666671</v>
      </c>
      <c r="J540" s="10">
        <v>79.166666666666671</v>
      </c>
      <c r="K540" s="10">
        <v>79.166666666666671</v>
      </c>
      <c r="L540" s="4"/>
      <c r="M540" s="4">
        <v>535</v>
      </c>
    </row>
    <row r="541" spans="1:13" x14ac:dyDescent="0.25">
      <c r="A541" s="4" t="s">
        <v>523</v>
      </c>
      <c r="B541" s="4" t="s">
        <v>525</v>
      </c>
      <c r="C541" s="4" t="s">
        <v>65</v>
      </c>
      <c r="D541" s="10">
        <v>16</v>
      </c>
      <c r="E541" s="12" t="s">
        <v>66</v>
      </c>
      <c r="F541" s="10">
        <v>1500</v>
      </c>
      <c r="G541" s="10">
        <v>0</v>
      </c>
      <c r="H541" s="10">
        <f t="shared" si="8"/>
        <v>1500</v>
      </c>
      <c r="I541" s="10">
        <v>93.75</v>
      </c>
      <c r="J541" s="10">
        <v>93.75</v>
      </c>
      <c r="K541" s="10">
        <v>93.75</v>
      </c>
      <c r="L541" s="4"/>
      <c r="M541" s="4">
        <v>536</v>
      </c>
    </row>
    <row r="542" spans="1:13" x14ac:dyDescent="0.25">
      <c r="A542" s="4" t="s">
        <v>526</v>
      </c>
      <c r="B542" s="4" t="s">
        <v>270</v>
      </c>
      <c r="C542" s="9" t="s">
        <v>50</v>
      </c>
      <c r="D542" s="10"/>
      <c r="E542" s="11" t="s">
        <v>51</v>
      </c>
      <c r="F542" s="10"/>
      <c r="G542" s="10">
        <v>0</v>
      </c>
      <c r="H542" s="10">
        <f t="shared" si="8"/>
        <v>0</v>
      </c>
      <c r="I542" s="10"/>
      <c r="J542" s="10"/>
      <c r="K542" s="10"/>
      <c r="L542" s="4" t="s">
        <v>52</v>
      </c>
      <c r="M542" s="4">
        <v>537</v>
      </c>
    </row>
    <row r="543" spans="1:13" x14ac:dyDescent="0.25">
      <c r="A543" s="4" t="s">
        <v>526</v>
      </c>
      <c r="B543" s="4" t="s">
        <v>136</v>
      </c>
      <c r="C543" s="9" t="s">
        <v>50</v>
      </c>
      <c r="D543" s="10"/>
      <c r="E543" s="11" t="s">
        <v>51</v>
      </c>
      <c r="F543" s="10"/>
      <c r="G543" s="10">
        <v>0</v>
      </c>
      <c r="H543" s="10">
        <f t="shared" si="8"/>
        <v>0</v>
      </c>
      <c r="I543" s="10"/>
      <c r="J543" s="10"/>
      <c r="K543" s="10"/>
      <c r="L543" s="4" t="s">
        <v>52</v>
      </c>
      <c r="M543" s="4">
        <v>538</v>
      </c>
    </row>
    <row r="544" spans="1:13" x14ac:dyDescent="0.25">
      <c r="A544" s="4" t="s">
        <v>526</v>
      </c>
      <c r="B544" s="4" t="s">
        <v>82</v>
      </c>
      <c r="C544" s="9" t="s">
        <v>50</v>
      </c>
      <c r="D544" s="10"/>
      <c r="E544" s="11" t="s">
        <v>51</v>
      </c>
      <c r="F544" s="10"/>
      <c r="G544" s="10">
        <v>0</v>
      </c>
      <c r="H544" s="10">
        <f t="shared" si="8"/>
        <v>0</v>
      </c>
      <c r="I544" s="10"/>
      <c r="J544" s="10"/>
      <c r="K544" s="10"/>
      <c r="L544" s="4" t="s">
        <v>52</v>
      </c>
      <c r="M544" s="4">
        <v>539</v>
      </c>
    </row>
    <row r="545" spans="1:13" x14ac:dyDescent="0.25">
      <c r="A545" s="4" t="s">
        <v>526</v>
      </c>
      <c r="B545" s="4" t="s">
        <v>88</v>
      </c>
      <c r="C545" s="9" t="s">
        <v>50</v>
      </c>
      <c r="D545" s="10"/>
      <c r="E545" s="11" t="s">
        <v>51</v>
      </c>
      <c r="F545" s="10"/>
      <c r="G545" s="10">
        <v>0</v>
      </c>
      <c r="H545" s="10">
        <f t="shared" si="8"/>
        <v>0</v>
      </c>
      <c r="I545" s="10"/>
      <c r="J545" s="10"/>
      <c r="K545" s="10"/>
      <c r="L545" s="4" t="s">
        <v>52</v>
      </c>
      <c r="M545" s="4">
        <v>540</v>
      </c>
    </row>
    <row r="546" spans="1:13" x14ac:dyDescent="0.25">
      <c r="A546" s="4" t="s">
        <v>526</v>
      </c>
      <c r="B546" s="4" t="s">
        <v>137</v>
      </c>
      <c r="C546" s="9" t="s">
        <v>50</v>
      </c>
      <c r="D546" s="10">
        <v>16</v>
      </c>
      <c r="E546" s="11" t="s">
        <v>51</v>
      </c>
      <c r="F546" s="10"/>
      <c r="G546" s="10">
        <v>0</v>
      </c>
      <c r="H546" s="10">
        <f t="shared" si="8"/>
        <v>0</v>
      </c>
      <c r="I546" s="10"/>
      <c r="J546" s="10"/>
      <c r="K546" s="10"/>
      <c r="L546" s="4" t="s">
        <v>52</v>
      </c>
      <c r="M546" s="4">
        <v>541</v>
      </c>
    </row>
    <row r="547" spans="1:13" x14ac:dyDescent="0.25">
      <c r="A547" s="4" t="s">
        <v>527</v>
      </c>
      <c r="B547" s="4" t="s">
        <v>528</v>
      </c>
      <c r="C547" s="9" t="s">
        <v>50</v>
      </c>
      <c r="D547" s="10">
        <v>38.75</v>
      </c>
      <c r="E547" s="11" t="s">
        <v>51</v>
      </c>
      <c r="F547" s="10">
        <v>1360</v>
      </c>
      <c r="G547" s="10">
        <v>0</v>
      </c>
      <c r="H547" s="10">
        <f t="shared" si="8"/>
        <v>1360</v>
      </c>
      <c r="I547" s="10"/>
      <c r="J547" s="10"/>
      <c r="K547" s="10"/>
      <c r="L547" s="4" t="s">
        <v>52</v>
      </c>
      <c r="M547" s="4">
        <v>542</v>
      </c>
    </row>
    <row r="548" spans="1:13" x14ac:dyDescent="0.25">
      <c r="A548" s="4" t="s">
        <v>529</v>
      </c>
      <c r="B548" s="4" t="s">
        <v>530</v>
      </c>
      <c r="C548" s="4" t="s">
        <v>68</v>
      </c>
      <c r="D548" s="10">
        <v>14</v>
      </c>
      <c r="E548" s="11" t="s">
        <v>51</v>
      </c>
      <c r="F548" s="10">
        <v>1050</v>
      </c>
      <c r="G548" s="10">
        <v>0</v>
      </c>
      <c r="H548" s="10">
        <f t="shared" si="8"/>
        <v>1050</v>
      </c>
      <c r="I548" s="10"/>
      <c r="J548" s="10"/>
      <c r="K548" s="10"/>
      <c r="L548" s="4" t="s">
        <v>69</v>
      </c>
      <c r="M548" s="4">
        <v>543</v>
      </c>
    </row>
    <row r="549" spans="1:13" x14ac:dyDescent="0.25">
      <c r="A549" s="4" t="s">
        <v>529</v>
      </c>
      <c r="B549" s="4" t="s">
        <v>531</v>
      </c>
      <c r="C549" s="4" t="s">
        <v>68</v>
      </c>
      <c r="D549" s="10">
        <v>8.75</v>
      </c>
      <c r="E549" s="11" t="s">
        <v>51</v>
      </c>
      <c r="F549" s="10">
        <v>700</v>
      </c>
      <c r="G549" s="10">
        <v>0</v>
      </c>
      <c r="H549" s="10">
        <f t="shared" si="8"/>
        <v>700</v>
      </c>
      <c r="I549" s="10"/>
      <c r="J549" s="10"/>
      <c r="K549" s="10"/>
      <c r="L549" s="4" t="s">
        <v>69</v>
      </c>
      <c r="M549" s="4">
        <v>544</v>
      </c>
    </row>
    <row r="550" spans="1:13" x14ac:dyDescent="0.25">
      <c r="A550" s="4" t="s">
        <v>529</v>
      </c>
      <c r="B550" s="4" t="s">
        <v>532</v>
      </c>
      <c r="C550" s="4" t="s">
        <v>68</v>
      </c>
      <c r="D550" s="10"/>
      <c r="E550" s="11" t="s">
        <v>51</v>
      </c>
      <c r="F550" s="10">
        <v>686</v>
      </c>
      <c r="G550" s="10">
        <v>0</v>
      </c>
      <c r="H550" s="10">
        <f t="shared" si="8"/>
        <v>686</v>
      </c>
      <c r="I550" s="10"/>
      <c r="J550" s="10"/>
      <c r="K550" s="10"/>
      <c r="L550" s="4" t="s">
        <v>69</v>
      </c>
      <c r="M550" s="4">
        <v>545</v>
      </c>
    </row>
    <row r="551" spans="1:13" x14ac:dyDescent="0.25">
      <c r="A551" s="4" t="s">
        <v>533</v>
      </c>
      <c r="B551" s="4" t="s">
        <v>404</v>
      </c>
      <c r="C551" s="9" t="s">
        <v>50</v>
      </c>
      <c r="D551" s="10">
        <v>72</v>
      </c>
      <c r="E551" s="11" t="s">
        <v>51</v>
      </c>
      <c r="F551" s="10"/>
      <c r="G551" s="10">
        <v>0</v>
      </c>
      <c r="H551" s="10">
        <f t="shared" si="8"/>
        <v>0</v>
      </c>
      <c r="I551" s="10"/>
      <c r="J551" s="10"/>
      <c r="K551" s="10"/>
      <c r="L551" s="4" t="s">
        <v>52</v>
      </c>
      <c r="M551" s="4">
        <v>546</v>
      </c>
    </row>
    <row r="552" spans="1:13" x14ac:dyDescent="0.25">
      <c r="A552" s="4" t="s">
        <v>534</v>
      </c>
      <c r="B552" s="4" t="s">
        <v>136</v>
      </c>
      <c r="C552" s="9" t="s">
        <v>50</v>
      </c>
      <c r="D552" s="10">
        <v>1</v>
      </c>
      <c r="E552" s="11" t="s">
        <v>51</v>
      </c>
      <c r="F552" s="10">
        <v>104.91</v>
      </c>
      <c r="G552" s="10">
        <v>0</v>
      </c>
      <c r="H552" s="10">
        <f t="shared" si="8"/>
        <v>104.91</v>
      </c>
      <c r="I552" s="10"/>
      <c r="J552" s="10"/>
      <c r="K552" s="10"/>
      <c r="L552" s="4" t="s">
        <v>52</v>
      </c>
      <c r="M552" s="4">
        <v>547</v>
      </c>
    </row>
    <row r="553" spans="1:13" x14ac:dyDescent="0.25">
      <c r="A553" s="4" t="s">
        <v>534</v>
      </c>
      <c r="B553" s="4" t="s">
        <v>82</v>
      </c>
      <c r="C553" s="9" t="s">
        <v>50</v>
      </c>
      <c r="D553" s="10">
        <v>6</v>
      </c>
      <c r="E553" s="11" t="s">
        <v>51</v>
      </c>
      <c r="F553" s="10">
        <v>627.9</v>
      </c>
      <c r="G553" s="10">
        <v>0</v>
      </c>
      <c r="H553" s="10">
        <f t="shared" si="8"/>
        <v>627.9</v>
      </c>
      <c r="I553" s="10"/>
      <c r="J553" s="10"/>
      <c r="K553" s="10"/>
      <c r="L553" s="4" t="s">
        <v>52</v>
      </c>
      <c r="M553" s="4">
        <v>548</v>
      </c>
    </row>
    <row r="554" spans="1:13" x14ac:dyDescent="0.25">
      <c r="A554" s="4" t="s">
        <v>534</v>
      </c>
      <c r="B554" s="4" t="s">
        <v>88</v>
      </c>
      <c r="C554" s="9" t="s">
        <v>50</v>
      </c>
      <c r="D554" s="10">
        <v>25</v>
      </c>
      <c r="E554" s="11" t="s">
        <v>51</v>
      </c>
      <c r="F554" s="10">
        <v>2616.5100000000002</v>
      </c>
      <c r="G554" s="10">
        <v>0</v>
      </c>
      <c r="H554" s="10">
        <f t="shared" si="8"/>
        <v>2616.5100000000002</v>
      </c>
      <c r="I554" s="10"/>
      <c r="J554" s="10"/>
      <c r="K554" s="10"/>
      <c r="L554" s="4" t="s">
        <v>52</v>
      </c>
      <c r="M554" s="4">
        <v>549</v>
      </c>
    </row>
    <row r="555" spans="1:13" x14ac:dyDescent="0.25">
      <c r="A555" s="4" t="s">
        <v>534</v>
      </c>
      <c r="B555" s="4" t="s">
        <v>137</v>
      </c>
      <c r="C555" s="9" t="s">
        <v>50</v>
      </c>
      <c r="D555" s="10">
        <v>10</v>
      </c>
      <c r="E555" s="11" t="s">
        <v>51</v>
      </c>
      <c r="F555" s="10">
        <v>550.67999999999995</v>
      </c>
      <c r="G555" s="10">
        <v>0</v>
      </c>
      <c r="H555" s="10">
        <f t="shared" si="8"/>
        <v>550.67999999999995</v>
      </c>
      <c r="I555" s="10"/>
      <c r="J555" s="10"/>
      <c r="K555" s="10"/>
      <c r="L555" s="4" t="s">
        <v>52</v>
      </c>
      <c r="M555" s="4">
        <v>550</v>
      </c>
    </row>
    <row r="556" spans="1:13" x14ac:dyDescent="0.25">
      <c r="A556" s="4" t="s">
        <v>534</v>
      </c>
      <c r="B556" s="4" t="s">
        <v>107</v>
      </c>
      <c r="C556" s="9" t="s">
        <v>50</v>
      </c>
      <c r="D556" s="10">
        <v>54</v>
      </c>
      <c r="E556" s="11" t="s">
        <v>51</v>
      </c>
      <c r="F556" s="10">
        <v>2550</v>
      </c>
      <c r="G556" s="10">
        <v>0</v>
      </c>
      <c r="H556" s="10">
        <f t="shared" si="8"/>
        <v>2550</v>
      </c>
      <c r="I556" s="10"/>
      <c r="J556" s="10"/>
      <c r="K556" s="10"/>
      <c r="L556" s="4" t="s">
        <v>52</v>
      </c>
      <c r="M556" s="4">
        <v>551</v>
      </c>
    </row>
    <row r="557" spans="1:13" x14ac:dyDescent="0.25">
      <c r="A557" s="4" t="s">
        <v>535</v>
      </c>
      <c r="B557" s="4" t="s">
        <v>425</v>
      </c>
      <c r="C557" s="4" t="s">
        <v>68</v>
      </c>
      <c r="D557" s="10">
        <v>1019.75</v>
      </c>
      <c r="E557" s="11" t="s">
        <v>51</v>
      </c>
      <c r="F557" s="10">
        <v>2040</v>
      </c>
      <c r="G557" s="10">
        <v>0</v>
      </c>
      <c r="H557" s="10">
        <f t="shared" si="8"/>
        <v>2040</v>
      </c>
      <c r="I557" s="10"/>
      <c r="J557" s="10"/>
      <c r="K557" s="10"/>
      <c r="L557" s="4" t="s">
        <v>69</v>
      </c>
      <c r="M557" s="4">
        <v>552</v>
      </c>
    </row>
    <row r="558" spans="1:13" x14ac:dyDescent="0.25">
      <c r="A558" s="4" t="s">
        <v>536</v>
      </c>
      <c r="B558" s="4" t="s">
        <v>136</v>
      </c>
      <c r="C558" s="9" t="s">
        <v>50</v>
      </c>
      <c r="D558" s="10">
        <v>42.75</v>
      </c>
      <c r="E558" s="11" t="s">
        <v>51</v>
      </c>
      <c r="F558" s="10">
        <v>4450</v>
      </c>
      <c r="G558" s="10">
        <v>0</v>
      </c>
      <c r="H558" s="10">
        <f t="shared" si="8"/>
        <v>4450</v>
      </c>
      <c r="I558" s="10"/>
      <c r="J558" s="10"/>
      <c r="K558" s="10"/>
      <c r="L558" s="4" t="s">
        <v>52</v>
      </c>
      <c r="M558" s="4">
        <v>553</v>
      </c>
    </row>
    <row r="559" spans="1:13" x14ac:dyDescent="0.25">
      <c r="A559" s="4" t="s">
        <v>536</v>
      </c>
      <c r="B559" s="4" t="s">
        <v>537</v>
      </c>
      <c r="C559" s="9" t="s">
        <v>50</v>
      </c>
      <c r="D559" s="10">
        <v>190</v>
      </c>
      <c r="E559" s="11" t="s">
        <v>51</v>
      </c>
      <c r="F559" s="10">
        <v>16150</v>
      </c>
      <c r="G559" s="10">
        <v>0</v>
      </c>
      <c r="H559" s="10">
        <f t="shared" si="8"/>
        <v>16150</v>
      </c>
      <c r="I559" s="10">
        <v>85</v>
      </c>
      <c r="J559" s="10">
        <v>85</v>
      </c>
      <c r="K559" s="10">
        <v>85</v>
      </c>
      <c r="L559" s="4" t="s">
        <v>259</v>
      </c>
      <c r="M559" s="4">
        <v>554</v>
      </c>
    </row>
    <row r="560" spans="1:13" x14ac:dyDescent="0.25">
      <c r="A560" s="4" t="s">
        <v>536</v>
      </c>
      <c r="B560" s="4" t="s">
        <v>106</v>
      </c>
      <c r="C560" s="9" t="s">
        <v>50</v>
      </c>
      <c r="D560" s="10">
        <v>600</v>
      </c>
      <c r="E560" s="11" t="s">
        <v>51</v>
      </c>
      <c r="F560" s="10">
        <v>51000</v>
      </c>
      <c r="G560" s="10">
        <v>0</v>
      </c>
      <c r="H560" s="10">
        <f t="shared" si="8"/>
        <v>51000</v>
      </c>
      <c r="I560" s="10"/>
      <c r="J560" s="10"/>
      <c r="K560" s="10"/>
      <c r="L560" s="4" t="s">
        <v>52</v>
      </c>
      <c r="M560" s="4">
        <v>555</v>
      </c>
    </row>
    <row r="561" spans="1:13" x14ac:dyDescent="0.25">
      <c r="A561" s="4" t="s">
        <v>536</v>
      </c>
      <c r="B561" s="4" t="s">
        <v>538</v>
      </c>
      <c r="C561" s="4" t="s">
        <v>68</v>
      </c>
      <c r="D561" s="10">
        <v>253</v>
      </c>
      <c r="E561" s="11" t="s">
        <v>51</v>
      </c>
      <c r="F561" s="10">
        <v>23005</v>
      </c>
      <c r="G561" s="10">
        <v>0</v>
      </c>
      <c r="H561" s="10">
        <f t="shared" si="8"/>
        <v>23005</v>
      </c>
      <c r="I561" s="10"/>
      <c r="J561" s="10"/>
      <c r="K561" s="10"/>
      <c r="L561" s="4" t="s">
        <v>69</v>
      </c>
      <c r="M561" s="4">
        <v>556</v>
      </c>
    </row>
    <row r="562" spans="1:13" x14ac:dyDescent="0.25">
      <c r="A562" s="4" t="s">
        <v>536</v>
      </c>
      <c r="B562" s="4" t="s">
        <v>539</v>
      </c>
      <c r="C562" s="9" t="s">
        <v>50</v>
      </c>
      <c r="D562" s="10">
        <v>413</v>
      </c>
      <c r="E562" s="11" t="s">
        <v>51</v>
      </c>
      <c r="F562" s="10">
        <v>11075</v>
      </c>
      <c r="G562" s="10">
        <v>0</v>
      </c>
      <c r="H562" s="10">
        <f t="shared" si="8"/>
        <v>11075</v>
      </c>
      <c r="I562" s="10"/>
      <c r="J562" s="10"/>
      <c r="K562" s="10"/>
      <c r="L562" s="4" t="s">
        <v>52</v>
      </c>
      <c r="M562" s="4">
        <v>557</v>
      </c>
    </row>
    <row r="563" spans="1:13" x14ac:dyDescent="0.25">
      <c r="A563" s="4" t="s">
        <v>540</v>
      </c>
      <c r="B563" s="4" t="s">
        <v>541</v>
      </c>
      <c r="C563" s="4" t="s">
        <v>65</v>
      </c>
      <c r="D563" s="10">
        <v>133</v>
      </c>
      <c r="E563" s="12" t="s">
        <v>66</v>
      </c>
      <c r="F563" s="10">
        <v>12580</v>
      </c>
      <c r="G563" s="10">
        <v>0</v>
      </c>
      <c r="H563" s="10">
        <f t="shared" si="8"/>
        <v>12580</v>
      </c>
      <c r="I563" s="10">
        <v>94.58646616541354</v>
      </c>
      <c r="J563" s="10">
        <v>94.58646616541354</v>
      </c>
      <c r="K563" s="10">
        <v>94.58646616541354</v>
      </c>
      <c r="L563" s="4"/>
      <c r="M563" s="4">
        <v>558</v>
      </c>
    </row>
    <row r="564" spans="1:13" x14ac:dyDescent="0.25">
      <c r="A564" s="4" t="s">
        <v>540</v>
      </c>
      <c r="B564" s="4" t="s">
        <v>542</v>
      </c>
      <c r="C564" s="4" t="s">
        <v>65</v>
      </c>
      <c r="D564" s="10">
        <v>180</v>
      </c>
      <c r="E564" s="12" t="s">
        <v>66</v>
      </c>
      <c r="F564" s="10">
        <v>17000</v>
      </c>
      <c r="G564" s="10">
        <v>0</v>
      </c>
      <c r="H564" s="10">
        <f t="shared" si="8"/>
        <v>17000</v>
      </c>
      <c r="I564" s="10">
        <v>94.444444444444443</v>
      </c>
      <c r="J564" s="10">
        <v>94.444444444444443</v>
      </c>
      <c r="K564" s="10">
        <v>94.444444444444443</v>
      </c>
      <c r="L564" s="4"/>
      <c r="M564" s="4">
        <v>559</v>
      </c>
    </row>
    <row r="565" spans="1:13" x14ac:dyDescent="0.25">
      <c r="A565" s="4" t="s">
        <v>540</v>
      </c>
      <c r="B565" s="4" t="s">
        <v>543</v>
      </c>
      <c r="C565" s="9" t="s">
        <v>50</v>
      </c>
      <c r="D565" s="10">
        <v>96</v>
      </c>
      <c r="E565" s="11" t="s">
        <v>51</v>
      </c>
      <c r="F565" s="10"/>
      <c r="G565" s="10">
        <v>0</v>
      </c>
      <c r="H565" s="10">
        <f t="shared" si="8"/>
        <v>0</v>
      </c>
      <c r="I565" s="10"/>
      <c r="J565" s="10"/>
      <c r="K565" s="10"/>
      <c r="L565" s="4" t="s">
        <v>52</v>
      </c>
      <c r="M565" s="4">
        <v>560</v>
      </c>
    </row>
    <row r="566" spans="1:13" x14ac:dyDescent="0.25">
      <c r="A566" s="4" t="s">
        <v>544</v>
      </c>
      <c r="B566" s="4" t="s">
        <v>545</v>
      </c>
      <c r="C566" s="4" t="s">
        <v>68</v>
      </c>
      <c r="D566" s="10">
        <v>32</v>
      </c>
      <c r="E566" s="11" t="s">
        <v>51</v>
      </c>
      <c r="F566" s="10">
        <v>3200</v>
      </c>
      <c r="G566" s="10">
        <v>0</v>
      </c>
      <c r="H566" s="10">
        <f t="shared" si="8"/>
        <v>3200</v>
      </c>
      <c r="I566" s="10"/>
      <c r="J566" s="10"/>
      <c r="K566" s="10"/>
      <c r="L566" s="4" t="s">
        <v>69</v>
      </c>
      <c r="M566" s="4">
        <v>561</v>
      </c>
    </row>
    <row r="567" spans="1:13" x14ac:dyDescent="0.25">
      <c r="A567" s="4" t="s">
        <v>544</v>
      </c>
      <c r="B567" s="4" t="s">
        <v>546</v>
      </c>
      <c r="C567" s="4" t="s">
        <v>68</v>
      </c>
      <c r="D567" s="10">
        <v>405.5</v>
      </c>
      <c r="E567" s="11" t="s">
        <v>51</v>
      </c>
      <c r="F567" s="10">
        <v>1600</v>
      </c>
      <c r="G567" s="10">
        <v>0</v>
      </c>
      <c r="H567" s="10">
        <f t="shared" si="8"/>
        <v>1600</v>
      </c>
      <c r="I567" s="10"/>
      <c r="J567" s="10"/>
      <c r="K567" s="10"/>
      <c r="L567" s="4" t="s">
        <v>69</v>
      </c>
      <c r="M567" s="4">
        <v>562</v>
      </c>
    </row>
    <row r="568" spans="1:13" x14ac:dyDescent="0.25">
      <c r="A568" s="4" t="s">
        <v>547</v>
      </c>
      <c r="B568" s="4" t="s">
        <v>548</v>
      </c>
      <c r="C568" s="4" t="s">
        <v>65</v>
      </c>
      <c r="D568" s="10">
        <v>124</v>
      </c>
      <c r="E568" s="12" t="s">
        <v>66</v>
      </c>
      <c r="F568" s="10">
        <v>16400</v>
      </c>
      <c r="G568" s="10">
        <v>0</v>
      </c>
      <c r="H568" s="10">
        <f t="shared" si="8"/>
        <v>16400</v>
      </c>
      <c r="I568" s="10">
        <v>132.258064516129</v>
      </c>
      <c r="J568" s="10">
        <v>132.258064516129</v>
      </c>
      <c r="K568" s="10">
        <v>132.258064516129</v>
      </c>
      <c r="L568" s="4"/>
      <c r="M568" s="4">
        <v>563</v>
      </c>
    </row>
    <row r="569" spans="1:13" x14ac:dyDescent="0.25">
      <c r="A569" s="4" t="s">
        <v>547</v>
      </c>
      <c r="B569" s="4" t="s">
        <v>549</v>
      </c>
      <c r="C569" s="4" t="s">
        <v>65</v>
      </c>
      <c r="D569" s="10">
        <v>24</v>
      </c>
      <c r="E569" s="12" t="s">
        <v>66</v>
      </c>
      <c r="F569" s="10">
        <v>3200</v>
      </c>
      <c r="G569" s="10">
        <v>0</v>
      </c>
      <c r="H569" s="10">
        <f t="shared" si="8"/>
        <v>3200</v>
      </c>
      <c r="I569" s="10">
        <v>133.33333333333329</v>
      </c>
      <c r="J569" s="10">
        <v>133.33333333333329</v>
      </c>
      <c r="K569" s="10">
        <v>133.33333333333329</v>
      </c>
      <c r="L569" s="4"/>
      <c r="M569" s="4">
        <v>564</v>
      </c>
    </row>
    <row r="570" spans="1:13" x14ac:dyDescent="0.25">
      <c r="A570" s="4" t="s">
        <v>547</v>
      </c>
      <c r="B570" s="4" t="s">
        <v>550</v>
      </c>
      <c r="C570" s="4" t="s">
        <v>65</v>
      </c>
      <c r="D570" s="10">
        <v>59.5</v>
      </c>
      <c r="E570" s="12" t="s">
        <v>66</v>
      </c>
      <c r="F570" s="10">
        <v>5950</v>
      </c>
      <c r="G570" s="10">
        <v>0</v>
      </c>
      <c r="H570" s="10">
        <f t="shared" si="8"/>
        <v>5950</v>
      </c>
      <c r="I570" s="10">
        <v>100</v>
      </c>
      <c r="J570" s="10">
        <v>100</v>
      </c>
      <c r="K570" s="10">
        <v>100</v>
      </c>
      <c r="L570" s="4"/>
      <c r="M570" s="4">
        <v>565</v>
      </c>
    </row>
    <row r="571" spans="1:13" x14ac:dyDescent="0.25">
      <c r="A571" s="4" t="s">
        <v>547</v>
      </c>
      <c r="B571" s="4" t="s">
        <v>551</v>
      </c>
      <c r="C571" s="4" t="s">
        <v>68</v>
      </c>
      <c r="D571" s="10">
        <v>169</v>
      </c>
      <c r="E571" s="11" t="s">
        <v>51</v>
      </c>
      <c r="F571" s="10">
        <v>16900</v>
      </c>
      <c r="G571" s="10">
        <v>0</v>
      </c>
      <c r="H571" s="10">
        <f t="shared" si="8"/>
        <v>16900</v>
      </c>
      <c r="I571" s="10"/>
      <c r="J571" s="10"/>
      <c r="K571" s="10"/>
      <c r="L571" s="4" t="s">
        <v>69</v>
      </c>
      <c r="M571" s="4">
        <v>566</v>
      </c>
    </row>
    <row r="572" spans="1:13" x14ac:dyDescent="0.25">
      <c r="A572" s="4" t="s">
        <v>547</v>
      </c>
      <c r="B572" s="4" t="s">
        <v>552</v>
      </c>
      <c r="C572" s="4" t="s">
        <v>65</v>
      </c>
      <c r="D572" s="10">
        <v>461</v>
      </c>
      <c r="E572" s="12" t="s">
        <v>66</v>
      </c>
      <c r="F572" s="10">
        <v>3450</v>
      </c>
      <c r="G572" s="10">
        <v>0</v>
      </c>
      <c r="H572" s="10">
        <f t="shared" si="8"/>
        <v>3450</v>
      </c>
      <c r="I572" s="10">
        <v>118.9655172413793</v>
      </c>
      <c r="J572" s="10">
        <v>118.9655172413793</v>
      </c>
      <c r="K572" s="10">
        <v>118.9655172413793</v>
      </c>
      <c r="L572" s="4"/>
      <c r="M572" s="4">
        <v>567</v>
      </c>
    </row>
    <row r="573" spans="1:13" x14ac:dyDescent="0.25">
      <c r="A573" s="4" t="s">
        <v>553</v>
      </c>
      <c r="B573" s="4" t="s">
        <v>554</v>
      </c>
      <c r="C573" s="4" t="s">
        <v>65</v>
      </c>
      <c r="D573" s="10">
        <v>41</v>
      </c>
      <c r="E573" s="12" t="s">
        <v>66</v>
      </c>
      <c r="F573" s="10">
        <v>4850</v>
      </c>
      <c r="G573" s="10">
        <v>0</v>
      </c>
      <c r="H573" s="10">
        <f t="shared" si="8"/>
        <v>4850</v>
      </c>
      <c r="I573" s="10">
        <v>118.2926829268293</v>
      </c>
      <c r="J573" s="10">
        <v>118.2926829268293</v>
      </c>
      <c r="K573" s="10">
        <v>118.2926829268293</v>
      </c>
      <c r="L573" s="4"/>
      <c r="M573" s="4">
        <v>568</v>
      </c>
    </row>
    <row r="574" spans="1:13" x14ac:dyDescent="0.25">
      <c r="A574" s="4" t="s">
        <v>553</v>
      </c>
      <c r="B574" s="4" t="s">
        <v>555</v>
      </c>
      <c r="C574" s="4" t="s">
        <v>68</v>
      </c>
      <c r="D574" s="10">
        <v>40</v>
      </c>
      <c r="E574" s="11" t="s">
        <v>51</v>
      </c>
      <c r="F574" s="10">
        <v>6850</v>
      </c>
      <c r="G574" s="10">
        <v>0</v>
      </c>
      <c r="H574" s="10">
        <f t="shared" si="8"/>
        <v>6850</v>
      </c>
      <c r="I574" s="10"/>
      <c r="J574" s="10"/>
      <c r="K574" s="10"/>
      <c r="L574" s="4" t="s">
        <v>69</v>
      </c>
      <c r="M574" s="4">
        <v>569</v>
      </c>
    </row>
    <row r="575" spans="1:13" x14ac:dyDescent="0.25">
      <c r="A575" s="4" t="s">
        <v>553</v>
      </c>
      <c r="B575" s="4" t="s">
        <v>556</v>
      </c>
      <c r="C575" s="4" t="s">
        <v>68</v>
      </c>
      <c r="D575" s="10">
        <v>80</v>
      </c>
      <c r="E575" s="11" t="s">
        <v>51</v>
      </c>
      <c r="F575" s="10">
        <v>11150</v>
      </c>
      <c r="G575" s="10">
        <v>0</v>
      </c>
      <c r="H575" s="10">
        <f t="shared" si="8"/>
        <v>11150</v>
      </c>
      <c r="I575" s="10"/>
      <c r="J575" s="10"/>
      <c r="K575" s="10"/>
      <c r="L575" s="4" t="s">
        <v>69</v>
      </c>
      <c r="M575" s="4">
        <v>570</v>
      </c>
    </row>
    <row r="576" spans="1:13" x14ac:dyDescent="0.25">
      <c r="A576" s="4" t="s">
        <v>553</v>
      </c>
      <c r="B576" s="4" t="s">
        <v>557</v>
      </c>
      <c r="C576" s="4" t="s">
        <v>68</v>
      </c>
      <c r="D576" s="10">
        <v>100</v>
      </c>
      <c r="E576" s="11" t="s">
        <v>51</v>
      </c>
      <c r="F576" s="10">
        <v>12600</v>
      </c>
      <c r="G576" s="10">
        <v>0</v>
      </c>
      <c r="H576" s="10">
        <f t="shared" si="8"/>
        <v>12600</v>
      </c>
      <c r="I576" s="10"/>
      <c r="J576" s="10"/>
      <c r="K576" s="10"/>
      <c r="L576" s="4" t="s">
        <v>69</v>
      </c>
      <c r="M576" s="4">
        <v>571</v>
      </c>
    </row>
    <row r="577" spans="1:13" x14ac:dyDescent="0.25">
      <c r="A577" s="4" t="s">
        <v>553</v>
      </c>
      <c r="B577" s="4" t="s">
        <v>558</v>
      </c>
      <c r="C577" s="4" t="s">
        <v>65</v>
      </c>
      <c r="D577" s="10">
        <v>41</v>
      </c>
      <c r="E577" s="12" t="s">
        <v>66</v>
      </c>
      <c r="F577" s="10">
        <v>5585</v>
      </c>
      <c r="G577" s="10">
        <v>0</v>
      </c>
      <c r="H577" s="10">
        <f t="shared" si="8"/>
        <v>5585</v>
      </c>
      <c r="I577" s="10">
        <v>136.21951219512201</v>
      </c>
      <c r="J577" s="10">
        <v>136.21951219512201</v>
      </c>
      <c r="K577" s="10">
        <v>136.21951219512201</v>
      </c>
      <c r="L577" s="4"/>
      <c r="M577" s="4">
        <v>572</v>
      </c>
    </row>
    <row r="578" spans="1:13" x14ac:dyDescent="0.25">
      <c r="A578" s="4" t="s">
        <v>553</v>
      </c>
      <c r="B578" s="4" t="s">
        <v>559</v>
      </c>
      <c r="C578" s="4" t="s">
        <v>68</v>
      </c>
      <c r="D578" s="10">
        <v>65</v>
      </c>
      <c r="E578" s="11" t="s">
        <v>51</v>
      </c>
      <c r="F578" s="10">
        <v>3945</v>
      </c>
      <c r="G578" s="10">
        <v>0</v>
      </c>
      <c r="H578" s="10">
        <f t="shared" si="8"/>
        <v>3945</v>
      </c>
      <c r="I578" s="10"/>
      <c r="J578" s="10"/>
      <c r="K578" s="10"/>
      <c r="L578" s="4" t="s">
        <v>69</v>
      </c>
      <c r="M578" s="4">
        <v>573</v>
      </c>
    </row>
    <row r="579" spans="1:13" x14ac:dyDescent="0.25">
      <c r="A579" s="4" t="s">
        <v>553</v>
      </c>
      <c r="B579" s="4" t="s">
        <v>560</v>
      </c>
      <c r="C579" s="4" t="s">
        <v>68</v>
      </c>
      <c r="D579" s="10">
        <v>97</v>
      </c>
      <c r="E579" s="11" t="s">
        <v>51</v>
      </c>
      <c r="F579" s="10">
        <v>3945</v>
      </c>
      <c r="G579" s="10">
        <v>0</v>
      </c>
      <c r="H579" s="10">
        <f t="shared" si="8"/>
        <v>3945</v>
      </c>
      <c r="I579" s="10"/>
      <c r="J579" s="10"/>
      <c r="K579" s="10"/>
      <c r="L579" s="4" t="s">
        <v>69</v>
      </c>
      <c r="M579" s="4">
        <v>574</v>
      </c>
    </row>
    <row r="580" spans="1:13" x14ac:dyDescent="0.25">
      <c r="A580" s="4" t="s">
        <v>561</v>
      </c>
      <c r="B580" s="4" t="s">
        <v>562</v>
      </c>
      <c r="C580" s="4" t="s">
        <v>65</v>
      </c>
      <c r="D580" s="10">
        <v>32</v>
      </c>
      <c r="E580" s="12" t="s">
        <v>66</v>
      </c>
      <c r="F580" s="10">
        <v>3750</v>
      </c>
      <c r="G580" s="10">
        <v>0</v>
      </c>
      <c r="H580" s="10">
        <f t="shared" si="8"/>
        <v>3750</v>
      </c>
      <c r="I580" s="10">
        <v>117.1875</v>
      </c>
      <c r="J580" s="10">
        <v>117.1875</v>
      </c>
      <c r="K580" s="10">
        <v>117.1875</v>
      </c>
      <c r="L580" s="4"/>
      <c r="M580" s="4">
        <v>575</v>
      </c>
    </row>
    <row r="581" spans="1:13" x14ac:dyDescent="0.25">
      <c r="A581" s="4" t="s">
        <v>563</v>
      </c>
      <c r="B581" s="4" t="s">
        <v>564</v>
      </c>
      <c r="C581" s="9" t="s">
        <v>50</v>
      </c>
      <c r="D581" s="10">
        <v>144</v>
      </c>
      <c r="E581" s="11" t="s">
        <v>51</v>
      </c>
      <c r="F581" s="10"/>
      <c r="G581" s="10">
        <v>0</v>
      </c>
      <c r="H581" s="10">
        <f t="shared" si="8"/>
        <v>0</v>
      </c>
      <c r="I581" s="10"/>
      <c r="J581" s="10"/>
      <c r="K581" s="10"/>
      <c r="L581" s="4" t="s">
        <v>52</v>
      </c>
      <c r="M581" s="4">
        <v>576</v>
      </c>
    </row>
    <row r="582" spans="1:13" x14ac:dyDescent="0.25">
      <c r="A582" s="4" t="s">
        <v>565</v>
      </c>
      <c r="B582" s="4" t="s">
        <v>136</v>
      </c>
      <c r="C582" s="9" t="s">
        <v>50</v>
      </c>
      <c r="D582" s="10">
        <v>24</v>
      </c>
      <c r="E582" s="11" t="s">
        <v>51</v>
      </c>
      <c r="F582" s="10">
        <v>2040</v>
      </c>
      <c r="G582" s="10">
        <v>0</v>
      </c>
      <c r="H582" s="10">
        <f t="shared" ref="H582:H645" si="9">F582-G582</f>
        <v>2040</v>
      </c>
      <c r="I582" s="10"/>
      <c r="J582" s="10"/>
      <c r="K582" s="10"/>
      <c r="L582" s="4" t="s">
        <v>52</v>
      </c>
      <c r="M582" s="4">
        <v>577</v>
      </c>
    </row>
    <row r="583" spans="1:13" x14ac:dyDescent="0.25">
      <c r="A583" s="4" t="s">
        <v>565</v>
      </c>
      <c r="B583" s="4" t="s">
        <v>106</v>
      </c>
      <c r="C583" s="9" t="s">
        <v>50</v>
      </c>
      <c r="D583" s="10">
        <v>30</v>
      </c>
      <c r="E583" s="11" t="s">
        <v>51</v>
      </c>
      <c r="F583" s="10">
        <v>2550</v>
      </c>
      <c r="G583" s="10">
        <v>0</v>
      </c>
      <c r="H583" s="10">
        <f t="shared" si="9"/>
        <v>2550</v>
      </c>
      <c r="I583" s="10"/>
      <c r="J583" s="10"/>
      <c r="K583" s="10"/>
      <c r="L583" s="4" t="s">
        <v>52</v>
      </c>
      <c r="M583" s="4">
        <v>578</v>
      </c>
    </row>
    <row r="584" spans="1:13" x14ac:dyDescent="0.25">
      <c r="A584" s="4" t="s">
        <v>565</v>
      </c>
      <c r="B584" s="4" t="s">
        <v>107</v>
      </c>
      <c r="C584" s="9" t="s">
        <v>50</v>
      </c>
      <c r="D584" s="10">
        <v>1288</v>
      </c>
      <c r="E584" s="11" t="s">
        <v>51</v>
      </c>
      <c r="F584" s="10">
        <v>7650</v>
      </c>
      <c r="G584" s="10">
        <v>0</v>
      </c>
      <c r="H584" s="10">
        <f t="shared" si="9"/>
        <v>7650</v>
      </c>
      <c r="I584" s="10"/>
      <c r="J584" s="10"/>
      <c r="K584" s="10"/>
      <c r="L584" s="4" t="s">
        <v>52</v>
      </c>
      <c r="M584" s="4">
        <v>579</v>
      </c>
    </row>
    <row r="585" spans="1:13" x14ac:dyDescent="0.25">
      <c r="A585" s="4" t="s">
        <v>566</v>
      </c>
      <c r="B585" s="4" t="s">
        <v>106</v>
      </c>
      <c r="C585" s="9" t="s">
        <v>50</v>
      </c>
      <c r="D585" s="10">
        <v>596</v>
      </c>
      <c r="E585" s="11" t="s">
        <v>51</v>
      </c>
      <c r="F585" s="10">
        <v>28875</v>
      </c>
      <c r="G585" s="10">
        <v>0</v>
      </c>
      <c r="H585" s="10">
        <f t="shared" si="9"/>
        <v>28875</v>
      </c>
      <c r="I585" s="10"/>
      <c r="J585" s="10"/>
      <c r="K585" s="10"/>
      <c r="L585" s="4" t="s">
        <v>52</v>
      </c>
      <c r="M585" s="4">
        <v>580</v>
      </c>
    </row>
    <row r="586" spans="1:13" x14ac:dyDescent="0.25">
      <c r="A586" s="4" t="s">
        <v>566</v>
      </c>
      <c r="B586" s="4" t="s">
        <v>107</v>
      </c>
      <c r="C586" s="9" t="s">
        <v>50</v>
      </c>
      <c r="D586" s="10">
        <v>502</v>
      </c>
      <c r="E586" s="11" t="s">
        <v>51</v>
      </c>
      <c r="F586" s="10">
        <v>10025</v>
      </c>
      <c r="G586" s="10">
        <v>0</v>
      </c>
      <c r="H586" s="10">
        <f t="shared" si="9"/>
        <v>10025</v>
      </c>
      <c r="I586" s="10"/>
      <c r="J586" s="10"/>
      <c r="K586" s="10"/>
      <c r="L586" s="4" t="s">
        <v>52</v>
      </c>
      <c r="M586" s="4">
        <v>581</v>
      </c>
    </row>
    <row r="587" spans="1:13" x14ac:dyDescent="0.25">
      <c r="A587" s="4" t="s">
        <v>566</v>
      </c>
      <c r="B587" s="4" t="s">
        <v>128</v>
      </c>
      <c r="C587" s="9" t="s">
        <v>50</v>
      </c>
      <c r="D587" s="10">
        <v>424</v>
      </c>
      <c r="E587" s="11" t="s">
        <v>51</v>
      </c>
      <c r="F587" s="10">
        <v>39000</v>
      </c>
      <c r="G587" s="10">
        <v>0</v>
      </c>
      <c r="H587" s="10">
        <f t="shared" si="9"/>
        <v>39000</v>
      </c>
      <c r="I587" s="10"/>
      <c r="J587" s="10"/>
      <c r="K587" s="10"/>
      <c r="L587" s="4" t="s">
        <v>52</v>
      </c>
      <c r="M587" s="4">
        <v>582</v>
      </c>
    </row>
    <row r="588" spans="1:13" x14ac:dyDescent="0.25">
      <c r="A588" s="4" t="s">
        <v>567</v>
      </c>
      <c r="B588" s="4" t="s">
        <v>568</v>
      </c>
      <c r="C588" s="9" t="s">
        <v>50</v>
      </c>
      <c r="D588" s="10">
        <v>424</v>
      </c>
      <c r="E588" s="11" t="s">
        <v>51</v>
      </c>
      <c r="F588" s="10">
        <v>34520</v>
      </c>
      <c r="G588" s="10">
        <v>0</v>
      </c>
      <c r="H588" s="10">
        <f t="shared" si="9"/>
        <v>34520</v>
      </c>
      <c r="I588" s="10"/>
      <c r="J588" s="10"/>
      <c r="K588" s="10"/>
      <c r="L588" s="4" t="s">
        <v>52</v>
      </c>
      <c r="M588" s="4">
        <v>583</v>
      </c>
    </row>
    <row r="589" spans="1:13" x14ac:dyDescent="0.25">
      <c r="A589" s="4" t="s">
        <v>569</v>
      </c>
      <c r="B589" s="4" t="s">
        <v>570</v>
      </c>
      <c r="C589" s="4" t="s">
        <v>68</v>
      </c>
      <c r="D589" s="10">
        <v>111</v>
      </c>
      <c r="E589" s="11" t="s">
        <v>51</v>
      </c>
      <c r="F589" s="10">
        <v>12000</v>
      </c>
      <c r="G589" s="10">
        <v>0</v>
      </c>
      <c r="H589" s="10">
        <f t="shared" si="9"/>
        <v>12000</v>
      </c>
      <c r="I589" s="10"/>
      <c r="J589" s="10"/>
      <c r="K589" s="10"/>
      <c r="L589" s="4" t="s">
        <v>69</v>
      </c>
      <c r="M589" s="4">
        <v>584</v>
      </c>
    </row>
    <row r="590" spans="1:13" x14ac:dyDescent="0.25">
      <c r="A590" s="4" t="s">
        <v>571</v>
      </c>
      <c r="B590" s="4" t="s">
        <v>572</v>
      </c>
      <c r="C590" s="4" t="s">
        <v>68</v>
      </c>
      <c r="D590" s="10">
        <v>95</v>
      </c>
      <c r="E590" s="11" t="s">
        <v>51</v>
      </c>
      <c r="F590" s="10">
        <v>1665</v>
      </c>
      <c r="G590" s="10">
        <v>0</v>
      </c>
      <c r="H590" s="10">
        <f t="shared" si="9"/>
        <v>1665</v>
      </c>
      <c r="I590" s="10"/>
      <c r="J590" s="10"/>
      <c r="K590" s="10"/>
      <c r="L590" s="4" t="s">
        <v>69</v>
      </c>
      <c r="M590" s="4">
        <v>585</v>
      </c>
    </row>
    <row r="591" spans="1:13" x14ac:dyDescent="0.25">
      <c r="A591" s="4" t="s">
        <v>573</v>
      </c>
      <c r="B591" s="4" t="s">
        <v>574</v>
      </c>
      <c r="C591" s="4" t="s">
        <v>68</v>
      </c>
      <c r="D591" s="10">
        <v>24</v>
      </c>
      <c r="E591" s="11" t="s">
        <v>51</v>
      </c>
      <c r="F591" s="10">
        <v>3900</v>
      </c>
      <c r="G591" s="10">
        <v>0</v>
      </c>
      <c r="H591" s="10">
        <f t="shared" si="9"/>
        <v>3900</v>
      </c>
      <c r="I591" s="10"/>
      <c r="J591" s="10"/>
      <c r="K591" s="10"/>
      <c r="L591" s="4" t="s">
        <v>69</v>
      </c>
      <c r="M591" s="4">
        <v>586</v>
      </c>
    </row>
    <row r="592" spans="1:13" x14ac:dyDescent="0.25">
      <c r="A592" s="4" t="s">
        <v>573</v>
      </c>
      <c r="B592" s="4" t="s">
        <v>575</v>
      </c>
      <c r="C592" s="4" t="s">
        <v>65</v>
      </c>
      <c r="D592" s="10">
        <v>30</v>
      </c>
      <c r="E592" s="12" t="s">
        <v>66</v>
      </c>
      <c r="F592" s="10">
        <v>6500</v>
      </c>
      <c r="G592" s="10">
        <v>0</v>
      </c>
      <c r="H592" s="10">
        <f t="shared" si="9"/>
        <v>6500</v>
      </c>
      <c r="I592" s="10">
        <v>216.66666666666671</v>
      </c>
      <c r="J592" s="10">
        <v>216.66666666666671</v>
      </c>
      <c r="K592" s="10">
        <v>216.66666666666671</v>
      </c>
      <c r="L592" s="4"/>
      <c r="M592" s="4">
        <v>587</v>
      </c>
    </row>
    <row r="593" spans="1:13" x14ac:dyDescent="0.25">
      <c r="A593" s="4" t="s">
        <v>573</v>
      </c>
      <c r="B593" s="4" t="s">
        <v>576</v>
      </c>
      <c r="C593" s="4" t="s">
        <v>68</v>
      </c>
      <c r="D593" s="10">
        <v>86</v>
      </c>
      <c r="E593" s="11" t="s">
        <v>51</v>
      </c>
      <c r="F593" s="10">
        <v>4980</v>
      </c>
      <c r="G593" s="10">
        <v>0</v>
      </c>
      <c r="H593" s="10">
        <f t="shared" si="9"/>
        <v>4980</v>
      </c>
      <c r="I593" s="10"/>
      <c r="J593" s="10"/>
      <c r="K593" s="10"/>
      <c r="L593" s="4" t="s">
        <v>69</v>
      </c>
      <c r="M593" s="4">
        <v>588</v>
      </c>
    </row>
    <row r="594" spans="1:13" x14ac:dyDescent="0.25">
      <c r="A594" s="4" t="s">
        <v>577</v>
      </c>
      <c r="B594" s="4" t="s">
        <v>578</v>
      </c>
      <c r="C594" s="4" t="s">
        <v>65</v>
      </c>
      <c r="D594" s="10">
        <v>1240</v>
      </c>
      <c r="E594" s="12" t="s">
        <v>66</v>
      </c>
      <c r="F594" s="10">
        <v>7936</v>
      </c>
      <c r="G594" s="10">
        <v>0</v>
      </c>
      <c r="H594" s="10">
        <f t="shared" si="9"/>
        <v>7936</v>
      </c>
      <c r="I594" s="10">
        <v>141.71428571428569</v>
      </c>
      <c r="J594" s="10">
        <v>141.71428571428569</v>
      </c>
      <c r="K594" s="10">
        <v>141.71428571428569</v>
      </c>
      <c r="L594" s="4"/>
      <c r="M594" s="4">
        <v>589</v>
      </c>
    </row>
    <row r="595" spans="1:13" x14ac:dyDescent="0.25">
      <c r="A595" s="4" t="s">
        <v>579</v>
      </c>
      <c r="B595" s="4" t="s">
        <v>106</v>
      </c>
      <c r="C595" s="9" t="s">
        <v>50</v>
      </c>
      <c r="D595" s="10">
        <v>285</v>
      </c>
      <c r="E595" s="11" t="s">
        <v>51</v>
      </c>
      <c r="F595" s="10">
        <v>10243.75</v>
      </c>
      <c r="G595" s="10">
        <v>0</v>
      </c>
      <c r="H595" s="10">
        <f t="shared" si="9"/>
        <v>10243.75</v>
      </c>
      <c r="I595" s="10"/>
      <c r="J595" s="10"/>
      <c r="K595" s="10"/>
      <c r="L595" s="4" t="s">
        <v>52</v>
      </c>
      <c r="M595" s="4">
        <v>590</v>
      </c>
    </row>
    <row r="596" spans="1:13" x14ac:dyDescent="0.25">
      <c r="A596" s="4" t="s">
        <v>579</v>
      </c>
      <c r="B596" s="4" t="s">
        <v>107</v>
      </c>
      <c r="C596" s="9" t="s">
        <v>50</v>
      </c>
      <c r="D596" s="10">
        <v>619</v>
      </c>
      <c r="E596" s="11" t="s">
        <v>51</v>
      </c>
      <c r="F596" s="10">
        <v>58281.25</v>
      </c>
      <c r="G596" s="10">
        <v>0</v>
      </c>
      <c r="H596" s="10">
        <f t="shared" si="9"/>
        <v>58281.25</v>
      </c>
      <c r="I596" s="10"/>
      <c r="J596" s="10"/>
      <c r="K596" s="10"/>
      <c r="L596" s="4" t="s">
        <v>52</v>
      </c>
      <c r="M596" s="4">
        <v>591</v>
      </c>
    </row>
    <row r="597" spans="1:13" x14ac:dyDescent="0.25">
      <c r="A597" s="4" t="s">
        <v>579</v>
      </c>
      <c r="B597" s="4" t="s">
        <v>128</v>
      </c>
      <c r="C597" s="9" t="s">
        <v>50</v>
      </c>
      <c r="D597" s="10">
        <v>628</v>
      </c>
      <c r="E597" s="11" t="s">
        <v>51</v>
      </c>
      <c r="F597" s="10">
        <v>21000</v>
      </c>
      <c r="G597" s="10">
        <v>0</v>
      </c>
      <c r="H597" s="10">
        <f t="shared" si="9"/>
        <v>21000</v>
      </c>
      <c r="I597" s="10"/>
      <c r="J597" s="10"/>
      <c r="K597" s="10"/>
      <c r="L597" s="4" t="s">
        <v>52</v>
      </c>
      <c r="M597" s="4">
        <v>592</v>
      </c>
    </row>
    <row r="598" spans="1:13" x14ac:dyDescent="0.25">
      <c r="A598" s="4" t="s">
        <v>580</v>
      </c>
      <c r="B598" s="4" t="s">
        <v>581</v>
      </c>
      <c r="C598" s="4" t="s">
        <v>68</v>
      </c>
      <c r="D598" s="10">
        <v>448</v>
      </c>
      <c r="E598" s="11" t="s">
        <v>51</v>
      </c>
      <c r="F598" s="10">
        <v>35670</v>
      </c>
      <c r="G598" s="10">
        <v>0</v>
      </c>
      <c r="H598" s="10">
        <f t="shared" si="9"/>
        <v>35670</v>
      </c>
      <c r="I598" s="10"/>
      <c r="J598" s="10"/>
      <c r="K598" s="10"/>
      <c r="L598" s="4" t="s">
        <v>69</v>
      </c>
      <c r="M598" s="4">
        <v>593</v>
      </c>
    </row>
    <row r="599" spans="1:13" x14ac:dyDescent="0.25">
      <c r="A599" s="4" t="s">
        <v>582</v>
      </c>
      <c r="B599" s="4" t="s">
        <v>583</v>
      </c>
      <c r="C599" s="4" t="s">
        <v>68</v>
      </c>
      <c r="D599" s="10">
        <v>216</v>
      </c>
      <c r="E599" s="11" t="s">
        <v>51</v>
      </c>
      <c r="F599" s="10">
        <v>12000</v>
      </c>
      <c r="G599" s="10">
        <v>0</v>
      </c>
      <c r="H599" s="10">
        <f t="shared" si="9"/>
        <v>12000</v>
      </c>
      <c r="I599" s="10"/>
      <c r="J599" s="10"/>
      <c r="K599" s="10"/>
      <c r="L599" s="4" t="s">
        <v>69</v>
      </c>
      <c r="M599" s="4">
        <v>594</v>
      </c>
    </row>
    <row r="600" spans="1:13" x14ac:dyDescent="0.25">
      <c r="A600" s="4" t="s">
        <v>584</v>
      </c>
      <c r="B600" s="4" t="s">
        <v>585</v>
      </c>
      <c r="C600" s="4" t="s">
        <v>65</v>
      </c>
      <c r="D600" s="10">
        <v>29</v>
      </c>
      <c r="E600" s="12" t="s">
        <v>66</v>
      </c>
      <c r="F600" s="10">
        <v>4150</v>
      </c>
      <c r="G600" s="10">
        <v>0</v>
      </c>
      <c r="H600" s="10">
        <f t="shared" si="9"/>
        <v>4150</v>
      </c>
      <c r="I600" s="10">
        <v>143.10344827586209</v>
      </c>
      <c r="J600" s="10">
        <v>143.10344827586209</v>
      </c>
      <c r="K600" s="10">
        <v>143.10344827586209</v>
      </c>
      <c r="L600" s="4"/>
      <c r="M600" s="4">
        <v>595</v>
      </c>
    </row>
    <row r="601" spans="1:13" x14ac:dyDescent="0.25">
      <c r="A601" s="4" t="s">
        <v>584</v>
      </c>
      <c r="B601" s="4" t="s">
        <v>586</v>
      </c>
      <c r="C601" s="4" t="s">
        <v>65</v>
      </c>
      <c r="D601" s="10">
        <v>29</v>
      </c>
      <c r="E601" s="12" t="s">
        <v>66</v>
      </c>
      <c r="F601" s="10">
        <v>4150</v>
      </c>
      <c r="G601" s="10">
        <v>0</v>
      </c>
      <c r="H601" s="10">
        <f t="shared" si="9"/>
        <v>4150</v>
      </c>
      <c r="I601" s="10">
        <v>143.10344827586209</v>
      </c>
      <c r="J601" s="10">
        <v>143.10344827586209</v>
      </c>
      <c r="K601" s="10">
        <v>143.10344827586209</v>
      </c>
      <c r="L601" s="4"/>
      <c r="M601" s="4">
        <v>596</v>
      </c>
    </row>
    <row r="602" spans="1:13" x14ac:dyDescent="0.25">
      <c r="A602" s="4" t="s">
        <v>584</v>
      </c>
      <c r="B602" s="4" t="s">
        <v>587</v>
      </c>
      <c r="C602" s="4" t="s">
        <v>65</v>
      </c>
      <c r="D602" s="10">
        <v>29</v>
      </c>
      <c r="E602" s="12" t="s">
        <v>66</v>
      </c>
      <c r="F602" s="10">
        <v>4150</v>
      </c>
      <c r="G602" s="10">
        <v>0</v>
      </c>
      <c r="H602" s="10">
        <f t="shared" si="9"/>
        <v>4150</v>
      </c>
      <c r="I602" s="10">
        <v>143.10344827586209</v>
      </c>
      <c r="J602" s="10">
        <v>143.10344827586209</v>
      </c>
      <c r="K602" s="10">
        <v>143.10344827586209</v>
      </c>
      <c r="L602" s="4"/>
      <c r="M602" s="4">
        <v>597</v>
      </c>
    </row>
    <row r="603" spans="1:13" x14ac:dyDescent="0.25">
      <c r="A603" s="4" t="s">
        <v>584</v>
      </c>
      <c r="B603" s="4" t="s">
        <v>588</v>
      </c>
      <c r="C603" s="4" t="s">
        <v>65</v>
      </c>
      <c r="D603" s="10">
        <v>108.77</v>
      </c>
      <c r="E603" s="12" t="s">
        <v>66</v>
      </c>
      <c r="F603" s="10">
        <v>4150</v>
      </c>
      <c r="G603" s="10">
        <v>0</v>
      </c>
      <c r="H603" s="10">
        <f t="shared" si="9"/>
        <v>4150</v>
      </c>
      <c r="I603" s="10">
        <v>143.10344827586209</v>
      </c>
      <c r="J603" s="10">
        <v>143.10344827586209</v>
      </c>
      <c r="K603" s="10">
        <v>143.10344827586209</v>
      </c>
      <c r="L603" s="4"/>
      <c r="M603" s="4">
        <v>598</v>
      </c>
    </row>
    <row r="604" spans="1:13" x14ac:dyDescent="0.25">
      <c r="A604" s="4" t="s">
        <v>589</v>
      </c>
      <c r="B604" s="4" t="s">
        <v>107</v>
      </c>
      <c r="C604" s="9" t="s">
        <v>50</v>
      </c>
      <c r="D604" s="10">
        <v>51</v>
      </c>
      <c r="E604" s="11" t="s">
        <v>51</v>
      </c>
      <c r="F604" s="10">
        <v>3950</v>
      </c>
      <c r="G604" s="10">
        <v>0</v>
      </c>
      <c r="H604" s="10">
        <f t="shared" si="9"/>
        <v>3950</v>
      </c>
      <c r="I604" s="10"/>
      <c r="J604" s="10"/>
      <c r="K604" s="10"/>
      <c r="L604" s="4" t="s">
        <v>52</v>
      </c>
      <c r="M604" s="4">
        <v>599</v>
      </c>
    </row>
    <row r="605" spans="1:13" x14ac:dyDescent="0.25">
      <c r="A605" s="4" t="s">
        <v>589</v>
      </c>
      <c r="B605" s="4" t="s">
        <v>128</v>
      </c>
      <c r="C605" s="9" t="s">
        <v>50</v>
      </c>
      <c r="D605" s="10">
        <v>22</v>
      </c>
      <c r="E605" s="11" t="s">
        <v>51</v>
      </c>
      <c r="F605" s="10">
        <v>1750</v>
      </c>
      <c r="G605" s="10">
        <v>0</v>
      </c>
      <c r="H605" s="10">
        <f t="shared" si="9"/>
        <v>1750</v>
      </c>
      <c r="I605" s="10"/>
      <c r="J605" s="10"/>
      <c r="K605" s="10"/>
      <c r="L605" s="4" t="s">
        <v>52</v>
      </c>
      <c r="M605" s="4">
        <v>600</v>
      </c>
    </row>
    <row r="606" spans="1:13" x14ac:dyDescent="0.25">
      <c r="A606" s="4" t="s">
        <v>589</v>
      </c>
      <c r="B606" s="4" t="s">
        <v>590</v>
      </c>
      <c r="C606" s="4" t="s">
        <v>68</v>
      </c>
      <c r="D606" s="10">
        <v>573.77</v>
      </c>
      <c r="E606" s="11" t="s">
        <v>51</v>
      </c>
      <c r="F606" s="10">
        <v>520</v>
      </c>
      <c r="G606" s="10">
        <v>0</v>
      </c>
      <c r="H606" s="10">
        <f t="shared" si="9"/>
        <v>520</v>
      </c>
      <c r="I606" s="10"/>
      <c r="J606" s="10"/>
      <c r="K606" s="10"/>
      <c r="L606" s="4" t="s">
        <v>69</v>
      </c>
      <c r="M606" s="4">
        <v>601</v>
      </c>
    </row>
    <row r="607" spans="1:13" x14ac:dyDescent="0.25">
      <c r="A607" s="4" t="s">
        <v>591</v>
      </c>
      <c r="B607" s="4" t="s">
        <v>106</v>
      </c>
      <c r="C607" s="9" t="s">
        <v>50</v>
      </c>
      <c r="D607" s="10">
        <v>145</v>
      </c>
      <c r="E607" s="11" t="s">
        <v>51</v>
      </c>
      <c r="F607" s="10">
        <v>10875</v>
      </c>
      <c r="G607" s="10">
        <v>0</v>
      </c>
      <c r="H607" s="10">
        <f t="shared" si="9"/>
        <v>10875</v>
      </c>
      <c r="I607" s="10"/>
      <c r="J607" s="10"/>
      <c r="K607" s="10"/>
      <c r="L607" s="4" t="s">
        <v>52</v>
      </c>
      <c r="M607" s="4">
        <v>602</v>
      </c>
    </row>
    <row r="608" spans="1:13" x14ac:dyDescent="0.25">
      <c r="A608" s="4" t="s">
        <v>591</v>
      </c>
      <c r="B608" s="4" t="s">
        <v>107</v>
      </c>
      <c r="C608" s="9" t="s">
        <v>50</v>
      </c>
      <c r="D608" s="10">
        <v>537</v>
      </c>
      <c r="E608" s="11" t="s">
        <v>51</v>
      </c>
      <c r="F608" s="10">
        <v>31675</v>
      </c>
      <c r="G608" s="10">
        <v>0</v>
      </c>
      <c r="H608" s="10">
        <f t="shared" si="9"/>
        <v>31675</v>
      </c>
      <c r="I608" s="10"/>
      <c r="J608" s="10"/>
      <c r="K608" s="10"/>
      <c r="L608" s="4" t="s">
        <v>52</v>
      </c>
      <c r="M608" s="4">
        <v>603</v>
      </c>
    </row>
    <row r="609" spans="1:13" x14ac:dyDescent="0.25">
      <c r="A609" s="4" t="s">
        <v>592</v>
      </c>
      <c r="B609" s="4" t="s">
        <v>106</v>
      </c>
      <c r="C609" s="9" t="s">
        <v>50</v>
      </c>
      <c r="D609" s="10">
        <v>45</v>
      </c>
      <c r="E609" s="11" t="s">
        <v>51</v>
      </c>
      <c r="F609" s="10">
        <v>4250</v>
      </c>
      <c r="G609" s="10">
        <v>0</v>
      </c>
      <c r="H609" s="10">
        <f t="shared" si="9"/>
        <v>4250</v>
      </c>
      <c r="I609" s="10"/>
      <c r="J609" s="10"/>
      <c r="K609" s="10"/>
      <c r="L609" s="4" t="s">
        <v>52</v>
      </c>
      <c r="M609" s="4">
        <v>604</v>
      </c>
    </row>
    <row r="610" spans="1:13" x14ac:dyDescent="0.25">
      <c r="A610" s="4" t="s">
        <v>592</v>
      </c>
      <c r="B610" s="4" t="s">
        <v>271</v>
      </c>
      <c r="C610" s="9" t="s">
        <v>50</v>
      </c>
      <c r="D610" s="10">
        <v>4</v>
      </c>
      <c r="E610" s="11" t="s">
        <v>51</v>
      </c>
      <c r="F610" s="10">
        <v>400</v>
      </c>
      <c r="G610" s="10">
        <v>0</v>
      </c>
      <c r="H610" s="10">
        <f t="shared" si="9"/>
        <v>400</v>
      </c>
      <c r="I610" s="10"/>
      <c r="J610" s="10"/>
      <c r="K610" s="10"/>
      <c r="L610" s="4" t="s">
        <v>52</v>
      </c>
      <c r="M610" s="4">
        <v>605</v>
      </c>
    </row>
    <row r="611" spans="1:13" x14ac:dyDescent="0.25">
      <c r="A611" s="4" t="s">
        <v>592</v>
      </c>
      <c r="B611" s="4" t="s">
        <v>272</v>
      </c>
      <c r="C611" s="9" t="s">
        <v>50</v>
      </c>
      <c r="D611" s="10">
        <v>4</v>
      </c>
      <c r="E611" s="11" t="s">
        <v>51</v>
      </c>
      <c r="F611" s="10">
        <v>400</v>
      </c>
      <c r="G611" s="10">
        <v>0</v>
      </c>
      <c r="H611" s="10">
        <f t="shared" si="9"/>
        <v>400</v>
      </c>
      <c r="I611" s="10"/>
      <c r="J611" s="10"/>
      <c r="K611" s="10"/>
      <c r="L611" s="4" t="s">
        <v>52</v>
      </c>
      <c r="M611" s="4">
        <v>606</v>
      </c>
    </row>
    <row r="612" spans="1:13" x14ac:dyDescent="0.25">
      <c r="A612" s="4" t="s">
        <v>592</v>
      </c>
      <c r="B612" s="4" t="s">
        <v>107</v>
      </c>
      <c r="C612" s="9" t="s">
        <v>50</v>
      </c>
      <c r="D612" s="10">
        <v>38</v>
      </c>
      <c r="E612" s="11" t="s">
        <v>51</v>
      </c>
      <c r="F612" s="10">
        <v>3600</v>
      </c>
      <c r="G612" s="10">
        <v>0</v>
      </c>
      <c r="H612" s="10">
        <f t="shared" si="9"/>
        <v>3600</v>
      </c>
      <c r="I612" s="10"/>
      <c r="J612" s="10"/>
      <c r="K612" s="10"/>
      <c r="L612" s="4" t="s">
        <v>52</v>
      </c>
      <c r="M612" s="4">
        <v>607</v>
      </c>
    </row>
    <row r="613" spans="1:13" x14ac:dyDescent="0.25">
      <c r="A613" s="4" t="s">
        <v>592</v>
      </c>
      <c r="B613" s="4" t="s">
        <v>128</v>
      </c>
      <c r="C613" s="9" t="s">
        <v>50</v>
      </c>
      <c r="D613" s="10">
        <v>100</v>
      </c>
      <c r="E613" s="11" t="s">
        <v>51</v>
      </c>
      <c r="F613" s="10">
        <v>1950</v>
      </c>
      <c r="G613" s="10">
        <v>0</v>
      </c>
      <c r="H613" s="10">
        <f t="shared" si="9"/>
        <v>1950</v>
      </c>
      <c r="I613" s="10"/>
      <c r="J613" s="10"/>
      <c r="K613" s="10"/>
      <c r="L613" s="4" t="s">
        <v>52</v>
      </c>
      <c r="M613" s="4">
        <v>608</v>
      </c>
    </row>
    <row r="614" spans="1:13" x14ac:dyDescent="0.25">
      <c r="A614" s="4" t="s">
        <v>593</v>
      </c>
      <c r="B614" s="4" t="s">
        <v>594</v>
      </c>
      <c r="C614" s="4" t="s">
        <v>65</v>
      </c>
      <c r="D614" s="10">
        <v>46</v>
      </c>
      <c r="E614" s="12" t="s">
        <v>66</v>
      </c>
      <c r="F614" s="10">
        <v>3750</v>
      </c>
      <c r="G614" s="10">
        <v>0</v>
      </c>
      <c r="H614" s="10">
        <f t="shared" si="9"/>
        <v>3750</v>
      </c>
      <c r="I614" s="10">
        <v>81.521739130434781</v>
      </c>
      <c r="J614" s="10">
        <v>81.521739130434781</v>
      </c>
      <c r="K614" s="10">
        <v>81.521739130434781</v>
      </c>
      <c r="L614" s="4"/>
      <c r="M614" s="4">
        <v>609</v>
      </c>
    </row>
    <row r="615" spans="1:13" x14ac:dyDescent="0.25">
      <c r="A615" s="4" t="s">
        <v>593</v>
      </c>
      <c r="B615" s="4" t="s">
        <v>595</v>
      </c>
      <c r="C615" s="4" t="s">
        <v>65</v>
      </c>
      <c r="D615" s="10">
        <v>95</v>
      </c>
      <c r="E615" s="12" t="s">
        <v>66</v>
      </c>
      <c r="F615" s="10">
        <v>2450</v>
      </c>
      <c r="G615" s="10">
        <v>0</v>
      </c>
      <c r="H615" s="10">
        <f t="shared" si="9"/>
        <v>2450</v>
      </c>
      <c r="I615" s="10">
        <v>81.666666666666671</v>
      </c>
      <c r="J615" s="10">
        <v>81.666666666666671</v>
      </c>
      <c r="K615" s="10">
        <v>81.666666666666671</v>
      </c>
      <c r="L615" s="4"/>
      <c r="M615" s="4">
        <v>610</v>
      </c>
    </row>
    <row r="616" spans="1:13" x14ac:dyDescent="0.25">
      <c r="A616" s="4" t="s">
        <v>596</v>
      </c>
      <c r="B616" s="4" t="s">
        <v>597</v>
      </c>
      <c r="C616" s="4" t="s">
        <v>68</v>
      </c>
      <c r="D616" s="10">
        <v>24</v>
      </c>
      <c r="E616" s="11" t="s">
        <v>51</v>
      </c>
      <c r="F616" s="10">
        <v>2880</v>
      </c>
      <c r="G616" s="10">
        <v>0</v>
      </c>
      <c r="H616" s="10">
        <f t="shared" si="9"/>
        <v>2880</v>
      </c>
      <c r="I616" s="10"/>
      <c r="J616" s="10"/>
      <c r="K616" s="10"/>
      <c r="L616" s="4" t="s">
        <v>69</v>
      </c>
      <c r="M616" s="4">
        <v>611</v>
      </c>
    </row>
    <row r="617" spans="1:13" x14ac:dyDescent="0.25">
      <c r="A617" s="4" t="s">
        <v>596</v>
      </c>
      <c r="B617" s="4" t="s">
        <v>598</v>
      </c>
      <c r="C617" s="4" t="s">
        <v>65</v>
      </c>
      <c r="D617" s="10">
        <v>61</v>
      </c>
      <c r="E617" s="12" t="s">
        <v>66</v>
      </c>
      <c r="F617" s="10">
        <v>5250</v>
      </c>
      <c r="G617" s="10">
        <v>0</v>
      </c>
      <c r="H617" s="10">
        <f t="shared" si="9"/>
        <v>5250</v>
      </c>
      <c r="I617" s="10">
        <v>128.04878048780489</v>
      </c>
      <c r="J617" s="10">
        <v>128.04878048780489</v>
      </c>
      <c r="K617" s="10">
        <v>128.04878048780489</v>
      </c>
      <c r="L617" s="4"/>
      <c r="M617" s="4">
        <v>612</v>
      </c>
    </row>
    <row r="618" spans="1:13" x14ac:dyDescent="0.25">
      <c r="A618" s="4" t="s">
        <v>599</v>
      </c>
      <c r="B618" s="4" t="s">
        <v>404</v>
      </c>
      <c r="C618" s="9" t="s">
        <v>50</v>
      </c>
      <c r="D618" s="10">
        <v>1</v>
      </c>
      <c r="E618" s="11" t="s">
        <v>51</v>
      </c>
      <c r="F618" s="10">
        <v>75</v>
      </c>
      <c r="G618" s="10">
        <v>0</v>
      </c>
      <c r="H618" s="10">
        <f t="shared" si="9"/>
        <v>75</v>
      </c>
      <c r="I618" s="10"/>
      <c r="J618" s="10"/>
      <c r="K618" s="10"/>
      <c r="L618" s="4" t="s">
        <v>52</v>
      </c>
      <c r="M618" s="4">
        <v>613</v>
      </c>
    </row>
    <row r="619" spans="1:13" x14ac:dyDescent="0.25">
      <c r="A619" s="4" t="s">
        <v>599</v>
      </c>
      <c r="B619" s="4" t="s">
        <v>128</v>
      </c>
      <c r="C619" s="9" t="s">
        <v>50</v>
      </c>
      <c r="D619" s="10">
        <v>51</v>
      </c>
      <c r="E619" s="11" t="s">
        <v>51</v>
      </c>
      <c r="F619" s="10">
        <v>1425</v>
      </c>
      <c r="G619" s="10">
        <v>0</v>
      </c>
      <c r="H619" s="10">
        <f t="shared" si="9"/>
        <v>1425</v>
      </c>
      <c r="I619" s="10"/>
      <c r="J619" s="10"/>
      <c r="K619" s="10"/>
      <c r="L619" s="4" t="s">
        <v>52</v>
      </c>
      <c r="M619" s="4">
        <v>614</v>
      </c>
    </row>
    <row r="620" spans="1:13" x14ac:dyDescent="0.25">
      <c r="A620" s="4" t="s">
        <v>600</v>
      </c>
      <c r="B620" s="4" t="s">
        <v>601</v>
      </c>
      <c r="C620" s="4" t="s">
        <v>68</v>
      </c>
      <c r="D620" s="10">
        <v>64</v>
      </c>
      <c r="E620" s="11" t="s">
        <v>51</v>
      </c>
      <c r="F620" s="10">
        <v>3200</v>
      </c>
      <c r="G620" s="10">
        <v>0</v>
      </c>
      <c r="H620" s="10">
        <f t="shared" si="9"/>
        <v>3200</v>
      </c>
      <c r="I620" s="10"/>
      <c r="J620" s="10"/>
      <c r="K620" s="10"/>
      <c r="L620" s="4" t="s">
        <v>69</v>
      </c>
      <c r="M620" s="4">
        <v>615</v>
      </c>
    </row>
    <row r="621" spans="1:13" x14ac:dyDescent="0.25">
      <c r="A621" s="4" t="s">
        <v>602</v>
      </c>
      <c r="B621" s="4" t="s">
        <v>601</v>
      </c>
      <c r="C621" s="4" t="s">
        <v>68</v>
      </c>
      <c r="D621" s="10">
        <v>263</v>
      </c>
      <c r="E621" s="11" t="s">
        <v>51</v>
      </c>
      <c r="F621" s="10">
        <v>3200</v>
      </c>
      <c r="G621" s="10">
        <v>0</v>
      </c>
      <c r="H621" s="10">
        <f t="shared" si="9"/>
        <v>3200</v>
      </c>
      <c r="I621" s="10"/>
      <c r="J621" s="10"/>
      <c r="K621" s="10"/>
      <c r="L621" s="4" t="s">
        <v>69</v>
      </c>
      <c r="M621" s="4">
        <v>616</v>
      </c>
    </row>
    <row r="622" spans="1:13" x14ac:dyDescent="0.25">
      <c r="A622" s="4" t="s">
        <v>603</v>
      </c>
      <c r="B622" s="4" t="s">
        <v>604</v>
      </c>
      <c r="C622" s="4" t="s">
        <v>65</v>
      </c>
      <c r="D622" s="10">
        <v>5</v>
      </c>
      <c r="E622" s="12" t="s">
        <v>66</v>
      </c>
      <c r="F622" s="10">
        <v>530</v>
      </c>
      <c r="G622" s="10">
        <v>0</v>
      </c>
      <c r="H622" s="10">
        <f t="shared" si="9"/>
        <v>530</v>
      </c>
      <c r="I622" s="10">
        <v>106</v>
      </c>
      <c r="J622" s="10">
        <v>106</v>
      </c>
      <c r="K622" s="10">
        <v>106</v>
      </c>
      <c r="L622" s="4"/>
      <c r="M622" s="4">
        <v>617</v>
      </c>
    </row>
    <row r="623" spans="1:13" x14ac:dyDescent="0.25">
      <c r="A623" s="4" t="s">
        <v>603</v>
      </c>
      <c r="B623" s="4" t="s">
        <v>605</v>
      </c>
      <c r="C623" s="4" t="s">
        <v>65</v>
      </c>
      <c r="D623" s="10">
        <v>35</v>
      </c>
      <c r="E623" s="12" t="s">
        <v>66</v>
      </c>
      <c r="F623" s="10">
        <v>4780</v>
      </c>
      <c r="G623" s="10">
        <v>0</v>
      </c>
      <c r="H623" s="10">
        <f t="shared" si="9"/>
        <v>4780</v>
      </c>
      <c r="I623" s="10">
        <v>136.57142857142861</v>
      </c>
      <c r="J623" s="10">
        <v>136.57142857142861</v>
      </c>
      <c r="K623" s="10">
        <v>136.57142857142861</v>
      </c>
      <c r="L623" s="4"/>
      <c r="M623" s="4">
        <v>618</v>
      </c>
    </row>
    <row r="624" spans="1:13" x14ac:dyDescent="0.25">
      <c r="A624" s="4" t="s">
        <v>603</v>
      </c>
      <c r="B624" s="4" t="s">
        <v>606</v>
      </c>
      <c r="C624" s="4" t="s">
        <v>65</v>
      </c>
      <c r="D624" s="10">
        <v>95</v>
      </c>
      <c r="E624" s="12" t="s">
        <v>66</v>
      </c>
      <c r="F624" s="10">
        <v>13150</v>
      </c>
      <c r="G624" s="10">
        <v>0</v>
      </c>
      <c r="H624" s="10">
        <f t="shared" si="9"/>
        <v>13150</v>
      </c>
      <c r="I624" s="10">
        <v>138.42105263157899</v>
      </c>
      <c r="J624" s="10">
        <v>138.42105263157899</v>
      </c>
      <c r="K624" s="10">
        <v>138.42105263157899</v>
      </c>
      <c r="L624" s="4"/>
      <c r="M624" s="4">
        <v>619</v>
      </c>
    </row>
    <row r="625" spans="1:13" x14ac:dyDescent="0.25">
      <c r="A625" s="4" t="s">
        <v>603</v>
      </c>
      <c r="B625" s="4" t="s">
        <v>607</v>
      </c>
      <c r="C625" s="4" t="s">
        <v>65</v>
      </c>
      <c r="D625" s="10">
        <v>141</v>
      </c>
      <c r="E625" s="12" t="s">
        <v>66</v>
      </c>
      <c r="F625" s="10">
        <v>10350</v>
      </c>
      <c r="G625" s="10">
        <v>0</v>
      </c>
      <c r="H625" s="10">
        <f t="shared" si="9"/>
        <v>10350</v>
      </c>
      <c r="I625" s="10">
        <v>107.8125</v>
      </c>
      <c r="J625" s="10">
        <v>107.8125</v>
      </c>
      <c r="K625" s="10">
        <v>107.8125</v>
      </c>
      <c r="L625" s="4"/>
      <c r="M625" s="4">
        <v>620</v>
      </c>
    </row>
    <row r="626" spans="1:13" x14ac:dyDescent="0.25">
      <c r="A626" s="4" t="s">
        <v>608</v>
      </c>
      <c r="B626" s="4" t="s">
        <v>609</v>
      </c>
      <c r="C626" s="9" t="s">
        <v>50</v>
      </c>
      <c r="D626" s="10">
        <v>21</v>
      </c>
      <c r="E626" s="11" t="s">
        <v>51</v>
      </c>
      <c r="F626" s="10">
        <v>1700</v>
      </c>
      <c r="G626" s="10">
        <v>0</v>
      </c>
      <c r="H626" s="10">
        <f t="shared" si="9"/>
        <v>1700</v>
      </c>
      <c r="I626" s="10"/>
      <c r="J626" s="10"/>
      <c r="K626" s="10"/>
      <c r="L626" s="4" t="s">
        <v>52</v>
      </c>
      <c r="M626" s="4">
        <v>621</v>
      </c>
    </row>
    <row r="627" spans="1:13" x14ac:dyDescent="0.25">
      <c r="A627" s="4" t="s">
        <v>608</v>
      </c>
      <c r="B627" s="4" t="s">
        <v>610</v>
      </c>
      <c r="C627" s="9" t="s">
        <v>50</v>
      </c>
      <c r="D627" s="10">
        <v>84</v>
      </c>
      <c r="E627" s="11" t="s">
        <v>51</v>
      </c>
      <c r="F627" s="10">
        <v>2040</v>
      </c>
      <c r="G627" s="10">
        <v>0</v>
      </c>
      <c r="H627" s="10">
        <f t="shared" si="9"/>
        <v>2040</v>
      </c>
      <c r="I627" s="10"/>
      <c r="J627" s="10"/>
      <c r="K627" s="10"/>
      <c r="L627" s="4" t="s">
        <v>52</v>
      </c>
      <c r="M627" s="4">
        <v>622</v>
      </c>
    </row>
    <row r="628" spans="1:13" x14ac:dyDescent="0.25">
      <c r="A628" s="4" t="s">
        <v>611</v>
      </c>
      <c r="B628" s="4" t="s">
        <v>612</v>
      </c>
      <c r="C628" s="4" t="s">
        <v>68</v>
      </c>
      <c r="D628" s="10">
        <v>40</v>
      </c>
      <c r="E628" s="11" t="s">
        <v>51</v>
      </c>
      <c r="F628" s="10">
        <v>5700</v>
      </c>
      <c r="G628" s="10">
        <v>0</v>
      </c>
      <c r="H628" s="10">
        <f t="shared" si="9"/>
        <v>5700</v>
      </c>
      <c r="I628" s="10"/>
      <c r="J628" s="10"/>
      <c r="K628" s="10"/>
      <c r="L628" s="4" t="s">
        <v>69</v>
      </c>
      <c r="M628" s="4">
        <v>623</v>
      </c>
    </row>
    <row r="629" spans="1:13" x14ac:dyDescent="0.25">
      <c r="A629" s="4" t="s">
        <v>613</v>
      </c>
      <c r="B629" s="4" t="s">
        <v>614</v>
      </c>
      <c r="C629" s="4" t="s">
        <v>65</v>
      </c>
      <c r="D629" s="10">
        <v>20</v>
      </c>
      <c r="E629" s="12" t="s">
        <v>66</v>
      </c>
      <c r="F629" s="10">
        <v>2300</v>
      </c>
      <c r="G629" s="10">
        <v>0</v>
      </c>
      <c r="H629" s="10">
        <f t="shared" si="9"/>
        <v>2300</v>
      </c>
      <c r="I629" s="10">
        <v>115</v>
      </c>
      <c r="J629" s="10">
        <v>115</v>
      </c>
      <c r="K629" s="10">
        <v>115</v>
      </c>
      <c r="L629" s="4"/>
      <c r="M629" s="4">
        <v>624</v>
      </c>
    </row>
    <row r="630" spans="1:13" x14ac:dyDescent="0.25">
      <c r="A630" s="4" t="s">
        <v>613</v>
      </c>
      <c r="B630" s="4" t="s">
        <v>615</v>
      </c>
      <c r="C630" s="4" t="s">
        <v>68</v>
      </c>
      <c r="D630" s="10">
        <v>80</v>
      </c>
      <c r="E630" s="11" t="s">
        <v>51</v>
      </c>
      <c r="F630" s="10">
        <v>2400</v>
      </c>
      <c r="G630" s="10">
        <v>0</v>
      </c>
      <c r="H630" s="10">
        <f t="shared" si="9"/>
        <v>2400</v>
      </c>
      <c r="I630" s="10"/>
      <c r="J630" s="10"/>
      <c r="K630" s="10"/>
      <c r="L630" s="4" t="s">
        <v>69</v>
      </c>
      <c r="M630" s="4">
        <v>625</v>
      </c>
    </row>
    <row r="631" spans="1:13" x14ac:dyDescent="0.25">
      <c r="A631" s="4" t="s">
        <v>616</v>
      </c>
      <c r="B631" s="4" t="s">
        <v>617</v>
      </c>
      <c r="C631" s="4" t="s">
        <v>65</v>
      </c>
      <c r="D631" s="10">
        <v>32</v>
      </c>
      <c r="E631" s="12" t="s">
        <v>66</v>
      </c>
      <c r="F631" s="10">
        <v>3000</v>
      </c>
      <c r="G631" s="10">
        <v>0</v>
      </c>
      <c r="H631" s="10">
        <f t="shared" si="9"/>
        <v>3000</v>
      </c>
      <c r="I631" s="10">
        <v>93.75</v>
      </c>
      <c r="J631" s="10">
        <v>93.75</v>
      </c>
      <c r="K631" s="10">
        <v>93.75</v>
      </c>
      <c r="L631" s="4"/>
      <c r="M631" s="4">
        <v>626</v>
      </c>
    </row>
    <row r="632" spans="1:13" x14ac:dyDescent="0.25">
      <c r="A632" s="4" t="s">
        <v>616</v>
      </c>
      <c r="B632" s="4" t="s">
        <v>618</v>
      </c>
      <c r="C632" s="4" t="s">
        <v>65</v>
      </c>
      <c r="D632" s="10">
        <v>88</v>
      </c>
      <c r="E632" s="12" t="s">
        <v>66</v>
      </c>
      <c r="F632" s="10">
        <v>2300</v>
      </c>
      <c r="G632" s="10">
        <v>0</v>
      </c>
      <c r="H632" s="10">
        <f t="shared" si="9"/>
        <v>2300</v>
      </c>
      <c r="I632" s="10">
        <v>82.142857142857139</v>
      </c>
      <c r="J632" s="10">
        <v>82.142857142857139</v>
      </c>
      <c r="K632" s="10">
        <v>82.142857142857139</v>
      </c>
      <c r="L632" s="4"/>
      <c r="M632" s="4">
        <v>627</v>
      </c>
    </row>
    <row r="633" spans="1:13" x14ac:dyDescent="0.25">
      <c r="A633" s="4" t="s">
        <v>619</v>
      </c>
      <c r="B633" s="4" t="s">
        <v>620</v>
      </c>
      <c r="C633" s="4" t="s">
        <v>65</v>
      </c>
      <c r="D633" s="10">
        <v>20</v>
      </c>
      <c r="E633" s="11" t="s">
        <v>51</v>
      </c>
      <c r="F633" s="10"/>
      <c r="G633" s="10">
        <v>0</v>
      </c>
      <c r="H633" s="10">
        <f t="shared" si="9"/>
        <v>0</v>
      </c>
      <c r="I633" s="10">
        <v>0</v>
      </c>
      <c r="J633" s="10">
        <v>0</v>
      </c>
      <c r="K633" s="10">
        <v>0</v>
      </c>
      <c r="L633" s="4" t="s">
        <v>69</v>
      </c>
      <c r="M633" s="4">
        <v>628</v>
      </c>
    </row>
    <row r="634" spans="1:13" x14ac:dyDescent="0.25">
      <c r="A634" s="4" t="s">
        <v>619</v>
      </c>
      <c r="B634" s="4" t="s">
        <v>621</v>
      </c>
      <c r="C634" s="4" t="s">
        <v>68</v>
      </c>
      <c r="D634" s="10">
        <v>96</v>
      </c>
      <c r="E634" s="11" t="s">
        <v>51</v>
      </c>
      <c r="F634" s="10"/>
      <c r="G634" s="10">
        <v>0</v>
      </c>
      <c r="H634" s="10">
        <f t="shared" si="9"/>
        <v>0</v>
      </c>
      <c r="I634" s="10"/>
      <c r="J634" s="10"/>
      <c r="K634" s="10"/>
      <c r="L634" s="4" t="s">
        <v>69</v>
      </c>
      <c r="M634" s="4">
        <v>629</v>
      </c>
    </row>
    <row r="635" spans="1:13" x14ac:dyDescent="0.25">
      <c r="A635" s="4" t="s">
        <v>622</v>
      </c>
      <c r="B635" s="4" t="s">
        <v>378</v>
      </c>
      <c r="C635" s="4" t="s">
        <v>65</v>
      </c>
      <c r="D635" s="10">
        <v>30</v>
      </c>
      <c r="E635" s="12" t="s">
        <v>66</v>
      </c>
      <c r="F635" s="10">
        <v>3750</v>
      </c>
      <c r="G635" s="10">
        <v>0</v>
      </c>
      <c r="H635" s="10">
        <f t="shared" si="9"/>
        <v>3750</v>
      </c>
      <c r="I635" s="10">
        <v>125</v>
      </c>
      <c r="J635" s="10">
        <v>125</v>
      </c>
      <c r="K635" s="10">
        <v>125</v>
      </c>
      <c r="L635" s="4"/>
      <c r="M635" s="4">
        <v>630</v>
      </c>
    </row>
    <row r="636" spans="1:13" x14ac:dyDescent="0.25">
      <c r="A636" s="4" t="s">
        <v>622</v>
      </c>
      <c r="B636" s="4" t="s">
        <v>615</v>
      </c>
      <c r="C636" s="4" t="s">
        <v>68</v>
      </c>
      <c r="D636" s="10">
        <v>40</v>
      </c>
      <c r="E636" s="11" t="s">
        <v>51</v>
      </c>
      <c r="F636" s="10">
        <v>4600</v>
      </c>
      <c r="G636" s="10">
        <v>0</v>
      </c>
      <c r="H636" s="10">
        <f t="shared" si="9"/>
        <v>4600</v>
      </c>
      <c r="I636" s="10"/>
      <c r="J636" s="10"/>
      <c r="K636" s="10"/>
      <c r="L636" s="4" t="s">
        <v>69</v>
      </c>
      <c r="M636" s="4">
        <v>631</v>
      </c>
    </row>
    <row r="637" spans="1:13" x14ac:dyDescent="0.25">
      <c r="A637" s="4" t="s">
        <v>622</v>
      </c>
      <c r="B637" s="4" t="s">
        <v>623</v>
      </c>
      <c r="C637" s="9" t="s">
        <v>50</v>
      </c>
      <c r="D637" s="10">
        <v>10</v>
      </c>
      <c r="E637" s="11" t="s">
        <v>51</v>
      </c>
      <c r="F637" s="10">
        <v>1500</v>
      </c>
      <c r="G637" s="10">
        <v>0</v>
      </c>
      <c r="H637" s="10">
        <f t="shared" si="9"/>
        <v>1500</v>
      </c>
      <c r="I637" s="10"/>
      <c r="J637" s="10"/>
      <c r="K637" s="10"/>
      <c r="L637" s="4" t="s">
        <v>52</v>
      </c>
      <c r="M637" s="4">
        <v>632</v>
      </c>
    </row>
    <row r="638" spans="1:13" x14ac:dyDescent="0.25">
      <c r="A638" s="4" t="s">
        <v>622</v>
      </c>
      <c r="B638" s="4" t="s">
        <v>389</v>
      </c>
      <c r="C638" s="4" t="s">
        <v>65</v>
      </c>
      <c r="D638" s="10">
        <v>36</v>
      </c>
      <c r="E638" s="12" t="s">
        <v>66</v>
      </c>
      <c r="F638" s="10">
        <v>2500</v>
      </c>
      <c r="G638" s="10">
        <v>0</v>
      </c>
      <c r="H638" s="10">
        <f t="shared" si="9"/>
        <v>2500</v>
      </c>
      <c r="I638" s="10">
        <v>156.25</v>
      </c>
      <c r="J638" s="10">
        <v>156.25</v>
      </c>
      <c r="K638" s="10">
        <v>156.25</v>
      </c>
      <c r="L638" s="4"/>
      <c r="M638" s="4">
        <v>633</v>
      </c>
    </row>
    <row r="639" spans="1:13" x14ac:dyDescent="0.25">
      <c r="A639" s="4" t="s">
        <v>624</v>
      </c>
      <c r="B639" s="4" t="s">
        <v>625</v>
      </c>
      <c r="C639" s="4" t="s">
        <v>65</v>
      </c>
      <c r="D639" s="10">
        <v>28</v>
      </c>
      <c r="E639" s="12" t="s">
        <v>66</v>
      </c>
      <c r="F639" s="10">
        <v>1800</v>
      </c>
      <c r="G639" s="10">
        <v>0</v>
      </c>
      <c r="H639" s="10">
        <f t="shared" si="9"/>
        <v>1800</v>
      </c>
      <c r="I639" s="10">
        <v>90</v>
      </c>
      <c r="J639" s="10">
        <v>90</v>
      </c>
      <c r="K639" s="10">
        <v>90</v>
      </c>
      <c r="L639" s="4"/>
      <c r="M639" s="4">
        <v>634</v>
      </c>
    </row>
    <row r="640" spans="1:13" x14ac:dyDescent="0.25">
      <c r="A640" s="4" t="s">
        <v>626</v>
      </c>
      <c r="B640" s="4" t="s">
        <v>627</v>
      </c>
      <c r="C640" s="4" t="s">
        <v>68</v>
      </c>
      <c r="D640" s="10">
        <v>20</v>
      </c>
      <c r="E640" s="11" t="s">
        <v>51</v>
      </c>
      <c r="F640" s="10">
        <v>920</v>
      </c>
      <c r="G640" s="10">
        <v>0</v>
      </c>
      <c r="H640" s="10">
        <f t="shared" si="9"/>
        <v>920</v>
      </c>
      <c r="I640" s="10"/>
      <c r="J640" s="10"/>
      <c r="K640" s="10"/>
      <c r="L640" s="4" t="s">
        <v>69</v>
      </c>
      <c r="M640" s="4">
        <v>635</v>
      </c>
    </row>
    <row r="641" spans="1:13" x14ac:dyDescent="0.25">
      <c r="A641" s="4" t="s">
        <v>628</v>
      </c>
      <c r="B641" s="4" t="s">
        <v>629</v>
      </c>
      <c r="C641" s="4" t="s">
        <v>65</v>
      </c>
      <c r="D641" s="10">
        <v>8</v>
      </c>
      <c r="E641" s="12" t="s">
        <v>66</v>
      </c>
      <c r="F641" s="10">
        <v>1100</v>
      </c>
      <c r="G641" s="10">
        <v>0</v>
      </c>
      <c r="H641" s="10">
        <f t="shared" si="9"/>
        <v>1100</v>
      </c>
      <c r="I641" s="10">
        <v>137.5</v>
      </c>
      <c r="J641" s="10">
        <v>137.5</v>
      </c>
      <c r="K641" s="10">
        <v>137.5</v>
      </c>
      <c r="L641" s="4"/>
      <c r="M641" s="4">
        <v>636</v>
      </c>
    </row>
    <row r="642" spans="1:13" x14ac:dyDescent="0.25">
      <c r="A642" s="4" t="s">
        <v>628</v>
      </c>
      <c r="B642" s="4" t="s">
        <v>630</v>
      </c>
      <c r="C642" s="4" t="s">
        <v>68</v>
      </c>
      <c r="D642" s="10">
        <v>44</v>
      </c>
      <c r="E642" s="11" t="s">
        <v>51</v>
      </c>
      <c r="F642" s="10">
        <v>440</v>
      </c>
      <c r="G642" s="10">
        <v>0</v>
      </c>
      <c r="H642" s="10">
        <f t="shared" si="9"/>
        <v>440</v>
      </c>
      <c r="I642" s="10"/>
      <c r="J642" s="10"/>
      <c r="K642" s="10"/>
      <c r="L642" s="4" t="s">
        <v>69</v>
      </c>
      <c r="M642" s="4">
        <v>637</v>
      </c>
    </row>
    <row r="643" spans="1:13" x14ac:dyDescent="0.25">
      <c r="A643" s="4" t="s">
        <v>631</v>
      </c>
      <c r="B643" s="4" t="s">
        <v>632</v>
      </c>
      <c r="C643" s="4" t="s">
        <v>68</v>
      </c>
      <c r="D643" s="10">
        <v>139</v>
      </c>
      <c r="E643" s="11" t="s">
        <v>51</v>
      </c>
      <c r="F643" s="10">
        <v>4600</v>
      </c>
      <c r="G643" s="10">
        <v>0</v>
      </c>
      <c r="H643" s="10">
        <f t="shared" si="9"/>
        <v>4600</v>
      </c>
      <c r="I643" s="10"/>
      <c r="J643" s="10"/>
      <c r="K643" s="10"/>
      <c r="L643" s="4" t="s">
        <v>69</v>
      </c>
      <c r="M643" s="4">
        <v>638</v>
      </c>
    </row>
    <row r="644" spans="1:13" x14ac:dyDescent="0.25">
      <c r="A644" s="4" t="s">
        <v>633</v>
      </c>
      <c r="B644" s="4" t="s">
        <v>634</v>
      </c>
      <c r="C644" s="4" t="s">
        <v>65</v>
      </c>
      <c r="D644" s="10">
        <v>121</v>
      </c>
      <c r="E644" s="12" t="s">
        <v>66</v>
      </c>
      <c r="F644" s="10">
        <v>11255</v>
      </c>
      <c r="G644" s="10">
        <v>0</v>
      </c>
      <c r="H644" s="10">
        <f t="shared" si="9"/>
        <v>11255</v>
      </c>
      <c r="I644" s="10">
        <v>93.016528925619838</v>
      </c>
      <c r="J644" s="10">
        <v>93.016528925619838</v>
      </c>
      <c r="K644" s="10">
        <v>93.016528925619838</v>
      </c>
      <c r="L644" s="4"/>
      <c r="M644" s="4">
        <v>639</v>
      </c>
    </row>
    <row r="645" spans="1:13" x14ac:dyDescent="0.25">
      <c r="A645" s="4" t="s">
        <v>633</v>
      </c>
      <c r="B645" s="4" t="s">
        <v>635</v>
      </c>
      <c r="C645" s="4" t="s">
        <v>68</v>
      </c>
      <c r="D645" s="10">
        <v>27</v>
      </c>
      <c r="E645" s="11" t="s">
        <v>51</v>
      </c>
      <c r="F645" s="10">
        <v>1980</v>
      </c>
      <c r="G645" s="10">
        <v>0</v>
      </c>
      <c r="H645" s="10">
        <f t="shared" si="9"/>
        <v>1980</v>
      </c>
      <c r="I645" s="10"/>
      <c r="J645" s="10"/>
      <c r="K645" s="10"/>
      <c r="L645" s="4" t="s">
        <v>69</v>
      </c>
      <c r="M645" s="4">
        <v>640</v>
      </c>
    </row>
    <row r="646" spans="1:13" x14ac:dyDescent="0.25">
      <c r="A646" s="4" t="s">
        <v>636</v>
      </c>
      <c r="B646" s="4" t="s">
        <v>637</v>
      </c>
      <c r="C646" s="4" t="s">
        <v>65</v>
      </c>
      <c r="D646" s="10">
        <v>27</v>
      </c>
      <c r="E646" s="12" t="s">
        <v>66</v>
      </c>
      <c r="F646" s="10">
        <v>3350</v>
      </c>
      <c r="G646" s="10">
        <v>0</v>
      </c>
      <c r="H646" s="10">
        <f t="shared" ref="H646:H709" si="10">F646-G646</f>
        <v>3350</v>
      </c>
      <c r="I646" s="10">
        <v>124.0740740740741</v>
      </c>
      <c r="J646" s="10">
        <v>124.0740740740741</v>
      </c>
      <c r="K646" s="10">
        <v>124.0740740740741</v>
      </c>
      <c r="L646" s="4"/>
      <c r="M646" s="4">
        <v>641</v>
      </c>
    </row>
    <row r="647" spans="1:13" x14ac:dyDescent="0.25">
      <c r="A647" s="4" t="s">
        <v>636</v>
      </c>
      <c r="B647" s="4" t="s">
        <v>635</v>
      </c>
      <c r="C647" s="4" t="s">
        <v>68</v>
      </c>
      <c r="D647" s="10">
        <v>9</v>
      </c>
      <c r="E647" s="11" t="s">
        <v>51</v>
      </c>
      <c r="F647" s="10"/>
      <c r="G647" s="10">
        <v>0</v>
      </c>
      <c r="H647" s="10">
        <f t="shared" si="10"/>
        <v>0</v>
      </c>
      <c r="I647" s="10"/>
      <c r="J647" s="10"/>
      <c r="K647" s="10"/>
      <c r="L647" s="4" t="s">
        <v>69</v>
      </c>
      <c r="M647" s="4">
        <v>642</v>
      </c>
    </row>
    <row r="648" spans="1:13" x14ac:dyDescent="0.25">
      <c r="A648" s="4" t="s">
        <v>638</v>
      </c>
      <c r="B648" s="4" t="s">
        <v>639</v>
      </c>
      <c r="C648" s="4" t="s">
        <v>68</v>
      </c>
      <c r="D648" s="10">
        <v>29</v>
      </c>
      <c r="E648" s="11" t="s">
        <v>51</v>
      </c>
      <c r="F648" s="10"/>
      <c r="G648" s="10">
        <v>0</v>
      </c>
      <c r="H648" s="10">
        <f t="shared" si="10"/>
        <v>0</v>
      </c>
      <c r="I648" s="10"/>
      <c r="J648" s="10"/>
      <c r="K648" s="10"/>
      <c r="L648" s="4" t="s">
        <v>69</v>
      </c>
      <c r="M648" s="4">
        <v>643</v>
      </c>
    </row>
    <row r="649" spans="1:13" x14ac:dyDescent="0.25">
      <c r="A649" s="4" t="s">
        <v>640</v>
      </c>
      <c r="B649" s="4" t="s">
        <v>641</v>
      </c>
      <c r="C649" s="4" t="s">
        <v>68</v>
      </c>
      <c r="D649" s="10">
        <v>230</v>
      </c>
      <c r="E649" s="11" t="s">
        <v>51</v>
      </c>
      <c r="F649" s="10">
        <v>2300</v>
      </c>
      <c r="G649" s="10">
        <v>0</v>
      </c>
      <c r="H649" s="10">
        <f t="shared" si="10"/>
        <v>2300</v>
      </c>
      <c r="I649" s="10"/>
      <c r="J649" s="10"/>
      <c r="K649" s="10"/>
      <c r="L649" s="4" t="s">
        <v>69</v>
      </c>
      <c r="M649" s="4">
        <v>644</v>
      </c>
    </row>
    <row r="650" spans="1:13" x14ac:dyDescent="0.25">
      <c r="A650" s="4" t="s">
        <v>642</v>
      </c>
      <c r="B650" s="4" t="s">
        <v>136</v>
      </c>
      <c r="C650" s="9" t="s">
        <v>50</v>
      </c>
      <c r="D650" s="10">
        <v>4</v>
      </c>
      <c r="E650" s="11" t="s">
        <v>51</v>
      </c>
      <c r="F650" s="10">
        <v>260</v>
      </c>
      <c r="G650" s="10">
        <v>0</v>
      </c>
      <c r="H650" s="10">
        <f t="shared" si="10"/>
        <v>260</v>
      </c>
      <c r="I650" s="10"/>
      <c r="J650" s="10"/>
      <c r="K650" s="10"/>
      <c r="L650" s="4" t="s">
        <v>52</v>
      </c>
      <c r="M650" s="4">
        <v>645</v>
      </c>
    </row>
    <row r="651" spans="1:13" x14ac:dyDescent="0.25">
      <c r="A651" s="4" t="s">
        <v>642</v>
      </c>
      <c r="B651" s="4" t="s">
        <v>82</v>
      </c>
      <c r="C651" s="9" t="s">
        <v>50</v>
      </c>
      <c r="D651" s="10">
        <v>60</v>
      </c>
      <c r="E651" s="11" t="s">
        <v>51</v>
      </c>
      <c r="F651" s="10">
        <v>3900</v>
      </c>
      <c r="G651" s="10">
        <v>0</v>
      </c>
      <c r="H651" s="10">
        <f t="shared" si="10"/>
        <v>3900</v>
      </c>
      <c r="I651" s="10"/>
      <c r="J651" s="10"/>
      <c r="K651" s="10"/>
      <c r="L651" s="4" t="s">
        <v>52</v>
      </c>
      <c r="M651" s="4">
        <v>646</v>
      </c>
    </row>
    <row r="652" spans="1:13" x14ac:dyDescent="0.25">
      <c r="A652" s="4" t="s">
        <v>642</v>
      </c>
      <c r="B652" s="4" t="s">
        <v>88</v>
      </c>
      <c r="C652" s="9" t="s">
        <v>50</v>
      </c>
      <c r="D652" s="10">
        <v>66</v>
      </c>
      <c r="E652" s="11" t="s">
        <v>51</v>
      </c>
      <c r="F652" s="10">
        <v>4290</v>
      </c>
      <c r="G652" s="10">
        <v>0</v>
      </c>
      <c r="H652" s="10">
        <f t="shared" si="10"/>
        <v>4290</v>
      </c>
      <c r="I652" s="10"/>
      <c r="J652" s="10"/>
      <c r="K652" s="10"/>
      <c r="L652" s="4" t="s">
        <v>52</v>
      </c>
      <c r="M652" s="4">
        <v>647</v>
      </c>
    </row>
    <row r="653" spans="1:13" x14ac:dyDescent="0.25">
      <c r="A653" s="4" t="s">
        <v>642</v>
      </c>
      <c r="B653" s="4" t="s">
        <v>106</v>
      </c>
      <c r="C653" s="9" t="s">
        <v>50</v>
      </c>
      <c r="D653" s="10">
        <v>365</v>
      </c>
      <c r="E653" s="11" t="s">
        <v>51</v>
      </c>
      <c r="F653" s="10">
        <v>6500</v>
      </c>
      <c r="G653" s="10">
        <v>0</v>
      </c>
      <c r="H653" s="10">
        <f t="shared" si="10"/>
        <v>6500</v>
      </c>
      <c r="I653" s="10"/>
      <c r="J653" s="10"/>
      <c r="K653" s="10"/>
      <c r="L653" s="4" t="s">
        <v>52</v>
      </c>
      <c r="M653" s="4">
        <v>648</v>
      </c>
    </row>
    <row r="654" spans="1:13" x14ac:dyDescent="0.25">
      <c r="A654" s="4" t="s">
        <v>643</v>
      </c>
      <c r="B654" s="4" t="s">
        <v>88</v>
      </c>
      <c r="C654" s="9" t="s">
        <v>50</v>
      </c>
      <c r="D654" s="10">
        <v>90</v>
      </c>
      <c r="E654" s="11" t="s">
        <v>51</v>
      </c>
      <c r="F654" s="10">
        <v>8075</v>
      </c>
      <c r="G654" s="10">
        <v>0</v>
      </c>
      <c r="H654" s="10">
        <f t="shared" si="10"/>
        <v>8075</v>
      </c>
      <c r="I654" s="10"/>
      <c r="J654" s="10"/>
      <c r="K654" s="10"/>
      <c r="L654" s="4" t="s">
        <v>52</v>
      </c>
      <c r="M654" s="4">
        <v>649</v>
      </c>
    </row>
    <row r="655" spans="1:13" x14ac:dyDescent="0.25">
      <c r="A655" s="4" t="s">
        <v>643</v>
      </c>
      <c r="B655" s="4" t="s">
        <v>137</v>
      </c>
      <c r="C655" s="9" t="s">
        <v>50</v>
      </c>
      <c r="D655" s="10">
        <v>35</v>
      </c>
      <c r="E655" s="11" t="s">
        <v>51</v>
      </c>
      <c r="F655" s="10">
        <v>1925</v>
      </c>
      <c r="G655" s="10">
        <v>0</v>
      </c>
      <c r="H655" s="10">
        <f t="shared" si="10"/>
        <v>1925</v>
      </c>
      <c r="I655" s="10"/>
      <c r="J655" s="10"/>
      <c r="K655" s="10"/>
      <c r="L655" s="4" t="s">
        <v>52</v>
      </c>
      <c r="M655" s="4">
        <v>650</v>
      </c>
    </row>
    <row r="656" spans="1:13" x14ac:dyDescent="0.25">
      <c r="A656" s="4" t="s">
        <v>643</v>
      </c>
      <c r="B656" s="4" t="s">
        <v>106</v>
      </c>
      <c r="C656" s="9" t="s">
        <v>50</v>
      </c>
      <c r="D656" s="10">
        <v>60</v>
      </c>
      <c r="E656" s="11" t="s">
        <v>51</v>
      </c>
      <c r="F656" s="10">
        <v>5100</v>
      </c>
      <c r="G656" s="10">
        <v>0</v>
      </c>
      <c r="H656" s="10">
        <f t="shared" si="10"/>
        <v>5100</v>
      </c>
      <c r="I656" s="10"/>
      <c r="J656" s="10"/>
      <c r="K656" s="10"/>
      <c r="L656" s="4" t="s">
        <v>52</v>
      </c>
      <c r="M656" s="4">
        <v>651</v>
      </c>
    </row>
    <row r="657" spans="1:13" x14ac:dyDescent="0.25">
      <c r="A657" s="4" t="s">
        <v>643</v>
      </c>
      <c r="B657" s="4" t="s">
        <v>107</v>
      </c>
      <c r="C657" s="9" t="s">
        <v>50</v>
      </c>
      <c r="D657" s="10">
        <v>80</v>
      </c>
      <c r="E657" s="11" t="s">
        <v>51</v>
      </c>
      <c r="F657" s="10">
        <v>6800</v>
      </c>
      <c r="G657" s="10">
        <v>0</v>
      </c>
      <c r="H657" s="10">
        <f t="shared" si="10"/>
        <v>6800</v>
      </c>
      <c r="I657" s="10"/>
      <c r="J657" s="10"/>
      <c r="K657" s="10"/>
      <c r="L657" s="4" t="s">
        <v>52</v>
      </c>
      <c r="M657" s="4">
        <v>652</v>
      </c>
    </row>
    <row r="658" spans="1:13" x14ac:dyDescent="0.25">
      <c r="A658" s="4" t="s">
        <v>644</v>
      </c>
      <c r="B658" s="4" t="s">
        <v>404</v>
      </c>
      <c r="C658" s="9" t="s">
        <v>50</v>
      </c>
      <c r="D658" s="10"/>
      <c r="E658" s="11" t="s">
        <v>51</v>
      </c>
      <c r="F658" s="10"/>
      <c r="G658" s="10">
        <v>0</v>
      </c>
      <c r="H658" s="10">
        <f t="shared" si="10"/>
        <v>0</v>
      </c>
      <c r="I658" s="10"/>
      <c r="J658" s="10"/>
      <c r="K658" s="10"/>
      <c r="L658" s="4" t="s">
        <v>52</v>
      </c>
      <c r="M658" s="4">
        <v>653</v>
      </c>
    </row>
    <row r="659" spans="1:13" x14ac:dyDescent="0.25">
      <c r="A659" s="4" t="s">
        <v>644</v>
      </c>
      <c r="B659" s="4" t="s">
        <v>270</v>
      </c>
      <c r="C659" s="9" t="s">
        <v>50</v>
      </c>
      <c r="D659" s="10">
        <v>6</v>
      </c>
      <c r="E659" s="11" t="s">
        <v>51</v>
      </c>
      <c r="F659" s="10"/>
      <c r="G659" s="10">
        <v>0</v>
      </c>
      <c r="H659" s="10">
        <f t="shared" si="10"/>
        <v>0</v>
      </c>
      <c r="I659" s="10"/>
      <c r="J659" s="10"/>
      <c r="K659" s="10"/>
      <c r="L659" s="4" t="s">
        <v>52</v>
      </c>
      <c r="M659" s="4">
        <v>654</v>
      </c>
    </row>
    <row r="660" spans="1:13" x14ac:dyDescent="0.25">
      <c r="A660" s="4" t="s">
        <v>645</v>
      </c>
      <c r="B660" s="4" t="s">
        <v>646</v>
      </c>
      <c r="C660" s="4" t="s">
        <v>65</v>
      </c>
      <c r="D660" s="10">
        <v>165</v>
      </c>
      <c r="E660" s="12" t="s">
        <v>66</v>
      </c>
      <c r="F660" s="10">
        <v>950</v>
      </c>
      <c r="G660" s="10">
        <v>0</v>
      </c>
      <c r="H660" s="10">
        <f t="shared" si="10"/>
        <v>950</v>
      </c>
      <c r="I660" s="10">
        <v>158.33333333333329</v>
      </c>
      <c r="J660" s="10">
        <v>158.33333333333329</v>
      </c>
      <c r="K660" s="10">
        <v>158.33333333333329</v>
      </c>
      <c r="L660" s="4"/>
      <c r="M660" s="4">
        <v>655</v>
      </c>
    </row>
    <row r="661" spans="1:13" x14ac:dyDescent="0.25">
      <c r="A661" s="4" t="s">
        <v>647</v>
      </c>
      <c r="B661" s="4" t="s">
        <v>648</v>
      </c>
      <c r="C661" s="4" t="s">
        <v>65</v>
      </c>
      <c r="D661" s="10">
        <v>72</v>
      </c>
      <c r="E661" s="12" t="s">
        <v>66</v>
      </c>
      <c r="F661" s="10">
        <v>6600</v>
      </c>
      <c r="G661" s="10">
        <v>0</v>
      </c>
      <c r="H661" s="10">
        <f t="shared" si="10"/>
        <v>6600</v>
      </c>
      <c r="I661" s="10">
        <v>91.666666666666671</v>
      </c>
      <c r="J661" s="10">
        <v>91.666666666666671</v>
      </c>
      <c r="K661" s="10">
        <v>91.666666666666671</v>
      </c>
      <c r="L661" s="4"/>
      <c r="M661" s="4">
        <v>656</v>
      </c>
    </row>
    <row r="662" spans="1:13" x14ac:dyDescent="0.25">
      <c r="A662" s="4" t="s">
        <v>647</v>
      </c>
      <c r="B662" s="4" t="s">
        <v>649</v>
      </c>
      <c r="C662" s="4" t="s">
        <v>65</v>
      </c>
      <c r="D662" s="10">
        <v>95</v>
      </c>
      <c r="E662" s="12" t="s">
        <v>66</v>
      </c>
      <c r="F662" s="10">
        <v>7950</v>
      </c>
      <c r="G662" s="10">
        <v>0</v>
      </c>
      <c r="H662" s="10">
        <f t="shared" si="10"/>
        <v>7950</v>
      </c>
      <c r="I662" s="10">
        <v>91.379310344827587</v>
      </c>
      <c r="J662" s="10">
        <v>91.379310344827587</v>
      </c>
      <c r="K662" s="10">
        <v>91.379310344827587</v>
      </c>
      <c r="L662" s="4"/>
      <c r="M662" s="4">
        <v>657</v>
      </c>
    </row>
    <row r="663" spans="1:13" x14ac:dyDescent="0.25">
      <c r="A663" s="4" t="s">
        <v>650</v>
      </c>
      <c r="B663" s="4" t="s">
        <v>651</v>
      </c>
      <c r="C663" s="4" t="s">
        <v>65</v>
      </c>
      <c r="D663" s="10">
        <v>48</v>
      </c>
      <c r="E663" s="12" t="s">
        <v>66</v>
      </c>
      <c r="F663" s="10">
        <v>800</v>
      </c>
      <c r="G663" s="10">
        <v>0</v>
      </c>
      <c r="H663" s="10">
        <f t="shared" si="10"/>
        <v>800</v>
      </c>
      <c r="I663" s="10">
        <v>100</v>
      </c>
      <c r="J663" s="10">
        <v>100</v>
      </c>
      <c r="K663" s="10">
        <v>100</v>
      </c>
      <c r="L663" s="4"/>
      <c r="M663" s="4">
        <v>658</v>
      </c>
    </row>
    <row r="664" spans="1:13" x14ac:dyDescent="0.25">
      <c r="A664" s="4" t="s">
        <v>652</v>
      </c>
      <c r="B664" s="4" t="s">
        <v>248</v>
      </c>
      <c r="C664" s="4" t="s">
        <v>68</v>
      </c>
      <c r="D664" s="10">
        <v>14</v>
      </c>
      <c r="E664" s="11" t="s">
        <v>51</v>
      </c>
      <c r="F664" s="10">
        <v>4800</v>
      </c>
      <c r="G664" s="10">
        <v>0</v>
      </c>
      <c r="H664" s="10">
        <f t="shared" si="10"/>
        <v>4800</v>
      </c>
      <c r="I664" s="10"/>
      <c r="J664" s="10"/>
      <c r="K664" s="10"/>
      <c r="L664" s="4" t="s">
        <v>69</v>
      </c>
      <c r="M664" s="4">
        <v>659</v>
      </c>
    </row>
    <row r="665" spans="1:13" x14ac:dyDescent="0.25">
      <c r="A665" s="4" t="s">
        <v>653</v>
      </c>
      <c r="B665" s="4" t="s">
        <v>300</v>
      </c>
      <c r="C665" s="4" t="s">
        <v>65</v>
      </c>
      <c r="D665" s="10">
        <v>6</v>
      </c>
      <c r="E665" s="12" t="s">
        <v>66</v>
      </c>
      <c r="F665" s="10">
        <v>500</v>
      </c>
      <c r="G665" s="10">
        <v>0</v>
      </c>
      <c r="H665" s="10">
        <f t="shared" si="10"/>
        <v>500</v>
      </c>
      <c r="I665" s="10">
        <v>83.333333333333329</v>
      </c>
      <c r="J665" s="10">
        <v>83.333333333333329</v>
      </c>
      <c r="K665" s="10">
        <v>83.333333333333329</v>
      </c>
      <c r="L665" s="4"/>
      <c r="M665" s="4">
        <v>660</v>
      </c>
    </row>
    <row r="666" spans="1:13" x14ac:dyDescent="0.25">
      <c r="A666" s="4" t="s">
        <v>653</v>
      </c>
      <c r="B666" s="4" t="s">
        <v>654</v>
      </c>
      <c r="C666" s="4" t="s">
        <v>65</v>
      </c>
      <c r="D666" s="10">
        <v>17</v>
      </c>
      <c r="E666" s="12" t="s">
        <v>66</v>
      </c>
      <c r="F666" s="10">
        <v>650</v>
      </c>
      <c r="G666" s="10">
        <v>0</v>
      </c>
      <c r="H666" s="10">
        <f t="shared" si="10"/>
        <v>650</v>
      </c>
      <c r="I666" s="10">
        <v>81.25</v>
      </c>
      <c r="J666" s="10">
        <v>81.25</v>
      </c>
      <c r="K666" s="10">
        <v>81.25</v>
      </c>
      <c r="L666" s="4"/>
      <c r="M666" s="4">
        <v>661</v>
      </c>
    </row>
    <row r="667" spans="1:13" x14ac:dyDescent="0.25">
      <c r="A667" s="4" t="s">
        <v>655</v>
      </c>
      <c r="B667" s="4" t="s">
        <v>656</v>
      </c>
      <c r="C667" s="4" t="s">
        <v>65</v>
      </c>
      <c r="D667" s="10">
        <v>5</v>
      </c>
      <c r="E667" s="12" t="s">
        <v>66</v>
      </c>
      <c r="F667" s="10">
        <v>400</v>
      </c>
      <c r="G667" s="10">
        <v>0</v>
      </c>
      <c r="H667" s="10">
        <f t="shared" si="10"/>
        <v>400</v>
      </c>
      <c r="I667" s="10">
        <v>80</v>
      </c>
      <c r="J667" s="10">
        <v>80</v>
      </c>
      <c r="K667" s="10">
        <v>80</v>
      </c>
      <c r="L667" s="4"/>
      <c r="M667" s="4">
        <v>662</v>
      </c>
    </row>
    <row r="668" spans="1:13" x14ac:dyDescent="0.25">
      <c r="A668" s="4" t="s">
        <v>655</v>
      </c>
      <c r="B668" s="4" t="s">
        <v>657</v>
      </c>
      <c r="C668" s="4" t="s">
        <v>65</v>
      </c>
      <c r="D668" s="10">
        <v>84</v>
      </c>
      <c r="E668" s="12" t="s">
        <v>66</v>
      </c>
      <c r="F668" s="10">
        <v>350</v>
      </c>
      <c r="G668" s="10">
        <v>0</v>
      </c>
      <c r="H668" s="10">
        <f t="shared" si="10"/>
        <v>350</v>
      </c>
      <c r="I668" s="10">
        <v>87.5</v>
      </c>
      <c r="J668" s="10">
        <v>87.5</v>
      </c>
      <c r="K668" s="10">
        <v>87.5</v>
      </c>
      <c r="L668" s="4"/>
      <c r="M668" s="4">
        <v>663</v>
      </c>
    </row>
    <row r="669" spans="1:13" x14ac:dyDescent="0.25">
      <c r="A669" s="4" t="s">
        <v>658</v>
      </c>
      <c r="B669" s="4" t="s">
        <v>659</v>
      </c>
      <c r="C669" s="4" t="s">
        <v>68</v>
      </c>
      <c r="D669" s="10">
        <v>80</v>
      </c>
      <c r="E669" s="11" t="s">
        <v>51</v>
      </c>
      <c r="F669" s="10"/>
      <c r="G669" s="10">
        <v>0</v>
      </c>
      <c r="H669" s="10">
        <f t="shared" si="10"/>
        <v>0</v>
      </c>
      <c r="I669" s="10"/>
      <c r="J669" s="10"/>
      <c r="K669" s="10"/>
      <c r="L669" s="4" t="s">
        <v>69</v>
      </c>
      <c r="M669" s="4">
        <v>664</v>
      </c>
    </row>
    <row r="670" spans="1:13" x14ac:dyDescent="0.25">
      <c r="A670" s="4" t="s">
        <v>658</v>
      </c>
      <c r="B670" s="4" t="s">
        <v>660</v>
      </c>
      <c r="C670" s="4" t="s">
        <v>68</v>
      </c>
      <c r="D670" s="10">
        <v>80</v>
      </c>
      <c r="E670" s="11" t="s">
        <v>51</v>
      </c>
      <c r="F670" s="10"/>
      <c r="G670" s="10">
        <v>0</v>
      </c>
      <c r="H670" s="10">
        <f t="shared" si="10"/>
        <v>0</v>
      </c>
      <c r="I670" s="10"/>
      <c r="J670" s="10"/>
      <c r="K670" s="10"/>
      <c r="L670" s="4" t="s">
        <v>69</v>
      </c>
      <c r="M670" s="4">
        <v>665</v>
      </c>
    </row>
    <row r="671" spans="1:13" x14ac:dyDescent="0.25">
      <c r="A671" s="4" t="s">
        <v>661</v>
      </c>
      <c r="B671" s="4" t="s">
        <v>662</v>
      </c>
      <c r="C671" s="4" t="s">
        <v>65</v>
      </c>
      <c r="D671" s="10">
        <v>40</v>
      </c>
      <c r="E671" s="12" t="s">
        <v>66</v>
      </c>
      <c r="F671" s="10">
        <v>4900</v>
      </c>
      <c r="G671" s="10">
        <v>0</v>
      </c>
      <c r="H671" s="10">
        <f t="shared" si="10"/>
        <v>4900</v>
      </c>
      <c r="I671" s="10">
        <v>122.5</v>
      </c>
      <c r="J671" s="10">
        <v>122.5</v>
      </c>
      <c r="K671" s="10">
        <v>122.5</v>
      </c>
      <c r="L671" s="4"/>
      <c r="M671" s="4">
        <v>666</v>
      </c>
    </row>
    <row r="672" spans="1:13" x14ac:dyDescent="0.25">
      <c r="A672" s="4" t="s">
        <v>661</v>
      </c>
      <c r="B672" s="4" t="s">
        <v>663</v>
      </c>
      <c r="C672" s="4" t="s">
        <v>68</v>
      </c>
      <c r="D672" s="10">
        <v>873</v>
      </c>
      <c r="E672" s="11" t="s">
        <v>51</v>
      </c>
      <c r="F672" s="10">
        <v>5400</v>
      </c>
      <c r="G672" s="10">
        <v>0</v>
      </c>
      <c r="H672" s="10">
        <f t="shared" si="10"/>
        <v>5400</v>
      </c>
      <c r="I672" s="10"/>
      <c r="J672" s="10"/>
      <c r="K672" s="10"/>
      <c r="L672" s="4" t="s">
        <v>69</v>
      </c>
      <c r="M672" s="4">
        <v>667</v>
      </c>
    </row>
    <row r="673" spans="1:13" x14ac:dyDescent="0.25">
      <c r="A673" s="4" t="s">
        <v>664</v>
      </c>
      <c r="B673" s="4" t="s">
        <v>88</v>
      </c>
      <c r="C673" s="9" t="s">
        <v>50</v>
      </c>
      <c r="D673" s="10">
        <v>129</v>
      </c>
      <c r="E673" s="11" t="s">
        <v>51</v>
      </c>
      <c r="F673" s="10">
        <v>8950</v>
      </c>
      <c r="G673" s="10">
        <v>0</v>
      </c>
      <c r="H673" s="10">
        <f t="shared" si="10"/>
        <v>8950</v>
      </c>
      <c r="I673" s="10"/>
      <c r="J673" s="10"/>
      <c r="K673" s="10"/>
      <c r="L673" s="4" t="s">
        <v>52</v>
      </c>
      <c r="M673" s="4">
        <v>668</v>
      </c>
    </row>
    <row r="674" spans="1:13" x14ac:dyDescent="0.25">
      <c r="A674" s="4" t="s">
        <v>664</v>
      </c>
      <c r="B674" s="4" t="s">
        <v>137</v>
      </c>
      <c r="C674" s="9" t="s">
        <v>50</v>
      </c>
      <c r="D674" s="10">
        <v>102</v>
      </c>
      <c r="E674" s="11" t="s">
        <v>51</v>
      </c>
      <c r="F674" s="10">
        <v>7000</v>
      </c>
      <c r="G674" s="10">
        <v>0</v>
      </c>
      <c r="H674" s="10">
        <f t="shared" si="10"/>
        <v>7000</v>
      </c>
      <c r="I674" s="10"/>
      <c r="J674" s="10"/>
      <c r="K674" s="10"/>
      <c r="L674" s="4" t="s">
        <v>52</v>
      </c>
      <c r="M674" s="4">
        <v>669</v>
      </c>
    </row>
    <row r="675" spans="1:13" x14ac:dyDescent="0.25">
      <c r="A675" s="4" t="s">
        <v>664</v>
      </c>
      <c r="B675" s="4" t="s">
        <v>106</v>
      </c>
      <c r="C675" s="9" t="s">
        <v>50</v>
      </c>
      <c r="D675" s="10">
        <v>144</v>
      </c>
      <c r="E675" s="11" t="s">
        <v>51</v>
      </c>
      <c r="F675" s="10">
        <v>9950</v>
      </c>
      <c r="G675" s="10">
        <v>0</v>
      </c>
      <c r="H675" s="10">
        <f t="shared" si="10"/>
        <v>9950</v>
      </c>
      <c r="I675" s="10"/>
      <c r="J675" s="10"/>
      <c r="K675" s="10"/>
      <c r="L675" s="4" t="s">
        <v>52</v>
      </c>
      <c r="M675" s="4">
        <v>670</v>
      </c>
    </row>
    <row r="676" spans="1:13" x14ac:dyDescent="0.25">
      <c r="A676" s="4" t="s">
        <v>664</v>
      </c>
      <c r="B676" s="4" t="s">
        <v>271</v>
      </c>
      <c r="C676" s="9" t="s">
        <v>50</v>
      </c>
      <c r="D676" s="10">
        <v>9</v>
      </c>
      <c r="E676" s="11" t="s">
        <v>51</v>
      </c>
      <c r="F676" s="10">
        <v>625</v>
      </c>
      <c r="G676" s="10">
        <v>0</v>
      </c>
      <c r="H676" s="10">
        <f t="shared" si="10"/>
        <v>625</v>
      </c>
      <c r="I676" s="10"/>
      <c r="J676" s="10"/>
      <c r="K676" s="10"/>
      <c r="L676" s="4" t="s">
        <v>52</v>
      </c>
      <c r="M676" s="4">
        <v>671</v>
      </c>
    </row>
    <row r="677" spans="1:13" x14ac:dyDescent="0.25">
      <c r="A677" s="4" t="s">
        <v>664</v>
      </c>
      <c r="B677" s="4" t="s">
        <v>272</v>
      </c>
      <c r="C677" s="9" t="s">
        <v>50</v>
      </c>
      <c r="D677" s="10">
        <v>9</v>
      </c>
      <c r="E677" s="11" t="s">
        <v>51</v>
      </c>
      <c r="F677" s="10">
        <v>625</v>
      </c>
      <c r="G677" s="10">
        <v>0</v>
      </c>
      <c r="H677" s="10">
        <f t="shared" si="10"/>
        <v>625</v>
      </c>
      <c r="I677" s="10"/>
      <c r="J677" s="10"/>
      <c r="K677" s="10"/>
      <c r="L677" s="4" t="s">
        <v>52</v>
      </c>
      <c r="M677" s="4">
        <v>672</v>
      </c>
    </row>
    <row r="678" spans="1:13" x14ac:dyDescent="0.25">
      <c r="A678" s="4" t="s">
        <v>664</v>
      </c>
      <c r="B678" s="4" t="s">
        <v>107</v>
      </c>
      <c r="C678" s="9" t="s">
        <v>50</v>
      </c>
      <c r="D678" s="10">
        <v>490</v>
      </c>
      <c r="E678" s="11" t="s">
        <v>51</v>
      </c>
      <c r="F678" s="10">
        <v>25820</v>
      </c>
      <c r="G678" s="10">
        <v>0</v>
      </c>
      <c r="H678" s="10">
        <f t="shared" si="10"/>
        <v>25820</v>
      </c>
      <c r="I678" s="10"/>
      <c r="J678" s="10"/>
      <c r="K678" s="10"/>
      <c r="L678" s="4" t="s">
        <v>52</v>
      </c>
      <c r="M678" s="4">
        <v>673</v>
      </c>
    </row>
    <row r="679" spans="1:13" x14ac:dyDescent="0.25">
      <c r="A679" s="4" t="s">
        <v>665</v>
      </c>
      <c r="B679" s="4" t="s">
        <v>82</v>
      </c>
      <c r="C679" s="9" t="s">
        <v>50</v>
      </c>
      <c r="D679" s="10">
        <v>100</v>
      </c>
      <c r="E679" s="11" t="s">
        <v>51</v>
      </c>
      <c r="F679" s="10">
        <v>4750</v>
      </c>
      <c r="G679" s="10">
        <v>0</v>
      </c>
      <c r="H679" s="10">
        <f t="shared" si="10"/>
        <v>4750</v>
      </c>
      <c r="I679" s="10"/>
      <c r="J679" s="10"/>
      <c r="K679" s="10"/>
      <c r="L679" s="4" t="s">
        <v>52</v>
      </c>
      <c r="M679" s="4">
        <v>674</v>
      </c>
    </row>
    <row r="680" spans="1:13" x14ac:dyDescent="0.25">
      <c r="A680" s="4" t="s">
        <v>666</v>
      </c>
      <c r="B680" s="4" t="s">
        <v>621</v>
      </c>
      <c r="C680" s="4" t="s">
        <v>68</v>
      </c>
      <c r="D680" s="10">
        <v>50</v>
      </c>
      <c r="E680" s="11" t="s">
        <v>51</v>
      </c>
      <c r="F680" s="10">
        <v>6562.5</v>
      </c>
      <c r="G680" s="10">
        <v>0</v>
      </c>
      <c r="H680" s="10">
        <f t="shared" si="10"/>
        <v>6562.5</v>
      </c>
      <c r="I680" s="10"/>
      <c r="J680" s="10"/>
      <c r="K680" s="10"/>
      <c r="L680" s="4" t="s">
        <v>69</v>
      </c>
      <c r="M680" s="4">
        <v>675</v>
      </c>
    </row>
    <row r="681" spans="1:13" x14ac:dyDescent="0.25">
      <c r="A681" s="4" t="s">
        <v>667</v>
      </c>
      <c r="B681" s="4" t="s">
        <v>270</v>
      </c>
      <c r="C681" s="9" t="s">
        <v>50</v>
      </c>
      <c r="D681" s="10">
        <v>55</v>
      </c>
      <c r="E681" s="11" t="s">
        <v>51</v>
      </c>
      <c r="F681" s="10"/>
      <c r="G681" s="10">
        <v>0</v>
      </c>
      <c r="H681" s="10">
        <f t="shared" si="10"/>
        <v>0</v>
      </c>
      <c r="I681" s="10"/>
      <c r="J681" s="10"/>
      <c r="K681" s="10"/>
      <c r="L681" s="4" t="s">
        <v>52</v>
      </c>
      <c r="M681" s="4">
        <v>676</v>
      </c>
    </row>
    <row r="682" spans="1:13" x14ac:dyDescent="0.25">
      <c r="A682" s="4" t="s">
        <v>668</v>
      </c>
      <c r="B682" s="4" t="s">
        <v>270</v>
      </c>
      <c r="C682" s="9" t="s">
        <v>50</v>
      </c>
      <c r="D682" s="10">
        <v>1173.5</v>
      </c>
      <c r="E682" s="11" t="s">
        <v>51</v>
      </c>
      <c r="F682" s="10">
        <v>5075</v>
      </c>
      <c r="G682" s="10">
        <v>0</v>
      </c>
      <c r="H682" s="10">
        <f t="shared" si="10"/>
        <v>5075</v>
      </c>
      <c r="I682" s="10"/>
      <c r="J682" s="10"/>
      <c r="K682" s="10"/>
      <c r="L682" s="4" t="s">
        <v>52</v>
      </c>
      <c r="M682" s="4">
        <v>677</v>
      </c>
    </row>
    <row r="683" spans="1:13" x14ac:dyDescent="0.25">
      <c r="A683" s="4" t="s">
        <v>669</v>
      </c>
      <c r="B683" s="4" t="s">
        <v>270</v>
      </c>
      <c r="C683" s="9" t="s">
        <v>50</v>
      </c>
      <c r="D683" s="10"/>
      <c r="E683" s="11" t="s">
        <v>51</v>
      </c>
      <c r="F683" s="10"/>
      <c r="G683" s="10">
        <v>0</v>
      </c>
      <c r="H683" s="10">
        <f t="shared" si="10"/>
        <v>0</v>
      </c>
      <c r="I683" s="10"/>
      <c r="J683" s="10"/>
      <c r="K683" s="10"/>
      <c r="L683" s="4" t="s">
        <v>52</v>
      </c>
      <c r="M683" s="4">
        <v>678</v>
      </c>
    </row>
    <row r="684" spans="1:13" x14ac:dyDescent="0.25">
      <c r="A684" s="4" t="s">
        <v>669</v>
      </c>
      <c r="B684" s="4" t="s">
        <v>136</v>
      </c>
      <c r="C684" s="9" t="s">
        <v>50</v>
      </c>
      <c r="D684" s="10"/>
      <c r="E684" s="11" t="s">
        <v>51</v>
      </c>
      <c r="F684" s="10"/>
      <c r="G684" s="10">
        <v>0</v>
      </c>
      <c r="H684" s="10">
        <f t="shared" si="10"/>
        <v>0</v>
      </c>
      <c r="I684" s="10"/>
      <c r="J684" s="10"/>
      <c r="K684" s="10"/>
      <c r="L684" s="4" t="s">
        <v>52</v>
      </c>
      <c r="M684" s="4">
        <v>679</v>
      </c>
    </row>
    <row r="685" spans="1:13" x14ac:dyDescent="0.25">
      <c r="A685" s="4" t="s">
        <v>669</v>
      </c>
      <c r="B685" s="4" t="s">
        <v>82</v>
      </c>
      <c r="C685" s="9" t="s">
        <v>50</v>
      </c>
      <c r="D685" s="10">
        <v>457</v>
      </c>
      <c r="E685" s="11" t="s">
        <v>51</v>
      </c>
      <c r="F685" s="10">
        <v>41775.980000000003</v>
      </c>
      <c r="G685" s="10">
        <v>0</v>
      </c>
      <c r="H685" s="10">
        <f t="shared" si="10"/>
        <v>41775.980000000003</v>
      </c>
      <c r="I685" s="10"/>
      <c r="J685" s="10"/>
      <c r="K685" s="10"/>
      <c r="L685" s="4" t="s">
        <v>52</v>
      </c>
      <c r="M685" s="4">
        <v>680</v>
      </c>
    </row>
    <row r="686" spans="1:13" x14ac:dyDescent="0.25">
      <c r="A686" s="4" t="s">
        <v>669</v>
      </c>
      <c r="B686" s="4" t="s">
        <v>88</v>
      </c>
      <c r="C686" s="9" t="s">
        <v>50</v>
      </c>
      <c r="D686" s="10">
        <v>373.5</v>
      </c>
      <c r="E686" s="11" t="s">
        <v>51</v>
      </c>
      <c r="F686" s="10">
        <v>36206.04</v>
      </c>
      <c r="G686" s="10">
        <v>0</v>
      </c>
      <c r="H686" s="10">
        <f t="shared" si="10"/>
        <v>36206.04</v>
      </c>
      <c r="I686" s="10"/>
      <c r="J686" s="10"/>
      <c r="K686" s="10"/>
      <c r="L686" s="4" t="s">
        <v>52</v>
      </c>
      <c r="M686" s="4">
        <v>681</v>
      </c>
    </row>
    <row r="687" spans="1:13" x14ac:dyDescent="0.25">
      <c r="A687" s="4" t="s">
        <v>669</v>
      </c>
      <c r="B687" s="4" t="s">
        <v>137</v>
      </c>
      <c r="C687" s="9" t="s">
        <v>50</v>
      </c>
      <c r="D687" s="10">
        <v>288</v>
      </c>
      <c r="E687" s="11" t="s">
        <v>51</v>
      </c>
      <c r="F687" s="10">
        <v>25017.98</v>
      </c>
      <c r="G687" s="10">
        <v>0</v>
      </c>
      <c r="H687" s="10">
        <f t="shared" si="10"/>
        <v>25017.98</v>
      </c>
      <c r="I687" s="10"/>
      <c r="J687" s="10"/>
      <c r="K687" s="10"/>
      <c r="L687" s="4" t="s">
        <v>52</v>
      </c>
      <c r="M687" s="4">
        <v>682</v>
      </c>
    </row>
    <row r="688" spans="1:13" x14ac:dyDescent="0.25">
      <c r="A688" s="4" t="s">
        <v>669</v>
      </c>
      <c r="B688" s="4" t="s">
        <v>106</v>
      </c>
      <c r="C688" s="9" t="s">
        <v>50</v>
      </c>
      <c r="D688" s="10"/>
      <c r="E688" s="11" t="s">
        <v>51</v>
      </c>
      <c r="F688" s="10"/>
      <c r="G688" s="10">
        <v>0</v>
      </c>
      <c r="H688" s="10">
        <f t="shared" si="10"/>
        <v>0</v>
      </c>
      <c r="I688" s="10"/>
      <c r="J688" s="10"/>
      <c r="K688" s="10"/>
      <c r="L688" s="4" t="s">
        <v>52</v>
      </c>
      <c r="M688" s="4">
        <v>683</v>
      </c>
    </row>
    <row r="689" spans="1:13" x14ac:dyDescent="0.25">
      <c r="A689" s="4" t="s">
        <v>669</v>
      </c>
      <c r="B689" s="4" t="s">
        <v>271</v>
      </c>
      <c r="C689" s="9" t="s">
        <v>50</v>
      </c>
      <c r="D689" s="10"/>
      <c r="E689" s="11" t="s">
        <v>51</v>
      </c>
      <c r="F689" s="10"/>
      <c r="G689" s="10">
        <v>0</v>
      </c>
      <c r="H689" s="10">
        <f t="shared" si="10"/>
        <v>0</v>
      </c>
      <c r="I689" s="10"/>
      <c r="J689" s="10"/>
      <c r="K689" s="10"/>
      <c r="L689" s="4" t="s">
        <v>52</v>
      </c>
      <c r="M689" s="4">
        <v>684</v>
      </c>
    </row>
    <row r="690" spans="1:13" x14ac:dyDescent="0.25">
      <c r="A690" s="4" t="s">
        <v>669</v>
      </c>
      <c r="B690" s="4" t="s">
        <v>272</v>
      </c>
      <c r="C690" s="9" t="s">
        <v>50</v>
      </c>
      <c r="D690" s="10"/>
      <c r="E690" s="11" t="s">
        <v>51</v>
      </c>
      <c r="F690" s="10"/>
      <c r="G690" s="10">
        <v>0</v>
      </c>
      <c r="H690" s="10">
        <f t="shared" si="10"/>
        <v>0</v>
      </c>
      <c r="I690" s="10"/>
      <c r="J690" s="10"/>
      <c r="K690" s="10"/>
      <c r="L690" s="4" t="s">
        <v>52</v>
      </c>
      <c r="M690" s="4">
        <v>685</v>
      </c>
    </row>
    <row r="691" spans="1:13" x14ac:dyDescent="0.25">
      <c r="A691" s="4" t="s">
        <v>669</v>
      </c>
      <c r="B691" s="4" t="s">
        <v>107</v>
      </c>
      <c r="C691" s="9" t="s">
        <v>50</v>
      </c>
      <c r="D691" s="10"/>
      <c r="E691" s="11" t="s">
        <v>51</v>
      </c>
      <c r="F691" s="10"/>
      <c r="G691" s="10">
        <v>0</v>
      </c>
      <c r="H691" s="10">
        <f t="shared" si="10"/>
        <v>0</v>
      </c>
      <c r="I691" s="10"/>
      <c r="J691" s="10"/>
      <c r="K691" s="10"/>
      <c r="L691" s="4" t="s">
        <v>52</v>
      </c>
      <c r="M691" s="4">
        <v>686</v>
      </c>
    </row>
    <row r="692" spans="1:13" x14ac:dyDescent="0.25">
      <c r="A692" s="4" t="s">
        <v>669</v>
      </c>
      <c r="B692" s="4" t="s">
        <v>128</v>
      </c>
      <c r="C692" s="9" t="s">
        <v>50</v>
      </c>
      <c r="D692" s="10">
        <v>561</v>
      </c>
      <c r="E692" s="11" t="s">
        <v>51</v>
      </c>
      <c r="F692" s="10"/>
      <c r="G692" s="10">
        <v>0</v>
      </c>
      <c r="H692" s="10">
        <f t="shared" si="10"/>
        <v>0</v>
      </c>
      <c r="I692" s="10"/>
      <c r="J692" s="10"/>
      <c r="K692" s="10"/>
      <c r="L692" s="4" t="s">
        <v>52</v>
      </c>
      <c r="M692" s="4">
        <v>687</v>
      </c>
    </row>
    <row r="693" spans="1:13" x14ac:dyDescent="0.25">
      <c r="A693" s="4" t="s">
        <v>670</v>
      </c>
      <c r="B693" s="4" t="s">
        <v>106</v>
      </c>
      <c r="C693" s="9" t="s">
        <v>50</v>
      </c>
      <c r="D693" s="10">
        <v>1958.5</v>
      </c>
      <c r="E693" s="11" t="s">
        <v>51</v>
      </c>
      <c r="F693" s="10">
        <v>56100</v>
      </c>
      <c r="G693" s="10">
        <v>0</v>
      </c>
      <c r="H693" s="10">
        <f t="shared" si="10"/>
        <v>56100</v>
      </c>
      <c r="I693" s="10"/>
      <c r="J693" s="10"/>
      <c r="K693" s="10"/>
      <c r="L693" s="4" t="s">
        <v>52</v>
      </c>
      <c r="M693" s="4">
        <v>688</v>
      </c>
    </row>
    <row r="694" spans="1:13" x14ac:dyDescent="0.25">
      <c r="A694" s="4" t="s">
        <v>671</v>
      </c>
      <c r="B694" s="4" t="s">
        <v>107</v>
      </c>
      <c r="C694" s="9" t="s">
        <v>50</v>
      </c>
      <c r="D694" s="10">
        <v>2411.5</v>
      </c>
      <c r="E694" s="11" t="s">
        <v>51</v>
      </c>
      <c r="F694" s="10">
        <v>138250</v>
      </c>
      <c r="G694" s="10">
        <v>0</v>
      </c>
      <c r="H694" s="10">
        <f t="shared" si="10"/>
        <v>138250</v>
      </c>
      <c r="I694" s="10"/>
      <c r="J694" s="10"/>
      <c r="K694" s="10"/>
      <c r="L694" s="4" t="s">
        <v>52</v>
      </c>
      <c r="M694" s="4">
        <v>689</v>
      </c>
    </row>
    <row r="695" spans="1:13" x14ac:dyDescent="0.25">
      <c r="A695" s="4" t="s">
        <v>672</v>
      </c>
      <c r="B695" s="4" t="s">
        <v>673</v>
      </c>
      <c r="C695" s="4" t="s">
        <v>68</v>
      </c>
      <c r="D695" s="10">
        <v>40</v>
      </c>
      <c r="E695" s="12" t="s">
        <v>66</v>
      </c>
      <c r="F695" s="10">
        <v>4600</v>
      </c>
      <c r="G695" s="10">
        <v>0</v>
      </c>
      <c r="H695" s="10">
        <f t="shared" si="10"/>
        <v>4600</v>
      </c>
      <c r="I695" s="10">
        <v>115</v>
      </c>
      <c r="J695" s="10">
        <v>115</v>
      </c>
      <c r="K695" s="10">
        <v>115</v>
      </c>
      <c r="L695" s="4"/>
      <c r="M695" s="4">
        <v>690</v>
      </c>
    </row>
    <row r="696" spans="1:13" x14ac:dyDescent="0.25">
      <c r="A696" s="4" t="s">
        <v>672</v>
      </c>
      <c r="B696" s="4" t="s">
        <v>107</v>
      </c>
      <c r="C696" s="9" t="s">
        <v>50</v>
      </c>
      <c r="D696" s="10">
        <v>1601</v>
      </c>
      <c r="E696" s="11" t="s">
        <v>51</v>
      </c>
      <c r="F696" s="10">
        <v>100000</v>
      </c>
      <c r="G696" s="10">
        <v>0</v>
      </c>
      <c r="H696" s="10">
        <f t="shared" si="10"/>
        <v>100000</v>
      </c>
      <c r="I696" s="10"/>
      <c r="J696" s="10"/>
      <c r="K696" s="10"/>
      <c r="L696" s="4" t="s">
        <v>52</v>
      </c>
      <c r="M696" s="4">
        <v>691</v>
      </c>
    </row>
    <row r="697" spans="1:13" x14ac:dyDescent="0.25">
      <c r="A697" s="4" t="s">
        <v>674</v>
      </c>
      <c r="B697" s="4" t="s">
        <v>119</v>
      </c>
      <c r="C697" s="9" t="s">
        <v>50</v>
      </c>
      <c r="D697" s="10">
        <v>204</v>
      </c>
      <c r="E697" s="11" t="s">
        <v>51</v>
      </c>
      <c r="F697" s="10">
        <v>11750</v>
      </c>
      <c r="G697" s="10">
        <v>0</v>
      </c>
      <c r="H697" s="10">
        <f t="shared" si="10"/>
        <v>11750</v>
      </c>
      <c r="I697" s="10"/>
      <c r="J697" s="10"/>
      <c r="K697" s="10"/>
      <c r="L697" s="4" t="s">
        <v>52</v>
      </c>
      <c r="M697" s="4">
        <v>692</v>
      </c>
    </row>
    <row r="698" spans="1:13" x14ac:dyDescent="0.25">
      <c r="A698" s="4" t="s">
        <v>674</v>
      </c>
      <c r="B698" s="4" t="s">
        <v>675</v>
      </c>
      <c r="C698" s="9" t="s">
        <v>50</v>
      </c>
      <c r="D698" s="10">
        <v>563</v>
      </c>
      <c r="E698" s="11" t="s">
        <v>51</v>
      </c>
      <c r="F698" s="10">
        <v>23700</v>
      </c>
      <c r="G698" s="10">
        <v>0</v>
      </c>
      <c r="H698" s="10">
        <f t="shared" si="10"/>
        <v>23700</v>
      </c>
      <c r="I698" s="10"/>
      <c r="J698" s="10"/>
      <c r="K698" s="10"/>
      <c r="L698" s="4" t="s">
        <v>52</v>
      </c>
      <c r="M698" s="4">
        <v>693</v>
      </c>
    </row>
    <row r="699" spans="1:13" x14ac:dyDescent="0.25">
      <c r="A699" s="4" t="s">
        <v>676</v>
      </c>
      <c r="B699" s="4" t="s">
        <v>677</v>
      </c>
      <c r="C699" s="4" t="s">
        <v>68</v>
      </c>
      <c r="D699" s="10">
        <v>572</v>
      </c>
      <c r="E699" s="11" t="s">
        <v>51</v>
      </c>
      <c r="F699" s="10">
        <v>16200</v>
      </c>
      <c r="G699" s="10">
        <v>0</v>
      </c>
      <c r="H699" s="10">
        <f t="shared" si="10"/>
        <v>16200</v>
      </c>
      <c r="I699" s="10"/>
      <c r="J699" s="10"/>
      <c r="K699" s="10"/>
      <c r="L699" s="4" t="s">
        <v>69</v>
      </c>
      <c r="M699" s="4">
        <v>694</v>
      </c>
    </row>
    <row r="700" spans="1:13" x14ac:dyDescent="0.25">
      <c r="A700" s="4" t="s">
        <v>678</v>
      </c>
      <c r="B700" s="4" t="s">
        <v>679</v>
      </c>
      <c r="C700" s="4" t="s">
        <v>65</v>
      </c>
      <c r="D700" s="10">
        <v>47</v>
      </c>
      <c r="E700" s="12" t="s">
        <v>66</v>
      </c>
      <c r="F700" s="10">
        <v>5900</v>
      </c>
      <c r="G700" s="10">
        <v>0</v>
      </c>
      <c r="H700" s="10">
        <f t="shared" si="10"/>
        <v>5900</v>
      </c>
      <c r="I700" s="10">
        <v>125.531914893617</v>
      </c>
      <c r="J700" s="10">
        <v>125.531914893617</v>
      </c>
      <c r="K700" s="10">
        <v>125.531914893617</v>
      </c>
      <c r="L700" s="4"/>
      <c r="M700" s="4">
        <v>695</v>
      </c>
    </row>
    <row r="701" spans="1:13" x14ac:dyDescent="0.25">
      <c r="A701" s="4" t="s">
        <v>678</v>
      </c>
      <c r="B701" s="4" t="s">
        <v>680</v>
      </c>
      <c r="C701" s="4" t="s">
        <v>68</v>
      </c>
      <c r="D701" s="10">
        <v>90</v>
      </c>
      <c r="E701" s="11" t="s">
        <v>51</v>
      </c>
      <c r="F701" s="10">
        <v>6720</v>
      </c>
      <c r="G701" s="10">
        <v>0</v>
      </c>
      <c r="H701" s="10">
        <f t="shared" si="10"/>
        <v>6720</v>
      </c>
      <c r="I701" s="10"/>
      <c r="J701" s="10"/>
      <c r="K701" s="10"/>
      <c r="L701" s="4" t="s">
        <v>69</v>
      </c>
      <c r="M701" s="4">
        <v>696</v>
      </c>
    </row>
    <row r="702" spans="1:13" x14ac:dyDescent="0.25">
      <c r="A702" s="4" t="s">
        <v>678</v>
      </c>
      <c r="B702" s="4" t="s">
        <v>681</v>
      </c>
      <c r="C702" s="4" t="s">
        <v>68</v>
      </c>
      <c r="D702" s="10">
        <v>170</v>
      </c>
      <c r="E702" s="11" t="s">
        <v>51</v>
      </c>
      <c r="F702" s="10">
        <v>12750</v>
      </c>
      <c r="G702" s="10">
        <v>0</v>
      </c>
      <c r="H702" s="10">
        <f t="shared" si="10"/>
        <v>12750</v>
      </c>
      <c r="I702" s="10"/>
      <c r="J702" s="10"/>
      <c r="K702" s="10"/>
      <c r="L702" s="4" t="s">
        <v>69</v>
      </c>
      <c r="M702" s="4">
        <v>697</v>
      </c>
    </row>
    <row r="703" spans="1:13" x14ac:dyDescent="0.25">
      <c r="A703" s="4" t="s">
        <v>678</v>
      </c>
      <c r="B703" s="4" t="s">
        <v>682</v>
      </c>
      <c r="C703" s="4" t="s">
        <v>68</v>
      </c>
      <c r="D703" s="10">
        <v>85</v>
      </c>
      <c r="E703" s="11" t="s">
        <v>51</v>
      </c>
      <c r="F703" s="10">
        <v>6375</v>
      </c>
      <c r="G703" s="10">
        <v>0</v>
      </c>
      <c r="H703" s="10">
        <f t="shared" si="10"/>
        <v>6375</v>
      </c>
      <c r="I703" s="10"/>
      <c r="J703" s="10"/>
      <c r="K703" s="10"/>
      <c r="L703" s="4" t="s">
        <v>69</v>
      </c>
      <c r="M703" s="4">
        <v>698</v>
      </c>
    </row>
    <row r="704" spans="1:13" x14ac:dyDescent="0.25">
      <c r="A704" s="4" t="s">
        <v>678</v>
      </c>
      <c r="B704" s="4" t="s">
        <v>683</v>
      </c>
      <c r="C704" s="4" t="s">
        <v>68</v>
      </c>
      <c r="D704" s="10">
        <v>524</v>
      </c>
      <c r="E704" s="11" t="s">
        <v>51</v>
      </c>
      <c r="F704" s="10"/>
      <c r="G704" s="10">
        <v>0</v>
      </c>
      <c r="H704" s="10">
        <f t="shared" si="10"/>
        <v>0</v>
      </c>
      <c r="I704" s="10"/>
      <c r="J704" s="10"/>
      <c r="K704" s="10"/>
      <c r="L704" s="4" t="s">
        <v>69</v>
      </c>
      <c r="M704" s="4">
        <v>699</v>
      </c>
    </row>
    <row r="705" spans="1:13" x14ac:dyDescent="0.25">
      <c r="A705" s="4" t="s">
        <v>684</v>
      </c>
      <c r="B705" s="4" t="s">
        <v>685</v>
      </c>
      <c r="C705" s="4" t="s">
        <v>68</v>
      </c>
      <c r="D705" s="10">
        <v>324</v>
      </c>
      <c r="E705" s="11" t="s">
        <v>51</v>
      </c>
      <c r="F705" s="10">
        <v>24300</v>
      </c>
      <c r="G705" s="10">
        <v>0</v>
      </c>
      <c r="H705" s="10">
        <f t="shared" si="10"/>
        <v>24300</v>
      </c>
      <c r="I705" s="10"/>
      <c r="J705" s="10"/>
      <c r="K705" s="10"/>
      <c r="L705" s="4" t="s">
        <v>69</v>
      </c>
      <c r="M705" s="4">
        <v>700</v>
      </c>
    </row>
    <row r="706" spans="1:13" x14ac:dyDescent="0.25">
      <c r="A706" s="4" t="s">
        <v>684</v>
      </c>
      <c r="B706" s="4" t="s">
        <v>686</v>
      </c>
      <c r="C706" s="4" t="s">
        <v>68</v>
      </c>
      <c r="D706" s="10">
        <v>270</v>
      </c>
      <c r="E706" s="11" t="s">
        <v>51</v>
      </c>
      <c r="F706" s="10">
        <v>15000</v>
      </c>
      <c r="G706" s="10">
        <v>0</v>
      </c>
      <c r="H706" s="10">
        <f t="shared" si="10"/>
        <v>15000</v>
      </c>
      <c r="I706" s="10"/>
      <c r="J706" s="10"/>
      <c r="K706" s="10"/>
      <c r="L706" s="4" t="s">
        <v>69</v>
      </c>
      <c r="M706" s="4">
        <v>701</v>
      </c>
    </row>
    <row r="707" spans="1:13" x14ac:dyDescent="0.25">
      <c r="A707" s="4" t="s">
        <v>687</v>
      </c>
      <c r="B707" s="4" t="s">
        <v>688</v>
      </c>
      <c r="C707" s="4" t="s">
        <v>68</v>
      </c>
      <c r="D707" s="10">
        <v>50</v>
      </c>
      <c r="E707" s="11" t="s">
        <v>51</v>
      </c>
      <c r="F707" s="10">
        <v>6000</v>
      </c>
      <c r="G707" s="10">
        <v>0</v>
      </c>
      <c r="H707" s="10">
        <f t="shared" si="10"/>
        <v>6000</v>
      </c>
      <c r="I707" s="10"/>
      <c r="J707" s="10"/>
      <c r="K707" s="10"/>
      <c r="L707" s="4" t="s">
        <v>69</v>
      </c>
      <c r="M707" s="4">
        <v>702</v>
      </c>
    </row>
    <row r="708" spans="1:13" x14ac:dyDescent="0.25">
      <c r="A708" s="4" t="s">
        <v>687</v>
      </c>
      <c r="B708" s="4" t="s">
        <v>689</v>
      </c>
      <c r="C708" s="4" t="s">
        <v>68</v>
      </c>
      <c r="D708" s="10">
        <v>66</v>
      </c>
      <c r="E708" s="11" t="s">
        <v>51</v>
      </c>
      <c r="F708" s="10">
        <v>2400</v>
      </c>
      <c r="G708" s="10">
        <v>0</v>
      </c>
      <c r="H708" s="10">
        <f t="shared" si="10"/>
        <v>2400</v>
      </c>
      <c r="I708" s="10"/>
      <c r="J708" s="10"/>
      <c r="K708" s="10"/>
      <c r="L708" s="4" t="s">
        <v>69</v>
      </c>
      <c r="M708" s="4">
        <v>703</v>
      </c>
    </row>
    <row r="709" spans="1:13" x14ac:dyDescent="0.25">
      <c r="A709" s="4" t="s">
        <v>690</v>
      </c>
      <c r="B709" s="4" t="s">
        <v>691</v>
      </c>
      <c r="C709" s="4" t="s">
        <v>65</v>
      </c>
      <c r="D709" s="10">
        <v>106</v>
      </c>
      <c r="E709" s="12" t="s">
        <v>66</v>
      </c>
      <c r="F709" s="10">
        <v>5500</v>
      </c>
      <c r="G709" s="10">
        <v>0</v>
      </c>
      <c r="H709" s="10">
        <f t="shared" si="10"/>
        <v>5500</v>
      </c>
      <c r="I709" s="10">
        <v>119.5652173913043</v>
      </c>
      <c r="J709" s="10">
        <v>119.5652173913043</v>
      </c>
      <c r="K709" s="10">
        <v>119.5652173913043</v>
      </c>
      <c r="L709" s="4"/>
      <c r="M709" s="4">
        <v>704</v>
      </c>
    </row>
    <row r="710" spans="1:13" x14ac:dyDescent="0.25">
      <c r="A710" s="4" t="s">
        <v>692</v>
      </c>
      <c r="B710" s="4" t="s">
        <v>451</v>
      </c>
      <c r="C710" s="4" t="s">
        <v>68</v>
      </c>
      <c r="D710" s="10">
        <v>30</v>
      </c>
      <c r="E710" s="11" t="s">
        <v>51</v>
      </c>
      <c r="F710" s="10">
        <v>3300</v>
      </c>
      <c r="G710" s="10">
        <v>0</v>
      </c>
      <c r="H710" s="10">
        <f t="shared" ref="H710:H773" si="11">F710-G710</f>
        <v>3300</v>
      </c>
      <c r="I710" s="10"/>
      <c r="J710" s="10"/>
      <c r="K710" s="10"/>
      <c r="L710" s="4" t="s">
        <v>69</v>
      </c>
      <c r="M710" s="4">
        <v>705</v>
      </c>
    </row>
    <row r="711" spans="1:13" x14ac:dyDescent="0.25">
      <c r="A711" s="4" t="s">
        <v>692</v>
      </c>
      <c r="B711" s="4" t="s">
        <v>693</v>
      </c>
      <c r="C711" s="4" t="s">
        <v>68</v>
      </c>
      <c r="D711" s="10">
        <v>60</v>
      </c>
      <c r="E711" s="11" t="s">
        <v>51</v>
      </c>
      <c r="F711" s="10">
        <v>3900</v>
      </c>
      <c r="G711" s="10">
        <v>0</v>
      </c>
      <c r="H711" s="10">
        <f t="shared" si="11"/>
        <v>3900</v>
      </c>
      <c r="I711" s="10"/>
      <c r="J711" s="10"/>
      <c r="K711" s="10"/>
      <c r="L711" s="4" t="s">
        <v>69</v>
      </c>
      <c r="M711" s="4">
        <v>706</v>
      </c>
    </row>
    <row r="712" spans="1:13" x14ac:dyDescent="0.25">
      <c r="A712" s="4" t="s">
        <v>694</v>
      </c>
      <c r="B712" s="4" t="s">
        <v>695</v>
      </c>
      <c r="C712" s="4" t="s">
        <v>68</v>
      </c>
      <c r="D712" s="10">
        <v>10</v>
      </c>
      <c r="E712" s="11" t="s">
        <v>51</v>
      </c>
      <c r="F712" s="10">
        <v>1050</v>
      </c>
      <c r="G712" s="10">
        <v>0</v>
      </c>
      <c r="H712" s="10">
        <f t="shared" si="11"/>
        <v>1050</v>
      </c>
      <c r="I712" s="10"/>
      <c r="J712" s="10"/>
      <c r="K712" s="10"/>
      <c r="L712" s="4" t="s">
        <v>69</v>
      </c>
      <c r="M712" s="4">
        <v>707</v>
      </c>
    </row>
    <row r="713" spans="1:13" x14ac:dyDescent="0.25">
      <c r="A713" s="4" t="s">
        <v>694</v>
      </c>
      <c r="B713" s="4" t="s">
        <v>696</v>
      </c>
      <c r="C713" s="4" t="s">
        <v>68</v>
      </c>
      <c r="D713" s="10">
        <v>40</v>
      </c>
      <c r="E713" s="11" t="s">
        <v>51</v>
      </c>
      <c r="F713" s="10">
        <v>2100</v>
      </c>
      <c r="G713" s="10">
        <v>0</v>
      </c>
      <c r="H713" s="10">
        <f t="shared" si="11"/>
        <v>2100</v>
      </c>
      <c r="I713" s="10"/>
      <c r="J713" s="10"/>
      <c r="K713" s="10"/>
      <c r="L713" s="4" t="s">
        <v>69</v>
      </c>
      <c r="M713" s="4">
        <v>708</v>
      </c>
    </row>
    <row r="714" spans="1:13" x14ac:dyDescent="0.25">
      <c r="A714" s="4" t="s">
        <v>697</v>
      </c>
      <c r="B714" s="4" t="s">
        <v>698</v>
      </c>
      <c r="C714" s="4" t="s">
        <v>68</v>
      </c>
      <c r="D714" s="10">
        <v>40</v>
      </c>
      <c r="E714" s="11" t="s">
        <v>51</v>
      </c>
      <c r="F714" s="10">
        <v>2300</v>
      </c>
      <c r="G714" s="10">
        <v>0</v>
      </c>
      <c r="H714" s="10">
        <f t="shared" si="11"/>
        <v>2300</v>
      </c>
      <c r="I714" s="10"/>
      <c r="J714" s="10"/>
      <c r="K714" s="10"/>
      <c r="L714" s="4" t="s">
        <v>69</v>
      </c>
      <c r="M714" s="4">
        <v>709</v>
      </c>
    </row>
    <row r="715" spans="1:13" x14ac:dyDescent="0.25">
      <c r="A715" s="4" t="s">
        <v>699</v>
      </c>
      <c r="B715" s="4" t="s">
        <v>700</v>
      </c>
      <c r="C715" s="4" t="s">
        <v>68</v>
      </c>
      <c r="D715" s="10">
        <v>40</v>
      </c>
      <c r="E715" s="11" t="s">
        <v>51</v>
      </c>
      <c r="F715" s="10">
        <v>2300</v>
      </c>
      <c r="G715" s="10">
        <v>0</v>
      </c>
      <c r="H715" s="10">
        <f t="shared" si="11"/>
        <v>2300</v>
      </c>
      <c r="I715" s="10"/>
      <c r="J715" s="10"/>
      <c r="K715" s="10"/>
      <c r="L715" s="4" t="s">
        <v>69</v>
      </c>
      <c r="M715" s="4">
        <v>710</v>
      </c>
    </row>
    <row r="716" spans="1:13" x14ac:dyDescent="0.25">
      <c r="A716" s="4" t="s">
        <v>701</v>
      </c>
      <c r="B716" s="4" t="s">
        <v>702</v>
      </c>
      <c r="C716" s="4" t="s">
        <v>68</v>
      </c>
      <c r="D716" s="10">
        <v>40</v>
      </c>
      <c r="E716" s="11" t="s">
        <v>51</v>
      </c>
      <c r="F716" s="10">
        <v>2300</v>
      </c>
      <c r="G716" s="10">
        <v>0</v>
      </c>
      <c r="H716" s="10">
        <f t="shared" si="11"/>
        <v>2300</v>
      </c>
      <c r="I716" s="10"/>
      <c r="J716" s="10"/>
      <c r="K716" s="10"/>
      <c r="L716" s="4" t="s">
        <v>69</v>
      </c>
      <c r="M716" s="4">
        <v>711</v>
      </c>
    </row>
    <row r="717" spans="1:13" x14ac:dyDescent="0.25">
      <c r="A717" s="4" t="s">
        <v>703</v>
      </c>
      <c r="B717" s="4" t="s">
        <v>704</v>
      </c>
      <c r="C717" s="4" t="s">
        <v>68</v>
      </c>
      <c r="D717" s="10">
        <v>40</v>
      </c>
      <c r="E717" s="11" t="s">
        <v>51</v>
      </c>
      <c r="F717" s="10">
        <v>2300</v>
      </c>
      <c r="G717" s="10">
        <v>0</v>
      </c>
      <c r="H717" s="10">
        <f t="shared" si="11"/>
        <v>2300</v>
      </c>
      <c r="I717" s="10"/>
      <c r="J717" s="10"/>
      <c r="K717" s="10"/>
      <c r="L717" s="4" t="s">
        <v>69</v>
      </c>
      <c r="M717" s="4">
        <v>712</v>
      </c>
    </row>
    <row r="718" spans="1:13" x14ac:dyDescent="0.25">
      <c r="A718" s="4" t="s">
        <v>705</v>
      </c>
      <c r="B718" s="4" t="s">
        <v>706</v>
      </c>
      <c r="C718" s="4" t="s">
        <v>68</v>
      </c>
      <c r="D718" s="10">
        <v>134</v>
      </c>
      <c r="E718" s="11" t="s">
        <v>51</v>
      </c>
      <c r="F718" s="10">
        <v>2300</v>
      </c>
      <c r="G718" s="10">
        <v>0</v>
      </c>
      <c r="H718" s="10">
        <f t="shared" si="11"/>
        <v>2300</v>
      </c>
      <c r="I718" s="10"/>
      <c r="J718" s="10"/>
      <c r="K718" s="10"/>
      <c r="L718" s="4" t="s">
        <v>69</v>
      </c>
      <c r="M718" s="4">
        <v>713</v>
      </c>
    </row>
    <row r="719" spans="1:13" x14ac:dyDescent="0.25">
      <c r="A719" s="4" t="s">
        <v>707</v>
      </c>
      <c r="B719" s="4" t="s">
        <v>708</v>
      </c>
      <c r="C719" s="4" t="s">
        <v>65</v>
      </c>
      <c r="D719" s="10">
        <v>70</v>
      </c>
      <c r="E719" s="12" t="s">
        <v>66</v>
      </c>
      <c r="F719" s="10">
        <v>9500</v>
      </c>
      <c r="G719" s="10">
        <v>0</v>
      </c>
      <c r="H719" s="10">
        <f t="shared" si="11"/>
        <v>9500</v>
      </c>
      <c r="I719" s="10">
        <v>135.71428571428569</v>
      </c>
      <c r="J719" s="10">
        <v>135.71428571428569</v>
      </c>
      <c r="K719" s="10">
        <v>135.71428571428569</v>
      </c>
      <c r="L719" s="4"/>
      <c r="M719" s="4">
        <v>714</v>
      </c>
    </row>
    <row r="720" spans="1:13" x14ac:dyDescent="0.25">
      <c r="A720" s="4" t="s">
        <v>707</v>
      </c>
      <c r="B720" s="4" t="s">
        <v>709</v>
      </c>
      <c r="C720" s="4" t="s">
        <v>68</v>
      </c>
      <c r="D720" s="10">
        <v>73</v>
      </c>
      <c r="E720" s="11" t="s">
        <v>51</v>
      </c>
      <c r="F720" s="10">
        <v>5060</v>
      </c>
      <c r="G720" s="10">
        <v>0</v>
      </c>
      <c r="H720" s="10">
        <f t="shared" si="11"/>
        <v>5060</v>
      </c>
      <c r="I720" s="10"/>
      <c r="J720" s="10"/>
      <c r="K720" s="10"/>
      <c r="L720" s="4" t="s">
        <v>69</v>
      </c>
      <c r="M720" s="4">
        <v>715</v>
      </c>
    </row>
    <row r="721" spans="1:13" x14ac:dyDescent="0.25">
      <c r="A721" s="4" t="s">
        <v>710</v>
      </c>
      <c r="B721" s="4" t="s">
        <v>711</v>
      </c>
      <c r="C721" s="4" t="s">
        <v>65</v>
      </c>
      <c r="D721" s="10">
        <v>277.5</v>
      </c>
      <c r="E721" s="12" t="s">
        <v>66</v>
      </c>
      <c r="F721" s="10">
        <v>2600</v>
      </c>
      <c r="G721" s="10">
        <v>0</v>
      </c>
      <c r="H721" s="10">
        <f t="shared" si="11"/>
        <v>2600</v>
      </c>
      <c r="I721" s="10">
        <v>89.65517241379311</v>
      </c>
      <c r="J721" s="10">
        <v>89.65517241379311</v>
      </c>
      <c r="K721" s="10">
        <v>89.65517241379311</v>
      </c>
      <c r="L721" s="4"/>
      <c r="M721" s="4">
        <v>716</v>
      </c>
    </row>
    <row r="722" spans="1:13" x14ac:dyDescent="0.25">
      <c r="A722" s="4" t="s">
        <v>712</v>
      </c>
      <c r="B722" s="4" t="s">
        <v>713</v>
      </c>
      <c r="C722" s="4" t="s">
        <v>65</v>
      </c>
      <c r="D722" s="10">
        <v>69.5</v>
      </c>
      <c r="E722" s="12" t="s">
        <v>66</v>
      </c>
      <c r="F722" s="10">
        <v>6750</v>
      </c>
      <c r="G722" s="10">
        <v>0</v>
      </c>
      <c r="H722" s="10">
        <f t="shared" si="11"/>
        <v>6750</v>
      </c>
      <c r="I722" s="10">
        <v>97.122302158273385</v>
      </c>
      <c r="J722" s="10">
        <v>97.122302158273385</v>
      </c>
      <c r="K722" s="10">
        <v>97.122302158273385</v>
      </c>
      <c r="L722" s="4"/>
      <c r="M722" s="4">
        <v>717</v>
      </c>
    </row>
    <row r="723" spans="1:13" x14ac:dyDescent="0.25">
      <c r="A723" s="4" t="s">
        <v>712</v>
      </c>
      <c r="B723" s="4" t="s">
        <v>714</v>
      </c>
      <c r="C723" s="4" t="s">
        <v>65</v>
      </c>
      <c r="D723" s="10">
        <v>26.5</v>
      </c>
      <c r="E723" s="12" t="s">
        <v>66</v>
      </c>
      <c r="F723" s="10">
        <v>2600</v>
      </c>
      <c r="G723" s="10">
        <v>0</v>
      </c>
      <c r="H723" s="10">
        <f t="shared" si="11"/>
        <v>2600</v>
      </c>
      <c r="I723" s="10">
        <v>98.113207547169807</v>
      </c>
      <c r="J723" s="10">
        <v>98.113207547169807</v>
      </c>
      <c r="K723" s="10">
        <v>98.113207547169807</v>
      </c>
      <c r="L723" s="4"/>
      <c r="M723" s="4">
        <v>718</v>
      </c>
    </row>
    <row r="724" spans="1:13" x14ac:dyDescent="0.25">
      <c r="A724" s="4" t="s">
        <v>712</v>
      </c>
      <c r="B724" s="4" t="s">
        <v>715</v>
      </c>
      <c r="C724" s="4" t="s">
        <v>65</v>
      </c>
      <c r="D724" s="10">
        <v>43</v>
      </c>
      <c r="E724" s="12" t="s">
        <v>66</v>
      </c>
      <c r="F724" s="10">
        <v>4200</v>
      </c>
      <c r="G724" s="10">
        <v>0</v>
      </c>
      <c r="H724" s="10">
        <f t="shared" si="11"/>
        <v>4200</v>
      </c>
      <c r="I724" s="10">
        <v>97.674418604651166</v>
      </c>
      <c r="J724" s="10">
        <v>97.674418604651166</v>
      </c>
      <c r="K724" s="10">
        <v>97.674418604651166</v>
      </c>
      <c r="L724" s="4"/>
      <c r="M724" s="4">
        <v>719</v>
      </c>
    </row>
    <row r="725" spans="1:13" x14ac:dyDescent="0.25">
      <c r="A725" s="4" t="s">
        <v>712</v>
      </c>
      <c r="B725" s="4" t="s">
        <v>716</v>
      </c>
      <c r="C725" s="4" t="s">
        <v>65</v>
      </c>
      <c r="D725" s="10">
        <v>8.5</v>
      </c>
      <c r="E725" s="12" t="s">
        <v>66</v>
      </c>
      <c r="F725" s="10">
        <v>850</v>
      </c>
      <c r="G725" s="10">
        <v>0</v>
      </c>
      <c r="H725" s="10">
        <f t="shared" si="11"/>
        <v>850</v>
      </c>
      <c r="I725" s="10">
        <v>100</v>
      </c>
      <c r="J725" s="10">
        <v>100</v>
      </c>
      <c r="K725" s="10">
        <v>100</v>
      </c>
      <c r="L725" s="4"/>
      <c r="M725" s="4">
        <v>720</v>
      </c>
    </row>
    <row r="726" spans="1:13" x14ac:dyDescent="0.25">
      <c r="A726" s="4" t="s">
        <v>712</v>
      </c>
      <c r="B726" s="4" t="s">
        <v>717</v>
      </c>
      <c r="C726" s="4" t="s">
        <v>65</v>
      </c>
      <c r="D726" s="10">
        <v>46</v>
      </c>
      <c r="E726" s="12" t="s">
        <v>66</v>
      </c>
      <c r="F726" s="10">
        <v>4500</v>
      </c>
      <c r="G726" s="10">
        <v>0</v>
      </c>
      <c r="H726" s="10">
        <f t="shared" si="11"/>
        <v>4500</v>
      </c>
      <c r="I726" s="10">
        <v>97.826086956521735</v>
      </c>
      <c r="J726" s="10">
        <v>97.826086956521735</v>
      </c>
      <c r="K726" s="10">
        <v>97.826086956521735</v>
      </c>
      <c r="L726" s="4"/>
      <c r="M726" s="4">
        <v>721</v>
      </c>
    </row>
    <row r="727" spans="1:13" x14ac:dyDescent="0.25">
      <c r="A727" s="4" t="s">
        <v>712</v>
      </c>
      <c r="B727" s="4" t="s">
        <v>718</v>
      </c>
      <c r="C727" s="4" t="s">
        <v>65</v>
      </c>
      <c r="D727" s="10">
        <v>31</v>
      </c>
      <c r="E727" s="12" t="s">
        <v>66</v>
      </c>
      <c r="F727" s="10">
        <v>3050</v>
      </c>
      <c r="G727" s="10">
        <v>0</v>
      </c>
      <c r="H727" s="10">
        <f t="shared" si="11"/>
        <v>3050</v>
      </c>
      <c r="I727" s="10">
        <v>98.387096774193552</v>
      </c>
      <c r="J727" s="10">
        <v>98.387096774193552</v>
      </c>
      <c r="K727" s="10">
        <v>98.387096774193552</v>
      </c>
      <c r="L727" s="4"/>
      <c r="M727" s="4">
        <v>722</v>
      </c>
    </row>
    <row r="728" spans="1:13" x14ac:dyDescent="0.25">
      <c r="A728" s="4" t="s">
        <v>712</v>
      </c>
      <c r="B728" s="4" t="s">
        <v>719</v>
      </c>
      <c r="C728" s="4" t="s">
        <v>68</v>
      </c>
      <c r="D728" s="10">
        <v>204</v>
      </c>
      <c r="E728" s="11" t="s">
        <v>51</v>
      </c>
      <c r="F728" s="10">
        <v>2040</v>
      </c>
      <c r="G728" s="10">
        <v>0</v>
      </c>
      <c r="H728" s="10">
        <f t="shared" si="11"/>
        <v>2040</v>
      </c>
      <c r="I728" s="10"/>
      <c r="J728" s="10"/>
      <c r="K728" s="10"/>
      <c r="L728" s="4" t="s">
        <v>69</v>
      </c>
      <c r="M728" s="4">
        <v>723</v>
      </c>
    </row>
    <row r="729" spans="1:13" x14ac:dyDescent="0.25">
      <c r="A729" s="4" t="s">
        <v>720</v>
      </c>
      <c r="B729" s="4" t="s">
        <v>721</v>
      </c>
      <c r="C729" s="4" t="s">
        <v>68</v>
      </c>
      <c r="D729" s="10">
        <v>60</v>
      </c>
      <c r="E729" s="11" t="s">
        <v>51</v>
      </c>
      <c r="F729" s="10">
        <v>7800</v>
      </c>
      <c r="G729" s="10">
        <v>0</v>
      </c>
      <c r="H729" s="10">
        <f t="shared" si="11"/>
        <v>7800</v>
      </c>
      <c r="I729" s="10"/>
      <c r="J729" s="10"/>
      <c r="K729" s="10"/>
      <c r="L729" s="4" t="s">
        <v>69</v>
      </c>
      <c r="M729" s="4">
        <v>724</v>
      </c>
    </row>
    <row r="730" spans="1:13" x14ac:dyDescent="0.25">
      <c r="A730" s="4" t="s">
        <v>720</v>
      </c>
      <c r="B730" s="4" t="s">
        <v>722</v>
      </c>
      <c r="C730" s="4" t="s">
        <v>68</v>
      </c>
      <c r="D730" s="10">
        <v>60</v>
      </c>
      <c r="E730" s="11" t="s">
        <v>51</v>
      </c>
      <c r="F730" s="10">
        <v>7800</v>
      </c>
      <c r="G730" s="10">
        <v>0</v>
      </c>
      <c r="H730" s="10">
        <f t="shared" si="11"/>
        <v>7800</v>
      </c>
      <c r="I730" s="10"/>
      <c r="J730" s="10"/>
      <c r="K730" s="10"/>
      <c r="L730" s="4" t="s">
        <v>69</v>
      </c>
      <c r="M730" s="4">
        <v>725</v>
      </c>
    </row>
    <row r="731" spans="1:13" x14ac:dyDescent="0.25">
      <c r="A731" s="4" t="s">
        <v>720</v>
      </c>
      <c r="B731" s="4" t="s">
        <v>723</v>
      </c>
      <c r="C731" s="4" t="s">
        <v>68</v>
      </c>
      <c r="D731" s="10">
        <v>191</v>
      </c>
      <c r="E731" s="11" t="s">
        <v>51</v>
      </c>
      <c r="F731" s="10">
        <v>7800</v>
      </c>
      <c r="G731" s="10">
        <v>0</v>
      </c>
      <c r="H731" s="10">
        <f t="shared" si="11"/>
        <v>7800</v>
      </c>
      <c r="I731" s="10"/>
      <c r="J731" s="10"/>
      <c r="K731" s="10"/>
      <c r="L731" s="4" t="s">
        <v>69</v>
      </c>
      <c r="M731" s="4">
        <v>726</v>
      </c>
    </row>
    <row r="732" spans="1:13" x14ac:dyDescent="0.25">
      <c r="A732" s="4" t="s">
        <v>724</v>
      </c>
      <c r="B732" s="4" t="s">
        <v>453</v>
      </c>
      <c r="C732" s="4" t="s">
        <v>65</v>
      </c>
      <c r="D732" s="10">
        <v>3238.5</v>
      </c>
      <c r="E732" s="12" t="s">
        <v>66</v>
      </c>
      <c r="F732" s="10">
        <v>12700</v>
      </c>
      <c r="G732" s="10">
        <v>0</v>
      </c>
      <c r="H732" s="10">
        <f t="shared" si="11"/>
        <v>12700</v>
      </c>
      <c r="I732" s="10">
        <v>96.946564885496187</v>
      </c>
      <c r="J732" s="10">
        <v>96.946564885496187</v>
      </c>
      <c r="K732" s="10">
        <v>96.946564885496187</v>
      </c>
      <c r="L732" s="4"/>
      <c r="M732" s="4">
        <v>727</v>
      </c>
    </row>
    <row r="733" spans="1:13" x14ac:dyDescent="0.25">
      <c r="A733" s="4" t="s">
        <v>725</v>
      </c>
      <c r="B733" s="4" t="s">
        <v>270</v>
      </c>
      <c r="C733" s="9" t="s">
        <v>50</v>
      </c>
      <c r="D733" s="10">
        <v>5</v>
      </c>
      <c r="E733" s="11" t="s">
        <v>51</v>
      </c>
      <c r="F733" s="10">
        <v>425</v>
      </c>
      <c r="G733" s="10">
        <v>0</v>
      </c>
      <c r="H733" s="10">
        <f t="shared" si="11"/>
        <v>425</v>
      </c>
      <c r="I733" s="10"/>
      <c r="J733" s="10"/>
      <c r="K733" s="10"/>
      <c r="L733" s="4" t="s">
        <v>52</v>
      </c>
      <c r="M733" s="4">
        <v>728</v>
      </c>
    </row>
    <row r="734" spans="1:13" x14ac:dyDescent="0.25">
      <c r="A734" s="4" t="s">
        <v>725</v>
      </c>
      <c r="B734" s="4" t="s">
        <v>136</v>
      </c>
      <c r="C734" s="9" t="s">
        <v>50</v>
      </c>
      <c r="D734" s="10">
        <v>19.5</v>
      </c>
      <c r="E734" s="11" t="s">
        <v>51</v>
      </c>
      <c r="F734" s="10">
        <v>1657.5</v>
      </c>
      <c r="G734" s="10">
        <v>0</v>
      </c>
      <c r="H734" s="10">
        <f t="shared" si="11"/>
        <v>1657.5</v>
      </c>
      <c r="I734" s="10"/>
      <c r="J734" s="10"/>
      <c r="K734" s="10"/>
      <c r="L734" s="4" t="s">
        <v>52</v>
      </c>
      <c r="M734" s="4">
        <v>729</v>
      </c>
    </row>
    <row r="735" spans="1:13" x14ac:dyDescent="0.25">
      <c r="A735" s="4" t="s">
        <v>725</v>
      </c>
      <c r="B735" s="4" t="s">
        <v>82</v>
      </c>
      <c r="C735" s="9" t="s">
        <v>50</v>
      </c>
      <c r="D735" s="10">
        <v>190</v>
      </c>
      <c r="E735" s="11" t="s">
        <v>51</v>
      </c>
      <c r="F735" s="10">
        <v>39822.5</v>
      </c>
      <c r="G735" s="10">
        <v>0</v>
      </c>
      <c r="H735" s="10">
        <f t="shared" si="11"/>
        <v>39822.5</v>
      </c>
      <c r="I735" s="10"/>
      <c r="J735" s="10"/>
      <c r="K735" s="10"/>
      <c r="L735" s="4" t="s">
        <v>52</v>
      </c>
      <c r="M735" s="4">
        <v>730</v>
      </c>
    </row>
    <row r="736" spans="1:13" x14ac:dyDescent="0.25">
      <c r="A736" s="4" t="s">
        <v>725</v>
      </c>
      <c r="B736" s="4" t="s">
        <v>88</v>
      </c>
      <c r="C736" s="9" t="s">
        <v>50</v>
      </c>
      <c r="D736" s="10">
        <v>365</v>
      </c>
      <c r="E736" s="11" t="s">
        <v>51</v>
      </c>
      <c r="F736" s="10">
        <v>7352.5</v>
      </c>
      <c r="G736" s="10">
        <v>0</v>
      </c>
      <c r="H736" s="10">
        <f t="shared" si="11"/>
        <v>7352.5</v>
      </c>
      <c r="I736" s="10"/>
      <c r="J736" s="10"/>
      <c r="K736" s="10"/>
      <c r="L736" s="4" t="s">
        <v>52</v>
      </c>
      <c r="M736" s="4">
        <v>731</v>
      </c>
    </row>
    <row r="737" spans="1:13" x14ac:dyDescent="0.25">
      <c r="A737" s="4" t="s">
        <v>725</v>
      </c>
      <c r="B737" s="4" t="s">
        <v>137</v>
      </c>
      <c r="C737" s="9" t="s">
        <v>50</v>
      </c>
      <c r="D737" s="10">
        <v>128</v>
      </c>
      <c r="E737" s="11" t="s">
        <v>51</v>
      </c>
      <c r="F737" s="10">
        <v>10880</v>
      </c>
      <c r="G737" s="10">
        <v>0</v>
      </c>
      <c r="H737" s="10">
        <f t="shared" si="11"/>
        <v>10880</v>
      </c>
      <c r="I737" s="10"/>
      <c r="J737" s="10"/>
      <c r="K737" s="10"/>
      <c r="L737" s="4" t="s">
        <v>52</v>
      </c>
      <c r="M737" s="4">
        <v>732</v>
      </c>
    </row>
    <row r="738" spans="1:13" x14ac:dyDescent="0.25">
      <c r="A738" s="4" t="s">
        <v>725</v>
      </c>
      <c r="B738" s="4" t="s">
        <v>537</v>
      </c>
      <c r="C738" s="9" t="s">
        <v>50</v>
      </c>
      <c r="D738" s="10">
        <v>16</v>
      </c>
      <c r="E738" s="11" t="s">
        <v>51</v>
      </c>
      <c r="F738" s="10">
        <v>1360</v>
      </c>
      <c r="G738" s="10">
        <v>0</v>
      </c>
      <c r="H738" s="10">
        <f t="shared" si="11"/>
        <v>1360</v>
      </c>
      <c r="I738" s="10">
        <v>85</v>
      </c>
      <c r="J738" s="10">
        <v>85</v>
      </c>
      <c r="K738" s="10">
        <v>85</v>
      </c>
      <c r="L738" s="4" t="s">
        <v>259</v>
      </c>
      <c r="M738" s="4">
        <v>733</v>
      </c>
    </row>
    <row r="739" spans="1:13" x14ac:dyDescent="0.25">
      <c r="A739" s="4" t="s">
        <v>725</v>
      </c>
      <c r="B739" s="4" t="s">
        <v>106</v>
      </c>
      <c r="C739" s="9" t="s">
        <v>50</v>
      </c>
      <c r="D739" s="10">
        <v>322</v>
      </c>
      <c r="E739" s="11" t="s">
        <v>51</v>
      </c>
      <c r="F739" s="10">
        <v>27370</v>
      </c>
      <c r="G739" s="10">
        <v>0</v>
      </c>
      <c r="H739" s="10">
        <f t="shared" si="11"/>
        <v>27370</v>
      </c>
      <c r="I739" s="10"/>
      <c r="J739" s="10"/>
      <c r="K739" s="10"/>
      <c r="L739" s="4" t="s">
        <v>52</v>
      </c>
      <c r="M739" s="4">
        <v>734</v>
      </c>
    </row>
    <row r="740" spans="1:13" x14ac:dyDescent="0.25">
      <c r="A740" s="4" t="s">
        <v>725</v>
      </c>
      <c r="B740" s="4" t="s">
        <v>271</v>
      </c>
      <c r="C740" s="9" t="s">
        <v>50</v>
      </c>
      <c r="D740" s="10">
        <v>10</v>
      </c>
      <c r="E740" s="11" t="s">
        <v>51</v>
      </c>
      <c r="F740" s="10">
        <v>850</v>
      </c>
      <c r="G740" s="10">
        <v>0</v>
      </c>
      <c r="H740" s="10">
        <f t="shared" si="11"/>
        <v>850</v>
      </c>
      <c r="I740" s="10"/>
      <c r="J740" s="10"/>
      <c r="K740" s="10"/>
      <c r="L740" s="4" t="s">
        <v>52</v>
      </c>
      <c r="M740" s="4">
        <v>735</v>
      </c>
    </row>
    <row r="741" spans="1:13" x14ac:dyDescent="0.25">
      <c r="A741" s="4" t="s">
        <v>725</v>
      </c>
      <c r="B741" s="4" t="s">
        <v>272</v>
      </c>
      <c r="C741" s="9" t="s">
        <v>50</v>
      </c>
      <c r="D741" s="10">
        <v>9</v>
      </c>
      <c r="E741" s="11" t="s">
        <v>51</v>
      </c>
      <c r="F741" s="10">
        <v>765</v>
      </c>
      <c r="G741" s="10">
        <v>0</v>
      </c>
      <c r="H741" s="10">
        <f t="shared" si="11"/>
        <v>765</v>
      </c>
      <c r="I741" s="10"/>
      <c r="J741" s="10"/>
      <c r="K741" s="10"/>
      <c r="L741" s="4" t="s">
        <v>52</v>
      </c>
      <c r="M741" s="4">
        <v>736</v>
      </c>
    </row>
    <row r="742" spans="1:13" x14ac:dyDescent="0.25">
      <c r="A742" s="4" t="s">
        <v>725</v>
      </c>
      <c r="B742" s="4" t="s">
        <v>107</v>
      </c>
      <c r="C742" s="9" t="s">
        <v>50</v>
      </c>
      <c r="D742" s="10">
        <v>2214</v>
      </c>
      <c r="E742" s="11" t="s">
        <v>51</v>
      </c>
      <c r="F742" s="10">
        <v>154495.07999999999</v>
      </c>
      <c r="G742" s="10">
        <v>0</v>
      </c>
      <c r="H742" s="10">
        <f t="shared" si="11"/>
        <v>154495.07999999999</v>
      </c>
      <c r="I742" s="10"/>
      <c r="J742" s="10"/>
      <c r="K742" s="10"/>
      <c r="L742" s="4" t="s">
        <v>52</v>
      </c>
      <c r="M742" s="4">
        <v>737</v>
      </c>
    </row>
    <row r="743" spans="1:13" x14ac:dyDescent="0.25">
      <c r="A743" s="4" t="s">
        <v>726</v>
      </c>
      <c r="B743" s="4" t="s">
        <v>128</v>
      </c>
      <c r="C743" s="9" t="s">
        <v>50</v>
      </c>
      <c r="D743" s="10">
        <v>483</v>
      </c>
      <c r="E743" s="11" t="s">
        <v>51</v>
      </c>
      <c r="F743" s="10">
        <v>13100</v>
      </c>
      <c r="G743" s="10">
        <v>0</v>
      </c>
      <c r="H743" s="10">
        <f t="shared" si="11"/>
        <v>13100</v>
      </c>
      <c r="I743" s="10"/>
      <c r="J743" s="10"/>
      <c r="K743" s="10"/>
      <c r="L743" s="4" t="s">
        <v>52</v>
      </c>
      <c r="M743" s="4">
        <v>738</v>
      </c>
    </row>
    <row r="744" spans="1:13" x14ac:dyDescent="0.25">
      <c r="A744" s="4" t="s">
        <v>727</v>
      </c>
      <c r="B744" s="4" t="s">
        <v>728</v>
      </c>
      <c r="C744" s="9" t="s">
        <v>50</v>
      </c>
      <c r="D744" s="10">
        <v>140</v>
      </c>
      <c r="E744" s="11" t="s">
        <v>51</v>
      </c>
      <c r="F744" s="10">
        <v>6101.73</v>
      </c>
      <c r="G744" s="10">
        <v>0</v>
      </c>
      <c r="H744" s="10">
        <f t="shared" si="11"/>
        <v>6101.73</v>
      </c>
      <c r="I744" s="10"/>
      <c r="J744" s="10"/>
      <c r="K744" s="10"/>
      <c r="L744" s="4" t="s">
        <v>52</v>
      </c>
      <c r="M744" s="4">
        <v>739</v>
      </c>
    </row>
    <row r="745" spans="1:13" x14ac:dyDescent="0.25">
      <c r="A745" s="4" t="s">
        <v>727</v>
      </c>
      <c r="B745" s="4" t="s">
        <v>729</v>
      </c>
      <c r="C745" s="9" t="s">
        <v>50</v>
      </c>
      <c r="D745" s="10">
        <v>478</v>
      </c>
      <c r="E745" s="11" t="s">
        <v>51</v>
      </c>
      <c r="F745" s="10">
        <v>8426.2099999999991</v>
      </c>
      <c r="G745" s="10">
        <v>0</v>
      </c>
      <c r="H745" s="10">
        <f t="shared" si="11"/>
        <v>8426.2099999999991</v>
      </c>
      <c r="I745" s="10"/>
      <c r="J745" s="10"/>
      <c r="K745" s="10"/>
      <c r="L745" s="4" t="s">
        <v>52</v>
      </c>
      <c r="M745" s="4">
        <v>740</v>
      </c>
    </row>
    <row r="746" spans="1:13" x14ac:dyDescent="0.25">
      <c r="A746" s="4" t="s">
        <v>730</v>
      </c>
      <c r="B746" s="4" t="s">
        <v>731</v>
      </c>
      <c r="C746" s="4" t="s">
        <v>65</v>
      </c>
      <c r="D746" s="10">
        <v>200</v>
      </c>
      <c r="E746" s="12" t="s">
        <v>66</v>
      </c>
      <c r="F746" s="10">
        <v>23100</v>
      </c>
      <c r="G746" s="10">
        <v>0</v>
      </c>
      <c r="H746" s="10">
        <f t="shared" si="11"/>
        <v>23100</v>
      </c>
      <c r="I746" s="10">
        <v>115.5</v>
      </c>
      <c r="J746" s="10">
        <v>115.5</v>
      </c>
      <c r="K746" s="10">
        <v>115.5</v>
      </c>
      <c r="L746" s="4"/>
      <c r="M746" s="4">
        <v>741</v>
      </c>
    </row>
    <row r="747" spans="1:13" x14ac:dyDescent="0.25">
      <c r="A747" s="4" t="s">
        <v>730</v>
      </c>
      <c r="B747" s="4" t="s">
        <v>732</v>
      </c>
      <c r="C747" s="4" t="s">
        <v>65</v>
      </c>
      <c r="D747" s="10">
        <v>1287</v>
      </c>
      <c r="E747" s="12" t="s">
        <v>66</v>
      </c>
      <c r="F747" s="10">
        <v>11400</v>
      </c>
      <c r="G747" s="10">
        <v>0</v>
      </c>
      <c r="H747" s="10">
        <f t="shared" si="11"/>
        <v>11400</v>
      </c>
      <c r="I747" s="10">
        <v>126.6666666666667</v>
      </c>
      <c r="J747" s="10">
        <v>126.6666666666667</v>
      </c>
      <c r="K747" s="10">
        <v>126.6666666666667</v>
      </c>
      <c r="L747" s="4"/>
      <c r="M747" s="4">
        <v>742</v>
      </c>
    </row>
    <row r="748" spans="1:13" x14ac:dyDescent="0.25">
      <c r="A748" s="4" t="s">
        <v>733</v>
      </c>
      <c r="B748" s="4" t="s">
        <v>734</v>
      </c>
      <c r="C748" s="4" t="s">
        <v>68</v>
      </c>
      <c r="D748" s="10">
        <v>384</v>
      </c>
      <c r="E748" s="11" t="s">
        <v>51</v>
      </c>
      <c r="F748" s="10">
        <v>37632</v>
      </c>
      <c r="G748" s="10">
        <v>0</v>
      </c>
      <c r="H748" s="10">
        <f t="shared" si="11"/>
        <v>37632</v>
      </c>
      <c r="I748" s="10"/>
      <c r="J748" s="10"/>
      <c r="K748" s="10"/>
      <c r="L748" s="4" t="s">
        <v>69</v>
      </c>
      <c r="M748" s="4">
        <v>743</v>
      </c>
    </row>
    <row r="749" spans="1:13" x14ac:dyDescent="0.25">
      <c r="A749" s="4" t="s">
        <v>733</v>
      </c>
      <c r="B749" s="4" t="s">
        <v>735</v>
      </c>
      <c r="C749" s="4" t="s">
        <v>65</v>
      </c>
      <c r="D749" s="10">
        <v>45</v>
      </c>
      <c r="E749" s="12" t="s">
        <v>66</v>
      </c>
      <c r="F749" s="10">
        <v>3200</v>
      </c>
      <c r="G749" s="10">
        <v>0</v>
      </c>
      <c r="H749" s="10">
        <f t="shared" si="11"/>
        <v>3200</v>
      </c>
      <c r="I749" s="10">
        <v>71.111111111111114</v>
      </c>
      <c r="J749" s="10">
        <v>71.111111111111114</v>
      </c>
      <c r="K749" s="10">
        <v>71.111111111111114</v>
      </c>
      <c r="L749" s="4"/>
      <c r="M749" s="4">
        <v>744</v>
      </c>
    </row>
    <row r="750" spans="1:13" x14ac:dyDescent="0.25">
      <c r="A750" s="4" t="s">
        <v>733</v>
      </c>
      <c r="B750" s="4" t="s">
        <v>736</v>
      </c>
      <c r="C750" s="4" t="s">
        <v>68</v>
      </c>
      <c r="D750" s="10">
        <v>1073</v>
      </c>
      <c r="E750" s="11" t="s">
        <v>51</v>
      </c>
      <c r="F750" s="10">
        <v>75264</v>
      </c>
      <c r="G750" s="10">
        <v>0</v>
      </c>
      <c r="H750" s="10">
        <f t="shared" si="11"/>
        <v>75264</v>
      </c>
      <c r="I750" s="10"/>
      <c r="J750" s="10"/>
      <c r="K750" s="10"/>
      <c r="L750" s="4" t="s">
        <v>69</v>
      </c>
      <c r="M750" s="4">
        <v>745</v>
      </c>
    </row>
    <row r="751" spans="1:13" x14ac:dyDescent="0.25">
      <c r="A751" s="4" t="s">
        <v>737</v>
      </c>
      <c r="B751" s="4" t="s">
        <v>738</v>
      </c>
      <c r="C751" s="4" t="s">
        <v>68</v>
      </c>
      <c r="D751" s="10">
        <v>915</v>
      </c>
      <c r="E751" s="11" t="s">
        <v>51</v>
      </c>
      <c r="F751" s="10">
        <v>25010</v>
      </c>
      <c r="G751" s="10">
        <v>0</v>
      </c>
      <c r="H751" s="10">
        <f t="shared" si="11"/>
        <v>25010</v>
      </c>
      <c r="I751" s="10"/>
      <c r="J751" s="10"/>
      <c r="K751" s="10"/>
      <c r="L751" s="4" t="s">
        <v>69</v>
      </c>
      <c r="M751" s="4">
        <v>746</v>
      </c>
    </row>
    <row r="752" spans="1:13" x14ac:dyDescent="0.25">
      <c r="A752" s="4" t="s">
        <v>739</v>
      </c>
      <c r="B752" s="4" t="s">
        <v>740</v>
      </c>
      <c r="C752" s="4" t="s">
        <v>68</v>
      </c>
      <c r="D752" s="10">
        <v>650</v>
      </c>
      <c r="E752" s="11" t="s">
        <v>51</v>
      </c>
      <c r="F752" s="10">
        <v>25010</v>
      </c>
      <c r="G752" s="10">
        <v>0</v>
      </c>
      <c r="H752" s="10">
        <f t="shared" si="11"/>
        <v>25010</v>
      </c>
      <c r="I752" s="10"/>
      <c r="J752" s="10"/>
      <c r="K752" s="10"/>
      <c r="L752" s="4" t="s">
        <v>69</v>
      </c>
      <c r="M752" s="4">
        <v>747</v>
      </c>
    </row>
    <row r="753" spans="1:13" x14ac:dyDescent="0.25">
      <c r="A753" s="4" t="s">
        <v>741</v>
      </c>
      <c r="B753" s="4" t="s">
        <v>609</v>
      </c>
      <c r="C753" s="9" t="s">
        <v>50</v>
      </c>
      <c r="D753" s="10">
        <v>16</v>
      </c>
      <c r="E753" s="11" t="s">
        <v>51</v>
      </c>
      <c r="F753" s="10">
        <v>1500</v>
      </c>
      <c r="G753" s="10">
        <v>0</v>
      </c>
      <c r="H753" s="10">
        <f t="shared" si="11"/>
        <v>1500</v>
      </c>
      <c r="I753" s="10"/>
      <c r="J753" s="10"/>
      <c r="K753" s="10"/>
      <c r="L753" s="4" t="s">
        <v>52</v>
      </c>
      <c r="M753" s="4">
        <v>748</v>
      </c>
    </row>
    <row r="754" spans="1:13" x14ac:dyDescent="0.25">
      <c r="A754" s="4" t="s">
        <v>741</v>
      </c>
      <c r="B754" s="4" t="s">
        <v>742</v>
      </c>
      <c r="C754" s="9" t="s">
        <v>50</v>
      </c>
      <c r="D754" s="10">
        <v>14</v>
      </c>
      <c r="E754" s="11" t="s">
        <v>51</v>
      </c>
      <c r="F754" s="10">
        <v>1190</v>
      </c>
      <c r="G754" s="10">
        <v>0</v>
      </c>
      <c r="H754" s="10">
        <f t="shared" si="11"/>
        <v>1190</v>
      </c>
      <c r="I754" s="10"/>
      <c r="J754" s="10"/>
      <c r="K754" s="10"/>
      <c r="L754" s="4" t="s">
        <v>52</v>
      </c>
      <c r="M754" s="4">
        <v>749</v>
      </c>
    </row>
    <row r="755" spans="1:13" x14ac:dyDescent="0.25">
      <c r="A755" s="4" t="s">
        <v>741</v>
      </c>
      <c r="B755" s="4" t="s">
        <v>421</v>
      </c>
      <c r="C755" s="9" t="s">
        <v>50</v>
      </c>
      <c r="D755" s="10">
        <v>26</v>
      </c>
      <c r="E755" s="11" t="s">
        <v>51</v>
      </c>
      <c r="F755" s="10">
        <v>850</v>
      </c>
      <c r="G755" s="10">
        <v>0</v>
      </c>
      <c r="H755" s="10">
        <f t="shared" si="11"/>
        <v>850</v>
      </c>
      <c r="I755" s="10"/>
      <c r="J755" s="10"/>
      <c r="K755" s="10"/>
      <c r="L755" s="4" t="s">
        <v>52</v>
      </c>
      <c r="M755" s="4">
        <v>750</v>
      </c>
    </row>
    <row r="756" spans="1:13" x14ac:dyDescent="0.25">
      <c r="A756" s="4" t="s">
        <v>743</v>
      </c>
      <c r="B756" s="4" t="s">
        <v>272</v>
      </c>
      <c r="C756" s="9" t="s">
        <v>50</v>
      </c>
      <c r="D756" s="10">
        <v>4</v>
      </c>
      <c r="E756" s="11" t="s">
        <v>51</v>
      </c>
      <c r="F756" s="10">
        <v>380</v>
      </c>
      <c r="G756" s="10">
        <v>0</v>
      </c>
      <c r="H756" s="10">
        <f t="shared" si="11"/>
        <v>380</v>
      </c>
      <c r="I756" s="10"/>
      <c r="J756" s="10"/>
      <c r="K756" s="10"/>
      <c r="L756" s="4" t="s">
        <v>52</v>
      </c>
      <c r="M756" s="4">
        <v>751</v>
      </c>
    </row>
    <row r="757" spans="1:13" x14ac:dyDescent="0.25">
      <c r="A757" s="4" t="s">
        <v>743</v>
      </c>
      <c r="B757" s="4" t="s">
        <v>107</v>
      </c>
      <c r="C757" s="9" t="s">
        <v>50</v>
      </c>
      <c r="D757" s="10">
        <v>160</v>
      </c>
      <c r="E757" s="11" t="s">
        <v>51</v>
      </c>
      <c r="F757" s="10">
        <v>1140</v>
      </c>
      <c r="G757" s="10">
        <v>0</v>
      </c>
      <c r="H757" s="10">
        <f t="shared" si="11"/>
        <v>1140</v>
      </c>
      <c r="I757" s="10"/>
      <c r="J757" s="10"/>
      <c r="K757" s="10"/>
      <c r="L757" s="4" t="s">
        <v>52</v>
      </c>
      <c r="M757" s="4">
        <v>752</v>
      </c>
    </row>
    <row r="758" spans="1:13" x14ac:dyDescent="0.25">
      <c r="A758" s="4" t="s">
        <v>744</v>
      </c>
      <c r="B758" s="4" t="s">
        <v>136</v>
      </c>
      <c r="C758" s="9" t="s">
        <v>50</v>
      </c>
      <c r="D758" s="10">
        <v>41</v>
      </c>
      <c r="E758" s="11" t="s">
        <v>51</v>
      </c>
      <c r="F758" s="10">
        <v>3150</v>
      </c>
      <c r="G758" s="10">
        <v>0</v>
      </c>
      <c r="H758" s="10">
        <f t="shared" si="11"/>
        <v>3150</v>
      </c>
      <c r="I758" s="10"/>
      <c r="J758" s="10"/>
      <c r="K758" s="10"/>
      <c r="L758" s="4" t="s">
        <v>52</v>
      </c>
      <c r="M758" s="4">
        <v>753</v>
      </c>
    </row>
    <row r="759" spans="1:13" x14ac:dyDescent="0.25">
      <c r="A759" s="4" t="s">
        <v>744</v>
      </c>
      <c r="B759" s="4" t="s">
        <v>82</v>
      </c>
      <c r="C759" s="9" t="s">
        <v>50</v>
      </c>
      <c r="D759" s="10">
        <v>21</v>
      </c>
      <c r="E759" s="11" t="s">
        <v>51</v>
      </c>
      <c r="F759" s="10">
        <v>1575</v>
      </c>
      <c r="G759" s="10">
        <v>0</v>
      </c>
      <c r="H759" s="10">
        <f t="shared" si="11"/>
        <v>1575</v>
      </c>
      <c r="I759" s="10"/>
      <c r="J759" s="10"/>
      <c r="K759" s="10"/>
      <c r="L759" s="4" t="s">
        <v>52</v>
      </c>
      <c r="M759" s="4">
        <v>754</v>
      </c>
    </row>
    <row r="760" spans="1:13" x14ac:dyDescent="0.25">
      <c r="A760" s="4" t="s">
        <v>744</v>
      </c>
      <c r="B760" s="4" t="s">
        <v>88</v>
      </c>
      <c r="C760" s="9" t="s">
        <v>50</v>
      </c>
      <c r="D760" s="10">
        <v>62</v>
      </c>
      <c r="E760" s="11" t="s">
        <v>51</v>
      </c>
      <c r="F760" s="10">
        <v>4725</v>
      </c>
      <c r="G760" s="10">
        <v>0</v>
      </c>
      <c r="H760" s="10">
        <f t="shared" si="11"/>
        <v>4725</v>
      </c>
      <c r="I760" s="10"/>
      <c r="J760" s="10"/>
      <c r="K760" s="10"/>
      <c r="L760" s="4" t="s">
        <v>52</v>
      </c>
      <c r="M760" s="4">
        <v>755</v>
      </c>
    </row>
    <row r="761" spans="1:13" x14ac:dyDescent="0.25">
      <c r="A761" s="4" t="s">
        <v>744</v>
      </c>
      <c r="B761" s="4" t="s">
        <v>137</v>
      </c>
      <c r="C761" s="9" t="s">
        <v>50</v>
      </c>
      <c r="D761" s="10">
        <v>88</v>
      </c>
      <c r="E761" s="11" t="s">
        <v>51</v>
      </c>
      <c r="F761" s="10">
        <v>1800</v>
      </c>
      <c r="G761" s="10">
        <v>0</v>
      </c>
      <c r="H761" s="10">
        <f t="shared" si="11"/>
        <v>1800</v>
      </c>
      <c r="I761" s="10"/>
      <c r="J761" s="10"/>
      <c r="K761" s="10"/>
      <c r="L761" s="4" t="s">
        <v>52</v>
      </c>
      <c r="M761" s="4">
        <v>756</v>
      </c>
    </row>
    <row r="762" spans="1:13" x14ac:dyDescent="0.25">
      <c r="A762" s="4" t="s">
        <v>745</v>
      </c>
      <c r="B762" s="4" t="s">
        <v>746</v>
      </c>
      <c r="C762" s="4" t="s">
        <v>68</v>
      </c>
      <c r="D762" s="10">
        <v>24</v>
      </c>
      <c r="E762" s="11" t="s">
        <v>51</v>
      </c>
      <c r="F762" s="10">
        <v>4180</v>
      </c>
      <c r="G762" s="10">
        <v>0</v>
      </c>
      <c r="H762" s="10">
        <f t="shared" si="11"/>
        <v>4180</v>
      </c>
      <c r="I762" s="10"/>
      <c r="J762" s="10"/>
      <c r="K762" s="10"/>
      <c r="L762" s="4" t="s">
        <v>69</v>
      </c>
      <c r="M762" s="4">
        <v>757</v>
      </c>
    </row>
    <row r="763" spans="1:13" x14ac:dyDescent="0.25">
      <c r="A763" s="4" t="s">
        <v>745</v>
      </c>
      <c r="B763" s="4" t="s">
        <v>747</v>
      </c>
      <c r="C763" s="4" t="s">
        <v>68</v>
      </c>
      <c r="D763" s="10">
        <v>200</v>
      </c>
      <c r="E763" s="11" t="s">
        <v>51</v>
      </c>
      <c r="F763" s="10">
        <v>4482.5</v>
      </c>
      <c r="G763" s="10">
        <v>0</v>
      </c>
      <c r="H763" s="10">
        <f t="shared" si="11"/>
        <v>4482.5</v>
      </c>
      <c r="I763" s="10"/>
      <c r="J763" s="10"/>
      <c r="K763" s="10"/>
      <c r="L763" s="4" t="s">
        <v>69</v>
      </c>
      <c r="M763" s="4">
        <v>758</v>
      </c>
    </row>
    <row r="764" spans="1:13" x14ac:dyDescent="0.25">
      <c r="A764" s="4" t="s">
        <v>748</v>
      </c>
      <c r="B764" s="4" t="s">
        <v>749</v>
      </c>
      <c r="C764" s="9" t="s">
        <v>50</v>
      </c>
      <c r="D764" s="10">
        <v>60</v>
      </c>
      <c r="E764" s="11" t="s">
        <v>51</v>
      </c>
      <c r="F764" s="10">
        <v>5400</v>
      </c>
      <c r="G764" s="10">
        <v>0</v>
      </c>
      <c r="H764" s="10">
        <f t="shared" si="11"/>
        <v>5400</v>
      </c>
      <c r="I764" s="10"/>
      <c r="J764" s="10"/>
      <c r="K764" s="10"/>
      <c r="L764" s="4" t="s">
        <v>52</v>
      </c>
      <c r="M764" s="4">
        <v>759</v>
      </c>
    </row>
    <row r="765" spans="1:13" x14ac:dyDescent="0.25">
      <c r="A765" s="4" t="s">
        <v>748</v>
      </c>
      <c r="B765" s="4" t="s">
        <v>750</v>
      </c>
      <c r="C765" s="9" t="s">
        <v>50</v>
      </c>
      <c r="D765" s="10">
        <v>512</v>
      </c>
      <c r="E765" s="11" t="s">
        <v>51</v>
      </c>
      <c r="F765" s="10">
        <v>9000</v>
      </c>
      <c r="G765" s="10">
        <v>0</v>
      </c>
      <c r="H765" s="10">
        <f t="shared" si="11"/>
        <v>9000</v>
      </c>
      <c r="I765" s="10"/>
      <c r="J765" s="10"/>
      <c r="K765" s="10"/>
      <c r="L765" s="4" t="s">
        <v>52</v>
      </c>
      <c r="M765" s="4">
        <v>760</v>
      </c>
    </row>
    <row r="766" spans="1:13" x14ac:dyDescent="0.25">
      <c r="A766" s="4" t="s">
        <v>751</v>
      </c>
      <c r="B766" s="4" t="s">
        <v>67</v>
      </c>
      <c r="C766" s="4" t="s">
        <v>68</v>
      </c>
      <c r="D766" s="10">
        <v>242</v>
      </c>
      <c r="E766" s="11" t="s">
        <v>51</v>
      </c>
      <c r="F766" s="10">
        <v>21780</v>
      </c>
      <c r="G766" s="10">
        <v>0</v>
      </c>
      <c r="H766" s="10">
        <f t="shared" si="11"/>
        <v>21780</v>
      </c>
      <c r="I766" s="10"/>
      <c r="J766" s="10"/>
      <c r="K766" s="10"/>
      <c r="L766" s="4" t="s">
        <v>69</v>
      </c>
      <c r="M766" s="4">
        <v>761</v>
      </c>
    </row>
    <row r="767" spans="1:13" x14ac:dyDescent="0.25">
      <c r="A767" s="4" t="s">
        <v>751</v>
      </c>
      <c r="B767" s="4" t="s">
        <v>752</v>
      </c>
      <c r="C767" s="4" t="s">
        <v>68</v>
      </c>
      <c r="D767" s="10">
        <v>100</v>
      </c>
      <c r="E767" s="11" t="s">
        <v>51</v>
      </c>
      <c r="F767" s="10">
        <v>5500</v>
      </c>
      <c r="G767" s="10">
        <v>0</v>
      </c>
      <c r="H767" s="10">
        <f t="shared" si="11"/>
        <v>5500</v>
      </c>
      <c r="I767" s="10"/>
      <c r="J767" s="10"/>
      <c r="K767" s="10"/>
      <c r="L767" s="4" t="s">
        <v>69</v>
      </c>
      <c r="M767" s="4">
        <v>762</v>
      </c>
    </row>
    <row r="768" spans="1:13" x14ac:dyDescent="0.25">
      <c r="A768" s="4" t="s">
        <v>751</v>
      </c>
      <c r="B768" s="4" t="s">
        <v>753</v>
      </c>
      <c r="C768" s="4" t="s">
        <v>68</v>
      </c>
      <c r="D768" s="10">
        <v>110</v>
      </c>
      <c r="E768" s="11" t="s">
        <v>51</v>
      </c>
      <c r="F768" s="10">
        <v>3850</v>
      </c>
      <c r="G768" s="10">
        <v>0</v>
      </c>
      <c r="H768" s="10">
        <f t="shared" si="11"/>
        <v>3850</v>
      </c>
      <c r="I768" s="10"/>
      <c r="J768" s="10"/>
      <c r="K768" s="10"/>
      <c r="L768" s="4" t="s">
        <v>69</v>
      </c>
      <c r="M768" s="4">
        <v>763</v>
      </c>
    </row>
    <row r="769" spans="1:13" x14ac:dyDescent="0.25">
      <c r="A769" s="4" t="s">
        <v>754</v>
      </c>
      <c r="B769" s="4" t="s">
        <v>755</v>
      </c>
      <c r="C769" s="9" t="s">
        <v>50</v>
      </c>
      <c r="D769" s="10">
        <v>60</v>
      </c>
      <c r="E769" s="11" t="s">
        <v>51</v>
      </c>
      <c r="F769" s="10">
        <v>4400</v>
      </c>
      <c r="G769" s="10">
        <v>0</v>
      </c>
      <c r="H769" s="10">
        <f t="shared" si="11"/>
        <v>4400</v>
      </c>
      <c r="I769" s="10"/>
      <c r="J769" s="10"/>
      <c r="K769" s="10"/>
      <c r="L769" s="4" t="s">
        <v>52</v>
      </c>
      <c r="M769" s="4">
        <v>764</v>
      </c>
    </row>
    <row r="770" spans="1:13" x14ac:dyDescent="0.25">
      <c r="A770" s="4" t="s">
        <v>756</v>
      </c>
      <c r="B770" s="4" t="s">
        <v>757</v>
      </c>
      <c r="C770" s="4" t="s">
        <v>65</v>
      </c>
      <c r="D770" s="10">
        <v>20</v>
      </c>
      <c r="E770" s="12" t="s">
        <v>66</v>
      </c>
      <c r="F770" s="10">
        <v>2500</v>
      </c>
      <c r="G770" s="10">
        <v>0</v>
      </c>
      <c r="H770" s="10">
        <f t="shared" si="11"/>
        <v>2500</v>
      </c>
      <c r="I770" s="10">
        <v>125</v>
      </c>
      <c r="J770" s="10">
        <v>125</v>
      </c>
      <c r="K770" s="10">
        <v>125</v>
      </c>
      <c r="L770" s="4"/>
      <c r="M770" s="4">
        <v>765</v>
      </c>
    </row>
    <row r="771" spans="1:13" x14ac:dyDescent="0.25">
      <c r="A771" s="4" t="s">
        <v>756</v>
      </c>
      <c r="B771" s="4" t="s">
        <v>758</v>
      </c>
      <c r="C771" s="4" t="s">
        <v>68</v>
      </c>
      <c r="D771" s="10">
        <v>40</v>
      </c>
      <c r="E771" s="11" t="s">
        <v>51</v>
      </c>
      <c r="F771" s="10">
        <v>5000</v>
      </c>
      <c r="G771" s="10">
        <v>0</v>
      </c>
      <c r="H771" s="10">
        <f t="shared" si="11"/>
        <v>5000</v>
      </c>
      <c r="I771" s="10"/>
      <c r="J771" s="10"/>
      <c r="K771" s="10"/>
      <c r="L771" s="4" t="s">
        <v>69</v>
      </c>
      <c r="M771" s="4">
        <v>766</v>
      </c>
    </row>
    <row r="772" spans="1:13" x14ac:dyDescent="0.25">
      <c r="A772" s="4" t="s">
        <v>756</v>
      </c>
      <c r="B772" s="4" t="s">
        <v>759</v>
      </c>
      <c r="C772" s="4" t="s">
        <v>65</v>
      </c>
      <c r="D772" s="10"/>
      <c r="E772" s="11" t="s">
        <v>51</v>
      </c>
      <c r="F772" s="10"/>
      <c r="G772" s="10">
        <v>0</v>
      </c>
      <c r="H772" s="10">
        <f t="shared" si="11"/>
        <v>0</v>
      </c>
      <c r="I772" s="10"/>
      <c r="J772" s="10"/>
      <c r="K772" s="10"/>
      <c r="L772" s="4" t="s">
        <v>69</v>
      </c>
      <c r="M772" s="4">
        <v>767</v>
      </c>
    </row>
    <row r="773" spans="1:13" x14ac:dyDescent="0.25">
      <c r="A773" s="4" t="s">
        <v>760</v>
      </c>
      <c r="B773" s="4" t="s">
        <v>404</v>
      </c>
      <c r="C773" s="9" t="s">
        <v>50</v>
      </c>
      <c r="D773" s="10"/>
      <c r="E773" s="11" t="s">
        <v>51</v>
      </c>
      <c r="F773" s="10"/>
      <c r="G773" s="10">
        <v>0</v>
      </c>
      <c r="H773" s="10">
        <f t="shared" si="11"/>
        <v>0</v>
      </c>
      <c r="I773" s="10"/>
      <c r="J773" s="10"/>
      <c r="K773" s="10"/>
      <c r="L773" s="4" t="s">
        <v>52</v>
      </c>
      <c r="M773" s="4">
        <v>768</v>
      </c>
    </row>
    <row r="774" spans="1:13" x14ac:dyDescent="0.25">
      <c r="A774" s="4" t="s">
        <v>760</v>
      </c>
      <c r="B774" s="4" t="s">
        <v>270</v>
      </c>
      <c r="C774" s="9" t="s">
        <v>50</v>
      </c>
      <c r="D774" s="10"/>
      <c r="E774" s="11" t="s">
        <v>51</v>
      </c>
      <c r="F774" s="10"/>
      <c r="G774" s="10">
        <v>0</v>
      </c>
      <c r="H774" s="10">
        <f t="shared" ref="H774:H837" si="12">F774-G774</f>
        <v>0</v>
      </c>
      <c r="I774" s="10"/>
      <c r="J774" s="10"/>
      <c r="K774" s="10"/>
      <c r="L774" s="4" t="s">
        <v>52</v>
      </c>
      <c r="M774" s="4">
        <v>769</v>
      </c>
    </row>
    <row r="775" spans="1:13" x14ac:dyDescent="0.25">
      <c r="A775" s="4" t="s">
        <v>761</v>
      </c>
      <c r="B775" s="4" t="s">
        <v>106</v>
      </c>
      <c r="C775" s="9" t="s">
        <v>50</v>
      </c>
      <c r="D775" s="10"/>
      <c r="E775" s="11" t="s">
        <v>51</v>
      </c>
      <c r="F775" s="10"/>
      <c r="G775" s="10">
        <v>0</v>
      </c>
      <c r="H775" s="10">
        <f t="shared" si="12"/>
        <v>0</v>
      </c>
      <c r="I775" s="10"/>
      <c r="J775" s="10"/>
      <c r="K775" s="10"/>
      <c r="L775" s="4" t="s">
        <v>52</v>
      </c>
      <c r="M775" s="4">
        <v>770</v>
      </c>
    </row>
    <row r="776" spans="1:13" x14ac:dyDescent="0.25">
      <c r="A776" s="4" t="s">
        <v>761</v>
      </c>
      <c r="B776" s="4" t="s">
        <v>107</v>
      </c>
      <c r="C776" s="9" t="s">
        <v>50</v>
      </c>
      <c r="D776" s="10">
        <v>67</v>
      </c>
      <c r="E776" s="11" t="s">
        <v>51</v>
      </c>
      <c r="F776" s="10"/>
      <c r="G776" s="10">
        <v>0</v>
      </c>
      <c r="H776" s="10">
        <f t="shared" si="12"/>
        <v>0</v>
      </c>
      <c r="I776" s="10"/>
      <c r="J776" s="10"/>
      <c r="K776" s="10"/>
      <c r="L776" s="4" t="s">
        <v>52</v>
      </c>
      <c r="M776" s="4">
        <v>771</v>
      </c>
    </row>
    <row r="777" spans="1:13" x14ac:dyDescent="0.25">
      <c r="A777" s="4" t="s">
        <v>762</v>
      </c>
      <c r="B777" s="4" t="s">
        <v>763</v>
      </c>
      <c r="C777" s="4" t="s">
        <v>65</v>
      </c>
      <c r="D777" s="10">
        <v>17</v>
      </c>
      <c r="E777" s="12" t="s">
        <v>66</v>
      </c>
      <c r="F777" s="10">
        <v>2000</v>
      </c>
      <c r="G777" s="10">
        <v>0</v>
      </c>
      <c r="H777" s="10">
        <f t="shared" si="12"/>
        <v>2000</v>
      </c>
      <c r="I777" s="10">
        <v>117.64705882352941</v>
      </c>
      <c r="J777" s="10">
        <v>117.64705882352941</v>
      </c>
      <c r="K777" s="10">
        <v>117.64705882352941</v>
      </c>
      <c r="L777" s="4"/>
      <c r="M777" s="4">
        <v>772</v>
      </c>
    </row>
    <row r="778" spans="1:13" x14ac:dyDescent="0.25">
      <c r="A778" s="4" t="s">
        <v>762</v>
      </c>
      <c r="B778" s="4" t="s">
        <v>764</v>
      </c>
      <c r="C778" s="4" t="s">
        <v>68</v>
      </c>
      <c r="D778" s="10">
        <v>120</v>
      </c>
      <c r="E778" s="11" t="s">
        <v>51</v>
      </c>
      <c r="F778" s="10">
        <v>5500</v>
      </c>
      <c r="G778" s="10">
        <v>0</v>
      </c>
      <c r="H778" s="10">
        <f t="shared" si="12"/>
        <v>5500</v>
      </c>
      <c r="I778" s="10"/>
      <c r="J778" s="10"/>
      <c r="K778" s="10"/>
      <c r="L778" s="4" t="s">
        <v>69</v>
      </c>
      <c r="M778" s="4">
        <v>773</v>
      </c>
    </row>
    <row r="779" spans="1:13" x14ac:dyDescent="0.25">
      <c r="A779" s="4" t="s">
        <v>765</v>
      </c>
      <c r="B779" s="4" t="s">
        <v>766</v>
      </c>
      <c r="C779" s="4" t="s">
        <v>68</v>
      </c>
      <c r="D779" s="10">
        <v>20</v>
      </c>
      <c r="E779" s="11" t="s">
        <v>51</v>
      </c>
      <c r="F779" s="10">
        <v>7700</v>
      </c>
      <c r="G779" s="10">
        <v>0</v>
      </c>
      <c r="H779" s="10">
        <f t="shared" si="12"/>
        <v>7700</v>
      </c>
      <c r="I779" s="10"/>
      <c r="J779" s="10"/>
      <c r="K779" s="10"/>
      <c r="L779" s="4" t="s">
        <v>69</v>
      </c>
      <c r="M779" s="4">
        <v>774</v>
      </c>
    </row>
    <row r="780" spans="1:13" x14ac:dyDescent="0.25">
      <c r="A780" s="4" t="s">
        <v>767</v>
      </c>
      <c r="B780" s="4" t="s">
        <v>768</v>
      </c>
      <c r="C780" s="4" t="s">
        <v>65</v>
      </c>
      <c r="D780" s="10">
        <v>8</v>
      </c>
      <c r="E780" s="12" t="s">
        <v>66</v>
      </c>
      <c r="F780" s="10">
        <v>920</v>
      </c>
      <c r="G780" s="10">
        <v>0</v>
      </c>
      <c r="H780" s="10">
        <f t="shared" si="12"/>
        <v>920</v>
      </c>
      <c r="I780" s="10">
        <v>115</v>
      </c>
      <c r="J780" s="10">
        <v>115</v>
      </c>
      <c r="K780" s="10">
        <v>115</v>
      </c>
      <c r="L780" s="4"/>
      <c r="M780" s="4">
        <v>775</v>
      </c>
    </row>
    <row r="781" spans="1:13" x14ac:dyDescent="0.25">
      <c r="A781" s="4" t="s">
        <v>767</v>
      </c>
      <c r="B781" s="4" t="s">
        <v>769</v>
      </c>
      <c r="C781" s="4" t="s">
        <v>68</v>
      </c>
      <c r="D781" s="10">
        <v>31</v>
      </c>
      <c r="E781" s="11" t="s">
        <v>51</v>
      </c>
      <c r="F781" s="10">
        <v>1380</v>
      </c>
      <c r="G781" s="10">
        <v>0</v>
      </c>
      <c r="H781" s="10">
        <f t="shared" si="12"/>
        <v>1380</v>
      </c>
      <c r="I781" s="10"/>
      <c r="J781" s="10"/>
      <c r="K781" s="10"/>
      <c r="L781" s="4" t="s">
        <v>69</v>
      </c>
      <c r="M781" s="4">
        <v>776</v>
      </c>
    </row>
    <row r="782" spans="1:13" x14ac:dyDescent="0.25">
      <c r="A782" s="4" t="s">
        <v>770</v>
      </c>
      <c r="B782" s="4" t="s">
        <v>771</v>
      </c>
      <c r="C782" s="4" t="s">
        <v>65</v>
      </c>
      <c r="D782" s="10">
        <v>767</v>
      </c>
      <c r="E782" s="12" t="s">
        <v>66</v>
      </c>
      <c r="F782" s="10">
        <v>3450</v>
      </c>
      <c r="G782" s="10">
        <v>0</v>
      </c>
      <c r="H782" s="10">
        <f t="shared" si="12"/>
        <v>3450</v>
      </c>
      <c r="I782" s="10">
        <v>111.2903225806452</v>
      </c>
      <c r="J782" s="10">
        <v>111.2903225806452</v>
      </c>
      <c r="K782" s="10">
        <v>111.2903225806452</v>
      </c>
      <c r="L782" s="4"/>
      <c r="M782" s="4">
        <v>777</v>
      </c>
    </row>
    <row r="783" spans="1:13" x14ac:dyDescent="0.25">
      <c r="A783" s="4" t="s">
        <v>772</v>
      </c>
      <c r="B783" s="4" t="s">
        <v>136</v>
      </c>
      <c r="C783" s="9" t="s">
        <v>50</v>
      </c>
      <c r="D783" s="10">
        <v>50</v>
      </c>
      <c r="E783" s="11" t="s">
        <v>51</v>
      </c>
      <c r="F783" s="10">
        <v>4250</v>
      </c>
      <c r="G783" s="10">
        <v>0</v>
      </c>
      <c r="H783" s="10">
        <f t="shared" si="12"/>
        <v>4250</v>
      </c>
      <c r="I783" s="10"/>
      <c r="J783" s="10"/>
      <c r="K783" s="10"/>
      <c r="L783" s="4" t="s">
        <v>52</v>
      </c>
      <c r="M783" s="4">
        <v>778</v>
      </c>
    </row>
    <row r="784" spans="1:13" x14ac:dyDescent="0.25">
      <c r="A784" s="4" t="s">
        <v>772</v>
      </c>
      <c r="B784" s="4" t="s">
        <v>82</v>
      </c>
      <c r="C784" s="9" t="s">
        <v>50</v>
      </c>
      <c r="D784" s="10">
        <v>718</v>
      </c>
      <c r="E784" s="11" t="s">
        <v>51</v>
      </c>
      <c r="F784" s="10">
        <v>17000</v>
      </c>
      <c r="G784" s="10">
        <v>0</v>
      </c>
      <c r="H784" s="10">
        <f t="shared" si="12"/>
        <v>17000</v>
      </c>
      <c r="I784" s="10"/>
      <c r="J784" s="10"/>
      <c r="K784" s="10"/>
      <c r="L784" s="4" t="s">
        <v>52</v>
      </c>
      <c r="M784" s="4">
        <v>779</v>
      </c>
    </row>
    <row r="785" spans="1:13" x14ac:dyDescent="0.25">
      <c r="A785" s="4" t="s">
        <v>773</v>
      </c>
      <c r="B785" s="4" t="s">
        <v>774</v>
      </c>
      <c r="C785" s="4" t="s">
        <v>68</v>
      </c>
      <c r="D785" s="10">
        <v>62</v>
      </c>
      <c r="E785" s="11" t="s">
        <v>51</v>
      </c>
      <c r="F785" s="10">
        <v>3200</v>
      </c>
      <c r="G785" s="10">
        <v>0</v>
      </c>
      <c r="H785" s="10">
        <f t="shared" si="12"/>
        <v>3200</v>
      </c>
      <c r="I785" s="10"/>
      <c r="J785" s="10"/>
      <c r="K785" s="10"/>
      <c r="L785" s="4" t="s">
        <v>69</v>
      </c>
      <c r="M785" s="4">
        <v>780</v>
      </c>
    </row>
    <row r="786" spans="1:13" x14ac:dyDescent="0.25">
      <c r="A786" s="4" t="s">
        <v>775</v>
      </c>
      <c r="B786" s="4" t="s">
        <v>776</v>
      </c>
      <c r="C786" s="4" t="s">
        <v>68</v>
      </c>
      <c r="D786" s="10">
        <v>62</v>
      </c>
      <c r="E786" s="11" t="s">
        <v>51</v>
      </c>
      <c r="F786" s="10">
        <v>3600</v>
      </c>
      <c r="G786" s="10">
        <v>0</v>
      </c>
      <c r="H786" s="10">
        <f t="shared" si="12"/>
        <v>3600</v>
      </c>
      <c r="I786" s="10"/>
      <c r="J786" s="10"/>
      <c r="K786" s="10"/>
      <c r="L786" s="4" t="s">
        <v>69</v>
      </c>
      <c r="M786" s="4">
        <v>781</v>
      </c>
    </row>
    <row r="787" spans="1:13" x14ac:dyDescent="0.25">
      <c r="A787" s="4" t="s">
        <v>777</v>
      </c>
      <c r="B787" s="4" t="s">
        <v>778</v>
      </c>
      <c r="C787" s="4" t="s">
        <v>68</v>
      </c>
      <c r="D787" s="10">
        <v>189</v>
      </c>
      <c r="E787" s="11" t="s">
        <v>51</v>
      </c>
      <c r="F787" s="10">
        <v>3200</v>
      </c>
      <c r="G787" s="10">
        <v>0</v>
      </c>
      <c r="H787" s="10">
        <f t="shared" si="12"/>
        <v>3200</v>
      </c>
      <c r="I787" s="10"/>
      <c r="J787" s="10"/>
      <c r="K787" s="10"/>
      <c r="L787" s="4" t="s">
        <v>69</v>
      </c>
      <c r="M787" s="4">
        <v>782</v>
      </c>
    </row>
    <row r="788" spans="1:13" x14ac:dyDescent="0.25">
      <c r="A788" s="4" t="s">
        <v>779</v>
      </c>
      <c r="B788" s="4" t="s">
        <v>106</v>
      </c>
      <c r="C788" s="9" t="s">
        <v>50</v>
      </c>
      <c r="D788" s="10">
        <v>132</v>
      </c>
      <c r="E788" s="11" t="s">
        <v>51</v>
      </c>
      <c r="F788" s="10">
        <v>5400</v>
      </c>
      <c r="G788" s="10">
        <v>0</v>
      </c>
      <c r="H788" s="10">
        <f t="shared" si="12"/>
        <v>5400</v>
      </c>
      <c r="I788" s="10"/>
      <c r="J788" s="10"/>
      <c r="K788" s="10"/>
      <c r="L788" s="4" t="s">
        <v>52</v>
      </c>
      <c r="M788" s="4">
        <v>783</v>
      </c>
    </row>
    <row r="789" spans="1:13" x14ac:dyDescent="0.25">
      <c r="A789" s="4" t="s">
        <v>779</v>
      </c>
      <c r="B789" s="4" t="s">
        <v>107</v>
      </c>
      <c r="C789" s="9" t="s">
        <v>50</v>
      </c>
      <c r="D789" s="10">
        <v>211</v>
      </c>
      <c r="E789" s="11" t="s">
        <v>51</v>
      </c>
      <c r="F789" s="10">
        <v>8730</v>
      </c>
      <c r="G789" s="10">
        <v>0</v>
      </c>
      <c r="H789" s="10">
        <f t="shared" si="12"/>
        <v>8730</v>
      </c>
      <c r="I789" s="10"/>
      <c r="J789" s="10"/>
      <c r="K789" s="10"/>
      <c r="L789" s="4" t="s">
        <v>52</v>
      </c>
      <c r="M789" s="4">
        <v>784</v>
      </c>
    </row>
    <row r="790" spans="1:13" x14ac:dyDescent="0.25">
      <c r="A790" s="4" t="s">
        <v>780</v>
      </c>
      <c r="B790" s="4" t="s">
        <v>781</v>
      </c>
      <c r="C790" s="4" t="s">
        <v>68</v>
      </c>
      <c r="D790" s="10">
        <v>48</v>
      </c>
      <c r="E790" s="11" t="s">
        <v>51</v>
      </c>
      <c r="F790" s="10">
        <v>4536</v>
      </c>
      <c r="G790" s="10">
        <v>0</v>
      </c>
      <c r="H790" s="10">
        <f t="shared" si="12"/>
        <v>4536</v>
      </c>
      <c r="I790" s="10"/>
      <c r="J790" s="10"/>
      <c r="K790" s="10"/>
      <c r="L790" s="4" t="s">
        <v>69</v>
      </c>
      <c r="M790" s="4">
        <v>785</v>
      </c>
    </row>
    <row r="791" spans="1:13" x14ac:dyDescent="0.25">
      <c r="A791" s="4" t="s">
        <v>780</v>
      </c>
      <c r="B791" s="4" t="s">
        <v>782</v>
      </c>
      <c r="C791" s="9" t="s">
        <v>50</v>
      </c>
      <c r="D791" s="10">
        <v>30</v>
      </c>
      <c r="E791" s="11" t="s">
        <v>51</v>
      </c>
      <c r="F791" s="10">
        <v>1950</v>
      </c>
      <c r="G791" s="10">
        <v>0</v>
      </c>
      <c r="H791" s="10">
        <f t="shared" si="12"/>
        <v>1950</v>
      </c>
      <c r="I791" s="10"/>
      <c r="J791" s="10"/>
      <c r="K791" s="10"/>
      <c r="L791" s="4" t="s">
        <v>52</v>
      </c>
      <c r="M791" s="4">
        <v>786</v>
      </c>
    </row>
    <row r="792" spans="1:13" x14ac:dyDescent="0.25">
      <c r="A792" s="4" t="s">
        <v>780</v>
      </c>
      <c r="B792" s="4" t="s">
        <v>783</v>
      </c>
      <c r="C792" s="9" t="s">
        <v>50</v>
      </c>
      <c r="D792" s="10">
        <v>39</v>
      </c>
      <c r="E792" s="11" t="s">
        <v>51</v>
      </c>
      <c r="F792" s="10">
        <v>850</v>
      </c>
      <c r="G792" s="10">
        <v>0</v>
      </c>
      <c r="H792" s="10">
        <f t="shared" si="12"/>
        <v>850</v>
      </c>
      <c r="I792" s="10"/>
      <c r="J792" s="10"/>
      <c r="K792" s="10"/>
      <c r="L792" s="4" t="s">
        <v>52</v>
      </c>
      <c r="M792" s="4">
        <v>787</v>
      </c>
    </row>
    <row r="793" spans="1:13" x14ac:dyDescent="0.25">
      <c r="A793" s="4" t="s">
        <v>784</v>
      </c>
      <c r="B793" s="4" t="s">
        <v>785</v>
      </c>
      <c r="C793" s="4" t="s">
        <v>65</v>
      </c>
      <c r="D793" s="10">
        <v>100</v>
      </c>
      <c r="E793" s="12" t="s">
        <v>66</v>
      </c>
      <c r="F793" s="10">
        <v>2650</v>
      </c>
      <c r="G793" s="10">
        <v>0</v>
      </c>
      <c r="H793" s="10">
        <f t="shared" si="12"/>
        <v>2650</v>
      </c>
      <c r="I793" s="10">
        <v>110.4166666666667</v>
      </c>
      <c r="J793" s="10">
        <v>110.4166666666667</v>
      </c>
      <c r="K793" s="10">
        <v>110.4166666666667</v>
      </c>
      <c r="L793" s="4"/>
      <c r="M793" s="4">
        <v>788</v>
      </c>
    </row>
    <row r="794" spans="1:13" x14ac:dyDescent="0.25">
      <c r="A794" s="4" t="s">
        <v>786</v>
      </c>
      <c r="B794" s="4" t="s">
        <v>787</v>
      </c>
      <c r="C794" s="4" t="s">
        <v>65</v>
      </c>
      <c r="D794" s="10">
        <v>46</v>
      </c>
      <c r="E794" s="12" t="s">
        <v>66</v>
      </c>
      <c r="F794" s="10">
        <v>4900</v>
      </c>
      <c r="G794" s="10">
        <v>0</v>
      </c>
      <c r="H794" s="10">
        <f t="shared" si="12"/>
        <v>4900</v>
      </c>
      <c r="I794" s="10">
        <v>106.5217391304348</v>
      </c>
      <c r="J794" s="10">
        <v>106.5217391304348</v>
      </c>
      <c r="K794" s="10">
        <v>106.5217391304348</v>
      </c>
      <c r="L794" s="4"/>
      <c r="M794" s="4">
        <v>789</v>
      </c>
    </row>
    <row r="795" spans="1:13" x14ac:dyDescent="0.25">
      <c r="A795" s="4" t="s">
        <v>786</v>
      </c>
      <c r="B795" s="4" t="s">
        <v>788</v>
      </c>
      <c r="C795" s="4" t="s">
        <v>68</v>
      </c>
      <c r="D795" s="10">
        <v>48</v>
      </c>
      <c r="E795" s="11" t="s">
        <v>51</v>
      </c>
      <c r="F795" s="10">
        <v>3300</v>
      </c>
      <c r="G795" s="10">
        <v>0</v>
      </c>
      <c r="H795" s="10">
        <f t="shared" si="12"/>
        <v>3300</v>
      </c>
      <c r="I795" s="10"/>
      <c r="J795" s="10"/>
      <c r="K795" s="10"/>
      <c r="L795" s="4" t="s">
        <v>69</v>
      </c>
      <c r="M795" s="4">
        <v>790</v>
      </c>
    </row>
    <row r="796" spans="1:13" x14ac:dyDescent="0.25">
      <c r="A796" s="4" t="s">
        <v>789</v>
      </c>
      <c r="B796" s="4" t="s">
        <v>790</v>
      </c>
      <c r="C796" s="4" t="s">
        <v>68</v>
      </c>
      <c r="D796" s="10">
        <v>10</v>
      </c>
      <c r="E796" s="11" t="s">
        <v>51</v>
      </c>
      <c r="F796" s="10">
        <v>1200</v>
      </c>
      <c r="G796" s="10">
        <v>0</v>
      </c>
      <c r="H796" s="10">
        <f t="shared" si="12"/>
        <v>1200</v>
      </c>
      <c r="I796" s="10"/>
      <c r="J796" s="10"/>
      <c r="K796" s="10"/>
      <c r="L796" s="4" t="s">
        <v>69</v>
      </c>
      <c r="M796" s="4">
        <v>791</v>
      </c>
    </row>
    <row r="797" spans="1:13" x14ac:dyDescent="0.25">
      <c r="A797" s="4" t="s">
        <v>789</v>
      </c>
      <c r="B797" s="4" t="s">
        <v>791</v>
      </c>
      <c r="C797" s="4" t="s">
        <v>68</v>
      </c>
      <c r="D797" s="10">
        <v>8</v>
      </c>
      <c r="E797" s="11" t="s">
        <v>51</v>
      </c>
      <c r="F797" s="10">
        <v>960</v>
      </c>
      <c r="G797" s="10">
        <v>0</v>
      </c>
      <c r="H797" s="10">
        <f t="shared" si="12"/>
        <v>960</v>
      </c>
      <c r="I797" s="10"/>
      <c r="J797" s="10"/>
      <c r="K797" s="10"/>
      <c r="L797" s="4" t="s">
        <v>69</v>
      </c>
      <c r="M797" s="4">
        <v>792</v>
      </c>
    </row>
    <row r="798" spans="1:13" x14ac:dyDescent="0.25">
      <c r="A798" s="4" t="s">
        <v>792</v>
      </c>
      <c r="B798" s="4" t="s">
        <v>270</v>
      </c>
      <c r="C798" s="9" t="s">
        <v>50</v>
      </c>
      <c r="D798" s="10"/>
      <c r="E798" s="11" t="s">
        <v>51</v>
      </c>
      <c r="F798" s="10"/>
      <c r="G798" s="10">
        <v>0</v>
      </c>
      <c r="H798" s="10">
        <f t="shared" si="12"/>
        <v>0</v>
      </c>
      <c r="I798" s="10"/>
      <c r="J798" s="10"/>
      <c r="K798" s="10"/>
      <c r="L798" s="4" t="s">
        <v>52</v>
      </c>
      <c r="M798" s="4">
        <v>793</v>
      </c>
    </row>
    <row r="799" spans="1:13" x14ac:dyDescent="0.25">
      <c r="A799" s="4" t="s">
        <v>793</v>
      </c>
      <c r="B799" s="4" t="s">
        <v>270</v>
      </c>
      <c r="C799" s="9" t="s">
        <v>50</v>
      </c>
      <c r="D799" s="10">
        <v>1244</v>
      </c>
      <c r="E799" s="11" t="s">
        <v>51</v>
      </c>
      <c r="F799" s="10"/>
      <c r="G799" s="10">
        <v>0</v>
      </c>
      <c r="H799" s="10">
        <f t="shared" si="12"/>
        <v>0</v>
      </c>
      <c r="I799" s="10"/>
      <c r="J799" s="10"/>
      <c r="K799" s="10"/>
      <c r="L799" s="4" t="s">
        <v>52</v>
      </c>
      <c r="M799" s="4">
        <v>794</v>
      </c>
    </row>
    <row r="800" spans="1:13" x14ac:dyDescent="0.25">
      <c r="A800" s="4" t="s">
        <v>794</v>
      </c>
      <c r="B800" s="4" t="s">
        <v>106</v>
      </c>
      <c r="C800" s="9" t="s">
        <v>50</v>
      </c>
      <c r="D800" s="10">
        <v>148</v>
      </c>
      <c r="E800" s="11" t="s">
        <v>51</v>
      </c>
      <c r="F800" s="10">
        <v>14400</v>
      </c>
      <c r="G800" s="10">
        <v>0</v>
      </c>
      <c r="H800" s="10">
        <f t="shared" si="12"/>
        <v>14400</v>
      </c>
      <c r="I800" s="10"/>
      <c r="J800" s="10"/>
      <c r="K800" s="10"/>
      <c r="L800" s="4" t="s">
        <v>52</v>
      </c>
      <c r="M800" s="4">
        <v>795</v>
      </c>
    </row>
    <row r="801" spans="1:13" x14ac:dyDescent="0.25">
      <c r="A801" s="4" t="s">
        <v>794</v>
      </c>
      <c r="B801" s="4" t="s">
        <v>271</v>
      </c>
      <c r="C801" s="9" t="s">
        <v>50</v>
      </c>
      <c r="D801" s="10">
        <v>40</v>
      </c>
      <c r="E801" s="11" t="s">
        <v>51</v>
      </c>
      <c r="F801" s="10">
        <v>3800</v>
      </c>
      <c r="G801" s="10">
        <v>0</v>
      </c>
      <c r="H801" s="10">
        <f t="shared" si="12"/>
        <v>3800</v>
      </c>
      <c r="I801" s="10"/>
      <c r="J801" s="10"/>
      <c r="K801" s="10"/>
      <c r="L801" s="4" t="s">
        <v>52</v>
      </c>
      <c r="M801" s="4">
        <v>796</v>
      </c>
    </row>
    <row r="802" spans="1:13" x14ac:dyDescent="0.25">
      <c r="A802" s="4" t="s">
        <v>794</v>
      </c>
      <c r="B802" s="4" t="s">
        <v>107</v>
      </c>
      <c r="C802" s="9" t="s">
        <v>50</v>
      </c>
      <c r="D802" s="10">
        <v>960</v>
      </c>
      <c r="E802" s="11" t="s">
        <v>51</v>
      </c>
      <c r="F802" s="10">
        <v>91200</v>
      </c>
      <c r="G802" s="10">
        <v>0</v>
      </c>
      <c r="H802" s="10">
        <f t="shared" si="12"/>
        <v>91200</v>
      </c>
      <c r="I802" s="10"/>
      <c r="J802" s="10"/>
      <c r="K802" s="10"/>
      <c r="L802" s="4" t="s">
        <v>52</v>
      </c>
      <c r="M802" s="4">
        <v>797</v>
      </c>
    </row>
    <row r="803" spans="1:13" x14ac:dyDescent="0.25">
      <c r="A803" s="4" t="s">
        <v>794</v>
      </c>
      <c r="B803" s="4" t="s">
        <v>128</v>
      </c>
      <c r="C803" s="9" t="s">
        <v>50</v>
      </c>
      <c r="D803" s="10">
        <v>64</v>
      </c>
      <c r="E803" s="11" t="s">
        <v>51</v>
      </c>
      <c r="F803" s="10">
        <v>3700</v>
      </c>
      <c r="G803" s="10">
        <v>0</v>
      </c>
      <c r="H803" s="10">
        <f t="shared" si="12"/>
        <v>3700</v>
      </c>
      <c r="I803" s="10"/>
      <c r="J803" s="10"/>
      <c r="K803" s="10"/>
      <c r="L803" s="4" t="s">
        <v>52</v>
      </c>
      <c r="M803" s="4">
        <v>798</v>
      </c>
    </row>
    <row r="804" spans="1:13" x14ac:dyDescent="0.25">
      <c r="A804" s="4" t="s">
        <v>794</v>
      </c>
      <c r="B804" s="4" t="s">
        <v>795</v>
      </c>
      <c r="C804" s="9" t="s">
        <v>50</v>
      </c>
      <c r="D804" s="10">
        <v>27532</v>
      </c>
      <c r="E804" s="11" t="s">
        <v>51</v>
      </c>
      <c r="F804" s="10">
        <v>3040</v>
      </c>
      <c r="G804" s="10">
        <v>0</v>
      </c>
      <c r="H804" s="10">
        <f t="shared" si="12"/>
        <v>3040</v>
      </c>
      <c r="I804" s="10"/>
      <c r="J804" s="10"/>
      <c r="K804" s="10"/>
      <c r="L804" s="4" t="s">
        <v>52</v>
      </c>
      <c r="M804" s="4">
        <v>799</v>
      </c>
    </row>
    <row r="805" spans="1:13" x14ac:dyDescent="0.25">
      <c r="A805" s="4" t="s">
        <v>796</v>
      </c>
      <c r="B805" s="4" t="s">
        <v>797</v>
      </c>
      <c r="C805" s="4" t="s">
        <v>68</v>
      </c>
      <c r="D805" s="10">
        <v>27600</v>
      </c>
      <c r="E805" s="11" t="s">
        <v>51</v>
      </c>
      <c r="F805" s="10">
        <v>27500</v>
      </c>
      <c r="G805" s="10">
        <v>0</v>
      </c>
      <c r="H805" s="10">
        <f t="shared" si="12"/>
        <v>27500</v>
      </c>
      <c r="I805" s="10"/>
      <c r="J805" s="10"/>
      <c r="K805" s="10"/>
      <c r="L805" s="4" t="s">
        <v>69</v>
      </c>
      <c r="M805" s="4">
        <v>800</v>
      </c>
    </row>
    <row r="806" spans="1:13" x14ac:dyDescent="0.25">
      <c r="A806" s="4" t="s">
        <v>798</v>
      </c>
      <c r="B806" s="4" t="s">
        <v>799</v>
      </c>
      <c r="C806" s="4" t="s">
        <v>65</v>
      </c>
      <c r="D806" s="10">
        <v>95</v>
      </c>
      <c r="E806" s="12" t="s">
        <v>66</v>
      </c>
      <c r="F806" s="10">
        <v>8200</v>
      </c>
      <c r="G806" s="10">
        <v>0</v>
      </c>
      <c r="H806" s="10">
        <f t="shared" si="12"/>
        <v>8200</v>
      </c>
      <c r="I806" s="10">
        <v>86.315789473684205</v>
      </c>
      <c r="J806" s="10">
        <v>86.315789473684205</v>
      </c>
      <c r="K806" s="10">
        <v>86.315789473684205</v>
      </c>
      <c r="L806" s="4"/>
      <c r="M806" s="4">
        <v>801</v>
      </c>
    </row>
    <row r="807" spans="1:13" x14ac:dyDescent="0.25">
      <c r="A807" s="4" t="s">
        <v>798</v>
      </c>
      <c r="B807" s="4" t="s">
        <v>800</v>
      </c>
      <c r="C807" s="4" t="s">
        <v>65</v>
      </c>
      <c r="D807" s="10">
        <v>121</v>
      </c>
      <c r="E807" s="12" t="s">
        <v>66</v>
      </c>
      <c r="F807" s="10">
        <v>500</v>
      </c>
      <c r="G807" s="10">
        <v>0</v>
      </c>
      <c r="H807" s="10">
        <f t="shared" si="12"/>
        <v>500</v>
      </c>
      <c r="I807" s="10">
        <v>100</v>
      </c>
      <c r="J807" s="10">
        <v>100</v>
      </c>
      <c r="K807" s="10">
        <v>100</v>
      </c>
      <c r="L807" s="4"/>
      <c r="M807" s="4">
        <v>802</v>
      </c>
    </row>
    <row r="808" spans="1:13" x14ac:dyDescent="0.25">
      <c r="A808" s="4" t="s">
        <v>801</v>
      </c>
      <c r="B808" s="4" t="s">
        <v>82</v>
      </c>
      <c r="C808" s="9" t="s">
        <v>50</v>
      </c>
      <c r="D808" s="10">
        <v>161</v>
      </c>
      <c r="E808" s="11" t="s">
        <v>51</v>
      </c>
      <c r="F808" s="10">
        <v>11020</v>
      </c>
      <c r="G808" s="10">
        <v>0</v>
      </c>
      <c r="H808" s="10">
        <f t="shared" si="12"/>
        <v>11020</v>
      </c>
      <c r="I808" s="10"/>
      <c r="J808" s="10"/>
      <c r="K808" s="10"/>
      <c r="L808" s="4" t="s">
        <v>52</v>
      </c>
      <c r="M808" s="4">
        <v>803</v>
      </c>
    </row>
    <row r="809" spans="1:13" x14ac:dyDescent="0.25">
      <c r="A809" s="4" t="s">
        <v>802</v>
      </c>
      <c r="B809" s="4" t="s">
        <v>803</v>
      </c>
      <c r="C809" s="9" t="s">
        <v>50</v>
      </c>
      <c r="D809" s="10">
        <v>15</v>
      </c>
      <c r="E809" s="11" t="s">
        <v>51</v>
      </c>
      <c r="F809" s="10">
        <v>1550</v>
      </c>
      <c r="G809" s="10">
        <v>0</v>
      </c>
      <c r="H809" s="10">
        <f t="shared" si="12"/>
        <v>1550</v>
      </c>
      <c r="I809" s="10"/>
      <c r="J809" s="10"/>
      <c r="K809" s="10"/>
      <c r="L809" s="4" t="s">
        <v>52</v>
      </c>
      <c r="M809" s="4">
        <v>804</v>
      </c>
    </row>
    <row r="810" spans="1:13" x14ac:dyDescent="0.25">
      <c r="A810" s="4" t="s">
        <v>802</v>
      </c>
      <c r="B810" s="4" t="s">
        <v>804</v>
      </c>
      <c r="C810" s="9" t="s">
        <v>50</v>
      </c>
      <c r="D810" s="10">
        <v>121</v>
      </c>
      <c r="E810" s="11" t="s">
        <v>51</v>
      </c>
      <c r="F810" s="10">
        <v>2610</v>
      </c>
      <c r="G810" s="10">
        <v>0</v>
      </c>
      <c r="H810" s="10">
        <f t="shared" si="12"/>
        <v>2610</v>
      </c>
      <c r="I810" s="10"/>
      <c r="J810" s="10"/>
      <c r="K810" s="10"/>
      <c r="L810" s="4" t="s">
        <v>52</v>
      </c>
      <c r="M810" s="4">
        <v>805</v>
      </c>
    </row>
    <row r="811" spans="1:13" x14ac:dyDescent="0.25">
      <c r="A811" s="4" t="s">
        <v>805</v>
      </c>
      <c r="B811" s="4" t="s">
        <v>136</v>
      </c>
      <c r="C811" s="9" t="s">
        <v>50</v>
      </c>
      <c r="D811" s="10">
        <v>5</v>
      </c>
      <c r="E811" s="11" t="s">
        <v>51</v>
      </c>
      <c r="F811" s="10">
        <v>470.22</v>
      </c>
      <c r="G811" s="10">
        <v>0</v>
      </c>
      <c r="H811" s="10">
        <f t="shared" si="12"/>
        <v>470.22</v>
      </c>
      <c r="I811" s="10"/>
      <c r="J811" s="10"/>
      <c r="K811" s="10"/>
      <c r="L811" s="4" t="s">
        <v>52</v>
      </c>
      <c r="M811" s="4">
        <v>806</v>
      </c>
    </row>
    <row r="812" spans="1:13" x14ac:dyDescent="0.25">
      <c r="A812" s="4" t="s">
        <v>805</v>
      </c>
      <c r="B812" s="4" t="s">
        <v>82</v>
      </c>
      <c r="C812" s="9" t="s">
        <v>50</v>
      </c>
      <c r="D812" s="10">
        <v>9</v>
      </c>
      <c r="E812" s="11" t="s">
        <v>51</v>
      </c>
      <c r="F812" s="10">
        <v>846.86</v>
      </c>
      <c r="G812" s="10">
        <v>0</v>
      </c>
      <c r="H812" s="10">
        <f t="shared" si="12"/>
        <v>846.86</v>
      </c>
      <c r="I812" s="10"/>
      <c r="J812" s="10"/>
      <c r="K812" s="10"/>
      <c r="L812" s="4" t="s">
        <v>52</v>
      </c>
      <c r="M812" s="4">
        <v>807</v>
      </c>
    </row>
    <row r="813" spans="1:13" x14ac:dyDescent="0.25">
      <c r="A813" s="4" t="s">
        <v>805</v>
      </c>
      <c r="B813" s="4" t="s">
        <v>88</v>
      </c>
      <c r="C813" s="9" t="s">
        <v>50</v>
      </c>
      <c r="D813" s="10">
        <v>20</v>
      </c>
      <c r="E813" s="11" t="s">
        <v>51</v>
      </c>
      <c r="F813" s="10">
        <v>1952.81</v>
      </c>
      <c r="G813" s="10">
        <v>0</v>
      </c>
      <c r="H813" s="10">
        <f t="shared" si="12"/>
        <v>1952.81</v>
      </c>
      <c r="I813" s="10"/>
      <c r="J813" s="10"/>
      <c r="K813" s="10"/>
      <c r="L813" s="4" t="s">
        <v>52</v>
      </c>
      <c r="M813" s="4">
        <v>808</v>
      </c>
    </row>
    <row r="814" spans="1:13" x14ac:dyDescent="0.25">
      <c r="A814" s="4" t="s">
        <v>805</v>
      </c>
      <c r="B814" s="4" t="s">
        <v>137</v>
      </c>
      <c r="C814" s="9" t="s">
        <v>50</v>
      </c>
      <c r="D814" s="10">
        <v>33</v>
      </c>
      <c r="E814" s="11" t="s">
        <v>51</v>
      </c>
      <c r="F814" s="10">
        <v>2982.13</v>
      </c>
      <c r="G814" s="10">
        <v>0</v>
      </c>
      <c r="H814" s="10">
        <f t="shared" si="12"/>
        <v>2982.13</v>
      </c>
      <c r="I814" s="10"/>
      <c r="J814" s="10"/>
      <c r="K814" s="10"/>
      <c r="L814" s="4" t="s">
        <v>52</v>
      </c>
      <c r="M814" s="4">
        <v>809</v>
      </c>
    </row>
    <row r="815" spans="1:13" x14ac:dyDescent="0.25">
      <c r="A815" s="4" t="s">
        <v>805</v>
      </c>
      <c r="B815" s="4" t="s">
        <v>272</v>
      </c>
      <c r="C815" s="9" t="s">
        <v>50</v>
      </c>
      <c r="D815" s="10">
        <v>3</v>
      </c>
      <c r="E815" s="11" t="s">
        <v>51</v>
      </c>
      <c r="F815" s="10">
        <v>282.13</v>
      </c>
      <c r="G815" s="10">
        <v>0</v>
      </c>
      <c r="H815" s="10">
        <f t="shared" si="12"/>
        <v>282.13</v>
      </c>
      <c r="I815" s="10"/>
      <c r="J815" s="10"/>
      <c r="K815" s="10"/>
      <c r="L815" s="4" t="s">
        <v>52</v>
      </c>
      <c r="M815" s="4">
        <v>810</v>
      </c>
    </row>
    <row r="816" spans="1:13" x14ac:dyDescent="0.25">
      <c r="A816" s="4" t="s">
        <v>805</v>
      </c>
      <c r="B816" s="4" t="s">
        <v>107</v>
      </c>
      <c r="C816" s="9" t="s">
        <v>50</v>
      </c>
      <c r="D816" s="10">
        <v>4492</v>
      </c>
      <c r="E816" s="11" t="s">
        <v>51</v>
      </c>
      <c r="F816" s="10">
        <v>1975.85</v>
      </c>
      <c r="G816" s="10">
        <v>0</v>
      </c>
      <c r="H816" s="10">
        <f t="shared" si="12"/>
        <v>1975.85</v>
      </c>
      <c r="I816" s="10"/>
      <c r="J816" s="10"/>
      <c r="K816" s="10"/>
      <c r="L816" s="4" t="s">
        <v>52</v>
      </c>
      <c r="M816" s="4">
        <v>811</v>
      </c>
    </row>
    <row r="817" spans="1:13" x14ac:dyDescent="0.25">
      <c r="A817" s="4" t="s">
        <v>806</v>
      </c>
      <c r="B817" s="4" t="s">
        <v>136</v>
      </c>
      <c r="C817" s="9" t="s">
        <v>50</v>
      </c>
      <c r="D817" s="10">
        <v>116</v>
      </c>
      <c r="E817" s="11" t="s">
        <v>51</v>
      </c>
      <c r="F817" s="10">
        <v>9900</v>
      </c>
      <c r="G817" s="10">
        <v>0</v>
      </c>
      <c r="H817" s="10">
        <f t="shared" si="12"/>
        <v>9900</v>
      </c>
      <c r="I817" s="10"/>
      <c r="J817" s="10"/>
      <c r="K817" s="10"/>
      <c r="L817" s="4" t="s">
        <v>52</v>
      </c>
      <c r="M817" s="4">
        <v>812</v>
      </c>
    </row>
    <row r="818" spans="1:13" x14ac:dyDescent="0.25">
      <c r="A818" s="4" t="s">
        <v>806</v>
      </c>
      <c r="B818" s="4" t="s">
        <v>82</v>
      </c>
      <c r="C818" s="9" t="s">
        <v>50</v>
      </c>
      <c r="D818" s="10">
        <v>209</v>
      </c>
      <c r="E818" s="11" t="s">
        <v>51</v>
      </c>
      <c r="F818" s="10">
        <v>17900</v>
      </c>
      <c r="G818" s="10">
        <v>0</v>
      </c>
      <c r="H818" s="10">
        <f t="shared" si="12"/>
        <v>17900</v>
      </c>
      <c r="I818" s="10"/>
      <c r="J818" s="10"/>
      <c r="K818" s="10"/>
      <c r="L818" s="4" t="s">
        <v>52</v>
      </c>
      <c r="M818" s="4">
        <v>813</v>
      </c>
    </row>
    <row r="819" spans="1:13" x14ac:dyDescent="0.25">
      <c r="A819" s="4" t="s">
        <v>806</v>
      </c>
      <c r="B819" s="4" t="s">
        <v>88</v>
      </c>
      <c r="C819" s="9" t="s">
        <v>50</v>
      </c>
      <c r="D819" s="10">
        <v>386</v>
      </c>
      <c r="E819" s="11" t="s">
        <v>51</v>
      </c>
      <c r="F819" s="10">
        <v>39800</v>
      </c>
      <c r="G819" s="10">
        <v>0</v>
      </c>
      <c r="H819" s="10">
        <f t="shared" si="12"/>
        <v>39800</v>
      </c>
      <c r="I819" s="10"/>
      <c r="J819" s="10"/>
      <c r="K819" s="10"/>
      <c r="L819" s="4" t="s">
        <v>52</v>
      </c>
      <c r="M819" s="4">
        <v>814</v>
      </c>
    </row>
    <row r="820" spans="1:13" x14ac:dyDescent="0.25">
      <c r="A820" s="4" t="s">
        <v>806</v>
      </c>
      <c r="B820" s="4" t="s">
        <v>137</v>
      </c>
      <c r="C820" s="9" t="s">
        <v>50</v>
      </c>
      <c r="D820" s="10">
        <v>461</v>
      </c>
      <c r="E820" s="11" t="s">
        <v>51</v>
      </c>
      <c r="F820" s="10">
        <v>41150</v>
      </c>
      <c r="G820" s="10">
        <v>0</v>
      </c>
      <c r="H820" s="10">
        <f t="shared" si="12"/>
        <v>41150</v>
      </c>
      <c r="I820" s="10"/>
      <c r="J820" s="10"/>
      <c r="K820" s="10"/>
      <c r="L820" s="4" t="s">
        <v>52</v>
      </c>
      <c r="M820" s="4">
        <v>815</v>
      </c>
    </row>
    <row r="821" spans="1:13" x14ac:dyDescent="0.25">
      <c r="A821" s="4" t="s">
        <v>806</v>
      </c>
      <c r="B821" s="4" t="s">
        <v>537</v>
      </c>
      <c r="C821" s="9" t="s">
        <v>50</v>
      </c>
      <c r="D821" s="10">
        <v>150</v>
      </c>
      <c r="E821" s="11" t="s">
        <v>51</v>
      </c>
      <c r="F821" s="10">
        <v>12750</v>
      </c>
      <c r="G821" s="10">
        <v>0</v>
      </c>
      <c r="H821" s="10">
        <f t="shared" si="12"/>
        <v>12750</v>
      </c>
      <c r="I821" s="10">
        <v>85</v>
      </c>
      <c r="J821" s="10">
        <v>85</v>
      </c>
      <c r="K821" s="10">
        <v>85</v>
      </c>
      <c r="L821" s="4" t="s">
        <v>259</v>
      </c>
      <c r="M821" s="4">
        <v>816</v>
      </c>
    </row>
    <row r="822" spans="1:13" x14ac:dyDescent="0.25">
      <c r="A822" s="4" t="s">
        <v>806</v>
      </c>
      <c r="B822" s="4" t="s">
        <v>106</v>
      </c>
      <c r="C822" s="9" t="s">
        <v>50</v>
      </c>
      <c r="D822" s="10">
        <v>653</v>
      </c>
      <c r="E822" s="11" t="s">
        <v>51</v>
      </c>
      <c r="F822" s="10">
        <v>58248.75</v>
      </c>
      <c r="G822" s="10">
        <v>0</v>
      </c>
      <c r="H822" s="10">
        <f t="shared" si="12"/>
        <v>58248.75</v>
      </c>
      <c r="I822" s="10"/>
      <c r="J822" s="10"/>
      <c r="K822" s="10"/>
      <c r="L822" s="4" t="s">
        <v>52</v>
      </c>
      <c r="M822" s="4">
        <v>817</v>
      </c>
    </row>
    <row r="823" spans="1:13" x14ac:dyDescent="0.25">
      <c r="A823" s="4" t="s">
        <v>806</v>
      </c>
      <c r="B823" s="4" t="s">
        <v>271</v>
      </c>
      <c r="C823" s="9" t="s">
        <v>50</v>
      </c>
      <c r="D823" s="10">
        <v>26</v>
      </c>
      <c r="E823" s="11" t="s">
        <v>51</v>
      </c>
      <c r="F823" s="10">
        <v>2363.75</v>
      </c>
      <c r="G823" s="10">
        <v>0</v>
      </c>
      <c r="H823" s="10">
        <f t="shared" si="12"/>
        <v>2363.75</v>
      </c>
      <c r="I823" s="10"/>
      <c r="J823" s="10"/>
      <c r="K823" s="10"/>
      <c r="L823" s="4" t="s">
        <v>52</v>
      </c>
      <c r="M823" s="4">
        <v>818</v>
      </c>
    </row>
    <row r="824" spans="1:13" x14ac:dyDescent="0.25">
      <c r="A824" s="4" t="s">
        <v>806</v>
      </c>
      <c r="B824" s="4" t="s">
        <v>272</v>
      </c>
      <c r="C824" s="9" t="s">
        <v>50</v>
      </c>
      <c r="D824" s="10">
        <v>16</v>
      </c>
      <c r="E824" s="11" t="s">
        <v>51</v>
      </c>
      <c r="F824" s="10">
        <v>1400</v>
      </c>
      <c r="G824" s="10">
        <v>0</v>
      </c>
      <c r="H824" s="10">
        <f t="shared" si="12"/>
        <v>1400</v>
      </c>
      <c r="I824" s="10"/>
      <c r="J824" s="10"/>
      <c r="K824" s="10"/>
      <c r="L824" s="4" t="s">
        <v>52</v>
      </c>
      <c r="M824" s="4">
        <v>819</v>
      </c>
    </row>
    <row r="825" spans="1:13" x14ac:dyDescent="0.25">
      <c r="A825" s="4" t="s">
        <v>806</v>
      </c>
      <c r="B825" s="4" t="s">
        <v>107</v>
      </c>
      <c r="C825" s="9" t="s">
        <v>50</v>
      </c>
      <c r="D825" s="10">
        <v>2378</v>
      </c>
      <c r="E825" s="11" t="s">
        <v>51</v>
      </c>
      <c r="F825" s="10">
        <v>204771.25</v>
      </c>
      <c r="G825" s="10">
        <v>0</v>
      </c>
      <c r="H825" s="10">
        <f t="shared" si="12"/>
        <v>204771.25</v>
      </c>
      <c r="I825" s="10"/>
      <c r="J825" s="10"/>
      <c r="K825" s="10"/>
      <c r="L825" s="4" t="s">
        <v>52</v>
      </c>
      <c r="M825" s="4">
        <v>820</v>
      </c>
    </row>
    <row r="826" spans="1:13" x14ac:dyDescent="0.25">
      <c r="A826" s="4" t="s">
        <v>806</v>
      </c>
      <c r="B826" s="4" t="s">
        <v>128</v>
      </c>
      <c r="C826" s="9" t="s">
        <v>50</v>
      </c>
      <c r="D826" s="10">
        <v>226</v>
      </c>
      <c r="E826" s="11" t="s">
        <v>51</v>
      </c>
      <c r="F826" s="10">
        <v>17200</v>
      </c>
      <c r="G826" s="10">
        <v>0</v>
      </c>
      <c r="H826" s="10">
        <f t="shared" si="12"/>
        <v>17200</v>
      </c>
      <c r="I826" s="10"/>
      <c r="J826" s="10"/>
      <c r="K826" s="10"/>
      <c r="L826" s="4" t="s">
        <v>52</v>
      </c>
      <c r="M826" s="4">
        <v>821</v>
      </c>
    </row>
    <row r="827" spans="1:13" x14ac:dyDescent="0.25">
      <c r="A827" s="4" t="s">
        <v>807</v>
      </c>
      <c r="B827" s="4" t="s">
        <v>137</v>
      </c>
      <c r="C827" s="9" t="s">
        <v>50</v>
      </c>
      <c r="D827" s="10"/>
      <c r="E827" s="11" t="s">
        <v>51</v>
      </c>
      <c r="F827" s="10"/>
      <c r="G827" s="10">
        <v>0</v>
      </c>
      <c r="H827" s="10">
        <f t="shared" si="12"/>
        <v>0</v>
      </c>
      <c r="I827" s="10"/>
      <c r="J827" s="10"/>
      <c r="K827" s="10"/>
      <c r="L827" s="4" t="s">
        <v>52</v>
      </c>
      <c r="M827" s="4">
        <v>822</v>
      </c>
    </row>
    <row r="828" spans="1:13" x14ac:dyDescent="0.25">
      <c r="A828" s="4" t="s">
        <v>807</v>
      </c>
      <c r="B828" s="4" t="s">
        <v>106</v>
      </c>
      <c r="C828" s="9" t="s">
        <v>50</v>
      </c>
      <c r="D828" s="10"/>
      <c r="E828" s="11" t="s">
        <v>51</v>
      </c>
      <c r="F828" s="10"/>
      <c r="G828" s="10">
        <v>0</v>
      </c>
      <c r="H828" s="10">
        <f t="shared" si="12"/>
        <v>0</v>
      </c>
      <c r="I828" s="10"/>
      <c r="J828" s="10"/>
      <c r="K828" s="10"/>
      <c r="L828" s="4" t="s">
        <v>52</v>
      </c>
      <c r="M828" s="4">
        <v>823</v>
      </c>
    </row>
    <row r="829" spans="1:13" x14ac:dyDescent="0.25">
      <c r="A829" s="4" t="s">
        <v>807</v>
      </c>
      <c r="B829" s="4" t="s">
        <v>107</v>
      </c>
      <c r="C829" s="9" t="s">
        <v>50</v>
      </c>
      <c r="D829" s="10">
        <v>466</v>
      </c>
      <c r="E829" s="11" t="s">
        <v>51</v>
      </c>
      <c r="F829" s="10"/>
      <c r="G829" s="10">
        <v>0</v>
      </c>
      <c r="H829" s="10">
        <f t="shared" si="12"/>
        <v>0</v>
      </c>
      <c r="I829" s="10"/>
      <c r="J829" s="10"/>
      <c r="K829" s="10"/>
      <c r="L829" s="4" t="s">
        <v>52</v>
      </c>
      <c r="M829" s="4">
        <v>824</v>
      </c>
    </row>
    <row r="830" spans="1:13" x14ac:dyDescent="0.25">
      <c r="A830" s="4" t="s">
        <v>808</v>
      </c>
      <c r="B830" s="4" t="s">
        <v>137</v>
      </c>
      <c r="C830" s="9" t="s">
        <v>50</v>
      </c>
      <c r="D830" s="10">
        <v>644</v>
      </c>
      <c r="E830" s="11" t="s">
        <v>51</v>
      </c>
      <c r="F830" s="10">
        <v>38950</v>
      </c>
      <c r="G830" s="10">
        <v>0</v>
      </c>
      <c r="H830" s="10">
        <f t="shared" si="12"/>
        <v>38950</v>
      </c>
      <c r="I830" s="10"/>
      <c r="J830" s="10"/>
      <c r="K830" s="10"/>
      <c r="L830" s="4" t="s">
        <v>52</v>
      </c>
      <c r="M830" s="4">
        <v>825</v>
      </c>
    </row>
    <row r="831" spans="1:13" x14ac:dyDescent="0.25">
      <c r="A831" s="4" t="s">
        <v>809</v>
      </c>
      <c r="B831" s="4" t="s">
        <v>119</v>
      </c>
      <c r="C831" s="9" t="s">
        <v>50</v>
      </c>
      <c r="D831" s="10">
        <v>88</v>
      </c>
      <c r="E831" s="11" t="s">
        <v>51</v>
      </c>
      <c r="F831" s="10">
        <v>5000</v>
      </c>
      <c r="G831" s="10">
        <v>0</v>
      </c>
      <c r="H831" s="10">
        <f t="shared" si="12"/>
        <v>5000</v>
      </c>
      <c r="I831" s="10"/>
      <c r="J831" s="10"/>
      <c r="K831" s="10"/>
      <c r="L831" s="4" t="s">
        <v>52</v>
      </c>
      <c r="M831" s="4">
        <v>826</v>
      </c>
    </row>
    <row r="832" spans="1:13" x14ac:dyDescent="0.25">
      <c r="A832" s="4" t="s">
        <v>809</v>
      </c>
      <c r="B832" s="4" t="s">
        <v>118</v>
      </c>
      <c r="C832" s="9" t="s">
        <v>50</v>
      </c>
      <c r="D832" s="10">
        <v>90</v>
      </c>
      <c r="E832" s="11" t="s">
        <v>51</v>
      </c>
      <c r="F832" s="10">
        <v>5400</v>
      </c>
      <c r="G832" s="10">
        <v>0</v>
      </c>
      <c r="H832" s="10">
        <f t="shared" si="12"/>
        <v>5400</v>
      </c>
      <c r="I832" s="10"/>
      <c r="J832" s="10"/>
      <c r="K832" s="10"/>
      <c r="L832" s="4" t="s">
        <v>52</v>
      </c>
      <c r="M832" s="4">
        <v>827</v>
      </c>
    </row>
    <row r="833" spans="1:13" x14ac:dyDescent="0.25">
      <c r="A833" s="4" t="s">
        <v>809</v>
      </c>
      <c r="B833" s="4" t="s">
        <v>810</v>
      </c>
      <c r="C833" s="4" t="s">
        <v>65</v>
      </c>
      <c r="D833" s="10"/>
      <c r="E833" s="11" t="s">
        <v>51</v>
      </c>
      <c r="F833" s="10"/>
      <c r="G833" s="10">
        <v>0</v>
      </c>
      <c r="H833" s="10">
        <f t="shared" si="12"/>
        <v>0</v>
      </c>
      <c r="I833" s="10"/>
      <c r="J833" s="10"/>
      <c r="K833" s="10"/>
      <c r="L833" s="4" t="s">
        <v>69</v>
      </c>
      <c r="M833" s="4">
        <v>828</v>
      </c>
    </row>
    <row r="834" spans="1:13" x14ac:dyDescent="0.25">
      <c r="A834" s="4" t="s">
        <v>809</v>
      </c>
      <c r="B834" s="4" t="s">
        <v>811</v>
      </c>
      <c r="C834" s="4" t="s">
        <v>65</v>
      </c>
      <c r="D834" s="10">
        <v>120</v>
      </c>
      <c r="E834" s="11" t="s">
        <v>51</v>
      </c>
      <c r="F834" s="10"/>
      <c r="G834" s="10">
        <v>0</v>
      </c>
      <c r="H834" s="10">
        <f t="shared" si="12"/>
        <v>0</v>
      </c>
      <c r="I834" s="10"/>
      <c r="J834" s="10"/>
      <c r="K834" s="10"/>
      <c r="L834" s="4" t="s">
        <v>69</v>
      </c>
      <c r="M834" s="4">
        <v>829</v>
      </c>
    </row>
    <row r="835" spans="1:13" x14ac:dyDescent="0.25">
      <c r="A835" s="4" t="s">
        <v>812</v>
      </c>
      <c r="B835" s="4" t="s">
        <v>813</v>
      </c>
      <c r="C835" s="9" t="s">
        <v>50</v>
      </c>
      <c r="D835" s="10">
        <v>60</v>
      </c>
      <c r="E835" s="11" t="s">
        <v>51</v>
      </c>
      <c r="F835" s="10">
        <v>5700</v>
      </c>
      <c r="G835" s="10">
        <v>0</v>
      </c>
      <c r="H835" s="10">
        <f t="shared" si="12"/>
        <v>5700</v>
      </c>
      <c r="I835" s="10"/>
      <c r="J835" s="10"/>
      <c r="K835" s="10"/>
      <c r="L835" s="4" t="s">
        <v>52</v>
      </c>
      <c r="M835" s="4">
        <v>830</v>
      </c>
    </row>
    <row r="836" spans="1:13" x14ac:dyDescent="0.25">
      <c r="A836" s="4" t="s">
        <v>812</v>
      </c>
      <c r="B836" s="4" t="s">
        <v>814</v>
      </c>
      <c r="C836" s="9" t="s">
        <v>50</v>
      </c>
      <c r="D836" s="10">
        <v>100</v>
      </c>
      <c r="E836" s="11" t="s">
        <v>51</v>
      </c>
      <c r="F836" s="10">
        <v>3300</v>
      </c>
      <c r="G836" s="10">
        <v>0</v>
      </c>
      <c r="H836" s="10">
        <f t="shared" si="12"/>
        <v>3300</v>
      </c>
      <c r="I836" s="10"/>
      <c r="J836" s="10"/>
      <c r="K836" s="10"/>
      <c r="L836" s="4" t="s">
        <v>52</v>
      </c>
      <c r="M836" s="4">
        <v>831</v>
      </c>
    </row>
    <row r="837" spans="1:13" x14ac:dyDescent="0.25">
      <c r="A837" s="4" t="s">
        <v>815</v>
      </c>
      <c r="B837" s="4" t="s">
        <v>106</v>
      </c>
      <c r="C837" s="9" t="s">
        <v>50</v>
      </c>
      <c r="D837" s="10">
        <v>100.01</v>
      </c>
      <c r="E837" s="11" t="s">
        <v>51</v>
      </c>
      <c r="F837" s="10">
        <v>3800</v>
      </c>
      <c r="G837" s="10">
        <v>0</v>
      </c>
      <c r="H837" s="10">
        <f t="shared" si="12"/>
        <v>3800</v>
      </c>
      <c r="I837" s="10"/>
      <c r="J837" s="10"/>
      <c r="K837" s="10"/>
      <c r="L837" s="4" t="s">
        <v>52</v>
      </c>
      <c r="M837" s="4">
        <v>832</v>
      </c>
    </row>
    <row r="838" spans="1:13" x14ac:dyDescent="0.25">
      <c r="A838" s="4" t="s">
        <v>816</v>
      </c>
      <c r="B838" s="4" t="s">
        <v>82</v>
      </c>
      <c r="C838" s="9" t="s">
        <v>50</v>
      </c>
      <c r="D838" s="10">
        <v>16</v>
      </c>
      <c r="E838" s="11" t="s">
        <v>51</v>
      </c>
      <c r="F838" s="10">
        <v>1520</v>
      </c>
      <c r="G838" s="10">
        <v>0</v>
      </c>
      <c r="H838" s="10">
        <f t="shared" ref="H838:H901" si="13">F838-G838</f>
        <v>1520</v>
      </c>
      <c r="I838" s="10"/>
      <c r="J838" s="10"/>
      <c r="K838" s="10"/>
      <c r="L838" s="4" t="s">
        <v>52</v>
      </c>
      <c r="M838" s="4">
        <v>833</v>
      </c>
    </row>
    <row r="839" spans="1:13" x14ac:dyDescent="0.25">
      <c r="A839" s="4" t="s">
        <v>816</v>
      </c>
      <c r="B839" s="4" t="s">
        <v>88</v>
      </c>
      <c r="C839" s="9" t="s">
        <v>50</v>
      </c>
      <c r="D839" s="10">
        <v>12</v>
      </c>
      <c r="E839" s="11" t="s">
        <v>51</v>
      </c>
      <c r="F839" s="10">
        <v>1140</v>
      </c>
      <c r="G839" s="10">
        <v>0</v>
      </c>
      <c r="H839" s="10">
        <f t="shared" si="13"/>
        <v>1140</v>
      </c>
      <c r="I839" s="10"/>
      <c r="J839" s="10"/>
      <c r="K839" s="10"/>
      <c r="L839" s="4" t="s">
        <v>52</v>
      </c>
      <c r="M839" s="4">
        <v>834</v>
      </c>
    </row>
    <row r="840" spans="1:13" x14ac:dyDescent="0.25">
      <c r="A840" s="4" t="s">
        <v>816</v>
      </c>
      <c r="B840" s="4" t="s">
        <v>106</v>
      </c>
      <c r="C840" s="9" t="s">
        <v>50</v>
      </c>
      <c r="D840" s="10">
        <v>16</v>
      </c>
      <c r="E840" s="11" t="s">
        <v>51</v>
      </c>
      <c r="F840" s="10">
        <v>1520</v>
      </c>
      <c r="G840" s="10">
        <v>0</v>
      </c>
      <c r="H840" s="10">
        <f t="shared" si="13"/>
        <v>1520</v>
      </c>
      <c r="I840" s="10"/>
      <c r="J840" s="10"/>
      <c r="K840" s="10"/>
      <c r="L840" s="4" t="s">
        <v>52</v>
      </c>
      <c r="M840" s="4">
        <v>835</v>
      </c>
    </row>
    <row r="841" spans="1:13" x14ac:dyDescent="0.25">
      <c r="A841" s="4" t="s">
        <v>816</v>
      </c>
      <c r="B841" s="4" t="s">
        <v>107</v>
      </c>
      <c r="C841" s="9" t="s">
        <v>50</v>
      </c>
      <c r="D841" s="10">
        <v>76</v>
      </c>
      <c r="E841" s="11" t="s">
        <v>51</v>
      </c>
      <c r="F841" s="10">
        <v>1520</v>
      </c>
      <c r="G841" s="10">
        <v>0</v>
      </c>
      <c r="H841" s="10">
        <f t="shared" si="13"/>
        <v>1520</v>
      </c>
      <c r="I841" s="10"/>
      <c r="J841" s="10"/>
      <c r="K841" s="10"/>
      <c r="L841" s="4" t="s">
        <v>52</v>
      </c>
      <c r="M841" s="4">
        <v>836</v>
      </c>
    </row>
    <row r="842" spans="1:13" x14ac:dyDescent="0.25">
      <c r="A842" s="4" t="s">
        <v>817</v>
      </c>
      <c r="B842" s="4" t="s">
        <v>451</v>
      </c>
      <c r="C842" s="4" t="s">
        <v>68</v>
      </c>
      <c r="D842" s="10">
        <v>220</v>
      </c>
      <c r="E842" s="11" t="s">
        <v>51</v>
      </c>
      <c r="F842" s="10">
        <v>6300</v>
      </c>
      <c r="G842" s="10">
        <v>0</v>
      </c>
      <c r="H842" s="10">
        <f t="shared" si="13"/>
        <v>6300</v>
      </c>
      <c r="I842" s="10"/>
      <c r="J842" s="10"/>
      <c r="K842" s="10"/>
      <c r="L842" s="4" t="s">
        <v>69</v>
      </c>
      <c r="M842" s="4">
        <v>837</v>
      </c>
    </row>
    <row r="843" spans="1:13" x14ac:dyDescent="0.25">
      <c r="A843" s="4" t="s">
        <v>818</v>
      </c>
      <c r="B843" s="4" t="s">
        <v>819</v>
      </c>
      <c r="C843" s="4" t="s">
        <v>68</v>
      </c>
      <c r="D843" s="10">
        <v>188</v>
      </c>
      <c r="E843" s="11" t="s">
        <v>51</v>
      </c>
      <c r="F843" s="10">
        <v>27200</v>
      </c>
      <c r="G843" s="10">
        <v>0</v>
      </c>
      <c r="H843" s="10">
        <f t="shared" si="13"/>
        <v>27200</v>
      </c>
      <c r="I843" s="10"/>
      <c r="J843" s="10"/>
      <c r="K843" s="10"/>
      <c r="L843" s="4" t="s">
        <v>69</v>
      </c>
      <c r="M843" s="4">
        <v>838</v>
      </c>
    </row>
    <row r="844" spans="1:13" x14ac:dyDescent="0.25">
      <c r="A844" s="4" t="s">
        <v>820</v>
      </c>
      <c r="B844" s="4" t="s">
        <v>821</v>
      </c>
      <c r="C844" s="4" t="s">
        <v>68</v>
      </c>
      <c r="D844" s="10">
        <v>8</v>
      </c>
      <c r="E844" s="11" t="s">
        <v>51</v>
      </c>
      <c r="F844" s="10">
        <v>880</v>
      </c>
      <c r="G844" s="10">
        <v>0</v>
      </c>
      <c r="H844" s="10">
        <f t="shared" si="13"/>
        <v>880</v>
      </c>
      <c r="I844" s="10"/>
      <c r="J844" s="10"/>
      <c r="K844" s="10"/>
      <c r="L844" s="4" t="s">
        <v>69</v>
      </c>
      <c r="M844" s="4">
        <v>839</v>
      </c>
    </row>
    <row r="845" spans="1:13" x14ac:dyDescent="0.25">
      <c r="A845" s="4" t="s">
        <v>820</v>
      </c>
      <c r="B845" s="4" t="s">
        <v>822</v>
      </c>
      <c r="C845" s="4" t="s">
        <v>68</v>
      </c>
      <c r="D845" s="10">
        <v>8</v>
      </c>
      <c r="E845" s="11" t="s">
        <v>51</v>
      </c>
      <c r="F845" s="10">
        <v>560</v>
      </c>
      <c r="G845" s="10">
        <v>0</v>
      </c>
      <c r="H845" s="10">
        <f t="shared" si="13"/>
        <v>560</v>
      </c>
      <c r="I845" s="10"/>
      <c r="J845" s="10"/>
      <c r="K845" s="10"/>
      <c r="L845" s="4" t="s">
        <v>69</v>
      </c>
      <c r="M845" s="4">
        <v>840</v>
      </c>
    </row>
    <row r="846" spans="1:13" x14ac:dyDescent="0.25">
      <c r="A846" s="4" t="s">
        <v>820</v>
      </c>
      <c r="B846" s="4" t="s">
        <v>823</v>
      </c>
      <c r="C846" s="4" t="s">
        <v>68</v>
      </c>
      <c r="D846" s="10">
        <v>8</v>
      </c>
      <c r="E846" s="11" t="s">
        <v>51</v>
      </c>
      <c r="F846" s="10">
        <v>560</v>
      </c>
      <c r="G846" s="10">
        <v>0</v>
      </c>
      <c r="H846" s="10">
        <f t="shared" si="13"/>
        <v>560</v>
      </c>
      <c r="I846" s="10"/>
      <c r="J846" s="10"/>
      <c r="K846" s="10"/>
      <c r="L846" s="4" t="s">
        <v>69</v>
      </c>
      <c r="M846" s="4">
        <v>841</v>
      </c>
    </row>
    <row r="847" spans="1:13" x14ac:dyDescent="0.25">
      <c r="A847" s="4" t="s">
        <v>820</v>
      </c>
      <c r="B847" s="4" t="s">
        <v>824</v>
      </c>
      <c r="C847" s="4" t="s">
        <v>68</v>
      </c>
      <c r="D847" s="10">
        <v>4</v>
      </c>
      <c r="E847" s="11" t="s">
        <v>51</v>
      </c>
      <c r="F847" s="10">
        <v>440</v>
      </c>
      <c r="G847" s="10">
        <v>0</v>
      </c>
      <c r="H847" s="10">
        <f t="shared" si="13"/>
        <v>440</v>
      </c>
      <c r="I847" s="10"/>
      <c r="J847" s="10"/>
      <c r="K847" s="10"/>
      <c r="L847" s="4" t="s">
        <v>69</v>
      </c>
      <c r="M847" s="4">
        <v>842</v>
      </c>
    </row>
    <row r="848" spans="1:13" x14ac:dyDescent="0.25">
      <c r="A848" s="4" t="s">
        <v>820</v>
      </c>
      <c r="B848" s="4" t="s">
        <v>825</v>
      </c>
      <c r="C848" s="4" t="s">
        <v>68</v>
      </c>
      <c r="D848" s="10">
        <v>128</v>
      </c>
      <c r="E848" s="11" t="s">
        <v>51</v>
      </c>
      <c r="F848" s="10"/>
      <c r="G848" s="10">
        <v>0</v>
      </c>
      <c r="H848" s="10">
        <f t="shared" si="13"/>
        <v>0</v>
      </c>
      <c r="I848" s="10"/>
      <c r="J848" s="10"/>
      <c r="K848" s="10"/>
      <c r="L848" s="4" t="s">
        <v>69</v>
      </c>
      <c r="M848" s="4">
        <v>843</v>
      </c>
    </row>
    <row r="849" spans="1:13" x14ac:dyDescent="0.25">
      <c r="A849" s="4" t="s">
        <v>826</v>
      </c>
      <c r="B849" s="4" t="s">
        <v>106</v>
      </c>
      <c r="C849" s="9" t="s">
        <v>50</v>
      </c>
      <c r="D849" s="10">
        <v>541.75</v>
      </c>
      <c r="E849" s="11" t="s">
        <v>51</v>
      </c>
      <c r="F849" s="10">
        <v>11280</v>
      </c>
      <c r="G849" s="10">
        <v>0</v>
      </c>
      <c r="H849" s="10">
        <f t="shared" si="13"/>
        <v>11280</v>
      </c>
      <c r="I849" s="10"/>
      <c r="J849" s="10"/>
      <c r="K849" s="10"/>
      <c r="L849" s="4" t="s">
        <v>52</v>
      </c>
      <c r="M849" s="4">
        <v>844</v>
      </c>
    </row>
    <row r="850" spans="1:13" x14ac:dyDescent="0.25">
      <c r="A850" s="4" t="s">
        <v>827</v>
      </c>
      <c r="B850" s="4" t="s">
        <v>136</v>
      </c>
      <c r="C850" s="9" t="s">
        <v>50</v>
      </c>
      <c r="D850" s="10">
        <v>25</v>
      </c>
      <c r="E850" s="11" t="s">
        <v>51</v>
      </c>
      <c r="F850" s="10">
        <v>2150</v>
      </c>
      <c r="G850" s="10">
        <v>0</v>
      </c>
      <c r="H850" s="10">
        <f t="shared" si="13"/>
        <v>2150</v>
      </c>
      <c r="I850" s="10"/>
      <c r="J850" s="10"/>
      <c r="K850" s="10"/>
      <c r="L850" s="4" t="s">
        <v>52</v>
      </c>
      <c r="M850" s="4">
        <v>845</v>
      </c>
    </row>
    <row r="851" spans="1:13" x14ac:dyDescent="0.25">
      <c r="A851" s="4" t="s">
        <v>827</v>
      </c>
      <c r="B851" s="4" t="s">
        <v>82</v>
      </c>
      <c r="C851" s="9" t="s">
        <v>50</v>
      </c>
      <c r="D851" s="10">
        <v>76</v>
      </c>
      <c r="E851" s="11" t="s">
        <v>51</v>
      </c>
      <c r="F851" s="10">
        <v>7300</v>
      </c>
      <c r="G851" s="10">
        <v>0</v>
      </c>
      <c r="H851" s="10">
        <f t="shared" si="13"/>
        <v>7300</v>
      </c>
      <c r="I851" s="10"/>
      <c r="J851" s="10"/>
      <c r="K851" s="10"/>
      <c r="L851" s="4" t="s">
        <v>52</v>
      </c>
      <c r="M851" s="4">
        <v>846</v>
      </c>
    </row>
    <row r="852" spans="1:13" x14ac:dyDescent="0.25">
      <c r="A852" s="4" t="s">
        <v>827</v>
      </c>
      <c r="B852" s="4" t="s">
        <v>88</v>
      </c>
      <c r="C852" s="9" t="s">
        <v>50</v>
      </c>
      <c r="D852" s="10">
        <v>111.75</v>
      </c>
      <c r="E852" s="11" t="s">
        <v>51</v>
      </c>
      <c r="F852" s="10">
        <v>10503.75</v>
      </c>
      <c r="G852" s="10">
        <v>0</v>
      </c>
      <c r="H852" s="10">
        <f t="shared" si="13"/>
        <v>10503.75</v>
      </c>
      <c r="I852" s="10"/>
      <c r="J852" s="10"/>
      <c r="K852" s="10"/>
      <c r="L852" s="4" t="s">
        <v>52</v>
      </c>
      <c r="M852" s="4">
        <v>847</v>
      </c>
    </row>
    <row r="853" spans="1:13" x14ac:dyDescent="0.25">
      <c r="A853" s="4" t="s">
        <v>827</v>
      </c>
      <c r="B853" s="4" t="s">
        <v>137</v>
      </c>
      <c r="C853" s="9" t="s">
        <v>50</v>
      </c>
      <c r="D853" s="10">
        <v>92</v>
      </c>
      <c r="E853" s="11" t="s">
        <v>51</v>
      </c>
      <c r="F853" s="10">
        <v>7300</v>
      </c>
      <c r="G853" s="10">
        <v>0</v>
      </c>
      <c r="H853" s="10">
        <f t="shared" si="13"/>
        <v>7300</v>
      </c>
      <c r="I853" s="10"/>
      <c r="J853" s="10"/>
      <c r="K853" s="10"/>
      <c r="L853" s="4" t="s">
        <v>52</v>
      </c>
      <c r="M853" s="4">
        <v>848</v>
      </c>
    </row>
    <row r="854" spans="1:13" x14ac:dyDescent="0.25">
      <c r="A854" s="4" t="s">
        <v>827</v>
      </c>
      <c r="B854" s="4" t="s">
        <v>106</v>
      </c>
      <c r="C854" s="9" t="s">
        <v>50</v>
      </c>
      <c r="D854" s="10">
        <v>84</v>
      </c>
      <c r="E854" s="11" t="s">
        <v>51</v>
      </c>
      <c r="F854" s="10">
        <v>8750</v>
      </c>
      <c r="G854" s="10">
        <v>0</v>
      </c>
      <c r="H854" s="10">
        <f t="shared" si="13"/>
        <v>8750</v>
      </c>
      <c r="I854" s="10"/>
      <c r="J854" s="10"/>
      <c r="K854" s="10"/>
      <c r="L854" s="4" t="s">
        <v>52</v>
      </c>
      <c r="M854" s="4">
        <v>849</v>
      </c>
    </row>
    <row r="855" spans="1:13" x14ac:dyDescent="0.25">
      <c r="A855" s="4" t="s">
        <v>827</v>
      </c>
      <c r="B855" s="4" t="s">
        <v>828</v>
      </c>
      <c r="C855" s="4" t="s">
        <v>68</v>
      </c>
      <c r="D855" s="10">
        <v>20</v>
      </c>
      <c r="E855" s="11" t="s">
        <v>51</v>
      </c>
      <c r="F855" s="10">
        <v>1900</v>
      </c>
      <c r="G855" s="10">
        <v>0</v>
      </c>
      <c r="H855" s="10">
        <f t="shared" si="13"/>
        <v>1900</v>
      </c>
      <c r="I855" s="10"/>
      <c r="J855" s="10"/>
      <c r="K855" s="10"/>
      <c r="L855" s="4" t="s">
        <v>69</v>
      </c>
      <c r="M855" s="4">
        <v>850</v>
      </c>
    </row>
    <row r="856" spans="1:13" x14ac:dyDescent="0.25">
      <c r="A856" s="4" t="s">
        <v>827</v>
      </c>
      <c r="B856" s="4" t="s">
        <v>829</v>
      </c>
      <c r="C856" s="4" t="s">
        <v>68</v>
      </c>
      <c r="D856" s="10">
        <v>996</v>
      </c>
      <c r="E856" s="11" t="s">
        <v>51</v>
      </c>
      <c r="F856" s="10">
        <v>350</v>
      </c>
      <c r="G856" s="10">
        <v>0</v>
      </c>
      <c r="H856" s="10">
        <f t="shared" si="13"/>
        <v>350</v>
      </c>
      <c r="I856" s="10"/>
      <c r="J856" s="10"/>
      <c r="K856" s="10"/>
      <c r="L856" s="4" t="s">
        <v>69</v>
      </c>
      <c r="M856" s="4">
        <v>851</v>
      </c>
    </row>
    <row r="857" spans="1:13" x14ac:dyDescent="0.25">
      <c r="A857" s="4" t="s">
        <v>830</v>
      </c>
      <c r="B857" s="4" t="s">
        <v>136</v>
      </c>
      <c r="C857" s="9" t="s">
        <v>50</v>
      </c>
      <c r="D857" s="10">
        <v>76</v>
      </c>
      <c r="E857" s="11" t="s">
        <v>51</v>
      </c>
      <c r="F857" s="10">
        <v>6700</v>
      </c>
      <c r="G857" s="10">
        <v>0</v>
      </c>
      <c r="H857" s="10">
        <f t="shared" si="13"/>
        <v>6700</v>
      </c>
      <c r="I857" s="10"/>
      <c r="J857" s="10"/>
      <c r="K857" s="10"/>
      <c r="L857" s="4" t="s">
        <v>52</v>
      </c>
      <c r="M857" s="4">
        <v>852</v>
      </c>
    </row>
    <row r="858" spans="1:13" x14ac:dyDescent="0.25">
      <c r="A858" s="4" t="s">
        <v>830</v>
      </c>
      <c r="B858" s="4" t="s">
        <v>82</v>
      </c>
      <c r="C858" s="9" t="s">
        <v>50</v>
      </c>
      <c r="D858" s="10">
        <v>256</v>
      </c>
      <c r="E858" s="11" t="s">
        <v>51</v>
      </c>
      <c r="F858" s="10">
        <v>24300</v>
      </c>
      <c r="G858" s="10">
        <v>0</v>
      </c>
      <c r="H858" s="10">
        <f t="shared" si="13"/>
        <v>24300</v>
      </c>
      <c r="I858" s="10"/>
      <c r="J858" s="10"/>
      <c r="K858" s="10"/>
      <c r="L858" s="4" t="s">
        <v>52</v>
      </c>
      <c r="M858" s="4">
        <v>853</v>
      </c>
    </row>
    <row r="859" spans="1:13" x14ac:dyDescent="0.25">
      <c r="A859" s="4" t="s">
        <v>830</v>
      </c>
      <c r="B859" s="4" t="s">
        <v>88</v>
      </c>
      <c r="C859" s="9" t="s">
        <v>50</v>
      </c>
      <c r="D859" s="10">
        <v>362</v>
      </c>
      <c r="E859" s="11" t="s">
        <v>51</v>
      </c>
      <c r="F859" s="10">
        <v>30750</v>
      </c>
      <c r="G859" s="10">
        <v>0</v>
      </c>
      <c r="H859" s="10">
        <f t="shared" si="13"/>
        <v>30750</v>
      </c>
      <c r="I859" s="10"/>
      <c r="J859" s="10"/>
      <c r="K859" s="10"/>
      <c r="L859" s="4" t="s">
        <v>52</v>
      </c>
      <c r="M859" s="4">
        <v>854</v>
      </c>
    </row>
    <row r="860" spans="1:13" x14ac:dyDescent="0.25">
      <c r="A860" s="4" t="s">
        <v>830</v>
      </c>
      <c r="B860" s="4" t="s">
        <v>137</v>
      </c>
      <c r="C860" s="9" t="s">
        <v>50</v>
      </c>
      <c r="D860" s="10">
        <v>272</v>
      </c>
      <c r="E860" s="11" t="s">
        <v>51</v>
      </c>
      <c r="F860" s="10">
        <v>24300</v>
      </c>
      <c r="G860" s="10">
        <v>0</v>
      </c>
      <c r="H860" s="10">
        <f t="shared" si="13"/>
        <v>24300</v>
      </c>
      <c r="I860" s="10"/>
      <c r="J860" s="10"/>
      <c r="K860" s="10"/>
      <c r="L860" s="4" t="s">
        <v>52</v>
      </c>
      <c r="M860" s="4">
        <v>855</v>
      </c>
    </row>
    <row r="861" spans="1:13" x14ac:dyDescent="0.25">
      <c r="A861" s="4" t="s">
        <v>830</v>
      </c>
      <c r="B861" s="4" t="s">
        <v>831</v>
      </c>
      <c r="C861" s="4" t="s">
        <v>68</v>
      </c>
      <c r="D861" s="10">
        <v>20</v>
      </c>
      <c r="E861" s="11" t="s">
        <v>51</v>
      </c>
      <c r="F861" s="10">
        <v>1900</v>
      </c>
      <c r="G861" s="10">
        <v>0</v>
      </c>
      <c r="H861" s="10">
        <f t="shared" si="13"/>
        <v>1900</v>
      </c>
      <c r="I861" s="10"/>
      <c r="J861" s="10"/>
      <c r="K861" s="10"/>
      <c r="L861" s="4" t="s">
        <v>69</v>
      </c>
      <c r="M861" s="4">
        <v>856</v>
      </c>
    </row>
    <row r="862" spans="1:13" x14ac:dyDescent="0.25">
      <c r="A862" s="4" t="s">
        <v>830</v>
      </c>
      <c r="B862" s="4" t="s">
        <v>832</v>
      </c>
      <c r="C862" s="4" t="s">
        <v>68</v>
      </c>
      <c r="D862" s="10">
        <v>419.63</v>
      </c>
      <c r="E862" s="11" t="s">
        <v>51</v>
      </c>
      <c r="F862" s="10">
        <v>350</v>
      </c>
      <c r="G862" s="10">
        <v>0</v>
      </c>
      <c r="H862" s="10">
        <f t="shared" si="13"/>
        <v>350</v>
      </c>
      <c r="I862" s="10"/>
      <c r="J862" s="10"/>
      <c r="K862" s="10"/>
      <c r="L862" s="4" t="s">
        <v>69</v>
      </c>
      <c r="M862" s="4">
        <v>857</v>
      </c>
    </row>
    <row r="863" spans="1:13" x14ac:dyDescent="0.25">
      <c r="A863" s="4" t="s">
        <v>833</v>
      </c>
      <c r="B863" s="4" t="s">
        <v>82</v>
      </c>
      <c r="C863" s="9" t="s">
        <v>50</v>
      </c>
      <c r="D863" s="10">
        <v>30</v>
      </c>
      <c r="E863" s="11" t="s">
        <v>51</v>
      </c>
      <c r="F863" s="10">
        <v>2850</v>
      </c>
      <c r="G863" s="10">
        <v>0</v>
      </c>
      <c r="H863" s="10">
        <f t="shared" si="13"/>
        <v>2850</v>
      </c>
      <c r="I863" s="10"/>
      <c r="J863" s="10"/>
      <c r="K863" s="10"/>
      <c r="L863" s="4" t="s">
        <v>52</v>
      </c>
      <c r="M863" s="4">
        <v>858</v>
      </c>
    </row>
    <row r="864" spans="1:13" x14ac:dyDescent="0.25">
      <c r="A864" s="4" t="s">
        <v>833</v>
      </c>
      <c r="B864" s="4" t="s">
        <v>88</v>
      </c>
      <c r="C864" s="9" t="s">
        <v>50</v>
      </c>
      <c r="D864" s="10">
        <v>60</v>
      </c>
      <c r="E864" s="11" t="s">
        <v>51</v>
      </c>
      <c r="F864" s="10">
        <v>5700</v>
      </c>
      <c r="G864" s="10">
        <v>0</v>
      </c>
      <c r="H864" s="10">
        <f t="shared" si="13"/>
        <v>5700</v>
      </c>
      <c r="I864" s="10"/>
      <c r="J864" s="10"/>
      <c r="K864" s="10"/>
      <c r="L864" s="4" t="s">
        <v>52</v>
      </c>
      <c r="M864" s="4">
        <v>859</v>
      </c>
    </row>
    <row r="865" spans="1:13" x14ac:dyDescent="0.25">
      <c r="A865" s="4" t="s">
        <v>833</v>
      </c>
      <c r="B865" s="4" t="s">
        <v>106</v>
      </c>
      <c r="C865" s="9" t="s">
        <v>50</v>
      </c>
      <c r="D865" s="10"/>
      <c r="E865" s="11" t="s">
        <v>51</v>
      </c>
      <c r="F865" s="10"/>
      <c r="G865" s="10">
        <v>0</v>
      </c>
      <c r="H865" s="10">
        <f t="shared" si="13"/>
        <v>0</v>
      </c>
      <c r="I865" s="10"/>
      <c r="J865" s="10"/>
      <c r="K865" s="10"/>
      <c r="L865" s="4" t="s">
        <v>52</v>
      </c>
      <c r="M865" s="4">
        <v>860</v>
      </c>
    </row>
    <row r="866" spans="1:13" x14ac:dyDescent="0.25">
      <c r="A866" s="4" t="s">
        <v>833</v>
      </c>
      <c r="B866" s="4" t="s">
        <v>834</v>
      </c>
      <c r="C866" s="4" t="s">
        <v>68</v>
      </c>
      <c r="D866" s="10">
        <v>611.12</v>
      </c>
      <c r="E866" s="11" t="s">
        <v>51</v>
      </c>
      <c r="F866" s="10">
        <v>30838.75</v>
      </c>
      <c r="G866" s="10">
        <v>0</v>
      </c>
      <c r="H866" s="10">
        <f t="shared" si="13"/>
        <v>30838.75</v>
      </c>
      <c r="I866" s="10"/>
      <c r="J866" s="10"/>
      <c r="K866" s="10"/>
      <c r="L866" s="4" t="s">
        <v>69</v>
      </c>
      <c r="M866" s="4">
        <v>861</v>
      </c>
    </row>
    <row r="867" spans="1:13" x14ac:dyDescent="0.25">
      <c r="A867" s="4" t="s">
        <v>835</v>
      </c>
      <c r="B867" s="4" t="s">
        <v>836</v>
      </c>
      <c r="C867" s="9" t="s">
        <v>50</v>
      </c>
      <c r="D867" s="10">
        <v>66.5</v>
      </c>
      <c r="E867" s="11" t="s">
        <v>51</v>
      </c>
      <c r="F867" s="10">
        <v>5900</v>
      </c>
      <c r="G867" s="10">
        <v>0</v>
      </c>
      <c r="H867" s="10">
        <f t="shared" si="13"/>
        <v>5900</v>
      </c>
      <c r="I867" s="10"/>
      <c r="J867" s="10"/>
      <c r="K867" s="10"/>
      <c r="L867" s="4" t="s">
        <v>52</v>
      </c>
      <c r="M867" s="4">
        <v>862</v>
      </c>
    </row>
    <row r="868" spans="1:13" x14ac:dyDescent="0.25">
      <c r="A868" s="4" t="s">
        <v>835</v>
      </c>
      <c r="B868" s="4" t="s">
        <v>837</v>
      </c>
      <c r="C868" s="9" t="s">
        <v>50</v>
      </c>
      <c r="D868" s="10">
        <v>254</v>
      </c>
      <c r="E868" s="11" t="s">
        <v>51</v>
      </c>
      <c r="F868" s="10">
        <v>26950</v>
      </c>
      <c r="G868" s="10">
        <v>0</v>
      </c>
      <c r="H868" s="10">
        <f t="shared" si="13"/>
        <v>26950</v>
      </c>
      <c r="I868" s="10"/>
      <c r="J868" s="10"/>
      <c r="K868" s="10"/>
      <c r="L868" s="4" t="s">
        <v>52</v>
      </c>
      <c r="M868" s="4">
        <v>863</v>
      </c>
    </row>
    <row r="869" spans="1:13" x14ac:dyDescent="0.25">
      <c r="A869" s="4" t="s">
        <v>838</v>
      </c>
      <c r="B869" s="4" t="s">
        <v>839</v>
      </c>
      <c r="C869" s="4" t="s">
        <v>68</v>
      </c>
      <c r="D869" s="10">
        <v>144</v>
      </c>
      <c r="E869" s="11" t="s">
        <v>51</v>
      </c>
      <c r="F869" s="10">
        <v>3450</v>
      </c>
      <c r="G869" s="10">
        <v>0</v>
      </c>
      <c r="H869" s="10">
        <f t="shared" si="13"/>
        <v>3450</v>
      </c>
      <c r="I869" s="10"/>
      <c r="J869" s="10"/>
      <c r="K869" s="10"/>
      <c r="L869" s="4" t="s">
        <v>69</v>
      </c>
      <c r="M869" s="4">
        <v>864</v>
      </c>
    </row>
    <row r="870" spans="1:13" x14ac:dyDescent="0.25">
      <c r="A870" s="4" t="s">
        <v>840</v>
      </c>
      <c r="B870" s="4" t="s">
        <v>841</v>
      </c>
      <c r="C870" s="4" t="s">
        <v>65</v>
      </c>
      <c r="D870" s="10">
        <v>110</v>
      </c>
      <c r="E870" s="12" t="s">
        <v>66</v>
      </c>
      <c r="F870" s="10">
        <v>6700</v>
      </c>
      <c r="G870" s="10">
        <v>0</v>
      </c>
      <c r="H870" s="10">
        <f t="shared" si="13"/>
        <v>6700</v>
      </c>
      <c r="I870" s="10">
        <v>60.909090909090907</v>
      </c>
      <c r="J870" s="10">
        <v>60.909090909090907</v>
      </c>
      <c r="K870" s="10">
        <v>60.909090909090907</v>
      </c>
      <c r="L870" s="4"/>
      <c r="M870" s="4">
        <v>865</v>
      </c>
    </row>
    <row r="871" spans="1:13" x14ac:dyDescent="0.25">
      <c r="A871" s="4" t="s">
        <v>840</v>
      </c>
      <c r="B871" s="4" t="s">
        <v>842</v>
      </c>
      <c r="C871" s="4" t="s">
        <v>65</v>
      </c>
      <c r="D871" s="10"/>
      <c r="E871" s="11" t="s">
        <v>51</v>
      </c>
      <c r="F871" s="10">
        <v>700</v>
      </c>
      <c r="G871" s="10">
        <v>0</v>
      </c>
      <c r="H871" s="10">
        <f t="shared" si="13"/>
        <v>700</v>
      </c>
      <c r="I871" s="10"/>
      <c r="J871" s="10"/>
      <c r="K871" s="10"/>
      <c r="L871" s="4" t="s">
        <v>69</v>
      </c>
      <c r="M871" s="4">
        <v>866</v>
      </c>
    </row>
    <row r="872" spans="1:13" x14ac:dyDescent="0.25">
      <c r="A872" s="4" t="s">
        <v>843</v>
      </c>
      <c r="B872" s="4" t="s">
        <v>88</v>
      </c>
      <c r="C872" s="9" t="s">
        <v>50</v>
      </c>
      <c r="D872" s="10"/>
      <c r="E872" s="11" t="s">
        <v>51</v>
      </c>
      <c r="F872" s="10"/>
      <c r="G872" s="10">
        <v>0</v>
      </c>
      <c r="H872" s="10">
        <f t="shared" si="13"/>
        <v>0</v>
      </c>
      <c r="I872" s="10"/>
      <c r="J872" s="10"/>
      <c r="K872" s="10"/>
      <c r="L872" s="4" t="s">
        <v>52</v>
      </c>
      <c r="M872" s="4">
        <v>867</v>
      </c>
    </row>
    <row r="873" spans="1:13" x14ac:dyDescent="0.25">
      <c r="A873" s="4" t="s">
        <v>844</v>
      </c>
      <c r="B873" s="4" t="s">
        <v>128</v>
      </c>
      <c r="C873" s="9" t="s">
        <v>50</v>
      </c>
      <c r="D873" s="10">
        <v>66</v>
      </c>
      <c r="E873" s="11" t="s">
        <v>51</v>
      </c>
      <c r="F873" s="10"/>
      <c r="G873" s="10">
        <v>0</v>
      </c>
      <c r="H873" s="10">
        <f t="shared" si="13"/>
        <v>0</v>
      </c>
      <c r="I873" s="10"/>
      <c r="J873" s="10"/>
      <c r="K873" s="10"/>
      <c r="L873" s="4" t="s">
        <v>52</v>
      </c>
      <c r="M873" s="4">
        <v>868</v>
      </c>
    </row>
    <row r="874" spans="1:13" x14ac:dyDescent="0.25">
      <c r="A874" s="4" t="s">
        <v>845</v>
      </c>
      <c r="B874" s="4" t="s">
        <v>846</v>
      </c>
      <c r="C874" s="4" t="s">
        <v>65</v>
      </c>
      <c r="D874" s="10">
        <v>50</v>
      </c>
      <c r="E874" s="12" t="s">
        <v>66</v>
      </c>
      <c r="F874" s="10">
        <v>5125</v>
      </c>
      <c r="G874" s="10">
        <v>0</v>
      </c>
      <c r="H874" s="10">
        <f t="shared" si="13"/>
        <v>5125</v>
      </c>
      <c r="I874" s="10">
        <v>102.5</v>
      </c>
      <c r="J874" s="10">
        <v>102.5</v>
      </c>
      <c r="K874" s="10">
        <v>102.5</v>
      </c>
      <c r="L874" s="4"/>
      <c r="M874" s="4">
        <v>869</v>
      </c>
    </row>
    <row r="875" spans="1:13" x14ac:dyDescent="0.25">
      <c r="A875" s="4" t="s">
        <v>845</v>
      </c>
      <c r="B875" s="4" t="s">
        <v>847</v>
      </c>
      <c r="C875" s="4" t="s">
        <v>68</v>
      </c>
      <c r="D875" s="10">
        <v>8</v>
      </c>
      <c r="E875" s="11" t="s">
        <v>51</v>
      </c>
      <c r="F875" s="10">
        <v>880</v>
      </c>
      <c r="G875" s="10">
        <v>0</v>
      </c>
      <c r="H875" s="10">
        <f t="shared" si="13"/>
        <v>880</v>
      </c>
      <c r="I875" s="10"/>
      <c r="J875" s="10"/>
      <c r="K875" s="10"/>
      <c r="L875" s="4" t="s">
        <v>69</v>
      </c>
      <c r="M875" s="4">
        <v>870</v>
      </c>
    </row>
    <row r="876" spans="1:13" x14ac:dyDescent="0.25">
      <c r="A876" s="4" t="s">
        <v>845</v>
      </c>
      <c r="B876" s="4" t="s">
        <v>848</v>
      </c>
      <c r="C876" s="4" t="s">
        <v>65</v>
      </c>
      <c r="D876" s="10">
        <v>32</v>
      </c>
      <c r="E876" s="12" t="s">
        <v>66</v>
      </c>
      <c r="F876" s="10">
        <v>750</v>
      </c>
      <c r="G876" s="10">
        <v>0</v>
      </c>
      <c r="H876" s="10">
        <f t="shared" si="13"/>
        <v>750</v>
      </c>
      <c r="I876" s="10">
        <v>93.75</v>
      </c>
      <c r="J876" s="10">
        <v>93.75</v>
      </c>
      <c r="K876" s="10">
        <v>93.75</v>
      </c>
      <c r="L876" s="4"/>
      <c r="M876" s="4">
        <v>871</v>
      </c>
    </row>
    <row r="877" spans="1:13" x14ac:dyDescent="0.25">
      <c r="A877" s="4" t="s">
        <v>849</v>
      </c>
      <c r="B877" s="4" t="s">
        <v>850</v>
      </c>
      <c r="C877" s="4" t="s">
        <v>68</v>
      </c>
      <c r="D877" s="10">
        <v>618.5</v>
      </c>
      <c r="E877" s="11" t="s">
        <v>51</v>
      </c>
      <c r="F877" s="10">
        <v>2760</v>
      </c>
      <c r="G877" s="10">
        <v>0</v>
      </c>
      <c r="H877" s="10">
        <f t="shared" si="13"/>
        <v>2760</v>
      </c>
      <c r="I877" s="10"/>
      <c r="J877" s="10"/>
      <c r="K877" s="10"/>
      <c r="L877" s="4" t="s">
        <v>69</v>
      </c>
      <c r="M877" s="4">
        <v>872</v>
      </c>
    </row>
    <row r="878" spans="1:13" x14ac:dyDescent="0.25">
      <c r="A878" s="4" t="s">
        <v>851</v>
      </c>
      <c r="B878" s="4" t="s">
        <v>852</v>
      </c>
      <c r="C878" s="4" t="s">
        <v>65</v>
      </c>
      <c r="D878" s="10">
        <v>71</v>
      </c>
      <c r="E878" s="12" t="s">
        <v>66</v>
      </c>
      <c r="F878" s="10">
        <v>8400</v>
      </c>
      <c r="G878" s="10">
        <v>0</v>
      </c>
      <c r="H878" s="10">
        <f t="shared" si="13"/>
        <v>8400</v>
      </c>
      <c r="I878" s="10">
        <v>118.3098591549296</v>
      </c>
      <c r="J878" s="10">
        <v>118.3098591549296</v>
      </c>
      <c r="K878" s="10">
        <v>118.3098591549296</v>
      </c>
      <c r="L878" s="4"/>
      <c r="M878" s="4">
        <v>873</v>
      </c>
    </row>
    <row r="879" spans="1:13" x14ac:dyDescent="0.25">
      <c r="A879" s="4" t="s">
        <v>851</v>
      </c>
      <c r="B879" s="4" t="s">
        <v>853</v>
      </c>
      <c r="C879" s="4" t="s">
        <v>65</v>
      </c>
      <c r="D879" s="10">
        <v>90</v>
      </c>
      <c r="E879" s="12" t="s">
        <v>66</v>
      </c>
      <c r="F879" s="10">
        <v>12283.18</v>
      </c>
      <c r="G879" s="10">
        <v>0</v>
      </c>
      <c r="H879" s="10">
        <f t="shared" si="13"/>
        <v>12283.18</v>
      </c>
      <c r="I879" s="10">
        <v>136.4797777777778</v>
      </c>
      <c r="J879" s="10">
        <v>136.4797777777778</v>
      </c>
      <c r="K879" s="10">
        <v>136.4797777777778</v>
      </c>
      <c r="L879" s="4"/>
      <c r="M879" s="4">
        <v>874</v>
      </c>
    </row>
    <row r="880" spans="1:13" x14ac:dyDescent="0.25">
      <c r="A880" s="4" t="s">
        <v>851</v>
      </c>
      <c r="B880" s="4" t="s">
        <v>854</v>
      </c>
      <c r="C880" s="4" t="s">
        <v>65</v>
      </c>
      <c r="D880" s="10">
        <v>71</v>
      </c>
      <c r="E880" s="12" t="s">
        <v>66</v>
      </c>
      <c r="F880" s="10">
        <v>9697.24</v>
      </c>
      <c r="G880" s="10">
        <v>0</v>
      </c>
      <c r="H880" s="10">
        <f t="shared" si="13"/>
        <v>9697.24</v>
      </c>
      <c r="I880" s="10">
        <v>136.5808450704225</v>
      </c>
      <c r="J880" s="10">
        <v>136.5808450704225</v>
      </c>
      <c r="K880" s="10">
        <v>136.5808450704225</v>
      </c>
      <c r="L880" s="4"/>
      <c r="M880" s="4">
        <v>875</v>
      </c>
    </row>
    <row r="881" spans="1:13" x14ac:dyDescent="0.25">
      <c r="A881" s="4" t="s">
        <v>851</v>
      </c>
      <c r="B881" s="4" t="s">
        <v>855</v>
      </c>
      <c r="C881" s="4" t="s">
        <v>65</v>
      </c>
      <c r="D881" s="10">
        <v>85</v>
      </c>
      <c r="E881" s="12" t="s">
        <v>66</v>
      </c>
      <c r="F881" s="10">
        <v>11636.69</v>
      </c>
      <c r="G881" s="10">
        <v>0</v>
      </c>
      <c r="H881" s="10">
        <f t="shared" si="13"/>
        <v>11636.69</v>
      </c>
      <c r="I881" s="10">
        <v>136.90223529411759</v>
      </c>
      <c r="J881" s="10">
        <v>136.90223529411759</v>
      </c>
      <c r="K881" s="10">
        <v>136.90223529411759</v>
      </c>
      <c r="L881" s="4"/>
      <c r="M881" s="4">
        <v>876</v>
      </c>
    </row>
    <row r="882" spans="1:13" x14ac:dyDescent="0.25">
      <c r="A882" s="4" t="s">
        <v>851</v>
      </c>
      <c r="B882" s="4" t="s">
        <v>856</v>
      </c>
      <c r="C882" s="4" t="s">
        <v>65</v>
      </c>
      <c r="D882" s="10">
        <v>152</v>
      </c>
      <c r="E882" s="12" t="s">
        <v>66</v>
      </c>
      <c r="F882" s="10">
        <v>20687.45</v>
      </c>
      <c r="G882" s="10">
        <v>0</v>
      </c>
      <c r="H882" s="10">
        <f t="shared" si="13"/>
        <v>20687.45</v>
      </c>
      <c r="I882" s="10">
        <v>136.1016447368421</v>
      </c>
      <c r="J882" s="10">
        <v>136.1016447368421</v>
      </c>
      <c r="K882" s="10">
        <v>136.1016447368421</v>
      </c>
      <c r="L882" s="4"/>
      <c r="M882" s="4">
        <v>877</v>
      </c>
    </row>
    <row r="883" spans="1:13" x14ac:dyDescent="0.25">
      <c r="A883" s="4" t="s">
        <v>851</v>
      </c>
      <c r="B883" s="4" t="s">
        <v>857</v>
      </c>
      <c r="C883" s="4" t="s">
        <v>65</v>
      </c>
      <c r="D883" s="10">
        <v>90.5</v>
      </c>
      <c r="E883" s="12" t="s">
        <v>66</v>
      </c>
      <c r="F883" s="10">
        <v>8100</v>
      </c>
      <c r="G883" s="10">
        <v>0</v>
      </c>
      <c r="H883" s="10">
        <f t="shared" si="13"/>
        <v>8100</v>
      </c>
      <c r="I883" s="10">
        <v>89.502762430939228</v>
      </c>
      <c r="J883" s="10">
        <v>89.502762430939228</v>
      </c>
      <c r="K883" s="10">
        <v>89.502762430939228</v>
      </c>
      <c r="L883" s="4"/>
      <c r="M883" s="4">
        <v>878</v>
      </c>
    </row>
    <row r="884" spans="1:13" x14ac:dyDescent="0.25">
      <c r="A884" s="4" t="s">
        <v>851</v>
      </c>
      <c r="B884" s="4" t="s">
        <v>858</v>
      </c>
      <c r="C884" s="4" t="s">
        <v>65</v>
      </c>
      <c r="D884" s="10">
        <v>67</v>
      </c>
      <c r="E884" s="12" t="s">
        <v>66</v>
      </c>
      <c r="F884" s="10">
        <v>4800</v>
      </c>
      <c r="G884" s="10">
        <v>0</v>
      </c>
      <c r="H884" s="10">
        <f t="shared" si="13"/>
        <v>4800</v>
      </c>
      <c r="I884" s="10">
        <v>137.14285714285711</v>
      </c>
      <c r="J884" s="10">
        <v>137.14285714285711</v>
      </c>
      <c r="K884" s="10">
        <v>137.14285714285711</v>
      </c>
      <c r="L884" s="4"/>
      <c r="M884" s="4">
        <v>879</v>
      </c>
    </row>
    <row r="885" spans="1:13" x14ac:dyDescent="0.25">
      <c r="A885" s="4" t="s">
        <v>859</v>
      </c>
      <c r="B885" s="4" t="s">
        <v>860</v>
      </c>
      <c r="C885" s="4" t="s">
        <v>68</v>
      </c>
      <c r="D885" s="10">
        <v>20</v>
      </c>
      <c r="E885" s="11" t="s">
        <v>51</v>
      </c>
      <c r="F885" s="10">
        <v>2300</v>
      </c>
      <c r="G885" s="10">
        <v>0</v>
      </c>
      <c r="H885" s="10">
        <f t="shared" si="13"/>
        <v>2300</v>
      </c>
      <c r="I885" s="10"/>
      <c r="J885" s="10"/>
      <c r="K885" s="10"/>
      <c r="L885" s="4" t="s">
        <v>69</v>
      </c>
      <c r="M885" s="4">
        <v>880</v>
      </c>
    </row>
    <row r="886" spans="1:13" x14ac:dyDescent="0.25">
      <c r="A886" s="4" t="s">
        <v>859</v>
      </c>
      <c r="B886" s="4" t="s">
        <v>861</v>
      </c>
      <c r="C886" s="4" t="s">
        <v>68</v>
      </c>
      <c r="D886" s="10">
        <v>28</v>
      </c>
      <c r="E886" s="11" t="s">
        <v>51</v>
      </c>
      <c r="F886" s="10">
        <v>1380</v>
      </c>
      <c r="G886" s="10">
        <v>0</v>
      </c>
      <c r="H886" s="10">
        <f t="shared" si="13"/>
        <v>1380</v>
      </c>
      <c r="I886" s="10"/>
      <c r="J886" s="10"/>
      <c r="K886" s="10"/>
      <c r="L886" s="4" t="s">
        <v>69</v>
      </c>
      <c r="M886" s="4">
        <v>881</v>
      </c>
    </row>
    <row r="887" spans="1:13" x14ac:dyDescent="0.25">
      <c r="A887" s="4" t="s">
        <v>862</v>
      </c>
      <c r="B887" s="4" t="s">
        <v>863</v>
      </c>
      <c r="C887" s="4" t="s">
        <v>68</v>
      </c>
      <c r="D887" s="10">
        <v>200</v>
      </c>
      <c r="E887" s="11" t="s">
        <v>51</v>
      </c>
      <c r="F887" s="10">
        <v>1840</v>
      </c>
      <c r="G887" s="10">
        <v>0</v>
      </c>
      <c r="H887" s="10">
        <f t="shared" si="13"/>
        <v>1840</v>
      </c>
      <c r="I887" s="10"/>
      <c r="J887" s="10"/>
      <c r="K887" s="10"/>
      <c r="L887" s="4" t="s">
        <v>69</v>
      </c>
      <c r="M887" s="4">
        <v>882</v>
      </c>
    </row>
    <row r="888" spans="1:13" x14ac:dyDescent="0.25">
      <c r="A888" s="4" t="s">
        <v>864</v>
      </c>
      <c r="B888" s="4" t="s">
        <v>106</v>
      </c>
      <c r="C888" s="9" t="s">
        <v>50</v>
      </c>
      <c r="D888" s="10">
        <v>70</v>
      </c>
      <c r="E888" s="11" t="s">
        <v>51</v>
      </c>
      <c r="F888" s="10">
        <v>4950</v>
      </c>
      <c r="G888" s="10">
        <v>0</v>
      </c>
      <c r="H888" s="10">
        <f t="shared" si="13"/>
        <v>4950</v>
      </c>
      <c r="I888" s="10"/>
      <c r="J888" s="10"/>
      <c r="K888" s="10"/>
      <c r="L888" s="4" t="s">
        <v>52</v>
      </c>
      <c r="M888" s="4">
        <v>883</v>
      </c>
    </row>
    <row r="889" spans="1:13" x14ac:dyDescent="0.25">
      <c r="A889" s="4" t="s">
        <v>864</v>
      </c>
      <c r="B889" s="4" t="s">
        <v>271</v>
      </c>
      <c r="C889" s="9" t="s">
        <v>50</v>
      </c>
      <c r="D889" s="10">
        <v>26</v>
      </c>
      <c r="E889" s="11" t="s">
        <v>51</v>
      </c>
      <c r="F889" s="10">
        <v>1820</v>
      </c>
      <c r="G889" s="10">
        <v>0</v>
      </c>
      <c r="H889" s="10">
        <f t="shared" si="13"/>
        <v>1820</v>
      </c>
      <c r="I889" s="10"/>
      <c r="J889" s="10"/>
      <c r="K889" s="10"/>
      <c r="L889" s="4" t="s">
        <v>52</v>
      </c>
      <c r="M889" s="4">
        <v>884</v>
      </c>
    </row>
    <row r="890" spans="1:13" x14ac:dyDescent="0.25">
      <c r="A890" s="4" t="s">
        <v>864</v>
      </c>
      <c r="B890" s="4" t="s">
        <v>272</v>
      </c>
      <c r="C890" s="9" t="s">
        <v>50</v>
      </c>
      <c r="D890" s="10">
        <v>10</v>
      </c>
      <c r="E890" s="11" t="s">
        <v>51</v>
      </c>
      <c r="F890" s="10">
        <v>700</v>
      </c>
      <c r="G890" s="10">
        <v>0</v>
      </c>
      <c r="H890" s="10">
        <f t="shared" si="13"/>
        <v>700</v>
      </c>
      <c r="I890" s="10"/>
      <c r="J890" s="10"/>
      <c r="K890" s="10"/>
      <c r="L890" s="4" t="s">
        <v>52</v>
      </c>
      <c r="M890" s="4">
        <v>885</v>
      </c>
    </row>
    <row r="891" spans="1:13" x14ac:dyDescent="0.25">
      <c r="A891" s="4" t="s">
        <v>864</v>
      </c>
      <c r="B891" s="4" t="s">
        <v>107</v>
      </c>
      <c r="C891" s="9" t="s">
        <v>50</v>
      </c>
      <c r="D891" s="10">
        <v>752.5</v>
      </c>
      <c r="E891" s="11" t="s">
        <v>51</v>
      </c>
      <c r="F891" s="10">
        <v>5500</v>
      </c>
      <c r="G891" s="10">
        <v>0</v>
      </c>
      <c r="H891" s="10">
        <f t="shared" si="13"/>
        <v>5500</v>
      </c>
      <c r="I891" s="10"/>
      <c r="J891" s="10"/>
      <c r="K891" s="10"/>
      <c r="L891" s="4" t="s">
        <v>52</v>
      </c>
      <c r="M891" s="4">
        <v>886</v>
      </c>
    </row>
    <row r="892" spans="1:13" x14ac:dyDescent="0.25">
      <c r="A892" s="4" t="s">
        <v>865</v>
      </c>
      <c r="B892" s="4" t="s">
        <v>866</v>
      </c>
      <c r="C892" s="9" t="s">
        <v>50</v>
      </c>
      <c r="D892" s="10">
        <v>8</v>
      </c>
      <c r="E892" s="11" t="s">
        <v>51</v>
      </c>
      <c r="F892" s="10">
        <v>800</v>
      </c>
      <c r="G892" s="10">
        <v>0</v>
      </c>
      <c r="H892" s="10">
        <f t="shared" si="13"/>
        <v>800</v>
      </c>
      <c r="I892" s="10"/>
      <c r="J892" s="10"/>
      <c r="K892" s="10"/>
      <c r="L892" s="4" t="s">
        <v>52</v>
      </c>
      <c r="M892" s="4">
        <v>887</v>
      </c>
    </row>
    <row r="893" spans="1:13" x14ac:dyDescent="0.25">
      <c r="A893" s="4" t="s">
        <v>865</v>
      </c>
      <c r="B893" s="4" t="s">
        <v>867</v>
      </c>
      <c r="C893" s="9" t="s">
        <v>50</v>
      </c>
      <c r="D893" s="10">
        <v>84</v>
      </c>
      <c r="E893" s="11" t="s">
        <v>51</v>
      </c>
      <c r="F893" s="10">
        <v>8000</v>
      </c>
      <c r="G893" s="10">
        <v>0</v>
      </c>
      <c r="H893" s="10">
        <f t="shared" si="13"/>
        <v>8000</v>
      </c>
      <c r="I893" s="10"/>
      <c r="J893" s="10"/>
      <c r="K893" s="10"/>
      <c r="L893" s="4" t="s">
        <v>52</v>
      </c>
      <c r="M893" s="4">
        <v>888</v>
      </c>
    </row>
    <row r="894" spans="1:13" x14ac:dyDescent="0.25">
      <c r="A894" s="4" t="s">
        <v>865</v>
      </c>
      <c r="B894" s="4" t="s">
        <v>868</v>
      </c>
      <c r="C894" s="9" t="s">
        <v>50</v>
      </c>
      <c r="D894" s="10">
        <v>140.5</v>
      </c>
      <c r="E894" s="11" t="s">
        <v>51</v>
      </c>
      <c r="F894" s="10">
        <v>13400</v>
      </c>
      <c r="G894" s="10">
        <v>0</v>
      </c>
      <c r="H894" s="10">
        <f t="shared" si="13"/>
        <v>13400</v>
      </c>
      <c r="I894" s="10"/>
      <c r="J894" s="10"/>
      <c r="K894" s="10"/>
      <c r="L894" s="4" t="s">
        <v>52</v>
      </c>
      <c r="M894" s="4">
        <v>889</v>
      </c>
    </row>
    <row r="895" spans="1:13" x14ac:dyDescent="0.25">
      <c r="A895" s="4" t="s">
        <v>865</v>
      </c>
      <c r="B895" s="4" t="s">
        <v>869</v>
      </c>
      <c r="C895" s="9" t="s">
        <v>50</v>
      </c>
      <c r="D895" s="10">
        <v>63</v>
      </c>
      <c r="E895" s="11" t="s">
        <v>51</v>
      </c>
      <c r="F895" s="10">
        <v>6000</v>
      </c>
      <c r="G895" s="10">
        <v>0</v>
      </c>
      <c r="H895" s="10">
        <f t="shared" si="13"/>
        <v>6000</v>
      </c>
      <c r="I895" s="10"/>
      <c r="J895" s="10"/>
      <c r="K895" s="10"/>
      <c r="L895" s="4" t="s">
        <v>52</v>
      </c>
      <c r="M895" s="4">
        <v>890</v>
      </c>
    </row>
    <row r="896" spans="1:13" x14ac:dyDescent="0.25">
      <c r="A896" s="4" t="s">
        <v>865</v>
      </c>
      <c r="B896" s="4" t="s">
        <v>537</v>
      </c>
      <c r="C896" s="9" t="s">
        <v>50</v>
      </c>
      <c r="D896" s="10">
        <v>21</v>
      </c>
      <c r="E896" s="11" t="s">
        <v>51</v>
      </c>
      <c r="F896" s="10">
        <v>1990</v>
      </c>
      <c r="G896" s="10">
        <v>0</v>
      </c>
      <c r="H896" s="10">
        <f t="shared" si="13"/>
        <v>1990</v>
      </c>
      <c r="I896" s="10">
        <v>94.761904761904759</v>
      </c>
      <c r="J896" s="10">
        <v>94.761904761904759</v>
      </c>
      <c r="K896" s="10">
        <v>94.761904761904759</v>
      </c>
      <c r="L896" s="4" t="s">
        <v>259</v>
      </c>
      <c r="M896" s="4">
        <v>891</v>
      </c>
    </row>
    <row r="897" spans="1:13" x14ac:dyDescent="0.25">
      <c r="A897" s="4" t="s">
        <v>865</v>
      </c>
      <c r="B897" s="4" t="s">
        <v>870</v>
      </c>
      <c r="C897" s="9" t="s">
        <v>50</v>
      </c>
      <c r="D897" s="10">
        <v>107</v>
      </c>
      <c r="E897" s="11" t="s">
        <v>51</v>
      </c>
      <c r="F897" s="10">
        <v>10700</v>
      </c>
      <c r="G897" s="10">
        <v>0</v>
      </c>
      <c r="H897" s="10">
        <f t="shared" si="13"/>
        <v>10700</v>
      </c>
      <c r="I897" s="10"/>
      <c r="J897" s="10"/>
      <c r="K897" s="10"/>
      <c r="L897" s="4" t="s">
        <v>52</v>
      </c>
      <c r="M897" s="4">
        <v>892</v>
      </c>
    </row>
    <row r="898" spans="1:13" x14ac:dyDescent="0.25">
      <c r="A898" s="4" t="s">
        <v>865</v>
      </c>
      <c r="B898" s="4" t="s">
        <v>871</v>
      </c>
      <c r="C898" s="9" t="s">
        <v>50</v>
      </c>
      <c r="D898" s="10">
        <v>81.5</v>
      </c>
      <c r="E898" s="11" t="s">
        <v>51</v>
      </c>
      <c r="F898" s="10">
        <v>8150</v>
      </c>
      <c r="G898" s="10">
        <v>0</v>
      </c>
      <c r="H898" s="10">
        <f t="shared" si="13"/>
        <v>8150</v>
      </c>
      <c r="I898" s="10"/>
      <c r="J898" s="10"/>
      <c r="K898" s="10"/>
      <c r="L898" s="4" t="s">
        <v>52</v>
      </c>
      <c r="M898" s="4">
        <v>893</v>
      </c>
    </row>
    <row r="899" spans="1:13" x14ac:dyDescent="0.25">
      <c r="A899" s="4" t="s">
        <v>865</v>
      </c>
      <c r="B899" s="4" t="s">
        <v>872</v>
      </c>
      <c r="C899" s="9" t="s">
        <v>50</v>
      </c>
      <c r="D899" s="10">
        <v>320.5</v>
      </c>
      <c r="E899" s="11" t="s">
        <v>51</v>
      </c>
      <c r="F899" s="10">
        <v>19050</v>
      </c>
      <c r="G899" s="10">
        <v>0</v>
      </c>
      <c r="H899" s="10">
        <f t="shared" si="13"/>
        <v>19050</v>
      </c>
      <c r="I899" s="10"/>
      <c r="J899" s="10"/>
      <c r="K899" s="10"/>
      <c r="L899" s="4" t="s">
        <v>52</v>
      </c>
      <c r="M899" s="4">
        <v>894</v>
      </c>
    </row>
    <row r="900" spans="1:13" x14ac:dyDescent="0.25">
      <c r="A900" s="4" t="s">
        <v>873</v>
      </c>
      <c r="B900" s="4" t="s">
        <v>874</v>
      </c>
      <c r="C900" s="4" t="s">
        <v>65</v>
      </c>
      <c r="D900" s="10">
        <v>51</v>
      </c>
      <c r="E900" s="12" t="s">
        <v>66</v>
      </c>
      <c r="F900" s="10">
        <v>6000</v>
      </c>
      <c r="G900" s="10">
        <v>0</v>
      </c>
      <c r="H900" s="10">
        <f t="shared" si="13"/>
        <v>6000</v>
      </c>
      <c r="I900" s="10">
        <v>117.64705882352941</v>
      </c>
      <c r="J900" s="10">
        <v>117.64705882352941</v>
      </c>
      <c r="K900" s="10">
        <v>117.64705882352941</v>
      </c>
      <c r="L900" s="4"/>
      <c r="M900" s="4">
        <v>895</v>
      </c>
    </row>
    <row r="901" spans="1:13" x14ac:dyDescent="0.25">
      <c r="A901" s="4" t="s">
        <v>873</v>
      </c>
      <c r="B901" s="4" t="s">
        <v>875</v>
      </c>
      <c r="C901" s="4" t="s">
        <v>65</v>
      </c>
      <c r="D901" s="10">
        <v>34</v>
      </c>
      <c r="E901" s="12" t="s">
        <v>66</v>
      </c>
      <c r="F901" s="10">
        <v>3850</v>
      </c>
      <c r="G901" s="10">
        <v>0</v>
      </c>
      <c r="H901" s="10">
        <f t="shared" si="13"/>
        <v>3850</v>
      </c>
      <c r="I901" s="10">
        <v>113.2352941176471</v>
      </c>
      <c r="J901" s="10">
        <v>113.2352941176471</v>
      </c>
      <c r="K901" s="10">
        <v>113.2352941176471</v>
      </c>
      <c r="L901" s="4"/>
      <c r="M901" s="4">
        <v>896</v>
      </c>
    </row>
    <row r="902" spans="1:13" x14ac:dyDescent="0.25">
      <c r="A902" s="4" t="s">
        <v>873</v>
      </c>
      <c r="B902" s="4" t="s">
        <v>876</v>
      </c>
      <c r="C902" s="4" t="s">
        <v>68</v>
      </c>
      <c r="D902" s="10">
        <v>65</v>
      </c>
      <c r="E902" s="11" t="s">
        <v>51</v>
      </c>
      <c r="F902" s="10">
        <v>5175</v>
      </c>
      <c r="G902" s="10">
        <v>0</v>
      </c>
      <c r="H902" s="10">
        <f t="shared" ref="H902:H965" si="14">F902-G902</f>
        <v>5175</v>
      </c>
      <c r="I902" s="10"/>
      <c r="J902" s="10"/>
      <c r="K902" s="10"/>
      <c r="L902" s="4" t="s">
        <v>69</v>
      </c>
      <c r="M902" s="4">
        <v>897</v>
      </c>
    </row>
    <row r="903" spans="1:13" x14ac:dyDescent="0.25">
      <c r="A903" s="4" t="s">
        <v>877</v>
      </c>
      <c r="B903" s="4" t="s">
        <v>878</v>
      </c>
      <c r="C903" s="4" t="s">
        <v>65</v>
      </c>
      <c r="D903" s="10">
        <v>270</v>
      </c>
      <c r="E903" s="12" t="s">
        <v>66</v>
      </c>
      <c r="F903" s="10">
        <v>1450</v>
      </c>
      <c r="G903" s="10">
        <v>0</v>
      </c>
      <c r="H903" s="10">
        <f t="shared" si="14"/>
        <v>1450</v>
      </c>
      <c r="I903" s="10">
        <v>72.5</v>
      </c>
      <c r="J903" s="10">
        <v>72.5</v>
      </c>
      <c r="K903" s="10">
        <v>72.5</v>
      </c>
      <c r="L903" s="4"/>
      <c r="M903" s="4">
        <v>898</v>
      </c>
    </row>
    <row r="904" spans="1:13" x14ac:dyDescent="0.25">
      <c r="A904" s="4" t="s">
        <v>879</v>
      </c>
      <c r="B904" s="4" t="s">
        <v>880</v>
      </c>
      <c r="C904" s="4" t="s">
        <v>65</v>
      </c>
      <c r="D904" s="10">
        <v>120</v>
      </c>
      <c r="E904" s="12" t="s">
        <v>66</v>
      </c>
      <c r="F904" s="10">
        <v>9750</v>
      </c>
      <c r="G904" s="10">
        <v>0</v>
      </c>
      <c r="H904" s="10">
        <f t="shared" si="14"/>
        <v>9750</v>
      </c>
      <c r="I904" s="10">
        <v>81.25</v>
      </c>
      <c r="J904" s="10">
        <v>81.25</v>
      </c>
      <c r="K904" s="10">
        <v>81.25</v>
      </c>
      <c r="L904" s="4"/>
      <c r="M904" s="4">
        <v>899</v>
      </c>
    </row>
    <row r="905" spans="1:13" x14ac:dyDescent="0.25">
      <c r="A905" s="4" t="s">
        <v>879</v>
      </c>
      <c r="B905" s="4" t="s">
        <v>881</v>
      </c>
      <c r="C905" s="4" t="s">
        <v>65</v>
      </c>
      <c r="D905" s="10">
        <v>50</v>
      </c>
      <c r="E905" s="12" t="s">
        <v>66</v>
      </c>
      <c r="F905" s="10">
        <v>4050</v>
      </c>
      <c r="G905" s="10">
        <v>0</v>
      </c>
      <c r="H905" s="10">
        <f t="shared" si="14"/>
        <v>4050</v>
      </c>
      <c r="I905" s="10">
        <v>81</v>
      </c>
      <c r="J905" s="10">
        <v>81</v>
      </c>
      <c r="K905" s="10">
        <v>81</v>
      </c>
      <c r="L905" s="4"/>
      <c r="M905" s="4">
        <v>900</v>
      </c>
    </row>
    <row r="906" spans="1:13" x14ac:dyDescent="0.25">
      <c r="A906" s="4" t="s">
        <v>879</v>
      </c>
      <c r="B906" s="4" t="s">
        <v>882</v>
      </c>
      <c r="C906" s="4" t="s">
        <v>65</v>
      </c>
      <c r="D906" s="10">
        <v>60</v>
      </c>
      <c r="E906" s="12" t="s">
        <v>66</v>
      </c>
      <c r="F906" s="10">
        <v>4850</v>
      </c>
      <c r="G906" s="10">
        <v>0</v>
      </c>
      <c r="H906" s="10">
        <f t="shared" si="14"/>
        <v>4850</v>
      </c>
      <c r="I906" s="10">
        <v>80.833333333333329</v>
      </c>
      <c r="J906" s="10">
        <v>80.833333333333329</v>
      </c>
      <c r="K906" s="10">
        <v>80.833333333333329</v>
      </c>
      <c r="L906" s="4"/>
      <c r="M906" s="4">
        <v>901</v>
      </c>
    </row>
    <row r="907" spans="1:13" x14ac:dyDescent="0.25">
      <c r="A907" s="4" t="s">
        <v>879</v>
      </c>
      <c r="B907" s="4" t="s">
        <v>883</v>
      </c>
      <c r="C907" s="4" t="s">
        <v>68</v>
      </c>
      <c r="D907" s="10">
        <v>81</v>
      </c>
      <c r="E907" s="11" t="s">
        <v>51</v>
      </c>
      <c r="F907" s="10">
        <v>1400</v>
      </c>
      <c r="G907" s="10">
        <v>0</v>
      </c>
      <c r="H907" s="10">
        <f t="shared" si="14"/>
        <v>1400</v>
      </c>
      <c r="I907" s="10"/>
      <c r="J907" s="10"/>
      <c r="K907" s="10"/>
      <c r="L907" s="4" t="s">
        <v>69</v>
      </c>
      <c r="M907" s="4">
        <v>902</v>
      </c>
    </row>
    <row r="908" spans="1:13" x14ac:dyDescent="0.25">
      <c r="A908" s="4" t="s">
        <v>884</v>
      </c>
      <c r="B908" s="4" t="s">
        <v>885</v>
      </c>
      <c r="C908" s="4" t="s">
        <v>68</v>
      </c>
      <c r="D908" s="10">
        <v>69</v>
      </c>
      <c r="E908" s="11" t="s">
        <v>51</v>
      </c>
      <c r="F908" s="10">
        <v>7320</v>
      </c>
      <c r="G908" s="10">
        <v>0</v>
      </c>
      <c r="H908" s="10">
        <f t="shared" si="14"/>
        <v>7320</v>
      </c>
      <c r="I908" s="10"/>
      <c r="J908" s="10"/>
      <c r="K908" s="10"/>
      <c r="L908" s="4" t="s">
        <v>69</v>
      </c>
      <c r="M908" s="4">
        <v>903</v>
      </c>
    </row>
    <row r="909" spans="1:13" x14ac:dyDescent="0.25">
      <c r="A909" s="4" t="s">
        <v>886</v>
      </c>
      <c r="B909" s="4" t="s">
        <v>887</v>
      </c>
      <c r="C909" s="4" t="s">
        <v>68</v>
      </c>
      <c r="D909" s="10">
        <v>2937</v>
      </c>
      <c r="E909" s="11" t="s">
        <v>51</v>
      </c>
      <c r="F909" s="10">
        <v>960</v>
      </c>
      <c r="G909" s="10">
        <v>0</v>
      </c>
      <c r="H909" s="10">
        <f t="shared" si="14"/>
        <v>960</v>
      </c>
      <c r="I909" s="10"/>
      <c r="J909" s="10"/>
      <c r="K909" s="10"/>
      <c r="L909" s="4" t="s">
        <v>69</v>
      </c>
      <c r="M909" s="4">
        <v>904</v>
      </c>
    </row>
    <row r="910" spans="1:13" x14ac:dyDescent="0.25">
      <c r="A910" s="4" t="s">
        <v>888</v>
      </c>
      <c r="B910" s="4" t="s">
        <v>82</v>
      </c>
      <c r="C910" s="9" t="s">
        <v>50</v>
      </c>
      <c r="D910" s="10">
        <v>18</v>
      </c>
      <c r="E910" s="11" t="s">
        <v>51</v>
      </c>
      <c r="F910" s="10">
        <v>1170.4000000000001</v>
      </c>
      <c r="G910" s="10">
        <v>0</v>
      </c>
      <c r="H910" s="10">
        <f t="shared" si="14"/>
        <v>1170.4000000000001</v>
      </c>
      <c r="I910" s="10"/>
      <c r="J910" s="10"/>
      <c r="K910" s="10"/>
      <c r="L910" s="4" t="s">
        <v>52</v>
      </c>
      <c r="M910" s="4">
        <v>905</v>
      </c>
    </row>
    <row r="911" spans="1:13" x14ac:dyDescent="0.25">
      <c r="A911" s="4" t="s">
        <v>888</v>
      </c>
      <c r="B911" s="4" t="s">
        <v>88</v>
      </c>
      <c r="C911" s="9" t="s">
        <v>50</v>
      </c>
      <c r="D911" s="10">
        <v>124</v>
      </c>
      <c r="E911" s="11" t="s">
        <v>51</v>
      </c>
      <c r="F911" s="10">
        <v>8068.45</v>
      </c>
      <c r="G911" s="10">
        <v>0</v>
      </c>
      <c r="H911" s="10">
        <f t="shared" si="14"/>
        <v>8068.45</v>
      </c>
      <c r="I911" s="10"/>
      <c r="J911" s="10"/>
      <c r="K911" s="10"/>
      <c r="L911" s="4" t="s">
        <v>52</v>
      </c>
      <c r="M911" s="4">
        <v>906</v>
      </c>
    </row>
    <row r="912" spans="1:13" x14ac:dyDescent="0.25">
      <c r="A912" s="4" t="s">
        <v>888</v>
      </c>
      <c r="B912" s="4" t="s">
        <v>137</v>
      </c>
      <c r="C912" s="9" t="s">
        <v>50</v>
      </c>
      <c r="D912" s="10">
        <v>40</v>
      </c>
      <c r="E912" s="11" t="s">
        <v>51</v>
      </c>
      <c r="F912" s="10">
        <v>2604.14</v>
      </c>
      <c r="G912" s="10">
        <v>0</v>
      </c>
      <c r="H912" s="10">
        <f t="shared" si="14"/>
        <v>2604.14</v>
      </c>
      <c r="I912" s="10"/>
      <c r="J912" s="10"/>
      <c r="K912" s="10"/>
      <c r="L912" s="4" t="s">
        <v>52</v>
      </c>
      <c r="M912" s="4">
        <v>907</v>
      </c>
    </row>
    <row r="913" spans="1:13" x14ac:dyDescent="0.25">
      <c r="A913" s="4" t="s">
        <v>888</v>
      </c>
      <c r="B913" s="4" t="s">
        <v>106</v>
      </c>
      <c r="C913" s="9" t="s">
        <v>50</v>
      </c>
      <c r="D913" s="10">
        <v>230</v>
      </c>
      <c r="E913" s="11" t="s">
        <v>51</v>
      </c>
      <c r="F913" s="10">
        <v>14970.15</v>
      </c>
      <c r="G913" s="10">
        <v>0</v>
      </c>
      <c r="H913" s="10">
        <f t="shared" si="14"/>
        <v>14970.15</v>
      </c>
      <c r="I913" s="10"/>
      <c r="J913" s="10"/>
      <c r="K913" s="10"/>
      <c r="L913" s="4" t="s">
        <v>52</v>
      </c>
      <c r="M913" s="4">
        <v>908</v>
      </c>
    </row>
    <row r="914" spans="1:13" x14ac:dyDescent="0.25">
      <c r="A914" s="4" t="s">
        <v>888</v>
      </c>
      <c r="B914" s="4" t="s">
        <v>107</v>
      </c>
      <c r="C914" s="9" t="s">
        <v>50</v>
      </c>
      <c r="D914" s="10">
        <v>1932</v>
      </c>
      <c r="E914" s="11" t="s">
        <v>51</v>
      </c>
      <c r="F914" s="10">
        <v>126002.73</v>
      </c>
      <c r="G914" s="10">
        <v>0</v>
      </c>
      <c r="H914" s="10">
        <f t="shared" si="14"/>
        <v>126002.73</v>
      </c>
      <c r="I914" s="10"/>
      <c r="J914" s="10"/>
      <c r="K914" s="10"/>
      <c r="L914" s="4" t="s">
        <v>52</v>
      </c>
      <c r="M914" s="4">
        <v>909</v>
      </c>
    </row>
    <row r="915" spans="1:13" x14ac:dyDescent="0.25">
      <c r="A915" s="4" t="s">
        <v>888</v>
      </c>
      <c r="B915" s="4" t="s">
        <v>128</v>
      </c>
      <c r="C915" s="9" t="s">
        <v>50</v>
      </c>
      <c r="D915" s="10">
        <v>385</v>
      </c>
      <c r="E915" s="11" t="s">
        <v>51</v>
      </c>
      <c r="F915" s="10">
        <v>25089.45</v>
      </c>
      <c r="G915" s="10">
        <v>0</v>
      </c>
      <c r="H915" s="10">
        <f t="shared" si="14"/>
        <v>25089.45</v>
      </c>
      <c r="I915" s="10"/>
      <c r="J915" s="10"/>
      <c r="K915" s="10"/>
      <c r="L915" s="4" t="s">
        <v>52</v>
      </c>
      <c r="M915" s="4">
        <v>910</v>
      </c>
    </row>
    <row r="916" spans="1:13" x14ac:dyDescent="0.25">
      <c r="A916" s="4" t="s">
        <v>888</v>
      </c>
      <c r="B916" s="4" t="s">
        <v>889</v>
      </c>
      <c r="C916" s="9" t="s">
        <v>50</v>
      </c>
      <c r="D916" s="10">
        <v>2086</v>
      </c>
      <c r="E916" s="11" t="s">
        <v>51</v>
      </c>
      <c r="F916" s="10">
        <v>13044.69</v>
      </c>
      <c r="G916" s="10">
        <v>0</v>
      </c>
      <c r="H916" s="10">
        <f t="shared" si="14"/>
        <v>13044.69</v>
      </c>
      <c r="I916" s="10"/>
      <c r="J916" s="10"/>
      <c r="K916" s="10"/>
      <c r="L916" s="4" t="s">
        <v>52</v>
      </c>
      <c r="M916" s="4">
        <v>911</v>
      </c>
    </row>
    <row r="917" spans="1:13" x14ac:dyDescent="0.25">
      <c r="A917" s="4" t="s">
        <v>890</v>
      </c>
      <c r="B917" s="4" t="s">
        <v>891</v>
      </c>
      <c r="C917" s="4" t="s">
        <v>68</v>
      </c>
      <c r="D917" s="10">
        <v>1766</v>
      </c>
      <c r="E917" s="11" t="s">
        <v>51</v>
      </c>
      <c r="F917" s="10">
        <v>150110</v>
      </c>
      <c r="G917" s="10">
        <v>0</v>
      </c>
      <c r="H917" s="10">
        <f t="shared" si="14"/>
        <v>150110</v>
      </c>
      <c r="I917" s="10"/>
      <c r="J917" s="10"/>
      <c r="K917" s="10"/>
      <c r="L917" s="4" t="s">
        <v>69</v>
      </c>
      <c r="M917" s="4">
        <v>912</v>
      </c>
    </row>
    <row r="918" spans="1:13" x14ac:dyDescent="0.25">
      <c r="A918" s="4" t="s">
        <v>890</v>
      </c>
      <c r="B918" s="4" t="s">
        <v>892</v>
      </c>
      <c r="C918" s="4" t="s">
        <v>65</v>
      </c>
      <c r="D918" s="10">
        <v>110</v>
      </c>
      <c r="E918" s="12" t="s">
        <v>66</v>
      </c>
      <c r="F918" s="10">
        <v>14750</v>
      </c>
      <c r="G918" s="10">
        <v>0</v>
      </c>
      <c r="H918" s="10">
        <f t="shared" si="14"/>
        <v>14750</v>
      </c>
      <c r="I918" s="10">
        <v>134.09090909090909</v>
      </c>
      <c r="J918" s="10">
        <v>134.09090909090909</v>
      </c>
      <c r="K918" s="10">
        <v>134.09090909090909</v>
      </c>
      <c r="L918" s="4"/>
      <c r="M918" s="4">
        <v>913</v>
      </c>
    </row>
    <row r="919" spans="1:13" x14ac:dyDescent="0.25">
      <c r="A919" s="4" t="s">
        <v>890</v>
      </c>
      <c r="B919" s="4" t="s">
        <v>893</v>
      </c>
      <c r="C919" s="4" t="s">
        <v>65</v>
      </c>
      <c r="D919" s="10">
        <v>124</v>
      </c>
      <c r="E919" s="12" t="s">
        <v>66</v>
      </c>
      <c r="F919" s="10">
        <v>12500</v>
      </c>
      <c r="G919" s="10">
        <v>0</v>
      </c>
      <c r="H919" s="10">
        <f t="shared" si="14"/>
        <v>12500</v>
      </c>
      <c r="I919" s="10">
        <v>100.8064516129032</v>
      </c>
      <c r="J919" s="10">
        <v>100.8064516129032</v>
      </c>
      <c r="K919" s="10">
        <v>100.8064516129032</v>
      </c>
      <c r="L919" s="4"/>
      <c r="M919" s="4">
        <v>914</v>
      </c>
    </row>
    <row r="920" spans="1:13" x14ac:dyDescent="0.25">
      <c r="A920" s="4" t="s">
        <v>890</v>
      </c>
      <c r="B920" s="4" t="s">
        <v>894</v>
      </c>
      <c r="C920" s="4" t="s">
        <v>65</v>
      </c>
      <c r="D920" s="10">
        <v>50</v>
      </c>
      <c r="E920" s="12" t="s">
        <v>66</v>
      </c>
      <c r="F920" s="10">
        <v>3292</v>
      </c>
      <c r="G920" s="10">
        <v>0</v>
      </c>
      <c r="H920" s="10">
        <f t="shared" si="14"/>
        <v>3292</v>
      </c>
      <c r="I920" s="10">
        <v>65.84</v>
      </c>
      <c r="J920" s="10">
        <v>65.84</v>
      </c>
      <c r="K920" s="10">
        <v>65.84</v>
      </c>
      <c r="L920" s="4"/>
      <c r="M920" s="4">
        <v>915</v>
      </c>
    </row>
    <row r="921" spans="1:13" x14ac:dyDescent="0.25">
      <c r="A921" s="4" t="s">
        <v>890</v>
      </c>
      <c r="B921" s="4" t="s">
        <v>895</v>
      </c>
      <c r="C921" s="4" t="s">
        <v>68</v>
      </c>
      <c r="D921" s="10">
        <v>1413.5</v>
      </c>
      <c r="E921" s="11" t="s">
        <v>51</v>
      </c>
      <c r="F921" s="10">
        <v>3060</v>
      </c>
      <c r="G921" s="10">
        <v>0</v>
      </c>
      <c r="H921" s="10">
        <f t="shared" si="14"/>
        <v>3060</v>
      </c>
      <c r="I921" s="10"/>
      <c r="J921" s="10"/>
      <c r="K921" s="10"/>
      <c r="L921" s="4" t="s">
        <v>69</v>
      </c>
      <c r="M921" s="4">
        <v>916</v>
      </c>
    </row>
    <row r="922" spans="1:13" x14ac:dyDescent="0.25">
      <c r="A922" s="4" t="s">
        <v>896</v>
      </c>
      <c r="B922" s="4" t="s">
        <v>897</v>
      </c>
      <c r="C922" s="4" t="s">
        <v>68</v>
      </c>
      <c r="D922" s="10">
        <v>8.5</v>
      </c>
      <c r="E922" s="11" t="s">
        <v>51</v>
      </c>
      <c r="F922" s="10">
        <v>650</v>
      </c>
      <c r="G922" s="10">
        <v>0</v>
      </c>
      <c r="H922" s="10">
        <f t="shared" si="14"/>
        <v>650</v>
      </c>
      <c r="I922" s="10"/>
      <c r="J922" s="10"/>
      <c r="K922" s="10"/>
      <c r="L922" s="4" t="s">
        <v>69</v>
      </c>
      <c r="M922" s="4">
        <v>917</v>
      </c>
    </row>
    <row r="923" spans="1:13" x14ac:dyDescent="0.25">
      <c r="A923" s="4" t="s">
        <v>896</v>
      </c>
      <c r="B923" s="4" t="s">
        <v>898</v>
      </c>
      <c r="C923" s="4" t="s">
        <v>68</v>
      </c>
      <c r="D923" s="10">
        <v>137</v>
      </c>
      <c r="E923" s="11" t="s">
        <v>51</v>
      </c>
      <c r="F923" s="10">
        <v>10300</v>
      </c>
      <c r="G923" s="10">
        <v>0</v>
      </c>
      <c r="H923" s="10">
        <f t="shared" si="14"/>
        <v>10300</v>
      </c>
      <c r="I923" s="10"/>
      <c r="J923" s="10"/>
      <c r="K923" s="10"/>
      <c r="L923" s="4" t="s">
        <v>69</v>
      </c>
      <c r="M923" s="4">
        <v>918</v>
      </c>
    </row>
    <row r="924" spans="1:13" x14ac:dyDescent="0.25">
      <c r="A924" s="4" t="s">
        <v>896</v>
      </c>
      <c r="B924" s="4" t="s">
        <v>899</v>
      </c>
      <c r="C924" s="4" t="s">
        <v>68</v>
      </c>
      <c r="D924" s="10">
        <v>174</v>
      </c>
      <c r="E924" s="11" t="s">
        <v>51</v>
      </c>
      <c r="F924" s="10">
        <v>13050</v>
      </c>
      <c r="G924" s="10">
        <v>0</v>
      </c>
      <c r="H924" s="10">
        <f t="shared" si="14"/>
        <v>13050</v>
      </c>
      <c r="I924" s="10"/>
      <c r="J924" s="10"/>
      <c r="K924" s="10"/>
      <c r="L924" s="4" t="s">
        <v>69</v>
      </c>
      <c r="M924" s="4">
        <v>919</v>
      </c>
    </row>
    <row r="925" spans="1:13" x14ac:dyDescent="0.25">
      <c r="A925" s="4" t="s">
        <v>896</v>
      </c>
      <c r="B925" s="4" t="s">
        <v>900</v>
      </c>
      <c r="C925" s="4" t="s">
        <v>68</v>
      </c>
      <c r="D925" s="10">
        <v>137</v>
      </c>
      <c r="E925" s="11" t="s">
        <v>51</v>
      </c>
      <c r="F925" s="10">
        <v>10300</v>
      </c>
      <c r="G925" s="10">
        <v>0</v>
      </c>
      <c r="H925" s="10">
        <f t="shared" si="14"/>
        <v>10300</v>
      </c>
      <c r="I925" s="10"/>
      <c r="J925" s="10"/>
      <c r="K925" s="10"/>
      <c r="L925" s="4" t="s">
        <v>69</v>
      </c>
      <c r="M925" s="4">
        <v>920</v>
      </c>
    </row>
    <row r="926" spans="1:13" x14ac:dyDescent="0.25">
      <c r="A926" s="4" t="s">
        <v>896</v>
      </c>
      <c r="B926" s="4" t="s">
        <v>537</v>
      </c>
      <c r="C926" s="4" t="s">
        <v>68</v>
      </c>
      <c r="D926" s="10">
        <v>16</v>
      </c>
      <c r="E926" s="12" t="s">
        <v>66</v>
      </c>
      <c r="F926" s="10">
        <v>1200</v>
      </c>
      <c r="G926" s="10">
        <v>0</v>
      </c>
      <c r="H926" s="10">
        <f t="shared" si="14"/>
        <v>1200</v>
      </c>
      <c r="I926" s="10">
        <v>75</v>
      </c>
      <c r="J926" s="10">
        <v>75</v>
      </c>
      <c r="K926" s="10">
        <v>75</v>
      </c>
      <c r="L926" s="4"/>
      <c r="M926" s="4">
        <v>921</v>
      </c>
    </row>
    <row r="927" spans="1:13" x14ac:dyDescent="0.25">
      <c r="A927" s="4" t="s">
        <v>896</v>
      </c>
      <c r="B927" s="4" t="s">
        <v>901</v>
      </c>
      <c r="C927" s="4" t="s">
        <v>68</v>
      </c>
      <c r="D927" s="10">
        <v>165</v>
      </c>
      <c r="E927" s="11" t="s">
        <v>51</v>
      </c>
      <c r="F927" s="10">
        <v>12400</v>
      </c>
      <c r="G927" s="10">
        <v>0</v>
      </c>
      <c r="H927" s="10">
        <f t="shared" si="14"/>
        <v>12400</v>
      </c>
      <c r="I927" s="10"/>
      <c r="J927" s="10"/>
      <c r="K927" s="10"/>
      <c r="L927" s="4" t="s">
        <v>69</v>
      </c>
      <c r="M927" s="4">
        <v>922</v>
      </c>
    </row>
    <row r="928" spans="1:13" x14ac:dyDescent="0.25">
      <c r="A928" s="4" t="s">
        <v>896</v>
      </c>
      <c r="B928" s="4" t="s">
        <v>902</v>
      </c>
      <c r="C928" s="4" t="s">
        <v>68</v>
      </c>
      <c r="D928" s="10">
        <v>1036</v>
      </c>
      <c r="E928" s="11" t="s">
        <v>51</v>
      </c>
      <c r="F928" s="10">
        <v>63000</v>
      </c>
      <c r="G928" s="10">
        <v>0</v>
      </c>
      <c r="H928" s="10">
        <f t="shared" si="14"/>
        <v>63000</v>
      </c>
      <c r="I928" s="10"/>
      <c r="J928" s="10"/>
      <c r="K928" s="10"/>
      <c r="L928" s="4" t="s">
        <v>69</v>
      </c>
      <c r="M928" s="4">
        <v>923</v>
      </c>
    </row>
    <row r="929" spans="1:13" x14ac:dyDescent="0.25">
      <c r="A929" s="4" t="s">
        <v>903</v>
      </c>
      <c r="B929" s="4" t="s">
        <v>904</v>
      </c>
      <c r="C929" s="4" t="s">
        <v>68</v>
      </c>
      <c r="D929" s="10">
        <v>360</v>
      </c>
      <c r="E929" s="11" t="s">
        <v>51</v>
      </c>
      <c r="F929" s="10">
        <v>30800</v>
      </c>
      <c r="G929" s="10">
        <v>0</v>
      </c>
      <c r="H929" s="10">
        <f t="shared" si="14"/>
        <v>30800</v>
      </c>
      <c r="I929" s="10"/>
      <c r="J929" s="10"/>
      <c r="K929" s="10"/>
      <c r="L929" s="4" t="s">
        <v>69</v>
      </c>
      <c r="M929" s="4">
        <v>924</v>
      </c>
    </row>
    <row r="930" spans="1:13" x14ac:dyDescent="0.25">
      <c r="A930" s="4" t="s">
        <v>905</v>
      </c>
      <c r="B930" s="4" t="s">
        <v>906</v>
      </c>
      <c r="C930" s="4" t="s">
        <v>68</v>
      </c>
      <c r="D930" s="10">
        <v>336</v>
      </c>
      <c r="E930" s="11" t="s">
        <v>51</v>
      </c>
      <c r="F930" s="10">
        <v>8800</v>
      </c>
      <c r="G930" s="10">
        <v>0</v>
      </c>
      <c r="H930" s="10">
        <f t="shared" si="14"/>
        <v>8800</v>
      </c>
      <c r="I930" s="10"/>
      <c r="J930" s="10"/>
      <c r="K930" s="10"/>
      <c r="L930" s="4" t="s">
        <v>69</v>
      </c>
      <c r="M930" s="4">
        <v>925</v>
      </c>
    </row>
    <row r="931" spans="1:13" x14ac:dyDescent="0.25">
      <c r="A931" s="4" t="s">
        <v>907</v>
      </c>
      <c r="B931" s="4" t="s">
        <v>908</v>
      </c>
      <c r="C931" s="4" t="s">
        <v>65</v>
      </c>
      <c r="D931" s="10">
        <v>58</v>
      </c>
      <c r="E931" s="12" t="s">
        <v>66</v>
      </c>
      <c r="F931" s="10">
        <v>3350</v>
      </c>
      <c r="G931" s="10">
        <v>0</v>
      </c>
      <c r="H931" s="10">
        <f t="shared" si="14"/>
        <v>3350</v>
      </c>
      <c r="I931" s="10">
        <v>57.758620689655167</v>
      </c>
      <c r="J931" s="10">
        <v>57.758620689655167</v>
      </c>
      <c r="K931" s="10">
        <v>57.758620689655167</v>
      </c>
      <c r="L931" s="4"/>
      <c r="M931" s="4">
        <v>926</v>
      </c>
    </row>
    <row r="932" spans="1:13" x14ac:dyDescent="0.25">
      <c r="A932" s="4" t="s">
        <v>907</v>
      </c>
      <c r="B932" s="4" t="s">
        <v>909</v>
      </c>
      <c r="C932" s="4" t="s">
        <v>68</v>
      </c>
      <c r="D932" s="10">
        <v>100</v>
      </c>
      <c r="E932" s="11" t="s">
        <v>51</v>
      </c>
      <c r="F932" s="10">
        <v>5000</v>
      </c>
      <c r="G932" s="10">
        <v>0</v>
      </c>
      <c r="H932" s="10">
        <f t="shared" si="14"/>
        <v>5000</v>
      </c>
      <c r="I932" s="10"/>
      <c r="J932" s="10"/>
      <c r="K932" s="10"/>
      <c r="L932" s="4" t="s">
        <v>69</v>
      </c>
      <c r="M932" s="4">
        <v>927</v>
      </c>
    </row>
    <row r="933" spans="1:13" x14ac:dyDescent="0.25">
      <c r="A933" s="4" t="s">
        <v>907</v>
      </c>
      <c r="B933" s="4" t="s">
        <v>910</v>
      </c>
      <c r="C933" s="4" t="s">
        <v>65</v>
      </c>
      <c r="D933" s="10">
        <v>78</v>
      </c>
      <c r="E933" s="12" t="s">
        <v>66</v>
      </c>
      <c r="F933" s="10">
        <v>4500</v>
      </c>
      <c r="G933" s="10">
        <v>0</v>
      </c>
      <c r="H933" s="10">
        <f t="shared" si="14"/>
        <v>4500</v>
      </c>
      <c r="I933" s="10">
        <v>57.692307692307693</v>
      </c>
      <c r="J933" s="10">
        <v>57.692307692307693</v>
      </c>
      <c r="K933" s="10">
        <v>57.692307692307693</v>
      </c>
      <c r="L933" s="4"/>
      <c r="M933" s="4">
        <v>928</v>
      </c>
    </row>
    <row r="934" spans="1:13" x14ac:dyDescent="0.25">
      <c r="A934" s="4" t="s">
        <v>907</v>
      </c>
      <c r="B934" s="4" t="s">
        <v>911</v>
      </c>
      <c r="C934" s="4" t="s">
        <v>68</v>
      </c>
      <c r="D934" s="10">
        <v>196</v>
      </c>
      <c r="E934" s="11" t="s">
        <v>51</v>
      </c>
      <c r="F934" s="10">
        <v>1000</v>
      </c>
      <c r="G934" s="10">
        <v>0</v>
      </c>
      <c r="H934" s="10">
        <f t="shared" si="14"/>
        <v>1000</v>
      </c>
      <c r="I934" s="10"/>
      <c r="J934" s="10"/>
      <c r="K934" s="10"/>
      <c r="L934" s="4" t="s">
        <v>69</v>
      </c>
      <c r="M934" s="4">
        <v>929</v>
      </c>
    </row>
    <row r="935" spans="1:13" x14ac:dyDescent="0.25">
      <c r="A935" s="4" t="s">
        <v>912</v>
      </c>
      <c r="B935" s="4" t="s">
        <v>913</v>
      </c>
      <c r="C935" s="4" t="s">
        <v>68</v>
      </c>
      <c r="D935" s="10">
        <v>96</v>
      </c>
      <c r="E935" s="11" t="s">
        <v>51</v>
      </c>
      <c r="F935" s="10">
        <v>11040</v>
      </c>
      <c r="G935" s="10">
        <v>0</v>
      </c>
      <c r="H935" s="10">
        <f t="shared" si="14"/>
        <v>11040</v>
      </c>
      <c r="I935" s="10"/>
      <c r="J935" s="10"/>
      <c r="K935" s="10"/>
      <c r="L935" s="4" t="s">
        <v>69</v>
      </c>
      <c r="M935" s="4">
        <v>930</v>
      </c>
    </row>
    <row r="936" spans="1:13" x14ac:dyDescent="0.25">
      <c r="A936" s="4" t="s">
        <v>912</v>
      </c>
      <c r="B936" s="4" t="s">
        <v>914</v>
      </c>
      <c r="C936" s="4" t="s">
        <v>68</v>
      </c>
      <c r="D936" s="10">
        <v>251</v>
      </c>
      <c r="E936" s="11" t="s">
        <v>51</v>
      </c>
      <c r="F936" s="10">
        <v>15640</v>
      </c>
      <c r="G936" s="10">
        <v>0</v>
      </c>
      <c r="H936" s="10">
        <f t="shared" si="14"/>
        <v>15640</v>
      </c>
      <c r="I936" s="10"/>
      <c r="J936" s="10"/>
      <c r="K936" s="10"/>
      <c r="L936" s="4" t="s">
        <v>69</v>
      </c>
      <c r="M936" s="4">
        <v>931</v>
      </c>
    </row>
    <row r="937" spans="1:13" x14ac:dyDescent="0.25">
      <c r="A937" s="4" t="s">
        <v>915</v>
      </c>
      <c r="B937" s="4" t="s">
        <v>106</v>
      </c>
      <c r="C937" s="9" t="s">
        <v>50</v>
      </c>
      <c r="D937" s="10">
        <v>65</v>
      </c>
      <c r="E937" s="11" t="s">
        <v>51</v>
      </c>
      <c r="F937" s="10">
        <v>4550</v>
      </c>
      <c r="G937" s="10">
        <v>0</v>
      </c>
      <c r="H937" s="10">
        <f t="shared" si="14"/>
        <v>4550</v>
      </c>
      <c r="I937" s="10"/>
      <c r="J937" s="10"/>
      <c r="K937" s="10"/>
      <c r="L937" s="4" t="s">
        <v>52</v>
      </c>
      <c r="M937" s="4">
        <v>932</v>
      </c>
    </row>
    <row r="938" spans="1:13" x14ac:dyDescent="0.25">
      <c r="A938" s="4" t="s">
        <v>915</v>
      </c>
      <c r="B938" s="4" t="s">
        <v>271</v>
      </c>
      <c r="C938" s="9" t="s">
        <v>50</v>
      </c>
      <c r="D938" s="10">
        <v>26</v>
      </c>
      <c r="E938" s="11" t="s">
        <v>51</v>
      </c>
      <c r="F938" s="10">
        <v>1820</v>
      </c>
      <c r="G938" s="10">
        <v>0</v>
      </c>
      <c r="H938" s="10">
        <f t="shared" si="14"/>
        <v>1820</v>
      </c>
      <c r="I938" s="10"/>
      <c r="J938" s="10"/>
      <c r="K938" s="10"/>
      <c r="L938" s="4" t="s">
        <v>52</v>
      </c>
      <c r="M938" s="4">
        <v>933</v>
      </c>
    </row>
    <row r="939" spans="1:13" x14ac:dyDescent="0.25">
      <c r="A939" s="4" t="s">
        <v>915</v>
      </c>
      <c r="B939" s="4" t="s">
        <v>272</v>
      </c>
      <c r="C939" s="9" t="s">
        <v>50</v>
      </c>
      <c r="D939" s="10">
        <v>10</v>
      </c>
      <c r="E939" s="11" t="s">
        <v>51</v>
      </c>
      <c r="F939" s="10">
        <v>700</v>
      </c>
      <c r="G939" s="10">
        <v>0</v>
      </c>
      <c r="H939" s="10">
        <f t="shared" si="14"/>
        <v>700</v>
      </c>
      <c r="I939" s="10"/>
      <c r="J939" s="10"/>
      <c r="K939" s="10"/>
      <c r="L939" s="4" t="s">
        <v>52</v>
      </c>
      <c r="M939" s="4">
        <v>934</v>
      </c>
    </row>
    <row r="940" spans="1:13" x14ac:dyDescent="0.25">
      <c r="A940" s="4" t="s">
        <v>915</v>
      </c>
      <c r="B940" s="4" t="s">
        <v>107</v>
      </c>
      <c r="C940" s="9" t="s">
        <v>50</v>
      </c>
      <c r="D940" s="10">
        <v>398.75</v>
      </c>
      <c r="E940" s="11" t="s">
        <v>51</v>
      </c>
      <c r="F940" s="10">
        <v>4900</v>
      </c>
      <c r="G940" s="10">
        <v>0</v>
      </c>
      <c r="H940" s="10">
        <f t="shared" si="14"/>
        <v>4900</v>
      </c>
      <c r="I940" s="10"/>
      <c r="J940" s="10"/>
      <c r="K940" s="10"/>
      <c r="L940" s="4" t="s">
        <v>52</v>
      </c>
      <c r="M940" s="4">
        <v>935</v>
      </c>
    </row>
    <row r="941" spans="1:13" x14ac:dyDescent="0.25">
      <c r="A941" s="4" t="s">
        <v>916</v>
      </c>
      <c r="B941" s="4" t="s">
        <v>106</v>
      </c>
      <c r="C941" s="9" t="s">
        <v>50</v>
      </c>
      <c r="D941" s="10">
        <v>102</v>
      </c>
      <c r="E941" s="11" t="s">
        <v>51</v>
      </c>
      <c r="F941" s="10">
        <v>7150</v>
      </c>
      <c r="G941" s="10">
        <v>0</v>
      </c>
      <c r="H941" s="10">
        <f t="shared" si="14"/>
        <v>7150</v>
      </c>
      <c r="I941" s="10"/>
      <c r="J941" s="10"/>
      <c r="K941" s="10"/>
      <c r="L941" s="4" t="s">
        <v>52</v>
      </c>
      <c r="M941" s="4">
        <v>936</v>
      </c>
    </row>
    <row r="942" spans="1:13" x14ac:dyDescent="0.25">
      <c r="A942" s="4" t="s">
        <v>916</v>
      </c>
      <c r="B942" s="4" t="s">
        <v>271</v>
      </c>
      <c r="C942" s="9" t="s">
        <v>50</v>
      </c>
      <c r="D942" s="10">
        <v>26</v>
      </c>
      <c r="E942" s="11" t="s">
        <v>51</v>
      </c>
      <c r="F942" s="10">
        <v>1820</v>
      </c>
      <c r="G942" s="10">
        <v>0</v>
      </c>
      <c r="H942" s="10">
        <f t="shared" si="14"/>
        <v>1820</v>
      </c>
      <c r="I942" s="10"/>
      <c r="J942" s="10"/>
      <c r="K942" s="10"/>
      <c r="L942" s="4" t="s">
        <v>52</v>
      </c>
      <c r="M942" s="4">
        <v>937</v>
      </c>
    </row>
    <row r="943" spans="1:13" x14ac:dyDescent="0.25">
      <c r="A943" s="4" t="s">
        <v>916</v>
      </c>
      <c r="B943" s="4" t="s">
        <v>272</v>
      </c>
      <c r="C943" s="9" t="s">
        <v>50</v>
      </c>
      <c r="D943" s="10">
        <v>10</v>
      </c>
      <c r="E943" s="11" t="s">
        <v>51</v>
      </c>
      <c r="F943" s="10">
        <v>700</v>
      </c>
      <c r="G943" s="10">
        <v>0</v>
      </c>
      <c r="H943" s="10">
        <f t="shared" si="14"/>
        <v>700</v>
      </c>
      <c r="I943" s="10"/>
      <c r="J943" s="10"/>
      <c r="K943" s="10"/>
      <c r="L943" s="4" t="s">
        <v>52</v>
      </c>
      <c r="M943" s="4">
        <v>938</v>
      </c>
    </row>
    <row r="944" spans="1:13" x14ac:dyDescent="0.25">
      <c r="A944" s="4" t="s">
        <v>916</v>
      </c>
      <c r="B944" s="4" t="s">
        <v>107</v>
      </c>
      <c r="C944" s="9" t="s">
        <v>50</v>
      </c>
      <c r="D944" s="10">
        <v>141</v>
      </c>
      <c r="E944" s="11" t="s">
        <v>51</v>
      </c>
      <c r="F944" s="10">
        <v>9900</v>
      </c>
      <c r="G944" s="10">
        <v>0</v>
      </c>
      <c r="H944" s="10">
        <f t="shared" si="14"/>
        <v>9900</v>
      </c>
      <c r="I944" s="10"/>
      <c r="J944" s="10"/>
      <c r="K944" s="10"/>
      <c r="L944" s="4" t="s">
        <v>52</v>
      </c>
      <c r="M944" s="4">
        <v>939</v>
      </c>
    </row>
    <row r="945" spans="1:13" x14ac:dyDescent="0.25">
      <c r="A945" s="4" t="s">
        <v>916</v>
      </c>
      <c r="B945" s="4" t="s">
        <v>917</v>
      </c>
      <c r="C945" s="4" t="s">
        <v>68</v>
      </c>
      <c r="D945" s="10">
        <v>118.75</v>
      </c>
      <c r="E945" s="11" t="s">
        <v>51</v>
      </c>
      <c r="F945" s="10">
        <v>3482.5</v>
      </c>
      <c r="G945" s="10">
        <v>0</v>
      </c>
      <c r="H945" s="10">
        <f t="shared" si="14"/>
        <v>3482.5</v>
      </c>
      <c r="I945" s="10"/>
      <c r="J945" s="10"/>
      <c r="K945" s="10"/>
      <c r="L945" s="4" t="s">
        <v>69</v>
      </c>
      <c r="M945" s="4">
        <v>940</v>
      </c>
    </row>
    <row r="946" spans="1:13" x14ac:dyDescent="0.25">
      <c r="A946" s="4" t="s">
        <v>918</v>
      </c>
      <c r="B946" s="4" t="s">
        <v>919</v>
      </c>
      <c r="C946" s="9" t="s">
        <v>50</v>
      </c>
      <c r="D946" s="10">
        <v>137</v>
      </c>
      <c r="E946" s="11" t="s">
        <v>51</v>
      </c>
      <c r="F946" s="10">
        <v>4100</v>
      </c>
      <c r="G946" s="10">
        <v>0</v>
      </c>
      <c r="H946" s="10">
        <f t="shared" si="14"/>
        <v>4100</v>
      </c>
      <c r="I946" s="10"/>
      <c r="J946" s="10"/>
      <c r="K946" s="10"/>
      <c r="L946" s="4" t="s">
        <v>52</v>
      </c>
      <c r="M946" s="4">
        <v>941</v>
      </c>
    </row>
    <row r="947" spans="1:13" x14ac:dyDescent="0.25">
      <c r="A947" s="4" t="s">
        <v>920</v>
      </c>
      <c r="B947" s="4" t="s">
        <v>921</v>
      </c>
      <c r="C947" s="4" t="s">
        <v>65</v>
      </c>
      <c r="D947" s="10">
        <v>30</v>
      </c>
      <c r="E947" s="12" t="s">
        <v>66</v>
      </c>
      <c r="F947" s="10">
        <v>3400</v>
      </c>
      <c r="G947" s="10">
        <v>0</v>
      </c>
      <c r="H947" s="10">
        <f t="shared" si="14"/>
        <v>3400</v>
      </c>
      <c r="I947" s="10">
        <v>113.3333333333333</v>
      </c>
      <c r="J947" s="10">
        <v>113.3333333333333</v>
      </c>
      <c r="K947" s="10">
        <v>113.3333333333333</v>
      </c>
      <c r="L947" s="4"/>
      <c r="M947" s="4">
        <v>942</v>
      </c>
    </row>
    <row r="948" spans="1:13" x14ac:dyDescent="0.25">
      <c r="A948" s="4" t="s">
        <v>920</v>
      </c>
      <c r="B948" s="4" t="s">
        <v>922</v>
      </c>
      <c r="C948" s="4" t="s">
        <v>68</v>
      </c>
      <c r="D948" s="10">
        <v>12</v>
      </c>
      <c r="E948" s="11" t="s">
        <v>51</v>
      </c>
      <c r="F948" s="10">
        <v>4180</v>
      </c>
      <c r="G948" s="10">
        <v>0</v>
      </c>
      <c r="H948" s="10">
        <f t="shared" si="14"/>
        <v>4180</v>
      </c>
      <c r="I948" s="10"/>
      <c r="J948" s="10"/>
      <c r="K948" s="10"/>
      <c r="L948" s="4" t="s">
        <v>69</v>
      </c>
      <c r="M948" s="4">
        <v>943</v>
      </c>
    </row>
    <row r="949" spans="1:13" x14ac:dyDescent="0.25">
      <c r="A949" s="4" t="s">
        <v>923</v>
      </c>
      <c r="B949" s="4" t="s">
        <v>924</v>
      </c>
      <c r="C949" s="4" t="s">
        <v>65</v>
      </c>
      <c r="D949" s="10">
        <v>12</v>
      </c>
      <c r="E949" s="12" t="s">
        <v>66</v>
      </c>
      <c r="F949" s="10">
        <v>1400</v>
      </c>
      <c r="G949" s="10">
        <v>0</v>
      </c>
      <c r="H949" s="10">
        <f t="shared" si="14"/>
        <v>1400</v>
      </c>
      <c r="I949" s="10">
        <v>116.6666666666667</v>
      </c>
      <c r="J949" s="10">
        <v>116.6666666666667</v>
      </c>
      <c r="K949" s="10">
        <v>116.6666666666667</v>
      </c>
      <c r="L949" s="4"/>
      <c r="M949" s="4">
        <v>944</v>
      </c>
    </row>
    <row r="950" spans="1:13" x14ac:dyDescent="0.25">
      <c r="A950" s="4" t="s">
        <v>923</v>
      </c>
      <c r="B950" s="4" t="s">
        <v>925</v>
      </c>
      <c r="C950" s="9" t="s">
        <v>50</v>
      </c>
      <c r="D950" s="10"/>
      <c r="E950" s="11" t="s">
        <v>51</v>
      </c>
      <c r="F950" s="10"/>
      <c r="G950" s="10">
        <v>0</v>
      </c>
      <c r="H950" s="10">
        <f t="shared" si="14"/>
        <v>0</v>
      </c>
      <c r="I950" s="10"/>
      <c r="J950" s="10"/>
      <c r="K950" s="10"/>
      <c r="L950" s="4" t="s">
        <v>52</v>
      </c>
      <c r="M950" s="4">
        <v>945</v>
      </c>
    </row>
    <row r="951" spans="1:13" x14ac:dyDescent="0.25">
      <c r="A951" s="4" t="s">
        <v>926</v>
      </c>
      <c r="B951" s="4" t="s">
        <v>404</v>
      </c>
      <c r="C951" s="9" t="s">
        <v>50</v>
      </c>
      <c r="D951" s="10"/>
      <c r="E951" s="11" t="s">
        <v>51</v>
      </c>
      <c r="F951" s="10"/>
      <c r="G951" s="10">
        <v>0</v>
      </c>
      <c r="H951" s="10">
        <f t="shared" si="14"/>
        <v>0</v>
      </c>
      <c r="I951" s="10"/>
      <c r="J951" s="10"/>
      <c r="K951" s="10"/>
      <c r="L951" s="4" t="s">
        <v>52</v>
      </c>
      <c r="M951" s="4">
        <v>946</v>
      </c>
    </row>
    <row r="952" spans="1:13" x14ac:dyDescent="0.25">
      <c r="A952" s="4" t="s">
        <v>926</v>
      </c>
      <c r="B952" s="4" t="s">
        <v>270</v>
      </c>
      <c r="C952" s="9" t="s">
        <v>50</v>
      </c>
      <c r="D952" s="10">
        <v>26</v>
      </c>
      <c r="E952" s="11" t="s">
        <v>51</v>
      </c>
      <c r="F952" s="10"/>
      <c r="G952" s="10">
        <v>0</v>
      </c>
      <c r="H952" s="10">
        <f t="shared" si="14"/>
        <v>0</v>
      </c>
      <c r="I952" s="10"/>
      <c r="J952" s="10"/>
      <c r="K952" s="10"/>
      <c r="L952" s="4" t="s">
        <v>52</v>
      </c>
      <c r="M952" s="4">
        <v>947</v>
      </c>
    </row>
    <row r="953" spans="1:13" x14ac:dyDescent="0.25">
      <c r="A953" s="4" t="s">
        <v>927</v>
      </c>
      <c r="B953" s="4" t="s">
        <v>152</v>
      </c>
      <c r="C953" s="4" t="s">
        <v>65</v>
      </c>
      <c r="D953" s="10">
        <v>6</v>
      </c>
      <c r="E953" s="12" t="s">
        <v>66</v>
      </c>
      <c r="F953" s="10">
        <v>550</v>
      </c>
      <c r="G953" s="10">
        <v>0</v>
      </c>
      <c r="H953" s="10">
        <f t="shared" si="14"/>
        <v>550</v>
      </c>
      <c r="I953" s="10">
        <v>91.666666666666671</v>
      </c>
      <c r="J953" s="10">
        <v>91.666666666666671</v>
      </c>
      <c r="K953" s="10">
        <v>91.666666666666671</v>
      </c>
      <c r="L953" s="4"/>
      <c r="M953" s="4">
        <v>948</v>
      </c>
    </row>
    <row r="954" spans="1:13" x14ac:dyDescent="0.25">
      <c r="A954" s="4" t="s">
        <v>927</v>
      </c>
      <c r="B954" s="4" t="s">
        <v>928</v>
      </c>
      <c r="C954" s="4" t="s">
        <v>65</v>
      </c>
      <c r="D954" s="10">
        <v>109</v>
      </c>
      <c r="E954" s="12" t="s">
        <v>66</v>
      </c>
      <c r="F954" s="10">
        <v>2600</v>
      </c>
      <c r="G954" s="10">
        <v>0</v>
      </c>
      <c r="H954" s="10">
        <f t="shared" si="14"/>
        <v>2600</v>
      </c>
      <c r="I954" s="10">
        <v>130</v>
      </c>
      <c r="J954" s="10">
        <v>130</v>
      </c>
      <c r="K954" s="10">
        <v>130</v>
      </c>
      <c r="L954" s="4"/>
      <c r="M954" s="4">
        <v>949</v>
      </c>
    </row>
    <row r="955" spans="1:13" x14ac:dyDescent="0.25">
      <c r="A955" s="4" t="s">
        <v>929</v>
      </c>
      <c r="B955" s="4" t="s">
        <v>378</v>
      </c>
      <c r="C955" s="4" t="s">
        <v>65</v>
      </c>
      <c r="D955" s="10">
        <v>69</v>
      </c>
      <c r="E955" s="12" t="s">
        <v>66</v>
      </c>
      <c r="F955" s="10">
        <v>8000</v>
      </c>
      <c r="G955" s="10">
        <v>0</v>
      </c>
      <c r="H955" s="10">
        <f t="shared" si="14"/>
        <v>8000</v>
      </c>
      <c r="I955" s="10">
        <v>115.94202898550721</v>
      </c>
      <c r="J955" s="10">
        <v>115.94202898550721</v>
      </c>
      <c r="K955" s="10">
        <v>115.94202898550721</v>
      </c>
      <c r="L955" s="4"/>
      <c r="M955" s="4">
        <v>950</v>
      </c>
    </row>
    <row r="956" spans="1:13" x14ac:dyDescent="0.25">
      <c r="A956" s="4" t="s">
        <v>929</v>
      </c>
      <c r="B956" s="4" t="s">
        <v>326</v>
      </c>
      <c r="C956" s="4" t="s">
        <v>68</v>
      </c>
      <c r="D956" s="10">
        <v>71</v>
      </c>
      <c r="E956" s="11" t="s">
        <v>51</v>
      </c>
      <c r="F956" s="10">
        <v>4800</v>
      </c>
      <c r="G956" s="10">
        <v>0</v>
      </c>
      <c r="H956" s="10">
        <f t="shared" si="14"/>
        <v>4800</v>
      </c>
      <c r="I956" s="10"/>
      <c r="J956" s="10"/>
      <c r="K956" s="10"/>
      <c r="L956" s="4" t="s">
        <v>69</v>
      </c>
      <c r="M956" s="4">
        <v>951</v>
      </c>
    </row>
    <row r="957" spans="1:13" x14ac:dyDescent="0.25">
      <c r="A957" s="4" t="s">
        <v>930</v>
      </c>
      <c r="B957" s="4" t="s">
        <v>931</v>
      </c>
      <c r="C957" s="4" t="s">
        <v>65</v>
      </c>
      <c r="D957" s="10">
        <v>31</v>
      </c>
      <c r="E957" s="12" t="s">
        <v>66</v>
      </c>
      <c r="F957" s="10">
        <v>3700</v>
      </c>
      <c r="G957" s="10">
        <v>0</v>
      </c>
      <c r="H957" s="10">
        <f t="shared" si="14"/>
        <v>3700</v>
      </c>
      <c r="I957" s="10">
        <v>119.3548387096774</v>
      </c>
      <c r="J957" s="10">
        <v>119.3548387096774</v>
      </c>
      <c r="K957" s="10">
        <v>119.3548387096774</v>
      </c>
      <c r="L957" s="4"/>
      <c r="M957" s="4">
        <v>952</v>
      </c>
    </row>
    <row r="958" spans="1:13" x14ac:dyDescent="0.25">
      <c r="A958" s="4" t="s">
        <v>932</v>
      </c>
      <c r="B958" s="4" t="s">
        <v>404</v>
      </c>
      <c r="C958" s="9" t="s">
        <v>50</v>
      </c>
      <c r="D958" s="10">
        <v>64</v>
      </c>
      <c r="E958" s="11" t="s">
        <v>51</v>
      </c>
      <c r="F958" s="10"/>
      <c r="G958" s="10">
        <v>0</v>
      </c>
      <c r="H958" s="10">
        <f t="shared" si="14"/>
        <v>0</v>
      </c>
      <c r="I958" s="10"/>
      <c r="J958" s="10"/>
      <c r="K958" s="10"/>
      <c r="L958" s="4" t="s">
        <v>52</v>
      </c>
      <c r="M958" s="4">
        <v>953</v>
      </c>
    </row>
    <row r="959" spans="1:13" x14ac:dyDescent="0.25">
      <c r="A959" s="4" t="s">
        <v>933</v>
      </c>
      <c r="B959" s="4" t="s">
        <v>934</v>
      </c>
      <c r="C959" s="4" t="s">
        <v>65</v>
      </c>
      <c r="D959" s="10">
        <v>7089.5</v>
      </c>
      <c r="E959" s="12" t="s">
        <v>66</v>
      </c>
      <c r="F959" s="10">
        <v>6500</v>
      </c>
      <c r="G959" s="10">
        <v>0</v>
      </c>
      <c r="H959" s="10">
        <f t="shared" si="14"/>
        <v>6500</v>
      </c>
      <c r="I959" s="10">
        <v>101.5625</v>
      </c>
      <c r="J959" s="10">
        <v>101.5625</v>
      </c>
      <c r="K959" s="10">
        <v>101.5625</v>
      </c>
      <c r="L959" s="4"/>
      <c r="M959" s="4">
        <v>954</v>
      </c>
    </row>
    <row r="960" spans="1:13" x14ac:dyDescent="0.25">
      <c r="A960" s="4" t="s">
        <v>935</v>
      </c>
      <c r="B960" s="4" t="s">
        <v>106</v>
      </c>
      <c r="C960" s="9" t="s">
        <v>50</v>
      </c>
      <c r="D960" s="10">
        <v>5022</v>
      </c>
      <c r="E960" s="11" t="s">
        <v>51</v>
      </c>
      <c r="F960" s="10">
        <v>355923.20000000001</v>
      </c>
      <c r="G960" s="10">
        <v>0</v>
      </c>
      <c r="H960" s="10">
        <f t="shared" si="14"/>
        <v>355923.20000000001</v>
      </c>
      <c r="I960" s="10"/>
      <c r="J960" s="10"/>
      <c r="K960" s="10"/>
      <c r="L960" s="4" t="s">
        <v>52</v>
      </c>
      <c r="M960" s="4">
        <v>955</v>
      </c>
    </row>
    <row r="961" spans="1:13" x14ac:dyDescent="0.25">
      <c r="A961" s="4" t="s">
        <v>935</v>
      </c>
      <c r="B961" s="4" t="s">
        <v>271</v>
      </c>
      <c r="C961" s="9" t="s">
        <v>50</v>
      </c>
      <c r="D961" s="10">
        <v>1366.5</v>
      </c>
      <c r="E961" s="11" t="s">
        <v>51</v>
      </c>
      <c r="F961" s="10">
        <v>97745.02</v>
      </c>
      <c r="G961" s="10">
        <v>0</v>
      </c>
      <c r="H961" s="10">
        <f t="shared" si="14"/>
        <v>97745.02</v>
      </c>
      <c r="I961" s="10"/>
      <c r="J961" s="10"/>
      <c r="K961" s="10"/>
      <c r="L961" s="4" t="s">
        <v>52</v>
      </c>
      <c r="M961" s="4">
        <v>956</v>
      </c>
    </row>
    <row r="962" spans="1:13" x14ac:dyDescent="0.25">
      <c r="A962" s="4" t="s">
        <v>935</v>
      </c>
      <c r="B962" s="4" t="s">
        <v>272</v>
      </c>
      <c r="C962" s="9" t="s">
        <v>50</v>
      </c>
      <c r="D962" s="10">
        <v>557</v>
      </c>
      <c r="E962" s="11" t="s">
        <v>51</v>
      </c>
      <c r="F962" s="10">
        <v>39630.44</v>
      </c>
      <c r="G962" s="10">
        <v>0</v>
      </c>
      <c r="H962" s="10">
        <f t="shared" si="14"/>
        <v>39630.44</v>
      </c>
      <c r="I962" s="10"/>
      <c r="J962" s="10"/>
      <c r="K962" s="10"/>
      <c r="L962" s="4" t="s">
        <v>52</v>
      </c>
      <c r="M962" s="4">
        <v>957</v>
      </c>
    </row>
    <row r="963" spans="1:13" x14ac:dyDescent="0.25">
      <c r="A963" s="4" t="s">
        <v>935</v>
      </c>
      <c r="B963" s="4" t="s">
        <v>936</v>
      </c>
      <c r="C963" s="9" t="s">
        <v>50</v>
      </c>
      <c r="D963" s="10">
        <v>581</v>
      </c>
      <c r="E963" s="11" t="s">
        <v>51</v>
      </c>
      <c r="F963" s="10">
        <v>9500</v>
      </c>
      <c r="G963" s="10">
        <v>0</v>
      </c>
      <c r="H963" s="10">
        <f t="shared" si="14"/>
        <v>9500</v>
      </c>
      <c r="I963" s="10"/>
      <c r="J963" s="10"/>
      <c r="K963" s="10"/>
      <c r="L963" s="4" t="s">
        <v>52</v>
      </c>
      <c r="M963" s="4">
        <v>958</v>
      </c>
    </row>
    <row r="964" spans="1:13" x14ac:dyDescent="0.25">
      <c r="A964" s="4" t="s">
        <v>937</v>
      </c>
      <c r="B964" s="4" t="s">
        <v>106</v>
      </c>
      <c r="C964" s="9" t="s">
        <v>50</v>
      </c>
      <c r="D964" s="10">
        <v>10063.5</v>
      </c>
      <c r="E964" s="11" t="s">
        <v>51</v>
      </c>
      <c r="F964" s="10">
        <v>53160</v>
      </c>
      <c r="G964" s="10">
        <v>0</v>
      </c>
      <c r="H964" s="10">
        <f t="shared" si="14"/>
        <v>53160</v>
      </c>
      <c r="I964" s="10"/>
      <c r="J964" s="10"/>
      <c r="K964" s="10"/>
      <c r="L964" s="4" t="s">
        <v>52</v>
      </c>
      <c r="M964" s="4">
        <v>959</v>
      </c>
    </row>
    <row r="965" spans="1:13" x14ac:dyDescent="0.25">
      <c r="A965" s="4" t="s">
        <v>938</v>
      </c>
      <c r="B965" s="4" t="s">
        <v>939</v>
      </c>
      <c r="C965" s="9" t="s">
        <v>50</v>
      </c>
      <c r="D965" s="10">
        <v>5562.5</v>
      </c>
      <c r="E965" s="11" t="s">
        <v>51</v>
      </c>
      <c r="F965" s="10">
        <v>445000</v>
      </c>
      <c r="G965" s="10">
        <v>0</v>
      </c>
      <c r="H965" s="10">
        <f t="shared" si="14"/>
        <v>445000</v>
      </c>
      <c r="I965" s="10">
        <v>80</v>
      </c>
      <c r="J965" s="10">
        <v>80</v>
      </c>
      <c r="K965" s="10">
        <v>80</v>
      </c>
      <c r="L965" s="4" t="s">
        <v>259</v>
      </c>
      <c r="M965" s="4">
        <v>960</v>
      </c>
    </row>
    <row r="966" spans="1:13" x14ac:dyDescent="0.25">
      <c r="A966" s="4" t="s">
        <v>938</v>
      </c>
      <c r="B966" s="4" t="s">
        <v>106</v>
      </c>
      <c r="C966" s="9" t="s">
        <v>50</v>
      </c>
      <c r="D966" s="10">
        <v>16011</v>
      </c>
      <c r="E966" s="11" t="s">
        <v>51</v>
      </c>
      <c r="F966" s="10">
        <v>320000</v>
      </c>
      <c r="G966" s="10">
        <v>0</v>
      </c>
      <c r="H966" s="10">
        <f t="shared" ref="H966:H1029" si="15">F966-G966</f>
        <v>320000</v>
      </c>
      <c r="I966" s="10"/>
      <c r="J966" s="10"/>
      <c r="K966" s="10"/>
      <c r="L966" s="4" t="s">
        <v>52</v>
      </c>
      <c r="M966" s="4">
        <v>961</v>
      </c>
    </row>
    <row r="967" spans="1:13" x14ac:dyDescent="0.25">
      <c r="A967" s="4" t="s">
        <v>940</v>
      </c>
      <c r="B967" s="4" t="s">
        <v>941</v>
      </c>
      <c r="C967" s="9" t="s">
        <v>50</v>
      </c>
      <c r="D967" s="10">
        <v>52</v>
      </c>
      <c r="E967" s="11" t="s">
        <v>51</v>
      </c>
      <c r="F967" s="10">
        <v>4096.25</v>
      </c>
      <c r="G967" s="10">
        <v>0</v>
      </c>
      <c r="H967" s="10">
        <f t="shared" si="15"/>
        <v>4096.25</v>
      </c>
      <c r="I967" s="10"/>
      <c r="J967" s="10"/>
      <c r="K967" s="10"/>
      <c r="L967" s="4" t="s">
        <v>52</v>
      </c>
      <c r="M967" s="4">
        <v>962</v>
      </c>
    </row>
    <row r="968" spans="1:13" x14ac:dyDescent="0.25">
      <c r="A968" s="4" t="s">
        <v>940</v>
      </c>
      <c r="B968" s="4" t="s">
        <v>942</v>
      </c>
      <c r="C968" s="9" t="s">
        <v>50</v>
      </c>
      <c r="D968" s="10">
        <v>14</v>
      </c>
      <c r="E968" s="11" t="s">
        <v>51</v>
      </c>
      <c r="F968" s="10">
        <v>1775</v>
      </c>
      <c r="G968" s="10">
        <v>0</v>
      </c>
      <c r="H968" s="10">
        <f t="shared" si="15"/>
        <v>1775</v>
      </c>
      <c r="I968" s="10"/>
      <c r="J968" s="10"/>
      <c r="K968" s="10"/>
      <c r="L968" s="4" t="s">
        <v>52</v>
      </c>
      <c r="M968" s="4">
        <v>963</v>
      </c>
    </row>
    <row r="969" spans="1:13" x14ac:dyDescent="0.25">
      <c r="A969" s="4" t="s">
        <v>940</v>
      </c>
      <c r="B969" s="4" t="s">
        <v>943</v>
      </c>
      <c r="C969" s="9" t="s">
        <v>50</v>
      </c>
      <c r="D969" s="10">
        <v>90</v>
      </c>
      <c r="E969" s="11" t="s">
        <v>51</v>
      </c>
      <c r="F969" s="10">
        <v>13547.5</v>
      </c>
      <c r="G969" s="10">
        <v>0</v>
      </c>
      <c r="H969" s="10">
        <f t="shared" si="15"/>
        <v>13547.5</v>
      </c>
      <c r="I969" s="10"/>
      <c r="J969" s="10"/>
      <c r="K969" s="10"/>
      <c r="L969" s="4" t="s">
        <v>52</v>
      </c>
      <c r="M969" s="4">
        <v>964</v>
      </c>
    </row>
    <row r="970" spans="1:13" x14ac:dyDescent="0.25">
      <c r="A970" s="4" t="s">
        <v>940</v>
      </c>
      <c r="B970" s="4" t="s">
        <v>944</v>
      </c>
      <c r="C970" s="9" t="s">
        <v>50</v>
      </c>
      <c r="D970" s="10">
        <v>88</v>
      </c>
      <c r="E970" s="11" t="s">
        <v>51</v>
      </c>
      <c r="F970" s="10">
        <v>11000</v>
      </c>
      <c r="G970" s="10">
        <v>0</v>
      </c>
      <c r="H970" s="10">
        <f t="shared" si="15"/>
        <v>11000</v>
      </c>
      <c r="I970" s="10"/>
      <c r="J970" s="10"/>
      <c r="K970" s="10"/>
      <c r="L970" s="4" t="s">
        <v>52</v>
      </c>
      <c r="M970" s="4">
        <v>965</v>
      </c>
    </row>
    <row r="971" spans="1:13" x14ac:dyDescent="0.25">
      <c r="A971" s="4" t="s">
        <v>940</v>
      </c>
      <c r="B971" s="4" t="s">
        <v>945</v>
      </c>
      <c r="C971" s="9" t="s">
        <v>50</v>
      </c>
      <c r="D971" s="10">
        <v>1285</v>
      </c>
      <c r="E971" s="11" t="s">
        <v>51</v>
      </c>
      <c r="F971" s="10">
        <v>34625</v>
      </c>
      <c r="G971" s="10">
        <v>0</v>
      </c>
      <c r="H971" s="10">
        <f t="shared" si="15"/>
        <v>34625</v>
      </c>
      <c r="I971" s="10"/>
      <c r="J971" s="10"/>
      <c r="K971" s="10"/>
      <c r="L971" s="4" t="s">
        <v>52</v>
      </c>
      <c r="M971" s="4">
        <v>966</v>
      </c>
    </row>
    <row r="972" spans="1:13" x14ac:dyDescent="0.25">
      <c r="A972" s="4" t="s">
        <v>946</v>
      </c>
      <c r="B972" s="4" t="s">
        <v>947</v>
      </c>
      <c r="C972" s="4" t="s">
        <v>68</v>
      </c>
      <c r="D972" s="10">
        <v>504</v>
      </c>
      <c r="E972" s="11" t="s">
        <v>51</v>
      </c>
      <c r="F972" s="10"/>
      <c r="G972" s="10">
        <v>0</v>
      </c>
      <c r="H972" s="10">
        <f t="shared" si="15"/>
        <v>0</v>
      </c>
      <c r="I972" s="10"/>
      <c r="J972" s="10"/>
      <c r="K972" s="10"/>
      <c r="L972" s="4" t="s">
        <v>69</v>
      </c>
      <c r="M972" s="4">
        <v>967</v>
      </c>
    </row>
    <row r="973" spans="1:13" x14ac:dyDescent="0.25">
      <c r="A973" s="4" t="s">
        <v>948</v>
      </c>
      <c r="B973" s="4" t="s">
        <v>128</v>
      </c>
      <c r="C973" s="9" t="s">
        <v>50</v>
      </c>
      <c r="D973" s="10">
        <v>80</v>
      </c>
      <c r="E973" s="11" t="s">
        <v>51</v>
      </c>
      <c r="F973" s="10"/>
      <c r="G973" s="10">
        <v>0</v>
      </c>
      <c r="H973" s="10">
        <f t="shared" si="15"/>
        <v>0</v>
      </c>
      <c r="I973" s="10"/>
      <c r="J973" s="10"/>
      <c r="K973" s="10"/>
      <c r="L973" s="4" t="s">
        <v>52</v>
      </c>
      <c r="M973" s="4">
        <v>968</v>
      </c>
    </row>
    <row r="974" spans="1:13" x14ac:dyDescent="0.25">
      <c r="A974" s="4" t="s">
        <v>949</v>
      </c>
      <c r="B974" s="4" t="s">
        <v>950</v>
      </c>
      <c r="C974" s="4" t="s">
        <v>65</v>
      </c>
      <c r="D974" s="10">
        <v>56</v>
      </c>
      <c r="E974" s="12" t="s">
        <v>66</v>
      </c>
      <c r="F974" s="10">
        <v>4850</v>
      </c>
      <c r="G974" s="10">
        <v>0</v>
      </c>
      <c r="H974" s="10">
        <f t="shared" si="15"/>
        <v>4850</v>
      </c>
      <c r="I974" s="10">
        <v>86.607142857142861</v>
      </c>
      <c r="J974" s="10">
        <v>86.607142857142861</v>
      </c>
      <c r="K974" s="10">
        <v>86.607142857142861</v>
      </c>
      <c r="L974" s="4"/>
      <c r="M974" s="4">
        <v>969</v>
      </c>
    </row>
    <row r="975" spans="1:13" x14ac:dyDescent="0.25">
      <c r="A975" s="4" t="s">
        <v>949</v>
      </c>
      <c r="B975" s="4" t="s">
        <v>951</v>
      </c>
      <c r="C975" s="4" t="s">
        <v>65</v>
      </c>
      <c r="D975" s="10">
        <v>99</v>
      </c>
      <c r="E975" s="12" t="s">
        <v>66</v>
      </c>
      <c r="F975" s="10">
        <v>2300</v>
      </c>
      <c r="G975" s="10">
        <v>0</v>
      </c>
      <c r="H975" s="10">
        <f t="shared" si="15"/>
        <v>2300</v>
      </c>
      <c r="I975" s="10">
        <v>95.833333333333329</v>
      </c>
      <c r="J975" s="10">
        <v>95.833333333333329</v>
      </c>
      <c r="K975" s="10">
        <v>95.833333333333329</v>
      </c>
      <c r="L975" s="4"/>
      <c r="M975" s="4">
        <v>970</v>
      </c>
    </row>
    <row r="976" spans="1:13" x14ac:dyDescent="0.25">
      <c r="A976" s="4" t="s">
        <v>952</v>
      </c>
      <c r="B976" s="4" t="s">
        <v>106</v>
      </c>
      <c r="C976" s="9" t="s">
        <v>50</v>
      </c>
      <c r="D976" s="10">
        <v>60</v>
      </c>
      <c r="E976" s="11" t="s">
        <v>51</v>
      </c>
      <c r="F976" s="10">
        <v>5700</v>
      </c>
      <c r="G976" s="10">
        <v>0</v>
      </c>
      <c r="H976" s="10">
        <f t="shared" si="15"/>
        <v>5700</v>
      </c>
      <c r="I976" s="10"/>
      <c r="J976" s="10"/>
      <c r="K976" s="10"/>
      <c r="L976" s="4" t="s">
        <v>52</v>
      </c>
      <c r="M976" s="4">
        <v>971</v>
      </c>
    </row>
    <row r="977" spans="1:13" x14ac:dyDescent="0.25">
      <c r="A977" s="4" t="s">
        <v>952</v>
      </c>
      <c r="B977" s="4" t="s">
        <v>107</v>
      </c>
      <c r="C977" s="9" t="s">
        <v>50</v>
      </c>
      <c r="D977" s="10">
        <v>55</v>
      </c>
      <c r="E977" s="11" t="s">
        <v>51</v>
      </c>
      <c r="F977" s="10">
        <v>1425</v>
      </c>
      <c r="G977" s="10">
        <v>0</v>
      </c>
      <c r="H977" s="10">
        <f t="shared" si="15"/>
        <v>1425</v>
      </c>
      <c r="I977" s="10"/>
      <c r="J977" s="10"/>
      <c r="K977" s="10"/>
      <c r="L977" s="4" t="s">
        <v>52</v>
      </c>
      <c r="M977" s="4">
        <v>972</v>
      </c>
    </row>
    <row r="978" spans="1:13" x14ac:dyDescent="0.25">
      <c r="A978" s="4" t="s">
        <v>953</v>
      </c>
      <c r="B978" s="4" t="s">
        <v>954</v>
      </c>
      <c r="C978" s="4" t="s">
        <v>68</v>
      </c>
      <c r="D978" s="10">
        <v>136</v>
      </c>
      <c r="E978" s="11" t="s">
        <v>51</v>
      </c>
      <c r="F978" s="10">
        <v>4400</v>
      </c>
      <c r="G978" s="10">
        <v>0</v>
      </c>
      <c r="H978" s="10">
        <f t="shared" si="15"/>
        <v>4400</v>
      </c>
      <c r="I978" s="10"/>
      <c r="J978" s="10"/>
      <c r="K978" s="10"/>
      <c r="L978" s="4" t="s">
        <v>69</v>
      </c>
      <c r="M978" s="4">
        <v>973</v>
      </c>
    </row>
    <row r="979" spans="1:13" x14ac:dyDescent="0.25">
      <c r="A979" s="4" t="s">
        <v>955</v>
      </c>
      <c r="B979" s="4" t="s">
        <v>956</v>
      </c>
      <c r="C979" s="4" t="s">
        <v>68</v>
      </c>
      <c r="D979" s="10">
        <v>128</v>
      </c>
      <c r="E979" s="11" t="s">
        <v>51</v>
      </c>
      <c r="F979" s="10">
        <v>10560</v>
      </c>
      <c r="G979" s="10">
        <v>0</v>
      </c>
      <c r="H979" s="10">
        <f t="shared" si="15"/>
        <v>10560</v>
      </c>
      <c r="I979" s="10"/>
      <c r="J979" s="10"/>
      <c r="K979" s="10"/>
      <c r="L979" s="4" t="s">
        <v>69</v>
      </c>
      <c r="M979" s="4">
        <v>974</v>
      </c>
    </row>
    <row r="980" spans="1:13" x14ac:dyDescent="0.25">
      <c r="A980" s="4" t="s">
        <v>957</v>
      </c>
      <c r="B980" s="4" t="s">
        <v>958</v>
      </c>
      <c r="C980" s="9" t="s">
        <v>50</v>
      </c>
      <c r="D980" s="10">
        <v>24</v>
      </c>
      <c r="E980" s="11" t="s">
        <v>51</v>
      </c>
      <c r="F980" s="10">
        <v>2400</v>
      </c>
      <c r="G980" s="10">
        <v>0</v>
      </c>
      <c r="H980" s="10">
        <f t="shared" si="15"/>
        <v>2400</v>
      </c>
      <c r="I980" s="10"/>
      <c r="J980" s="10"/>
      <c r="K980" s="10"/>
      <c r="L980" s="4" t="s">
        <v>52</v>
      </c>
      <c r="M980" s="4">
        <v>975</v>
      </c>
    </row>
    <row r="981" spans="1:13" x14ac:dyDescent="0.25">
      <c r="A981" s="4" t="s">
        <v>957</v>
      </c>
      <c r="B981" s="4" t="s">
        <v>80</v>
      </c>
      <c r="C981" s="4" t="s">
        <v>68</v>
      </c>
      <c r="D981" s="10">
        <v>41</v>
      </c>
      <c r="E981" s="11" t="s">
        <v>51</v>
      </c>
      <c r="F981" s="10">
        <v>800</v>
      </c>
      <c r="G981" s="10">
        <v>0</v>
      </c>
      <c r="H981" s="10">
        <f t="shared" si="15"/>
        <v>800</v>
      </c>
      <c r="I981" s="10"/>
      <c r="J981" s="10"/>
      <c r="K981" s="10"/>
      <c r="L981" s="4" t="s">
        <v>69</v>
      </c>
      <c r="M981" s="4">
        <v>976</v>
      </c>
    </row>
    <row r="982" spans="1:13" x14ac:dyDescent="0.25">
      <c r="A982" s="4" t="s">
        <v>959</v>
      </c>
      <c r="B982" s="4" t="s">
        <v>960</v>
      </c>
      <c r="C982" s="4" t="s">
        <v>68</v>
      </c>
      <c r="D982" s="10">
        <v>10</v>
      </c>
      <c r="E982" s="11" t="s">
        <v>51</v>
      </c>
      <c r="F982" s="10">
        <v>700</v>
      </c>
      <c r="G982" s="10">
        <v>0</v>
      </c>
      <c r="H982" s="10">
        <f t="shared" si="15"/>
        <v>700</v>
      </c>
      <c r="I982" s="10"/>
      <c r="J982" s="10"/>
      <c r="K982" s="10"/>
      <c r="L982" s="4" t="s">
        <v>69</v>
      </c>
      <c r="M982" s="4">
        <v>977</v>
      </c>
    </row>
    <row r="983" spans="1:13" x14ac:dyDescent="0.25">
      <c r="A983" s="4" t="s">
        <v>959</v>
      </c>
      <c r="B983" s="4" t="s">
        <v>961</v>
      </c>
      <c r="C983" s="4" t="s">
        <v>68</v>
      </c>
      <c r="D983" s="10">
        <v>7</v>
      </c>
      <c r="E983" s="11" t="s">
        <v>51</v>
      </c>
      <c r="F983" s="10">
        <v>490</v>
      </c>
      <c r="G983" s="10">
        <v>0</v>
      </c>
      <c r="H983" s="10">
        <f t="shared" si="15"/>
        <v>490</v>
      </c>
      <c r="I983" s="10"/>
      <c r="J983" s="10"/>
      <c r="K983" s="10"/>
      <c r="L983" s="4" t="s">
        <v>69</v>
      </c>
      <c r="M983" s="4">
        <v>978</v>
      </c>
    </row>
    <row r="984" spans="1:13" x14ac:dyDescent="0.25">
      <c r="A984" s="4" t="s">
        <v>959</v>
      </c>
      <c r="B984" s="4" t="s">
        <v>962</v>
      </c>
      <c r="C984" s="4" t="s">
        <v>68</v>
      </c>
      <c r="D984" s="10">
        <v>8</v>
      </c>
      <c r="E984" s="11" t="s">
        <v>51</v>
      </c>
      <c r="F984" s="10">
        <v>560</v>
      </c>
      <c r="G984" s="10">
        <v>0</v>
      </c>
      <c r="H984" s="10">
        <f t="shared" si="15"/>
        <v>560</v>
      </c>
      <c r="I984" s="10"/>
      <c r="J984" s="10"/>
      <c r="K984" s="10"/>
      <c r="L984" s="4" t="s">
        <v>69</v>
      </c>
      <c r="M984" s="4">
        <v>979</v>
      </c>
    </row>
    <row r="985" spans="1:13" x14ac:dyDescent="0.25">
      <c r="A985" s="4" t="s">
        <v>959</v>
      </c>
      <c r="B985" s="4" t="s">
        <v>963</v>
      </c>
      <c r="C985" s="4" t="s">
        <v>68</v>
      </c>
      <c r="D985" s="10">
        <v>267</v>
      </c>
      <c r="E985" s="11" t="s">
        <v>51</v>
      </c>
      <c r="F985" s="10">
        <v>560</v>
      </c>
      <c r="G985" s="10">
        <v>0</v>
      </c>
      <c r="H985" s="10">
        <f t="shared" si="15"/>
        <v>560</v>
      </c>
      <c r="I985" s="10"/>
      <c r="J985" s="10"/>
      <c r="K985" s="10"/>
      <c r="L985" s="4" t="s">
        <v>69</v>
      </c>
      <c r="M985" s="4">
        <v>980</v>
      </c>
    </row>
    <row r="986" spans="1:13" x14ac:dyDescent="0.25">
      <c r="A986" s="4" t="s">
        <v>964</v>
      </c>
      <c r="B986" s="4" t="s">
        <v>136</v>
      </c>
      <c r="C986" s="9" t="s">
        <v>50</v>
      </c>
      <c r="D986" s="10">
        <v>30</v>
      </c>
      <c r="E986" s="11" t="s">
        <v>51</v>
      </c>
      <c r="F986" s="10">
        <v>2250</v>
      </c>
      <c r="G986" s="10">
        <v>0</v>
      </c>
      <c r="H986" s="10">
        <f t="shared" si="15"/>
        <v>2250</v>
      </c>
      <c r="I986" s="10"/>
      <c r="J986" s="10"/>
      <c r="K986" s="10"/>
      <c r="L986" s="4" t="s">
        <v>52</v>
      </c>
      <c r="M986" s="4">
        <v>981</v>
      </c>
    </row>
    <row r="987" spans="1:13" x14ac:dyDescent="0.25">
      <c r="A987" s="4" t="s">
        <v>964</v>
      </c>
      <c r="B987" s="4" t="s">
        <v>82</v>
      </c>
      <c r="C987" s="9" t="s">
        <v>50</v>
      </c>
      <c r="D987" s="10">
        <v>60</v>
      </c>
      <c r="E987" s="11" t="s">
        <v>51</v>
      </c>
      <c r="F987" s="10">
        <v>4500</v>
      </c>
      <c r="G987" s="10">
        <v>0</v>
      </c>
      <c r="H987" s="10">
        <f t="shared" si="15"/>
        <v>4500</v>
      </c>
      <c r="I987" s="10"/>
      <c r="J987" s="10"/>
      <c r="K987" s="10"/>
      <c r="L987" s="4" t="s">
        <v>52</v>
      </c>
      <c r="M987" s="4">
        <v>982</v>
      </c>
    </row>
    <row r="988" spans="1:13" x14ac:dyDescent="0.25">
      <c r="A988" s="4" t="s">
        <v>964</v>
      </c>
      <c r="B988" s="4" t="s">
        <v>88</v>
      </c>
      <c r="C988" s="9" t="s">
        <v>50</v>
      </c>
      <c r="D988" s="10">
        <v>16</v>
      </c>
      <c r="E988" s="11" t="s">
        <v>51</v>
      </c>
      <c r="F988" s="10">
        <v>1549.24</v>
      </c>
      <c r="G988" s="10">
        <v>0</v>
      </c>
      <c r="H988" s="10">
        <f t="shared" si="15"/>
        <v>1549.24</v>
      </c>
      <c r="I988" s="10"/>
      <c r="J988" s="10"/>
      <c r="K988" s="10"/>
      <c r="L988" s="4" t="s">
        <v>52</v>
      </c>
      <c r="M988" s="4">
        <v>983</v>
      </c>
    </row>
    <row r="989" spans="1:13" x14ac:dyDescent="0.25">
      <c r="A989" s="4" t="s">
        <v>964</v>
      </c>
      <c r="B989" s="4" t="s">
        <v>106</v>
      </c>
      <c r="C989" s="9" t="s">
        <v>50</v>
      </c>
      <c r="D989" s="10">
        <v>50</v>
      </c>
      <c r="E989" s="11" t="s">
        <v>51</v>
      </c>
      <c r="F989" s="10">
        <v>3821.38</v>
      </c>
      <c r="G989" s="10">
        <v>0</v>
      </c>
      <c r="H989" s="10">
        <f t="shared" si="15"/>
        <v>3821.38</v>
      </c>
      <c r="I989" s="10"/>
      <c r="J989" s="10"/>
      <c r="K989" s="10"/>
      <c r="L989" s="4" t="s">
        <v>52</v>
      </c>
      <c r="M989" s="4">
        <v>984</v>
      </c>
    </row>
    <row r="990" spans="1:13" x14ac:dyDescent="0.25">
      <c r="A990" s="4" t="s">
        <v>964</v>
      </c>
      <c r="B990" s="4" t="s">
        <v>107</v>
      </c>
      <c r="C990" s="9" t="s">
        <v>50</v>
      </c>
      <c r="D990" s="10">
        <v>71</v>
      </c>
      <c r="E990" s="11" t="s">
        <v>51</v>
      </c>
      <c r="F990" s="10">
        <v>5404.38</v>
      </c>
      <c r="G990" s="10">
        <v>0</v>
      </c>
      <c r="H990" s="10">
        <f t="shared" si="15"/>
        <v>5404.38</v>
      </c>
      <c r="I990" s="10"/>
      <c r="J990" s="10"/>
      <c r="K990" s="10"/>
      <c r="L990" s="4" t="s">
        <v>52</v>
      </c>
      <c r="M990" s="4">
        <v>985</v>
      </c>
    </row>
    <row r="991" spans="1:13" x14ac:dyDescent="0.25">
      <c r="A991" s="4" t="s">
        <v>964</v>
      </c>
      <c r="B991" s="4" t="s">
        <v>965</v>
      </c>
      <c r="C991" s="9" t="s">
        <v>50</v>
      </c>
      <c r="D991" s="10">
        <v>35</v>
      </c>
      <c r="E991" s="11" t="s">
        <v>51</v>
      </c>
      <c r="F991" s="10">
        <v>3000</v>
      </c>
      <c r="G991" s="10">
        <v>0</v>
      </c>
      <c r="H991" s="10">
        <f t="shared" si="15"/>
        <v>3000</v>
      </c>
      <c r="I991" s="10"/>
      <c r="J991" s="10"/>
      <c r="K991" s="10"/>
      <c r="L991" s="4" t="s">
        <v>52</v>
      </c>
      <c r="M991" s="4">
        <v>986</v>
      </c>
    </row>
    <row r="992" spans="1:13" x14ac:dyDescent="0.25">
      <c r="A992" s="4" t="s">
        <v>966</v>
      </c>
      <c r="B992" s="4" t="s">
        <v>967</v>
      </c>
      <c r="C992" s="4" t="s">
        <v>65</v>
      </c>
      <c r="D992" s="10">
        <v>405</v>
      </c>
      <c r="E992" s="12" t="s">
        <v>66</v>
      </c>
      <c r="F992" s="10">
        <v>3400</v>
      </c>
      <c r="G992" s="10">
        <v>0</v>
      </c>
      <c r="H992" s="10">
        <f t="shared" si="15"/>
        <v>3400</v>
      </c>
      <c r="I992" s="10">
        <v>97.142857142857139</v>
      </c>
      <c r="J992" s="10">
        <v>97.142857142857139</v>
      </c>
      <c r="K992" s="10">
        <v>97.142857142857139</v>
      </c>
      <c r="L992" s="4"/>
      <c r="M992" s="4">
        <v>987</v>
      </c>
    </row>
    <row r="993" spans="1:13" x14ac:dyDescent="0.25">
      <c r="A993" s="4" t="s">
        <v>968</v>
      </c>
      <c r="B993" s="4" t="s">
        <v>106</v>
      </c>
      <c r="C993" s="9" t="s">
        <v>50</v>
      </c>
      <c r="D993" s="10">
        <v>150</v>
      </c>
      <c r="E993" s="11" t="s">
        <v>51</v>
      </c>
      <c r="F993" s="10">
        <v>14250</v>
      </c>
      <c r="G993" s="10">
        <v>0</v>
      </c>
      <c r="H993" s="10">
        <f t="shared" si="15"/>
        <v>14250</v>
      </c>
      <c r="I993" s="10"/>
      <c r="J993" s="10"/>
      <c r="K993" s="10"/>
      <c r="L993" s="4" t="s">
        <v>52</v>
      </c>
      <c r="M993" s="4">
        <v>988</v>
      </c>
    </row>
    <row r="994" spans="1:13" x14ac:dyDescent="0.25">
      <c r="A994" s="4" t="s">
        <v>968</v>
      </c>
      <c r="B994" s="4" t="s">
        <v>107</v>
      </c>
      <c r="C994" s="9" t="s">
        <v>50</v>
      </c>
      <c r="D994" s="10">
        <v>240</v>
      </c>
      <c r="E994" s="11" t="s">
        <v>51</v>
      </c>
      <c r="F994" s="10">
        <v>20900</v>
      </c>
      <c r="G994" s="10">
        <v>0</v>
      </c>
      <c r="H994" s="10">
        <f t="shared" si="15"/>
        <v>20900</v>
      </c>
      <c r="I994" s="10"/>
      <c r="J994" s="10"/>
      <c r="K994" s="10"/>
      <c r="L994" s="4" t="s">
        <v>52</v>
      </c>
      <c r="M994" s="4">
        <v>989</v>
      </c>
    </row>
    <row r="995" spans="1:13" x14ac:dyDescent="0.25">
      <c r="A995" s="4" t="s">
        <v>969</v>
      </c>
      <c r="B995" s="4" t="s">
        <v>970</v>
      </c>
      <c r="C995" s="4" t="s">
        <v>68</v>
      </c>
      <c r="D995" s="10">
        <v>100</v>
      </c>
      <c r="E995" s="11" t="s">
        <v>51</v>
      </c>
      <c r="F995" s="10">
        <v>2200</v>
      </c>
      <c r="G995" s="10">
        <v>0</v>
      </c>
      <c r="H995" s="10">
        <f t="shared" si="15"/>
        <v>2200</v>
      </c>
      <c r="I995" s="10"/>
      <c r="J995" s="10"/>
      <c r="K995" s="10"/>
      <c r="L995" s="4" t="s">
        <v>69</v>
      </c>
      <c r="M995" s="4">
        <v>990</v>
      </c>
    </row>
    <row r="996" spans="1:13" x14ac:dyDescent="0.25">
      <c r="A996" s="4" t="s">
        <v>971</v>
      </c>
      <c r="B996" s="4" t="s">
        <v>537</v>
      </c>
      <c r="C996" s="9" t="s">
        <v>50</v>
      </c>
      <c r="D996" s="10">
        <v>20</v>
      </c>
      <c r="E996" s="11" t="s">
        <v>51</v>
      </c>
      <c r="F996" s="10">
        <v>1900</v>
      </c>
      <c r="G996" s="10">
        <v>0</v>
      </c>
      <c r="H996" s="10">
        <f t="shared" si="15"/>
        <v>1900</v>
      </c>
      <c r="I996" s="10">
        <v>95</v>
      </c>
      <c r="J996" s="10">
        <v>95</v>
      </c>
      <c r="K996" s="10">
        <v>95</v>
      </c>
      <c r="L996" s="4" t="s">
        <v>259</v>
      </c>
      <c r="M996" s="4">
        <v>991</v>
      </c>
    </row>
    <row r="997" spans="1:13" x14ac:dyDescent="0.25">
      <c r="A997" s="4" t="s">
        <v>971</v>
      </c>
      <c r="B997" s="4" t="s">
        <v>106</v>
      </c>
      <c r="C997" s="9" t="s">
        <v>50</v>
      </c>
      <c r="D997" s="10">
        <v>50</v>
      </c>
      <c r="E997" s="11" t="s">
        <v>51</v>
      </c>
      <c r="F997" s="10">
        <v>4750</v>
      </c>
      <c r="G997" s="10">
        <v>0</v>
      </c>
      <c r="H997" s="10">
        <f t="shared" si="15"/>
        <v>4750</v>
      </c>
      <c r="I997" s="10"/>
      <c r="J997" s="10"/>
      <c r="K997" s="10"/>
      <c r="L997" s="4" t="s">
        <v>52</v>
      </c>
      <c r="M997" s="4">
        <v>992</v>
      </c>
    </row>
    <row r="998" spans="1:13" x14ac:dyDescent="0.25">
      <c r="A998" s="4" t="s">
        <v>971</v>
      </c>
      <c r="B998" s="4" t="s">
        <v>107</v>
      </c>
      <c r="C998" s="9" t="s">
        <v>50</v>
      </c>
      <c r="D998" s="10">
        <v>286.02999999999997</v>
      </c>
      <c r="E998" s="11" t="s">
        <v>51</v>
      </c>
      <c r="F998" s="10">
        <v>2850</v>
      </c>
      <c r="G998" s="10">
        <v>0</v>
      </c>
      <c r="H998" s="10">
        <f t="shared" si="15"/>
        <v>2850</v>
      </c>
      <c r="I998" s="10"/>
      <c r="J998" s="10"/>
      <c r="K998" s="10"/>
      <c r="L998" s="4" t="s">
        <v>52</v>
      </c>
      <c r="M998" s="4">
        <v>993</v>
      </c>
    </row>
    <row r="999" spans="1:13" x14ac:dyDescent="0.25">
      <c r="A999" s="4" t="s">
        <v>972</v>
      </c>
      <c r="B999" s="4" t="s">
        <v>750</v>
      </c>
      <c r="C999" s="9" t="s">
        <v>50</v>
      </c>
      <c r="D999" s="10">
        <v>1064</v>
      </c>
      <c r="E999" s="11" t="s">
        <v>51</v>
      </c>
      <c r="F999" s="10">
        <v>25600</v>
      </c>
      <c r="G999" s="10">
        <v>0</v>
      </c>
      <c r="H999" s="10">
        <f t="shared" si="15"/>
        <v>25600</v>
      </c>
      <c r="I999" s="10"/>
      <c r="J999" s="10"/>
      <c r="K999" s="10"/>
      <c r="L999" s="4" t="s">
        <v>52</v>
      </c>
      <c r="M999" s="4">
        <v>994</v>
      </c>
    </row>
    <row r="1000" spans="1:13" x14ac:dyDescent="0.25">
      <c r="A1000" s="4" t="s">
        <v>973</v>
      </c>
      <c r="B1000" s="4" t="s">
        <v>974</v>
      </c>
      <c r="C1000" s="9" t="s">
        <v>50</v>
      </c>
      <c r="D1000" s="10">
        <v>650</v>
      </c>
      <c r="E1000" s="11" t="s">
        <v>51</v>
      </c>
      <c r="F1000" s="10">
        <v>68250</v>
      </c>
      <c r="G1000" s="10">
        <v>0</v>
      </c>
      <c r="H1000" s="10">
        <f t="shared" si="15"/>
        <v>68250</v>
      </c>
      <c r="I1000" s="10"/>
      <c r="J1000" s="10"/>
      <c r="K1000" s="10"/>
      <c r="L1000" s="4" t="s">
        <v>52</v>
      </c>
      <c r="M1000" s="4">
        <v>995</v>
      </c>
    </row>
    <row r="1001" spans="1:13" x14ac:dyDescent="0.25">
      <c r="A1001" s="4" t="s">
        <v>973</v>
      </c>
      <c r="B1001" s="4" t="s">
        <v>975</v>
      </c>
      <c r="C1001" s="9" t="s">
        <v>50</v>
      </c>
      <c r="D1001" s="10">
        <v>46</v>
      </c>
      <c r="E1001" s="11" t="s">
        <v>51</v>
      </c>
      <c r="F1001" s="10">
        <v>4950</v>
      </c>
      <c r="G1001" s="10">
        <v>0</v>
      </c>
      <c r="H1001" s="10">
        <f t="shared" si="15"/>
        <v>4950</v>
      </c>
      <c r="I1001" s="10"/>
      <c r="J1001" s="10"/>
      <c r="K1001" s="10"/>
      <c r="L1001" s="4" t="s">
        <v>52</v>
      </c>
      <c r="M1001" s="4">
        <v>996</v>
      </c>
    </row>
    <row r="1002" spans="1:13" x14ac:dyDescent="0.25">
      <c r="A1002" s="4" t="s">
        <v>973</v>
      </c>
      <c r="B1002" s="4" t="s">
        <v>976</v>
      </c>
      <c r="C1002" s="9" t="s">
        <v>50</v>
      </c>
      <c r="D1002" s="10">
        <v>131</v>
      </c>
      <c r="E1002" s="11" t="s">
        <v>51</v>
      </c>
      <c r="F1002" s="10">
        <v>8500</v>
      </c>
      <c r="G1002" s="10">
        <v>0</v>
      </c>
      <c r="H1002" s="10">
        <f t="shared" si="15"/>
        <v>8500</v>
      </c>
      <c r="I1002" s="10"/>
      <c r="J1002" s="10"/>
      <c r="K1002" s="10"/>
      <c r="L1002" s="4" t="s">
        <v>52</v>
      </c>
      <c r="M1002" s="4">
        <v>997</v>
      </c>
    </row>
    <row r="1003" spans="1:13" x14ac:dyDescent="0.25">
      <c r="A1003" s="4" t="s">
        <v>977</v>
      </c>
      <c r="B1003" s="4" t="s">
        <v>978</v>
      </c>
      <c r="C1003" s="4" t="s">
        <v>65</v>
      </c>
      <c r="D1003" s="10">
        <v>124</v>
      </c>
      <c r="E1003" s="12" t="s">
        <v>66</v>
      </c>
      <c r="F1003" s="10">
        <v>2900</v>
      </c>
      <c r="G1003" s="10">
        <v>0</v>
      </c>
      <c r="H1003" s="10">
        <f t="shared" si="15"/>
        <v>2900</v>
      </c>
      <c r="I1003" s="10">
        <v>152.63157894736841</v>
      </c>
      <c r="J1003" s="10">
        <v>152.63157894736841</v>
      </c>
      <c r="K1003" s="10">
        <v>152.63157894736841</v>
      </c>
      <c r="L1003" s="4"/>
      <c r="M1003" s="4">
        <v>998</v>
      </c>
    </row>
    <row r="1004" spans="1:13" x14ac:dyDescent="0.25">
      <c r="A1004" s="4" t="s">
        <v>979</v>
      </c>
      <c r="B1004" s="4" t="s">
        <v>980</v>
      </c>
      <c r="C1004" s="4" t="s">
        <v>65</v>
      </c>
      <c r="D1004" s="10">
        <v>39</v>
      </c>
      <c r="E1004" s="12" t="s">
        <v>66</v>
      </c>
      <c r="F1004" s="10">
        <v>6200</v>
      </c>
      <c r="G1004" s="10">
        <v>0</v>
      </c>
      <c r="H1004" s="10">
        <f t="shared" si="15"/>
        <v>6200</v>
      </c>
      <c r="I1004" s="10">
        <v>158.97435897435901</v>
      </c>
      <c r="J1004" s="10">
        <v>158.97435897435901</v>
      </c>
      <c r="K1004" s="10">
        <v>158.97435897435901</v>
      </c>
      <c r="L1004" s="4"/>
      <c r="M1004" s="4">
        <v>999</v>
      </c>
    </row>
    <row r="1005" spans="1:13" x14ac:dyDescent="0.25">
      <c r="A1005" s="4" t="s">
        <v>979</v>
      </c>
      <c r="B1005" s="4" t="s">
        <v>981</v>
      </c>
      <c r="C1005" s="4" t="s">
        <v>65</v>
      </c>
      <c r="D1005" s="10">
        <v>516</v>
      </c>
      <c r="E1005" s="12" t="s">
        <v>66</v>
      </c>
      <c r="F1005" s="10">
        <v>9150</v>
      </c>
      <c r="G1005" s="10">
        <v>0</v>
      </c>
      <c r="H1005" s="10">
        <f t="shared" si="15"/>
        <v>9150</v>
      </c>
      <c r="I1005" s="10">
        <v>138.6363636363636</v>
      </c>
      <c r="J1005" s="10">
        <v>138.6363636363636</v>
      </c>
      <c r="K1005" s="10">
        <v>138.6363636363636</v>
      </c>
      <c r="L1005" s="4"/>
      <c r="M1005" s="4">
        <v>1000</v>
      </c>
    </row>
    <row r="1006" spans="1:13" x14ac:dyDescent="0.25">
      <c r="A1006" s="4" t="s">
        <v>982</v>
      </c>
      <c r="B1006" s="4" t="s">
        <v>983</v>
      </c>
      <c r="C1006" s="4" t="s">
        <v>65</v>
      </c>
      <c r="D1006" s="10"/>
      <c r="E1006" s="11" t="s">
        <v>51</v>
      </c>
      <c r="F1006" s="10"/>
      <c r="G1006" s="10">
        <v>0</v>
      </c>
      <c r="H1006" s="10">
        <f t="shared" si="15"/>
        <v>0</v>
      </c>
      <c r="I1006" s="10"/>
      <c r="J1006" s="10"/>
      <c r="K1006" s="10"/>
      <c r="L1006" s="4" t="s">
        <v>69</v>
      </c>
      <c r="M1006" s="4">
        <v>1001</v>
      </c>
    </row>
    <row r="1007" spans="1:13" x14ac:dyDescent="0.25">
      <c r="A1007" s="4" t="s">
        <v>982</v>
      </c>
      <c r="B1007" s="4" t="s">
        <v>984</v>
      </c>
      <c r="C1007" s="4" t="s">
        <v>68</v>
      </c>
      <c r="D1007" s="10"/>
      <c r="E1007" s="11" t="s">
        <v>51</v>
      </c>
      <c r="F1007" s="10"/>
      <c r="G1007" s="10">
        <v>0</v>
      </c>
      <c r="H1007" s="10">
        <f t="shared" si="15"/>
        <v>0</v>
      </c>
      <c r="I1007" s="10"/>
      <c r="J1007" s="10"/>
      <c r="K1007" s="10"/>
      <c r="L1007" s="4" t="s">
        <v>69</v>
      </c>
      <c r="M1007" s="4">
        <v>1002</v>
      </c>
    </row>
    <row r="1008" spans="1:13" x14ac:dyDescent="0.25">
      <c r="A1008" s="4" t="s">
        <v>982</v>
      </c>
      <c r="B1008" s="4" t="s">
        <v>985</v>
      </c>
      <c r="C1008" s="4" t="s">
        <v>68</v>
      </c>
      <c r="D1008" s="10">
        <v>180</v>
      </c>
      <c r="E1008" s="11" t="s">
        <v>51</v>
      </c>
      <c r="F1008" s="10">
        <v>27000</v>
      </c>
      <c r="G1008" s="10">
        <v>0</v>
      </c>
      <c r="H1008" s="10">
        <f t="shared" si="15"/>
        <v>27000</v>
      </c>
      <c r="I1008" s="10"/>
      <c r="J1008" s="10"/>
      <c r="K1008" s="10"/>
      <c r="L1008" s="4" t="s">
        <v>69</v>
      </c>
      <c r="M1008" s="4">
        <v>1003</v>
      </c>
    </row>
    <row r="1009" spans="1:13" x14ac:dyDescent="0.25">
      <c r="A1009" s="4" t="s">
        <v>982</v>
      </c>
      <c r="B1009" s="4" t="s">
        <v>986</v>
      </c>
      <c r="C1009" s="4" t="s">
        <v>65</v>
      </c>
      <c r="D1009" s="10">
        <v>31</v>
      </c>
      <c r="E1009" s="12" t="s">
        <v>66</v>
      </c>
      <c r="F1009" s="10">
        <v>5430</v>
      </c>
      <c r="G1009" s="10">
        <v>0</v>
      </c>
      <c r="H1009" s="10">
        <f t="shared" si="15"/>
        <v>5430</v>
      </c>
      <c r="I1009" s="10">
        <v>175.16129032258061</v>
      </c>
      <c r="J1009" s="10">
        <v>175.16129032258061</v>
      </c>
      <c r="K1009" s="10">
        <v>175.16129032258061</v>
      </c>
      <c r="L1009" s="4"/>
      <c r="M1009" s="4">
        <v>1004</v>
      </c>
    </row>
    <row r="1010" spans="1:13" x14ac:dyDescent="0.25">
      <c r="A1010" s="4" t="s">
        <v>982</v>
      </c>
      <c r="B1010" s="4" t="s">
        <v>987</v>
      </c>
      <c r="C1010" s="4" t="s">
        <v>65</v>
      </c>
      <c r="D1010" s="10">
        <v>10</v>
      </c>
      <c r="E1010" s="12" t="s">
        <v>66</v>
      </c>
      <c r="F1010" s="10">
        <v>1850</v>
      </c>
      <c r="G1010" s="10">
        <v>0</v>
      </c>
      <c r="H1010" s="10">
        <f t="shared" si="15"/>
        <v>1850</v>
      </c>
      <c r="I1010" s="10">
        <v>185</v>
      </c>
      <c r="J1010" s="10">
        <v>185</v>
      </c>
      <c r="K1010" s="10">
        <v>185</v>
      </c>
      <c r="L1010" s="4"/>
      <c r="M1010" s="4">
        <v>1005</v>
      </c>
    </row>
    <row r="1011" spans="1:13" x14ac:dyDescent="0.25">
      <c r="A1011" s="4" t="s">
        <v>982</v>
      </c>
      <c r="B1011" s="4" t="s">
        <v>988</v>
      </c>
      <c r="C1011" s="4" t="s">
        <v>65</v>
      </c>
      <c r="D1011" s="10">
        <v>149</v>
      </c>
      <c r="E1011" s="12" t="s">
        <v>66</v>
      </c>
      <c r="F1011" s="10">
        <v>24000</v>
      </c>
      <c r="G1011" s="10">
        <v>0</v>
      </c>
      <c r="H1011" s="10">
        <f t="shared" si="15"/>
        <v>24000</v>
      </c>
      <c r="I1011" s="10">
        <v>161.07382550335569</v>
      </c>
      <c r="J1011" s="10">
        <v>161.07382550335569</v>
      </c>
      <c r="K1011" s="10">
        <v>161.07382550335569</v>
      </c>
      <c r="L1011" s="4"/>
      <c r="M1011" s="4">
        <v>1006</v>
      </c>
    </row>
    <row r="1012" spans="1:13" x14ac:dyDescent="0.25">
      <c r="A1012" s="4" t="s">
        <v>982</v>
      </c>
      <c r="B1012" s="4" t="s">
        <v>989</v>
      </c>
      <c r="C1012" s="4" t="s">
        <v>68</v>
      </c>
      <c r="D1012" s="10">
        <v>40</v>
      </c>
      <c r="E1012" s="11" t="s">
        <v>51</v>
      </c>
      <c r="F1012" s="10">
        <v>6000</v>
      </c>
      <c r="G1012" s="10">
        <v>0</v>
      </c>
      <c r="H1012" s="10">
        <f t="shared" si="15"/>
        <v>6000</v>
      </c>
      <c r="I1012" s="10"/>
      <c r="J1012" s="10"/>
      <c r="K1012" s="10"/>
      <c r="L1012" s="4" t="s">
        <v>69</v>
      </c>
      <c r="M1012" s="4">
        <v>1007</v>
      </c>
    </row>
    <row r="1013" spans="1:13" x14ac:dyDescent="0.25">
      <c r="A1013" s="4" t="s">
        <v>982</v>
      </c>
      <c r="B1013" s="4" t="s">
        <v>990</v>
      </c>
      <c r="C1013" s="4" t="s">
        <v>68</v>
      </c>
      <c r="D1013" s="10">
        <v>269</v>
      </c>
      <c r="E1013" s="11" t="s">
        <v>51</v>
      </c>
      <c r="F1013" s="10">
        <v>6000</v>
      </c>
      <c r="G1013" s="10">
        <v>0</v>
      </c>
      <c r="H1013" s="10">
        <f t="shared" si="15"/>
        <v>6000</v>
      </c>
      <c r="I1013" s="10"/>
      <c r="J1013" s="10"/>
      <c r="K1013" s="10"/>
      <c r="L1013" s="4" t="s">
        <v>69</v>
      </c>
      <c r="M1013" s="4">
        <v>1008</v>
      </c>
    </row>
    <row r="1014" spans="1:13" x14ac:dyDescent="0.25">
      <c r="A1014" s="4" t="s">
        <v>991</v>
      </c>
      <c r="B1014" s="4" t="s">
        <v>992</v>
      </c>
      <c r="C1014" s="4" t="s">
        <v>68</v>
      </c>
      <c r="D1014" s="10">
        <v>51</v>
      </c>
      <c r="E1014" s="11" t="s">
        <v>51</v>
      </c>
      <c r="F1014" s="10">
        <v>7650</v>
      </c>
      <c r="G1014" s="10">
        <v>0</v>
      </c>
      <c r="H1014" s="10">
        <f t="shared" si="15"/>
        <v>7650</v>
      </c>
      <c r="I1014" s="10"/>
      <c r="J1014" s="10"/>
      <c r="K1014" s="10"/>
      <c r="L1014" s="4" t="s">
        <v>69</v>
      </c>
      <c r="M1014" s="4">
        <v>1009</v>
      </c>
    </row>
    <row r="1015" spans="1:13" x14ac:dyDescent="0.25">
      <c r="A1015" s="4" t="s">
        <v>991</v>
      </c>
      <c r="B1015" s="4" t="s">
        <v>993</v>
      </c>
      <c r="C1015" s="4" t="s">
        <v>65</v>
      </c>
      <c r="D1015" s="10">
        <v>66</v>
      </c>
      <c r="E1015" s="12" t="s">
        <v>66</v>
      </c>
      <c r="F1015" s="10">
        <v>9800</v>
      </c>
      <c r="G1015" s="10">
        <v>0</v>
      </c>
      <c r="H1015" s="10">
        <f t="shared" si="15"/>
        <v>9800</v>
      </c>
      <c r="I1015" s="10">
        <v>148.4848484848485</v>
      </c>
      <c r="J1015" s="10">
        <v>148.4848484848485</v>
      </c>
      <c r="K1015" s="10">
        <v>148.4848484848485</v>
      </c>
      <c r="L1015" s="4"/>
      <c r="M1015" s="4">
        <v>1010</v>
      </c>
    </row>
    <row r="1016" spans="1:13" x14ac:dyDescent="0.25">
      <c r="A1016" s="4" t="s">
        <v>991</v>
      </c>
      <c r="B1016" s="4" t="s">
        <v>994</v>
      </c>
      <c r="C1016" s="4" t="s">
        <v>65</v>
      </c>
      <c r="D1016" s="10">
        <v>227</v>
      </c>
      <c r="E1016" s="12" t="s">
        <v>66</v>
      </c>
      <c r="F1016" s="10">
        <v>19350</v>
      </c>
      <c r="G1016" s="10">
        <v>0</v>
      </c>
      <c r="H1016" s="10">
        <f t="shared" si="15"/>
        <v>19350</v>
      </c>
      <c r="I1016" s="10">
        <v>172.76785714285711</v>
      </c>
      <c r="J1016" s="10">
        <v>172.76785714285711</v>
      </c>
      <c r="K1016" s="10">
        <v>172.76785714285711</v>
      </c>
      <c r="L1016" s="4"/>
      <c r="M1016" s="4">
        <v>1011</v>
      </c>
    </row>
    <row r="1017" spans="1:13" x14ac:dyDescent="0.25">
      <c r="A1017" s="4" t="s">
        <v>995</v>
      </c>
      <c r="B1017" s="4" t="s">
        <v>996</v>
      </c>
      <c r="C1017" s="4" t="s">
        <v>65</v>
      </c>
      <c r="D1017" s="10">
        <v>62</v>
      </c>
      <c r="E1017" s="12" t="s">
        <v>66</v>
      </c>
      <c r="F1017" s="10">
        <v>9450</v>
      </c>
      <c r="G1017" s="10">
        <v>0</v>
      </c>
      <c r="H1017" s="10">
        <f t="shared" si="15"/>
        <v>9450</v>
      </c>
      <c r="I1017" s="10">
        <v>152.41935483870969</v>
      </c>
      <c r="J1017" s="10">
        <v>152.41935483870969</v>
      </c>
      <c r="K1017" s="10">
        <v>152.41935483870969</v>
      </c>
      <c r="L1017" s="4"/>
      <c r="M1017" s="4">
        <v>1012</v>
      </c>
    </row>
    <row r="1018" spans="1:13" x14ac:dyDescent="0.25">
      <c r="A1018" s="4" t="s">
        <v>995</v>
      </c>
      <c r="B1018" s="4" t="s">
        <v>997</v>
      </c>
      <c r="C1018" s="4" t="s">
        <v>65</v>
      </c>
      <c r="D1018" s="10">
        <v>53</v>
      </c>
      <c r="E1018" s="12" t="s">
        <v>66</v>
      </c>
      <c r="F1018" s="10">
        <v>8300</v>
      </c>
      <c r="G1018" s="10">
        <v>0</v>
      </c>
      <c r="H1018" s="10">
        <f t="shared" si="15"/>
        <v>8300</v>
      </c>
      <c r="I1018" s="10">
        <v>156.6037735849057</v>
      </c>
      <c r="J1018" s="10">
        <v>156.6037735849057</v>
      </c>
      <c r="K1018" s="10">
        <v>156.6037735849057</v>
      </c>
      <c r="L1018" s="4"/>
      <c r="M1018" s="4">
        <v>1013</v>
      </c>
    </row>
    <row r="1019" spans="1:13" x14ac:dyDescent="0.25">
      <c r="A1019" s="4" t="s">
        <v>998</v>
      </c>
      <c r="B1019" s="4" t="s">
        <v>404</v>
      </c>
      <c r="C1019" s="9" t="s">
        <v>50</v>
      </c>
      <c r="D1019" s="10"/>
      <c r="E1019" s="11" t="s">
        <v>51</v>
      </c>
      <c r="F1019" s="10"/>
      <c r="G1019" s="10">
        <v>0</v>
      </c>
      <c r="H1019" s="10">
        <f t="shared" si="15"/>
        <v>0</v>
      </c>
      <c r="I1019" s="10"/>
      <c r="J1019" s="10"/>
      <c r="K1019" s="10"/>
      <c r="L1019" s="4" t="s">
        <v>52</v>
      </c>
      <c r="M1019" s="4">
        <v>1014</v>
      </c>
    </row>
    <row r="1020" spans="1:13" x14ac:dyDescent="0.25">
      <c r="A1020" s="4" t="s">
        <v>998</v>
      </c>
      <c r="B1020" s="4" t="s">
        <v>270</v>
      </c>
      <c r="C1020" s="9" t="s">
        <v>50</v>
      </c>
      <c r="D1020" s="10">
        <v>4</v>
      </c>
      <c r="E1020" s="11" t="s">
        <v>51</v>
      </c>
      <c r="F1020" s="10"/>
      <c r="G1020" s="10">
        <v>0</v>
      </c>
      <c r="H1020" s="10">
        <f t="shared" si="15"/>
        <v>0</v>
      </c>
      <c r="I1020" s="10"/>
      <c r="J1020" s="10"/>
      <c r="K1020" s="10"/>
      <c r="L1020" s="4" t="s">
        <v>52</v>
      </c>
      <c r="M1020" s="4">
        <v>1015</v>
      </c>
    </row>
    <row r="1021" spans="1:13" x14ac:dyDescent="0.25">
      <c r="A1021" s="4" t="s">
        <v>999</v>
      </c>
      <c r="B1021" s="4" t="s">
        <v>1000</v>
      </c>
      <c r="C1021" s="4" t="s">
        <v>65</v>
      </c>
      <c r="D1021" s="10">
        <v>64.25</v>
      </c>
      <c r="E1021" s="12" t="s">
        <v>66</v>
      </c>
      <c r="F1021" s="10">
        <v>575</v>
      </c>
      <c r="G1021" s="10">
        <v>0</v>
      </c>
      <c r="H1021" s="10">
        <f t="shared" si="15"/>
        <v>575</v>
      </c>
      <c r="I1021" s="10">
        <v>143.75</v>
      </c>
      <c r="J1021" s="10">
        <v>143.75</v>
      </c>
      <c r="K1021" s="10">
        <v>143.75</v>
      </c>
      <c r="L1021" s="4"/>
      <c r="M1021" s="4">
        <v>1016</v>
      </c>
    </row>
    <row r="1022" spans="1:13" x14ac:dyDescent="0.25">
      <c r="A1022" s="4" t="s">
        <v>1001</v>
      </c>
      <c r="B1022" s="4" t="s">
        <v>404</v>
      </c>
      <c r="C1022" s="9" t="s">
        <v>50</v>
      </c>
      <c r="D1022" s="10">
        <v>3.25</v>
      </c>
      <c r="E1022" s="11" t="s">
        <v>51</v>
      </c>
      <c r="F1022" s="10">
        <v>303.92</v>
      </c>
      <c r="G1022" s="10">
        <v>0</v>
      </c>
      <c r="H1022" s="10">
        <f t="shared" si="15"/>
        <v>303.92</v>
      </c>
      <c r="I1022" s="10"/>
      <c r="J1022" s="10"/>
      <c r="K1022" s="10"/>
      <c r="L1022" s="4" t="s">
        <v>52</v>
      </c>
      <c r="M1022" s="4">
        <v>1017</v>
      </c>
    </row>
    <row r="1023" spans="1:13" x14ac:dyDescent="0.25">
      <c r="A1023" s="4" t="s">
        <v>1001</v>
      </c>
      <c r="B1023" s="4" t="s">
        <v>136</v>
      </c>
      <c r="C1023" s="9" t="s">
        <v>50</v>
      </c>
      <c r="D1023" s="10">
        <v>3</v>
      </c>
      <c r="E1023" s="11" t="s">
        <v>51</v>
      </c>
      <c r="F1023" s="10">
        <v>328.81</v>
      </c>
      <c r="G1023" s="10">
        <v>0</v>
      </c>
      <c r="H1023" s="10">
        <f t="shared" si="15"/>
        <v>328.81</v>
      </c>
      <c r="I1023" s="10"/>
      <c r="J1023" s="10"/>
      <c r="K1023" s="10"/>
      <c r="L1023" s="4" t="s">
        <v>52</v>
      </c>
      <c r="M1023" s="4">
        <v>1018</v>
      </c>
    </row>
    <row r="1024" spans="1:13" x14ac:dyDescent="0.25">
      <c r="A1024" s="4" t="s">
        <v>1001</v>
      </c>
      <c r="B1024" s="4" t="s">
        <v>82</v>
      </c>
      <c r="C1024" s="9" t="s">
        <v>50</v>
      </c>
      <c r="D1024" s="10">
        <v>20</v>
      </c>
      <c r="E1024" s="11" t="s">
        <v>51</v>
      </c>
      <c r="F1024" s="10">
        <v>2191.63</v>
      </c>
      <c r="G1024" s="10">
        <v>0</v>
      </c>
      <c r="H1024" s="10">
        <f t="shared" si="15"/>
        <v>2191.63</v>
      </c>
      <c r="I1024" s="10"/>
      <c r="J1024" s="10"/>
      <c r="K1024" s="10"/>
      <c r="L1024" s="4" t="s">
        <v>52</v>
      </c>
      <c r="M1024" s="4">
        <v>1019</v>
      </c>
    </row>
    <row r="1025" spans="1:13" x14ac:dyDescent="0.25">
      <c r="A1025" s="4" t="s">
        <v>1001</v>
      </c>
      <c r="B1025" s="4" t="s">
        <v>88</v>
      </c>
      <c r="C1025" s="9" t="s">
        <v>50</v>
      </c>
      <c r="D1025" s="10">
        <v>54</v>
      </c>
      <c r="E1025" s="11" t="s">
        <v>51</v>
      </c>
      <c r="F1025" s="10">
        <v>3725.64</v>
      </c>
      <c r="G1025" s="10">
        <v>0</v>
      </c>
      <c r="H1025" s="10">
        <f t="shared" si="15"/>
        <v>3725.64</v>
      </c>
      <c r="I1025" s="10"/>
      <c r="J1025" s="10"/>
      <c r="K1025" s="10"/>
      <c r="L1025" s="4" t="s">
        <v>52</v>
      </c>
      <c r="M1025" s="4">
        <v>1020</v>
      </c>
    </row>
    <row r="1026" spans="1:13" x14ac:dyDescent="0.25">
      <c r="A1026" s="4" t="s">
        <v>1002</v>
      </c>
      <c r="B1026" s="4" t="s">
        <v>1003</v>
      </c>
      <c r="C1026" s="9" t="s">
        <v>50</v>
      </c>
      <c r="D1026" s="10">
        <v>70</v>
      </c>
      <c r="E1026" s="11" t="s">
        <v>51</v>
      </c>
      <c r="F1026" s="10">
        <v>1900</v>
      </c>
      <c r="G1026" s="10">
        <v>0</v>
      </c>
      <c r="H1026" s="10">
        <f t="shared" si="15"/>
        <v>1900</v>
      </c>
      <c r="I1026" s="10"/>
      <c r="J1026" s="10"/>
      <c r="K1026" s="10"/>
      <c r="L1026" s="4" t="s">
        <v>52</v>
      </c>
      <c r="M1026" s="4">
        <v>1021</v>
      </c>
    </row>
    <row r="1027" spans="1:13" x14ac:dyDescent="0.25">
      <c r="A1027" s="4" t="s">
        <v>1004</v>
      </c>
      <c r="B1027" s="4" t="s">
        <v>1005</v>
      </c>
      <c r="C1027" s="4" t="s">
        <v>68</v>
      </c>
      <c r="D1027" s="10">
        <v>20</v>
      </c>
      <c r="E1027" s="11" t="s">
        <v>51</v>
      </c>
      <c r="F1027" s="10">
        <v>2200</v>
      </c>
      <c r="G1027" s="10">
        <v>0</v>
      </c>
      <c r="H1027" s="10">
        <f t="shared" si="15"/>
        <v>2200</v>
      </c>
      <c r="I1027" s="10"/>
      <c r="J1027" s="10"/>
      <c r="K1027" s="10"/>
      <c r="L1027" s="4" t="s">
        <v>69</v>
      </c>
      <c r="M1027" s="4">
        <v>1022</v>
      </c>
    </row>
    <row r="1028" spans="1:13" x14ac:dyDescent="0.25">
      <c r="A1028" s="4" t="s">
        <v>1004</v>
      </c>
      <c r="B1028" s="4" t="s">
        <v>1006</v>
      </c>
      <c r="C1028" s="4" t="s">
        <v>68</v>
      </c>
      <c r="D1028" s="10">
        <v>10</v>
      </c>
      <c r="E1028" s="11" t="s">
        <v>51</v>
      </c>
      <c r="F1028" s="10">
        <v>600</v>
      </c>
      <c r="G1028" s="10">
        <v>0</v>
      </c>
      <c r="H1028" s="10">
        <f t="shared" si="15"/>
        <v>600</v>
      </c>
      <c r="I1028" s="10"/>
      <c r="J1028" s="10"/>
      <c r="K1028" s="10"/>
      <c r="L1028" s="4" t="s">
        <v>69</v>
      </c>
      <c r="M1028" s="4">
        <v>1023</v>
      </c>
    </row>
    <row r="1029" spans="1:13" x14ac:dyDescent="0.25">
      <c r="A1029" s="4" t="s">
        <v>1004</v>
      </c>
      <c r="B1029" s="4" t="s">
        <v>1007</v>
      </c>
      <c r="C1029" s="4" t="s">
        <v>68</v>
      </c>
      <c r="D1029" s="10">
        <v>403</v>
      </c>
      <c r="E1029" s="11" t="s">
        <v>51</v>
      </c>
      <c r="F1029" s="10">
        <v>2200</v>
      </c>
      <c r="G1029" s="10">
        <v>0</v>
      </c>
      <c r="H1029" s="10">
        <f t="shared" si="15"/>
        <v>2200</v>
      </c>
      <c r="I1029" s="10"/>
      <c r="J1029" s="10"/>
      <c r="K1029" s="10"/>
      <c r="L1029" s="4" t="s">
        <v>69</v>
      </c>
      <c r="M1029" s="4">
        <v>1024</v>
      </c>
    </row>
    <row r="1030" spans="1:13" x14ac:dyDescent="0.25">
      <c r="A1030" s="4" t="s">
        <v>1008</v>
      </c>
      <c r="B1030" s="4" t="s">
        <v>270</v>
      </c>
      <c r="C1030" s="9" t="s">
        <v>50</v>
      </c>
      <c r="D1030" s="10">
        <v>21</v>
      </c>
      <c r="E1030" s="11" t="s">
        <v>51</v>
      </c>
      <c r="F1030" s="10">
        <v>764.75</v>
      </c>
      <c r="G1030" s="10">
        <v>0</v>
      </c>
      <c r="H1030" s="10">
        <f t="shared" ref="H1030:H1093" si="16">F1030-G1030</f>
        <v>764.75</v>
      </c>
      <c r="I1030" s="10"/>
      <c r="J1030" s="10"/>
      <c r="K1030" s="10"/>
      <c r="L1030" s="4" t="s">
        <v>52</v>
      </c>
      <c r="M1030" s="4">
        <v>1025</v>
      </c>
    </row>
    <row r="1031" spans="1:13" x14ac:dyDescent="0.25">
      <c r="A1031" s="4" t="s">
        <v>1008</v>
      </c>
      <c r="B1031" s="4" t="s">
        <v>136</v>
      </c>
      <c r="C1031" s="9" t="s">
        <v>50</v>
      </c>
      <c r="D1031" s="10">
        <v>12</v>
      </c>
      <c r="E1031" s="11" t="s">
        <v>51</v>
      </c>
      <c r="F1031" s="10">
        <v>1577</v>
      </c>
      <c r="G1031" s="10">
        <v>0</v>
      </c>
      <c r="H1031" s="10">
        <f t="shared" si="16"/>
        <v>1577</v>
      </c>
      <c r="I1031" s="10"/>
      <c r="J1031" s="10"/>
      <c r="K1031" s="10"/>
      <c r="L1031" s="4" t="s">
        <v>52</v>
      </c>
      <c r="M1031" s="4">
        <v>1026</v>
      </c>
    </row>
    <row r="1032" spans="1:13" x14ac:dyDescent="0.25">
      <c r="A1032" s="4" t="s">
        <v>1008</v>
      </c>
      <c r="B1032" s="4" t="s">
        <v>82</v>
      </c>
      <c r="C1032" s="9" t="s">
        <v>50</v>
      </c>
      <c r="D1032" s="10">
        <v>40</v>
      </c>
      <c r="E1032" s="11" t="s">
        <v>51</v>
      </c>
      <c r="F1032" s="10">
        <v>5263</v>
      </c>
      <c r="G1032" s="10">
        <v>0</v>
      </c>
      <c r="H1032" s="10">
        <f t="shared" si="16"/>
        <v>5263</v>
      </c>
      <c r="I1032" s="10"/>
      <c r="J1032" s="10"/>
      <c r="K1032" s="10"/>
      <c r="L1032" s="4" t="s">
        <v>52</v>
      </c>
      <c r="M1032" s="4">
        <v>1027</v>
      </c>
    </row>
    <row r="1033" spans="1:13" x14ac:dyDescent="0.25">
      <c r="A1033" s="4" t="s">
        <v>1008</v>
      </c>
      <c r="B1033" s="4" t="s">
        <v>88</v>
      </c>
      <c r="C1033" s="9" t="s">
        <v>50</v>
      </c>
      <c r="D1033" s="10">
        <v>230</v>
      </c>
      <c r="E1033" s="11" t="s">
        <v>51</v>
      </c>
      <c r="F1033" s="10">
        <v>32879.5</v>
      </c>
      <c r="G1033" s="10">
        <v>0</v>
      </c>
      <c r="H1033" s="10">
        <f t="shared" si="16"/>
        <v>32879.5</v>
      </c>
      <c r="I1033" s="10"/>
      <c r="J1033" s="10"/>
      <c r="K1033" s="10"/>
      <c r="L1033" s="4" t="s">
        <v>52</v>
      </c>
      <c r="M1033" s="4">
        <v>1028</v>
      </c>
    </row>
    <row r="1034" spans="1:13" x14ac:dyDescent="0.25">
      <c r="A1034" s="4" t="s">
        <v>1008</v>
      </c>
      <c r="B1034" s="4" t="s">
        <v>137</v>
      </c>
      <c r="C1034" s="9" t="s">
        <v>50</v>
      </c>
      <c r="D1034" s="10">
        <v>212</v>
      </c>
      <c r="E1034" s="11" t="s">
        <v>51</v>
      </c>
      <c r="F1034" s="10">
        <v>7015.75</v>
      </c>
      <c r="G1034" s="10">
        <v>0</v>
      </c>
      <c r="H1034" s="10">
        <f t="shared" si="16"/>
        <v>7015.75</v>
      </c>
      <c r="I1034" s="10"/>
      <c r="J1034" s="10"/>
      <c r="K1034" s="10"/>
      <c r="L1034" s="4" t="s">
        <v>52</v>
      </c>
      <c r="M1034" s="4">
        <v>1029</v>
      </c>
    </row>
    <row r="1035" spans="1:13" x14ac:dyDescent="0.25">
      <c r="A1035" s="4" t="s">
        <v>1009</v>
      </c>
      <c r="B1035" s="4" t="s">
        <v>1010</v>
      </c>
      <c r="C1035" s="4" t="s">
        <v>68</v>
      </c>
      <c r="D1035" s="10">
        <v>15</v>
      </c>
      <c r="E1035" s="11" t="s">
        <v>51</v>
      </c>
      <c r="F1035" s="10">
        <v>1800</v>
      </c>
      <c r="G1035" s="10">
        <v>0</v>
      </c>
      <c r="H1035" s="10">
        <f t="shared" si="16"/>
        <v>1800</v>
      </c>
      <c r="I1035" s="10"/>
      <c r="J1035" s="10"/>
      <c r="K1035" s="10"/>
      <c r="L1035" s="4" t="s">
        <v>69</v>
      </c>
      <c r="M1035" s="4">
        <v>1030</v>
      </c>
    </row>
    <row r="1036" spans="1:13" x14ac:dyDescent="0.25">
      <c r="A1036" s="4" t="s">
        <v>1009</v>
      </c>
      <c r="B1036" s="4" t="s">
        <v>1011</v>
      </c>
      <c r="C1036" s="9" t="s">
        <v>50</v>
      </c>
      <c r="D1036" s="10">
        <v>30</v>
      </c>
      <c r="E1036" s="11" t="s">
        <v>51</v>
      </c>
      <c r="F1036" s="10">
        <v>4000</v>
      </c>
      <c r="G1036" s="10">
        <v>0</v>
      </c>
      <c r="H1036" s="10">
        <f t="shared" si="16"/>
        <v>4000</v>
      </c>
      <c r="I1036" s="10"/>
      <c r="J1036" s="10"/>
      <c r="K1036" s="10"/>
      <c r="L1036" s="4" t="s">
        <v>52</v>
      </c>
      <c r="M1036" s="4">
        <v>1031</v>
      </c>
    </row>
    <row r="1037" spans="1:13" x14ac:dyDescent="0.25">
      <c r="A1037" s="4" t="s">
        <v>1009</v>
      </c>
      <c r="B1037" s="4" t="s">
        <v>1012</v>
      </c>
      <c r="C1037" s="9" t="s">
        <v>50</v>
      </c>
      <c r="D1037" s="10">
        <v>16</v>
      </c>
      <c r="E1037" s="11" t="s">
        <v>51</v>
      </c>
      <c r="F1037" s="10">
        <v>2150</v>
      </c>
      <c r="G1037" s="10">
        <v>0</v>
      </c>
      <c r="H1037" s="10">
        <f t="shared" si="16"/>
        <v>2150</v>
      </c>
      <c r="I1037" s="10"/>
      <c r="J1037" s="10"/>
      <c r="K1037" s="10"/>
      <c r="L1037" s="4" t="s">
        <v>52</v>
      </c>
      <c r="M1037" s="4">
        <v>1032</v>
      </c>
    </row>
    <row r="1038" spans="1:13" x14ac:dyDescent="0.25">
      <c r="A1038" s="4" t="s">
        <v>1009</v>
      </c>
      <c r="B1038" s="4" t="s">
        <v>1013</v>
      </c>
      <c r="C1038" s="9" t="s">
        <v>50</v>
      </c>
      <c r="D1038" s="10">
        <v>51</v>
      </c>
      <c r="E1038" s="11" t="s">
        <v>51</v>
      </c>
      <c r="F1038" s="10">
        <v>4500</v>
      </c>
      <c r="G1038" s="10">
        <v>0</v>
      </c>
      <c r="H1038" s="10">
        <f t="shared" si="16"/>
        <v>4500</v>
      </c>
      <c r="I1038" s="10"/>
      <c r="J1038" s="10"/>
      <c r="K1038" s="10"/>
      <c r="L1038" s="4" t="s">
        <v>52</v>
      </c>
      <c r="M1038" s="4">
        <v>1033</v>
      </c>
    </row>
    <row r="1039" spans="1:13" x14ac:dyDescent="0.25">
      <c r="A1039" s="4" t="s">
        <v>1014</v>
      </c>
      <c r="B1039" s="4" t="s">
        <v>136</v>
      </c>
      <c r="C1039" s="9" t="s">
        <v>50</v>
      </c>
      <c r="D1039" s="10"/>
      <c r="E1039" s="11" t="s">
        <v>51</v>
      </c>
      <c r="F1039" s="10"/>
      <c r="G1039" s="10">
        <v>0</v>
      </c>
      <c r="H1039" s="10">
        <f t="shared" si="16"/>
        <v>0</v>
      </c>
      <c r="I1039" s="10"/>
      <c r="J1039" s="10"/>
      <c r="K1039" s="10"/>
      <c r="L1039" s="4" t="s">
        <v>52</v>
      </c>
      <c r="M1039" s="4">
        <v>1034</v>
      </c>
    </row>
    <row r="1040" spans="1:13" x14ac:dyDescent="0.25">
      <c r="A1040" s="4" t="s">
        <v>1014</v>
      </c>
      <c r="B1040" s="4" t="s">
        <v>82</v>
      </c>
      <c r="C1040" s="9" t="s">
        <v>50</v>
      </c>
      <c r="D1040" s="10"/>
      <c r="E1040" s="11" t="s">
        <v>51</v>
      </c>
      <c r="F1040" s="10"/>
      <c r="G1040" s="10">
        <v>0</v>
      </c>
      <c r="H1040" s="10">
        <f t="shared" si="16"/>
        <v>0</v>
      </c>
      <c r="I1040" s="10"/>
      <c r="J1040" s="10"/>
      <c r="K1040" s="10"/>
      <c r="L1040" s="4" t="s">
        <v>52</v>
      </c>
      <c r="M1040" s="4">
        <v>1035</v>
      </c>
    </row>
    <row r="1041" spans="1:13" x14ac:dyDescent="0.25">
      <c r="A1041" s="4" t="s">
        <v>1014</v>
      </c>
      <c r="B1041" s="4" t="s">
        <v>88</v>
      </c>
      <c r="C1041" s="9" t="s">
        <v>50</v>
      </c>
      <c r="D1041" s="10"/>
      <c r="E1041" s="11" t="s">
        <v>51</v>
      </c>
      <c r="F1041" s="10"/>
      <c r="G1041" s="10">
        <v>0</v>
      </c>
      <c r="H1041" s="10">
        <f t="shared" si="16"/>
        <v>0</v>
      </c>
      <c r="I1041" s="10"/>
      <c r="J1041" s="10"/>
      <c r="K1041" s="10"/>
      <c r="L1041" s="4" t="s">
        <v>52</v>
      </c>
      <c r="M1041" s="4">
        <v>1036</v>
      </c>
    </row>
    <row r="1042" spans="1:13" x14ac:dyDescent="0.25">
      <c r="A1042" s="4" t="s">
        <v>1014</v>
      </c>
      <c r="B1042" s="4" t="s">
        <v>137</v>
      </c>
      <c r="C1042" s="9" t="s">
        <v>50</v>
      </c>
      <c r="D1042" s="10">
        <v>50.75</v>
      </c>
      <c r="E1042" s="11" t="s">
        <v>51</v>
      </c>
      <c r="F1042" s="10"/>
      <c r="G1042" s="10">
        <v>0</v>
      </c>
      <c r="H1042" s="10">
        <f t="shared" si="16"/>
        <v>0</v>
      </c>
      <c r="I1042" s="10"/>
      <c r="J1042" s="10"/>
      <c r="K1042" s="10"/>
      <c r="L1042" s="4" t="s">
        <v>52</v>
      </c>
      <c r="M1042" s="4">
        <v>1037</v>
      </c>
    </row>
    <row r="1043" spans="1:13" x14ac:dyDescent="0.25">
      <c r="A1043" s="4" t="s">
        <v>1015</v>
      </c>
      <c r="B1043" s="4" t="s">
        <v>119</v>
      </c>
      <c r="C1043" s="9" t="s">
        <v>50</v>
      </c>
      <c r="D1043" s="10">
        <v>230.75</v>
      </c>
      <c r="E1043" s="11" t="s">
        <v>51</v>
      </c>
      <c r="F1043" s="10">
        <v>3971.25</v>
      </c>
      <c r="G1043" s="10">
        <v>0</v>
      </c>
      <c r="H1043" s="10">
        <f t="shared" si="16"/>
        <v>3971.25</v>
      </c>
      <c r="I1043" s="10"/>
      <c r="J1043" s="10"/>
      <c r="K1043" s="10"/>
      <c r="L1043" s="4" t="s">
        <v>52</v>
      </c>
      <c r="M1043" s="4">
        <v>1038</v>
      </c>
    </row>
    <row r="1044" spans="1:13" x14ac:dyDescent="0.25">
      <c r="A1044" s="4" t="s">
        <v>1016</v>
      </c>
      <c r="B1044" s="4" t="s">
        <v>1017</v>
      </c>
      <c r="C1044" s="9" t="s">
        <v>50</v>
      </c>
      <c r="D1044" s="10">
        <v>60</v>
      </c>
      <c r="E1044" s="11" t="s">
        <v>51</v>
      </c>
      <c r="F1044" s="10">
        <v>5400</v>
      </c>
      <c r="G1044" s="10">
        <v>0</v>
      </c>
      <c r="H1044" s="10">
        <f t="shared" si="16"/>
        <v>5400</v>
      </c>
      <c r="I1044" s="10"/>
      <c r="J1044" s="10"/>
      <c r="K1044" s="10"/>
      <c r="L1044" s="4" t="s">
        <v>52</v>
      </c>
      <c r="M1044" s="4">
        <v>1039</v>
      </c>
    </row>
    <row r="1045" spans="1:13" x14ac:dyDescent="0.25">
      <c r="A1045" s="4" t="s">
        <v>1016</v>
      </c>
      <c r="B1045" s="4" t="s">
        <v>1018</v>
      </c>
      <c r="C1045" s="9" t="s">
        <v>50</v>
      </c>
      <c r="D1045" s="10">
        <v>180</v>
      </c>
      <c r="E1045" s="11" t="s">
        <v>51</v>
      </c>
      <c r="F1045" s="10">
        <v>11272.5</v>
      </c>
      <c r="G1045" s="10">
        <v>0</v>
      </c>
      <c r="H1045" s="10">
        <f t="shared" si="16"/>
        <v>11272.5</v>
      </c>
      <c r="I1045" s="10"/>
      <c r="J1045" s="10"/>
      <c r="K1045" s="10"/>
      <c r="L1045" s="4" t="s">
        <v>52</v>
      </c>
      <c r="M1045" s="4">
        <v>1040</v>
      </c>
    </row>
    <row r="1046" spans="1:13" x14ac:dyDescent="0.25">
      <c r="A1046" s="4" t="s">
        <v>1019</v>
      </c>
      <c r="B1046" s="4" t="s">
        <v>1020</v>
      </c>
      <c r="C1046" s="4" t="s">
        <v>68</v>
      </c>
      <c r="D1046" s="10">
        <v>20</v>
      </c>
      <c r="E1046" s="11" t="s">
        <v>51</v>
      </c>
      <c r="F1046" s="10">
        <v>4675</v>
      </c>
      <c r="G1046" s="10">
        <v>0</v>
      </c>
      <c r="H1046" s="10">
        <f t="shared" si="16"/>
        <v>4675</v>
      </c>
      <c r="I1046" s="10"/>
      <c r="J1046" s="10"/>
      <c r="K1046" s="10"/>
      <c r="L1046" s="4" t="s">
        <v>69</v>
      </c>
      <c r="M1046" s="4">
        <v>1041</v>
      </c>
    </row>
    <row r="1047" spans="1:13" x14ac:dyDescent="0.25">
      <c r="A1047" s="4" t="s">
        <v>1019</v>
      </c>
      <c r="B1047" s="4" t="s">
        <v>1021</v>
      </c>
      <c r="C1047" s="4" t="s">
        <v>68</v>
      </c>
      <c r="D1047" s="10">
        <v>40</v>
      </c>
      <c r="E1047" s="11" t="s">
        <v>51</v>
      </c>
      <c r="F1047" s="10">
        <v>3562.5</v>
      </c>
      <c r="G1047" s="10">
        <v>0</v>
      </c>
      <c r="H1047" s="10">
        <f t="shared" si="16"/>
        <v>3562.5</v>
      </c>
      <c r="I1047" s="10"/>
      <c r="J1047" s="10"/>
      <c r="K1047" s="10"/>
      <c r="L1047" s="4" t="s">
        <v>69</v>
      </c>
      <c r="M1047" s="4">
        <v>1042</v>
      </c>
    </row>
    <row r="1048" spans="1:13" x14ac:dyDescent="0.25">
      <c r="A1048" s="4" t="s">
        <v>1022</v>
      </c>
      <c r="B1048" s="4" t="s">
        <v>404</v>
      </c>
      <c r="C1048" s="9" t="s">
        <v>50</v>
      </c>
      <c r="D1048" s="10"/>
      <c r="E1048" s="11" t="s">
        <v>51</v>
      </c>
      <c r="F1048" s="10"/>
      <c r="G1048" s="10">
        <v>0</v>
      </c>
      <c r="H1048" s="10">
        <f t="shared" si="16"/>
        <v>0</v>
      </c>
      <c r="I1048" s="10"/>
      <c r="J1048" s="10"/>
      <c r="K1048" s="10"/>
      <c r="L1048" s="4" t="s">
        <v>52</v>
      </c>
      <c r="M1048" s="4">
        <v>1043</v>
      </c>
    </row>
    <row r="1049" spans="1:13" x14ac:dyDescent="0.25">
      <c r="A1049" s="4" t="s">
        <v>1022</v>
      </c>
      <c r="B1049" s="4" t="s">
        <v>270</v>
      </c>
      <c r="C1049" s="9" t="s">
        <v>50</v>
      </c>
      <c r="D1049" s="10">
        <v>195</v>
      </c>
      <c r="E1049" s="11" t="s">
        <v>51</v>
      </c>
      <c r="F1049" s="10"/>
      <c r="G1049" s="10">
        <v>0</v>
      </c>
      <c r="H1049" s="10">
        <f t="shared" si="16"/>
        <v>0</v>
      </c>
      <c r="I1049" s="10"/>
      <c r="J1049" s="10"/>
      <c r="K1049" s="10"/>
      <c r="L1049" s="4" t="s">
        <v>52</v>
      </c>
      <c r="M1049" s="4">
        <v>1044</v>
      </c>
    </row>
    <row r="1050" spans="1:13" x14ac:dyDescent="0.25">
      <c r="A1050" s="4" t="s">
        <v>1023</v>
      </c>
      <c r="B1050" s="4" t="s">
        <v>106</v>
      </c>
      <c r="C1050" s="9" t="s">
        <v>50</v>
      </c>
      <c r="D1050" s="10">
        <v>40</v>
      </c>
      <c r="E1050" s="11" t="s">
        <v>51</v>
      </c>
      <c r="F1050" s="10">
        <v>3896.9</v>
      </c>
      <c r="G1050" s="10">
        <v>0</v>
      </c>
      <c r="H1050" s="10">
        <f t="shared" si="16"/>
        <v>3896.9</v>
      </c>
      <c r="I1050" s="10"/>
      <c r="J1050" s="10"/>
      <c r="K1050" s="10"/>
      <c r="L1050" s="4" t="s">
        <v>52</v>
      </c>
      <c r="M1050" s="4">
        <v>1045</v>
      </c>
    </row>
    <row r="1051" spans="1:13" x14ac:dyDescent="0.25">
      <c r="A1051" s="4" t="s">
        <v>1023</v>
      </c>
      <c r="B1051" s="4" t="s">
        <v>107</v>
      </c>
      <c r="C1051" s="9" t="s">
        <v>50</v>
      </c>
      <c r="D1051" s="10">
        <v>510</v>
      </c>
      <c r="E1051" s="11" t="s">
        <v>51</v>
      </c>
      <c r="F1051" s="10">
        <v>15103.1</v>
      </c>
      <c r="G1051" s="10">
        <v>0</v>
      </c>
      <c r="H1051" s="10">
        <f t="shared" si="16"/>
        <v>15103.1</v>
      </c>
      <c r="I1051" s="10"/>
      <c r="J1051" s="10"/>
      <c r="K1051" s="10"/>
      <c r="L1051" s="4" t="s">
        <v>52</v>
      </c>
      <c r="M1051" s="4">
        <v>1046</v>
      </c>
    </row>
    <row r="1052" spans="1:13" x14ac:dyDescent="0.25">
      <c r="A1052" s="4" t="s">
        <v>1024</v>
      </c>
      <c r="B1052" s="4" t="s">
        <v>106</v>
      </c>
      <c r="C1052" s="9" t="s">
        <v>50</v>
      </c>
      <c r="D1052" s="10">
        <v>65</v>
      </c>
      <c r="E1052" s="11" t="s">
        <v>51</v>
      </c>
      <c r="F1052" s="10">
        <v>6334.47</v>
      </c>
      <c r="G1052" s="10">
        <v>0</v>
      </c>
      <c r="H1052" s="10">
        <f t="shared" si="16"/>
        <v>6334.47</v>
      </c>
      <c r="I1052" s="10"/>
      <c r="J1052" s="10"/>
      <c r="K1052" s="10"/>
      <c r="L1052" s="4" t="s">
        <v>52</v>
      </c>
      <c r="M1052" s="4">
        <v>1047</v>
      </c>
    </row>
    <row r="1053" spans="1:13" x14ac:dyDescent="0.25">
      <c r="A1053" s="4" t="s">
        <v>1024</v>
      </c>
      <c r="B1053" s="4" t="s">
        <v>107</v>
      </c>
      <c r="C1053" s="9" t="s">
        <v>50</v>
      </c>
      <c r="D1053" s="10">
        <v>258</v>
      </c>
      <c r="E1053" s="11" t="s">
        <v>51</v>
      </c>
      <c r="F1053" s="10">
        <v>25625.53</v>
      </c>
      <c r="G1053" s="10">
        <v>0</v>
      </c>
      <c r="H1053" s="10">
        <f t="shared" si="16"/>
        <v>25625.53</v>
      </c>
      <c r="I1053" s="10"/>
      <c r="J1053" s="10"/>
      <c r="K1053" s="10"/>
      <c r="L1053" s="4" t="s">
        <v>52</v>
      </c>
      <c r="M1053" s="4">
        <v>1048</v>
      </c>
    </row>
    <row r="1054" spans="1:13" x14ac:dyDescent="0.25">
      <c r="A1054" s="4" t="s">
        <v>1024</v>
      </c>
      <c r="B1054" s="4" t="s">
        <v>1025</v>
      </c>
      <c r="C1054" s="9" t="s">
        <v>50</v>
      </c>
      <c r="D1054" s="10">
        <v>70</v>
      </c>
      <c r="E1054" s="11" t="s">
        <v>51</v>
      </c>
      <c r="F1054" s="10">
        <v>3040</v>
      </c>
      <c r="G1054" s="10">
        <v>0</v>
      </c>
      <c r="H1054" s="10">
        <f t="shared" si="16"/>
        <v>3040</v>
      </c>
      <c r="I1054" s="10"/>
      <c r="J1054" s="10"/>
      <c r="K1054" s="10"/>
      <c r="L1054" s="4" t="s">
        <v>52</v>
      </c>
      <c r="M1054" s="4">
        <v>1049</v>
      </c>
    </row>
    <row r="1055" spans="1:13" x14ac:dyDescent="0.25">
      <c r="A1055" s="4" t="s">
        <v>1026</v>
      </c>
      <c r="B1055" s="4" t="s">
        <v>106</v>
      </c>
      <c r="C1055" s="9" t="s">
        <v>50</v>
      </c>
      <c r="D1055" s="10">
        <v>144.75</v>
      </c>
      <c r="E1055" s="11" t="s">
        <v>51</v>
      </c>
      <c r="F1055" s="10">
        <v>6650</v>
      </c>
      <c r="G1055" s="10">
        <v>0</v>
      </c>
      <c r="H1055" s="10">
        <f t="shared" si="16"/>
        <v>6650</v>
      </c>
      <c r="I1055" s="10"/>
      <c r="J1055" s="10"/>
      <c r="K1055" s="10"/>
      <c r="L1055" s="4" t="s">
        <v>52</v>
      </c>
      <c r="M1055" s="4">
        <v>1050</v>
      </c>
    </row>
    <row r="1056" spans="1:13" x14ac:dyDescent="0.25">
      <c r="A1056" s="4" t="s">
        <v>1027</v>
      </c>
      <c r="B1056" s="4" t="s">
        <v>1028</v>
      </c>
      <c r="C1056" s="9" t="s">
        <v>50</v>
      </c>
      <c r="D1056" s="10">
        <v>24.75</v>
      </c>
      <c r="E1056" s="11" t="s">
        <v>51</v>
      </c>
      <c r="F1056" s="10">
        <v>2351.25</v>
      </c>
      <c r="G1056" s="10">
        <v>0</v>
      </c>
      <c r="H1056" s="10">
        <f t="shared" si="16"/>
        <v>2351.25</v>
      </c>
      <c r="I1056" s="10"/>
      <c r="J1056" s="10"/>
      <c r="K1056" s="10"/>
      <c r="L1056" s="4" t="s">
        <v>52</v>
      </c>
      <c r="M1056" s="4">
        <v>1051</v>
      </c>
    </row>
    <row r="1057" spans="1:13" x14ac:dyDescent="0.25">
      <c r="A1057" s="4" t="s">
        <v>1027</v>
      </c>
      <c r="B1057" s="4" t="s">
        <v>1029</v>
      </c>
      <c r="C1057" s="9" t="s">
        <v>50</v>
      </c>
      <c r="D1057" s="10">
        <v>20</v>
      </c>
      <c r="E1057" s="11" t="s">
        <v>51</v>
      </c>
      <c r="F1057" s="10">
        <v>1900</v>
      </c>
      <c r="G1057" s="10">
        <v>0</v>
      </c>
      <c r="H1057" s="10">
        <f t="shared" si="16"/>
        <v>1900</v>
      </c>
      <c r="I1057" s="10"/>
      <c r="J1057" s="10"/>
      <c r="K1057" s="10"/>
      <c r="L1057" s="4" t="s">
        <v>52</v>
      </c>
      <c r="M1057" s="4">
        <v>1052</v>
      </c>
    </row>
    <row r="1058" spans="1:13" x14ac:dyDescent="0.25">
      <c r="A1058" s="4" t="s">
        <v>1027</v>
      </c>
      <c r="B1058" s="4" t="s">
        <v>1030</v>
      </c>
      <c r="C1058" s="9" t="s">
        <v>50</v>
      </c>
      <c r="D1058" s="10">
        <v>25</v>
      </c>
      <c r="E1058" s="11" t="s">
        <v>51</v>
      </c>
      <c r="F1058" s="10">
        <v>2375</v>
      </c>
      <c r="G1058" s="10">
        <v>0</v>
      </c>
      <c r="H1058" s="10">
        <f t="shared" si="16"/>
        <v>2375</v>
      </c>
      <c r="I1058" s="10"/>
      <c r="J1058" s="10"/>
      <c r="K1058" s="10"/>
      <c r="L1058" s="4" t="s">
        <v>52</v>
      </c>
      <c r="M1058" s="4">
        <v>1053</v>
      </c>
    </row>
    <row r="1059" spans="1:13" x14ac:dyDescent="0.25">
      <c r="A1059" s="4" t="s">
        <v>1027</v>
      </c>
      <c r="B1059" s="4" t="s">
        <v>1031</v>
      </c>
      <c r="C1059" s="9" t="s">
        <v>50</v>
      </c>
      <c r="D1059" s="10">
        <v>70</v>
      </c>
      <c r="E1059" s="11" t="s">
        <v>51</v>
      </c>
      <c r="F1059" s="10">
        <v>475</v>
      </c>
      <c r="G1059" s="10">
        <v>0</v>
      </c>
      <c r="H1059" s="10">
        <f t="shared" si="16"/>
        <v>475</v>
      </c>
      <c r="I1059" s="10"/>
      <c r="J1059" s="10"/>
      <c r="K1059" s="10"/>
      <c r="L1059" s="4" t="s">
        <v>52</v>
      </c>
      <c r="M1059" s="4">
        <v>1054</v>
      </c>
    </row>
    <row r="1060" spans="1:13" x14ac:dyDescent="0.25">
      <c r="A1060" s="4" t="s">
        <v>1032</v>
      </c>
      <c r="B1060" s="4" t="s">
        <v>1033</v>
      </c>
      <c r="C1060" s="4" t="s">
        <v>68</v>
      </c>
      <c r="D1060" s="10">
        <v>40</v>
      </c>
      <c r="E1060" s="11" t="s">
        <v>51</v>
      </c>
      <c r="F1060" s="10">
        <v>5200</v>
      </c>
      <c r="G1060" s="10">
        <v>0</v>
      </c>
      <c r="H1060" s="10">
        <f t="shared" si="16"/>
        <v>5200</v>
      </c>
      <c r="I1060" s="10"/>
      <c r="J1060" s="10"/>
      <c r="K1060" s="10"/>
      <c r="L1060" s="4" t="s">
        <v>69</v>
      </c>
      <c r="M1060" s="4">
        <v>1055</v>
      </c>
    </row>
    <row r="1061" spans="1:13" x14ac:dyDescent="0.25">
      <c r="A1061" s="4" t="s">
        <v>1032</v>
      </c>
      <c r="B1061" s="4" t="s">
        <v>1034</v>
      </c>
      <c r="C1061" s="4" t="s">
        <v>65</v>
      </c>
      <c r="D1061" s="10">
        <v>85</v>
      </c>
      <c r="E1061" s="12" t="s">
        <v>66</v>
      </c>
      <c r="F1061" s="10">
        <v>3450</v>
      </c>
      <c r="G1061" s="10">
        <v>0</v>
      </c>
      <c r="H1061" s="10">
        <f t="shared" si="16"/>
        <v>3450</v>
      </c>
      <c r="I1061" s="10">
        <v>138</v>
      </c>
      <c r="J1061" s="10">
        <v>138</v>
      </c>
      <c r="K1061" s="10">
        <v>138</v>
      </c>
      <c r="L1061" s="4"/>
      <c r="M1061" s="4">
        <v>1056</v>
      </c>
    </row>
    <row r="1062" spans="1:13" x14ac:dyDescent="0.25">
      <c r="A1062" s="4" t="s">
        <v>1035</v>
      </c>
      <c r="B1062" s="4" t="s">
        <v>1036</v>
      </c>
      <c r="C1062" s="4" t="s">
        <v>68</v>
      </c>
      <c r="D1062" s="10">
        <v>114</v>
      </c>
      <c r="E1062" s="11" t="s">
        <v>51</v>
      </c>
      <c r="F1062" s="10">
        <v>6900</v>
      </c>
      <c r="G1062" s="10">
        <v>0</v>
      </c>
      <c r="H1062" s="10">
        <f t="shared" si="16"/>
        <v>6900</v>
      </c>
      <c r="I1062" s="10"/>
      <c r="J1062" s="10"/>
      <c r="K1062" s="10"/>
      <c r="L1062" s="4" t="s">
        <v>69</v>
      </c>
      <c r="M1062" s="4">
        <v>1057</v>
      </c>
    </row>
    <row r="1063" spans="1:13" x14ac:dyDescent="0.25">
      <c r="A1063" s="4" t="s">
        <v>1037</v>
      </c>
      <c r="B1063" s="4" t="s">
        <v>1038</v>
      </c>
      <c r="C1063" s="4" t="s">
        <v>65</v>
      </c>
      <c r="D1063" s="10">
        <v>34</v>
      </c>
      <c r="E1063" s="12" t="s">
        <v>66</v>
      </c>
      <c r="F1063" s="10">
        <v>4700</v>
      </c>
      <c r="G1063" s="10">
        <v>0</v>
      </c>
      <c r="H1063" s="10">
        <f t="shared" si="16"/>
        <v>4700</v>
      </c>
      <c r="I1063" s="10">
        <v>138.2352941176471</v>
      </c>
      <c r="J1063" s="10">
        <v>138.2352941176471</v>
      </c>
      <c r="K1063" s="10">
        <v>138.2352941176471</v>
      </c>
      <c r="L1063" s="4"/>
      <c r="M1063" s="4">
        <v>1058</v>
      </c>
    </row>
    <row r="1064" spans="1:13" x14ac:dyDescent="0.25">
      <c r="A1064" s="4" t="s">
        <v>1037</v>
      </c>
      <c r="B1064" s="4" t="s">
        <v>292</v>
      </c>
      <c r="C1064" s="4" t="s">
        <v>68</v>
      </c>
      <c r="D1064" s="10">
        <v>120</v>
      </c>
      <c r="E1064" s="11" t="s">
        <v>51</v>
      </c>
      <c r="F1064" s="10">
        <v>2400</v>
      </c>
      <c r="G1064" s="10">
        <v>0</v>
      </c>
      <c r="H1064" s="10">
        <f t="shared" si="16"/>
        <v>2400</v>
      </c>
      <c r="I1064" s="10"/>
      <c r="J1064" s="10"/>
      <c r="K1064" s="10"/>
      <c r="L1064" s="4" t="s">
        <v>69</v>
      </c>
      <c r="M1064" s="4">
        <v>1059</v>
      </c>
    </row>
    <row r="1065" spans="1:13" x14ac:dyDescent="0.25">
      <c r="A1065" s="4" t="s">
        <v>1039</v>
      </c>
      <c r="B1065" s="4" t="s">
        <v>106</v>
      </c>
      <c r="C1065" s="9" t="s">
        <v>50</v>
      </c>
      <c r="D1065" s="10">
        <v>30</v>
      </c>
      <c r="E1065" s="11" t="s">
        <v>51</v>
      </c>
      <c r="F1065" s="10">
        <v>2850</v>
      </c>
      <c r="G1065" s="10">
        <v>0</v>
      </c>
      <c r="H1065" s="10">
        <f t="shared" si="16"/>
        <v>2850</v>
      </c>
      <c r="I1065" s="10"/>
      <c r="J1065" s="10"/>
      <c r="K1065" s="10"/>
      <c r="L1065" s="4" t="s">
        <v>52</v>
      </c>
      <c r="M1065" s="4">
        <v>1060</v>
      </c>
    </row>
    <row r="1066" spans="1:13" x14ac:dyDescent="0.25">
      <c r="A1066" s="4" t="s">
        <v>1039</v>
      </c>
      <c r="B1066" s="4" t="s">
        <v>107</v>
      </c>
      <c r="C1066" s="9" t="s">
        <v>50</v>
      </c>
      <c r="D1066" s="10">
        <v>118</v>
      </c>
      <c r="E1066" s="11" t="s">
        <v>51</v>
      </c>
      <c r="F1066" s="10">
        <v>8550</v>
      </c>
      <c r="G1066" s="10">
        <v>0</v>
      </c>
      <c r="H1066" s="10">
        <f t="shared" si="16"/>
        <v>8550</v>
      </c>
      <c r="I1066" s="10"/>
      <c r="J1066" s="10"/>
      <c r="K1066" s="10"/>
      <c r="L1066" s="4" t="s">
        <v>52</v>
      </c>
      <c r="M1066" s="4">
        <v>1061</v>
      </c>
    </row>
    <row r="1067" spans="1:13" x14ac:dyDescent="0.25">
      <c r="A1067" s="4" t="s">
        <v>1040</v>
      </c>
      <c r="B1067" s="4" t="s">
        <v>1041</v>
      </c>
      <c r="C1067" s="9" t="s">
        <v>50</v>
      </c>
      <c r="D1067" s="10">
        <v>16</v>
      </c>
      <c r="E1067" s="11" t="s">
        <v>51</v>
      </c>
      <c r="F1067" s="10">
        <v>1520</v>
      </c>
      <c r="G1067" s="10">
        <v>0</v>
      </c>
      <c r="H1067" s="10">
        <f t="shared" si="16"/>
        <v>1520</v>
      </c>
      <c r="I1067" s="10"/>
      <c r="J1067" s="10"/>
      <c r="K1067" s="10"/>
      <c r="L1067" s="4" t="s">
        <v>52</v>
      </c>
      <c r="M1067" s="4">
        <v>1062</v>
      </c>
    </row>
    <row r="1068" spans="1:13" x14ac:dyDescent="0.25">
      <c r="A1068" s="4" t="s">
        <v>1040</v>
      </c>
      <c r="B1068" s="4" t="s">
        <v>1042</v>
      </c>
      <c r="C1068" s="9" t="s">
        <v>50</v>
      </c>
      <c r="D1068" s="10">
        <v>39</v>
      </c>
      <c r="E1068" s="11" t="s">
        <v>51</v>
      </c>
      <c r="F1068" s="10">
        <v>1050</v>
      </c>
      <c r="G1068" s="10">
        <v>0</v>
      </c>
      <c r="H1068" s="10">
        <f t="shared" si="16"/>
        <v>1050</v>
      </c>
      <c r="I1068" s="10"/>
      <c r="J1068" s="10"/>
      <c r="K1068" s="10"/>
      <c r="L1068" s="4" t="s">
        <v>52</v>
      </c>
      <c r="M1068" s="4">
        <v>1063</v>
      </c>
    </row>
    <row r="1069" spans="1:13" x14ac:dyDescent="0.25">
      <c r="A1069" s="4" t="s">
        <v>1043</v>
      </c>
      <c r="B1069" s="4" t="s">
        <v>1044</v>
      </c>
      <c r="C1069" s="4" t="s">
        <v>65</v>
      </c>
      <c r="D1069" s="10">
        <v>2</v>
      </c>
      <c r="E1069" s="12" t="s">
        <v>66</v>
      </c>
      <c r="F1069" s="10">
        <v>150</v>
      </c>
      <c r="G1069" s="10">
        <v>0</v>
      </c>
      <c r="H1069" s="10">
        <f t="shared" si="16"/>
        <v>150</v>
      </c>
      <c r="I1069" s="10">
        <v>75</v>
      </c>
      <c r="J1069" s="10">
        <v>75</v>
      </c>
      <c r="K1069" s="10">
        <v>75</v>
      </c>
      <c r="L1069" s="4"/>
      <c r="M1069" s="4">
        <v>1064</v>
      </c>
    </row>
    <row r="1070" spans="1:13" x14ac:dyDescent="0.25">
      <c r="A1070" s="4" t="s">
        <v>1043</v>
      </c>
      <c r="B1070" s="4" t="s">
        <v>1045</v>
      </c>
      <c r="C1070" s="4" t="s">
        <v>65</v>
      </c>
      <c r="D1070" s="10">
        <v>645</v>
      </c>
      <c r="E1070" s="12" t="s">
        <v>66</v>
      </c>
      <c r="F1070" s="10">
        <v>2000</v>
      </c>
      <c r="G1070" s="10">
        <v>0</v>
      </c>
      <c r="H1070" s="10">
        <f t="shared" si="16"/>
        <v>2000</v>
      </c>
      <c r="I1070" s="10">
        <v>80</v>
      </c>
      <c r="J1070" s="10">
        <v>80</v>
      </c>
      <c r="K1070" s="10">
        <v>80</v>
      </c>
      <c r="L1070" s="4"/>
      <c r="M1070" s="4">
        <v>1065</v>
      </c>
    </row>
    <row r="1071" spans="1:13" x14ac:dyDescent="0.25">
      <c r="A1071" s="4" t="s">
        <v>1046</v>
      </c>
      <c r="B1071" s="4" t="s">
        <v>404</v>
      </c>
      <c r="C1071" s="9" t="s">
        <v>50</v>
      </c>
      <c r="D1071" s="10"/>
      <c r="E1071" s="11" t="s">
        <v>51</v>
      </c>
      <c r="F1071" s="10"/>
      <c r="G1071" s="10">
        <v>0</v>
      </c>
      <c r="H1071" s="10">
        <f t="shared" si="16"/>
        <v>0</v>
      </c>
      <c r="I1071" s="10"/>
      <c r="J1071" s="10"/>
      <c r="K1071" s="10"/>
      <c r="L1071" s="4" t="s">
        <v>52</v>
      </c>
      <c r="M1071" s="4">
        <v>1066</v>
      </c>
    </row>
    <row r="1072" spans="1:13" x14ac:dyDescent="0.25">
      <c r="A1072" s="4" t="s">
        <v>1046</v>
      </c>
      <c r="B1072" s="4" t="s">
        <v>136</v>
      </c>
      <c r="C1072" s="9" t="s">
        <v>50</v>
      </c>
      <c r="D1072" s="10">
        <v>3</v>
      </c>
      <c r="E1072" s="11" t="s">
        <v>51</v>
      </c>
      <c r="F1072" s="10">
        <v>300</v>
      </c>
      <c r="G1072" s="10">
        <v>0</v>
      </c>
      <c r="H1072" s="10">
        <f t="shared" si="16"/>
        <v>300</v>
      </c>
      <c r="I1072" s="10"/>
      <c r="J1072" s="10"/>
      <c r="K1072" s="10"/>
      <c r="L1072" s="4" t="s">
        <v>52</v>
      </c>
      <c r="M1072" s="4">
        <v>1067</v>
      </c>
    </row>
    <row r="1073" spans="1:13" x14ac:dyDescent="0.25">
      <c r="A1073" s="4" t="s">
        <v>1046</v>
      </c>
      <c r="B1073" s="4" t="s">
        <v>82</v>
      </c>
      <c r="C1073" s="9" t="s">
        <v>50</v>
      </c>
      <c r="D1073" s="10">
        <v>67</v>
      </c>
      <c r="E1073" s="11" t="s">
        <v>51</v>
      </c>
      <c r="F1073" s="10">
        <v>5100</v>
      </c>
      <c r="G1073" s="10">
        <v>0</v>
      </c>
      <c r="H1073" s="10">
        <f t="shared" si="16"/>
        <v>5100</v>
      </c>
      <c r="I1073" s="10"/>
      <c r="J1073" s="10"/>
      <c r="K1073" s="10"/>
      <c r="L1073" s="4" t="s">
        <v>52</v>
      </c>
      <c r="M1073" s="4">
        <v>1068</v>
      </c>
    </row>
    <row r="1074" spans="1:13" x14ac:dyDescent="0.25">
      <c r="A1074" s="4" t="s">
        <v>1046</v>
      </c>
      <c r="B1074" s="4" t="s">
        <v>88</v>
      </c>
      <c r="C1074" s="9" t="s">
        <v>50</v>
      </c>
      <c r="D1074" s="10">
        <v>86</v>
      </c>
      <c r="E1074" s="11" t="s">
        <v>51</v>
      </c>
      <c r="F1074" s="10">
        <v>6500</v>
      </c>
      <c r="G1074" s="10">
        <v>0</v>
      </c>
      <c r="H1074" s="10">
        <f t="shared" si="16"/>
        <v>6500</v>
      </c>
      <c r="I1074" s="10"/>
      <c r="J1074" s="10"/>
      <c r="K1074" s="10"/>
      <c r="L1074" s="4" t="s">
        <v>52</v>
      </c>
      <c r="M1074" s="4">
        <v>1069</v>
      </c>
    </row>
    <row r="1075" spans="1:13" x14ac:dyDescent="0.25">
      <c r="A1075" s="4" t="s">
        <v>1046</v>
      </c>
      <c r="B1075" s="4" t="s">
        <v>137</v>
      </c>
      <c r="C1075" s="9" t="s">
        <v>50</v>
      </c>
      <c r="D1075" s="10">
        <v>67</v>
      </c>
      <c r="E1075" s="11" t="s">
        <v>51</v>
      </c>
      <c r="F1075" s="10">
        <v>5100</v>
      </c>
      <c r="G1075" s="10">
        <v>0</v>
      </c>
      <c r="H1075" s="10">
        <f t="shared" si="16"/>
        <v>5100</v>
      </c>
      <c r="I1075" s="10"/>
      <c r="J1075" s="10"/>
      <c r="K1075" s="10"/>
      <c r="L1075" s="4" t="s">
        <v>52</v>
      </c>
      <c r="M1075" s="4">
        <v>1070</v>
      </c>
    </row>
    <row r="1076" spans="1:13" x14ac:dyDescent="0.25">
      <c r="A1076" s="4" t="s">
        <v>1046</v>
      </c>
      <c r="B1076" s="4" t="s">
        <v>106</v>
      </c>
      <c r="C1076" s="9" t="s">
        <v>50</v>
      </c>
      <c r="D1076" s="10">
        <v>162</v>
      </c>
      <c r="E1076" s="11" t="s">
        <v>51</v>
      </c>
      <c r="F1076" s="10">
        <v>12150</v>
      </c>
      <c r="G1076" s="10">
        <v>0</v>
      </c>
      <c r="H1076" s="10">
        <f t="shared" si="16"/>
        <v>12150</v>
      </c>
      <c r="I1076" s="10"/>
      <c r="J1076" s="10"/>
      <c r="K1076" s="10"/>
      <c r="L1076" s="4" t="s">
        <v>52</v>
      </c>
      <c r="M1076" s="4">
        <v>1071</v>
      </c>
    </row>
    <row r="1077" spans="1:13" x14ac:dyDescent="0.25">
      <c r="A1077" s="4" t="s">
        <v>1046</v>
      </c>
      <c r="B1077" s="4" t="s">
        <v>107</v>
      </c>
      <c r="C1077" s="9" t="s">
        <v>50</v>
      </c>
      <c r="D1077" s="10">
        <v>333</v>
      </c>
      <c r="E1077" s="11" t="s">
        <v>51</v>
      </c>
      <c r="F1077" s="10">
        <v>17650</v>
      </c>
      <c r="G1077" s="10">
        <v>0</v>
      </c>
      <c r="H1077" s="10">
        <f t="shared" si="16"/>
        <v>17650</v>
      </c>
      <c r="I1077" s="10"/>
      <c r="J1077" s="10"/>
      <c r="K1077" s="10"/>
      <c r="L1077" s="4" t="s">
        <v>52</v>
      </c>
      <c r="M1077" s="4">
        <v>1072</v>
      </c>
    </row>
    <row r="1078" spans="1:13" x14ac:dyDescent="0.25">
      <c r="A1078" s="4" t="s">
        <v>1047</v>
      </c>
      <c r="B1078" s="4" t="s">
        <v>136</v>
      </c>
      <c r="C1078" s="9" t="s">
        <v>50</v>
      </c>
      <c r="D1078" s="10">
        <v>6</v>
      </c>
      <c r="E1078" s="11" t="s">
        <v>51</v>
      </c>
      <c r="F1078" s="10">
        <v>408.32</v>
      </c>
      <c r="G1078" s="10">
        <v>0</v>
      </c>
      <c r="H1078" s="10">
        <f t="shared" si="16"/>
        <v>408.32</v>
      </c>
      <c r="I1078" s="10"/>
      <c r="J1078" s="10"/>
      <c r="K1078" s="10"/>
      <c r="L1078" s="4" t="s">
        <v>52</v>
      </c>
      <c r="M1078" s="4">
        <v>1073</v>
      </c>
    </row>
    <row r="1079" spans="1:13" x14ac:dyDescent="0.25">
      <c r="A1079" s="4" t="s">
        <v>1047</v>
      </c>
      <c r="B1079" s="4" t="s">
        <v>107</v>
      </c>
      <c r="C1079" s="9" t="s">
        <v>50</v>
      </c>
      <c r="D1079" s="10">
        <v>18</v>
      </c>
      <c r="E1079" s="11" t="s">
        <v>51</v>
      </c>
      <c r="F1079" s="10">
        <v>1840.27</v>
      </c>
      <c r="G1079" s="10">
        <v>0</v>
      </c>
      <c r="H1079" s="10">
        <f t="shared" si="16"/>
        <v>1840.27</v>
      </c>
      <c r="I1079" s="10"/>
      <c r="J1079" s="10"/>
      <c r="K1079" s="10"/>
      <c r="L1079" s="4" t="s">
        <v>52</v>
      </c>
      <c r="M1079" s="4">
        <v>1074</v>
      </c>
    </row>
    <row r="1080" spans="1:13" x14ac:dyDescent="0.25">
      <c r="A1080" s="4" t="s">
        <v>1047</v>
      </c>
      <c r="B1080" s="4" t="s">
        <v>128</v>
      </c>
      <c r="C1080" s="9" t="s">
        <v>50</v>
      </c>
      <c r="D1080" s="10">
        <v>144</v>
      </c>
      <c r="E1080" s="11" t="s">
        <v>51</v>
      </c>
      <c r="F1080" s="10">
        <v>5901.42</v>
      </c>
      <c r="G1080" s="10">
        <v>0</v>
      </c>
      <c r="H1080" s="10">
        <f t="shared" si="16"/>
        <v>5901.42</v>
      </c>
      <c r="I1080" s="10"/>
      <c r="J1080" s="10"/>
      <c r="K1080" s="10"/>
      <c r="L1080" s="4" t="s">
        <v>52</v>
      </c>
      <c r="M1080" s="4">
        <v>1075</v>
      </c>
    </row>
    <row r="1081" spans="1:13" x14ac:dyDescent="0.25">
      <c r="A1081" s="4" t="s">
        <v>1048</v>
      </c>
      <c r="B1081" s="4" t="s">
        <v>88</v>
      </c>
      <c r="C1081" s="9" t="s">
        <v>50</v>
      </c>
      <c r="D1081" s="10">
        <v>35</v>
      </c>
      <c r="E1081" s="11" t="s">
        <v>51</v>
      </c>
      <c r="F1081" s="10">
        <v>4654.76</v>
      </c>
      <c r="G1081" s="10">
        <v>0</v>
      </c>
      <c r="H1081" s="10">
        <f t="shared" si="16"/>
        <v>4654.76</v>
      </c>
      <c r="I1081" s="10"/>
      <c r="J1081" s="10"/>
      <c r="K1081" s="10"/>
      <c r="L1081" s="4" t="s">
        <v>52</v>
      </c>
      <c r="M1081" s="4">
        <v>1076</v>
      </c>
    </row>
    <row r="1082" spans="1:13" x14ac:dyDescent="0.25">
      <c r="A1082" s="4" t="s">
        <v>1048</v>
      </c>
      <c r="B1082" s="4" t="s">
        <v>137</v>
      </c>
      <c r="C1082" s="9" t="s">
        <v>50</v>
      </c>
      <c r="D1082" s="10">
        <v>1285</v>
      </c>
      <c r="E1082" s="11" t="s">
        <v>51</v>
      </c>
      <c r="F1082" s="10">
        <v>2695.25</v>
      </c>
      <c r="G1082" s="10">
        <v>0</v>
      </c>
      <c r="H1082" s="10">
        <f t="shared" si="16"/>
        <v>2695.25</v>
      </c>
      <c r="I1082" s="10"/>
      <c r="J1082" s="10"/>
      <c r="K1082" s="10"/>
      <c r="L1082" s="4" t="s">
        <v>52</v>
      </c>
      <c r="M1082" s="4">
        <v>1077</v>
      </c>
    </row>
    <row r="1083" spans="1:13" x14ac:dyDescent="0.25">
      <c r="A1083" s="4" t="s">
        <v>1049</v>
      </c>
      <c r="B1083" s="4" t="s">
        <v>1050</v>
      </c>
      <c r="C1083" s="9" t="s">
        <v>50</v>
      </c>
      <c r="D1083" s="10">
        <v>1256</v>
      </c>
      <c r="E1083" s="11" t="s">
        <v>51</v>
      </c>
      <c r="F1083" s="10">
        <v>95000</v>
      </c>
      <c r="G1083" s="10">
        <v>0</v>
      </c>
      <c r="H1083" s="10">
        <f t="shared" si="16"/>
        <v>95000</v>
      </c>
      <c r="I1083" s="10"/>
      <c r="J1083" s="10"/>
      <c r="K1083" s="10"/>
      <c r="L1083" s="4" t="s">
        <v>52</v>
      </c>
      <c r="M1083" s="4">
        <v>1078</v>
      </c>
    </row>
    <row r="1084" spans="1:13" x14ac:dyDescent="0.25">
      <c r="A1084" s="4" t="s">
        <v>1051</v>
      </c>
      <c r="B1084" s="4" t="s">
        <v>1052</v>
      </c>
      <c r="C1084" s="4" t="s">
        <v>65</v>
      </c>
      <c r="D1084" s="10">
        <v>832</v>
      </c>
      <c r="E1084" s="12" t="s">
        <v>66</v>
      </c>
      <c r="F1084" s="10">
        <v>900</v>
      </c>
      <c r="G1084" s="10">
        <v>0</v>
      </c>
      <c r="H1084" s="10">
        <f t="shared" si="16"/>
        <v>900</v>
      </c>
      <c r="I1084" s="10">
        <v>150</v>
      </c>
      <c r="J1084" s="10">
        <v>150</v>
      </c>
      <c r="K1084" s="10">
        <v>150</v>
      </c>
      <c r="L1084" s="4"/>
      <c r="M1084" s="4">
        <v>1079</v>
      </c>
    </row>
    <row r="1085" spans="1:13" x14ac:dyDescent="0.25">
      <c r="A1085" s="4" t="s">
        <v>1053</v>
      </c>
      <c r="B1085" s="4" t="s">
        <v>1054</v>
      </c>
      <c r="C1085" s="4" t="s">
        <v>68</v>
      </c>
      <c r="D1085" s="10">
        <v>180</v>
      </c>
      <c r="E1085" s="11" t="s">
        <v>51</v>
      </c>
      <c r="F1085" s="10">
        <v>18750</v>
      </c>
      <c r="G1085" s="10">
        <v>0</v>
      </c>
      <c r="H1085" s="10">
        <f t="shared" si="16"/>
        <v>18750</v>
      </c>
      <c r="I1085" s="10"/>
      <c r="J1085" s="10"/>
      <c r="K1085" s="10"/>
      <c r="L1085" s="4" t="s">
        <v>69</v>
      </c>
      <c r="M1085" s="4">
        <v>1080</v>
      </c>
    </row>
    <row r="1086" spans="1:13" x14ac:dyDescent="0.25">
      <c r="A1086" s="4" t="s">
        <v>1053</v>
      </c>
      <c r="B1086" s="4" t="s">
        <v>1055</v>
      </c>
      <c r="C1086" s="4" t="s">
        <v>68</v>
      </c>
      <c r="D1086" s="10">
        <v>100</v>
      </c>
      <c r="E1086" s="11" t="s">
        <v>51</v>
      </c>
      <c r="F1086" s="10">
        <v>7500</v>
      </c>
      <c r="G1086" s="10">
        <v>0</v>
      </c>
      <c r="H1086" s="10">
        <f t="shared" si="16"/>
        <v>7500</v>
      </c>
      <c r="I1086" s="10"/>
      <c r="J1086" s="10"/>
      <c r="K1086" s="10"/>
      <c r="L1086" s="4" t="s">
        <v>69</v>
      </c>
      <c r="M1086" s="4">
        <v>1081</v>
      </c>
    </row>
    <row r="1087" spans="1:13" x14ac:dyDescent="0.25">
      <c r="A1087" s="4" t="s">
        <v>1053</v>
      </c>
      <c r="B1087" s="4" t="s">
        <v>1056</v>
      </c>
      <c r="C1087" s="4" t="s">
        <v>68</v>
      </c>
      <c r="D1087" s="10">
        <v>300</v>
      </c>
      <c r="E1087" s="11" t="s">
        <v>51</v>
      </c>
      <c r="F1087" s="10">
        <v>7200</v>
      </c>
      <c r="G1087" s="10">
        <v>0</v>
      </c>
      <c r="H1087" s="10">
        <f t="shared" si="16"/>
        <v>7200</v>
      </c>
      <c r="I1087" s="10"/>
      <c r="J1087" s="10"/>
      <c r="K1087" s="10"/>
      <c r="L1087" s="4" t="s">
        <v>69</v>
      </c>
      <c r="M1087" s="4">
        <v>1082</v>
      </c>
    </row>
    <row r="1088" spans="1:13" x14ac:dyDescent="0.25">
      <c r="A1088" s="4" t="s">
        <v>1053</v>
      </c>
      <c r="B1088" s="4" t="s">
        <v>1057</v>
      </c>
      <c r="C1088" s="4" t="s">
        <v>68</v>
      </c>
      <c r="D1088" s="10">
        <v>250</v>
      </c>
      <c r="E1088" s="11" t="s">
        <v>51</v>
      </c>
      <c r="F1088" s="10">
        <v>7200</v>
      </c>
      <c r="G1088" s="10">
        <v>0</v>
      </c>
      <c r="H1088" s="10">
        <f t="shared" si="16"/>
        <v>7200</v>
      </c>
      <c r="I1088" s="10"/>
      <c r="J1088" s="10"/>
      <c r="K1088" s="10"/>
      <c r="L1088" s="4" t="s">
        <v>69</v>
      </c>
      <c r="M1088" s="4">
        <v>1083</v>
      </c>
    </row>
    <row r="1089" spans="1:13" x14ac:dyDescent="0.25">
      <c r="A1089" s="4" t="s">
        <v>1053</v>
      </c>
      <c r="B1089" s="4" t="s">
        <v>1058</v>
      </c>
      <c r="C1089" s="4" t="s">
        <v>65</v>
      </c>
      <c r="D1089" s="10">
        <v>19</v>
      </c>
      <c r="E1089" s="12" t="s">
        <v>66</v>
      </c>
      <c r="F1089" s="10">
        <v>100</v>
      </c>
      <c r="G1089" s="10">
        <v>0</v>
      </c>
      <c r="H1089" s="10">
        <f t="shared" si="16"/>
        <v>100</v>
      </c>
      <c r="I1089" s="10">
        <v>50</v>
      </c>
      <c r="J1089" s="10">
        <v>50</v>
      </c>
      <c r="K1089" s="10">
        <v>50</v>
      </c>
      <c r="L1089" s="4"/>
      <c r="M1089" s="4">
        <v>1084</v>
      </c>
    </row>
    <row r="1090" spans="1:13" x14ac:dyDescent="0.25">
      <c r="A1090" s="4" t="s">
        <v>1059</v>
      </c>
      <c r="B1090" s="4" t="s">
        <v>1060</v>
      </c>
      <c r="C1090" s="4" t="s">
        <v>65</v>
      </c>
      <c r="D1090" s="10">
        <v>138</v>
      </c>
      <c r="E1090" s="12" t="s">
        <v>66</v>
      </c>
      <c r="F1090" s="10">
        <v>2450</v>
      </c>
      <c r="G1090" s="10">
        <v>0</v>
      </c>
      <c r="H1090" s="10">
        <f t="shared" si="16"/>
        <v>2450</v>
      </c>
      <c r="I1090" s="10">
        <v>128.9473684210526</v>
      </c>
      <c r="J1090" s="10">
        <v>128.9473684210526</v>
      </c>
      <c r="K1090" s="10">
        <v>128.9473684210526</v>
      </c>
      <c r="L1090" s="4"/>
      <c r="M1090" s="4">
        <v>1085</v>
      </c>
    </row>
    <row r="1091" spans="1:13" x14ac:dyDescent="0.25">
      <c r="A1091" s="4" t="s">
        <v>1061</v>
      </c>
      <c r="B1091" s="4" t="s">
        <v>1062</v>
      </c>
      <c r="C1091" s="4" t="s">
        <v>65</v>
      </c>
      <c r="D1091" s="10">
        <v>55</v>
      </c>
      <c r="E1091" s="12" t="s">
        <v>66</v>
      </c>
      <c r="F1091" s="10">
        <v>4450</v>
      </c>
      <c r="G1091" s="10">
        <v>0</v>
      </c>
      <c r="H1091" s="10">
        <f t="shared" si="16"/>
        <v>4450</v>
      </c>
      <c r="I1091" s="10">
        <v>80.909090909090907</v>
      </c>
      <c r="J1091" s="10">
        <v>80.909090909090907</v>
      </c>
      <c r="K1091" s="10">
        <v>80.909090909090907</v>
      </c>
      <c r="L1091" s="4"/>
      <c r="M1091" s="4">
        <v>1086</v>
      </c>
    </row>
    <row r="1092" spans="1:13" x14ac:dyDescent="0.25">
      <c r="A1092" s="4" t="s">
        <v>1061</v>
      </c>
      <c r="B1092" s="4" t="s">
        <v>1063</v>
      </c>
      <c r="C1092" s="9" t="s">
        <v>50</v>
      </c>
      <c r="D1092" s="10">
        <v>1031</v>
      </c>
      <c r="E1092" s="11" t="s">
        <v>51</v>
      </c>
      <c r="F1092" s="10">
        <v>6350</v>
      </c>
      <c r="G1092" s="10">
        <v>0</v>
      </c>
      <c r="H1092" s="10">
        <f t="shared" si="16"/>
        <v>6350</v>
      </c>
      <c r="I1092" s="10"/>
      <c r="J1092" s="10"/>
      <c r="K1092" s="10"/>
      <c r="L1092" s="4" t="s">
        <v>52</v>
      </c>
      <c r="M1092" s="4">
        <v>1087</v>
      </c>
    </row>
    <row r="1093" spans="1:13" x14ac:dyDescent="0.25">
      <c r="A1093" s="4" t="s">
        <v>1064</v>
      </c>
      <c r="B1093" s="4" t="s">
        <v>537</v>
      </c>
      <c r="C1093" s="9" t="s">
        <v>50</v>
      </c>
      <c r="D1093" s="10">
        <v>56</v>
      </c>
      <c r="E1093" s="11" t="s">
        <v>51</v>
      </c>
      <c r="F1093" s="10">
        <v>4760</v>
      </c>
      <c r="G1093" s="10">
        <v>0</v>
      </c>
      <c r="H1093" s="10">
        <f t="shared" si="16"/>
        <v>4760</v>
      </c>
      <c r="I1093" s="10">
        <v>85</v>
      </c>
      <c r="J1093" s="10">
        <v>85</v>
      </c>
      <c r="K1093" s="10">
        <v>85</v>
      </c>
      <c r="L1093" s="4" t="s">
        <v>259</v>
      </c>
      <c r="M1093" s="4">
        <v>1088</v>
      </c>
    </row>
    <row r="1094" spans="1:13" x14ac:dyDescent="0.25">
      <c r="A1094" s="4" t="s">
        <v>1064</v>
      </c>
      <c r="B1094" s="4" t="s">
        <v>1065</v>
      </c>
      <c r="C1094" s="9" t="s">
        <v>50</v>
      </c>
      <c r="D1094" s="10">
        <v>948</v>
      </c>
      <c r="E1094" s="11" t="s">
        <v>51</v>
      </c>
      <c r="F1094" s="10">
        <v>81600</v>
      </c>
      <c r="G1094" s="10">
        <v>0</v>
      </c>
      <c r="H1094" s="10">
        <f t="shared" ref="H1094:H1157" si="17">F1094-G1094</f>
        <v>81600</v>
      </c>
      <c r="I1094" s="10"/>
      <c r="J1094" s="10"/>
      <c r="K1094" s="10"/>
      <c r="L1094" s="4" t="s">
        <v>52</v>
      </c>
      <c r="M1094" s="4">
        <v>1089</v>
      </c>
    </row>
    <row r="1095" spans="1:13" x14ac:dyDescent="0.25">
      <c r="A1095" s="4" t="s">
        <v>1064</v>
      </c>
      <c r="B1095" s="4" t="s">
        <v>1066</v>
      </c>
      <c r="C1095" s="9" t="s">
        <v>50</v>
      </c>
      <c r="D1095" s="10">
        <v>961</v>
      </c>
      <c r="E1095" s="11" t="s">
        <v>51</v>
      </c>
      <c r="F1095" s="10"/>
      <c r="G1095" s="10">
        <v>0</v>
      </c>
      <c r="H1095" s="10">
        <f t="shared" si="17"/>
        <v>0</v>
      </c>
      <c r="I1095" s="10"/>
      <c r="J1095" s="10"/>
      <c r="K1095" s="10"/>
      <c r="L1095" s="4" t="s">
        <v>52</v>
      </c>
      <c r="M1095" s="4">
        <v>1090</v>
      </c>
    </row>
    <row r="1096" spans="1:13" x14ac:dyDescent="0.25">
      <c r="A1096" s="4" t="s">
        <v>1067</v>
      </c>
      <c r="B1096" s="4" t="s">
        <v>1065</v>
      </c>
      <c r="C1096" s="9" t="s">
        <v>50</v>
      </c>
      <c r="D1096" s="10">
        <v>1133.5</v>
      </c>
      <c r="E1096" s="11" t="s">
        <v>51</v>
      </c>
      <c r="F1096" s="10">
        <v>83040</v>
      </c>
      <c r="G1096" s="10">
        <v>0</v>
      </c>
      <c r="H1096" s="10">
        <f t="shared" si="17"/>
        <v>83040</v>
      </c>
      <c r="I1096" s="10"/>
      <c r="J1096" s="10"/>
      <c r="K1096" s="10"/>
      <c r="L1096" s="4" t="s">
        <v>52</v>
      </c>
      <c r="M1096" s="4">
        <v>1091</v>
      </c>
    </row>
    <row r="1097" spans="1:13" x14ac:dyDescent="0.25">
      <c r="A1097" s="4" t="s">
        <v>1068</v>
      </c>
      <c r="B1097" s="4" t="s">
        <v>1069</v>
      </c>
      <c r="C1097" s="9" t="s">
        <v>50</v>
      </c>
      <c r="D1097" s="10">
        <v>132.5</v>
      </c>
      <c r="E1097" s="11" t="s">
        <v>51</v>
      </c>
      <c r="F1097" s="10">
        <v>14000</v>
      </c>
      <c r="G1097" s="10">
        <v>0</v>
      </c>
      <c r="H1097" s="10">
        <f t="shared" si="17"/>
        <v>14000</v>
      </c>
      <c r="I1097" s="10"/>
      <c r="J1097" s="10"/>
      <c r="K1097" s="10"/>
      <c r="L1097" s="4" t="s">
        <v>52</v>
      </c>
      <c r="M1097" s="4">
        <v>1092</v>
      </c>
    </row>
    <row r="1098" spans="1:13" x14ac:dyDescent="0.25">
      <c r="A1098" s="4" t="s">
        <v>1068</v>
      </c>
      <c r="B1098" s="4" t="s">
        <v>1070</v>
      </c>
      <c r="C1098" s="9" t="s">
        <v>50</v>
      </c>
      <c r="D1098" s="10">
        <v>833</v>
      </c>
      <c r="E1098" s="11" t="s">
        <v>51</v>
      </c>
      <c r="F1098" s="10">
        <v>4250</v>
      </c>
      <c r="G1098" s="10">
        <v>0</v>
      </c>
      <c r="H1098" s="10">
        <f t="shared" si="17"/>
        <v>4250</v>
      </c>
      <c r="I1098" s="10"/>
      <c r="J1098" s="10"/>
      <c r="K1098" s="10"/>
      <c r="L1098" s="4" t="s">
        <v>52</v>
      </c>
      <c r="M1098" s="4">
        <v>1093</v>
      </c>
    </row>
    <row r="1099" spans="1:13" x14ac:dyDescent="0.25">
      <c r="A1099" s="4" t="s">
        <v>1071</v>
      </c>
      <c r="B1099" s="4" t="s">
        <v>609</v>
      </c>
      <c r="C1099" s="9" t="s">
        <v>50</v>
      </c>
      <c r="D1099" s="10">
        <v>963</v>
      </c>
      <c r="E1099" s="11" t="s">
        <v>51</v>
      </c>
      <c r="F1099" s="10">
        <v>83040</v>
      </c>
      <c r="G1099" s="10">
        <v>0</v>
      </c>
      <c r="H1099" s="10">
        <f t="shared" si="17"/>
        <v>83040</v>
      </c>
      <c r="I1099" s="10"/>
      <c r="J1099" s="10"/>
      <c r="K1099" s="10"/>
      <c r="L1099" s="4" t="s">
        <v>52</v>
      </c>
      <c r="M1099" s="4">
        <v>1094</v>
      </c>
    </row>
    <row r="1100" spans="1:13" x14ac:dyDescent="0.25">
      <c r="A1100" s="4" t="s">
        <v>1072</v>
      </c>
      <c r="B1100" s="4" t="s">
        <v>1073</v>
      </c>
      <c r="C1100" s="4" t="s">
        <v>65</v>
      </c>
      <c r="D1100" s="10">
        <v>1018</v>
      </c>
      <c r="E1100" s="12" t="s">
        <v>66</v>
      </c>
      <c r="F1100" s="10">
        <v>14790</v>
      </c>
      <c r="G1100" s="10">
        <v>0</v>
      </c>
      <c r="H1100" s="10">
        <f t="shared" si="17"/>
        <v>14790</v>
      </c>
      <c r="I1100" s="10">
        <v>87</v>
      </c>
      <c r="J1100" s="10">
        <v>87</v>
      </c>
      <c r="K1100" s="10">
        <v>87</v>
      </c>
      <c r="L1100" s="4"/>
      <c r="M1100" s="4">
        <v>1095</v>
      </c>
    </row>
    <row r="1101" spans="1:13" x14ac:dyDescent="0.25">
      <c r="A1101" s="4" t="s">
        <v>1074</v>
      </c>
      <c r="B1101" s="4" t="s">
        <v>1075</v>
      </c>
      <c r="C1101" s="4" t="s">
        <v>65</v>
      </c>
      <c r="D1101" s="10">
        <v>114</v>
      </c>
      <c r="E1101" s="12" t="s">
        <v>66</v>
      </c>
      <c r="F1101" s="10">
        <v>12970</v>
      </c>
      <c r="G1101" s="10">
        <v>0</v>
      </c>
      <c r="H1101" s="10">
        <f t="shared" si="17"/>
        <v>12970</v>
      </c>
      <c r="I1101" s="10">
        <v>113.7719298245614</v>
      </c>
      <c r="J1101" s="10">
        <v>113.7719298245614</v>
      </c>
      <c r="K1101" s="10">
        <v>113.7719298245614</v>
      </c>
      <c r="L1101" s="4"/>
      <c r="M1101" s="4">
        <v>1096</v>
      </c>
    </row>
    <row r="1102" spans="1:13" x14ac:dyDescent="0.25">
      <c r="A1102" s="4" t="s">
        <v>1074</v>
      </c>
      <c r="B1102" s="4" t="s">
        <v>1076</v>
      </c>
      <c r="C1102" s="4" t="s">
        <v>65</v>
      </c>
      <c r="D1102" s="10">
        <v>158</v>
      </c>
      <c r="E1102" s="12" t="s">
        <v>66</v>
      </c>
      <c r="F1102" s="10">
        <v>18307</v>
      </c>
      <c r="G1102" s="10">
        <v>0</v>
      </c>
      <c r="H1102" s="10">
        <f t="shared" si="17"/>
        <v>18307</v>
      </c>
      <c r="I1102" s="10">
        <v>115.86708860759489</v>
      </c>
      <c r="J1102" s="10">
        <v>115.86708860759489</v>
      </c>
      <c r="K1102" s="10">
        <v>115.86708860759489</v>
      </c>
      <c r="L1102" s="4"/>
      <c r="M1102" s="4">
        <v>1097</v>
      </c>
    </row>
    <row r="1103" spans="1:13" x14ac:dyDescent="0.25">
      <c r="A1103" s="4" t="s">
        <v>1074</v>
      </c>
      <c r="B1103" s="4" t="s">
        <v>1077</v>
      </c>
      <c r="C1103" s="4" t="s">
        <v>65</v>
      </c>
      <c r="D1103" s="10">
        <v>283</v>
      </c>
      <c r="E1103" s="12" t="s">
        <v>66</v>
      </c>
      <c r="F1103" s="10">
        <v>32742</v>
      </c>
      <c r="G1103" s="10">
        <v>0</v>
      </c>
      <c r="H1103" s="10">
        <f t="shared" si="17"/>
        <v>32742</v>
      </c>
      <c r="I1103" s="10">
        <v>115.6961130742049</v>
      </c>
      <c r="J1103" s="10">
        <v>115.6961130742049</v>
      </c>
      <c r="K1103" s="10">
        <v>115.6961130742049</v>
      </c>
      <c r="L1103" s="4"/>
      <c r="M1103" s="4">
        <v>1098</v>
      </c>
    </row>
    <row r="1104" spans="1:13" x14ac:dyDescent="0.25">
      <c r="A1104" s="4" t="s">
        <v>1074</v>
      </c>
      <c r="B1104" s="4" t="s">
        <v>1078</v>
      </c>
      <c r="C1104" s="4" t="s">
        <v>65</v>
      </c>
      <c r="D1104" s="10">
        <v>571</v>
      </c>
      <c r="E1104" s="12" t="s">
        <v>66</v>
      </c>
      <c r="F1104" s="10">
        <v>33982</v>
      </c>
      <c r="G1104" s="10">
        <v>0</v>
      </c>
      <c r="H1104" s="10">
        <f t="shared" si="17"/>
        <v>33982</v>
      </c>
      <c r="I1104" s="10">
        <v>115.97952218430029</v>
      </c>
      <c r="J1104" s="10">
        <v>115.97952218430029</v>
      </c>
      <c r="K1104" s="10">
        <v>115.97952218430029</v>
      </c>
      <c r="L1104" s="4"/>
      <c r="M1104" s="4">
        <v>1099</v>
      </c>
    </row>
    <row r="1105" spans="1:13" x14ac:dyDescent="0.25">
      <c r="A1105" s="4" t="s">
        <v>1079</v>
      </c>
      <c r="B1105" s="4" t="s">
        <v>1080</v>
      </c>
      <c r="C1105" s="4" t="s">
        <v>65</v>
      </c>
      <c r="D1105" s="10">
        <v>250</v>
      </c>
      <c r="E1105" s="12" t="s">
        <v>66</v>
      </c>
      <c r="F1105" s="10">
        <v>23579.9</v>
      </c>
      <c r="G1105" s="10">
        <v>0</v>
      </c>
      <c r="H1105" s="10">
        <f t="shared" si="17"/>
        <v>23579.9</v>
      </c>
      <c r="I1105" s="10">
        <v>94.319600000000008</v>
      </c>
      <c r="J1105" s="10">
        <v>94.319600000000008</v>
      </c>
      <c r="K1105" s="10">
        <v>94.319600000000008</v>
      </c>
      <c r="L1105" s="4"/>
      <c r="M1105" s="4">
        <v>1100</v>
      </c>
    </row>
    <row r="1106" spans="1:13" x14ac:dyDescent="0.25">
      <c r="A1106" s="4" t="s">
        <v>1079</v>
      </c>
      <c r="B1106" s="4" t="s">
        <v>1081</v>
      </c>
      <c r="C1106" s="4" t="s">
        <v>65</v>
      </c>
      <c r="D1106" s="10">
        <v>118</v>
      </c>
      <c r="E1106" s="12" t="s">
        <v>66</v>
      </c>
      <c r="F1106" s="10">
        <v>2691.67</v>
      </c>
      <c r="G1106" s="10">
        <v>0</v>
      </c>
      <c r="H1106" s="10">
        <f t="shared" si="17"/>
        <v>2691.67</v>
      </c>
      <c r="I1106" s="10">
        <v>96.131071428571431</v>
      </c>
      <c r="J1106" s="10">
        <v>96.131071428571431</v>
      </c>
      <c r="K1106" s="10">
        <v>96.131071428571431</v>
      </c>
      <c r="L1106" s="4"/>
      <c r="M1106" s="4">
        <v>1101</v>
      </c>
    </row>
    <row r="1107" spans="1:13" x14ac:dyDescent="0.25">
      <c r="A1107" s="4" t="s">
        <v>1082</v>
      </c>
      <c r="B1107" s="4" t="s">
        <v>1083</v>
      </c>
      <c r="C1107" s="4" t="s">
        <v>65</v>
      </c>
      <c r="D1107" s="10">
        <v>75</v>
      </c>
      <c r="E1107" s="12" t="s">
        <v>66</v>
      </c>
      <c r="F1107" s="10">
        <v>6467</v>
      </c>
      <c r="G1107" s="10">
        <v>0</v>
      </c>
      <c r="H1107" s="10">
        <f t="shared" si="17"/>
        <v>6467</v>
      </c>
      <c r="I1107" s="10">
        <v>86.226666666666674</v>
      </c>
      <c r="J1107" s="10">
        <v>86.226666666666674</v>
      </c>
      <c r="K1107" s="10">
        <v>86.226666666666674</v>
      </c>
      <c r="L1107" s="4"/>
      <c r="M1107" s="4">
        <v>1102</v>
      </c>
    </row>
    <row r="1108" spans="1:13" x14ac:dyDescent="0.25">
      <c r="A1108" s="4" t="s">
        <v>1082</v>
      </c>
      <c r="B1108" s="4" t="s">
        <v>1084</v>
      </c>
      <c r="C1108" s="4" t="s">
        <v>65</v>
      </c>
      <c r="D1108" s="10">
        <v>54</v>
      </c>
      <c r="E1108" s="12" t="s">
        <v>66</v>
      </c>
      <c r="F1108" s="10">
        <v>1218</v>
      </c>
      <c r="G1108" s="10">
        <v>0</v>
      </c>
      <c r="H1108" s="10">
        <f t="shared" si="17"/>
        <v>1218</v>
      </c>
      <c r="I1108" s="10">
        <v>81.2</v>
      </c>
      <c r="J1108" s="10">
        <v>81.2</v>
      </c>
      <c r="K1108" s="10">
        <v>81.2</v>
      </c>
      <c r="L1108" s="4"/>
      <c r="M1108" s="4">
        <v>1103</v>
      </c>
    </row>
    <row r="1109" spans="1:13" x14ac:dyDescent="0.25">
      <c r="A1109" s="4" t="s">
        <v>1085</v>
      </c>
      <c r="B1109" s="4" t="s">
        <v>1086</v>
      </c>
      <c r="C1109" s="4" t="s">
        <v>65</v>
      </c>
      <c r="D1109" s="10">
        <v>987</v>
      </c>
      <c r="E1109" s="12" t="s">
        <v>66</v>
      </c>
      <c r="F1109" s="10">
        <v>3611</v>
      </c>
      <c r="G1109" s="10">
        <v>0</v>
      </c>
      <c r="H1109" s="10">
        <f t="shared" si="17"/>
        <v>3611</v>
      </c>
      <c r="I1109" s="10">
        <v>92.589743589743591</v>
      </c>
      <c r="J1109" s="10">
        <v>92.589743589743591</v>
      </c>
      <c r="K1109" s="10">
        <v>92.589743589743591</v>
      </c>
      <c r="L1109" s="4"/>
      <c r="M1109" s="4">
        <v>1104</v>
      </c>
    </row>
    <row r="1110" spans="1:13" x14ac:dyDescent="0.25">
      <c r="A1110" s="4" t="s">
        <v>1087</v>
      </c>
      <c r="B1110" s="4" t="s">
        <v>537</v>
      </c>
      <c r="C1110" s="9" t="s">
        <v>50</v>
      </c>
      <c r="D1110" s="10">
        <v>56</v>
      </c>
      <c r="E1110" s="11" t="s">
        <v>51</v>
      </c>
      <c r="F1110" s="10">
        <v>4760</v>
      </c>
      <c r="G1110" s="10">
        <v>0</v>
      </c>
      <c r="H1110" s="10">
        <f t="shared" si="17"/>
        <v>4760</v>
      </c>
      <c r="I1110" s="10">
        <v>85</v>
      </c>
      <c r="J1110" s="10">
        <v>85</v>
      </c>
      <c r="K1110" s="10">
        <v>85</v>
      </c>
      <c r="L1110" s="4" t="s">
        <v>259</v>
      </c>
      <c r="M1110" s="4">
        <v>1105</v>
      </c>
    </row>
    <row r="1111" spans="1:13" x14ac:dyDescent="0.25">
      <c r="A1111" s="4" t="s">
        <v>1087</v>
      </c>
      <c r="B1111" s="4" t="s">
        <v>1065</v>
      </c>
      <c r="C1111" s="9" t="s">
        <v>50</v>
      </c>
      <c r="D1111" s="10">
        <v>948</v>
      </c>
      <c r="E1111" s="11" t="s">
        <v>51</v>
      </c>
      <c r="F1111" s="10">
        <v>81600</v>
      </c>
      <c r="G1111" s="10">
        <v>0</v>
      </c>
      <c r="H1111" s="10">
        <f t="shared" si="17"/>
        <v>81600</v>
      </c>
      <c r="I1111" s="10"/>
      <c r="J1111" s="10"/>
      <c r="K1111" s="10"/>
      <c r="L1111" s="4" t="s">
        <v>52</v>
      </c>
      <c r="M1111" s="4">
        <v>1106</v>
      </c>
    </row>
    <row r="1112" spans="1:13" x14ac:dyDescent="0.25">
      <c r="A1112" s="4" t="s">
        <v>1087</v>
      </c>
      <c r="B1112" s="4" t="s">
        <v>1066</v>
      </c>
      <c r="C1112" s="9" t="s">
        <v>50</v>
      </c>
      <c r="D1112" s="10">
        <v>961</v>
      </c>
      <c r="E1112" s="11" t="s">
        <v>51</v>
      </c>
      <c r="F1112" s="10"/>
      <c r="G1112" s="10">
        <v>0</v>
      </c>
      <c r="H1112" s="10">
        <f t="shared" si="17"/>
        <v>0</v>
      </c>
      <c r="I1112" s="10"/>
      <c r="J1112" s="10"/>
      <c r="K1112" s="10"/>
      <c r="L1112" s="4" t="s">
        <v>52</v>
      </c>
      <c r="M1112" s="4">
        <v>1107</v>
      </c>
    </row>
    <row r="1113" spans="1:13" x14ac:dyDescent="0.25">
      <c r="A1113" s="4" t="s">
        <v>1088</v>
      </c>
      <c r="B1113" s="4" t="s">
        <v>1065</v>
      </c>
      <c r="C1113" s="9" t="s">
        <v>50</v>
      </c>
      <c r="D1113" s="10">
        <v>1754</v>
      </c>
      <c r="E1113" s="11" t="s">
        <v>51</v>
      </c>
      <c r="F1113" s="10">
        <v>83040</v>
      </c>
      <c r="G1113" s="10">
        <v>0</v>
      </c>
      <c r="H1113" s="10">
        <f t="shared" si="17"/>
        <v>83040</v>
      </c>
      <c r="I1113" s="10"/>
      <c r="J1113" s="10"/>
      <c r="K1113" s="10"/>
      <c r="L1113" s="4" t="s">
        <v>52</v>
      </c>
      <c r="M1113" s="4">
        <v>1108</v>
      </c>
    </row>
    <row r="1114" spans="1:13" x14ac:dyDescent="0.25">
      <c r="A1114" s="4" t="s">
        <v>1089</v>
      </c>
      <c r="B1114" s="4" t="s">
        <v>609</v>
      </c>
      <c r="C1114" s="9" t="s">
        <v>50</v>
      </c>
      <c r="D1114" s="10">
        <v>1641</v>
      </c>
      <c r="E1114" s="11" t="s">
        <v>51</v>
      </c>
      <c r="F1114" s="10">
        <v>83040</v>
      </c>
      <c r="G1114" s="10">
        <v>0</v>
      </c>
      <c r="H1114" s="10">
        <f t="shared" si="17"/>
        <v>83040</v>
      </c>
      <c r="I1114" s="10"/>
      <c r="J1114" s="10"/>
      <c r="K1114" s="10"/>
      <c r="L1114" s="4" t="s">
        <v>52</v>
      </c>
      <c r="M1114" s="4">
        <v>1109</v>
      </c>
    </row>
    <row r="1115" spans="1:13" x14ac:dyDescent="0.25">
      <c r="A1115" s="4" t="s">
        <v>1090</v>
      </c>
      <c r="B1115" s="4" t="s">
        <v>1075</v>
      </c>
      <c r="C1115" s="4" t="s">
        <v>65</v>
      </c>
      <c r="D1115" s="10">
        <v>114</v>
      </c>
      <c r="E1115" s="12" t="s">
        <v>66</v>
      </c>
      <c r="F1115" s="10">
        <v>12970</v>
      </c>
      <c r="G1115" s="10">
        <v>0</v>
      </c>
      <c r="H1115" s="10">
        <f t="shared" si="17"/>
        <v>12970</v>
      </c>
      <c r="I1115" s="10">
        <v>113.7719298245614</v>
      </c>
      <c r="J1115" s="10">
        <v>113.7719298245614</v>
      </c>
      <c r="K1115" s="10">
        <v>113.7719298245614</v>
      </c>
      <c r="L1115" s="4"/>
      <c r="M1115" s="4">
        <v>1110</v>
      </c>
    </row>
    <row r="1116" spans="1:13" x14ac:dyDescent="0.25">
      <c r="A1116" s="4" t="s">
        <v>1090</v>
      </c>
      <c r="B1116" s="4" t="s">
        <v>1076</v>
      </c>
      <c r="C1116" s="4" t="s">
        <v>65</v>
      </c>
      <c r="D1116" s="10">
        <v>158</v>
      </c>
      <c r="E1116" s="12" t="s">
        <v>66</v>
      </c>
      <c r="F1116" s="10">
        <v>18307</v>
      </c>
      <c r="G1116" s="10">
        <v>0</v>
      </c>
      <c r="H1116" s="10">
        <f t="shared" si="17"/>
        <v>18307</v>
      </c>
      <c r="I1116" s="10">
        <v>115.86708860759489</v>
      </c>
      <c r="J1116" s="10">
        <v>115.86708860759489</v>
      </c>
      <c r="K1116" s="10">
        <v>115.86708860759489</v>
      </c>
      <c r="L1116" s="4"/>
      <c r="M1116" s="4">
        <v>1111</v>
      </c>
    </row>
    <row r="1117" spans="1:13" x14ac:dyDescent="0.25">
      <c r="A1117" s="4" t="s">
        <v>1090</v>
      </c>
      <c r="B1117" s="4" t="s">
        <v>1077</v>
      </c>
      <c r="C1117" s="4" t="s">
        <v>65</v>
      </c>
      <c r="D1117" s="10">
        <v>283</v>
      </c>
      <c r="E1117" s="12" t="s">
        <v>66</v>
      </c>
      <c r="F1117" s="10">
        <v>32742</v>
      </c>
      <c r="G1117" s="10">
        <v>0</v>
      </c>
      <c r="H1117" s="10">
        <f t="shared" si="17"/>
        <v>32742</v>
      </c>
      <c r="I1117" s="10">
        <v>115.6961130742049</v>
      </c>
      <c r="J1117" s="10">
        <v>115.6961130742049</v>
      </c>
      <c r="K1117" s="10">
        <v>115.6961130742049</v>
      </c>
      <c r="L1117" s="4"/>
      <c r="M1117" s="4">
        <v>1112</v>
      </c>
    </row>
    <row r="1118" spans="1:13" x14ac:dyDescent="0.25">
      <c r="A1118" s="4" t="s">
        <v>1090</v>
      </c>
      <c r="B1118" s="4" t="s">
        <v>1078</v>
      </c>
      <c r="C1118" s="4" t="s">
        <v>65</v>
      </c>
      <c r="D1118" s="10">
        <v>572</v>
      </c>
      <c r="E1118" s="12" t="s">
        <v>66</v>
      </c>
      <c r="F1118" s="10">
        <v>33982</v>
      </c>
      <c r="G1118" s="10">
        <v>0</v>
      </c>
      <c r="H1118" s="10">
        <f t="shared" si="17"/>
        <v>33982</v>
      </c>
      <c r="I1118" s="10">
        <v>115.97952218430029</v>
      </c>
      <c r="J1118" s="10">
        <v>115.97952218430029</v>
      </c>
      <c r="K1118" s="10">
        <v>115.97952218430029</v>
      </c>
      <c r="L1118" s="4"/>
      <c r="M1118" s="4">
        <v>1113</v>
      </c>
    </row>
    <row r="1119" spans="1:13" x14ac:dyDescent="0.25">
      <c r="A1119" s="4" t="s">
        <v>1091</v>
      </c>
      <c r="B1119" s="4" t="s">
        <v>1092</v>
      </c>
      <c r="C1119" s="4" t="s">
        <v>65</v>
      </c>
      <c r="D1119" s="10">
        <v>250</v>
      </c>
      <c r="E1119" s="12" t="s">
        <v>66</v>
      </c>
      <c r="F1119" s="10">
        <v>23579.9</v>
      </c>
      <c r="G1119" s="10">
        <v>0</v>
      </c>
      <c r="H1119" s="10">
        <f t="shared" si="17"/>
        <v>23579.9</v>
      </c>
      <c r="I1119" s="10">
        <v>94.319600000000008</v>
      </c>
      <c r="J1119" s="10">
        <v>94.319600000000008</v>
      </c>
      <c r="K1119" s="10">
        <v>94.319600000000008</v>
      </c>
      <c r="L1119" s="4"/>
      <c r="M1119" s="4">
        <v>1114</v>
      </c>
    </row>
    <row r="1120" spans="1:13" x14ac:dyDescent="0.25">
      <c r="A1120" s="4" t="s">
        <v>1091</v>
      </c>
      <c r="B1120" s="4" t="s">
        <v>1081</v>
      </c>
      <c r="C1120" s="4" t="s">
        <v>65</v>
      </c>
      <c r="D1120" s="10">
        <v>118</v>
      </c>
      <c r="E1120" s="12" t="s">
        <v>66</v>
      </c>
      <c r="F1120" s="10">
        <v>2691.67</v>
      </c>
      <c r="G1120" s="10">
        <v>0</v>
      </c>
      <c r="H1120" s="10">
        <f t="shared" si="17"/>
        <v>2691.67</v>
      </c>
      <c r="I1120" s="10">
        <v>92.816206896551734</v>
      </c>
      <c r="J1120" s="10">
        <v>92.816206896551734</v>
      </c>
      <c r="K1120" s="10">
        <v>92.816206896551734</v>
      </c>
      <c r="L1120" s="4"/>
      <c r="M1120" s="4">
        <v>1115</v>
      </c>
    </row>
    <row r="1121" spans="1:13" x14ac:dyDescent="0.25">
      <c r="A1121" s="4" t="s">
        <v>1093</v>
      </c>
      <c r="B1121" s="4" t="s">
        <v>1094</v>
      </c>
      <c r="C1121" s="4" t="s">
        <v>65</v>
      </c>
      <c r="D1121" s="10">
        <v>74</v>
      </c>
      <c r="E1121" s="12" t="s">
        <v>66</v>
      </c>
      <c r="F1121" s="10">
        <v>6467</v>
      </c>
      <c r="G1121" s="10">
        <v>0</v>
      </c>
      <c r="H1121" s="10">
        <f t="shared" si="17"/>
        <v>6467</v>
      </c>
      <c r="I1121" s="10">
        <v>87.391891891891888</v>
      </c>
      <c r="J1121" s="10">
        <v>87.391891891891888</v>
      </c>
      <c r="K1121" s="10">
        <v>87.391891891891888</v>
      </c>
      <c r="L1121" s="4"/>
      <c r="M1121" s="4">
        <v>1116</v>
      </c>
    </row>
    <row r="1122" spans="1:13" x14ac:dyDescent="0.25">
      <c r="A1122" s="4" t="s">
        <v>1093</v>
      </c>
      <c r="B1122" s="4" t="s">
        <v>1084</v>
      </c>
      <c r="C1122" s="4" t="s">
        <v>65</v>
      </c>
      <c r="D1122" s="10">
        <v>27</v>
      </c>
      <c r="E1122" s="12" t="s">
        <v>66</v>
      </c>
      <c r="F1122" s="10">
        <v>1218</v>
      </c>
      <c r="G1122" s="10">
        <v>0</v>
      </c>
      <c r="H1122" s="10">
        <f t="shared" si="17"/>
        <v>1218</v>
      </c>
      <c r="I1122" s="10">
        <v>81.2</v>
      </c>
      <c r="J1122" s="10">
        <v>81.2</v>
      </c>
      <c r="K1122" s="10">
        <v>81.2</v>
      </c>
      <c r="L1122" s="4"/>
      <c r="M1122" s="4">
        <v>1117</v>
      </c>
    </row>
    <row r="1123" spans="1:13" x14ac:dyDescent="0.25">
      <c r="A1123" s="4" t="s">
        <v>1095</v>
      </c>
      <c r="B1123" s="4" t="s">
        <v>1096</v>
      </c>
      <c r="C1123" s="4" t="s">
        <v>65</v>
      </c>
      <c r="D1123" s="10">
        <v>7</v>
      </c>
      <c r="E1123" s="12" t="s">
        <v>66</v>
      </c>
      <c r="F1123" s="10">
        <v>609</v>
      </c>
      <c r="G1123" s="10">
        <v>0</v>
      </c>
      <c r="H1123" s="10">
        <f t="shared" si="17"/>
        <v>609</v>
      </c>
      <c r="I1123" s="10">
        <v>87</v>
      </c>
      <c r="J1123" s="10">
        <v>87</v>
      </c>
      <c r="K1123" s="10">
        <v>87</v>
      </c>
      <c r="L1123" s="4"/>
      <c r="M1123" s="4">
        <v>1118</v>
      </c>
    </row>
    <row r="1124" spans="1:13" x14ac:dyDescent="0.25">
      <c r="A1124" s="4" t="s">
        <v>1095</v>
      </c>
      <c r="B1124" s="4" t="s">
        <v>1097</v>
      </c>
      <c r="C1124" s="4" t="s">
        <v>65</v>
      </c>
      <c r="D1124" s="10">
        <v>953</v>
      </c>
      <c r="E1124" s="12" t="s">
        <v>66</v>
      </c>
      <c r="F1124" s="10">
        <v>435</v>
      </c>
      <c r="G1124" s="10">
        <v>0</v>
      </c>
      <c r="H1124" s="10">
        <f t="shared" si="17"/>
        <v>435</v>
      </c>
      <c r="I1124" s="10">
        <v>87</v>
      </c>
      <c r="J1124" s="10">
        <v>87</v>
      </c>
      <c r="K1124" s="10">
        <v>87</v>
      </c>
      <c r="L1124" s="4"/>
      <c r="M1124" s="4">
        <v>1119</v>
      </c>
    </row>
    <row r="1125" spans="1:13" x14ac:dyDescent="0.25">
      <c r="A1125" s="4" t="s">
        <v>1098</v>
      </c>
      <c r="B1125" s="4" t="s">
        <v>537</v>
      </c>
      <c r="C1125" s="9" t="s">
        <v>50</v>
      </c>
      <c r="D1125" s="10">
        <v>56</v>
      </c>
      <c r="E1125" s="11" t="s">
        <v>51</v>
      </c>
      <c r="F1125" s="10">
        <v>4760</v>
      </c>
      <c r="G1125" s="10">
        <v>0</v>
      </c>
      <c r="H1125" s="10">
        <f t="shared" si="17"/>
        <v>4760</v>
      </c>
      <c r="I1125" s="10">
        <v>85</v>
      </c>
      <c r="J1125" s="10">
        <v>85</v>
      </c>
      <c r="K1125" s="10">
        <v>85</v>
      </c>
      <c r="L1125" s="4" t="s">
        <v>259</v>
      </c>
      <c r="M1125" s="4">
        <v>1120</v>
      </c>
    </row>
    <row r="1126" spans="1:13" x14ac:dyDescent="0.25">
      <c r="A1126" s="4" t="s">
        <v>1098</v>
      </c>
      <c r="B1126" s="4" t="s">
        <v>1065</v>
      </c>
      <c r="C1126" s="9" t="s">
        <v>50</v>
      </c>
      <c r="D1126" s="10">
        <v>948</v>
      </c>
      <c r="E1126" s="11" t="s">
        <v>51</v>
      </c>
      <c r="F1126" s="10">
        <v>81600</v>
      </c>
      <c r="G1126" s="10">
        <v>0</v>
      </c>
      <c r="H1126" s="10">
        <f t="shared" si="17"/>
        <v>81600</v>
      </c>
      <c r="I1126" s="10"/>
      <c r="J1126" s="10"/>
      <c r="K1126" s="10"/>
      <c r="L1126" s="4" t="s">
        <v>52</v>
      </c>
      <c r="M1126" s="4">
        <v>1121</v>
      </c>
    </row>
    <row r="1127" spans="1:13" x14ac:dyDescent="0.25">
      <c r="A1127" s="4" t="s">
        <v>1098</v>
      </c>
      <c r="B1127" s="4" t="s">
        <v>1066</v>
      </c>
      <c r="C1127" s="9" t="s">
        <v>50</v>
      </c>
      <c r="D1127" s="10">
        <v>961</v>
      </c>
      <c r="E1127" s="11" t="s">
        <v>51</v>
      </c>
      <c r="F1127" s="10"/>
      <c r="G1127" s="10">
        <v>0</v>
      </c>
      <c r="H1127" s="10">
        <f t="shared" si="17"/>
        <v>0</v>
      </c>
      <c r="I1127" s="10"/>
      <c r="J1127" s="10"/>
      <c r="K1127" s="10"/>
      <c r="L1127" s="4" t="s">
        <v>52</v>
      </c>
      <c r="M1127" s="4">
        <v>1122</v>
      </c>
    </row>
    <row r="1128" spans="1:13" x14ac:dyDescent="0.25">
      <c r="A1128" s="4" t="s">
        <v>1099</v>
      </c>
      <c r="B1128" s="4" t="s">
        <v>1065</v>
      </c>
      <c r="C1128" s="9" t="s">
        <v>50</v>
      </c>
      <c r="D1128" s="10">
        <v>1754</v>
      </c>
      <c r="E1128" s="11" t="s">
        <v>51</v>
      </c>
      <c r="F1128" s="10">
        <v>83040</v>
      </c>
      <c r="G1128" s="10">
        <v>0</v>
      </c>
      <c r="H1128" s="10">
        <f t="shared" si="17"/>
        <v>83040</v>
      </c>
      <c r="I1128" s="10"/>
      <c r="J1128" s="10"/>
      <c r="K1128" s="10"/>
      <c r="L1128" s="4" t="s">
        <v>52</v>
      </c>
      <c r="M1128" s="4">
        <v>1123</v>
      </c>
    </row>
    <row r="1129" spans="1:13" x14ac:dyDescent="0.25">
      <c r="A1129" s="4" t="s">
        <v>1100</v>
      </c>
      <c r="B1129" s="4" t="s">
        <v>609</v>
      </c>
      <c r="C1129" s="9" t="s">
        <v>50</v>
      </c>
      <c r="D1129" s="10">
        <v>1068</v>
      </c>
      <c r="E1129" s="11" t="s">
        <v>51</v>
      </c>
      <c r="F1129" s="10">
        <v>83040</v>
      </c>
      <c r="G1129" s="10">
        <v>0</v>
      </c>
      <c r="H1129" s="10">
        <f t="shared" si="17"/>
        <v>83040</v>
      </c>
      <c r="I1129" s="10"/>
      <c r="J1129" s="10"/>
      <c r="K1129" s="10"/>
      <c r="L1129" s="4" t="s">
        <v>52</v>
      </c>
      <c r="M1129" s="4">
        <v>1124</v>
      </c>
    </row>
    <row r="1130" spans="1:13" x14ac:dyDescent="0.25">
      <c r="A1130" s="4" t="s">
        <v>1101</v>
      </c>
      <c r="B1130" s="4" t="s">
        <v>1102</v>
      </c>
      <c r="C1130" s="4" t="s">
        <v>65</v>
      </c>
      <c r="D1130" s="10">
        <v>95</v>
      </c>
      <c r="E1130" s="12" t="s">
        <v>66</v>
      </c>
      <c r="F1130" s="10">
        <v>9291.6</v>
      </c>
      <c r="G1130" s="10">
        <v>0</v>
      </c>
      <c r="H1130" s="10">
        <f t="shared" si="17"/>
        <v>9291.6</v>
      </c>
      <c r="I1130" s="10">
        <v>97.806315789473686</v>
      </c>
      <c r="J1130" s="10">
        <v>97.806315789473686</v>
      </c>
      <c r="K1130" s="10">
        <v>97.806315789473686</v>
      </c>
      <c r="L1130" s="4"/>
      <c r="M1130" s="4">
        <v>1125</v>
      </c>
    </row>
    <row r="1131" spans="1:13" x14ac:dyDescent="0.25">
      <c r="A1131" s="4" t="s">
        <v>1101</v>
      </c>
      <c r="B1131" s="4" t="s">
        <v>1103</v>
      </c>
      <c r="C1131" s="4" t="s">
        <v>65</v>
      </c>
      <c r="D1131" s="10">
        <v>1028</v>
      </c>
      <c r="E1131" s="11" t="s">
        <v>51</v>
      </c>
      <c r="F1131" s="10"/>
      <c r="G1131" s="10">
        <v>0</v>
      </c>
      <c r="H1131" s="10">
        <f t="shared" si="17"/>
        <v>0</v>
      </c>
      <c r="I1131" s="10">
        <v>0</v>
      </c>
      <c r="J1131" s="10">
        <v>0</v>
      </c>
      <c r="K1131" s="10">
        <v>0</v>
      </c>
      <c r="L1131" s="4" t="s">
        <v>69</v>
      </c>
      <c r="M1131" s="4">
        <v>1126</v>
      </c>
    </row>
    <row r="1132" spans="1:13" x14ac:dyDescent="0.25">
      <c r="A1132" s="4" t="s">
        <v>1104</v>
      </c>
      <c r="B1132" s="4" t="s">
        <v>1075</v>
      </c>
      <c r="C1132" s="4" t="s">
        <v>65</v>
      </c>
      <c r="D1132" s="10">
        <v>114</v>
      </c>
      <c r="E1132" s="12" t="s">
        <v>66</v>
      </c>
      <c r="F1132" s="10">
        <v>12970</v>
      </c>
      <c r="G1132" s="10">
        <v>0</v>
      </c>
      <c r="H1132" s="10">
        <f t="shared" si="17"/>
        <v>12970</v>
      </c>
      <c r="I1132" s="10">
        <v>113.7719298245614</v>
      </c>
      <c r="J1132" s="10">
        <v>113.7719298245614</v>
      </c>
      <c r="K1132" s="10">
        <v>113.7719298245614</v>
      </c>
      <c r="L1132" s="4"/>
      <c r="M1132" s="4">
        <v>1127</v>
      </c>
    </row>
    <row r="1133" spans="1:13" x14ac:dyDescent="0.25">
      <c r="A1133" s="4" t="s">
        <v>1104</v>
      </c>
      <c r="B1133" s="4" t="s">
        <v>1076</v>
      </c>
      <c r="C1133" s="4" t="s">
        <v>65</v>
      </c>
      <c r="D1133" s="10">
        <v>158</v>
      </c>
      <c r="E1133" s="12" t="s">
        <v>66</v>
      </c>
      <c r="F1133" s="10">
        <v>18307</v>
      </c>
      <c r="G1133" s="10">
        <v>0</v>
      </c>
      <c r="H1133" s="10">
        <f t="shared" si="17"/>
        <v>18307</v>
      </c>
      <c r="I1133" s="10">
        <v>115.86708860759489</v>
      </c>
      <c r="J1133" s="10">
        <v>115.86708860759489</v>
      </c>
      <c r="K1133" s="10">
        <v>115.86708860759489</v>
      </c>
      <c r="L1133" s="4"/>
      <c r="M1133" s="4">
        <v>1128</v>
      </c>
    </row>
    <row r="1134" spans="1:13" x14ac:dyDescent="0.25">
      <c r="A1134" s="4" t="s">
        <v>1104</v>
      </c>
      <c r="B1134" s="4" t="s">
        <v>1077</v>
      </c>
      <c r="C1134" s="4" t="s">
        <v>65</v>
      </c>
      <c r="D1134" s="10">
        <v>283</v>
      </c>
      <c r="E1134" s="12" t="s">
        <v>66</v>
      </c>
      <c r="F1134" s="10">
        <v>32742</v>
      </c>
      <c r="G1134" s="10">
        <v>0</v>
      </c>
      <c r="H1134" s="10">
        <f t="shared" si="17"/>
        <v>32742</v>
      </c>
      <c r="I1134" s="10">
        <v>115.6961130742049</v>
      </c>
      <c r="J1134" s="10">
        <v>115.6961130742049</v>
      </c>
      <c r="K1134" s="10">
        <v>115.6961130742049</v>
      </c>
      <c r="L1134" s="4"/>
      <c r="M1134" s="4">
        <v>1129</v>
      </c>
    </row>
    <row r="1135" spans="1:13" x14ac:dyDescent="0.25">
      <c r="A1135" s="4" t="s">
        <v>1104</v>
      </c>
      <c r="B1135" s="4" t="s">
        <v>1078</v>
      </c>
      <c r="C1135" s="4" t="s">
        <v>65</v>
      </c>
      <c r="D1135" s="10">
        <v>571</v>
      </c>
      <c r="E1135" s="12" t="s">
        <v>66</v>
      </c>
      <c r="F1135" s="10">
        <v>33982</v>
      </c>
      <c r="G1135" s="10">
        <v>0</v>
      </c>
      <c r="H1135" s="10">
        <f t="shared" si="17"/>
        <v>33982</v>
      </c>
      <c r="I1135" s="10">
        <v>115.97952218430029</v>
      </c>
      <c r="J1135" s="10">
        <v>115.97952218430029</v>
      </c>
      <c r="K1135" s="10">
        <v>115.97952218430029</v>
      </c>
      <c r="L1135" s="4"/>
      <c r="M1135" s="4">
        <v>1130</v>
      </c>
    </row>
    <row r="1136" spans="1:13" x14ac:dyDescent="0.25">
      <c r="A1136" s="4" t="s">
        <v>1105</v>
      </c>
      <c r="B1136" s="4" t="s">
        <v>1106</v>
      </c>
      <c r="C1136" s="4" t="s">
        <v>65</v>
      </c>
      <c r="D1136" s="10">
        <v>250</v>
      </c>
      <c r="E1136" s="12" t="s">
        <v>66</v>
      </c>
      <c r="F1136" s="10">
        <v>23579.9</v>
      </c>
      <c r="G1136" s="10">
        <v>0</v>
      </c>
      <c r="H1136" s="10">
        <f t="shared" si="17"/>
        <v>23579.9</v>
      </c>
      <c r="I1136" s="10">
        <v>94.319600000000008</v>
      </c>
      <c r="J1136" s="10">
        <v>94.319600000000008</v>
      </c>
      <c r="K1136" s="10">
        <v>94.319600000000008</v>
      </c>
      <c r="L1136" s="4"/>
      <c r="M1136" s="4">
        <v>1131</v>
      </c>
    </row>
    <row r="1137" spans="1:13" x14ac:dyDescent="0.25">
      <c r="A1137" s="4" t="s">
        <v>1105</v>
      </c>
      <c r="B1137" s="4" t="s">
        <v>1081</v>
      </c>
      <c r="C1137" s="4" t="s">
        <v>65</v>
      </c>
      <c r="D1137" s="10">
        <v>117</v>
      </c>
      <c r="E1137" s="12" t="s">
        <v>66</v>
      </c>
      <c r="F1137" s="10">
        <v>2691.67</v>
      </c>
      <c r="G1137" s="10">
        <v>0</v>
      </c>
      <c r="H1137" s="10">
        <f t="shared" si="17"/>
        <v>2691.67</v>
      </c>
      <c r="I1137" s="10">
        <v>96.131071428571431</v>
      </c>
      <c r="J1137" s="10">
        <v>96.131071428571431</v>
      </c>
      <c r="K1137" s="10">
        <v>96.131071428571431</v>
      </c>
      <c r="L1137" s="4"/>
      <c r="M1137" s="4">
        <v>1132</v>
      </c>
    </row>
    <row r="1138" spans="1:13" x14ac:dyDescent="0.25">
      <c r="A1138" s="4" t="s">
        <v>1107</v>
      </c>
      <c r="B1138" s="4" t="s">
        <v>1108</v>
      </c>
      <c r="C1138" s="4" t="s">
        <v>65</v>
      </c>
      <c r="D1138" s="10">
        <v>74</v>
      </c>
      <c r="E1138" s="12" t="s">
        <v>66</v>
      </c>
      <c r="F1138" s="10">
        <v>6467</v>
      </c>
      <c r="G1138" s="10">
        <v>0</v>
      </c>
      <c r="H1138" s="10">
        <f t="shared" si="17"/>
        <v>6467</v>
      </c>
      <c r="I1138" s="10">
        <v>87.391891891891888</v>
      </c>
      <c r="J1138" s="10">
        <v>87.391891891891888</v>
      </c>
      <c r="K1138" s="10">
        <v>87.391891891891888</v>
      </c>
      <c r="L1138" s="4"/>
      <c r="M1138" s="4">
        <v>1133</v>
      </c>
    </row>
    <row r="1139" spans="1:13" x14ac:dyDescent="0.25">
      <c r="A1139" s="4" t="s">
        <v>1107</v>
      </c>
      <c r="B1139" s="4" t="s">
        <v>1109</v>
      </c>
      <c r="C1139" s="4" t="s">
        <v>65</v>
      </c>
      <c r="D1139" s="10">
        <v>963</v>
      </c>
      <c r="E1139" s="12" t="s">
        <v>66</v>
      </c>
      <c r="F1139" s="10">
        <v>1218</v>
      </c>
      <c r="G1139" s="10">
        <v>0</v>
      </c>
      <c r="H1139" s="10">
        <f t="shared" si="17"/>
        <v>1218</v>
      </c>
      <c r="I1139" s="10">
        <v>81.2</v>
      </c>
      <c r="J1139" s="10">
        <v>81.2</v>
      </c>
      <c r="K1139" s="10">
        <v>81.2</v>
      </c>
      <c r="L1139" s="4"/>
      <c r="M1139" s="4">
        <v>1134</v>
      </c>
    </row>
    <row r="1140" spans="1:13" x14ac:dyDescent="0.25">
      <c r="A1140" s="4" t="s">
        <v>1110</v>
      </c>
      <c r="B1140" s="4" t="s">
        <v>537</v>
      </c>
      <c r="C1140" s="9" t="s">
        <v>50</v>
      </c>
      <c r="D1140" s="10">
        <v>56</v>
      </c>
      <c r="E1140" s="11" t="s">
        <v>51</v>
      </c>
      <c r="F1140" s="10">
        <v>4760</v>
      </c>
      <c r="G1140" s="10">
        <v>0</v>
      </c>
      <c r="H1140" s="10">
        <f t="shared" si="17"/>
        <v>4760</v>
      </c>
      <c r="I1140" s="10">
        <v>85</v>
      </c>
      <c r="J1140" s="10">
        <v>85</v>
      </c>
      <c r="K1140" s="10">
        <v>85</v>
      </c>
      <c r="L1140" s="4" t="s">
        <v>259</v>
      </c>
      <c r="M1140" s="4">
        <v>1135</v>
      </c>
    </row>
    <row r="1141" spans="1:13" x14ac:dyDescent="0.25">
      <c r="A1141" s="4" t="s">
        <v>1110</v>
      </c>
      <c r="B1141" s="4" t="s">
        <v>1065</v>
      </c>
      <c r="C1141" s="9" t="s">
        <v>50</v>
      </c>
      <c r="D1141" s="10">
        <v>948</v>
      </c>
      <c r="E1141" s="11" t="s">
        <v>51</v>
      </c>
      <c r="F1141" s="10">
        <v>81600</v>
      </c>
      <c r="G1141" s="10">
        <v>0</v>
      </c>
      <c r="H1141" s="10">
        <f t="shared" si="17"/>
        <v>81600</v>
      </c>
      <c r="I1141" s="10"/>
      <c r="J1141" s="10"/>
      <c r="K1141" s="10"/>
      <c r="L1141" s="4" t="s">
        <v>52</v>
      </c>
      <c r="M1141" s="4">
        <v>1136</v>
      </c>
    </row>
    <row r="1142" spans="1:13" x14ac:dyDescent="0.25">
      <c r="A1142" s="4" t="s">
        <v>1110</v>
      </c>
      <c r="B1142" s="4" t="s">
        <v>1066</v>
      </c>
      <c r="C1142" s="9" t="s">
        <v>50</v>
      </c>
      <c r="D1142" s="10">
        <v>961</v>
      </c>
      <c r="E1142" s="11" t="s">
        <v>51</v>
      </c>
      <c r="F1142" s="10"/>
      <c r="G1142" s="10">
        <v>0</v>
      </c>
      <c r="H1142" s="10">
        <f t="shared" si="17"/>
        <v>0</v>
      </c>
      <c r="I1142" s="10"/>
      <c r="J1142" s="10"/>
      <c r="K1142" s="10"/>
      <c r="L1142" s="4" t="s">
        <v>52</v>
      </c>
      <c r="M1142" s="4">
        <v>1137</v>
      </c>
    </row>
    <row r="1143" spans="1:13" x14ac:dyDescent="0.25">
      <c r="A1143" s="4" t="s">
        <v>1111</v>
      </c>
      <c r="B1143" s="4" t="s">
        <v>1065</v>
      </c>
      <c r="C1143" s="9" t="s">
        <v>50</v>
      </c>
      <c r="D1143" s="10">
        <v>1047.25</v>
      </c>
      <c r="E1143" s="11" t="s">
        <v>51</v>
      </c>
      <c r="F1143" s="10">
        <v>83040</v>
      </c>
      <c r="G1143" s="10">
        <v>0</v>
      </c>
      <c r="H1143" s="10">
        <f t="shared" si="17"/>
        <v>83040</v>
      </c>
      <c r="I1143" s="10"/>
      <c r="J1143" s="10"/>
      <c r="K1143" s="10"/>
      <c r="L1143" s="4" t="s">
        <v>52</v>
      </c>
      <c r="M1143" s="4">
        <v>1138</v>
      </c>
    </row>
    <row r="1144" spans="1:13" x14ac:dyDescent="0.25">
      <c r="A1144" s="4" t="s">
        <v>1112</v>
      </c>
      <c r="B1144" s="4" t="s">
        <v>1069</v>
      </c>
      <c r="C1144" s="9" t="s">
        <v>50</v>
      </c>
      <c r="D1144" s="10">
        <v>66.25</v>
      </c>
      <c r="E1144" s="11" t="s">
        <v>51</v>
      </c>
      <c r="F1144" s="10">
        <v>7000</v>
      </c>
      <c r="G1144" s="10">
        <v>0</v>
      </c>
      <c r="H1144" s="10">
        <f t="shared" si="17"/>
        <v>7000</v>
      </c>
      <c r="I1144" s="10"/>
      <c r="J1144" s="10"/>
      <c r="K1144" s="10"/>
      <c r="L1144" s="4" t="s">
        <v>52</v>
      </c>
      <c r="M1144" s="4">
        <v>1139</v>
      </c>
    </row>
    <row r="1145" spans="1:13" x14ac:dyDescent="0.25">
      <c r="A1145" s="4" t="s">
        <v>1112</v>
      </c>
      <c r="B1145" s="4" t="s">
        <v>1070</v>
      </c>
      <c r="C1145" s="9" t="s">
        <v>50</v>
      </c>
      <c r="D1145" s="10">
        <v>813</v>
      </c>
      <c r="E1145" s="11" t="s">
        <v>51</v>
      </c>
      <c r="F1145" s="10">
        <v>2125</v>
      </c>
      <c r="G1145" s="10">
        <v>0</v>
      </c>
      <c r="H1145" s="10">
        <f t="shared" si="17"/>
        <v>2125</v>
      </c>
      <c r="I1145" s="10"/>
      <c r="J1145" s="10"/>
      <c r="K1145" s="10"/>
      <c r="L1145" s="4" t="s">
        <v>52</v>
      </c>
      <c r="M1145" s="4">
        <v>1140</v>
      </c>
    </row>
    <row r="1146" spans="1:13" x14ac:dyDescent="0.25">
      <c r="A1146" s="4" t="s">
        <v>1113</v>
      </c>
      <c r="B1146" s="4" t="s">
        <v>609</v>
      </c>
      <c r="C1146" s="9" t="s">
        <v>50</v>
      </c>
      <c r="D1146" s="10">
        <v>1641</v>
      </c>
      <c r="E1146" s="11" t="s">
        <v>51</v>
      </c>
      <c r="F1146" s="10">
        <v>83040</v>
      </c>
      <c r="G1146" s="10">
        <v>0</v>
      </c>
      <c r="H1146" s="10">
        <f t="shared" si="17"/>
        <v>83040</v>
      </c>
      <c r="I1146" s="10"/>
      <c r="J1146" s="10"/>
      <c r="K1146" s="10"/>
      <c r="L1146" s="4" t="s">
        <v>52</v>
      </c>
      <c r="M1146" s="4">
        <v>1141</v>
      </c>
    </row>
    <row r="1147" spans="1:13" x14ac:dyDescent="0.25">
      <c r="A1147" s="4" t="s">
        <v>1114</v>
      </c>
      <c r="B1147" s="4" t="s">
        <v>1075</v>
      </c>
      <c r="C1147" s="4" t="s">
        <v>65</v>
      </c>
      <c r="D1147" s="10">
        <v>114</v>
      </c>
      <c r="E1147" s="12" t="s">
        <v>66</v>
      </c>
      <c r="F1147" s="10">
        <v>12970</v>
      </c>
      <c r="G1147" s="10">
        <v>0</v>
      </c>
      <c r="H1147" s="10">
        <f t="shared" si="17"/>
        <v>12970</v>
      </c>
      <c r="I1147" s="10">
        <v>113.7719298245614</v>
      </c>
      <c r="J1147" s="10">
        <v>113.7719298245614</v>
      </c>
      <c r="K1147" s="10">
        <v>113.7719298245614</v>
      </c>
      <c r="L1147" s="4"/>
      <c r="M1147" s="4">
        <v>1142</v>
      </c>
    </row>
    <row r="1148" spans="1:13" x14ac:dyDescent="0.25">
      <c r="A1148" s="4" t="s">
        <v>1114</v>
      </c>
      <c r="B1148" s="4" t="s">
        <v>1076</v>
      </c>
      <c r="C1148" s="4" t="s">
        <v>65</v>
      </c>
      <c r="D1148" s="10">
        <v>158</v>
      </c>
      <c r="E1148" s="12" t="s">
        <v>66</v>
      </c>
      <c r="F1148" s="10">
        <v>18307</v>
      </c>
      <c r="G1148" s="10">
        <v>0</v>
      </c>
      <c r="H1148" s="10">
        <f t="shared" si="17"/>
        <v>18307</v>
      </c>
      <c r="I1148" s="10">
        <v>115.86708860759489</v>
      </c>
      <c r="J1148" s="10">
        <v>115.86708860759489</v>
      </c>
      <c r="K1148" s="10">
        <v>115.86708860759489</v>
      </c>
      <c r="L1148" s="4"/>
      <c r="M1148" s="4">
        <v>1143</v>
      </c>
    </row>
    <row r="1149" spans="1:13" x14ac:dyDescent="0.25">
      <c r="A1149" s="4" t="s">
        <v>1114</v>
      </c>
      <c r="B1149" s="4" t="s">
        <v>1077</v>
      </c>
      <c r="C1149" s="4" t="s">
        <v>65</v>
      </c>
      <c r="D1149" s="10">
        <v>283</v>
      </c>
      <c r="E1149" s="12" t="s">
        <v>66</v>
      </c>
      <c r="F1149" s="10">
        <v>32742</v>
      </c>
      <c r="G1149" s="10">
        <v>0</v>
      </c>
      <c r="H1149" s="10">
        <f t="shared" si="17"/>
        <v>32742</v>
      </c>
      <c r="I1149" s="10">
        <v>115.6961130742049</v>
      </c>
      <c r="J1149" s="10">
        <v>115.6961130742049</v>
      </c>
      <c r="K1149" s="10">
        <v>115.6961130742049</v>
      </c>
      <c r="L1149" s="4"/>
      <c r="M1149" s="4">
        <v>1144</v>
      </c>
    </row>
    <row r="1150" spans="1:13" x14ac:dyDescent="0.25">
      <c r="A1150" s="4" t="s">
        <v>1114</v>
      </c>
      <c r="B1150" s="4" t="s">
        <v>1078</v>
      </c>
      <c r="C1150" s="4" t="s">
        <v>65</v>
      </c>
      <c r="D1150" s="10">
        <v>1407</v>
      </c>
      <c r="E1150" s="12" t="s">
        <v>66</v>
      </c>
      <c r="F1150" s="10">
        <v>33982</v>
      </c>
      <c r="G1150" s="10">
        <v>0</v>
      </c>
      <c r="H1150" s="10">
        <f t="shared" si="17"/>
        <v>33982</v>
      </c>
      <c r="I1150" s="10">
        <v>115.97952218430029</v>
      </c>
      <c r="J1150" s="10">
        <v>115.97952218430029</v>
      </c>
      <c r="K1150" s="10">
        <v>115.97952218430029</v>
      </c>
      <c r="L1150" s="4"/>
      <c r="M1150" s="4">
        <v>1145</v>
      </c>
    </row>
    <row r="1151" spans="1:13" x14ac:dyDescent="0.25">
      <c r="A1151" s="4" t="s">
        <v>1115</v>
      </c>
      <c r="B1151" s="4" t="s">
        <v>537</v>
      </c>
      <c r="C1151" s="9" t="s">
        <v>50</v>
      </c>
      <c r="D1151" s="10">
        <v>56</v>
      </c>
      <c r="E1151" s="11" t="s">
        <v>51</v>
      </c>
      <c r="F1151" s="10">
        <v>4760</v>
      </c>
      <c r="G1151" s="10">
        <v>0</v>
      </c>
      <c r="H1151" s="10">
        <f t="shared" si="17"/>
        <v>4760</v>
      </c>
      <c r="I1151" s="10">
        <v>85</v>
      </c>
      <c r="J1151" s="10">
        <v>85</v>
      </c>
      <c r="K1151" s="10">
        <v>85</v>
      </c>
      <c r="L1151" s="4" t="s">
        <v>259</v>
      </c>
      <c r="M1151" s="4">
        <v>1146</v>
      </c>
    </row>
    <row r="1152" spans="1:13" x14ac:dyDescent="0.25">
      <c r="A1152" s="4" t="s">
        <v>1115</v>
      </c>
      <c r="B1152" s="4" t="s">
        <v>1065</v>
      </c>
      <c r="C1152" s="9" t="s">
        <v>50</v>
      </c>
      <c r="D1152" s="10">
        <v>1114</v>
      </c>
      <c r="E1152" s="11" t="s">
        <v>51</v>
      </c>
      <c r="F1152" s="10">
        <v>96239.2</v>
      </c>
      <c r="G1152" s="10">
        <v>0</v>
      </c>
      <c r="H1152" s="10">
        <f t="shared" si="17"/>
        <v>96239.2</v>
      </c>
      <c r="I1152" s="10"/>
      <c r="J1152" s="10"/>
      <c r="K1152" s="10"/>
      <c r="L1152" s="4" t="s">
        <v>52</v>
      </c>
      <c r="M1152" s="4">
        <v>1147</v>
      </c>
    </row>
    <row r="1153" spans="1:13" x14ac:dyDescent="0.25">
      <c r="A1153" s="4" t="s">
        <v>1115</v>
      </c>
      <c r="B1153" s="4" t="s">
        <v>1066</v>
      </c>
      <c r="C1153" s="9" t="s">
        <v>50</v>
      </c>
      <c r="D1153" s="10">
        <v>795</v>
      </c>
      <c r="E1153" s="11" t="s">
        <v>51</v>
      </c>
      <c r="F1153" s="10"/>
      <c r="G1153" s="10">
        <v>0</v>
      </c>
      <c r="H1153" s="10">
        <f t="shared" si="17"/>
        <v>0</v>
      </c>
      <c r="I1153" s="10"/>
      <c r="J1153" s="10"/>
      <c r="K1153" s="10"/>
      <c r="L1153" s="4" t="s">
        <v>52</v>
      </c>
      <c r="M1153" s="4">
        <v>1148</v>
      </c>
    </row>
    <row r="1154" spans="1:13" x14ac:dyDescent="0.25">
      <c r="A1154" s="4" t="s">
        <v>1116</v>
      </c>
      <c r="B1154" s="4" t="s">
        <v>1065</v>
      </c>
      <c r="C1154" s="9" t="s">
        <v>50</v>
      </c>
      <c r="D1154" s="10">
        <v>851</v>
      </c>
      <c r="E1154" s="11" t="s">
        <v>51</v>
      </c>
      <c r="F1154" s="10">
        <v>68400</v>
      </c>
      <c r="G1154" s="10">
        <v>0</v>
      </c>
      <c r="H1154" s="10">
        <f t="shared" si="17"/>
        <v>68400</v>
      </c>
      <c r="I1154" s="10"/>
      <c r="J1154" s="10"/>
      <c r="K1154" s="10"/>
      <c r="L1154" s="4" t="s">
        <v>52</v>
      </c>
      <c r="M1154" s="4">
        <v>1149</v>
      </c>
    </row>
    <row r="1155" spans="1:13" x14ac:dyDescent="0.25">
      <c r="A1155" s="4" t="s">
        <v>1117</v>
      </c>
      <c r="B1155" s="4" t="s">
        <v>1118</v>
      </c>
      <c r="C1155" s="9" t="s">
        <v>50</v>
      </c>
      <c r="D1155" s="10">
        <v>710</v>
      </c>
      <c r="E1155" s="11" t="s">
        <v>51</v>
      </c>
      <c r="F1155" s="10">
        <v>6786</v>
      </c>
      <c r="G1155" s="10">
        <v>0</v>
      </c>
      <c r="H1155" s="10">
        <f t="shared" si="17"/>
        <v>6786</v>
      </c>
      <c r="I1155" s="10"/>
      <c r="J1155" s="10"/>
      <c r="K1155" s="10"/>
      <c r="L1155" s="4" t="s">
        <v>52</v>
      </c>
      <c r="M1155" s="4">
        <v>1150</v>
      </c>
    </row>
    <row r="1156" spans="1:13" x14ac:dyDescent="0.25">
      <c r="A1156" s="4" t="s">
        <v>1119</v>
      </c>
      <c r="B1156" s="4" t="s">
        <v>1120</v>
      </c>
      <c r="C1156" s="9" t="s">
        <v>50</v>
      </c>
      <c r="D1156" s="10">
        <v>1502</v>
      </c>
      <c r="E1156" s="11" t="s">
        <v>51</v>
      </c>
      <c r="F1156" s="10">
        <v>68400</v>
      </c>
      <c r="G1156" s="10">
        <v>0</v>
      </c>
      <c r="H1156" s="10">
        <f t="shared" si="17"/>
        <v>68400</v>
      </c>
      <c r="I1156" s="10"/>
      <c r="J1156" s="10"/>
      <c r="K1156" s="10"/>
      <c r="L1156" s="4" t="s">
        <v>52</v>
      </c>
      <c r="M1156" s="4">
        <v>1151</v>
      </c>
    </row>
    <row r="1157" spans="1:13" x14ac:dyDescent="0.25">
      <c r="A1157" s="4" t="s">
        <v>1121</v>
      </c>
      <c r="B1157" s="4" t="s">
        <v>1075</v>
      </c>
      <c r="C1157" s="4" t="s">
        <v>65</v>
      </c>
      <c r="D1157" s="10">
        <v>114</v>
      </c>
      <c r="E1157" s="12" t="s">
        <v>66</v>
      </c>
      <c r="F1157" s="10">
        <v>12970</v>
      </c>
      <c r="G1157" s="10">
        <v>0</v>
      </c>
      <c r="H1157" s="10">
        <f t="shared" si="17"/>
        <v>12970</v>
      </c>
      <c r="I1157" s="10">
        <v>113.7719298245614</v>
      </c>
      <c r="J1157" s="10">
        <v>113.7719298245614</v>
      </c>
      <c r="K1157" s="10">
        <v>113.7719298245614</v>
      </c>
      <c r="L1157" s="4"/>
      <c r="M1157" s="4">
        <v>1152</v>
      </c>
    </row>
    <row r="1158" spans="1:13" x14ac:dyDescent="0.25">
      <c r="A1158" s="4" t="s">
        <v>1121</v>
      </c>
      <c r="B1158" s="4" t="s">
        <v>1076</v>
      </c>
      <c r="C1158" s="4" t="s">
        <v>65</v>
      </c>
      <c r="D1158" s="10">
        <v>158</v>
      </c>
      <c r="E1158" s="12" t="s">
        <v>66</v>
      </c>
      <c r="F1158" s="10">
        <v>18307</v>
      </c>
      <c r="G1158" s="10">
        <v>0</v>
      </c>
      <c r="H1158" s="10">
        <f t="shared" ref="H1158:H1221" si="18">F1158-G1158</f>
        <v>18307</v>
      </c>
      <c r="I1158" s="10">
        <v>115.86708860759489</v>
      </c>
      <c r="J1158" s="10">
        <v>115.86708860759489</v>
      </c>
      <c r="K1158" s="10">
        <v>115.86708860759489</v>
      </c>
      <c r="L1158" s="4"/>
      <c r="M1158" s="4">
        <v>1153</v>
      </c>
    </row>
    <row r="1159" spans="1:13" x14ac:dyDescent="0.25">
      <c r="A1159" s="4" t="s">
        <v>1121</v>
      </c>
      <c r="B1159" s="4" t="s">
        <v>1077</v>
      </c>
      <c r="C1159" s="4" t="s">
        <v>65</v>
      </c>
      <c r="D1159" s="10">
        <v>283</v>
      </c>
      <c r="E1159" s="12" t="s">
        <v>66</v>
      </c>
      <c r="F1159" s="10">
        <v>32742</v>
      </c>
      <c r="G1159" s="10">
        <v>0</v>
      </c>
      <c r="H1159" s="10">
        <f t="shared" si="18"/>
        <v>32742</v>
      </c>
      <c r="I1159" s="10">
        <v>115.6961130742049</v>
      </c>
      <c r="J1159" s="10">
        <v>115.6961130742049</v>
      </c>
      <c r="K1159" s="10">
        <v>115.6961130742049</v>
      </c>
      <c r="L1159" s="4"/>
      <c r="M1159" s="4">
        <v>1154</v>
      </c>
    </row>
    <row r="1160" spans="1:13" x14ac:dyDescent="0.25">
      <c r="A1160" s="4" t="s">
        <v>1121</v>
      </c>
      <c r="B1160" s="4" t="s">
        <v>1078</v>
      </c>
      <c r="C1160" s="4" t="s">
        <v>65</v>
      </c>
      <c r="D1160" s="10">
        <v>386</v>
      </c>
      <c r="E1160" s="12" t="s">
        <v>66</v>
      </c>
      <c r="F1160" s="10">
        <v>33982</v>
      </c>
      <c r="G1160" s="10">
        <v>0</v>
      </c>
      <c r="H1160" s="10">
        <f t="shared" si="18"/>
        <v>33982</v>
      </c>
      <c r="I1160" s="10">
        <v>115.97952218430029</v>
      </c>
      <c r="J1160" s="10">
        <v>115.97952218430029</v>
      </c>
      <c r="K1160" s="10">
        <v>115.97952218430029</v>
      </c>
      <c r="L1160" s="4"/>
      <c r="M1160" s="4">
        <v>1155</v>
      </c>
    </row>
    <row r="1161" spans="1:13" x14ac:dyDescent="0.25">
      <c r="A1161" s="4" t="s">
        <v>1122</v>
      </c>
      <c r="B1161" s="4" t="s">
        <v>1123</v>
      </c>
      <c r="C1161" s="4" t="s">
        <v>65</v>
      </c>
      <c r="D1161" s="10">
        <v>40</v>
      </c>
      <c r="E1161" s="12" t="s">
        <v>66</v>
      </c>
      <c r="F1161" s="10">
        <v>5120</v>
      </c>
      <c r="G1161" s="10">
        <v>0</v>
      </c>
      <c r="H1161" s="10">
        <f t="shared" si="18"/>
        <v>5120</v>
      </c>
      <c r="I1161" s="10">
        <v>128</v>
      </c>
      <c r="J1161" s="10">
        <v>128</v>
      </c>
      <c r="K1161" s="10">
        <v>128</v>
      </c>
      <c r="L1161" s="4"/>
      <c r="M1161" s="4">
        <v>1156</v>
      </c>
    </row>
    <row r="1162" spans="1:13" x14ac:dyDescent="0.25">
      <c r="A1162" s="4" t="s">
        <v>1122</v>
      </c>
      <c r="B1162" s="4" t="s">
        <v>1124</v>
      </c>
      <c r="C1162" s="4" t="s">
        <v>65</v>
      </c>
      <c r="D1162" s="10">
        <v>26.5</v>
      </c>
      <c r="E1162" s="12" t="s">
        <v>66</v>
      </c>
      <c r="F1162" s="10">
        <v>3000</v>
      </c>
      <c r="G1162" s="10">
        <v>0</v>
      </c>
      <c r="H1162" s="10">
        <f t="shared" si="18"/>
        <v>3000</v>
      </c>
      <c r="I1162" s="10">
        <v>113.20754716981131</v>
      </c>
      <c r="J1162" s="10">
        <v>113.20754716981131</v>
      </c>
      <c r="K1162" s="10">
        <v>113.20754716981131</v>
      </c>
      <c r="L1162" s="4"/>
      <c r="M1162" s="4">
        <v>1157</v>
      </c>
    </row>
    <row r="1163" spans="1:13" x14ac:dyDescent="0.25">
      <c r="A1163" s="4" t="s">
        <v>1122</v>
      </c>
      <c r="B1163" s="4" t="s">
        <v>1125</v>
      </c>
      <c r="C1163" s="4" t="s">
        <v>65</v>
      </c>
      <c r="D1163" s="10">
        <v>1140.5</v>
      </c>
      <c r="E1163" s="12" t="s">
        <v>66</v>
      </c>
      <c r="F1163" s="10">
        <v>3000</v>
      </c>
      <c r="G1163" s="10">
        <v>0</v>
      </c>
      <c r="H1163" s="10">
        <f t="shared" si="18"/>
        <v>3000</v>
      </c>
      <c r="I1163" s="10">
        <v>113.20754716981131</v>
      </c>
      <c r="J1163" s="10">
        <v>113.20754716981131</v>
      </c>
      <c r="K1163" s="10">
        <v>113.20754716981131</v>
      </c>
      <c r="L1163" s="4"/>
      <c r="M1163" s="4">
        <v>1158</v>
      </c>
    </row>
    <row r="1164" spans="1:13" x14ac:dyDescent="0.25">
      <c r="A1164" s="4" t="s">
        <v>1126</v>
      </c>
      <c r="B1164" s="4" t="s">
        <v>537</v>
      </c>
      <c r="C1164" s="9" t="s">
        <v>50</v>
      </c>
      <c r="D1164" s="10">
        <v>56</v>
      </c>
      <c r="E1164" s="11" t="s">
        <v>51</v>
      </c>
      <c r="F1164" s="10">
        <v>4760</v>
      </c>
      <c r="G1164" s="10">
        <v>0</v>
      </c>
      <c r="H1164" s="10">
        <f t="shared" si="18"/>
        <v>4760</v>
      </c>
      <c r="I1164" s="10">
        <v>85</v>
      </c>
      <c r="J1164" s="10">
        <v>85</v>
      </c>
      <c r="K1164" s="10">
        <v>85</v>
      </c>
      <c r="L1164" s="4" t="s">
        <v>259</v>
      </c>
      <c r="M1164" s="4">
        <v>1159</v>
      </c>
    </row>
    <row r="1165" spans="1:13" x14ac:dyDescent="0.25">
      <c r="A1165" s="4" t="s">
        <v>1126</v>
      </c>
      <c r="B1165" s="4" t="s">
        <v>1065</v>
      </c>
      <c r="C1165" s="9" t="s">
        <v>50</v>
      </c>
      <c r="D1165" s="10">
        <v>1114</v>
      </c>
      <c r="E1165" s="11" t="s">
        <v>51</v>
      </c>
      <c r="F1165" s="10">
        <v>96239.2</v>
      </c>
      <c r="G1165" s="10">
        <v>0</v>
      </c>
      <c r="H1165" s="10">
        <f t="shared" si="18"/>
        <v>96239.2</v>
      </c>
      <c r="I1165" s="10"/>
      <c r="J1165" s="10"/>
      <c r="K1165" s="10"/>
      <c r="L1165" s="4" t="s">
        <v>52</v>
      </c>
      <c r="M1165" s="4">
        <v>1160</v>
      </c>
    </row>
    <row r="1166" spans="1:13" x14ac:dyDescent="0.25">
      <c r="A1166" s="4" t="s">
        <v>1126</v>
      </c>
      <c r="B1166" s="4" t="s">
        <v>1066</v>
      </c>
      <c r="C1166" s="9" t="s">
        <v>50</v>
      </c>
      <c r="D1166" s="10">
        <v>795</v>
      </c>
      <c r="E1166" s="11" t="s">
        <v>51</v>
      </c>
      <c r="F1166" s="10"/>
      <c r="G1166" s="10">
        <v>0</v>
      </c>
      <c r="H1166" s="10">
        <f t="shared" si="18"/>
        <v>0</v>
      </c>
      <c r="I1166" s="10"/>
      <c r="J1166" s="10"/>
      <c r="K1166" s="10"/>
      <c r="L1166" s="4" t="s">
        <v>52</v>
      </c>
      <c r="M1166" s="4">
        <v>1161</v>
      </c>
    </row>
    <row r="1167" spans="1:13" x14ac:dyDescent="0.25">
      <c r="A1167" s="4" t="s">
        <v>1127</v>
      </c>
      <c r="B1167" s="4" t="s">
        <v>1065</v>
      </c>
      <c r="C1167" s="9" t="s">
        <v>50</v>
      </c>
      <c r="D1167" s="10">
        <v>1449</v>
      </c>
      <c r="E1167" s="11" t="s">
        <v>51</v>
      </c>
      <c r="F1167" s="10">
        <v>68400</v>
      </c>
      <c r="G1167" s="10">
        <v>0</v>
      </c>
      <c r="H1167" s="10">
        <f t="shared" si="18"/>
        <v>68400</v>
      </c>
      <c r="I1167" s="10"/>
      <c r="J1167" s="10"/>
      <c r="K1167" s="10"/>
      <c r="L1167" s="4" t="s">
        <v>52</v>
      </c>
      <c r="M1167" s="4">
        <v>1162</v>
      </c>
    </row>
    <row r="1168" spans="1:13" x14ac:dyDescent="0.25">
      <c r="A1168" s="4" t="s">
        <v>1128</v>
      </c>
      <c r="B1168" s="4" t="s">
        <v>1129</v>
      </c>
      <c r="C1168" s="9" t="s">
        <v>50</v>
      </c>
      <c r="D1168" s="10">
        <v>1502</v>
      </c>
      <c r="E1168" s="11" t="s">
        <v>51</v>
      </c>
      <c r="F1168" s="10">
        <v>68400</v>
      </c>
      <c r="G1168" s="10">
        <v>0</v>
      </c>
      <c r="H1168" s="10">
        <f t="shared" si="18"/>
        <v>68400</v>
      </c>
      <c r="I1168" s="10"/>
      <c r="J1168" s="10"/>
      <c r="K1168" s="10"/>
      <c r="L1168" s="4" t="s">
        <v>52</v>
      </c>
      <c r="M1168" s="4">
        <v>1163</v>
      </c>
    </row>
    <row r="1169" spans="1:13" x14ac:dyDescent="0.25">
      <c r="A1169" s="4" t="s">
        <v>1130</v>
      </c>
      <c r="B1169" s="4" t="s">
        <v>1075</v>
      </c>
      <c r="C1169" s="4" t="s">
        <v>65</v>
      </c>
      <c r="D1169" s="10">
        <v>114</v>
      </c>
      <c r="E1169" s="12" t="s">
        <v>66</v>
      </c>
      <c r="F1169" s="10">
        <v>12970</v>
      </c>
      <c r="G1169" s="10">
        <v>0</v>
      </c>
      <c r="H1169" s="10">
        <f t="shared" si="18"/>
        <v>12970</v>
      </c>
      <c r="I1169" s="10">
        <v>113.7719298245614</v>
      </c>
      <c r="J1169" s="10">
        <v>113.7719298245614</v>
      </c>
      <c r="K1169" s="10">
        <v>113.7719298245614</v>
      </c>
      <c r="L1169" s="4"/>
      <c r="M1169" s="4">
        <v>1164</v>
      </c>
    </row>
    <row r="1170" spans="1:13" x14ac:dyDescent="0.25">
      <c r="A1170" s="4" t="s">
        <v>1130</v>
      </c>
      <c r="B1170" s="4" t="s">
        <v>1076</v>
      </c>
      <c r="C1170" s="4" t="s">
        <v>65</v>
      </c>
      <c r="D1170" s="10">
        <v>158</v>
      </c>
      <c r="E1170" s="12" t="s">
        <v>66</v>
      </c>
      <c r="F1170" s="10">
        <v>18307</v>
      </c>
      <c r="G1170" s="10">
        <v>0</v>
      </c>
      <c r="H1170" s="10">
        <f t="shared" si="18"/>
        <v>18307</v>
      </c>
      <c r="I1170" s="10">
        <v>115.86708860759489</v>
      </c>
      <c r="J1170" s="10">
        <v>115.86708860759489</v>
      </c>
      <c r="K1170" s="10">
        <v>115.86708860759489</v>
      </c>
      <c r="L1170" s="4"/>
      <c r="M1170" s="4">
        <v>1165</v>
      </c>
    </row>
    <row r="1171" spans="1:13" x14ac:dyDescent="0.25">
      <c r="A1171" s="4" t="s">
        <v>1130</v>
      </c>
      <c r="B1171" s="4" t="s">
        <v>1077</v>
      </c>
      <c r="C1171" s="4" t="s">
        <v>65</v>
      </c>
      <c r="D1171" s="10">
        <v>283</v>
      </c>
      <c r="E1171" s="12" t="s">
        <v>66</v>
      </c>
      <c r="F1171" s="10">
        <v>32742</v>
      </c>
      <c r="G1171" s="10">
        <v>0</v>
      </c>
      <c r="H1171" s="10">
        <f t="shared" si="18"/>
        <v>32742</v>
      </c>
      <c r="I1171" s="10">
        <v>115.6961130742049</v>
      </c>
      <c r="J1171" s="10">
        <v>115.6961130742049</v>
      </c>
      <c r="K1171" s="10">
        <v>115.6961130742049</v>
      </c>
      <c r="L1171" s="4"/>
      <c r="M1171" s="4">
        <v>1166</v>
      </c>
    </row>
    <row r="1172" spans="1:13" x14ac:dyDescent="0.25">
      <c r="A1172" s="4" t="s">
        <v>1130</v>
      </c>
      <c r="B1172" s="4" t="s">
        <v>1078</v>
      </c>
      <c r="C1172" s="4" t="s">
        <v>65</v>
      </c>
      <c r="D1172" s="10">
        <v>356</v>
      </c>
      <c r="E1172" s="12" t="s">
        <v>66</v>
      </c>
      <c r="F1172" s="10">
        <v>33982</v>
      </c>
      <c r="G1172" s="10">
        <v>0</v>
      </c>
      <c r="H1172" s="10">
        <f t="shared" si="18"/>
        <v>33982</v>
      </c>
      <c r="I1172" s="10">
        <v>115.97952218430029</v>
      </c>
      <c r="J1172" s="10">
        <v>115.97952218430029</v>
      </c>
      <c r="K1172" s="10">
        <v>115.97952218430029</v>
      </c>
      <c r="L1172" s="4"/>
      <c r="M1172" s="4">
        <v>1167</v>
      </c>
    </row>
    <row r="1173" spans="1:13" x14ac:dyDescent="0.25">
      <c r="A1173" s="4" t="s">
        <v>1131</v>
      </c>
      <c r="B1173" s="4" t="s">
        <v>1132</v>
      </c>
      <c r="C1173" s="4" t="s">
        <v>65</v>
      </c>
      <c r="D1173" s="10">
        <v>367</v>
      </c>
      <c r="E1173" s="12" t="s">
        <v>66</v>
      </c>
      <c r="F1173" s="10">
        <v>5884.2</v>
      </c>
      <c r="G1173" s="10">
        <v>0</v>
      </c>
      <c r="H1173" s="10">
        <f t="shared" si="18"/>
        <v>5884.2</v>
      </c>
      <c r="I1173" s="10">
        <v>93.399999999999991</v>
      </c>
      <c r="J1173" s="10">
        <v>93.399999999999991</v>
      </c>
      <c r="K1173" s="10">
        <v>93.399999999999991</v>
      </c>
      <c r="L1173" s="4"/>
      <c r="M1173" s="4">
        <v>1168</v>
      </c>
    </row>
    <row r="1174" spans="1:13" x14ac:dyDescent="0.25">
      <c r="A1174" s="4" t="s">
        <v>1133</v>
      </c>
      <c r="B1174" s="4" t="s">
        <v>537</v>
      </c>
      <c r="C1174" s="9" t="s">
        <v>50</v>
      </c>
      <c r="D1174" s="10">
        <v>56</v>
      </c>
      <c r="E1174" s="11" t="s">
        <v>51</v>
      </c>
      <c r="F1174" s="10">
        <v>4760</v>
      </c>
      <c r="G1174" s="10">
        <v>0</v>
      </c>
      <c r="H1174" s="10">
        <f t="shared" si="18"/>
        <v>4760</v>
      </c>
      <c r="I1174" s="10">
        <v>85</v>
      </c>
      <c r="J1174" s="10">
        <v>85</v>
      </c>
      <c r="K1174" s="10">
        <v>85</v>
      </c>
      <c r="L1174" s="4" t="s">
        <v>259</v>
      </c>
      <c r="M1174" s="4">
        <v>1169</v>
      </c>
    </row>
    <row r="1175" spans="1:13" x14ac:dyDescent="0.25">
      <c r="A1175" s="4" t="s">
        <v>1133</v>
      </c>
      <c r="B1175" s="4" t="s">
        <v>1065</v>
      </c>
      <c r="C1175" s="9" t="s">
        <v>50</v>
      </c>
      <c r="D1175" s="10">
        <v>304</v>
      </c>
      <c r="E1175" s="11" t="s">
        <v>51</v>
      </c>
      <c r="F1175" s="10">
        <v>28800</v>
      </c>
      <c r="G1175" s="10">
        <v>0</v>
      </c>
      <c r="H1175" s="10">
        <f t="shared" si="18"/>
        <v>28800</v>
      </c>
      <c r="I1175" s="10"/>
      <c r="J1175" s="10"/>
      <c r="K1175" s="10"/>
      <c r="L1175" s="4" t="s">
        <v>52</v>
      </c>
      <c r="M1175" s="4">
        <v>1170</v>
      </c>
    </row>
    <row r="1176" spans="1:13" x14ac:dyDescent="0.25">
      <c r="A1176" s="4" t="s">
        <v>1133</v>
      </c>
      <c r="B1176" s="4" t="s">
        <v>1066</v>
      </c>
      <c r="C1176" s="9" t="s">
        <v>50</v>
      </c>
      <c r="D1176" s="10">
        <v>1169</v>
      </c>
      <c r="E1176" s="11" t="s">
        <v>51</v>
      </c>
      <c r="F1176" s="10"/>
      <c r="G1176" s="10">
        <v>0</v>
      </c>
      <c r="H1176" s="10">
        <f t="shared" si="18"/>
        <v>0</v>
      </c>
      <c r="I1176" s="10"/>
      <c r="J1176" s="10"/>
      <c r="K1176" s="10"/>
      <c r="L1176" s="4" t="s">
        <v>52</v>
      </c>
      <c r="M1176" s="4">
        <v>1171</v>
      </c>
    </row>
    <row r="1177" spans="1:13" x14ac:dyDescent="0.25">
      <c r="A1177" s="4" t="s">
        <v>1134</v>
      </c>
      <c r="B1177" s="4" t="s">
        <v>1065</v>
      </c>
      <c r="C1177" s="9" t="s">
        <v>50</v>
      </c>
      <c r="D1177" s="10">
        <v>2162</v>
      </c>
      <c r="E1177" s="11" t="s">
        <v>51</v>
      </c>
      <c r="F1177" s="10">
        <v>103705</v>
      </c>
      <c r="G1177" s="10">
        <v>0</v>
      </c>
      <c r="H1177" s="10">
        <f t="shared" si="18"/>
        <v>103705</v>
      </c>
      <c r="I1177" s="10"/>
      <c r="J1177" s="10"/>
      <c r="K1177" s="10"/>
      <c r="L1177" s="4" t="s">
        <v>52</v>
      </c>
      <c r="M1177" s="4">
        <v>1172</v>
      </c>
    </row>
    <row r="1178" spans="1:13" x14ac:dyDescent="0.25">
      <c r="A1178" s="4" t="s">
        <v>1135</v>
      </c>
      <c r="B1178" s="4" t="s">
        <v>1136</v>
      </c>
      <c r="C1178" s="9" t="s">
        <v>50</v>
      </c>
      <c r="D1178" s="10">
        <v>1649</v>
      </c>
      <c r="E1178" s="11" t="s">
        <v>51</v>
      </c>
      <c r="F1178" s="10">
        <v>103705</v>
      </c>
      <c r="G1178" s="10">
        <v>0</v>
      </c>
      <c r="H1178" s="10">
        <f t="shared" si="18"/>
        <v>103705</v>
      </c>
      <c r="I1178" s="10"/>
      <c r="J1178" s="10"/>
      <c r="K1178" s="10"/>
      <c r="L1178" s="4" t="s">
        <v>52</v>
      </c>
      <c r="M1178" s="4">
        <v>1173</v>
      </c>
    </row>
    <row r="1179" spans="1:13" x14ac:dyDescent="0.25">
      <c r="A1179" s="4" t="s">
        <v>1137</v>
      </c>
      <c r="B1179" s="4" t="s">
        <v>1075</v>
      </c>
      <c r="C1179" s="4" t="s">
        <v>65</v>
      </c>
      <c r="D1179" s="10">
        <v>88</v>
      </c>
      <c r="E1179" s="12" t="s">
        <v>66</v>
      </c>
      <c r="F1179" s="10">
        <v>12970</v>
      </c>
      <c r="G1179" s="10">
        <v>0</v>
      </c>
      <c r="H1179" s="10">
        <f t="shared" si="18"/>
        <v>12970</v>
      </c>
      <c r="I1179" s="10">
        <v>147.3863636363636</v>
      </c>
      <c r="J1179" s="10">
        <v>147.3863636363636</v>
      </c>
      <c r="K1179" s="10">
        <v>147.3863636363636</v>
      </c>
      <c r="L1179" s="4"/>
      <c r="M1179" s="4">
        <v>1174</v>
      </c>
    </row>
    <row r="1180" spans="1:13" x14ac:dyDescent="0.25">
      <c r="A1180" s="4" t="s">
        <v>1137</v>
      </c>
      <c r="B1180" s="4" t="s">
        <v>1076</v>
      </c>
      <c r="C1180" s="4" t="s">
        <v>65</v>
      </c>
      <c r="D1180" s="10">
        <v>122</v>
      </c>
      <c r="E1180" s="12" t="s">
        <v>66</v>
      </c>
      <c r="F1180" s="10">
        <v>18307</v>
      </c>
      <c r="G1180" s="10">
        <v>0</v>
      </c>
      <c r="H1180" s="10">
        <f t="shared" si="18"/>
        <v>18307</v>
      </c>
      <c r="I1180" s="10">
        <v>150.0573770491803</v>
      </c>
      <c r="J1180" s="10">
        <v>150.0573770491803</v>
      </c>
      <c r="K1180" s="10">
        <v>150.0573770491803</v>
      </c>
      <c r="L1180" s="4"/>
      <c r="M1180" s="4">
        <v>1175</v>
      </c>
    </row>
    <row r="1181" spans="1:13" x14ac:dyDescent="0.25">
      <c r="A1181" s="4" t="s">
        <v>1137</v>
      </c>
      <c r="B1181" s="4" t="s">
        <v>1077</v>
      </c>
      <c r="C1181" s="4" t="s">
        <v>65</v>
      </c>
      <c r="D1181" s="10">
        <v>219</v>
      </c>
      <c r="E1181" s="12" t="s">
        <v>66</v>
      </c>
      <c r="F1181" s="10">
        <v>32742</v>
      </c>
      <c r="G1181" s="10">
        <v>0</v>
      </c>
      <c r="H1181" s="10">
        <f t="shared" si="18"/>
        <v>32742</v>
      </c>
      <c r="I1181" s="10">
        <v>149.50684931506851</v>
      </c>
      <c r="J1181" s="10">
        <v>149.50684931506851</v>
      </c>
      <c r="K1181" s="10">
        <v>149.50684931506851</v>
      </c>
      <c r="L1181" s="4"/>
      <c r="M1181" s="4">
        <v>1176</v>
      </c>
    </row>
    <row r="1182" spans="1:13" x14ac:dyDescent="0.25">
      <c r="A1182" s="4" t="s">
        <v>1137</v>
      </c>
      <c r="B1182" s="4" t="s">
        <v>1078</v>
      </c>
      <c r="C1182" s="4" t="s">
        <v>65</v>
      </c>
      <c r="D1182" s="10">
        <v>2029</v>
      </c>
      <c r="E1182" s="12" t="s">
        <v>66</v>
      </c>
      <c r="F1182" s="10">
        <v>33982</v>
      </c>
      <c r="G1182" s="10">
        <v>0</v>
      </c>
      <c r="H1182" s="10">
        <f t="shared" si="18"/>
        <v>33982</v>
      </c>
      <c r="I1182" s="10">
        <v>149.7004405286344</v>
      </c>
      <c r="J1182" s="10">
        <v>149.7004405286344</v>
      </c>
      <c r="K1182" s="10">
        <v>149.7004405286344</v>
      </c>
      <c r="L1182" s="4"/>
      <c r="M1182" s="4">
        <v>1177</v>
      </c>
    </row>
    <row r="1183" spans="1:13" x14ac:dyDescent="0.25">
      <c r="A1183" s="4" t="s">
        <v>1138</v>
      </c>
      <c r="B1183" s="4" t="s">
        <v>270</v>
      </c>
      <c r="C1183" s="9" t="s">
        <v>50</v>
      </c>
      <c r="D1183" s="10">
        <v>50</v>
      </c>
      <c r="E1183" s="11" t="s">
        <v>51</v>
      </c>
      <c r="F1183" s="10">
        <v>3750</v>
      </c>
      <c r="G1183" s="10">
        <v>0</v>
      </c>
      <c r="H1183" s="10">
        <f t="shared" si="18"/>
        <v>3750</v>
      </c>
      <c r="I1183" s="10"/>
      <c r="J1183" s="10"/>
      <c r="K1183" s="10"/>
      <c r="L1183" s="4" t="s">
        <v>52</v>
      </c>
      <c r="M1183" s="4">
        <v>1178</v>
      </c>
    </row>
    <row r="1184" spans="1:13" x14ac:dyDescent="0.25">
      <c r="A1184" s="4" t="s">
        <v>1138</v>
      </c>
      <c r="B1184" s="4" t="s">
        <v>82</v>
      </c>
      <c r="C1184" s="9" t="s">
        <v>50</v>
      </c>
      <c r="D1184" s="10">
        <v>711</v>
      </c>
      <c r="E1184" s="11" t="s">
        <v>51</v>
      </c>
      <c r="F1184" s="10">
        <v>53325</v>
      </c>
      <c r="G1184" s="10">
        <v>0</v>
      </c>
      <c r="H1184" s="10">
        <f t="shared" si="18"/>
        <v>53325</v>
      </c>
      <c r="I1184" s="10"/>
      <c r="J1184" s="10"/>
      <c r="K1184" s="10"/>
      <c r="L1184" s="4" t="s">
        <v>52</v>
      </c>
      <c r="M1184" s="4">
        <v>1179</v>
      </c>
    </row>
    <row r="1185" spans="1:13" x14ac:dyDescent="0.25">
      <c r="A1185" s="4" t="s">
        <v>1138</v>
      </c>
      <c r="B1185" s="4" t="s">
        <v>88</v>
      </c>
      <c r="C1185" s="9" t="s">
        <v>50</v>
      </c>
      <c r="D1185" s="10">
        <v>596</v>
      </c>
      <c r="E1185" s="11" t="s">
        <v>51</v>
      </c>
      <c r="F1185" s="10">
        <v>50700</v>
      </c>
      <c r="G1185" s="10">
        <v>0</v>
      </c>
      <c r="H1185" s="10">
        <f t="shared" si="18"/>
        <v>50700</v>
      </c>
      <c r="I1185" s="10"/>
      <c r="J1185" s="10"/>
      <c r="K1185" s="10"/>
      <c r="L1185" s="4" t="s">
        <v>52</v>
      </c>
      <c r="M1185" s="4">
        <v>1180</v>
      </c>
    </row>
    <row r="1186" spans="1:13" x14ac:dyDescent="0.25">
      <c r="A1186" s="4" t="s">
        <v>1138</v>
      </c>
      <c r="B1186" s="4" t="s">
        <v>137</v>
      </c>
      <c r="C1186" s="9" t="s">
        <v>50</v>
      </c>
      <c r="D1186" s="10">
        <v>1203.08</v>
      </c>
      <c r="E1186" s="11" t="s">
        <v>51</v>
      </c>
      <c r="F1186" s="10">
        <v>27375</v>
      </c>
      <c r="G1186" s="10">
        <v>0</v>
      </c>
      <c r="H1186" s="10">
        <f t="shared" si="18"/>
        <v>27375</v>
      </c>
      <c r="I1186" s="10"/>
      <c r="J1186" s="10"/>
      <c r="K1186" s="10"/>
      <c r="L1186" s="4" t="s">
        <v>52</v>
      </c>
      <c r="M1186" s="4">
        <v>1181</v>
      </c>
    </row>
    <row r="1187" spans="1:13" x14ac:dyDescent="0.25">
      <c r="A1187" s="4" t="s">
        <v>1139</v>
      </c>
      <c r="B1187" s="4" t="s">
        <v>537</v>
      </c>
      <c r="C1187" s="9" t="s">
        <v>50</v>
      </c>
      <c r="D1187" s="10">
        <v>40</v>
      </c>
      <c r="E1187" s="11" t="s">
        <v>51</v>
      </c>
      <c r="F1187" s="10">
        <v>3000</v>
      </c>
      <c r="G1187" s="10">
        <v>0</v>
      </c>
      <c r="H1187" s="10">
        <f t="shared" si="18"/>
        <v>3000</v>
      </c>
      <c r="I1187" s="10">
        <v>75</v>
      </c>
      <c r="J1187" s="10">
        <v>75</v>
      </c>
      <c r="K1187" s="10">
        <v>75</v>
      </c>
      <c r="L1187" s="4" t="s">
        <v>259</v>
      </c>
      <c r="M1187" s="4">
        <v>1182</v>
      </c>
    </row>
    <row r="1188" spans="1:13" x14ac:dyDescent="0.25">
      <c r="A1188" s="4" t="s">
        <v>1139</v>
      </c>
      <c r="B1188" s="4" t="s">
        <v>106</v>
      </c>
      <c r="C1188" s="9" t="s">
        <v>50</v>
      </c>
      <c r="D1188" s="10">
        <v>702</v>
      </c>
      <c r="E1188" s="11" t="s">
        <v>51</v>
      </c>
      <c r="F1188" s="10">
        <v>62941.5</v>
      </c>
      <c r="G1188" s="10">
        <v>0</v>
      </c>
      <c r="H1188" s="10">
        <f t="shared" si="18"/>
        <v>62941.5</v>
      </c>
      <c r="I1188" s="10"/>
      <c r="J1188" s="10"/>
      <c r="K1188" s="10"/>
      <c r="L1188" s="4" t="s">
        <v>52</v>
      </c>
      <c r="M1188" s="4">
        <v>1183</v>
      </c>
    </row>
    <row r="1189" spans="1:13" x14ac:dyDescent="0.25">
      <c r="A1189" s="4" t="s">
        <v>1139</v>
      </c>
      <c r="B1189" s="4" t="s">
        <v>271</v>
      </c>
      <c r="C1189" s="9" t="s">
        <v>50</v>
      </c>
      <c r="D1189" s="10">
        <v>48</v>
      </c>
      <c r="E1189" s="11" t="s">
        <v>51</v>
      </c>
      <c r="F1189" s="10">
        <v>3600</v>
      </c>
      <c r="G1189" s="10">
        <v>0</v>
      </c>
      <c r="H1189" s="10">
        <f t="shared" si="18"/>
        <v>3600</v>
      </c>
      <c r="I1189" s="10"/>
      <c r="J1189" s="10"/>
      <c r="K1189" s="10"/>
      <c r="L1189" s="4" t="s">
        <v>52</v>
      </c>
      <c r="M1189" s="4">
        <v>1184</v>
      </c>
    </row>
    <row r="1190" spans="1:13" x14ac:dyDescent="0.25">
      <c r="A1190" s="4" t="s">
        <v>1139</v>
      </c>
      <c r="B1190" s="4" t="s">
        <v>272</v>
      </c>
      <c r="C1190" s="9" t="s">
        <v>50</v>
      </c>
      <c r="D1190" s="10">
        <v>75.5</v>
      </c>
      <c r="E1190" s="11" t="s">
        <v>51</v>
      </c>
      <c r="F1190" s="10">
        <v>600</v>
      </c>
      <c r="G1190" s="10">
        <v>0</v>
      </c>
      <c r="H1190" s="10">
        <f t="shared" si="18"/>
        <v>600</v>
      </c>
      <c r="I1190" s="10"/>
      <c r="J1190" s="10"/>
      <c r="K1190" s="10"/>
      <c r="L1190" s="4" t="s">
        <v>52</v>
      </c>
      <c r="M1190" s="4">
        <v>1185</v>
      </c>
    </row>
    <row r="1191" spans="1:13" x14ac:dyDescent="0.25">
      <c r="A1191" s="4" t="s">
        <v>1140</v>
      </c>
      <c r="B1191" s="4" t="s">
        <v>1141</v>
      </c>
      <c r="C1191" s="9" t="s">
        <v>50</v>
      </c>
      <c r="D1191" s="10">
        <v>1971.5</v>
      </c>
      <c r="E1191" s="11" t="s">
        <v>51</v>
      </c>
      <c r="F1191" s="10">
        <v>6750</v>
      </c>
      <c r="G1191" s="10">
        <v>0</v>
      </c>
      <c r="H1191" s="10">
        <f t="shared" si="18"/>
        <v>6750</v>
      </c>
      <c r="I1191" s="10"/>
      <c r="J1191" s="10"/>
      <c r="K1191" s="10"/>
      <c r="L1191" s="4" t="s">
        <v>52</v>
      </c>
      <c r="M1191" s="4">
        <v>1186</v>
      </c>
    </row>
    <row r="1192" spans="1:13" x14ac:dyDescent="0.25">
      <c r="A1192" s="4" t="s">
        <v>1142</v>
      </c>
      <c r="B1192" s="4" t="s">
        <v>1143</v>
      </c>
      <c r="C1192" s="4" t="s">
        <v>65</v>
      </c>
      <c r="D1192" s="10">
        <v>1513</v>
      </c>
      <c r="E1192" s="12" t="s">
        <v>66</v>
      </c>
      <c r="F1192" s="10">
        <v>60000</v>
      </c>
      <c r="G1192" s="10">
        <v>0</v>
      </c>
      <c r="H1192" s="10">
        <f t="shared" si="18"/>
        <v>60000</v>
      </c>
      <c r="I1192" s="10">
        <v>39.656311962987438</v>
      </c>
      <c r="J1192" s="10">
        <v>39.656311962987438</v>
      </c>
      <c r="K1192" s="10">
        <v>39.656311962987438</v>
      </c>
      <c r="L1192" s="4"/>
      <c r="M1192" s="4">
        <v>1187</v>
      </c>
    </row>
    <row r="1193" spans="1:13" x14ac:dyDescent="0.25">
      <c r="A1193" s="4" t="s">
        <v>1142</v>
      </c>
      <c r="B1193" s="4" t="s">
        <v>1144</v>
      </c>
      <c r="C1193" s="4" t="s">
        <v>65</v>
      </c>
      <c r="D1193" s="10">
        <v>348</v>
      </c>
      <c r="E1193" s="12" t="s">
        <v>66</v>
      </c>
      <c r="F1193" s="10">
        <v>125500</v>
      </c>
      <c r="G1193" s="10">
        <v>0</v>
      </c>
      <c r="H1193" s="10">
        <f t="shared" si="18"/>
        <v>125500</v>
      </c>
      <c r="I1193" s="10">
        <v>360.63218390804599</v>
      </c>
      <c r="J1193" s="10">
        <v>360.63218390804599</v>
      </c>
      <c r="K1193" s="10">
        <v>360.63218390804599</v>
      </c>
      <c r="L1193" s="4"/>
      <c r="M1193" s="4">
        <v>1188</v>
      </c>
    </row>
    <row r="1194" spans="1:13" x14ac:dyDescent="0.25">
      <c r="A1194" s="4" t="s">
        <v>1142</v>
      </c>
      <c r="B1194" s="4" t="s">
        <v>1145</v>
      </c>
      <c r="C1194" s="9" t="s">
        <v>50</v>
      </c>
      <c r="D1194" s="10">
        <v>328</v>
      </c>
      <c r="E1194" s="11" t="s">
        <v>51</v>
      </c>
      <c r="F1194" s="10">
        <v>4500</v>
      </c>
      <c r="G1194" s="10">
        <v>0</v>
      </c>
      <c r="H1194" s="10">
        <f t="shared" si="18"/>
        <v>4500</v>
      </c>
      <c r="I1194" s="10"/>
      <c r="J1194" s="10"/>
      <c r="K1194" s="10"/>
      <c r="L1194" s="4" t="s">
        <v>52</v>
      </c>
      <c r="M1194" s="4">
        <v>1189</v>
      </c>
    </row>
    <row r="1195" spans="1:13" x14ac:dyDescent="0.25">
      <c r="A1195" s="4" t="s">
        <v>1146</v>
      </c>
      <c r="B1195" s="4" t="s">
        <v>82</v>
      </c>
      <c r="C1195" s="9" t="s">
        <v>50</v>
      </c>
      <c r="D1195" s="10">
        <v>673</v>
      </c>
      <c r="E1195" s="11" t="s">
        <v>51</v>
      </c>
      <c r="F1195" s="10">
        <v>21375</v>
      </c>
      <c r="G1195" s="10">
        <v>0</v>
      </c>
      <c r="H1195" s="10">
        <f t="shared" si="18"/>
        <v>21375</v>
      </c>
      <c r="I1195" s="10"/>
      <c r="J1195" s="10"/>
      <c r="K1195" s="10"/>
      <c r="L1195" s="4" t="s">
        <v>52</v>
      </c>
      <c r="M1195" s="4">
        <v>1190</v>
      </c>
    </row>
    <row r="1196" spans="1:13" x14ac:dyDescent="0.25">
      <c r="A1196" s="4" t="s">
        <v>1147</v>
      </c>
      <c r="B1196" s="4" t="s">
        <v>537</v>
      </c>
      <c r="C1196" s="4" t="s">
        <v>68</v>
      </c>
      <c r="D1196" s="10">
        <v>40</v>
      </c>
      <c r="E1196" s="12" t="s">
        <v>66</v>
      </c>
      <c r="F1196" s="10">
        <v>4800</v>
      </c>
      <c r="G1196" s="10">
        <v>0</v>
      </c>
      <c r="H1196" s="10">
        <f t="shared" si="18"/>
        <v>4800</v>
      </c>
      <c r="I1196" s="10">
        <v>120</v>
      </c>
      <c r="J1196" s="10">
        <v>120</v>
      </c>
      <c r="K1196" s="10">
        <v>120</v>
      </c>
      <c r="L1196" s="4"/>
      <c r="M1196" s="4">
        <v>1191</v>
      </c>
    </row>
    <row r="1197" spans="1:13" x14ac:dyDescent="0.25">
      <c r="A1197" s="4" t="s">
        <v>1147</v>
      </c>
      <c r="B1197" s="4" t="s">
        <v>1148</v>
      </c>
      <c r="C1197" s="4" t="s">
        <v>68</v>
      </c>
      <c r="D1197" s="10">
        <v>200</v>
      </c>
      <c r="E1197" s="11" t="s">
        <v>51</v>
      </c>
      <c r="F1197" s="10">
        <v>24000</v>
      </c>
      <c r="G1197" s="10">
        <v>0</v>
      </c>
      <c r="H1197" s="10">
        <f t="shared" si="18"/>
        <v>24000</v>
      </c>
      <c r="I1197" s="10"/>
      <c r="J1197" s="10"/>
      <c r="K1197" s="10"/>
      <c r="L1197" s="4" t="s">
        <v>69</v>
      </c>
      <c r="M1197" s="4">
        <v>1192</v>
      </c>
    </row>
    <row r="1198" spans="1:13" x14ac:dyDescent="0.25">
      <c r="A1198" s="4" t="s">
        <v>1147</v>
      </c>
      <c r="B1198" s="4" t="s">
        <v>1149</v>
      </c>
      <c r="C1198" s="4" t="s">
        <v>65</v>
      </c>
      <c r="D1198" s="10">
        <v>8</v>
      </c>
      <c r="E1198" s="12" t="s">
        <v>66</v>
      </c>
      <c r="F1198" s="10">
        <v>1150</v>
      </c>
      <c r="G1198" s="10">
        <v>0</v>
      </c>
      <c r="H1198" s="10">
        <f t="shared" si="18"/>
        <v>1150</v>
      </c>
      <c r="I1198" s="10">
        <v>143.75</v>
      </c>
      <c r="J1198" s="10">
        <v>143.75</v>
      </c>
      <c r="K1198" s="10">
        <v>143.75</v>
      </c>
      <c r="L1198" s="4"/>
      <c r="M1198" s="4">
        <v>1193</v>
      </c>
    </row>
    <row r="1199" spans="1:13" x14ac:dyDescent="0.25">
      <c r="A1199" s="4" t="s">
        <v>1147</v>
      </c>
      <c r="B1199" s="4" t="s">
        <v>1150</v>
      </c>
      <c r="C1199" s="4" t="s">
        <v>65</v>
      </c>
      <c r="D1199" s="10">
        <v>96</v>
      </c>
      <c r="E1199" s="12" t="s">
        <v>66</v>
      </c>
      <c r="F1199" s="10">
        <v>13250</v>
      </c>
      <c r="G1199" s="10">
        <v>0</v>
      </c>
      <c r="H1199" s="10">
        <f t="shared" si="18"/>
        <v>13250</v>
      </c>
      <c r="I1199" s="10">
        <v>138.02083333333329</v>
      </c>
      <c r="J1199" s="10">
        <v>138.02083333333329</v>
      </c>
      <c r="K1199" s="10">
        <v>138.02083333333329</v>
      </c>
      <c r="L1199" s="4"/>
      <c r="M1199" s="4">
        <v>1194</v>
      </c>
    </row>
    <row r="1200" spans="1:13" x14ac:dyDescent="0.25">
      <c r="A1200" s="4" t="s">
        <v>1147</v>
      </c>
      <c r="B1200" s="4" t="s">
        <v>1151</v>
      </c>
      <c r="C1200" s="4" t="s">
        <v>65</v>
      </c>
      <c r="D1200" s="10">
        <v>344</v>
      </c>
      <c r="E1200" s="12" t="s">
        <v>66</v>
      </c>
      <c r="F1200" s="10">
        <v>11600</v>
      </c>
      <c r="G1200" s="10">
        <v>0</v>
      </c>
      <c r="H1200" s="10">
        <f t="shared" si="18"/>
        <v>11600</v>
      </c>
      <c r="I1200" s="10">
        <v>138.0952380952381</v>
      </c>
      <c r="J1200" s="10">
        <v>138.0952380952381</v>
      </c>
      <c r="K1200" s="10">
        <v>138.0952380952381</v>
      </c>
      <c r="L1200" s="4"/>
      <c r="M1200" s="4">
        <v>1195</v>
      </c>
    </row>
    <row r="1201" spans="1:13" x14ac:dyDescent="0.25">
      <c r="A1201" s="4" t="s">
        <v>1152</v>
      </c>
      <c r="B1201" s="4" t="s">
        <v>1153</v>
      </c>
      <c r="C1201" s="4" t="s">
        <v>68</v>
      </c>
      <c r="D1201" s="10">
        <v>40</v>
      </c>
      <c r="E1201" s="11" t="s">
        <v>51</v>
      </c>
      <c r="F1201" s="10">
        <v>4600</v>
      </c>
      <c r="G1201" s="10">
        <v>0</v>
      </c>
      <c r="H1201" s="10">
        <f t="shared" si="18"/>
        <v>4600</v>
      </c>
      <c r="I1201" s="10"/>
      <c r="J1201" s="10"/>
      <c r="K1201" s="10"/>
      <c r="L1201" s="4" t="s">
        <v>69</v>
      </c>
      <c r="M1201" s="4">
        <v>1196</v>
      </c>
    </row>
    <row r="1202" spans="1:13" x14ac:dyDescent="0.25">
      <c r="A1202" s="4" t="s">
        <v>1152</v>
      </c>
      <c r="B1202" s="4" t="s">
        <v>1154</v>
      </c>
      <c r="C1202" s="4" t="s">
        <v>68</v>
      </c>
      <c r="D1202" s="10">
        <v>80</v>
      </c>
      <c r="E1202" s="11" t="s">
        <v>51</v>
      </c>
      <c r="F1202" s="10">
        <v>9200</v>
      </c>
      <c r="G1202" s="10">
        <v>0</v>
      </c>
      <c r="H1202" s="10">
        <f t="shared" si="18"/>
        <v>9200</v>
      </c>
      <c r="I1202" s="10"/>
      <c r="J1202" s="10"/>
      <c r="K1202" s="10"/>
      <c r="L1202" s="4" t="s">
        <v>69</v>
      </c>
      <c r="M1202" s="4">
        <v>1197</v>
      </c>
    </row>
    <row r="1203" spans="1:13" x14ac:dyDescent="0.25">
      <c r="A1203" s="4" t="s">
        <v>1152</v>
      </c>
      <c r="B1203" s="4" t="s">
        <v>1155</v>
      </c>
      <c r="C1203" s="4" t="s">
        <v>65</v>
      </c>
      <c r="D1203" s="10">
        <v>90</v>
      </c>
      <c r="E1203" s="12" t="s">
        <v>66</v>
      </c>
      <c r="F1203" s="10">
        <v>10550</v>
      </c>
      <c r="G1203" s="10">
        <v>0</v>
      </c>
      <c r="H1203" s="10">
        <f t="shared" si="18"/>
        <v>10550</v>
      </c>
      <c r="I1203" s="10">
        <v>117.2222222222222</v>
      </c>
      <c r="J1203" s="10">
        <v>117.2222222222222</v>
      </c>
      <c r="K1203" s="10">
        <v>117.2222222222222</v>
      </c>
      <c r="L1203" s="4"/>
      <c r="M1203" s="4">
        <v>1198</v>
      </c>
    </row>
    <row r="1204" spans="1:13" x14ac:dyDescent="0.25">
      <c r="A1204" s="4" t="s">
        <v>1152</v>
      </c>
      <c r="B1204" s="4" t="s">
        <v>1156</v>
      </c>
      <c r="C1204" s="4" t="s">
        <v>68</v>
      </c>
      <c r="D1204" s="10">
        <v>100</v>
      </c>
      <c r="E1204" s="11" t="s">
        <v>51</v>
      </c>
      <c r="F1204" s="10">
        <v>5750</v>
      </c>
      <c r="G1204" s="10">
        <v>0</v>
      </c>
      <c r="H1204" s="10">
        <f t="shared" si="18"/>
        <v>5750</v>
      </c>
      <c r="I1204" s="10"/>
      <c r="J1204" s="10"/>
      <c r="K1204" s="10"/>
      <c r="L1204" s="4" t="s">
        <v>69</v>
      </c>
      <c r="M1204" s="4">
        <v>1199</v>
      </c>
    </row>
    <row r="1205" spans="1:13" x14ac:dyDescent="0.25">
      <c r="A1205" s="4" t="s">
        <v>1157</v>
      </c>
      <c r="B1205" s="4" t="s">
        <v>1158</v>
      </c>
      <c r="C1205" s="4" t="s">
        <v>65</v>
      </c>
      <c r="D1205" s="10">
        <v>2250.5</v>
      </c>
      <c r="E1205" s="12" t="s">
        <v>66</v>
      </c>
      <c r="F1205" s="10">
        <v>6600</v>
      </c>
      <c r="G1205" s="10">
        <v>0</v>
      </c>
      <c r="H1205" s="10">
        <f t="shared" si="18"/>
        <v>6600</v>
      </c>
      <c r="I1205" s="10">
        <v>132</v>
      </c>
      <c r="J1205" s="10">
        <v>132</v>
      </c>
      <c r="K1205" s="10">
        <v>132</v>
      </c>
      <c r="L1205" s="4"/>
      <c r="M1205" s="4">
        <v>1200</v>
      </c>
    </row>
    <row r="1206" spans="1:13" x14ac:dyDescent="0.25">
      <c r="A1206" s="4" t="s">
        <v>1159</v>
      </c>
      <c r="B1206" s="4" t="s">
        <v>136</v>
      </c>
      <c r="C1206" s="9" t="s">
        <v>50</v>
      </c>
      <c r="D1206" s="10">
        <v>8</v>
      </c>
      <c r="E1206" s="11" t="s">
        <v>51</v>
      </c>
      <c r="F1206" s="10">
        <v>716.95</v>
      </c>
      <c r="G1206" s="10">
        <v>0</v>
      </c>
      <c r="H1206" s="10">
        <f t="shared" si="18"/>
        <v>716.95</v>
      </c>
      <c r="I1206" s="10"/>
      <c r="J1206" s="10"/>
      <c r="K1206" s="10"/>
      <c r="L1206" s="4" t="s">
        <v>52</v>
      </c>
      <c r="M1206" s="4">
        <v>1201</v>
      </c>
    </row>
    <row r="1207" spans="1:13" x14ac:dyDescent="0.25">
      <c r="A1207" s="4" t="s">
        <v>1159</v>
      </c>
      <c r="B1207" s="4" t="s">
        <v>82</v>
      </c>
      <c r="C1207" s="9" t="s">
        <v>50</v>
      </c>
      <c r="D1207" s="10">
        <v>165</v>
      </c>
      <c r="E1207" s="11" t="s">
        <v>51</v>
      </c>
      <c r="F1207" s="10">
        <v>14868.44</v>
      </c>
      <c r="G1207" s="10">
        <v>0</v>
      </c>
      <c r="H1207" s="10">
        <f t="shared" si="18"/>
        <v>14868.44</v>
      </c>
      <c r="I1207" s="10"/>
      <c r="J1207" s="10"/>
      <c r="K1207" s="10"/>
      <c r="L1207" s="4" t="s">
        <v>52</v>
      </c>
      <c r="M1207" s="4">
        <v>1202</v>
      </c>
    </row>
    <row r="1208" spans="1:13" x14ac:dyDescent="0.25">
      <c r="A1208" s="4" t="s">
        <v>1159</v>
      </c>
      <c r="B1208" s="4" t="s">
        <v>88</v>
      </c>
      <c r="C1208" s="9" t="s">
        <v>50</v>
      </c>
      <c r="D1208" s="10">
        <v>308</v>
      </c>
      <c r="E1208" s="11" t="s">
        <v>51</v>
      </c>
      <c r="F1208" s="10">
        <v>27757</v>
      </c>
      <c r="G1208" s="10">
        <v>0</v>
      </c>
      <c r="H1208" s="10">
        <f t="shared" si="18"/>
        <v>27757</v>
      </c>
      <c r="I1208" s="10"/>
      <c r="J1208" s="10"/>
      <c r="K1208" s="10"/>
      <c r="L1208" s="4" t="s">
        <v>52</v>
      </c>
      <c r="M1208" s="4">
        <v>1203</v>
      </c>
    </row>
    <row r="1209" spans="1:13" x14ac:dyDescent="0.25">
      <c r="A1209" s="4" t="s">
        <v>1159</v>
      </c>
      <c r="B1209" s="4" t="s">
        <v>137</v>
      </c>
      <c r="C1209" s="9" t="s">
        <v>50</v>
      </c>
      <c r="D1209" s="10">
        <v>131</v>
      </c>
      <c r="E1209" s="11" t="s">
        <v>51</v>
      </c>
      <c r="F1209" s="10">
        <v>11807.62</v>
      </c>
      <c r="G1209" s="10">
        <v>0</v>
      </c>
      <c r="H1209" s="10">
        <f t="shared" si="18"/>
        <v>11807.62</v>
      </c>
      <c r="I1209" s="10"/>
      <c r="J1209" s="10"/>
      <c r="K1209" s="10"/>
      <c r="L1209" s="4" t="s">
        <v>52</v>
      </c>
      <c r="M1209" s="4">
        <v>1204</v>
      </c>
    </row>
    <row r="1210" spans="1:13" x14ac:dyDescent="0.25">
      <c r="A1210" s="4" t="s">
        <v>1159</v>
      </c>
      <c r="B1210" s="4" t="s">
        <v>537</v>
      </c>
      <c r="C1210" s="9" t="s">
        <v>50</v>
      </c>
      <c r="D1210" s="10">
        <v>171</v>
      </c>
      <c r="E1210" s="11" t="s">
        <v>51</v>
      </c>
      <c r="F1210" s="10">
        <v>14535</v>
      </c>
      <c r="G1210" s="10">
        <v>0</v>
      </c>
      <c r="H1210" s="10">
        <f t="shared" si="18"/>
        <v>14535</v>
      </c>
      <c r="I1210" s="10">
        <v>85</v>
      </c>
      <c r="J1210" s="10">
        <v>85</v>
      </c>
      <c r="K1210" s="10">
        <v>85</v>
      </c>
      <c r="L1210" s="4" t="s">
        <v>259</v>
      </c>
      <c r="M1210" s="4">
        <v>1205</v>
      </c>
    </row>
    <row r="1211" spans="1:13" x14ac:dyDescent="0.25">
      <c r="A1211" s="4" t="s">
        <v>1159</v>
      </c>
      <c r="B1211" s="4" t="s">
        <v>106</v>
      </c>
      <c r="C1211" s="9" t="s">
        <v>50</v>
      </c>
      <c r="D1211" s="10">
        <v>449</v>
      </c>
      <c r="E1211" s="11" t="s">
        <v>51</v>
      </c>
      <c r="F1211" s="10">
        <v>39001.29</v>
      </c>
      <c r="G1211" s="10">
        <v>0</v>
      </c>
      <c r="H1211" s="10">
        <f t="shared" si="18"/>
        <v>39001.29</v>
      </c>
      <c r="I1211" s="10"/>
      <c r="J1211" s="10"/>
      <c r="K1211" s="10"/>
      <c r="L1211" s="4" t="s">
        <v>52</v>
      </c>
      <c r="M1211" s="4">
        <v>1206</v>
      </c>
    </row>
    <row r="1212" spans="1:13" x14ac:dyDescent="0.25">
      <c r="A1212" s="4" t="s">
        <v>1159</v>
      </c>
      <c r="B1212" s="4" t="s">
        <v>107</v>
      </c>
      <c r="C1212" s="9" t="s">
        <v>50</v>
      </c>
      <c r="D1212" s="10">
        <v>598</v>
      </c>
      <c r="E1212" s="11" t="s">
        <v>51</v>
      </c>
      <c r="F1212" s="10">
        <v>26738.71</v>
      </c>
      <c r="G1212" s="10">
        <v>0</v>
      </c>
      <c r="H1212" s="10">
        <f t="shared" si="18"/>
        <v>26738.71</v>
      </c>
      <c r="I1212" s="10"/>
      <c r="J1212" s="10"/>
      <c r="K1212" s="10"/>
      <c r="L1212" s="4" t="s">
        <v>52</v>
      </c>
      <c r="M1212" s="4">
        <v>1207</v>
      </c>
    </row>
    <row r="1213" spans="1:13" x14ac:dyDescent="0.25">
      <c r="A1213" s="4" t="s">
        <v>1159</v>
      </c>
      <c r="B1213" s="4" t="s">
        <v>1160</v>
      </c>
      <c r="C1213" s="9" t="s">
        <v>50</v>
      </c>
      <c r="D1213" s="10">
        <v>68</v>
      </c>
      <c r="E1213" s="11" t="s">
        <v>51</v>
      </c>
      <c r="F1213" s="10">
        <v>6050</v>
      </c>
      <c r="G1213" s="10">
        <v>0</v>
      </c>
      <c r="H1213" s="10">
        <f t="shared" si="18"/>
        <v>6050</v>
      </c>
      <c r="I1213" s="10"/>
      <c r="J1213" s="10"/>
      <c r="K1213" s="10"/>
      <c r="L1213" s="4" t="s">
        <v>52</v>
      </c>
      <c r="M1213" s="4">
        <v>1208</v>
      </c>
    </row>
    <row r="1214" spans="1:13" x14ac:dyDescent="0.25">
      <c r="A1214" s="4" t="s">
        <v>1159</v>
      </c>
      <c r="B1214" s="4" t="s">
        <v>1161</v>
      </c>
      <c r="C1214" s="9" t="s">
        <v>50</v>
      </c>
      <c r="D1214" s="10">
        <v>116</v>
      </c>
      <c r="E1214" s="11" t="s">
        <v>51</v>
      </c>
      <c r="F1214" s="10">
        <v>9300</v>
      </c>
      <c r="G1214" s="10">
        <v>0</v>
      </c>
      <c r="H1214" s="10">
        <f t="shared" si="18"/>
        <v>9300</v>
      </c>
      <c r="I1214" s="10"/>
      <c r="J1214" s="10"/>
      <c r="K1214" s="10"/>
      <c r="L1214" s="4" t="s">
        <v>52</v>
      </c>
      <c r="M1214" s="4">
        <v>1209</v>
      </c>
    </row>
    <row r="1215" spans="1:13" x14ac:dyDescent="0.25">
      <c r="A1215" s="4" t="s">
        <v>1159</v>
      </c>
      <c r="B1215" s="4" t="s">
        <v>1162</v>
      </c>
      <c r="C1215" s="9" t="s">
        <v>50</v>
      </c>
      <c r="D1215" s="10">
        <v>83.5</v>
      </c>
      <c r="E1215" s="11" t="s">
        <v>51</v>
      </c>
      <c r="F1215" s="10">
        <v>4600</v>
      </c>
      <c r="G1215" s="10">
        <v>0</v>
      </c>
      <c r="H1215" s="10">
        <f t="shared" si="18"/>
        <v>4600</v>
      </c>
      <c r="I1215" s="10"/>
      <c r="J1215" s="10"/>
      <c r="K1215" s="10"/>
      <c r="L1215" s="4" t="s">
        <v>52</v>
      </c>
      <c r="M1215" s="4">
        <v>1210</v>
      </c>
    </row>
    <row r="1216" spans="1:13" x14ac:dyDescent="0.25">
      <c r="A1216" s="4" t="s">
        <v>1159</v>
      </c>
      <c r="B1216" s="4" t="s">
        <v>1163</v>
      </c>
      <c r="C1216" s="9" t="s">
        <v>50</v>
      </c>
      <c r="D1216" s="10">
        <v>132</v>
      </c>
      <c r="E1216" s="11" t="s">
        <v>51</v>
      </c>
      <c r="F1216" s="10">
        <v>7300</v>
      </c>
      <c r="G1216" s="10">
        <v>0</v>
      </c>
      <c r="H1216" s="10">
        <f t="shared" si="18"/>
        <v>7300</v>
      </c>
      <c r="I1216" s="10"/>
      <c r="J1216" s="10"/>
      <c r="K1216" s="10"/>
      <c r="L1216" s="4" t="s">
        <v>52</v>
      </c>
      <c r="M1216" s="4">
        <v>1211</v>
      </c>
    </row>
    <row r="1217" spans="1:13" x14ac:dyDescent="0.25">
      <c r="A1217" s="4" t="s">
        <v>1159</v>
      </c>
      <c r="B1217" s="4" t="s">
        <v>1164</v>
      </c>
      <c r="C1217" s="9" t="s">
        <v>50</v>
      </c>
      <c r="D1217" s="10">
        <v>8</v>
      </c>
      <c r="E1217" s="11" t="s">
        <v>51</v>
      </c>
      <c r="F1217" s="10">
        <v>750</v>
      </c>
      <c r="G1217" s="10">
        <v>0</v>
      </c>
      <c r="H1217" s="10">
        <f t="shared" si="18"/>
        <v>750</v>
      </c>
      <c r="I1217" s="10"/>
      <c r="J1217" s="10"/>
      <c r="K1217" s="10"/>
      <c r="L1217" s="4" t="s">
        <v>52</v>
      </c>
      <c r="M1217" s="4">
        <v>1212</v>
      </c>
    </row>
    <row r="1218" spans="1:13" x14ac:dyDescent="0.25">
      <c r="A1218" s="4" t="s">
        <v>1159</v>
      </c>
      <c r="B1218" s="4" t="s">
        <v>1165</v>
      </c>
      <c r="C1218" s="4" t="s">
        <v>68</v>
      </c>
      <c r="D1218" s="10">
        <v>124</v>
      </c>
      <c r="E1218" s="11" t="s">
        <v>51</v>
      </c>
      <c r="F1218" s="10">
        <v>10540</v>
      </c>
      <c r="G1218" s="10">
        <v>0</v>
      </c>
      <c r="H1218" s="10">
        <f t="shared" si="18"/>
        <v>10540</v>
      </c>
      <c r="I1218" s="10"/>
      <c r="J1218" s="10"/>
      <c r="K1218" s="10"/>
      <c r="L1218" s="4" t="s">
        <v>69</v>
      </c>
      <c r="M1218" s="4">
        <v>1213</v>
      </c>
    </row>
    <row r="1219" spans="1:13" x14ac:dyDescent="0.25">
      <c r="A1219" s="4" t="s">
        <v>1159</v>
      </c>
      <c r="B1219" s="4" t="s">
        <v>1166</v>
      </c>
      <c r="C1219" s="4" t="s">
        <v>65</v>
      </c>
      <c r="D1219" s="10">
        <v>175</v>
      </c>
      <c r="E1219" s="12" t="s">
        <v>66</v>
      </c>
      <c r="F1219" s="10">
        <v>1000</v>
      </c>
      <c r="G1219" s="10">
        <v>0</v>
      </c>
      <c r="H1219" s="10">
        <f t="shared" si="18"/>
        <v>1000</v>
      </c>
      <c r="I1219" s="10">
        <v>100</v>
      </c>
      <c r="J1219" s="10">
        <v>100</v>
      </c>
      <c r="K1219" s="10">
        <v>100</v>
      </c>
      <c r="L1219" s="4"/>
      <c r="M1219" s="4">
        <v>1214</v>
      </c>
    </row>
    <row r="1220" spans="1:13" x14ac:dyDescent="0.25">
      <c r="A1220" s="4" t="s">
        <v>1167</v>
      </c>
      <c r="B1220" s="4" t="s">
        <v>1168</v>
      </c>
      <c r="C1220" s="4" t="s">
        <v>68</v>
      </c>
      <c r="D1220" s="10">
        <v>262</v>
      </c>
      <c r="E1220" s="11" t="s">
        <v>51</v>
      </c>
      <c r="F1220" s="10">
        <v>9800</v>
      </c>
      <c r="G1220" s="10">
        <v>0</v>
      </c>
      <c r="H1220" s="10">
        <f t="shared" si="18"/>
        <v>9800</v>
      </c>
      <c r="I1220" s="10"/>
      <c r="J1220" s="10"/>
      <c r="K1220" s="10"/>
      <c r="L1220" s="4" t="s">
        <v>69</v>
      </c>
      <c r="M1220" s="4">
        <v>1215</v>
      </c>
    </row>
    <row r="1221" spans="1:13" x14ac:dyDescent="0.25">
      <c r="A1221" s="4" t="s">
        <v>1169</v>
      </c>
      <c r="B1221" s="4" t="s">
        <v>1170</v>
      </c>
      <c r="C1221" s="9" t="s">
        <v>50</v>
      </c>
      <c r="D1221" s="10">
        <v>337</v>
      </c>
      <c r="E1221" s="11" t="s">
        <v>51</v>
      </c>
      <c r="F1221" s="10">
        <v>9215</v>
      </c>
      <c r="G1221" s="10">
        <v>0</v>
      </c>
      <c r="H1221" s="10">
        <f t="shared" si="18"/>
        <v>9215</v>
      </c>
      <c r="I1221" s="10"/>
      <c r="J1221" s="10"/>
      <c r="K1221" s="10"/>
      <c r="L1221" s="4" t="s">
        <v>52</v>
      </c>
      <c r="M1221" s="4">
        <v>1216</v>
      </c>
    </row>
    <row r="1222" spans="1:13" x14ac:dyDescent="0.25">
      <c r="A1222" s="4" t="s">
        <v>1171</v>
      </c>
      <c r="B1222" s="4" t="s">
        <v>136</v>
      </c>
      <c r="C1222" s="9" t="s">
        <v>50</v>
      </c>
      <c r="D1222" s="10">
        <v>24</v>
      </c>
      <c r="E1222" s="11" t="s">
        <v>51</v>
      </c>
      <c r="F1222" s="10">
        <v>1800</v>
      </c>
      <c r="G1222" s="10">
        <v>0</v>
      </c>
      <c r="H1222" s="10">
        <f t="shared" ref="H1222:H1285" si="19">F1222-G1222</f>
        <v>1800</v>
      </c>
      <c r="I1222" s="10"/>
      <c r="J1222" s="10"/>
      <c r="K1222" s="10"/>
      <c r="L1222" s="4" t="s">
        <v>52</v>
      </c>
      <c r="M1222" s="4">
        <v>1217</v>
      </c>
    </row>
    <row r="1223" spans="1:13" x14ac:dyDescent="0.25">
      <c r="A1223" s="4" t="s">
        <v>1171</v>
      </c>
      <c r="B1223" s="4" t="s">
        <v>82</v>
      </c>
      <c r="C1223" s="9" t="s">
        <v>50</v>
      </c>
      <c r="D1223" s="10">
        <v>216</v>
      </c>
      <c r="E1223" s="11" t="s">
        <v>51</v>
      </c>
      <c r="F1223" s="10">
        <v>16200</v>
      </c>
      <c r="G1223" s="10">
        <v>0</v>
      </c>
      <c r="H1223" s="10">
        <f t="shared" si="19"/>
        <v>16200</v>
      </c>
      <c r="I1223" s="10"/>
      <c r="J1223" s="10"/>
      <c r="K1223" s="10"/>
      <c r="L1223" s="4" t="s">
        <v>52</v>
      </c>
      <c r="M1223" s="4">
        <v>1218</v>
      </c>
    </row>
    <row r="1224" spans="1:13" x14ac:dyDescent="0.25">
      <c r="A1224" s="4" t="s">
        <v>1171</v>
      </c>
      <c r="B1224" s="4" t="s">
        <v>88</v>
      </c>
      <c r="C1224" s="9" t="s">
        <v>50</v>
      </c>
      <c r="D1224" s="10">
        <v>518</v>
      </c>
      <c r="E1224" s="11" t="s">
        <v>51</v>
      </c>
      <c r="F1224" s="10"/>
      <c r="G1224" s="10">
        <v>0</v>
      </c>
      <c r="H1224" s="10">
        <f t="shared" si="19"/>
        <v>0</v>
      </c>
      <c r="I1224" s="10"/>
      <c r="J1224" s="10"/>
      <c r="K1224" s="10"/>
      <c r="L1224" s="4" t="s">
        <v>52</v>
      </c>
      <c r="M1224" s="4">
        <v>1219</v>
      </c>
    </row>
    <row r="1225" spans="1:13" x14ac:dyDescent="0.25">
      <c r="A1225" s="4" t="s">
        <v>1172</v>
      </c>
      <c r="B1225" s="4" t="s">
        <v>88</v>
      </c>
      <c r="C1225" s="9" t="s">
        <v>50</v>
      </c>
      <c r="D1225" s="10">
        <v>48</v>
      </c>
      <c r="E1225" s="11" t="s">
        <v>51</v>
      </c>
      <c r="F1225" s="10">
        <v>3600</v>
      </c>
      <c r="G1225" s="10">
        <v>0</v>
      </c>
      <c r="H1225" s="10">
        <f t="shared" si="19"/>
        <v>3600</v>
      </c>
      <c r="I1225" s="10"/>
      <c r="J1225" s="10"/>
      <c r="K1225" s="10"/>
      <c r="L1225" s="4" t="s">
        <v>52</v>
      </c>
      <c r="M1225" s="4">
        <v>1220</v>
      </c>
    </row>
    <row r="1226" spans="1:13" x14ac:dyDescent="0.25">
      <c r="A1226" s="4" t="s">
        <v>1172</v>
      </c>
      <c r="B1226" s="4" t="s">
        <v>137</v>
      </c>
      <c r="C1226" s="9" t="s">
        <v>50</v>
      </c>
      <c r="D1226" s="10">
        <v>32</v>
      </c>
      <c r="E1226" s="11" t="s">
        <v>51</v>
      </c>
      <c r="F1226" s="10">
        <v>2400</v>
      </c>
      <c r="G1226" s="10">
        <v>0</v>
      </c>
      <c r="H1226" s="10">
        <f t="shared" si="19"/>
        <v>2400</v>
      </c>
      <c r="I1226" s="10"/>
      <c r="J1226" s="10"/>
      <c r="K1226" s="10"/>
      <c r="L1226" s="4" t="s">
        <v>52</v>
      </c>
      <c r="M1226" s="4">
        <v>1221</v>
      </c>
    </row>
    <row r="1227" spans="1:13" x14ac:dyDescent="0.25">
      <c r="A1227" s="4" t="s">
        <v>1172</v>
      </c>
      <c r="B1227" s="4" t="s">
        <v>106</v>
      </c>
      <c r="C1227" s="9" t="s">
        <v>50</v>
      </c>
      <c r="D1227" s="10">
        <v>104</v>
      </c>
      <c r="E1227" s="11" t="s">
        <v>51</v>
      </c>
      <c r="F1227" s="10">
        <v>7800</v>
      </c>
      <c r="G1227" s="10">
        <v>0</v>
      </c>
      <c r="H1227" s="10">
        <f t="shared" si="19"/>
        <v>7800</v>
      </c>
      <c r="I1227" s="10"/>
      <c r="J1227" s="10"/>
      <c r="K1227" s="10"/>
      <c r="L1227" s="4" t="s">
        <v>52</v>
      </c>
      <c r="M1227" s="4">
        <v>1222</v>
      </c>
    </row>
    <row r="1228" spans="1:13" x14ac:dyDescent="0.25">
      <c r="A1228" s="4" t="s">
        <v>1172</v>
      </c>
      <c r="B1228" s="4" t="s">
        <v>107</v>
      </c>
      <c r="C1228" s="9" t="s">
        <v>50</v>
      </c>
      <c r="D1228" s="10">
        <v>278</v>
      </c>
      <c r="E1228" s="11" t="s">
        <v>51</v>
      </c>
      <c r="F1228" s="10">
        <v>21626.28</v>
      </c>
      <c r="G1228" s="10">
        <v>0</v>
      </c>
      <c r="H1228" s="10">
        <f t="shared" si="19"/>
        <v>21626.28</v>
      </c>
      <c r="I1228" s="10"/>
      <c r="J1228" s="10"/>
      <c r="K1228" s="10"/>
      <c r="L1228" s="4" t="s">
        <v>52</v>
      </c>
      <c r="M1228" s="4">
        <v>1223</v>
      </c>
    </row>
    <row r="1229" spans="1:13" x14ac:dyDescent="0.25">
      <c r="A1229" s="4" t="s">
        <v>1172</v>
      </c>
      <c r="B1229" s="4" t="s">
        <v>128</v>
      </c>
      <c r="C1229" s="9" t="s">
        <v>50</v>
      </c>
      <c r="D1229" s="10">
        <v>93</v>
      </c>
      <c r="E1229" s="11" t="s">
        <v>51</v>
      </c>
      <c r="F1229" s="10">
        <v>3723.72</v>
      </c>
      <c r="G1229" s="10">
        <v>0</v>
      </c>
      <c r="H1229" s="10">
        <f t="shared" si="19"/>
        <v>3723.72</v>
      </c>
      <c r="I1229" s="10"/>
      <c r="J1229" s="10"/>
      <c r="K1229" s="10"/>
      <c r="L1229" s="4" t="s">
        <v>52</v>
      </c>
      <c r="M1229" s="4">
        <v>1224</v>
      </c>
    </row>
    <row r="1230" spans="1:13" x14ac:dyDescent="0.25">
      <c r="A1230" s="4" t="s">
        <v>1173</v>
      </c>
      <c r="B1230" s="4" t="s">
        <v>453</v>
      </c>
      <c r="C1230" s="4" t="s">
        <v>65</v>
      </c>
      <c r="D1230" s="10">
        <v>74</v>
      </c>
      <c r="E1230" s="12" t="s">
        <v>66</v>
      </c>
      <c r="F1230" s="10">
        <v>3600</v>
      </c>
      <c r="G1230" s="10">
        <v>0</v>
      </c>
      <c r="H1230" s="10">
        <f t="shared" si="19"/>
        <v>3600</v>
      </c>
      <c r="I1230" s="10">
        <v>97.297297297297291</v>
      </c>
      <c r="J1230" s="10">
        <v>97.297297297297291</v>
      </c>
      <c r="K1230" s="10">
        <v>97.297297297297291</v>
      </c>
      <c r="L1230" s="4"/>
      <c r="M1230" s="4">
        <v>1225</v>
      </c>
    </row>
    <row r="1231" spans="1:13" x14ac:dyDescent="0.25">
      <c r="A1231" s="4" t="s">
        <v>1174</v>
      </c>
      <c r="B1231" s="4" t="s">
        <v>453</v>
      </c>
      <c r="C1231" s="4" t="s">
        <v>65</v>
      </c>
      <c r="D1231" s="10">
        <v>37</v>
      </c>
      <c r="E1231" s="12" t="s">
        <v>66</v>
      </c>
      <c r="F1231" s="10">
        <v>3600</v>
      </c>
      <c r="G1231" s="10">
        <v>0</v>
      </c>
      <c r="H1231" s="10">
        <f t="shared" si="19"/>
        <v>3600</v>
      </c>
      <c r="I1231" s="10">
        <v>97.297297297297291</v>
      </c>
      <c r="J1231" s="10">
        <v>97.297297297297291</v>
      </c>
      <c r="K1231" s="10">
        <v>97.297297297297291</v>
      </c>
      <c r="L1231" s="4"/>
      <c r="M1231" s="4">
        <v>1226</v>
      </c>
    </row>
    <row r="1232" spans="1:13" x14ac:dyDescent="0.25">
      <c r="A1232" s="4" t="s">
        <v>1175</v>
      </c>
      <c r="B1232" s="4" t="s">
        <v>88</v>
      </c>
      <c r="C1232" s="9" t="s">
        <v>50</v>
      </c>
      <c r="D1232" s="10">
        <v>160</v>
      </c>
      <c r="E1232" s="11" t="s">
        <v>51</v>
      </c>
      <c r="F1232" s="10"/>
      <c r="G1232" s="10">
        <v>0</v>
      </c>
      <c r="H1232" s="10">
        <f t="shared" si="19"/>
        <v>0</v>
      </c>
      <c r="I1232" s="10"/>
      <c r="J1232" s="10"/>
      <c r="K1232" s="10"/>
      <c r="L1232" s="4" t="s">
        <v>52</v>
      </c>
      <c r="M1232" s="4">
        <v>1227</v>
      </c>
    </row>
    <row r="1233" spans="1:13" x14ac:dyDescent="0.25">
      <c r="A1233" s="4" t="s">
        <v>1176</v>
      </c>
      <c r="B1233" s="4" t="s">
        <v>136</v>
      </c>
      <c r="C1233" s="9" t="s">
        <v>50</v>
      </c>
      <c r="D1233" s="10">
        <v>26</v>
      </c>
      <c r="E1233" s="11" t="s">
        <v>51</v>
      </c>
      <c r="F1233" s="10">
        <v>2016.9</v>
      </c>
      <c r="G1233" s="10">
        <v>0</v>
      </c>
      <c r="H1233" s="10">
        <f t="shared" si="19"/>
        <v>2016.9</v>
      </c>
      <c r="I1233" s="10"/>
      <c r="J1233" s="10"/>
      <c r="K1233" s="10"/>
      <c r="L1233" s="4" t="s">
        <v>52</v>
      </c>
      <c r="M1233" s="4">
        <v>1228</v>
      </c>
    </row>
    <row r="1234" spans="1:13" x14ac:dyDescent="0.25">
      <c r="A1234" s="4" t="s">
        <v>1176</v>
      </c>
      <c r="B1234" s="4" t="s">
        <v>82</v>
      </c>
      <c r="C1234" s="9" t="s">
        <v>50</v>
      </c>
      <c r="D1234" s="10">
        <v>25</v>
      </c>
      <c r="E1234" s="11" t="s">
        <v>51</v>
      </c>
      <c r="F1234" s="10">
        <v>1939.14</v>
      </c>
      <c r="G1234" s="10">
        <v>0</v>
      </c>
      <c r="H1234" s="10">
        <f t="shared" si="19"/>
        <v>1939.14</v>
      </c>
      <c r="I1234" s="10"/>
      <c r="J1234" s="10"/>
      <c r="K1234" s="10"/>
      <c r="L1234" s="4" t="s">
        <v>52</v>
      </c>
      <c r="M1234" s="4">
        <v>1229</v>
      </c>
    </row>
    <row r="1235" spans="1:13" x14ac:dyDescent="0.25">
      <c r="A1235" s="4" t="s">
        <v>1176</v>
      </c>
      <c r="B1235" s="4" t="s">
        <v>88</v>
      </c>
      <c r="C1235" s="9" t="s">
        <v>50</v>
      </c>
      <c r="D1235" s="10">
        <v>39</v>
      </c>
      <c r="E1235" s="11" t="s">
        <v>51</v>
      </c>
      <c r="F1235" s="10">
        <v>3024.14</v>
      </c>
      <c r="G1235" s="10">
        <v>0</v>
      </c>
      <c r="H1235" s="10">
        <f t="shared" si="19"/>
        <v>3024.14</v>
      </c>
      <c r="I1235" s="10"/>
      <c r="J1235" s="10"/>
      <c r="K1235" s="10"/>
      <c r="L1235" s="4" t="s">
        <v>52</v>
      </c>
      <c r="M1235" s="4">
        <v>1230</v>
      </c>
    </row>
    <row r="1236" spans="1:13" x14ac:dyDescent="0.25">
      <c r="A1236" s="4" t="s">
        <v>1176</v>
      </c>
      <c r="B1236" s="4" t="s">
        <v>137</v>
      </c>
      <c r="C1236" s="9" t="s">
        <v>50</v>
      </c>
      <c r="D1236" s="10">
        <v>10</v>
      </c>
      <c r="E1236" s="11" t="s">
        <v>51</v>
      </c>
      <c r="F1236" s="10">
        <v>517.59</v>
      </c>
      <c r="G1236" s="10">
        <v>0</v>
      </c>
      <c r="H1236" s="10">
        <f t="shared" si="19"/>
        <v>517.59</v>
      </c>
      <c r="I1236" s="10"/>
      <c r="J1236" s="10"/>
      <c r="K1236" s="10"/>
      <c r="L1236" s="4" t="s">
        <v>52</v>
      </c>
      <c r="M1236" s="4">
        <v>1231</v>
      </c>
    </row>
    <row r="1237" spans="1:13" x14ac:dyDescent="0.25">
      <c r="A1237" s="4" t="s">
        <v>1176</v>
      </c>
      <c r="B1237" s="4" t="s">
        <v>107</v>
      </c>
      <c r="C1237" s="9" t="s">
        <v>50</v>
      </c>
      <c r="D1237" s="10">
        <v>88</v>
      </c>
      <c r="E1237" s="11" t="s">
        <v>51</v>
      </c>
      <c r="F1237" s="10">
        <v>4652.2299999999996</v>
      </c>
      <c r="G1237" s="10">
        <v>0</v>
      </c>
      <c r="H1237" s="10">
        <f t="shared" si="19"/>
        <v>4652.2299999999996</v>
      </c>
      <c r="I1237" s="10"/>
      <c r="J1237" s="10"/>
      <c r="K1237" s="10"/>
      <c r="L1237" s="4" t="s">
        <v>52</v>
      </c>
      <c r="M1237" s="4">
        <v>1232</v>
      </c>
    </row>
    <row r="1238" spans="1:13" x14ac:dyDescent="0.25">
      <c r="A1238" s="4" t="s">
        <v>1177</v>
      </c>
      <c r="B1238" s="4" t="s">
        <v>1178</v>
      </c>
      <c r="C1238" s="4" t="s">
        <v>65</v>
      </c>
      <c r="D1238" s="10">
        <v>16</v>
      </c>
      <c r="E1238" s="12" t="s">
        <v>66</v>
      </c>
      <c r="F1238" s="10">
        <v>2400</v>
      </c>
      <c r="G1238" s="10">
        <v>0</v>
      </c>
      <c r="H1238" s="10">
        <f t="shared" si="19"/>
        <v>2400</v>
      </c>
      <c r="I1238" s="10">
        <v>150</v>
      </c>
      <c r="J1238" s="10">
        <v>150</v>
      </c>
      <c r="K1238" s="10">
        <v>150</v>
      </c>
      <c r="L1238" s="4"/>
      <c r="M1238" s="4">
        <v>1233</v>
      </c>
    </row>
    <row r="1239" spans="1:13" x14ac:dyDescent="0.25">
      <c r="A1239" s="4" t="s">
        <v>1177</v>
      </c>
      <c r="B1239" s="4" t="s">
        <v>1179</v>
      </c>
      <c r="C1239" s="4" t="s">
        <v>65</v>
      </c>
      <c r="D1239" s="10">
        <v>685.5</v>
      </c>
      <c r="E1239" s="12" t="s">
        <v>66</v>
      </c>
      <c r="F1239" s="10">
        <v>1150</v>
      </c>
      <c r="G1239" s="10">
        <v>0</v>
      </c>
      <c r="H1239" s="10">
        <f t="shared" si="19"/>
        <v>1150</v>
      </c>
      <c r="I1239" s="10">
        <v>95.833333333333329</v>
      </c>
      <c r="J1239" s="10">
        <v>95.833333333333329</v>
      </c>
      <c r="K1239" s="10">
        <v>95.833333333333329</v>
      </c>
      <c r="L1239" s="4"/>
      <c r="M1239" s="4">
        <v>1234</v>
      </c>
    </row>
    <row r="1240" spans="1:13" x14ac:dyDescent="0.25">
      <c r="A1240" s="4" t="s">
        <v>1180</v>
      </c>
      <c r="B1240" s="4" t="s">
        <v>136</v>
      </c>
      <c r="C1240" s="9" t="s">
        <v>50</v>
      </c>
      <c r="D1240" s="10">
        <v>3</v>
      </c>
      <c r="E1240" s="11" t="s">
        <v>51</v>
      </c>
      <c r="F1240" s="10">
        <v>300</v>
      </c>
      <c r="G1240" s="10">
        <v>0</v>
      </c>
      <c r="H1240" s="10">
        <f t="shared" si="19"/>
        <v>300</v>
      </c>
      <c r="I1240" s="10"/>
      <c r="J1240" s="10"/>
      <c r="K1240" s="10"/>
      <c r="L1240" s="4" t="s">
        <v>52</v>
      </c>
      <c r="M1240" s="4">
        <v>1235</v>
      </c>
    </row>
    <row r="1241" spans="1:13" x14ac:dyDescent="0.25">
      <c r="A1241" s="4" t="s">
        <v>1180</v>
      </c>
      <c r="B1241" s="4" t="s">
        <v>82</v>
      </c>
      <c r="C1241" s="9" t="s">
        <v>50</v>
      </c>
      <c r="D1241" s="10">
        <v>41</v>
      </c>
      <c r="E1241" s="11" t="s">
        <v>51</v>
      </c>
      <c r="F1241" s="10">
        <v>3950</v>
      </c>
      <c r="G1241" s="10">
        <v>0</v>
      </c>
      <c r="H1241" s="10">
        <f t="shared" si="19"/>
        <v>3950</v>
      </c>
      <c r="I1241" s="10"/>
      <c r="J1241" s="10"/>
      <c r="K1241" s="10"/>
      <c r="L1241" s="4" t="s">
        <v>52</v>
      </c>
      <c r="M1241" s="4">
        <v>1236</v>
      </c>
    </row>
    <row r="1242" spans="1:13" x14ac:dyDescent="0.25">
      <c r="A1242" s="4" t="s">
        <v>1180</v>
      </c>
      <c r="B1242" s="4" t="s">
        <v>88</v>
      </c>
      <c r="C1242" s="9" t="s">
        <v>50</v>
      </c>
      <c r="D1242" s="10">
        <v>66</v>
      </c>
      <c r="E1242" s="11" t="s">
        <v>51</v>
      </c>
      <c r="F1242" s="10">
        <v>6300</v>
      </c>
      <c r="G1242" s="10">
        <v>0</v>
      </c>
      <c r="H1242" s="10">
        <f t="shared" si="19"/>
        <v>6300</v>
      </c>
      <c r="I1242" s="10"/>
      <c r="J1242" s="10"/>
      <c r="K1242" s="10"/>
      <c r="L1242" s="4" t="s">
        <v>52</v>
      </c>
      <c r="M1242" s="4">
        <v>1237</v>
      </c>
    </row>
    <row r="1243" spans="1:13" x14ac:dyDescent="0.25">
      <c r="A1243" s="4" t="s">
        <v>1180</v>
      </c>
      <c r="B1243" s="4" t="s">
        <v>137</v>
      </c>
      <c r="C1243" s="9" t="s">
        <v>50</v>
      </c>
      <c r="D1243" s="10">
        <v>52</v>
      </c>
      <c r="E1243" s="11" t="s">
        <v>51</v>
      </c>
      <c r="F1243" s="10">
        <v>4950</v>
      </c>
      <c r="G1243" s="10">
        <v>0</v>
      </c>
      <c r="H1243" s="10">
        <f t="shared" si="19"/>
        <v>4950</v>
      </c>
      <c r="I1243" s="10"/>
      <c r="J1243" s="10"/>
      <c r="K1243" s="10"/>
      <c r="L1243" s="4" t="s">
        <v>52</v>
      </c>
      <c r="M1243" s="4">
        <v>1238</v>
      </c>
    </row>
    <row r="1244" spans="1:13" x14ac:dyDescent="0.25">
      <c r="A1244" s="4" t="s">
        <v>1180</v>
      </c>
      <c r="B1244" s="4" t="s">
        <v>106</v>
      </c>
      <c r="C1244" s="9" t="s">
        <v>50</v>
      </c>
      <c r="D1244" s="10">
        <v>65</v>
      </c>
      <c r="E1244" s="11" t="s">
        <v>51</v>
      </c>
      <c r="F1244" s="10">
        <v>7300</v>
      </c>
      <c r="G1244" s="10">
        <v>0</v>
      </c>
      <c r="H1244" s="10">
        <f t="shared" si="19"/>
        <v>7300</v>
      </c>
      <c r="I1244" s="10"/>
      <c r="J1244" s="10"/>
      <c r="K1244" s="10"/>
      <c r="L1244" s="4" t="s">
        <v>52</v>
      </c>
      <c r="M1244" s="4">
        <v>1239</v>
      </c>
    </row>
    <row r="1245" spans="1:13" x14ac:dyDescent="0.25">
      <c r="A1245" s="4" t="s">
        <v>1180</v>
      </c>
      <c r="B1245" s="4" t="s">
        <v>271</v>
      </c>
      <c r="C1245" s="9" t="s">
        <v>50</v>
      </c>
      <c r="D1245" s="10">
        <v>2</v>
      </c>
      <c r="E1245" s="11" t="s">
        <v>51</v>
      </c>
      <c r="F1245" s="10">
        <v>300</v>
      </c>
      <c r="G1245" s="10">
        <v>0</v>
      </c>
      <c r="H1245" s="10">
        <f t="shared" si="19"/>
        <v>300</v>
      </c>
      <c r="I1245" s="10"/>
      <c r="J1245" s="10"/>
      <c r="K1245" s="10"/>
      <c r="L1245" s="4" t="s">
        <v>52</v>
      </c>
      <c r="M1245" s="4">
        <v>1240</v>
      </c>
    </row>
    <row r="1246" spans="1:13" x14ac:dyDescent="0.25">
      <c r="A1246" s="4" t="s">
        <v>1180</v>
      </c>
      <c r="B1246" s="4" t="s">
        <v>272</v>
      </c>
      <c r="C1246" s="9" t="s">
        <v>50</v>
      </c>
      <c r="D1246" s="10">
        <v>2</v>
      </c>
      <c r="E1246" s="11" t="s">
        <v>51</v>
      </c>
      <c r="F1246" s="10">
        <v>300</v>
      </c>
      <c r="G1246" s="10">
        <v>0</v>
      </c>
      <c r="H1246" s="10">
        <f t="shared" si="19"/>
        <v>300</v>
      </c>
      <c r="I1246" s="10"/>
      <c r="J1246" s="10"/>
      <c r="K1246" s="10"/>
      <c r="L1246" s="4" t="s">
        <v>52</v>
      </c>
      <c r="M1246" s="4">
        <v>1241</v>
      </c>
    </row>
    <row r="1247" spans="1:13" x14ac:dyDescent="0.25">
      <c r="A1247" s="4" t="s">
        <v>1180</v>
      </c>
      <c r="B1247" s="4" t="s">
        <v>107</v>
      </c>
      <c r="C1247" s="9" t="s">
        <v>50</v>
      </c>
      <c r="D1247" s="10">
        <v>412.5</v>
      </c>
      <c r="E1247" s="11" t="s">
        <v>51</v>
      </c>
      <c r="F1247" s="10">
        <v>43250</v>
      </c>
      <c r="G1247" s="10">
        <v>0</v>
      </c>
      <c r="H1247" s="10">
        <f t="shared" si="19"/>
        <v>43250</v>
      </c>
      <c r="I1247" s="10"/>
      <c r="J1247" s="10"/>
      <c r="K1247" s="10"/>
      <c r="L1247" s="4" t="s">
        <v>52</v>
      </c>
      <c r="M1247" s="4">
        <v>1242</v>
      </c>
    </row>
    <row r="1248" spans="1:13" x14ac:dyDescent="0.25">
      <c r="A1248" s="4" t="s">
        <v>1180</v>
      </c>
      <c r="B1248" s="4" t="s">
        <v>1181</v>
      </c>
      <c r="C1248" s="9" t="s">
        <v>50</v>
      </c>
      <c r="D1248" s="10">
        <v>320.75</v>
      </c>
      <c r="E1248" s="11" t="s">
        <v>51</v>
      </c>
      <c r="F1248" s="10">
        <v>2900</v>
      </c>
      <c r="G1248" s="10">
        <v>0</v>
      </c>
      <c r="H1248" s="10">
        <f t="shared" si="19"/>
        <v>2900</v>
      </c>
      <c r="I1248" s="10"/>
      <c r="J1248" s="10"/>
      <c r="K1248" s="10"/>
      <c r="L1248" s="4" t="s">
        <v>52</v>
      </c>
      <c r="M1248" s="4">
        <v>1243</v>
      </c>
    </row>
    <row r="1249" spans="1:13" x14ac:dyDescent="0.25">
      <c r="A1249" s="4" t="s">
        <v>1182</v>
      </c>
      <c r="B1249" s="4" t="s">
        <v>270</v>
      </c>
      <c r="C1249" s="9" t="s">
        <v>50</v>
      </c>
      <c r="D1249" s="10">
        <v>0.75</v>
      </c>
      <c r="E1249" s="11" t="s">
        <v>51</v>
      </c>
      <c r="F1249" s="10">
        <v>33.15</v>
      </c>
      <c r="G1249" s="10">
        <v>0</v>
      </c>
      <c r="H1249" s="10">
        <f t="shared" si="19"/>
        <v>33.15</v>
      </c>
      <c r="I1249" s="10"/>
      <c r="J1249" s="10"/>
      <c r="K1249" s="10"/>
      <c r="L1249" s="4" t="s">
        <v>52</v>
      </c>
      <c r="M1249" s="4">
        <v>1244</v>
      </c>
    </row>
    <row r="1250" spans="1:13" x14ac:dyDescent="0.25">
      <c r="A1250" s="4" t="s">
        <v>1182</v>
      </c>
      <c r="B1250" s="4" t="s">
        <v>136</v>
      </c>
      <c r="C1250" s="9" t="s">
        <v>50</v>
      </c>
      <c r="D1250" s="10">
        <v>14</v>
      </c>
      <c r="E1250" s="11" t="s">
        <v>51</v>
      </c>
      <c r="F1250" s="10">
        <v>1508.34</v>
      </c>
      <c r="G1250" s="10">
        <v>0</v>
      </c>
      <c r="H1250" s="10">
        <f t="shared" si="19"/>
        <v>1508.34</v>
      </c>
      <c r="I1250" s="10"/>
      <c r="J1250" s="10"/>
      <c r="K1250" s="10"/>
      <c r="L1250" s="4" t="s">
        <v>52</v>
      </c>
      <c r="M1250" s="4">
        <v>1245</v>
      </c>
    </row>
    <row r="1251" spans="1:13" x14ac:dyDescent="0.25">
      <c r="A1251" s="4" t="s">
        <v>1182</v>
      </c>
      <c r="B1251" s="4" t="s">
        <v>82</v>
      </c>
      <c r="C1251" s="9" t="s">
        <v>50</v>
      </c>
      <c r="D1251" s="10">
        <v>50</v>
      </c>
      <c r="E1251" s="11" t="s">
        <v>51</v>
      </c>
      <c r="F1251" s="10">
        <v>3750</v>
      </c>
      <c r="G1251" s="10">
        <v>0</v>
      </c>
      <c r="H1251" s="10">
        <f t="shared" si="19"/>
        <v>3750</v>
      </c>
      <c r="I1251" s="10"/>
      <c r="J1251" s="10"/>
      <c r="K1251" s="10"/>
      <c r="L1251" s="4" t="s">
        <v>52</v>
      </c>
      <c r="M1251" s="4">
        <v>1246</v>
      </c>
    </row>
    <row r="1252" spans="1:13" x14ac:dyDescent="0.25">
      <c r="A1252" s="4" t="s">
        <v>1182</v>
      </c>
      <c r="B1252" s="4" t="s">
        <v>88</v>
      </c>
      <c r="C1252" s="9" t="s">
        <v>50</v>
      </c>
      <c r="D1252" s="10">
        <v>104</v>
      </c>
      <c r="E1252" s="11" t="s">
        <v>51</v>
      </c>
      <c r="F1252" s="10">
        <v>11054.35</v>
      </c>
      <c r="G1252" s="10">
        <v>0</v>
      </c>
      <c r="H1252" s="10">
        <f t="shared" si="19"/>
        <v>11054.35</v>
      </c>
      <c r="I1252" s="10"/>
      <c r="J1252" s="10"/>
      <c r="K1252" s="10"/>
      <c r="L1252" s="4" t="s">
        <v>52</v>
      </c>
      <c r="M1252" s="4">
        <v>1247</v>
      </c>
    </row>
    <row r="1253" spans="1:13" x14ac:dyDescent="0.25">
      <c r="A1253" s="4" t="s">
        <v>1182</v>
      </c>
      <c r="B1253" s="4" t="s">
        <v>106</v>
      </c>
      <c r="C1253" s="9" t="s">
        <v>50</v>
      </c>
      <c r="D1253" s="10">
        <v>38</v>
      </c>
      <c r="E1253" s="11" t="s">
        <v>51</v>
      </c>
      <c r="F1253" s="10">
        <v>4097.22</v>
      </c>
      <c r="G1253" s="10">
        <v>0</v>
      </c>
      <c r="H1253" s="10">
        <f t="shared" si="19"/>
        <v>4097.22</v>
      </c>
      <c r="I1253" s="10"/>
      <c r="J1253" s="10"/>
      <c r="K1253" s="10"/>
      <c r="L1253" s="4" t="s">
        <v>52</v>
      </c>
      <c r="M1253" s="4">
        <v>1248</v>
      </c>
    </row>
    <row r="1254" spans="1:13" x14ac:dyDescent="0.25">
      <c r="A1254" s="4" t="s">
        <v>1182</v>
      </c>
      <c r="B1254" s="4" t="s">
        <v>128</v>
      </c>
      <c r="C1254" s="9" t="s">
        <v>50</v>
      </c>
      <c r="D1254" s="10">
        <v>60</v>
      </c>
      <c r="E1254" s="11" t="s">
        <v>51</v>
      </c>
      <c r="F1254" s="10">
        <v>5606.94</v>
      </c>
      <c r="G1254" s="10">
        <v>0</v>
      </c>
      <c r="H1254" s="10">
        <f t="shared" si="19"/>
        <v>5606.94</v>
      </c>
      <c r="I1254" s="10"/>
      <c r="J1254" s="10"/>
      <c r="K1254" s="10"/>
      <c r="L1254" s="4" t="s">
        <v>52</v>
      </c>
      <c r="M1254" s="4">
        <v>1249</v>
      </c>
    </row>
    <row r="1255" spans="1:13" x14ac:dyDescent="0.25">
      <c r="A1255" s="4" t="s">
        <v>1182</v>
      </c>
      <c r="B1255" s="4" t="s">
        <v>1183</v>
      </c>
      <c r="C1255" s="9" t="s">
        <v>50</v>
      </c>
      <c r="D1255" s="10">
        <v>24</v>
      </c>
      <c r="E1255" s="11" t="s">
        <v>51</v>
      </c>
      <c r="F1255" s="10">
        <v>1200</v>
      </c>
      <c r="G1255" s="10">
        <v>0</v>
      </c>
      <c r="H1255" s="10">
        <f t="shared" si="19"/>
        <v>1200</v>
      </c>
      <c r="I1255" s="10"/>
      <c r="J1255" s="10"/>
      <c r="K1255" s="10"/>
      <c r="L1255" s="4" t="s">
        <v>52</v>
      </c>
      <c r="M1255" s="4">
        <v>1250</v>
      </c>
    </row>
    <row r="1256" spans="1:13" x14ac:dyDescent="0.25">
      <c r="A1256" s="4" t="s">
        <v>1184</v>
      </c>
      <c r="B1256" s="4" t="s">
        <v>270</v>
      </c>
      <c r="C1256" s="9" t="s">
        <v>50</v>
      </c>
      <c r="D1256" s="10"/>
      <c r="E1256" s="11" t="s">
        <v>51</v>
      </c>
      <c r="F1256" s="10"/>
      <c r="G1256" s="10">
        <v>0</v>
      </c>
      <c r="H1256" s="10">
        <f t="shared" si="19"/>
        <v>0</v>
      </c>
      <c r="I1256" s="10"/>
      <c r="J1256" s="10"/>
      <c r="K1256" s="10"/>
      <c r="L1256" s="4" t="s">
        <v>52</v>
      </c>
      <c r="M1256" s="4">
        <v>1251</v>
      </c>
    </row>
    <row r="1257" spans="1:13" x14ac:dyDescent="0.25">
      <c r="A1257" s="4" t="s">
        <v>1184</v>
      </c>
      <c r="B1257" s="4" t="s">
        <v>136</v>
      </c>
      <c r="C1257" s="9" t="s">
        <v>50</v>
      </c>
      <c r="D1257" s="10"/>
      <c r="E1257" s="11" t="s">
        <v>51</v>
      </c>
      <c r="F1257" s="10"/>
      <c r="G1257" s="10">
        <v>0</v>
      </c>
      <c r="H1257" s="10">
        <f t="shared" si="19"/>
        <v>0</v>
      </c>
      <c r="I1257" s="10"/>
      <c r="J1257" s="10"/>
      <c r="K1257" s="10"/>
      <c r="L1257" s="4" t="s">
        <v>52</v>
      </c>
      <c r="M1257" s="4">
        <v>1252</v>
      </c>
    </row>
    <row r="1258" spans="1:13" x14ac:dyDescent="0.25">
      <c r="A1258" s="4" t="s">
        <v>1184</v>
      </c>
      <c r="B1258" s="4" t="s">
        <v>82</v>
      </c>
      <c r="C1258" s="9" t="s">
        <v>50</v>
      </c>
      <c r="D1258" s="10"/>
      <c r="E1258" s="11" t="s">
        <v>51</v>
      </c>
      <c r="F1258" s="10"/>
      <c r="G1258" s="10">
        <v>0</v>
      </c>
      <c r="H1258" s="10">
        <f t="shared" si="19"/>
        <v>0</v>
      </c>
      <c r="I1258" s="10"/>
      <c r="J1258" s="10"/>
      <c r="K1258" s="10"/>
      <c r="L1258" s="4" t="s">
        <v>52</v>
      </c>
      <c r="M1258" s="4">
        <v>1253</v>
      </c>
    </row>
    <row r="1259" spans="1:13" x14ac:dyDescent="0.25">
      <c r="A1259" s="4" t="s">
        <v>1184</v>
      </c>
      <c r="B1259" s="4" t="s">
        <v>88</v>
      </c>
      <c r="C1259" s="9" t="s">
        <v>50</v>
      </c>
      <c r="D1259" s="10"/>
      <c r="E1259" s="11" t="s">
        <v>51</v>
      </c>
      <c r="F1259" s="10">
        <v>2695</v>
      </c>
      <c r="G1259" s="10">
        <v>0</v>
      </c>
      <c r="H1259" s="10">
        <f t="shared" si="19"/>
        <v>2695</v>
      </c>
      <c r="I1259" s="10"/>
      <c r="J1259" s="10"/>
      <c r="K1259" s="10"/>
      <c r="L1259" s="4" t="s">
        <v>52</v>
      </c>
      <c r="M1259" s="4">
        <v>1254</v>
      </c>
    </row>
    <row r="1260" spans="1:13" x14ac:dyDescent="0.25">
      <c r="A1260" s="4" t="s">
        <v>1184</v>
      </c>
      <c r="B1260" s="4" t="s">
        <v>106</v>
      </c>
      <c r="C1260" s="9" t="s">
        <v>50</v>
      </c>
      <c r="D1260" s="10"/>
      <c r="E1260" s="11" t="s">
        <v>51</v>
      </c>
      <c r="F1260" s="10"/>
      <c r="G1260" s="10">
        <v>0</v>
      </c>
      <c r="H1260" s="10">
        <f t="shared" si="19"/>
        <v>0</v>
      </c>
      <c r="I1260" s="10"/>
      <c r="J1260" s="10"/>
      <c r="K1260" s="10"/>
      <c r="L1260" s="4" t="s">
        <v>52</v>
      </c>
      <c r="M1260" s="4">
        <v>1255</v>
      </c>
    </row>
    <row r="1261" spans="1:13" x14ac:dyDescent="0.25">
      <c r="A1261" s="4" t="s">
        <v>1184</v>
      </c>
      <c r="B1261" s="4" t="s">
        <v>128</v>
      </c>
      <c r="C1261" s="9" t="s">
        <v>50</v>
      </c>
      <c r="D1261" s="10"/>
      <c r="E1261" s="11" t="s">
        <v>51</v>
      </c>
      <c r="F1261" s="10"/>
      <c r="G1261" s="10">
        <v>0</v>
      </c>
      <c r="H1261" s="10">
        <f t="shared" si="19"/>
        <v>0</v>
      </c>
      <c r="I1261" s="10"/>
      <c r="J1261" s="10"/>
      <c r="K1261" s="10"/>
      <c r="L1261" s="4" t="s">
        <v>52</v>
      </c>
      <c r="M1261" s="4">
        <v>1256</v>
      </c>
    </row>
    <row r="1262" spans="1:13" x14ac:dyDescent="0.25">
      <c r="A1262" s="4" t="s">
        <v>1184</v>
      </c>
      <c r="B1262" s="4" t="s">
        <v>1183</v>
      </c>
      <c r="C1262" s="9" t="s">
        <v>50</v>
      </c>
      <c r="D1262" s="10">
        <v>105</v>
      </c>
      <c r="E1262" s="11" t="s">
        <v>51</v>
      </c>
      <c r="F1262" s="10"/>
      <c r="G1262" s="10">
        <v>0</v>
      </c>
      <c r="H1262" s="10">
        <f t="shared" si="19"/>
        <v>0</v>
      </c>
      <c r="I1262" s="10"/>
      <c r="J1262" s="10"/>
      <c r="K1262" s="10"/>
      <c r="L1262" s="4" t="s">
        <v>52</v>
      </c>
      <c r="M1262" s="4">
        <v>1257</v>
      </c>
    </row>
    <row r="1263" spans="1:13" x14ac:dyDescent="0.25">
      <c r="A1263" s="4" t="s">
        <v>1185</v>
      </c>
      <c r="B1263" s="4" t="s">
        <v>1186</v>
      </c>
      <c r="C1263" s="9" t="s">
        <v>50</v>
      </c>
      <c r="D1263" s="10">
        <v>40</v>
      </c>
      <c r="E1263" s="11" t="s">
        <v>51</v>
      </c>
      <c r="F1263" s="10">
        <v>4200</v>
      </c>
      <c r="G1263" s="10">
        <v>0</v>
      </c>
      <c r="H1263" s="10">
        <f t="shared" si="19"/>
        <v>4200</v>
      </c>
      <c r="I1263" s="10"/>
      <c r="J1263" s="10"/>
      <c r="K1263" s="10"/>
      <c r="L1263" s="4" t="s">
        <v>52</v>
      </c>
      <c r="M1263" s="4">
        <v>1258</v>
      </c>
    </row>
    <row r="1264" spans="1:13" x14ac:dyDescent="0.25">
      <c r="A1264" s="4" t="s">
        <v>1185</v>
      </c>
      <c r="B1264" s="4" t="s">
        <v>1187</v>
      </c>
      <c r="C1264" s="9" t="s">
        <v>50</v>
      </c>
      <c r="D1264" s="10">
        <v>33</v>
      </c>
      <c r="E1264" s="11" t="s">
        <v>51</v>
      </c>
      <c r="F1264" s="10">
        <v>3350</v>
      </c>
      <c r="G1264" s="10">
        <v>0</v>
      </c>
      <c r="H1264" s="10">
        <f t="shared" si="19"/>
        <v>3350</v>
      </c>
      <c r="I1264" s="10"/>
      <c r="J1264" s="10"/>
      <c r="K1264" s="10"/>
      <c r="L1264" s="4" t="s">
        <v>52</v>
      </c>
      <c r="M1264" s="4">
        <v>1259</v>
      </c>
    </row>
    <row r="1265" spans="1:13" x14ac:dyDescent="0.25">
      <c r="A1265" s="4" t="s">
        <v>1185</v>
      </c>
      <c r="B1265" s="4" t="s">
        <v>1188</v>
      </c>
      <c r="C1265" s="9" t="s">
        <v>50</v>
      </c>
      <c r="D1265" s="10">
        <v>148</v>
      </c>
      <c r="E1265" s="11" t="s">
        <v>51</v>
      </c>
      <c r="F1265" s="10">
        <v>3350</v>
      </c>
      <c r="G1265" s="10">
        <v>0</v>
      </c>
      <c r="H1265" s="10">
        <f t="shared" si="19"/>
        <v>3350</v>
      </c>
      <c r="I1265" s="10"/>
      <c r="J1265" s="10"/>
      <c r="K1265" s="10"/>
      <c r="L1265" s="4" t="s">
        <v>52</v>
      </c>
      <c r="M1265" s="4">
        <v>1260</v>
      </c>
    </row>
    <row r="1266" spans="1:13" x14ac:dyDescent="0.25">
      <c r="A1266" s="4" t="s">
        <v>1189</v>
      </c>
      <c r="B1266" s="4" t="s">
        <v>1190</v>
      </c>
      <c r="C1266" s="4" t="s">
        <v>68</v>
      </c>
      <c r="D1266" s="10">
        <v>166</v>
      </c>
      <c r="E1266" s="11" t="s">
        <v>51</v>
      </c>
      <c r="F1266" s="10">
        <v>11050</v>
      </c>
      <c r="G1266" s="10">
        <v>0</v>
      </c>
      <c r="H1266" s="10">
        <f t="shared" si="19"/>
        <v>11050</v>
      </c>
      <c r="I1266" s="10"/>
      <c r="J1266" s="10"/>
      <c r="K1266" s="10"/>
      <c r="L1266" s="4" t="s">
        <v>69</v>
      </c>
      <c r="M1266" s="4">
        <v>1261</v>
      </c>
    </row>
    <row r="1267" spans="1:13" x14ac:dyDescent="0.25">
      <c r="A1267" s="4" t="s">
        <v>1191</v>
      </c>
      <c r="B1267" s="4" t="s">
        <v>82</v>
      </c>
      <c r="C1267" s="9" t="s">
        <v>50</v>
      </c>
      <c r="D1267" s="10">
        <v>573</v>
      </c>
      <c r="E1267" s="11" t="s">
        <v>51</v>
      </c>
      <c r="F1267" s="10">
        <v>3750</v>
      </c>
      <c r="G1267" s="10">
        <v>0</v>
      </c>
      <c r="H1267" s="10">
        <f t="shared" si="19"/>
        <v>3750</v>
      </c>
      <c r="I1267" s="10"/>
      <c r="J1267" s="10"/>
      <c r="K1267" s="10"/>
      <c r="L1267" s="4" t="s">
        <v>52</v>
      </c>
      <c r="M1267" s="4">
        <v>1262</v>
      </c>
    </row>
    <row r="1268" spans="1:13" x14ac:dyDescent="0.25">
      <c r="A1268" s="4" t="s">
        <v>1192</v>
      </c>
      <c r="B1268" s="4" t="s">
        <v>1193</v>
      </c>
      <c r="C1268" s="9" t="s">
        <v>50</v>
      </c>
      <c r="D1268" s="10">
        <v>79</v>
      </c>
      <c r="E1268" s="11" t="s">
        <v>51</v>
      </c>
      <c r="F1268" s="10">
        <v>7250</v>
      </c>
      <c r="G1268" s="10">
        <v>0</v>
      </c>
      <c r="H1268" s="10">
        <f t="shared" si="19"/>
        <v>7250</v>
      </c>
      <c r="I1268" s="10"/>
      <c r="J1268" s="10"/>
      <c r="K1268" s="10"/>
      <c r="L1268" s="4" t="s">
        <v>52</v>
      </c>
      <c r="M1268" s="4">
        <v>1263</v>
      </c>
    </row>
    <row r="1269" spans="1:13" x14ac:dyDescent="0.25">
      <c r="A1269" s="4" t="s">
        <v>1192</v>
      </c>
      <c r="B1269" s="4" t="s">
        <v>1194</v>
      </c>
      <c r="C1269" s="9" t="s">
        <v>50</v>
      </c>
      <c r="D1269" s="10">
        <v>85</v>
      </c>
      <c r="E1269" s="11" t="s">
        <v>51</v>
      </c>
      <c r="F1269" s="10">
        <v>8900</v>
      </c>
      <c r="G1269" s="10">
        <v>0</v>
      </c>
      <c r="H1269" s="10">
        <f t="shared" si="19"/>
        <v>8900</v>
      </c>
      <c r="I1269" s="10"/>
      <c r="J1269" s="10"/>
      <c r="K1269" s="10"/>
      <c r="L1269" s="4" t="s">
        <v>52</v>
      </c>
      <c r="M1269" s="4">
        <v>1264</v>
      </c>
    </row>
    <row r="1270" spans="1:13" x14ac:dyDescent="0.25">
      <c r="A1270" s="4" t="s">
        <v>1192</v>
      </c>
      <c r="B1270" s="4" t="s">
        <v>1195</v>
      </c>
      <c r="C1270" s="9" t="s">
        <v>50</v>
      </c>
      <c r="D1270" s="10">
        <v>50</v>
      </c>
      <c r="E1270" s="11" t="s">
        <v>51</v>
      </c>
      <c r="F1270" s="10">
        <v>5250</v>
      </c>
      <c r="G1270" s="10">
        <v>0</v>
      </c>
      <c r="H1270" s="10">
        <f t="shared" si="19"/>
        <v>5250</v>
      </c>
      <c r="I1270" s="10"/>
      <c r="J1270" s="10"/>
      <c r="K1270" s="10"/>
      <c r="L1270" s="4" t="s">
        <v>52</v>
      </c>
      <c r="M1270" s="4">
        <v>1265</v>
      </c>
    </row>
    <row r="1271" spans="1:13" x14ac:dyDescent="0.25">
      <c r="A1271" s="4" t="s">
        <v>1192</v>
      </c>
      <c r="B1271" s="4" t="s">
        <v>1196</v>
      </c>
      <c r="C1271" s="9" t="s">
        <v>50</v>
      </c>
      <c r="D1271" s="10">
        <v>32</v>
      </c>
      <c r="E1271" s="11" t="s">
        <v>51</v>
      </c>
      <c r="F1271" s="10">
        <v>3350</v>
      </c>
      <c r="G1271" s="10">
        <v>0</v>
      </c>
      <c r="H1271" s="10">
        <f t="shared" si="19"/>
        <v>3350</v>
      </c>
      <c r="I1271" s="10"/>
      <c r="J1271" s="10"/>
      <c r="K1271" s="10"/>
      <c r="L1271" s="4" t="s">
        <v>52</v>
      </c>
      <c r="M1271" s="4">
        <v>1266</v>
      </c>
    </row>
    <row r="1272" spans="1:13" x14ac:dyDescent="0.25">
      <c r="A1272" s="4" t="s">
        <v>1192</v>
      </c>
      <c r="B1272" s="4" t="s">
        <v>1197</v>
      </c>
      <c r="C1272" s="9" t="s">
        <v>50</v>
      </c>
      <c r="D1272" s="10">
        <v>40</v>
      </c>
      <c r="E1272" s="11" t="s">
        <v>51</v>
      </c>
      <c r="F1272" s="10">
        <v>4200</v>
      </c>
      <c r="G1272" s="10">
        <v>0</v>
      </c>
      <c r="H1272" s="10">
        <f t="shared" si="19"/>
        <v>4200</v>
      </c>
      <c r="I1272" s="10"/>
      <c r="J1272" s="10"/>
      <c r="K1272" s="10"/>
      <c r="L1272" s="4" t="s">
        <v>52</v>
      </c>
      <c r="M1272" s="4">
        <v>1267</v>
      </c>
    </row>
    <row r="1273" spans="1:13" x14ac:dyDescent="0.25">
      <c r="A1273" s="4" t="s">
        <v>1192</v>
      </c>
      <c r="B1273" s="4" t="s">
        <v>1198</v>
      </c>
      <c r="C1273" s="9" t="s">
        <v>50</v>
      </c>
      <c r="D1273" s="10">
        <v>30</v>
      </c>
      <c r="E1273" s="11" t="s">
        <v>51</v>
      </c>
      <c r="F1273" s="10">
        <v>3150</v>
      </c>
      <c r="G1273" s="10">
        <v>0</v>
      </c>
      <c r="H1273" s="10">
        <f t="shared" si="19"/>
        <v>3150</v>
      </c>
      <c r="I1273" s="10"/>
      <c r="J1273" s="10"/>
      <c r="K1273" s="10"/>
      <c r="L1273" s="4" t="s">
        <v>52</v>
      </c>
      <c r="M1273" s="4">
        <v>1268</v>
      </c>
    </row>
    <row r="1274" spans="1:13" x14ac:dyDescent="0.25">
      <c r="A1274" s="4" t="s">
        <v>1192</v>
      </c>
      <c r="B1274" s="4" t="s">
        <v>1199</v>
      </c>
      <c r="C1274" s="9" t="s">
        <v>50</v>
      </c>
      <c r="D1274" s="10">
        <v>28</v>
      </c>
      <c r="E1274" s="11" t="s">
        <v>51</v>
      </c>
      <c r="F1274" s="10">
        <v>2950</v>
      </c>
      <c r="G1274" s="10">
        <v>0</v>
      </c>
      <c r="H1274" s="10">
        <f t="shared" si="19"/>
        <v>2950</v>
      </c>
      <c r="I1274" s="10"/>
      <c r="J1274" s="10"/>
      <c r="K1274" s="10"/>
      <c r="L1274" s="4" t="s">
        <v>52</v>
      </c>
      <c r="M1274" s="4">
        <v>1269</v>
      </c>
    </row>
    <row r="1275" spans="1:13" x14ac:dyDescent="0.25">
      <c r="A1275" s="4" t="s">
        <v>1192</v>
      </c>
      <c r="B1275" s="4" t="s">
        <v>1200</v>
      </c>
      <c r="C1275" s="9" t="s">
        <v>50</v>
      </c>
      <c r="D1275" s="10">
        <v>25</v>
      </c>
      <c r="E1275" s="11" t="s">
        <v>51</v>
      </c>
      <c r="F1275" s="10">
        <v>2375</v>
      </c>
      <c r="G1275" s="10">
        <v>0</v>
      </c>
      <c r="H1275" s="10">
        <f t="shared" si="19"/>
        <v>2375</v>
      </c>
      <c r="I1275" s="10"/>
      <c r="J1275" s="10"/>
      <c r="K1275" s="10"/>
      <c r="L1275" s="4" t="s">
        <v>52</v>
      </c>
      <c r="M1275" s="4">
        <v>1270</v>
      </c>
    </row>
    <row r="1276" spans="1:13" x14ac:dyDescent="0.25">
      <c r="A1276" s="4" t="s">
        <v>1192</v>
      </c>
      <c r="B1276" s="4" t="s">
        <v>1201</v>
      </c>
      <c r="C1276" s="9" t="s">
        <v>50</v>
      </c>
      <c r="D1276" s="10">
        <v>40</v>
      </c>
      <c r="E1276" s="11" t="s">
        <v>51</v>
      </c>
      <c r="F1276" s="10">
        <v>3800</v>
      </c>
      <c r="G1276" s="10">
        <v>0</v>
      </c>
      <c r="H1276" s="10">
        <f t="shared" si="19"/>
        <v>3800</v>
      </c>
      <c r="I1276" s="10"/>
      <c r="J1276" s="10"/>
      <c r="K1276" s="10"/>
      <c r="L1276" s="4" t="s">
        <v>52</v>
      </c>
      <c r="M1276" s="4">
        <v>1271</v>
      </c>
    </row>
    <row r="1277" spans="1:13" x14ac:dyDescent="0.25">
      <c r="A1277" s="4" t="s">
        <v>1192</v>
      </c>
      <c r="B1277" s="4" t="s">
        <v>1202</v>
      </c>
      <c r="C1277" s="9" t="s">
        <v>50</v>
      </c>
      <c r="D1277" s="10">
        <v>154</v>
      </c>
      <c r="E1277" s="11" t="s">
        <v>51</v>
      </c>
      <c r="F1277" s="10">
        <v>12000</v>
      </c>
      <c r="G1277" s="10">
        <v>0</v>
      </c>
      <c r="H1277" s="10">
        <f t="shared" si="19"/>
        <v>12000</v>
      </c>
      <c r="I1277" s="10"/>
      <c r="J1277" s="10"/>
      <c r="K1277" s="10"/>
      <c r="L1277" s="4" t="s">
        <v>52</v>
      </c>
      <c r="M1277" s="4">
        <v>1272</v>
      </c>
    </row>
    <row r="1278" spans="1:13" x14ac:dyDescent="0.25">
      <c r="A1278" s="4" t="s">
        <v>1203</v>
      </c>
      <c r="B1278" s="4" t="s">
        <v>1204</v>
      </c>
      <c r="C1278" s="4" t="s">
        <v>68</v>
      </c>
      <c r="D1278" s="10">
        <v>90</v>
      </c>
      <c r="E1278" s="11" t="s">
        <v>51</v>
      </c>
      <c r="F1278" s="10">
        <v>4700</v>
      </c>
      <c r="G1278" s="10">
        <v>0</v>
      </c>
      <c r="H1278" s="10">
        <f t="shared" si="19"/>
        <v>4700</v>
      </c>
      <c r="I1278" s="10"/>
      <c r="J1278" s="10"/>
      <c r="K1278" s="10"/>
      <c r="L1278" s="4" t="s">
        <v>69</v>
      </c>
      <c r="M1278" s="4">
        <v>1273</v>
      </c>
    </row>
    <row r="1279" spans="1:13" x14ac:dyDescent="0.25">
      <c r="A1279" s="4" t="s">
        <v>1205</v>
      </c>
      <c r="B1279" s="4" t="s">
        <v>82</v>
      </c>
      <c r="C1279" s="9" t="s">
        <v>50</v>
      </c>
      <c r="D1279" s="10">
        <v>747</v>
      </c>
      <c r="E1279" s="11" t="s">
        <v>51</v>
      </c>
      <c r="F1279" s="10">
        <v>3750</v>
      </c>
      <c r="G1279" s="10">
        <v>0</v>
      </c>
      <c r="H1279" s="10">
        <f t="shared" si="19"/>
        <v>3750</v>
      </c>
      <c r="I1279" s="10"/>
      <c r="J1279" s="10"/>
      <c r="K1279" s="10"/>
      <c r="L1279" s="4" t="s">
        <v>52</v>
      </c>
      <c r="M1279" s="4">
        <v>1274</v>
      </c>
    </row>
    <row r="1280" spans="1:13" x14ac:dyDescent="0.25">
      <c r="A1280" s="4" t="s">
        <v>1206</v>
      </c>
      <c r="B1280" s="4" t="s">
        <v>1207</v>
      </c>
      <c r="C1280" s="9" t="s">
        <v>50</v>
      </c>
      <c r="D1280" s="10">
        <v>101</v>
      </c>
      <c r="E1280" s="11" t="s">
        <v>51</v>
      </c>
      <c r="F1280" s="10">
        <v>9250</v>
      </c>
      <c r="G1280" s="10">
        <v>0</v>
      </c>
      <c r="H1280" s="10">
        <f t="shared" si="19"/>
        <v>9250</v>
      </c>
      <c r="I1280" s="10"/>
      <c r="J1280" s="10"/>
      <c r="K1280" s="10"/>
      <c r="L1280" s="4" t="s">
        <v>52</v>
      </c>
      <c r="M1280" s="4">
        <v>1275</v>
      </c>
    </row>
    <row r="1281" spans="1:13" x14ac:dyDescent="0.25">
      <c r="A1281" s="4" t="s">
        <v>1206</v>
      </c>
      <c r="B1281" s="4" t="s">
        <v>1194</v>
      </c>
      <c r="C1281" s="9" t="s">
        <v>50</v>
      </c>
      <c r="D1281" s="10">
        <v>125</v>
      </c>
      <c r="E1281" s="11" t="s">
        <v>51</v>
      </c>
      <c r="F1281" s="10">
        <v>13100</v>
      </c>
      <c r="G1281" s="10">
        <v>0</v>
      </c>
      <c r="H1281" s="10">
        <f t="shared" si="19"/>
        <v>13100</v>
      </c>
      <c r="I1281" s="10"/>
      <c r="J1281" s="10"/>
      <c r="K1281" s="10"/>
      <c r="L1281" s="4" t="s">
        <v>52</v>
      </c>
      <c r="M1281" s="4">
        <v>1276</v>
      </c>
    </row>
    <row r="1282" spans="1:13" x14ac:dyDescent="0.25">
      <c r="A1282" s="4" t="s">
        <v>1206</v>
      </c>
      <c r="B1282" s="4" t="s">
        <v>1208</v>
      </c>
      <c r="C1282" s="9" t="s">
        <v>50</v>
      </c>
      <c r="D1282" s="10">
        <v>80</v>
      </c>
      <c r="E1282" s="11" t="s">
        <v>51</v>
      </c>
      <c r="F1282" s="10">
        <v>8400</v>
      </c>
      <c r="G1282" s="10">
        <v>0</v>
      </c>
      <c r="H1282" s="10">
        <f t="shared" si="19"/>
        <v>8400</v>
      </c>
      <c r="I1282" s="10"/>
      <c r="J1282" s="10"/>
      <c r="K1282" s="10"/>
      <c r="L1282" s="4" t="s">
        <v>52</v>
      </c>
      <c r="M1282" s="4">
        <v>1277</v>
      </c>
    </row>
    <row r="1283" spans="1:13" x14ac:dyDescent="0.25">
      <c r="A1283" s="4" t="s">
        <v>1206</v>
      </c>
      <c r="B1283" s="4" t="s">
        <v>1196</v>
      </c>
      <c r="C1283" s="9" t="s">
        <v>50</v>
      </c>
      <c r="D1283" s="10">
        <v>48</v>
      </c>
      <c r="E1283" s="11" t="s">
        <v>51</v>
      </c>
      <c r="F1283" s="10">
        <v>5050</v>
      </c>
      <c r="G1283" s="10">
        <v>0</v>
      </c>
      <c r="H1283" s="10">
        <f t="shared" si="19"/>
        <v>5050</v>
      </c>
      <c r="I1283" s="10"/>
      <c r="J1283" s="10"/>
      <c r="K1283" s="10"/>
      <c r="L1283" s="4" t="s">
        <v>52</v>
      </c>
      <c r="M1283" s="4">
        <v>1278</v>
      </c>
    </row>
    <row r="1284" spans="1:13" x14ac:dyDescent="0.25">
      <c r="A1284" s="4" t="s">
        <v>1206</v>
      </c>
      <c r="B1284" s="4" t="s">
        <v>1197</v>
      </c>
      <c r="C1284" s="9" t="s">
        <v>50</v>
      </c>
      <c r="D1284" s="10">
        <v>50</v>
      </c>
      <c r="E1284" s="11" t="s">
        <v>51</v>
      </c>
      <c r="F1284" s="10">
        <v>5250</v>
      </c>
      <c r="G1284" s="10">
        <v>0</v>
      </c>
      <c r="H1284" s="10">
        <f t="shared" si="19"/>
        <v>5250</v>
      </c>
      <c r="I1284" s="10"/>
      <c r="J1284" s="10"/>
      <c r="K1284" s="10"/>
      <c r="L1284" s="4" t="s">
        <v>52</v>
      </c>
      <c r="M1284" s="4">
        <v>1279</v>
      </c>
    </row>
    <row r="1285" spans="1:13" x14ac:dyDescent="0.25">
      <c r="A1285" s="4" t="s">
        <v>1206</v>
      </c>
      <c r="B1285" s="4" t="s">
        <v>1198</v>
      </c>
      <c r="C1285" s="9" t="s">
        <v>50</v>
      </c>
      <c r="D1285" s="10">
        <v>50</v>
      </c>
      <c r="E1285" s="11" t="s">
        <v>51</v>
      </c>
      <c r="F1285" s="10">
        <v>5250</v>
      </c>
      <c r="G1285" s="10">
        <v>0</v>
      </c>
      <c r="H1285" s="10">
        <f t="shared" si="19"/>
        <v>5250</v>
      </c>
      <c r="I1285" s="10"/>
      <c r="J1285" s="10"/>
      <c r="K1285" s="10"/>
      <c r="L1285" s="4" t="s">
        <v>52</v>
      </c>
      <c r="M1285" s="4">
        <v>1280</v>
      </c>
    </row>
    <row r="1286" spans="1:13" x14ac:dyDescent="0.25">
      <c r="A1286" s="4" t="s">
        <v>1206</v>
      </c>
      <c r="B1286" s="4" t="s">
        <v>1209</v>
      </c>
      <c r="C1286" s="9" t="s">
        <v>50</v>
      </c>
      <c r="D1286" s="10">
        <v>28</v>
      </c>
      <c r="E1286" s="11" t="s">
        <v>51</v>
      </c>
      <c r="F1286" s="10">
        <v>2950</v>
      </c>
      <c r="G1286" s="10">
        <v>0</v>
      </c>
      <c r="H1286" s="10">
        <f t="shared" ref="H1286:H1349" si="20">F1286-G1286</f>
        <v>2950</v>
      </c>
      <c r="I1286" s="10"/>
      <c r="J1286" s="10"/>
      <c r="K1286" s="10"/>
      <c r="L1286" s="4" t="s">
        <v>52</v>
      </c>
      <c r="M1286" s="4">
        <v>1281</v>
      </c>
    </row>
    <row r="1287" spans="1:13" x14ac:dyDescent="0.25">
      <c r="A1287" s="4" t="s">
        <v>1206</v>
      </c>
      <c r="B1287" s="4" t="s">
        <v>1200</v>
      </c>
      <c r="C1287" s="9" t="s">
        <v>50</v>
      </c>
      <c r="D1287" s="10">
        <v>25</v>
      </c>
      <c r="E1287" s="11" t="s">
        <v>51</v>
      </c>
      <c r="F1287" s="10">
        <v>2375</v>
      </c>
      <c r="G1287" s="10">
        <v>0</v>
      </c>
      <c r="H1287" s="10">
        <f t="shared" si="20"/>
        <v>2375</v>
      </c>
      <c r="I1287" s="10"/>
      <c r="J1287" s="10"/>
      <c r="K1287" s="10"/>
      <c r="L1287" s="4" t="s">
        <v>52</v>
      </c>
      <c r="M1287" s="4">
        <v>1282</v>
      </c>
    </row>
    <row r="1288" spans="1:13" x14ac:dyDescent="0.25">
      <c r="A1288" s="4" t="s">
        <v>1206</v>
      </c>
      <c r="B1288" s="4" t="s">
        <v>1201</v>
      </c>
      <c r="C1288" s="9" t="s">
        <v>50</v>
      </c>
      <c r="D1288" s="10">
        <v>40</v>
      </c>
      <c r="E1288" s="11" t="s">
        <v>51</v>
      </c>
      <c r="F1288" s="10">
        <v>3800</v>
      </c>
      <c r="G1288" s="10">
        <v>0</v>
      </c>
      <c r="H1288" s="10">
        <f t="shared" si="20"/>
        <v>3800</v>
      </c>
      <c r="I1288" s="10"/>
      <c r="J1288" s="10"/>
      <c r="K1288" s="10"/>
      <c r="L1288" s="4" t="s">
        <v>52</v>
      </c>
      <c r="M1288" s="4">
        <v>1283</v>
      </c>
    </row>
    <row r="1289" spans="1:13" x14ac:dyDescent="0.25">
      <c r="A1289" s="4" t="s">
        <v>1206</v>
      </c>
      <c r="B1289" s="4" t="s">
        <v>1202</v>
      </c>
      <c r="C1289" s="9" t="s">
        <v>50</v>
      </c>
      <c r="D1289" s="10">
        <v>150</v>
      </c>
      <c r="E1289" s="11" t="s">
        <v>51</v>
      </c>
      <c r="F1289" s="10">
        <v>15900</v>
      </c>
      <c r="G1289" s="10">
        <v>0</v>
      </c>
      <c r="H1289" s="10">
        <f t="shared" si="20"/>
        <v>15900</v>
      </c>
      <c r="I1289" s="10"/>
      <c r="J1289" s="10"/>
      <c r="K1289" s="10"/>
      <c r="L1289" s="4" t="s">
        <v>52</v>
      </c>
      <c r="M1289" s="4">
        <v>1284</v>
      </c>
    </row>
    <row r="1290" spans="1:13" x14ac:dyDescent="0.25">
      <c r="A1290" s="4" t="s">
        <v>1210</v>
      </c>
      <c r="B1290" s="4" t="s">
        <v>1207</v>
      </c>
      <c r="C1290" s="9" t="s">
        <v>50</v>
      </c>
      <c r="D1290" s="10"/>
      <c r="E1290" s="11" t="s">
        <v>51</v>
      </c>
      <c r="F1290" s="10"/>
      <c r="G1290" s="10">
        <v>0</v>
      </c>
      <c r="H1290" s="10">
        <f t="shared" si="20"/>
        <v>0</v>
      </c>
      <c r="I1290" s="10"/>
      <c r="J1290" s="10"/>
      <c r="K1290" s="10"/>
      <c r="L1290" s="4" t="s">
        <v>52</v>
      </c>
      <c r="M1290" s="4">
        <v>1285</v>
      </c>
    </row>
    <row r="1291" spans="1:13" x14ac:dyDescent="0.25">
      <c r="A1291" s="4" t="s">
        <v>1210</v>
      </c>
      <c r="B1291" s="4" t="s">
        <v>1194</v>
      </c>
      <c r="C1291" s="9" t="s">
        <v>50</v>
      </c>
      <c r="D1291" s="10"/>
      <c r="E1291" s="11" t="s">
        <v>51</v>
      </c>
      <c r="F1291" s="10"/>
      <c r="G1291" s="10">
        <v>0</v>
      </c>
      <c r="H1291" s="10">
        <f t="shared" si="20"/>
        <v>0</v>
      </c>
      <c r="I1291" s="10"/>
      <c r="J1291" s="10"/>
      <c r="K1291" s="10"/>
      <c r="L1291" s="4" t="s">
        <v>52</v>
      </c>
      <c r="M1291" s="4">
        <v>1286</v>
      </c>
    </row>
    <row r="1292" spans="1:13" x14ac:dyDescent="0.25">
      <c r="A1292" s="4" t="s">
        <v>1210</v>
      </c>
      <c r="B1292" s="4" t="s">
        <v>1208</v>
      </c>
      <c r="C1292" s="9" t="s">
        <v>50</v>
      </c>
      <c r="D1292" s="10"/>
      <c r="E1292" s="11" t="s">
        <v>51</v>
      </c>
      <c r="F1292" s="10"/>
      <c r="G1292" s="10">
        <v>0</v>
      </c>
      <c r="H1292" s="10">
        <f t="shared" si="20"/>
        <v>0</v>
      </c>
      <c r="I1292" s="10"/>
      <c r="J1292" s="10"/>
      <c r="K1292" s="10"/>
      <c r="L1292" s="4" t="s">
        <v>52</v>
      </c>
      <c r="M1292" s="4">
        <v>1287</v>
      </c>
    </row>
    <row r="1293" spans="1:13" x14ac:dyDescent="0.25">
      <c r="A1293" s="4" t="s">
        <v>1210</v>
      </c>
      <c r="B1293" s="4" t="s">
        <v>1196</v>
      </c>
      <c r="C1293" s="9" t="s">
        <v>50</v>
      </c>
      <c r="D1293" s="10"/>
      <c r="E1293" s="11" t="s">
        <v>51</v>
      </c>
      <c r="F1293" s="10"/>
      <c r="G1293" s="10">
        <v>0</v>
      </c>
      <c r="H1293" s="10">
        <f t="shared" si="20"/>
        <v>0</v>
      </c>
      <c r="I1293" s="10"/>
      <c r="J1293" s="10"/>
      <c r="K1293" s="10"/>
      <c r="L1293" s="4" t="s">
        <v>52</v>
      </c>
      <c r="M1293" s="4">
        <v>1288</v>
      </c>
    </row>
    <row r="1294" spans="1:13" x14ac:dyDescent="0.25">
      <c r="A1294" s="4" t="s">
        <v>1210</v>
      </c>
      <c r="B1294" s="4" t="s">
        <v>1197</v>
      </c>
      <c r="C1294" s="9" t="s">
        <v>50</v>
      </c>
      <c r="D1294" s="10"/>
      <c r="E1294" s="11" t="s">
        <v>51</v>
      </c>
      <c r="F1294" s="10"/>
      <c r="G1294" s="10">
        <v>0</v>
      </c>
      <c r="H1294" s="10">
        <f t="shared" si="20"/>
        <v>0</v>
      </c>
      <c r="I1294" s="10"/>
      <c r="J1294" s="10"/>
      <c r="K1294" s="10"/>
      <c r="L1294" s="4" t="s">
        <v>52</v>
      </c>
      <c r="M1294" s="4">
        <v>1289</v>
      </c>
    </row>
    <row r="1295" spans="1:13" x14ac:dyDescent="0.25">
      <c r="A1295" s="4" t="s">
        <v>1210</v>
      </c>
      <c r="B1295" s="4" t="s">
        <v>1198</v>
      </c>
      <c r="C1295" s="9" t="s">
        <v>50</v>
      </c>
      <c r="D1295" s="10"/>
      <c r="E1295" s="11" t="s">
        <v>51</v>
      </c>
      <c r="F1295" s="10"/>
      <c r="G1295" s="10">
        <v>0</v>
      </c>
      <c r="H1295" s="10">
        <f t="shared" si="20"/>
        <v>0</v>
      </c>
      <c r="I1295" s="10"/>
      <c r="J1295" s="10"/>
      <c r="K1295" s="10"/>
      <c r="L1295" s="4" t="s">
        <v>52</v>
      </c>
      <c r="M1295" s="4">
        <v>1290</v>
      </c>
    </row>
    <row r="1296" spans="1:13" x14ac:dyDescent="0.25">
      <c r="A1296" s="4" t="s">
        <v>1210</v>
      </c>
      <c r="B1296" s="4" t="s">
        <v>1209</v>
      </c>
      <c r="C1296" s="9" t="s">
        <v>50</v>
      </c>
      <c r="D1296" s="10"/>
      <c r="E1296" s="11" t="s">
        <v>51</v>
      </c>
      <c r="F1296" s="10"/>
      <c r="G1296" s="10">
        <v>0</v>
      </c>
      <c r="H1296" s="10">
        <f t="shared" si="20"/>
        <v>0</v>
      </c>
      <c r="I1296" s="10"/>
      <c r="J1296" s="10"/>
      <c r="K1296" s="10"/>
      <c r="L1296" s="4" t="s">
        <v>52</v>
      </c>
      <c r="M1296" s="4">
        <v>1291</v>
      </c>
    </row>
    <row r="1297" spans="1:13" x14ac:dyDescent="0.25">
      <c r="A1297" s="4" t="s">
        <v>1210</v>
      </c>
      <c r="B1297" s="4" t="s">
        <v>1200</v>
      </c>
      <c r="C1297" s="9" t="s">
        <v>50</v>
      </c>
      <c r="D1297" s="10"/>
      <c r="E1297" s="11" t="s">
        <v>51</v>
      </c>
      <c r="F1297" s="10"/>
      <c r="G1297" s="10">
        <v>0</v>
      </c>
      <c r="H1297" s="10">
        <f t="shared" si="20"/>
        <v>0</v>
      </c>
      <c r="I1297" s="10"/>
      <c r="J1297" s="10"/>
      <c r="K1297" s="10"/>
      <c r="L1297" s="4" t="s">
        <v>52</v>
      </c>
      <c r="M1297" s="4">
        <v>1292</v>
      </c>
    </row>
    <row r="1298" spans="1:13" x14ac:dyDescent="0.25">
      <c r="A1298" s="4" t="s">
        <v>1210</v>
      </c>
      <c r="B1298" s="4" t="s">
        <v>1201</v>
      </c>
      <c r="C1298" s="9" t="s">
        <v>50</v>
      </c>
      <c r="D1298" s="10"/>
      <c r="E1298" s="11" t="s">
        <v>51</v>
      </c>
      <c r="F1298" s="10"/>
      <c r="G1298" s="10">
        <v>0</v>
      </c>
      <c r="H1298" s="10">
        <f t="shared" si="20"/>
        <v>0</v>
      </c>
      <c r="I1298" s="10"/>
      <c r="J1298" s="10"/>
      <c r="K1298" s="10"/>
      <c r="L1298" s="4" t="s">
        <v>52</v>
      </c>
      <c r="M1298" s="4">
        <v>1293</v>
      </c>
    </row>
    <row r="1299" spans="1:13" x14ac:dyDescent="0.25">
      <c r="A1299" s="4" t="s">
        <v>1210</v>
      </c>
      <c r="B1299" s="4" t="s">
        <v>1202</v>
      </c>
      <c r="C1299" s="9" t="s">
        <v>50</v>
      </c>
      <c r="D1299" s="10">
        <v>56</v>
      </c>
      <c r="E1299" s="11" t="s">
        <v>51</v>
      </c>
      <c r="F1299" s="10"/>
      <c r="G1299" s="10">
        <v>0</v>
      </c>
      <c r="H1299" s="10">
        <f t="shared" si="20"/>
        <v>0</v>
      </c>
      <c r="I1299" s="10"/>
      <c r="J1299" s="10"/>
      <c r="K1299" s="10"/>
      <c r="L1299" s="4" t="s">
        <v>52</v>
      </c>
      <c r="M1299" s="4">
        <v>1294</v>
      </c>
    </row>
    <row r="1300" spans="1:13" x14ac:dyDescent="0.25">
      <c r="A1300" s="4" t="s">
        <v>1211</v>
      </c>
      <c r="B1300" s="4" t="s">
        <v>1212</v>
      </c>
      <c r="C1300" s="4" t="s">
        <v>65</v>
      </c>
      <c r="D1300" s="10">
        <v>16</v>
      </c>
      <c r="E1300" s="12" t="s">
        <v>66</v>
      </c>
      <c r="F1300" s="10">
        <v>1900</v>
      </c>
      <c r="G1300" s="10">
        <v>0</v>
      </c>
      <c r="H1300" s="10">
        <f t="shared" si="20"/>
        <v>1900</v>
      </c>
      <c r="I1300" s="10">
        <v>118.75</v>
      </c>
      <c r="J1300" s="10">
        <v>118.75</v>
      </c>
      <c r="K1300" s="10">
        <v>118.75</v>
      </c>
      <c r="L1300" s="4"/>
      <c r="M1300" s="4">
        <v>1295</v>
      </c>
    </row>
    <row r="1301" spans="1:13" x14ac:dyDescent="0.25">
      <c r="A1301" s="4" t="s">
        <v>1211</v>
      </c>
      <c r="B1301" s="4" t="s">
        <v>1213</v>
      </c>
      <c r="C1301" s="4" t="s">
        <v>68</v>
      </c>
      <c r="D1301" s="10">
        <v>120</v>
      </c>
      <c r="E1301" s="11" t="s">
        <v>51</v>
      </c>
      <c r="F1301" s="10">
        <v>4700</v>
      </c>
      <c r="G1301" s="10">
        <v>0</v>
      </c>
      <c r="H1301" s="10">
        <f t="shared" si="20"/>
        <v>4700</v>
      </c>
      <c r="I1301" s="10"/>
      <c r="J1301" s="10"/>
      <c r="K1301" s="10"/>
      <c r="L1301" s="4" t="s">
        <v>69</v>
      </c>
      <c r="M1301" s="4">
        <v>1296</v>
      </c>
    </row>
    <row r="1302" spans="1:13" x14ac:dyDescent="0.25">
      <c r="A1302" s="4" t="s">
        <v>1214</v>
      </c>
      <c r="B1302" s="4" t="s">
        <v>1215</v>
      </c>
      <c r="C1302" s="4" t="s">
        <v>65</v>
      </c>
      <c r="D1302" s="10">
        <v>48</v>
      </c>
      <c r="E1302" s="12" t="s">
        <v>66</v>
      </c>
      <c r="F1302" s="10">
        <v>5800</v>
      </c>
      <c r="G1302" s="10">
        <v>0</v>
      </c>
      <c r="H1302" s="10">
        <f t="shared" si="20"/>
        <v>5800</v>
      </c>
      <c r="I1302" s="10">
        <v>120.8333333333333</v>
      </c>
      <c r="J1302" s="10">
        <v>120.8333333333333</v>
      </c>
      <c r="K1302" s="10">
        <v>120.8333333333333</v>
      </c>
      <c r="L1302" s="4"/>
      <c r="M1302" s="4">
        <v>1297</v>
      </c>
    </row>
    <row r="1303" spans="1:13" x14ac:dyDescent="0.25">
      <c r="A1303" s="4" t="s">
        <v>1214</v>
      </c>
      <c r="B1303" s="4" t="s">
        <v>1216</v>
      </c>
      <c r="C1303" s="4" t="s">
        <v>65</v>
      </c>
      <c r="D1303" s="10">
        <v>358</v>
      </c>
      <c r="E1303" s="12" t="s">
        <v>66</v>
      </c>
      <c r="F1303" s="10">
        <v>3900</v>
      </c>
      <c r="G1303" s="10">
        <v>0</v>
      </c>
      <c r="H1303" s="10">
        <f t="shared" si="20"/>
        <v>3900</v>
      </c>
      <c r="I1303" s="10">
        <v>121.875</v>
      </c>
      <c r="J1303" s="10">
        <v>121.875</v>
      </c>
      <c r="K1303" s="10">
        <v>121.875</v>
      </c>
      <c r="L1303" s="4"/>
      <c r="M1303" s="4">
        <v>1298</v>
      </c>
    </row>
    <row r="1304" spans="1:13" x14ac:dyDescent="0.25">
      <c r="A1304" s="4" t="s">
        <v>1217</v>
      </c>
      <c r="B1304" s="4" t="s">
        <v>1218</v>
      </c>
      <c r="C1304" s="9" t="s">
        <v>50</v>
      </c>
      <c r="D1304" s="10"/>
      <c r="E1304" s="11" t="s">
        <v>51</v>
      </c>
      <c r="F1304" s="10"/>
      <c r="G1304" s="10">
        <v>0</v>
      </c>
      <c r="H1304" s="10">
        <f t="shared" si="20"/>
        <v>0</v>
      </c>
      <c r="I1304" s="10"/>
      <c r="J1304" s="10"/>
      <c r="K1304" s="10"/>
      <c r="L1304" s="4" t="s">
        <v>52</v>
      </c>
      <c r="M1304" s="4">
        <v>1299</v>
      </c>
    </row>
    <row r="1305" spans="1:13" x14ac:dyDescent="0.25">
      <c r="A1305" s="4" t="s">
        <v>1217</v>
      </c>
      <c r="B1305" s="4" t="s">
        <v>1219</v>
      </c>
      <c r="C1305" s="9" t="s">
        <v>50</v>
      </c>
      <c r="D1305" s="10">
        <v>163</v>
      </c>
      <c r="E1305" s="11" t="s">
        <v>51</v>
      </c>
      <c r="F1305" s="10">
        <v>13750</v>
      </c>
      <c r="G1305" s="10">
        <v>0</v>
      </c>
      <c r="H1305" s="10">
        <f t="shared" si="20"/>
        <v>13750</v>
      </c>
      <c r="I1305" s="10"/>
      <c r="J1305" s="10"/>
      <c r="K1305" s="10"/>
      <c r="L1305" s="4" t="s">
        <v>52</v>
      </c>
      <c r="M1305" s="4">
        <v>1300</v>
      </c>
    </row>
    <row r="1306" spans="1:13" x14ac:dyDescent="0.25">
      <c r="A1306" s="4" t="s">
        <v>1217</v>
      </c>
      <c r="B1306" s="4" t="s">
        <v>1220</v>
      </c>
      <c r="C1306" s="9" t="s">
        <v>50</v>
      </c>
      <c r="D1306" s="10">
        <v>703</v>
      </c>
      <c r="E1306" s="11" t="s">
        <v>51</v>
      </c>
      <c r="F1306" s="10">
        <v>13750</v>
      </c>
      <c r="G1306" s="10">
        <v>0</v>
      </c>
      <c r="H1306" s="10">
        <f t="shared" si="20"/>
        <v>13750</v>
      </c>
      <c r="I1306" s="10"/>
      <c r="J1306" s="10"/>
      <c r="K1306" s="10"/>
      <c r="L1306" s="4" t="s">
        <v>52</v>
      </c>
      <c r="M1306" s="4">
        <v>1301</v>
      </c>
    </row>
    <row r="1307" spans="1:13" x14ac:dyDescent="0.25">
      <c r="A1307" s="4" t="s">
        <v>1221</v>
      </c>
      <c r="B1307" s="4" t="s">
        <v>82</v>
      </c>
      <c r="C1307" s="9" t="s">
        <v>50</v>
      </c>
      <c r="D1307" s="10">
        <v>40</v>
      </c>
      <c r="E1307" s="11" t="s">
        <v>51</v>
      </c>
      <c r="F1307" s="10">
        <v>3600</v>
      </c>
      <c r="G1307" s="10">
        <v>0</v>
      </c>
      <c r="H1307" s="10">
        <f t="shared" si="20"/>
        <v>3600</v>
      </c>
      <c r="I1307" s="10"/>
      <c r="J1307" s="10"/>
      <c r="K1307" s="10"/>
      <c r="L1307" s="4" t="s">
        <v>52</v>
      </c>
      <c r="M1307" s="4">
        <v>1302</v>
      </c>
    </row>
    <row r="1308" spans="1:13" x14ac:dyDescent="0.25">
      <c r="A1308" s="4" t="s">
        <v>1221</v>
      </c>
      <c r="B1308" s="4" t="s">
        <v>128</v>
      </c>
      <c r="C1308" s="9" t="s">
        <v>50</v>
      </c>
      <c r="D1308" s="10">
        <v>770</v>
      </c>
      <c r="E1308" s="11" t="s">
        <v>51</v>
      </c>
      <c r="F1308" s="10">
        <v>24800</v>
      </c>
      <c r="G1308" s="10">
        <v>0</v>
      </c>
      <c r="H1308" s="10">
        <f t="shared" si="20"/>
        <v>24800</v>
      </c>
      <c r="I1308" s="10"/>
      <c r="J1308" s="10"/>
      <c r="K1308" s="10"/>
      <c r="L1308" s="4" t="s">
        <v>52</v>
      </c>
      <c r="M1308" s="4">
        <v>1303</v>
      </c>
    </row>
    <row r="1309" spans="1:13" x14ac:dyDescent="0.25">
      <c r="A1309" s="4" t="s">
        <v>1222</v>
      </c>
      <c r="B1309" s="4" t="s">
        <v>82</v>
      </c>
      <c r="C1309" s="9" t="s">
        <v>50</v>
      </c>
      <c r="D1309" s="10">
        <v>70</v>
      </c>
      <c r="E1309" s="11" t="s">
        <v>51</v>
      </c>
      <c r="F1309" s="10">
        <v>6050</v>
      </c>
      <c r="G1309" s="10">
        <v>0</v>
      </c>
      <c r="H1309" s="10">
        <f t="shared" si="20"/>
        <v>6050</v>
      </c>
      <c r="I1309" s="10"/>
      <c r="J1309" s="10"/>
      <c r="K1309" s="10"/>
      <c r="L1309" s="4" t="s">
        <v>52</v>
      </c>
      <c r="M1309" s="4">
        <v>1304</v>
      </c>
    </row>
    <row r="1310" spans="1:13" x14ac:dyDescent="0.25">
      <c r="A1310" s="4" t="s">
        <v>1222</v>
      </c>
      <c r="B1310" s="4" t="s">
        <v>128</v>
      </c>
      <c r="C1310" s="9" t="s">
        <v>50</v>
      </c>
      <c r="D1310" s="10">
        <v>889</v>
      </c>
      <c r="E1310" s="11" t="s">
        <v>51</v>
      </c>
      <c r="F1310" s="10">
        <v>9900</v>
      </c>
      <c r="G1310" s="10">
        <v>0</v>
      </c>
      <c r="H1310" s="10">
        <f t="shared" si="20"/>
        <v>9900</v>
      </c>
      <c r="I1310" s="10"/>
      <c r="J1310" s="10"/>
      <c r="K1310" s="10"/>
      <c r="L1310" s="4" t="s">
        <v>52</v>
      </c>
      <c r="M1310" s="4">
        <v>1305</v>
      </c>
    </row>
    <row r="1311" spans="1:13" x14ac:dyDescent="0.25">
      <c r="A1311" s="4" t="s">
        <v>1223</v>
      </c>
      <c r="B1311" s="4" t="s">
        <v>404</v>
      </c>
      <c r="C1311" s="9" t="s">
        <v>50</v>
      </c>
      <c r="D1311" s="10">
        <v>10</v>
      </c>
      <c r="E1311" s="11" t="s">
        <v>51</v>
      </c>
      <c r="F1311" s="10">
        <v>859.48</v>
      </c>
      <c r="G1311" s="10">
        <v>0</v>
      </c>
      <c r="H1311" s="10">
        <f t="shared" si="20"/>
        <v>859.48</v>
      </c>
      <c r="I1311" s="10"/>
      <c r="J1311" s="10"/>
      <c r="K1311" s="10"/>
      <c r="L1311" s="4" t="s">
        <v>52</v>
      </c>
      <c r="M1311" s="4">
        <v>1306</v>
      </c>
    </row>
    <row r="1312" spans="1:13" x14ac:dyDescent="0.25">
      <c r="A1312" s="4" t="s">
        <v>1223</v>
      </c>
      <c r="B1312" s="4" t="s">
        <v>136</v>
      </c>
      <c r="C1312" s="9" t="s">
        <v>50</v>
      </c>
      <c r="D1312" s="10">
        <v>34</v>
      </c>
      <c r="E1312" s="11" t="s">
        <v>51</v>
      </c>
      <c r="F1312" s="10">
        <v>3002.14</v>
      </c>
      <c r="G1312" s="10">
        <v>0</v>
      </c>
      <c r="H1312" s="10">
        <f t="shared" si="20"/>
        <v>3002.14</v>
      </c>
      <c r="I1312" s="10"/>
      <c r="J1312" s="10"/>
      <c r="K1312" s="10"/>
      <c r="L1312" s="4" t="s">
        <v>52</v>
      </c>
      <c r="M1312" s="4">
        <v>1307</v>
      </c>
    </row>
    <row r="1313" spans="1:13" x14ac:dyDescent="0.25">
      <c r="A1313" s="4" t="s">
        <v>1223</v>
      </c>
      <c r="B1313" s="4" t="s">
        <v>82</v>
      </c>
      <c r="C1313" s="9" t="s">
        <v>50</v>
      </c>
      <c r="D1313" s="10">
        <v>20</v>
      </c>
      <c r="E1313" s="11" t="s">
        <v>51</v>
      </c>
      <c r="F1313" s="10">
        <v>1766.09</v>
      </c>
      <c r="G1313" s="10">
        <v>0</v>
      </c>
      <c r="H1313" s="10">
        <f t="shared" si="20"/>
        <v>1766.09</v>
      </c>
      <c r="I1313" s="10"/>
      <c r="J1313" s="10"/>
      <c r="K1313" s="10"/>
      <c r="L1313" s="4" t="s">
        <v>52</v>
      </c>
      <c r="M1313" s="4">
        <v>1308</v>
      </c>
    </row>
    <row r="1314" spans="1:13" x14ac:dyDescent="0.25">
      <c r="A1314" s="4" t="s">
        <v>1223</v>
      </c>
      <c r="B1314" s="4" t="s">
        <v>88</v>
      </c>
      <c r="C1314" s="9" t="s">
        <v>50</v>
      </c>
      <c r="D1314" s="10">
        <v>153</v>
      </c>
      <c r="E1314" s="11" t="s">
        <v>51</v>
      </c>
      <c r="F1314" s="10">
        <v>13510.66</v>
      </c>
      <c r="G1314" s="10">
        <v>0</v>
      </c>
      <c r="H1314" s="10">
        <f t="shared" si="20"/>
        <v>13510.66</v>
      </c>
      <c r="I1314" s="10"/>
      <c r="J1314" s="10"/>
      <c r="K1314" s="10"/>
      <c r="L1314" s="4" t="s">
        <v>52</v>
      </c>
      <c r="M1314" s="4">
        <v>1309</v>
      </c>
    </row>
    <row r="1315" spans="1:13" x14ac:dyDescent="0.25">
      <c r="A1315" s="4" t="s">
        <v>1223</v>
      </c>
      <c r="B1315" s="4" t="s">
        <v>137</v>
      </c>
      <c r="C1315" s="9" t="s">
        <v>50</v>
      </c>
      <c r="D1315" s="10">
        <v>70</v>
      </c>
      <c r="E1315" s="11" t="s">
        <v>51</v>
      </c>
      <c r="F1315" s="10">
        <v>4297.8</v>
      </c>
      <c r="G1315" s="10">
        <v>0</v>
      </c>
      <c r="H1315" s="10">
        <f t="shared" si="20"/>
        <v>4297.8</v>
      </c>
      <c r="I1315" s="10"/>
      <c r="J1315" s="10"/>
      <c r="K1315" s="10"/>
      <c r="L1315" s="4" t="s">
        <v>52</v>
      </c>
      <c r="M1315" s="4">
        <v>1310</v>
      </c>
    </row>
    <row r="1316" spans="1:13" x14ac:dyDescent="0.25">
      <c r="A1316" s="4" t="s">
        <v>1223</v>
      </c>
      <c r="B1316" s="4" t="s">
        <v>106</v>
      </c>
      <c r="C1316" s="9" t="s">
        <v>50</v>
      </c>
      <c r="D1316" s="10">
        <v>80</v>
      </c>
      <c r="E1316" s="11" t="s">
        <v>51</v>
      </c>
      <c r="F1316" s="10">
        <v>6800</v>
      </c>
      <c r="G1316" s="10">
        <v>0</v>
      </c>
      <c r="H1316" s="10">
        <f t="shared" si="20"/>
        <v>6800</v>
      </c>
      <c r="I1316" s="10"/>
      <c r="J1316" s="10"/>
      <c r="K1316" s="10"/>
      <c r="L1316" s="4" t="s">
        <v>52</v>
      </c>
      <c r="M1316" s="4">
        <v>1311</v>
      </c>
    </row>
    <row r="1317" spans="1:13" x14ac:dyDescent="0.25">
      <c r="A1317" s="4" t="s">
        <v>1223</v>
      </c>
      <c r="B1317" s="4" t="s">
        <v>107</v>
      </c>
      <c r="C1317" s="9" t="s">
        <v>50</v>
      </c>
      <c r="D1317" s="10">
        <v>144</v>
      </c>
      <c r="E1317" s="11" t="s">
        <v>51</v>
      </c>
      <c r="F1317" s="10">
        <v>14138.48</v>
      </c>
      <c r="G1317" s="10">
        <v>0</v>
      </c>
      <c r="H1317" s="10">
        <f t="shared" si="20"/>
        <v>14138.48</v>
      </c>
      <c r="I1317" s="10"/>
      <c r="J1317" s="10"/>
      <c r="K1317" s="10"/>
      <c r="L1317" s="4" t="s">
        <v>52</v>
      </c>
      <c r="M1317" s="4">
        <v>1312</v>
      </c>
    </row>
    <row r="1318" spans="1:13" x14ac:dyDescent="0.25">
      <c r="A1318" s="4" t="s">
        <v>1223</v>
      </c>
      <c r="B1318" s="4" t="s">
        <v>128</v>
      </c>
      <c r="C1318" s="9" t="s">
        <v>50</v>
      </c>
      <c r="D1318" s="10">
        <v>276</v>
      </c>
      <c r="E1318" s="11" t="s">
        <v>51</v>
      </c>
      <c r="F1318" s="10">
        <v>9875.36</v>
      </c>
      <c r="G1318" s="10">
        <v>0</v>
      </c>
      <c r="H1318" s="10">
        <f t="shared" si="20"/>
        <v>9875.36</v>
      </c>
      <c r="I1318" s="10"/>
      <c r="J1318" s="10"/>
      <c r="K1318" s="10"/>
      <c r="L1318" s="4" t="s">
        <v>52</v>
      </c>
      <c r="M1318" s="4">
        <v>1313</v>
      </c>
    </row>
    <row r="1319" spans="1:13" x14ac:dyDescent="0.25">
      <c r="A1319" s="4" t="s">
        <v>1224</v>
      </c>
      <c r="B1319" s="4" t="s">
        <v>1225</v>
      </c>
      <c r="C1319" s="4" t="s">
        <v>65</v>
      </c>
      <c r="D1319" s="10">
        <v>63</v>
      </c>
      <c r="E1319" s="12" t="s">
        <v>66</v>
      </c>
      <c r="F1319" s="10">
        <v>6750</v>
      </c>
      <c r="G1319" s="10">
        <v>0</v>
      </c>
      <c r="H1319" s="10">
        <f t="shared" si="20"/>
        <v>6750</v>
      </c>
      <c r="I1319" s="10">
        <v>107.1428571428571</v>
      </c>
      <c r="J1319" s="10">
        <v>107.1428571428571</v>
      </c>
      <c r="K1319" s="10">
        <v>107.1428571428571</v>
      </c>
      <c r="L1319" s="4"/>
      <c r="M1319" s="4">
        <v>1314</v>
      </c>
    </row>
    <row r="1320" spans="1:13" x14ac:dyDescent="0.25">
      <c r="A1320" s="4" t="s">
        <v>1224</v>
      </c>
      <c r="B1320" s="4" t="s">
        <v>759</v>
      </c>
      <c r="C1320" s="4" t="s">
        <v>65</v>
      </c>
      <c r="D1320" s="10">
        <v>20</v>
      </c>
      <c r="E1320" s="12" t="s">
        <v>66</v>
      </c>
      <c r="F1320" s="10">
        <v>1600</v>
      </c>
      <c r="G1320" s="10">
        <v>0</v>
      </c>
      <c r="H1320" s="10">
        <f t="shared" si="20"/>
        <v>1600</v>
      </c>
      <c r="I1320" s="10">
        <v>80</v>
      </c>
      <c r="J1320" s="10">
        <v>80</v>
      </c>
      <c r="K1320" s="10">
        <v>80</v>
      </c>
      <c r="L1320" s="4"/>
      <c r="M1320" s="4">
        <v>1315</v>
      </c>
    </row>
    <row r="1321" spans="1:13" x14ac:dyDescent="0.25">
      <c r="A1321" s="4" t="s">
        <v>1224</v>
      </c>
      <c r="B1321" s="4" t="s">
        <v>1226</v>
      </c>
      <c r="C1321" s="4" t="s">
        <v>65</v>
      </c>
      <c r="D1321" s="10">
        <v>39</v>
      </c>
      <c r="E1321" s="12" t="s">
        <v>66</v>
      </c>
      <c r="F1321" s="10">
        <v>1250</v>
      </c>
      <c r="G1321" s="10">
        <v>0</v>
      </c>
      <c r="H1321" s="10">
        <f t="shared" si="20"/>
        <v>1250</v>
      </c>
      <c r="I1321" s="10">
        <v>83.333333333333329</v>
      </c>
      <c r="J1321" s="10">
        <v>83.333333333333329</v>
      </c>
      <c r="K1321" s="10">
        <v>83.333333333333329</v>
      </c>
      <c r="L1321" s="4"/>
      <c r="M1321" s="4">
        <v>1316</v>
      </c>
    </row>
    <row r="1322" spans="1:13" x14ac:dyDescent="0.25">
      <c r="A1322" s="4" t="s">
        <v>1227</v>
      </c>
      <c r="B1322" s="4" t="s">
        <v>1228</v>
      </c>
      <c r="C1322" s="4" t="s">
        <v>68</v>
      </c>
      <c r="D1322" s="10">
        <v>106</v>
      </c>
      <c r="E1322" s="11" t="s">
        <v>51</v>
      </c>
      <c r="F1322" s="10">
        <v>3000</v>
      </c>
      <c r="G1322" s="10">
        <v>0</v>
      </c>
      <c r="H1322" s="10">
        <f t="shared" si="20"/>
        <v>3000</v>
      </c>
      <c r="I1322" s="10"/>
      <c r="J1322" s="10"/>
      <c r="K1322" s="10"/>
      <c r="L1322" s="4" t="s">
        <v>69</v>
      </c>
      <c r="M1322" s="4">
        <v>1317</v>
      </c>
    </row>
    <row r="1323" spans="1:13" x14ac:dyDescent="0.25">
      <c r="A1323" s="4" t="s">
        <v>1229</v>
      </c>
      <c r="B1323" s="4" t="s">
        <v>1230</v>
      </c>
      <c r="C1323" s="4" t="s">
        <v>65</v>
      </c>
      <c r="D1323" s="10">
        <v>38</v>
      </c>
      <c r="E1323" s="12" t="s">
        <v>66</v>
      </c>
      <c r="F1323" s="10">
        <v>4750</v>
      </c>
      <c r="G1323" s="10">
        <v>0</v>
      </c>
      <c r="H1323" s="10">
        <f t="shared" si="20"/>
        <v>4750</v>
      </c>
      <c r="I1323" s="10">
        <v>125</v>
      </c>
      <c r="J1323" s="10">
        <v>125</v>
      </c>
      <c r="K1323" s="10">
        <v>125</v>
      </c>
      <c r="L1323" s="4"/>
      <c r="M1323" s="4">
        <v>1318</v>
      </c>
    </row>
    <row r="1324" spans="1:13" x14ac:dyDescent="0.25">
      <c r="A1324" s="4" t="s">
        <v>1229</v>
      </c>
      <c r="B1324" s="4" t="s">
        <v>1231</v>
      </c>
      <c r="C1324" s="4" t="s">
        <v>68</v>
      </c>
      <c r="D1324" s="10">
        <v>20</v>
      </c>
      <c r="E1324" s="11" t="s">
        <v>51</v>
      </c>
      <c r="F1324" s="10">
        <v>2300</v>
      </c>
      <c r="G1324" s="10">
        <v>0</v>
      </c>
      <c r="H1324" s="10">
        <f t="shared" si="20"/>
        <v>2300</v>
      </c>
      <c r="I1324" s="10"/>
      <c r="J1324" s="10"/>
      <c r="K1324" s="10"/>
      <c r="L1324" s="4" t="s">
        <v>69</v>
      </c>
      <c r="M1324" s="4">
        <v>1319</v>
      </c>
    </row>
    <row r="1325" spans="1:13" x14ac:dyDescent="0.25">
      <c r="A1325" s="4" t="s">
        <v>1229</v>
      </c>
      <c r="B1325" s="4" t="s">
        <v>1232</v>
      </c>
      <c r="C1325" s="4" t="s">
        <v>65</v>
      </c>
      <c r="D1325" s="10">
        <v>49</v>
      </c>
      <c r="E1325" s="12" t="s">
        <v>66</v>
      </c>
      <c r="F1325" s="10">
        <v>3200</v>
      </c>
      <c r="G1325" s="10">
        <v>0</v>
      </c>
      <c r="H1325" s="10">
        <f t="shared" si="20"/>
        <v>3200</v>
      </c>
      <c r="I1325" s="10">
        <v>133.33333333333329</v>
      </c>
      <c r="J1325" s="10">
        <v>133.33333333333329</v>
      </c>
      <c r="K1325" s="10">
        <v>133.33333333333329</v>
      </c>
      <c r="L1325" s="4"/>
      <c r="M1325" s="4">
        <v>1320</v>
      </c>
    </row>
    <row r="1326" spans="1:13" x14ac:dyDescent="0.25">
      <c r="A1326" s="4" t="s">
        <v>1233</v>
      </c>
      <c r="B1326" s="4" t="s">
        <v>1234</v>
      </c>
      <c r="C1326" s="4" t="s">
        <v>68</v>
      </c>
      <c r="D1326" s="10">
        <v>28225</v>
      </c>
      <c r="E1326" s="11" t="s">
        <v>51</v>
      </c>
      <c r="F1326" s="10">
        <v>2875</v>
      </c>
      <c r="G1326" s="10">
        <v>0</v>
      </c>
      <c r="H1326" s="10">
        <f t="shared" si="20"/>
        <v>2875</v>
      </c>
      <c r="I1326" s="10"/>
      <c r="J1326" s="10"/>
      <c r="K1326" s="10"/>
      <c r="L1326" s="4" t="s">
        <v>69</v>
      </c>
      <c r="M1326" s="4">
        <v>1321</v>
      </c>
    </row>
    <row r="1327" spans="1:13" x14ac:dyDescent="0.25">
      <c r="A1327" s="4" t="s">
        <v>1235</v>
      </c>
      <c r="B1327" s="4" t="s">
        <v>1236</v>
      </c>
      <c r="C1327" s="4" t="s">
        <v>68</v>
      </c>
      <c r="D1327" s="10">
        <v>1200</v>
      </c>
      <c r="E1327" s="11" t="s">
        <v>51</v>
      </c>
      <c r="F1327" s="10">
        <v>92540</v>
      </c>
      <c r="G1327" s="10">
        <v>0</v>
      </c>
      <c r="H1327" s="10">
        <f t="shared" si="20"/>
        <v>92540</v>
      </c>
      <c r="I1327" s="10"/>
      <c r="J1327" s="10"/>
      <c r="K1327" s="10"/>
      <c r="L1327" s="4" t="s">
        <v>69</v>
      </c>
      <c r="M1327" s="4">
        <v>1322</v>
      </c>
    </row>
    <row r="1328" spans="1:13" x14ac:dyDescent="0.25">
      <c r="A1328" s="4" t="s">
        <v>1235</v>
      </c>
      <c r="B1328" s="4" t="s">
        <v>1237</v>
      </c>
      <c r="C1328" s="4" t="s">
        <v>68</v>
      </c>
      <c r="D1328" s="10">
        <v>6000</v>
      </c>
      <c r="E1328" s="11" t="s">
        <v>51</v>
      </c>
      <c r="F1328" s="10">
        <v>472000</v>
      </c>
      <c r="G1328" s="10">
        <v>0</v>
      </c>
      <c r="H1328" s="10">
        <f t="shared" si="20"/>
        <v>472000</v>
      </c>
      <c r="I1328" s="10"/>
      <c r="J1328" s="10"/>
      <c r="K1328" s="10"/>
      <c r="L1328" s="4" t="s">
        <v>69</v>
      </c>
      <c r="M1328" s="4">
        <v>1323</v>
      </c>
    </row>
    <row r="1329" spans="1:13" x14ac:dyDescent="0.25">
      <c r="A1329" s="4" t="s">
        <v>1235</v>
      </c>
      <c r="B1329" s="4" t="s">
        <v>1238</v>
      </c>
      <c r="C1329" s="4" t="s">
        <v>68</v>
      </c>
      <c r="D1329" s="10">
        <v>500</v>
      </c>
      <c r="E1329" s="11" t="s">
        <v>51</v>
      </c>
      <c r="F1329" s="10">
        <v>38000</v>
      </c>
      <c r="G1329" s="10">
        <v>0</v>
      </c>
      <c r="H1329" s="10">
        <f t="shared" si="20"/>
        <v>38000</v>
      </c>
      <c r="I1329" s="10"/>
      <c r="J1329" s="10"/>
      <c r="K1329" s="10"/>
      <c r="L1329" s="4" t="s">
        <v>69</v>
      </c>
      <c r="M1329" s="4">
        <v>1324</v>
      </c>
    </row>
    <row r="1330" spans="1:13" x14ac:dyDescent="0.25">
      <c r="A1330" s="4" t="s">
        <v>1235</v>
      </c>
      <c r="B1330" s="4" t="s">
        <v>1239</v>
      </c>
      <c r="C1330" s="4" t="s">
        <v>68</v>
      </c>
      <c r="D1330" s="10">
        <v>20000</v>
      </c>
      <c r="E1330" s="11" t="s">
        <v>51</v>
      </c>
      <c r="F1330" s="10">
        <v>212800</v>
      </c>
      <c r="G1330" s="10">
        <v>0</v>
      </c>
      <c r="H1330" s="10">
        <f t="shared" si="20"/>
        <v>212800</v>
      </c>
      <c r="I1330" s="10"/>
      <c r="J1330" s="10"/>
      <c r="K1330" s="10"/>
      <c r="L1330" s="4" t="s">
        <v>69</v>
      </c>
      <c r="M1330" s="4">
        <v>1325</v>
      </c>
    </row>
    <row r="1331" spans="1:13" x14ac:dyDescent="0.25">
      <c r="A1331" s="4" t="s">
        <v>1235</v>
      </c>
      <c r="B1331" s="4" t="s">
        <v>1240</v>
      </c>
      <c r="C1331" s="4" t="s">
        <v>68</v>
      </c>
      <c r="D1331" s="10">
        <v>300</v>
      </c>
      <c r="E1331" s="11" t="s">
        <v>51</v>
      </c>
      <c r="F1331" s="10">
        <v>22800</v>
      </c>
      <c r="G1331" s="10">
        <v>0</v>
      </c>
      <c r="H1331" s="10">
        <f t="shared" si="20"/>
        <v>22800</v>
      </c>
      <c r="I1331" s="10"/>
      <c r="J1331" s="10"/>
      <c r="K1331" s="10"/>
      <c r="L1331" s="4" t="s">
        <v>69</v>
      </c>
      <c r="M1331" s="4">
        <v>1326</v>
      </c>
    </row>
    <row r="1332" spans="1:13" x14ac:dyDescent="0.25">
      <c r="A1332" s="4" t="s">
        <v>1235</v>
      </c>
      <c r="B1332" s="4" t="s">
        <v>1241</v>
      </c>
      <c r="C1332" s="4" t="s">
        <v>68</v>
      </c>
      <c r="D1332" s="10">
        <v>200</v>
      </c>
      <c r="E1332" s="11" t="s">
        <v>51</v>
      </c>
      <c r="F1332" s="10">
        <v>15200</v>
      </c>
      <c r="G1332" s="10">
        <v>0</v>
      </c>
      <c r="H1332" s="10">
        <f t="shared" si="20"/>
        <v>15200</v>
      </c>
      <c r="I1332" s="10"/>
      <c r="J1332" s="10"/>
      <c r="K1332" s="10"/>
      <c r="L1332" s="4" t="s">
        <v>69</v>
      </c>
      <c r="M1332" s="4">
        <v>1327</v>
      </c>
    </row>
    <row r="1333" spans="1:13" x14ac:dyDescent="0.25">
      <c r="A1333" s="4" t="s">
        <v>1242</v>
      </c>
      <c r="B1333" s="4" t="s">
        <v>136</v>
      </c>
      <c r="C1333" s="9" t="s">
        <v>50</v>
      </c>
      <c r="D1333" s="10"/>
      <c r="E1333" s="11" t="s">
        <v>51</v>
      </c>
      <c r="F1333" s="10"/>
      <c r="G1333" s="10">
        <v>0</v>
      </c>
      <c r="H1333" s="10">
        <f t="shared" si="20"/>
        <v>0</v>
      </c>
      <c r="I1333" s="10"/>
      <c r="J1333" s="10"/>
      <c r="K1333" s="10"/>
      <c r="L1333" s="4" t="s">
        <v>52</v>
      </c>
      <c r="M1333" s="4">
        <v>1328</v>
      </c>
    </row>
    <row r="1334" spans="1:13" x14ac:dyDescent="0.25">
      <c r="A1334" s="4" t="s">
        <v>1242</v>
      </c>
      <c r="B1334" s="4" t="s">
        <v>82</v>
      </c>
      <c r="C1334" s="9" t="s">
        <v>50</v>
      </c>
      <c r="D1334" s="10"/>
      <c r="E1334" s="11" t="s">
        <v>51</v>
      </c>
      <c r="F1334" s="10"/>
      <c r="G1334" s="10">
        <v>0</v>
      </c>
      <c r="H1334" s="10">
        <f t="shared" si="20"/>
        <v>0</v>
      </c>
      <c r="I1334" s="10"/>
      <c r="J1334" s="10"/>
      <c r="K1334" s="10"/>
      <c r="L1334" s="4" t="s">
        <v>52</v>
      </c>
      <c r="M1334" s="4">
        <v>1329</v>
      </c>
    </row>
    <row r="1335" spans="1:13" x14ac:dyDescent="0.25">
      <c r="A1335" s="4" t="s">
        <v>1242</v>
      </c>
      <c r="B1335" s="4" t="s">
        <v>88</v>
      </c>
      <c r="C1335" s="9" t="s">
        <v>50</v>
      </c>
      <c r="D1335" s="10"/>
      <c r="E1335" s="11" t="s">
        <v>51</v>
      </c>
      <c r="F1335" s="10"/>
      <c r="G1335" s="10">
        <v>0</v>
      </c>
      <c r="H1335" s="10">
        <f t="shared" si="20"/>
        <v>0</v>
      </c>
      <c r="I1335" s="10"/>
      <c r="J1335" s="10"/>
      <c r="K1335" s="10"/>
      <c r="L1335" s="4" t="s">
        <v>52</v>
      </c>
      <c r="M1335" s="4">
        <v>1330</v>
      </c>
    </row>
    <row r="1336" spans="1:13" x14ac:dyDescent="0.25">
      <c r="A1336" s="4" t="s">
        <v>1242</v>
      </c>
      <c r="B1336" s="4" t="s">
        <v>137</v>
      </c>
      <c r="C1336" s="9" t="s">
        <v>50</v>
      </c>
      <c r="D1336" s="10"/>
      <c r="E1336" s="11" t="s">
        <v>51</v>
      </c>
      <c r="F1336" s="10"/>
      <c r="G1336" s="10">
        <v>0</v>
      </c>
      <c r="H1336" s="10">
        <f t="shared" si="20"/>
        <v>0</v>
      </c>
      <c r="I1336" s="10"/>
      <c r="J1336" s="10"/>
      <c r="K1336" s="10"/>
      <c r="L1336" s="4" t="s">
        <v>52</v>
      </c>
      <c r="M1336" s="4">
        <v>1331</v>
      </c>
    </row>
    <row r="1337" spans="1:13" x14ac:dyDescent="0.25">
      <c r="A1337" s="4" t="s">
        <v>1242</v>
      </c>
      <c r="B1337" s="4" t="s">
        <v>106</v>
      </c>
      <c r="C1337" s="9" t="s">
        <v>50</v>
      </c>
      <c r="D1337" s="10"/>
      <c r="E1337" s="11" t="s">
        <v>51</v>
      </c>
      <c r="F1337" s="10"/>
      <c r="G1337" s="10">
        <v>0</v>
      </c>
      <c r="H1337" s="10">
        <f t="shared" si="20"/>
        <v>0</v>
      </c>
      <c r="I1337" s="10"/>
      <c r="J1337" s="10"/>
      <c r="K1337" s="10"/>
      <c r="L1337" s="4" t="s">
        <v>52</v>
      </c>
      <c r="M1337" s="4">
        <v>1332</v>
      </c>
    </row>
    <row r="1338" spans="1:13" x14ac:dyDescent="0.25">
      <c r="A1338" s="4" t="s">
        <v>1242</v>
      </c>
      <c r="B1338" s="4" t="s">
        <v>107</v>
      </c>
      <c r="C1338" s="9" t="s">
        <v>50</v>
      </c>
      <c r="D1338" s="10">
        <v>1138.75</v>
      </c>
      <c r="E1338" s="11" t="s">
        <v>51</v>
      </c>
      <c r="F1338" s="10"/>
      <c r="G1338" s="10">
        <v>0</v>
      </c>
      <c r="H1338" s="10">
        <f t="shared" si="20"/>
        <v>0</v>
      </c>
      <c r="I1338" s="10"/>
      <c r="J1338" s="10"/>
      <c r="K1338" s="10"/>
      <c r="L1338" s="4" t="s">
        <v>52</v>
      </c>
      <c r="M1338" s="4">
        <v>1333</v>
      </c>
    </row>
    <row r="1339" spans="1:13" x14ac:dyDescent="0.25">
      <c r="A1339" s="4" t="s">
        <v>1243</v>
      </c>
      <c r="B1339" s="4" t="s">
        <v>136</v>
      </c>
      <c r="C1339" s="9" t="s">
        <v>50</v>
      </c>
      <c r="D1339" s="10">
        <v>9</v>
      </c>
      <c r="E1339" s="11" t="s">
        <v>51</v>
      </c>
      <c r="F1339" s="10">
        <v>900</v>
      </c>
      <c r="G1339" s="10">
        <v>0</v>
      </c>
      <c r="H1339" s="10">
        <f t="shared" si="20"/>
        <v>900</v>
      </c>
      <c r="I1339" s="10"/>
      <c r="J1339" s="10"/>
      <c r="K1339" s="10"/>
      <c r="L1339" s="4" t="s">
        <v>52</v>
      </c>
      <c r="M1339" s="4">
        <v>1334</v>
      </c>
    </row>
    <row r="1340" spans="1:13" x14ac:dyDescent="0.25">
      <c r="A1340" s="4" t="s">
        <v>1243</v>
      </c>
      <c r="B1340" s="4" t="s">
        <v>82</v>
      </c>
      <c r="C1340" s="9" t="s">
        <v>50</v>
      </c>
      <c r="D1340" s="10">
        <v>164.5</v>
      </c>
      <c r="E1340" s="11" t="s">
        <v>51</v>
      </c>
      <c r="F1340" s="10">
        <v>16067.5</v>
      </c>
      <c r="G1340" s="10">
        <v>0</v>
      </c>
      <c r="H1340" s="10">
        <f t="shared" si="20"/>
        <v>16067.5</v>
      </c>
      <c r="I1340" s="10"/>
      <c r="J1340" s="10"/>
      <c r="K1340" s="10"/>
      <c r="L1340" s="4" t="s">
        <v>52</v>
      </c>
      <c r="M1340" s="4">
        <v>1335</v>
      </c>
    </row>
    <row r="1341" spans="1:13" x14ac:dyDescent="0.25">
      <c r="A1341" s="4" t="s">
        <v>1243</v>
      </c>
      <c r="B1341" s="4" t="s">
        <v>88</v>
      </c>
      <c r="C1341" s="9" t="s">
        <v>50</v>
      </c>
      <c r="D1341" s="10">
        <v>205.25</v>
      </c>
      <c r="E1341" s="11" t="s">
        <v>51</v>
      </c>
      <c r="F1341" s="10">
        <v>22232.5</v>
      </c>
      <c r="G1341" s="10">
        <v>0</v>
      </c>
      <c r="H1341" s="10">
        <f t="shared" si="20"/>
        <v>22232.5</v>
      </c>
      <c r="I1341" s="10"/>
      <c r="J1341" s="10"/>
      <c r="K1341" s="10"/>
      <c r="L1341" s="4" t="s">
        <v>52</v>
      </c>
      <c r="M1341" s="4">
        <v>1336</v>
      </c>
    </row>
    <row r="1342" spans="1:13" x14ac:dyDescent="0.25">
      <c r="A1342" s="4" t="s">
        <v>1243</v>
      </c>
      <c r="B1342" s="4" t="s">
        <v>137</v>
      </c>
      <c r="C1342" s="9" t="s">
        <v>50</v>
      </c>
      <c r="D1342" s="10">
        <v>156</v>
      </c>
      <c r="E1342" s="11" t="s">
        <v>51</v>
      </c>
      <c r="F1342" s="10">
        <v>34245</v>
      </c>
      <c r="G1342" s="10">
        <v>0</v>
      </c>
      <c r="H1342" s="10">
        <f t="shared" si="20"/>
        <v>34245</v>
      </c>
      <c r="I1342" s="10"/>
      <c r="J1342" s="10"/>
      <c r="K1342" s="10"/>
      <c r="L1342" s="4" t="s">
        <v>52</v>
      </c>
      <c r="M1342" s="4">
        <v>1337</v>
      </c>
    </row>
    <row r="1343" spans="1:13" x14ac:dyDescent="0.25">
      <c r="A1343" s="4" t="s">
        <v>1243</v>
      </c>
      <c r="B1343" s="4" t="s">
        <v>106</v>
      </c>
      <c r="C1343" s="9" t="s">
        <v>50</v>
      </c>
      <c r="D1343" s="10">
        <v>223</v>
      </c>
      <c r="E1343" s="11" t="s">
        <v>51</v>
      </c>
      <c r="F1343" s="10">
        <v>28795</v>
      </c>
      <c r="G1343" s="10">
        <v>0</v>
      </c>
      <c r="H1343" s="10">
        <f t="shared" si="20"/>
        <v>28795</v>
      </c>
      <c r="I1343" s="10"/>
      <c r="J1343" s="10"/>
      <c r="K1343" s="10"/>
      <c r="L1343" s="4" t="s">
        <v>52</v>
      </c>
      <c r="M1343" s="4">
        <v>1338</v>
      </c>
    </row>
    <row r="1344" spans="1:13" x14ac:dyDescent="0.25">
      <c r="A1344" s="4" t="s">
        <v>1243</v>
      </c>
      <c r="B1344" s="4" t="s">
        <v>107</v>
      </c>
      <c r="C1344" s="9" t="s">
        <v>50</v>
      </c>
      <c r="D1344" s="10">
        <v>621</v>
      </c>
      <c r="E1344" s="11" t="s">
        <v>51</v>
      </c>
      <c r="F1344" s="10">
        <v>38182.5</v>
      </c>
      <c r="G1344" s="10">
        <v>0</v>
      </c>
      <c r="H1344" s="10">
        <f t="shared" si="20"/>
        <v>38182.5</v>
      </c>
      <c r="I1344" s="10"/>
      <c r="J1344" s="10"/>
      <c r="K1344" s="10"/>
      <c r="L1344" s="4" t="s">
        <v>52</v>
      </c>
      <c r="M1344" s="4">
        <v>1339</v>
      </c>
    </row>
    <row r="1345" spans="1:13" x14ac:dyDescent="0.25">
      <c r="A1345" s="4" t="s">
        <v>1244</v>
      </c>
      <c r="B1345" s="4" t="s">
        <v>1245</v>
      </c>
      <c r="C1345" s="4" t="s">
        <v>68</v>
      </c>
      <c r="D1345" s="10">
        <v>248</v>
      </c>
      <c r="E1345" s="11" t="s">
        <v>51</v>
      </c>
      <c r="F1345" s="10">
        <v>22800</v>
      </c>
      <c r="G1345" s="10">
        <v>0</v>
      </c>
      <c r="H1345" s="10">
        <f t="shared" si="20"/>
        <v>22800</v>
      </c>
      <c r="I1345" s="10"/>
      <c r="J1345" s="10"/>
      <c r="K1345" s="10"/>
      <c r="L1345" s="4" t="s">
        <v>69</v>
      </c>
      <c r="M1345" s="4">
        <v>1340</v>
      </c>
    </row>
    <row r="1346" spans="1:13" x14ac:dyDescent="0.25">
      <c r="A1346" s="4" t="s">
        <v>1246</v>
      </c>
      <c r="B1346" s="4" t="s">
        <v>1247</v>
      </c>
      <c r="C1346" s="4" t="s">
        <v>65</v>
      </c>
      <c r="D1346" s="10">
        <v>114</v>
      </c>
      <c r="E1346" s="12" t="s">
        <v>66</v>
      </c>
      <c r="F1346" s="10">
        <v>650</v>
      </c>
      <c r="G1346" s="10">
        <v>0</v>
      </c>
      <c r="H1346" s="10">
        <f t="shared" si="20"/>
        <v>650</v>
      </c>
      <c r="I1346" s="10">
        <v>81.25</v>
      </c>
      <c r="J1346" s="10">
        <v>81.25</v>
      </c>
      <c r="K1346" s="10">
        <v>81.25</v>
      </c>
      <c r="L1346" s="4"/>
      <c r="M1346" s="4">
        <v>1341</v>
      </c>
    </row>
    <row r="1347" spans="1:13" x14ac:dyDescent="0.25">
      <c r="A1347" s="4" t="s">
        <v>1248</v>
      </c>
      <c r="B1347" s="4" t="s">
        <v>1249</v>
      </c>
      <c r="C1347" s="4" t="s">
        <v>65</v>
      </c>
      <c r="D1347" s="10">
        <v>9</v>
      </c>
      <c r="E1347" s="12" t="s">
        <v>66</v>
      </c>
      <c r="F1347" s="10">
        <v>1050</v>
      </c>
      <c r="G1347" s="10">
        <v>0</v>
      </c>
      <c r="H1347" s="10">
        <f t="shared" si="20"/>
        <v>1050</v>
      </c>
      <c r="I1347" s="10">
        <v>116.6666666666667</v>
      </c>
      <c r="J1347" s="10">
        <v>116.6666666666667</v>
      </c>
      <c r="K1347" s="10">
        <v>116.6666666666667</v>
      </c>
      <c r="L1347" s="4"/>
      <c r="M1347" s="4">
        <v>1342</v>
      </c>
    </row>
    <row r="1348" spans="1:13" x14ac:dyDescent="0.25">
      <c r="A1348" s="4" t="s">
        <v>1248</v>
      </c>
      <c r="B1348" s="4" t="s">
        <v>1250</v>
      </c>
      <c r="C1348" s="4" t="s">
        <v>65</v>
      </c>
      <c r="D1348" s="10">
        <v>30</v>
      </c>
      <c r="E1348" s="12" t="s">
        <v>66</v>
      </c>
      <c r="F1348" s="10">
        <v>3350</v>
      </c>
      <c r="G1348" s="10">
        <v>0</v>
      </c>
      <c r="H1348" s="10">
        <f t="shared" si="20"/>
        <v>3350</v>
      </c>
      <c r="I1348" s="10">
        <v>111.6666666666667</v>
      </c>
      <c r="J1348" s="10">
        <v>111.6666666666667</v>
      </c>
      <c r="K1348" s="10">
        <v>111.6666666666667</v>
      </c>
      <c r="L1348" s="4"/>
      <c r="M1348" s="4">
        <v>1343</v>
      </c>
    </row>
    <row r="1349" spans="1:13" x14ac:dyDescent="0.25">
      <c r="A1349" s="4" t="s">
        <v>1248</v>
      </c>
      <c r="B1349" s="4" t="s">
        <v>1251</v>
      </c>
      <c r="C1349" s="4" t="s">
        <v>65</v>
      </c>
      <c r="D1349" s="10">
        <v>35</v>
      </c>
      <c r="E1349" s="12" t="s">
        <v>66</v>
      </c>
      <c r="F1349" s="10">
        <v>4000</v>
      </c>
      <c r="G1349" s="10">
        <v>0</v>
      </c>
      <c r="H1349" s="10">
        <f t="shared" si="20"/>
        <v>4000</v>
      </c>
      <c r="I1349" s="10">
        <v>114.28571428571431</v>
      </c>
      <c r="J1349" s="10">
        <v>114.28571428571431</v>
      </c>
      <c r="K1349" s="10">
        <v>114.28571428571431</v>
      </c>
      <c r="L1349" s="4"/>
      <c r="M1349" s="4">
        <v>1344</v>
      </c>
    </row>
    <row r="1350" spans="1:13" x14ac:dyDescent="0.25">
      <c r="A1350" s="4" t="s">
        <v>1248</v>
      </c>
      <c r="B1350" s="4" t="s">
        <v>1252</v>
      </c>
      <c r="C1350" s="4" t="s">
        <v>68</v>
      </c>
      <c r="D1350" s="10">
        <v>20</v>
      </c>
      <c r="E1350" s="11" t="s">
        <v>51</v>
      </c>
      <c r="F1350" s="10">
        <v>2200</v>
      </c>
      <c r="G1350" s="10">
        <v>0</v>
      </c>
      <c r="H1350" s="10">
        <f t="shared" ref="H1350:H1413" si="21">F1350-G1350</f>
        <v>2200</v>
      </c>
      <c r="I1350" s="10"/>
      <c r="J1350" s="10"/>
      <c r="K1350" s="10"/>
      <c r="L1350" s="4" t="s">
        <v>69</v>
      </c>
      <c r="M1350" s="4">
        <v>1345</v>
      </c>
    </row>
    <row r="1351" spans="1:13" x14ac:dyDescent="0.25">
      <c r="A1351" s="4" t="s">
        <v>1248</v>
      </c>
      <c r="B1351" s="4" t="s">
        <v>1253</v>
      </c>
      <c r="C1351" s="4" t="s">
        <v>68</v>
      </c>
      <c r="D1351" s="10">
        <v>58</v>
      </c>
      <c r="E1351" s="11" t="s">
        <v>51</v>
      </c>
      <c r="F1351" s="10">
        <v>2200</v>
      </c>
      <c r="G1351" s="10">
        <v>0</v>
      </c>
      <c r="H1351" s="10">
        <f t="shared" si="21"/>
        <v>2200</v>
      </c>
      <c r="I1351" s="10"/>
      <c r="J1351" s="10"/>
      <c r="K1351" s="10"/>
      <c r="L1351" s="4" t="s">
        <v>69</v>
      </c>
      <c r="M1351" s="4">
        <v>1346</v>
      </c>
    </row>
    <row r="1352" spans="1:13" x14ac:dyDescent="0.25">
      <c r="A1352" s="4" t="s">
        <v>1254</v>
      </c>
      <c r="B1352" s="4" t="s">
        <v>1255</v>
      </c>
      <c r="C1352" s="4" t="s">
        <v>65</v>
      </c>
      <c r="D1352" s="10">
        <v>2</v>
      </c>
      <c r="E1352" s="12" t="s">
        <v>66</v>
      </c>
      <c r="F1352" s="10">
        <v>165</v>
      </c>
      <c r="G1352" s="10">
        <v>0</v>
      </c>
      <c r="H1352" s="10">
        <f t="shared" si="21"/>
        <v>165</v>
      </c>
      <c r="I1352" s="10">
        <v>82.5</v>
      </c>
      <c r="J1352" s="10">
        <v>82.5</v>
      </c>
      <c r="K1352" s="10">
        <v>82.5</v>
      </c>
      <c r="L1352" s="4"/>
      <c r="M1352" s="4">
        <v>1347</v>
      </c>
    </row>
    <row r="1353" spans="1:13" x14ac:dyDescent="0.25">
      <c r="A1353" s="4" t="s">
        <v>1254</v>
      </c>
      <c r="B1353" s="4" t="s">
        <v>1256</v>
      </c>
      <c r="C1353" s="4" t="s">
        <v>65</v>
      </c>
      <c r="D1353" s="10">
        <v>10</v>
      </c>
      <c r="E1353" s="12" t="s">
        <v>66</v>
      </c>
      <c r="F1353" s="10">
        <v>885</v>
      </c>
      <c r="G1353" s="10">
        <v>0</v>
      </c>
      <c r="H1353" s="10">
        <f t="shared" si="21"/>
        <v>885</v>
      </c>
      <c r="I1353" s="10">
        <v>88.5</v>
      </c>
      <c r="J1353" s="10">
        <v>88.5</v>
      </c>
      <c r="K1353" s="10">
        <v>88.5</v>
      </c>
      <c r="L1353" s="4"/>
      <c r="M1353" s="4">
        <v>1348</v>
      </c>
    </row>
    <row r="1354" spans="1:13" x14ac:dyDescent="0.25">
      <c r="A1354" s="4" t="s">
        <v>1254</v>
      </c>
      <c r="B1354" s="4" t="s">
        <v>1257</v>
      </c>
      <c r="C1354" s="4" t="s">
        <v>65</v>
      </c>
      <c r="D1354" s="10">
        <v>13</v>
      </c>
      <c r="E1354" s="12" t="s">
        <v>66</v>
      </c>
      <c r="F1354" s="10">
        <v>1050</v>
      </c>
      <c r="G1354" s="10">
        <v>0</v>
      </c>
      <c r="H1354" s="10">
        <f t="shared" si="21"/>
        <v>1050</v>
      </c>
      <c r="I1354" s="10">
        <v>80.769230769230774</v>
      </c>
      <c r="J1354" s="10">
        <v>80.769230769230774</v>
      </c>
      <c r="K1354" s="10">
        <v>80.769230769230774</v>
      </c>
      <c r="L1354" s="4"/>
      <c r="M1354" s="4">
        <v>1349</v>
      </c>
    </row>
    <row r="1355" spans="1:13" x14ac:dyDescent="0.25">
      <c r="A1355" s="4" t="s">
        <v>1254</v>
      </c>
      <c r="B1355" s="4" t="s">
        <v>1258</v>
      </c>
      <c r="C1355" s="4" t="s">
        <v>65</v>
      </c>
      <c r="D1355" s="10">
        <v>60</v>
      </c>
      <c r="E1355" s="12" t="s">
        <v>66</v>
      </c>
      <c r="F1355" s="10">
        <v>1050</v>
      </c>
      <c r="G1355" s="10">
        <v>0</v>
      </c>
      <c r="H1355" s="10">
        <f t="shared" si="21"/>
        <v>1050</v>
      </c>
      <c r="I1355" s="10">
        <v>80.769230769230774</v>
      </c>
      <c r="J1355" s="10">
        <v>80.769230769230774</v>
      </c>
      <c r="K1355" s="10">
        <v>80.769230769230774</v>
      </c>
      <c r="L1355" s="4"/>
      <c r="M1355" s="4">
        <v>1350</v>
      </c>
    </row>
    <row r="1356" spans="1:13" x14ac:dyDescent="0.25">
      <c r="A1356" s="4" t="s">
        <v>1259</v>
      </c>
      <c r="B1356" s="4" t="s">
        <v>107</v>
      </c>
      <c r="C1356" s="9" t="s">
        <v>50</v>
      </c>
      <c r="D1356" s="10">
        <v>100</v>
      </c>
      <c r="E1356" s="11" t="s">
        <v>51</v>
      </c>
      <c r="F1356" s="10">
        <v>5700</v>
      </c>
      <c r="G1356" s="10">
        <v>0</v>
      </c>
      <c r="H1356" s="10">
        <f t="shared" si="21"/>
        <v>5700</v>
      </c>
      <c r="I1356" s="10"/>
      <c r="J1356" s="10"/>
      <c r="K1356" s="10"/>
      <c r="L1356" s="4" t="s">
        <v>52</v>
      </c>
      <c r="M1356" s="4">
        <v>1351</v>
      </c>
    </row>
    <row r="1357" spans="1:13" x14ac:dyDescent="0.25">
      <c r="A1357" s="4" t="s">
        <v>1260</v>
      </c>
      <c r="B1357" s="4" t="s">
        <v>1261</v>
      </c>
      <c r="C1357" s="4" t="s">
        <v>65</v>
      </c>
      <c r="D1357" s="10">
        <v>820.5</v>
      </c>
      <c r="E1357" s="12" t="s">
        <v>66</v>
      </c>
      <c r="F1357" s="10">
        <v>6050</v>
      </c>
      <c r="G1357" s="10">
        <v>0</v>
      </c>
      <c r="H1357" s="10">
        <f t="shared" si="21"/>
        <v>6050</v>
      </c>
      <c r="I1357" s="10">
        <v>151.25</v>
      </c>
      <c r="J1357" s="10">
        <v>151.25</v>
      </c>
      <c r="K1357" s="10">
        <v>151.25</v>
      </c>
      <c r="L1357" s="4"/>
      <c r="M1357" s="4">
        <v>1352</v>
      </c>
    </row>
    <row r="1358" spans="1:13" x14ac:dyDescent="0.25">
      <c r="A1358" s="4" t="s">
        <v>1262</v>
      </c>
      <c r="B1358" s="4" t="s">
        <v>136</v>
      </c>
      <c r="C1358" s="9" t="s">
        <v>50</v>
      </c>
      <c r="D1358" s="10">
        <v>6.5</v>
      </c>
      <c r="E1358" s="11" t="s">
        <v>51</v>
      </c>
      <c r="F1358" s="10">
        <v>650</v>
      </c>
      <c r="G1358" s="10">
        <v>0</v>
      </c>
      <c r="H1358" s="10">
        <f t="shared" si="21"/>
        <v>650</v>
      </c>
      <c r="I1358" s="10"/>
      <c r="J1358" s="10"/>
      <c r="K1358" s="10"/>
      <c r="L1358" s="4" t="s">
        <v>52</v>
      </c>
      <c r="M1358" s="4">
        <v>1353</v>
      </c>
    </row>
    <row r="1359" spans="1:13" x14ac:dyDescent="0.25">
      <c r="A1359" s="4" t="s">
        <v>1262</v>
      </c>
      <c r="B1359" s="4" t="s">
        <v>82</v>
      </c>
      <c r="C1359" s="9" t="s">
        <v>50</v>
      </c>
      <c r="D1359" s="10">
        <v>103</v>
      </c>
      <c r="E1359" s="11" t="s">
        <v>51</v>
      </c>
      <c r="F1359" s="10">
        <v>10300</v>
      </c>
      <c r="G1359" s="10">
        <v>0</v>
      </c>
      <c r="H1359" s="10">
        <f t="shared" si="21"/>
        <v>10300</v>
      </c>
      <c r="I1359" s="10"/>
      <c r="J1359" s="10"/>
      <c r="K1359" s="10"/>
      <c r="L1359" s="4" t="s">
        <v>52</v>
      </c>
      <c r="M1359" s="4">
        <v>1354</v>
      </c>
    </row>
    <row r="1360" spans="1:13" x14ac:dyDescent="0.25">
      <c r="A1360" s="4" t="s">
        <v>1262</v>
      </c>
      <c r="B1360" s="4" t="s">
        <v>88</v>
      </c>
      <c r="C1360" s="9" t="s">
        <v>50</v>
      </c>
      <c r="D1360" s="10">
        <v>130.5</v>
      </c>
      <c r="E1360" s="11" t="s">
        <v>51</v>
      </c>
      <c r="F1360" s="10">
        <v>13050</v>
      </c>
      <c r="G1360" s="10">
        <v>0</v>
      </c>
      <c r="H1360" s="10">
        <f t="shared" si="21"/>
        <v>13050</v>
      </c>
      <c r="I1360" s="10"/>
      <c r="J1360" s="10"/>
      <c r="K1360" s="10"/>
      <c r="L1360" s="4" t="s">
        <v>52</v>
      </c>
      <c r="M1360" s="4">
        <v>1355</v>
      </c>
    </row>
    <row r="1361" spans="1:13" x14ac:dyDescent="0.25">
      <c r="A1361" s="4" t="s">
        <v>1262</v>
      </c>
      <c r="B1361" s="4" t="s">
        <v>137</v>
      </c>
      <c r="C1361" s="9" t="s">
        <v>50</v>
      </c>
      <c r="D1361" s="10">
        <v>103</v>
      </c>
      <c r="E1361" s="11" t="s">
        <v>51</v>
      </c>
      <c r="F1361" s="10">
        <v>10300</v>
      </c>
      <c r="G1361" s="10">
        <v>0</v>
      </c>
      <c r="H1361" s="10">
        <f t="shared" si="21"/>
        <v>10300</v>
      </c>
      <c r="I1361" s="10"/>
      <c r="J1361" s="10"/>
      <c r="K1361" s="10"/>
      <c r="L1361" s="4" t="s">
        <v>52</v>
      </c>
      <c r="M1361" s="4">
        <v>1356</v>
      </c>
    </row>
    <row r="1362" spans="1:13" x14ac:dyDescent="0.25">
      <c r="A1362" s="4" t="s">
        <v>1262</v>
      </c>
      <c r="B1362" s="4" t="s">
        <v>1263</v>
      </c>
      <c r="C1362" s="9" t="s">
        <v>50</v>
      </c>
      <c r="D1362" s="10"/>
      <c r="E1362" s="11" t="s">
        <v>51</v>
      </c>
      <c r="F1362" s="10"/>
      <c r="G1362" s="10">
        <v>0</v>
      </c>
      <c r="H1362" s="10">
        <f t="shared" si="21"/>
        <v>0</v>
      </c>
      <c r="I1362" s="10"/>
      <c r="J1362" s="10"/>
      <c r="K1362" s="10"/>
      <c r="L1362" s="4" t="s">
        <v>52</v>
      </c>
      <c r="M1362" s="4">
        <v>1357</v>
      </c>
    </row>
    <row r="1363" spans="1:13" x14ac:dyDescent="0.25">
      <c r="A1363" s="4" t="s">
        <v>1262</v>
      </c>
      <c r="B1363" s="4" t="s">
        <v>537</v>
      </c>
      <c r="C1363" s="9" t="s">
        <v>50</v>
      </c>
      <c r="D1363" s="10">
        <v>16</v>
      </c>
      <c r="E1363" s="11" t="s">
        <v>51</v>
      </c>
      <c r="F1363" s="10">
        <v>1360</v>
      </c>
      <c r="G1363" s="10">
        <v>0</v>
      </c>
      <c r="H1363" s="10">
        <f t="shared" si="21"/>
        <v>1360</v>
      </c>
      <c r="I1363" s="10">
        <v>85</v>
      </c>
      <c r="J1363" s="10">
        <v>85</v>
      </c>
      <c r="K1363" s="10">
        <v>85</v>
      </c>
      <c r="L1363" s="4" t="s">
        <v>259</v>
      </c>
      <c r="M1363" s="4">
        <v>1358</v>
      </c>
    </row>
    <row r="1364" spans="1:13" x14ac:dyDescent="0.25">
      <c r="A1364" s="4" t="s">
        <v>1262</v>
      </c>
      <c r="B1364" s="4" t="s">
        <v>106</v>
      </c>
      <c r="C1364" s="9" t="s">
        <v>50</v>
      </c>
      <c r="D1364" s="10">
        <v>141.5</v>
      </c>
      <c r="E1364" s="11" t="s">
        <v>51</v>
      </c>
      <c r="F1364" s="10">
        <v>14150</v>
      </c>
      <c r="G1364" s="10">
        <v>0</v>
      </c>
      <c r="H1364" s="10">
        <f t="shared" si="21"/>
        <v>14150</v>
      </c>
      <c r="I1364" s="10"/>
      <c r="J1364" s="10"/>
      <c r="K1364" s="10"/>
      <c r="L1364" s="4" t="s">
        <v>52</v>
      </c>
      <c r="M1364" s="4">
        <v>1359</v>
      </c>
    </row>
    <row r="1365" spans="1:13" x14ac:dyDescent="0.25">
      <c r="A1365" s="4" t="s">
        <v>1262</v>
      </c>
      <c r="B1365" s="4" t="s">
        <v>1264</v>
      </c>
      <c r="C1365" s="9" t="s">
        <v>50</v>
      </c>
      <c r="D1365" s="10">
        <v>685</v>
      </c>
      <c r="E1365" s="11" t="s">
        <v>51</v>
      </c>
      <c r="F1365" s="10">
        <v>25160</v>
      </c>
      <c r="G1365" s="10">
        <v>0</v>
      </c>
      <c r="H1365" s="10">
        <f t="shared" si="21"/>
        <v>25160</v>
      </c>
      <c r="I1365" s="10"/>
      <c r="J1365" s="10"/>
      <c r="K1365" s="10"/>
      <c r="L1365" s="4" t="s">
        <v>52</v>
      </c>
      <c r="M1365" s="4">
        <v>1360</v>
      </c>
    </row>
    <row r="1366" spans="1:13" x14ac:dyDescent="0.25">
      <c r="A1366" s="4" t="s">
        <v>1265</v>
      </c>
      <c r="B1366" s="4" t="s">
        <v>404</v>
      </c>
      <c r="C1366" s="9" t="s">
        <v>50</v>
      </c>
      <c r="D1366" s="10">
        <v>2</v>
      </c>
      <c r="E1366" s="11" t="s">
        <v>51</v>
      </c>
      <c r="F1366" s="10">
        <v>80.88</v>
      </c>
      <c r="G1366" s="10">
        <v>0</v>
      </c>
      <c r="H1366" s="10">
        <f t="shared" si="21"/>
        <v>80.88</v>
      </c>
      <c r="I1366" s="10"/>
      <c r="J1366" s="10"/>
      <c r="K1366" s="10"/>
      <c r="L1366" s="4" t="s">
        <v>52</v>
      </c>
      <c r="M1366" s="4">
        <v>1361</v>
      </c>
    </row>
    <row r="1367" spans="1:13" x14ac:dyDescent="0.25">
      <c r="A1367" s="4" t="s">
        <v>1265</v>
      </c>
      <c r="B1367" s="4" t="s">
        <v>136</v>
      </c>
      <c r="C1367" s="9" t="s">
        <v>50</v>
      </c>
      <c r="D1367" s="10">
        <v>20</v>
      </c>
      <c r="E1367" s="11" t="s">
        <v>51</v>
      </c>
      <c r="F1367" s="10">
        <v>1983.06</v>
      </c>
      <c r="G1367" s="10">
        <v>0</v>
      </c>
      <c r="H1367" s="10">
        <f t="shared" si="21"/>
        <v>1983.06</v>
      </c>
      <c r="I1367" s="10"/>
      <c r="J1367" s="10"/>
      <c r="K1367" s="10"/>
      <c r="L1367" s="4" t="s">
        <v>52</v>
      </c>
      <c r="M1367" s="4">
        <v>1362</v>
      </c>
    </row>
    <row r="1368" spans="1:13" x14ac:dyDescent="0.25">
      <c r="A1368" s="4" t="s">
        <v>1265</v>
      </c>
      <c r="B1368" s="4" t="s">
        <v>82</v>
      </c>
      <c r="C1368" s="9" t="s">
        <v>50</v>
      </c>
      <c r="D1368" s="10">
        <v>57</v>
      </c>
      <c r="E1368" s="11" t="s">
        <v>51</v>
      </c>
      <c r="F1368" s="10">
        <v>5064.3</v>
      </c>
      <c r="G1368" s="10">
        <v>0</v>
      </c>
      <c r="H1368" s="10">
        <f t="shared" si="21"/>
        <v>5064.3</v>
      </c>
      <c r="I1368" s="10"/>
      <c r="J1368" s="10"/>
      <c r="K1368" s="10"/>
      <c r="L1368" s="4" t="s">
        <v>52</v>
      </c>
      <c r="M1368" s="4">
        <v>1363</v>
      </c>
    </row>
    <row r="1369" spans="1:13" x14ac:dyDescent="0.25">
      <c r="A1369" s="4" t="s">
        <v>1265</v>
      </c>
      <c r="B1369" s="4" t="s">
        <v>88</v>
      </c>
      <c r="C1369" s="9" t="s">
        <v>50</v>
      </c>
      <c r="D1369" s="10">
        <v>110</v>
      </c>
      <c r="E1369" s="11" t="s">
        <v>51</v>
      </c>
      <c r="F1369" s="10">
        <v>10740.5</v>
      </c>
      <c r="G1369" s="10">
        <v>0</v>
      </c>
      <c r="H1369" s="10">
        <f t="shared" si="21"/>
        <v>10740.5</v>
      </c>
      <c r="I1369" s="10"/>
      <c r="J1369" s="10"/>
      <c r="K1369" s="10"/>
      <c r="L1369" s="4" t="s">
        <v>52</v>
      </c>
      <c r="M1369" s="4">
        <v>1364</v>
      </c>
    </row>
    <row r="1370" spans="1:13" x14ac:dyDescent="0.25">
      <c r="A1370" s="4" t="s">
        <v>1265</v>
      </c>
      <c r="B1370" s="4" t="s">
        <v>137</v>
      </c>
      <c r="C1370" s="9" t="s">
        <v>50</v>
      </c>
      <c r="D1370" s="10">
        <v>70</v>
      </c>
      <c r="E1370" s="11" t="s">
        <v>51</v>
      </c>
      <c r="F1370" s="10">
        <v>5483.33</v>
      </c>
      <c r="G1370" s="10">
        <v>0</v>
      </c>
      <c r="H1370" s="10">
        <f t="shared" si="21"/>
        <v>5483.33</v>
      </c>
      <c r="I1370" s="10"/>
      <c r="J1370" s="10"/>
      <c r="K1370" s="10"/>
      <c r="L1370" s="4" t="s">
        <v>52</v>
      </c>
      <c r="M1370" s="4">
        <v>1365</v>
      </c>
    </row>
    <row r="1371" spans="1:13" x14ac:dyDescent="0.25">
      <c r="A1371" s="4" t="s">
        <v>1265</v>
      </c>
      <c r="B1371" s="4" t="s">
        <v>106</v>
      </c>
      <c r="C1371" s="9" t="s">
        <v>50</v>
      </c>
      <c r="D1371" s="10">
        <v>50</v>
      </c>
      <c r="E1371" s="11" t="s">
        <v>51</v>
      </c>
      <c r="F1371" s="10">
        <v>4962.49</v>
      </c>
      <c r="G1371" s="10">
        <v>0</v>
      </c>
      <c r="H1371" s="10">
        <f t="shared" si="21"/>
        <v>4962.49</v>
      </c>
      <c r="I1371" s="10"/>
      <c r="J1371" s="10"/>
      <c r="K1371" s="10"/>
      <c r="L1371" s="4" t="s">
        <v>52</v>
      </c>
      <c r="M1371" s="4">
        <v>1366</v>
      </c>
    </row>
    <row r="1372" spans="1:13" x14ac:dyDescent="0.25">
      <c r="A1372" s="4" t="s">
        <v>1265</v>
      </c>
      <c r="B1372" s="4" t="s">
        <v>107</v>
      </c>
      <c r="C1372" s="9" t="s">
        <v>50</v>
      </c>
      <c r="D1372" s="10">
        <v>130</v>
      </c>
      <c r="E1372" s="11" t="s">
        <v>51</v>
      </c>
      <c r="F1372" s="10">
        <v>7935.46</v>
      </c>
      <c r="G1372" s="10">
        <v>0</v>
      </c>
      <c r="H1372" s="10">
        <f t="shared" si="21"/>
        <v>7935.46</v>
      </c>
      <c r="I1372" s="10"/>
      <c r="J1372" s="10"/>
      <c r="K1372" s="10"/>
      <c r="L1372" s="4" t="s">
        <v>52</v>
      </c>
      <c r="M1372" s="4">
        <v>1367</v>
      </c>
    </row>
    <row r="1373" spans="1:13" x14ac:dyDescent="0.25">
      <c r="A1373" s="4" t="s">
        <v>1266</v>
      </c>
      <c r="B1373" s="4" t="s">
        <v>82</v>
      </c>
      <c r="C1373" s="9" t="s">
        <v>50</v>
      </c>
      <c r="D1373" s="10">
        <v>100</v>
      </c>
      <c r="E1373" s="11" t="s">
        <v>51</v>
      </c>
      <c r="F1373" s="10">
        <v>4750</v>
      </c>
      <c r="G1373" s="10">
        <v>0</v>
      </c>
      <c r="H1373" s="10">
        <f t="shared" si="21"/>
        <v>4750</v>
      </c>
      <c r="I1373" s="10"/>
      <c r="J1373" s="10"/>
      <c r="K1373" s="10"/>
      <c r="L1373" s="4" t="s">
        <v>52</v>
      </c>
      <c r="M1373" s="4">
        <v>1368</v>
      </c>
    </row>
    <row r="1374" spans="1:13" x14ac:dyDescent="0.25">
      <c r="A1374" s="4" t="s">
        <v>1267</v>
      </c>
      <c r="B1374" s="4" t="s">
        <v>621</v>
      </c>
      <c r="C1374" s="4" t="s">
        <v>68</v>
      </c>
      <c r="D1374" s="10">
        <v>1865.58</v>
      </c>
      <c r="E1374" s="11" t="s">
        <v>51</v>
      </c>
      <c r="F1374" s="10">
        <v>6562.5</v>
      </c>
      <c r="G1374" s="10">
        <v>0</v>
      </c>
      <c r="H1374" s="10">
        <f t="shared" si="21"/>
        <v>6562.5</v>
      </c>
      <c r="I1374" s="10"/>
      <c r="J1374" s="10"/>
      <c r="K1374" s="10"/>
      <c r="L1374" s="4" t="s">
        <v>69</v>
      </c>
      <c r="M1374" s="4">
        <v>1369</v>
      </c>
    </row>
    <row r="1375" spans="1:13" x14ac:dyDescent="0.25">
      <c r="A1375" s="4" t="s">
        <v>1268</v>
      </c>
      <c r="B1375" s="4" t="s">
        <v>88</v>
      </c>
      <c r="C1375" s="9" t="s">
        <v>50</v>
      </c>
      <c r="D1375" s="10">
        <v>252</v>
      </c>
      <c r="E1375" s="11" t="s">
        <v>51</v>
      </c>
      <c r="F1375" s="10">
        <v>21050</v>
      </c>
      <c r="G1375" s="10">
        <v>0</v>
      </c>
      <c r="H1375" s="10">
        <f t="shared" si="21"/>
        <v>21050</v>
      </c>
      <c r="I1375" s="10"/>
      <c r="J1375" s="10"/>
      <c r="K1375" s="10"/>
      <c r="L1375" s="4" t="s">
        <v>52</v>
      </c>
      <c r="M1375" s="4">
        <v>1370</v>
      </c>
    </row>
    <row r="1376" spans="1:13" x14ac:dyDescent="0.25">
      <c r="A1376" s="4" t="s">
        <v>1268</v>
      </c>
      <c r="B1376" s="4" t="s">
        <v>137</v>
      </c>
      <c r="C1376" s="9" t="s">
        <v>50</v>
      </c>
      <c r="D1376" s="10">
        <v>160</v>
      </c>
      <c r="E1376" s="11" t="s">
        <v>51</v>
      </c>
      <c r="F1376" s="10">
        <v>11200</v>
      </c>
      <c r="G1376" s="10">
        <v>0</v>
      </c>
      <c r="H1376" s="10">
        <f t="shared" si="21"/>
        <v>11200</v>
      </c>
      <c r="I1376" s="10"/>
      <c r="J1376" s="10"/>
      <c r="K1376" s="10"/>
      <c r="L1376" s="4" t="s">
        <v>52</v>
      </c>
      <c r="M1376" s="4">
        <v>1371</v>
      </c>
    </row>
    <row r="1377" spans="1:13" x14ac:dyDescent="0.25">
      <c r="A1377" s="4" t="s">
        <v>1268</v>
      </c>
      <c r="B1377" s="4" t="s">
        <v>106</v>
      </c>
      <c r="C1377" s="9" t="s">
        <v>50</v>
      </c>
      <c r="D1377" s="10">
        <v>150</v>
      </c>
      <c r="E1377" s="11" t="s">
        <v>51</v>
      </c>
      <c r="F1377" s="10">
        <v>10500</v>
      </c>
      <c r="G1377" s="10">
        <v>0</v>
      </c>
      <c r="H1377" s="10">
        <f t="shared" si="21"/>
        <v>10500</v>
      </c>
      <c r="I1377" s="10"/>
      <c r="J1377" s="10"/>
      <c r="K1377" s="10"/>
      <c r="L1377" s="4" t="s">
        <v>52</v>
      </c>
      <c r="M1377" s="4">
        <v>1372</v>
      </c>
    </row>
    <row r="1378" spans="1:13" x14ac:dyDescent="0.25">
      <c r="A1378" s="4" t="s">
        <v>1268</v>
      </c>
      <c r="B1378" s="4" t="s">
        <v>271</v>
      </c>
      <c r="C1378" s="9" t="s">
        <v>50</v>
      </c>
      <c r="D1378" s="10">
        <v>40</v>
      </c>
      <c r="E1378" s="11" t="s">
        <v>51</v>
      </c>
      <c r="F1378" s="10">
        <v>2800</v>
      </c>
      <c r="G1378" s="10">
        <v>0</v>
      </c>
      <c r="H1378" s="10">
        <f t="shared" si="21"/>
        <v>2800</v>
      </c>
      <c r="I1378" s="10"/>
      <c r="J1378" s="10"/>
      <c r="K1378" s="10"/>
      <c r="L1378" s="4" t="s">
        <v>52</v>
      </c>
      <c r="M1378" s="4">
        <v>1373</v>
      </c>
    </row>
    <row r="1379" spans="1:13" x14ac:dyDescent="0.25">
      <c r="A1379" s="4" t="s">
        <v>1268</v>
      </c>
      <c r="B1379" s="4" t="s">
        <v>107</v>
      </c>
      <c r="C1379" s="9" t="s">
        <v>50</v>
      </c>
      <c r="D1379" s="10">
        <v>800</v>
      </c>
      <c r="E1379" s="11" t="s">
        <v>51</v>
      </c>
      <c r="F1379" s="10">
        <v>56000</v>
      </c>
      <c r="G1379" s="10">
        <v>0</v>
      </c>
      <c r="H1379" s="10">
        <f t="shared" si="21"/>
        <v>56000</v>
      </c>
      <c r="I1379" s="10"/>
      <c r="J1379" s="10"/>
      <c r="K1379" s="10"/>
      <c r="L1379" s="4" t="s">
        <v>52</v>
      </c>
      <c r="M1379" s="4">
        <v>1374</v>
      </c>
    </row>
    <row r="1380" spans="1:13" x14ac:dyDescent="0.25">
      <c r="A1380" s="4" t="s">
        <v>1268</v>
      </c>
      <c r="B1380" s="4" t="s">
        <v>128</v>
      </c>
      <c r="C1380" s="9" t="s">
        <v>50</v>
      </c>
      <c r="D1380" s="10">
        <v>94</v>
      </c>
      <c r="E1380" s="11" t="s">
        <v>51</v>
      </c>
      <c r="F1380" s="10">
        <v>6630</v>
      </c>
      <c r="G1380" s="10">
        <v>0</v>
      </c>
      <c r="H1380" s="10">
        <f t="shared" si="21"/>
        <v>6630</v>
      </c>
      <c r="I1380" s="10"/>
      <c r="J1380" s="10"/>
      <c r="K1380" s="10"/>
      <c r="L1380" s="4" t="s">
        <v>52</v>
      </c>
      <c r="M1380" s="4">
        <v>1375</v>
      </c>
    </row>
    <row r="1381" spans="1:13" x14ac:dyDescent="0.25">
      <c r="A1381" s="4" t="s">
        <v>1268</v>
      </c>
      <c r="B1381" s="4" t="s">
        <v>1269</v>
      </c>
      <c r="C1381" s="9" t="s">
        <v>50</v>
      </c>
      <c r="D1381" s="10">
        <v>117.25</v>
      </c>
      <c r="E1381" s="11" t="s">
        <v>51</v>
      </c>
      <c r="F1381" s="10">
        <v>8435</v>
      </c>
      <c r="G1381" s="10">
        <v>0</v>
      </c>
      <c r="H1381" s="10">
        <f t="shared" si="21"/>
        <v>8435</v>
      </c>
      <c r="I1381" s="10"/>
      <c r="J1381" s="10"/>
      <c r="K1381" s="10"/>
      <c r="L1381" s="4" t="s">
        <v>52</v>
      </c>
      <c r="M1381" s="4">
        <v>1376</v>
      </c>
    </row>
    <row r="1382" spans="1:13" x14ac:dyDescent="0.25">
      <c r="A1382" s="4" t="s">
        <v>1268</v>
      </c>
      <c r="B1382" s="4" t="s">
        <v>1270</v>
      </c>
      <c r="C1382" s="9" t="s">
        <v>50</v>
      </c>
      <c r="D1382" s="10">
        <v>175.14</v>
      </c>
      <c r="E1382" s="11" t="s">
        <v>51</v>
      </c>
      <c r="F1382" s="10">
        <v>12600</v>
      </c>
      <c r="G1382" s="10">
        <v>0</v>
      </c>
      <c r="H1382" s="10">
        <f t="shared" si="21"/>
        <v>12600</v>
      </c>
      <c r="I1382" s="10"/>
      <c r="J1382" s="10"/>
      <c r="K1382" s="10"/>
      <c r="L1382" s="4" t="s">
        <v>52</v>
      </c>
      <c r="M1382" s="4">
        <v>1377</v>
      </c>
    </row>
    <row r="1383" spans="1:13" x14ac:dyDescent="0.25">
      <c r="A1383" s="4" t="s">
        <v>1268</v>
      </c>
      <c r="B1383" s="4" t="s">
        <v>889</v>
      </c>
      <c r="C1383" s="9" t="s">
        <v>50</v>
      </c>
      <c r="D1383" s="10">
        <v>558.01</v>
      </c>
      <c r="E1383" s="11" t="s">
        <v>51</v>
      </c>
      <c r="F1383" s="10">
        <v>1400</v>
      </c>
      <c r="G1383" s="10">
        <v>0</v>
      </c>
      <c r="H1383" s="10">
        <f t="shared" si="21"/>
        <v>1400</v>
      </c>
      <c r="I1383" s="10"/>
      <c r="J1383" s="10"/>
      <c r="K1383" s="10"/>
      <c r="L1383" s="4" t="s">
        <v>52</v>
      </c>
      <c r="M1383" s="4">
        <v>1378</v>
      </c>
    </row>
    <row r="1384" spans="1:13" x14ac:dyDescent="0.25">
      <c r="A1384" s="4" t="s">
        <v>1271</v>
      </c>
      <c r="B1384" s="4" t="s">
        <v>88</v>
      </c>
      <c r="C1384" s="9" t="s">
        <v>50</v>
      </c>
      <c r="D1384" s="10">
        <v>164</v>
      </c>
      <c r="E1384" s="11" t="s">
        <v>51</v>
      </c>
      <c r="F1384" s="10">
        <v>11480</v>
      </c>
      <c r="G1384" s="10">
        <v>0</v>
      </c>
      <c r="H1384" s="10">
        <f t="shared" si="21"/>
        <v>11480</v>
      </c>
      <c r="I1384" s="10"/>
      <c r="J1384" s="10"/>
      <c r="K1384" s="10"/>
      <c r="L1384" s="4" t="s">
        <v>52</v>
      </c>
      <c r="M1384" s="4">
        <v>1379</v>
      </c>
    </row>
    <row r="1385" spans="1:13" x14ac:dyDescent="0.25">
      <c r="A1385" s="4" t="s">
        <v>1271</v>
      </c>
      <c r="B1385" s="4" t="s">
        <v>137</v>
      </c>
      <c r="C1385" s="9" t="s">
        <v>50</v>
      </c>
      <c r="D1385" s="10">
        <v>20</v>
      </c>
      <c r="E1385" s="11" t="s">
        <v>51</v>
      </c>
      <c r="F1385" s="10">
        <v>1400</v>
      </c>
      <c r="G1385" s="10">
        <v>0</v>
      </c>
      <c r="H1385" s="10">
        <f t="shared" si="21"/>
        <v>1400</v>
      </c>
      <c r="I1385" s="10"/>
      <c r="J1385" s="10"/>
      <c r="K1385" s="10"/>
      <c r="L1385" s="4" t="s">
        <v>52</v>
      </c>
      <c r="M1385" s="4">
        <v>1380</v>
      </c>
    </row>
    <row r="1386" spans="1:13" x14ac:dyDescent="0.25">
      <c r="A1386" s="4" t="s">
        <v>1271</v>
      </c>
      <c r="B1386" s="4" t="s">
        <v>106</v>
      </c>
      <c r="C1386" s="9" t="s">
        <v>50</v>
      </c>
      <c r="D1386" s="10">
        <v>80</v>
      </c>
      <c r="E1386" s="11" t="s">
        <v>51</v>
      </c>
      <c r="F1386" s="10">
        <v>5600</v>
      </c>
      <c r="G1386" s="10">
        <v>0</v>
      </c>
      <c r="H1386" s="10">
        <f t="shared" si="21"/>
        <v>5600</v>
      </c>
      <c r="I1386" s="10"/>
      <c r="J1386" s="10"/>
      <c r="K1386" s="10"/>
      <c r="L1386" s="4" t="s">
        <v>52</v>
      </c>
      <c r="M1386" s="4">
        <v>1381</v>
      </c>
    </row>
    <row r="1387" spans="1:13" x14ac:dyDescent="0.25">
      <c r="A1387" s="4" t="s">
        <v>1271</v>
      </c>
      <c r="B1387" s="4" t="s">
        <v>128</v>
      </c>
      <c r="C1387" s="9" t="s">
        <v>50</v>
      </c>
      <c r="D1387" s="10">
        <v>54</v>
      </c>
      <c r="E1387" s="11" t="s">
        <v>51</v>
      </c>
      <c r="F1387" s="10">
        <v>3780</v>
      </c>
      <c r="G1387" s="10">
        <v>0</v>
      </c>
      <c r="H1387" s="10">
        <f t="shared" si="21"/>
        <v>3780</v>
      </c>
      <c r="I1387" s="10"/>
      <c r="J1387" s="10"/>
      <c r="K1387" s="10"/>
      <c r="L1387" s="4" t="s">
        <v>52</v>
      </c>
      <c r="M1387" s="4">
        <v>1382</v>
      </c>
    </row>
    <row r="1388" spans="1:13" x14ac:dyDescent="0.25">
      <c r="A1388" s="4" t="s">
        <v>1271</v>
      </c>
      <c r="B1388" s="4" t="s">
        <v>1269</v>
      </c>
      <c r="C1388" s="9" t="s">
        <v>50</v>
      </c>
      <c r="D1388" s="10">
        <v>80</v>
      </c>
      <c r="E1388" s="11" t="s">
        <v>51</v>
      </c>
      <c r="F1388" s="10">
        <v>5600</v>
      </c>
      <c r="G1388" s="10">
        <v>0</v>
      </c>
      <c r="H1388" s="10">
        <f t="shared" si="21"/>
        <v>5600</v>
      </c>
      <c r="I1388" s="10"/>
      <c r="J1388" s="10"/>
      <c r="K1388" s="10"/>
      <c r="L1388" s="4" t="s">
        <v>52</v>
      </c>
      <c r="M1388" s="4">
        <v>1383</v>
      </c>
    </row>
    <row r="1389" spans="1:13" x14ac:dyDescent="0.25">
      <c r="A1389" s="4" t="s">
        <v>1271</v>
      </c>
      <c r="B1389" s="4" t="s">
        <v>1270</v>
      </c>
      <c r="C1389" s="9" t="s">
        <v>50</v>
      </c>
      <c r="D1389" s="10">
        <v>140</v>
      </c>
      <c r="E1389" s="11" t="s">
        <v>51</v>
      </c>
      <c r="F1389" s="10">
        <v>9800</v>
      </c>
      <c r="G1389" s="10">
        <v>0</v>
      </c>
      <c r="H1389" s="10">
        <f t="shared" si="21"/>
        <v>9800</v>
      </c>
      <c r="I1389" s="10"/>
      <c r="J1389" s="10"/>
      <c r="K1389" s="10"/>
      <c r="L1389" s="4" t="s">
        <v>52</v>
      </c>
      <c r="M1389" s="4">
        <v>1384</v>
      </c>
    </row>
    <row r="1390" spans="1:13" x14ac:dyDescent="0.25">
      <c r="A1390" s="4" t="s">
        <v>1271</v>
      </c>
      <c r="B1390" s="4" t="s">
        <v>889</v>
      </c>
      <c r="C1390" s="9" t="s">
        <v>50</v>
      </c>
      <c r="D1390" s="10">
        <v>392</v>
      </c>
      <c r="E1390" s="11" t="s">
        <v>51</v>
      </c>
      <c r="F1390" s="10">
        <v>1400</v>
      </c>
      <c r="G1390" s="10">
        <v>0</v>
      </c>
      <c r="H1390" s="10">
        <f t="shared" si="21"/>
        <v>1400</v>
      </c>
      <c r="I1390" s="10"/>
      <c r="J1390" s="10"/>
      <c r="K1390" s="10"/>
      <c r="L1390" s="4" t="s">
        <v>52</v>
      </c>
      <c r="M1390" s="4">
        <v>1385</v>
      </c>
    </row>
    <row r="1391" spans="1:13" x14ac:dyDescent="0.25">
      <c r="A1391" s="4" t="s">
        <v>1272</v>
      </c>
      <c r="B1391" s="4" t="s">
        <v>136</v>
      </c>
      <c r="C1391" s="9" t="s">
        <v>50</v>
      </c>
      <c r="D1391" s="10">
        <v>20</v>
      </c>
      <c r="E1391" s="11" t="s">
        <v>51</v>
      </c>
      <c r="F1391" s="10">
        <v>1400</v>
      </c>
      <c r="G1391" s="10">
        <v>0</v>
      </c>
      <c r="H1391" s="10">
        <f t="shared" si="21"/>
        <v>1400</v>
      </c>
      <c r="I1391" s="10"/>
      <c r="J1391" s="10"/>
      <c r="K1391" s="10"/>
      <c r="L1391" s="4" t="s">
        <v>52</v>
      </c>
      <c r="M1391" s="4">
        <v>1386</v>
      </c>
    </row>
    <row r="1392" spans="1:13" x14ac:dyDescent="0.25">
      <c r="A1392" s="4" t="s">
        <v>1272</v>
      </c>
      <c r="B1392" s="4" t="s">
        <v>82</v>
      </c>
      <c r="C1392" s="9" t="s">
        <v>50</v>
      </c>
      <c r="D1392" s="10">
        <v>128</v>
      </c>
      <c r="E1392" s="11" t="s">
        <v>51</v>
      </c>
      <c r="F1392" s="10">
        <v>8960</v>
      </c>
      <c r="G1392" s="10">
        <v>0</v>
      </c>
      <c r="H1392" s="10">
        <f t="shared" si="21"/>
        <v>8960</v>
      </c>
      <c r="I1392" s="10"/>
      <c r="J1392" s="10"/>
      <c r="K1392" s="10"/>
      <c r="L1392" s="4" t="s">
        <v>52</v>
      </c>
      <c r="M1392" s="4">
        <v>1387</v>
      </c>
    </row>
    <row r="1393" spans="1:13" x14ac:dyDescent="0.25">
      <c r="A1393" s="4" t="s">
        <v>1272</v>
      </c>
      <c r="B1393" s="4" t="s">
        <v>88</v>
      </c>
      <c r="C1393" s="9" t="s">
        <v>50</v>
      </c>
      <c r="D1393" s="10">
        <v>178</v>
      </c>
      <c r="E1393" s="11" t="s">
        <v>51</v>
      </c>
      <c r="F1393" s="10">
        <v>12460</v>
      </c>
      <c r="G1393" s="10">
        <v>0</v>
      </c>
      <c r="H1393" s="10">
        <f t="shared" si="21"/>
        <v>12460</v>
      </c>
      <c r="I1393" s="10"/>
      <c r="J1393" s="10"/>
      <c r="K1393" s="10"/>
      <c r="L1393" s="4" t="s">
        <v>52</v>
      </c>
      <c r="M1393" s="4">
        <v>1388</v>
      </c>
    </row>
    <row r="1394" spans="1:13" x14ac:dyDescent="0.25">
      <c r="A1394" s="4" t="s">
        <v>1272</v>
      </c>
      <c r="B1394" s="4" t="s">
        <v>137</v>
      </c>
      <c r="C1394" s="9" t="s">
        <v>50</v>
      </c>
      <c r="D1394" s="10">
        <v>16</v>
      </c>
      <c r="E1394" s="11" t="s">
        <v>51</v>
      </c>
      <c r="F1394" s="10">
        <v>800</v>
      </c>
      <c r="G1394" s="10">
        <v>0</v>
      </c>
      <c r="H1394" s="10">
        <f t="shared" si="21"/>
        <v>800</v>
      </c>
      <c r="I1394" s="10"/>
      <c r="J1394" s="10"/>
      <c r="K1394" s="10"/>
      <c r="L1394" s="4" t="s">
        <v>52</v>
      </c>
      <c r="M1394" s="4">
        <v>1389</v>
      </c>
    </row>
    <row r="1395" spans="1:13" x14ac:dyDescent="0.25">
      <c r="A1395" s="4" t="s">
        <v>1272</v>
      </c>
      <c r="B1395" s="4" t="s">
        <v>106</v>
      </c>
      <c r="C1395" s="9" t="s">
        <v>50</v>
      </c>
      <c r="D1395" s="10">
        <v>230</v>
      </c>
      <c r="E1395" s="11" t="s">
        <v>51</v>
      </c>
      <c r="F1395" s="10">
        <v>3500</v>
      </c>
      <c r="G1395" s="10">
        <v>0</v>
      </c>
      <c r="H1395" s="10">
        <f t="shared" si="21"/>
        <v>3500</v>
      </c>
      <c r="I1395" s="10"/>
      <c r="J1395" s="10"/>
      <c r="K1395" s="10"/>
      <c r="L1395" s="4" t="s">
        <v>52</v>
      </c>
      <c r="M1395" s="4">
        <v>1390</v>
      </c>
    </row>
    <row r="1396" spans="1:13" x14ac:dyDescent="0.25">
      <c r="A1396" s="4" t="s">
        <v>1273</v>
      </c>
      <c r="B1396" s="4" t="s">
        <v>106</v>
      </c>
      <c r="C1396" s="9" t="s">
        <v>50</v>
      </c>
      <c r="D1396" s="10">
        <v>240</v>
      </c>
      <c r="E1396" s="11" t="s">
        <v>51</v>
      </c>
      <c r="F1396" s="10">
        <v>12000</v>
      </c>
      <c r="G1396" s="10">
        <v>0</v>
      </c>
      <c r="H1396" s="10">
        <f t="shared" si="21"/>
        <v>12000</v>
      </c>
      <c r="I1396" s="10"/>
      <c r="J1396" s="10"/>
      <c r="K1396" s="10"/>
      <c r="L1396" s="4" t="s">
        <v>52</v>
      </c>
      <c r="M1396" s="4">
        <v>1391</v>
      </c>
    </row>
    <row r="1397" spans="1:13" x14ac:dyDescent="0.25">
      <c r="A1397" s="4" t="s">
        <v>1274</v>
      </c>
      <c r="B1397" s="4" t="s">
        <v>1275</v>
      </c>
      <c r="C1397" s="9" t="s">
        <v>50</v>
      </c>
      <c r="D1397" s="10">
        <v>192</v>
      </c>
      <c r="E1397" s="11" t="s">
        <v>51</v>
      </c>
      <c r="F1397" s="10">
        <v>3800</v>
      </c>
      <c r="G1397" s="10">
        <v>0</v>
      </c>
      <c r="H1397" s="10">
        <f t="shared" si="21"/>
        <v>3800</v>
      </c>
      <c r="I1397" s="10"/>
      <c r="J1397" s="10"/>
      <c r="K1397" s="10"/>
      <c r="L1397" s="4" t="s">
        <v>52</v>
      </c>
      <c r="M1397" s="4">
        <v>1392</v>
      </c>
    </row>
    <row r="1398" spans="1:13" x14ac:dyDescent="0.25">
      <c r="A1398" s="4" t="s">
        <v>1276</v>
      </c>
      <c r="B1398" s="4" t="s">
        <v>1277</v>
      </c>
      <c r="C1398" s="4" t="s">
        <v>65</v>
      </c>
      <c r="D1398" s="10">
        <v>70</v>
      </c>
      <c r="E1398" s="12" t="s">
        <v>66</v>
      </c>
      <c r="F1398" s="10">
        <v>8300</v>
      </c>
      <c r="G1398" s="10">
        <v>0</v>
      </c>
      <c r="H1398" s="10">
        <f t="shared" si="21"/>
        <v>8300</v>
      </c>
      <c r="I1398" s="10">
        <v>118.5714285714286</v>
      </c>
      <c r="J1398" s="10">
        <v>118.5714285714286</v>
      </c>
      <c r="K1398" s="10">
        <v>118.5714285714286</v>
      </c>
      <c r="L1398" s="4"/>
      <c r="M1398" s="4">
        <v>1393</v>
      </c>
    </row>
    <row r="1399" spans="1:13" x14ac:dyDescent="0.25">
      <c r="A1399" s="4" t="s">
        <v>1276</v>
      </c>
      <c r="B1399" s="4" t="s">
        <v>1278</v>
      </c>
      <c r="C1399" s="4" t="s">
        <v>65</v>
      </c>
      <c r="D1399" s="10">
        <v>32</v>
      </c>
      <c r="E1399" s="12" t="s">
        <v>66</v>
      </c>
      <c r="F1399" s="10">
        <v>4200</v>
      </c>
      <c r="G1399" s="10">
        <v>0</v>
      </c>
      <c r="H1399" s="10">
        <f t="shared" si="21"/>
        <v>4200</v>
      </c>
      <c r="I1399" s="10">
        <v>131.25</v>
      </c>
      <c r="J1399" s="10">
        <v>131.25</v>
      </c>
      <c r="K1399" s="10">
        <v>131.25</v>
      </c>
      <c r="L1399" s="4"/>
      <c r="M1399" s="4">
        <v>1394</v>
      </c>
    </row>
    <row r="1400" spans="1:13" x14ac:dyDescent="0.25">
      <c r="A1400" s="4" t="s">
        <v>1276</v>
      </c>
      <c r="B1400" s="4" t="s">
        <v>1279</v>
      </c>
      <c r="C1400" s="4" t="s">
        <v>65</v>
      </c>
      <c r="D1400" s="10">
        <v>86</v>
      </c>
      <c r="E1400" s="12" t="s">
        <v>66</v>
      </c>
      <c r="F1400" s="10">
        <v>2500</v>
      </c>
      <c r="G1400" s="10">
        <v>0</v>
      </c>
      <c r="H1400" s="10">
        <f t="shared" si="21"/>
        <v>2500</v>
      </c>
      <c r="I1400" s="10">
        <v>83.333333333333329</v>
      </c>
      <c r="J1400" s="10">
        <v>83.333333333333329</v>
      </c>
      <c r="K1400" s="10">
        <v>83.333333333333329</v>
      </c>
      <c r="L1400" s="4"/>
      <c r="M1400" s="4">
        <v>1395</v>
      </c>
    </row>
    <row r="1401" spans="1:13" x14ac:dyDescent="0.25">
      <c r="A1401" s="4" t="s">
        <v>1280</v>
      </c>
      <c r="B1401" s="4" t="s">
        <v>1281</v>
      </c>
      <c r="C1401" s="4" t="s">
        <v>68</v>
      </c>
      <c r="D1401" s="10">
        <v>56</v>
      </c>
      <c r="E1401" s="11" t="s">
        <v>51</v>
      </c>
      <c r="F1401" s="10">
        <v>3800</v>
      </c>
      <c r="G1401" s="10">
        <v>0</v>
      </c>
      <c r="H1401" s="10">
        <f t="shared" si="21"/>
        <v>3800</v>
      </c>
      <c r="I1401" s="10"/>
      <c r="J1401" s="10"/>
      <c r="K1401" s="10"/>
      <c r="L1401" s="4" t="s">
        <v>69</v>
      </c>
      <c r="M1401" s="4">
        <v>1396</v>
      </c>
    </row>
    <row r="1402" spans="1:13" x14ac:dyDescent="0.25">
      <c r="A1402" s="4" t="s">
        <v>1282</v>
      </c>
      <c r="B1402" s="4" t="s">
        <v>1283</v>
      </c>
      <c r="C1402" s="9" t="s">
        <v>50</v>
      </c>
      <c r="D1402" s="10"/>
      <c r="E1402" s="11" t="s">
        <v>51</v>
      </c>
      <c r="F1402" s="10"/>
      <c r="G1402" s="10">
        <v>0</v>
      </c>
      <c r="H1402" s="10">
        <f t="shared" si="21"/>
        <v>0</v>
      </c>
      <c r="I1402" s="10"/>
      <c r="J1402" s="10"/>
      <c r="K1402" s="10"/>
      <c r="L1402" s="4" t="s">
        <v>52</v>
      </c>
      <c r="M1402" s="4">
        <v>1397</v>
      </c>
    </row>
    <row r="1403" spans="1:13" x14ac:dyDescent="0.25">
      <c r="A1403" s="4" t="s">
        <v>1282</v>
      </c>
      <c r="B1403" s="4" t="s">
        <v>1284</v>
      </c>
      <c r="C1403" s="9" t="s">
        <v>50</v>
      </c>
      <c r="D1403" s="10"/>
      <c r="E1403" s="11" t="s">
        <v>51</v>
      </c>
      <c r="F1403" s="10"/>
      <c r="G1403" s="10">
        <v>0</v>
      </c>
      <c r="H1403" s="10">
        <f t="shared" si="21"/>
        <v>0</v>
      </c>
      <c r="I1403" s="10"/>
      <c r="J1403" s="10"/>
      <c r="K1403" s="10"/>
      <c r="L1403" s="4" t="s">
        <v>52</v>
      </c>
      <c r="M1403" s="4">
        <v>1398</v>
      </c>
    </row>
    <row r="1404" spans="1:13" x14ac:dyDescent="0.25">
      <c r="A1404" s="4" t="s">
        <v>1282</v>
      </c>
      <c r="B1404" s="4" t="s">
        <v>1285</v>
      </c>
      <c r="C1404" s="9" t="s">
        <v>50</v>
      </c>
      <c r="D1404" s="10"/>
      <c r="E1404" s="11" t="s">
        <v>51</v>
      </c>
      <c r="F1404" s="10"/>
      <c r="G1404" s="10">
        <v>0</v>
      </c>
      <c r="H1404" s="10">
        <f t="shared" si="21"/>
        <v>0</v>
      </c>
      <c r="I1404" s="10"/>
      <c r="J1404" s="10"/>
      <c r="K1404" s="10"/>
      <c r="L1404" s="4" t="s">
        <v>52</v>
      </c>
      <c r="M1404" s="4">
        <v>1399</v>
      </c>
    </row>
    <row r="1405" spans="1:13" x14ac:dyDescent="0.25">
      <c r="A1405" s="4" t="s">
        <v>1282</v>
      </c>
      <c r="B1405" s="4" t="s">
        <v>1286</v>
      </c>
      <c r="C1405" s="9" t="s">
        <v>50</v>
      </c>
      <c r="D1405" s="10"/>
      <c r="E1405" s="11" t="s">
        <v>51</v>
      </c>
      <c r="F1405" s="10"/>
      <c r="G1405" s="10">
        <v>0</v>
      </c>
      <c r="H1405" s="10">
        <f t="shared" si="21"/>
        <v>0</v>
      </c>
      <c r="I1405" s="10"/>
      <c r="J1405" s="10"/>
      <c r="K1405" s="10"/>
      <c r="L1405" s="4" t="s">
        <v>52</v>
      </c>
      <c r="M1405" s="4">
        <v>1400</v>
      </c>
    </row>
    <row r="1406" spans="1:13" x14ac:dyDescent="0.25">
      <c r="A1406" s="4" t="s">
        <v>1287</v>
      </c>
      <c r="B1406" s="4" t="s">
        <v>1288</v>
      </c>
      <c r="C1406" s="4" t="s">
        <v>65</v>
      </c>
      <c r="D1406" s="10"/>
      <c r="E1406" s="11" t="s">
        <v>51</v>
      </c>
      <c r="F1406" s="10"/>
      <c r="G1406" s="10">
        <v>0</v>
      </c>
      <c r="H1406" s="10">
        <f t="shared" si="21"/>
        <v>0</v>
      </c>
      <c r="I1406" s="10"/>
      <c r="J1406" s="10"/>
      <c r="K1406" s="10"/>
      <c r="L1406" s="4" t="s">
        <v>69</v>
      </c>
      <c r="M1406" s="4">
        <v>1401</v>
      </c>
    </row>
    <row r="1407" spans="1:13" x14ac:dyDescent="0.25">
      <c r="A1407" s="4" t="s">
        <v>1289</v>
      </c>
      <c r="B1407" s="4" t="s">
        <v>1290</v>
      </c>
      <c r="C1407" s="4" t="s">
        <v>65</v>
      </c>
      <c r="D1407" s="10">
        <v>52</v>
      </c>
      <c r="E1407" s="11" t="s">
        <v>51</v>
      </c>
      <c r="F1407" s="10"/>
      <c r="G1407" s="10">
        <v>0</v>
      </c>
      <c r="H1407" s="10">
        <f t="shared" si="21"/>
        <v>0</v>
      </c>
      <c r="I1407" s="10"/>
      <c r="J1407" s="10"/>
      <c r="K1407" s="10"/>
      <c r="L1407" s="4" t="s">
        <v>69</v>
      </c>
      <c r="M1407" s="4">
        <v>1402</v>
      </c>
    </row>
    <row r="1408" spans="1:13" x14ac:dyDescent="0.25">
      <c r="A1408" s="4" t="s">
        <v>1291</v>
      </c>
      <c r="B1408" s="4" t="s">
        <v>1292</v>
      </c>
      <c r="C1408" s="4" t="s">
        <v>65</v>
      </c>
      <c r="D1408" s="10">
        <v>36</v>
      </c>
      <c r="E1408" s="12" t="s">
        <v>66</v>
      </c>
      <c r="F1408" s="10">
        <v>4900</v>
      </c>
      <c r="G1408" s="10">
        <v>0</v>
      </c>
      <c r="H1408" s="10">
        <f t="shared" si="21"/>
        <v>4900</v>
      </c>
      <c r="I1408" s="10">
        <v>136.11111111111109</v>
      </c>
      <c r="J1408" s="10">
        <v>136.11111111111109</v>
      </c>
      <c r="K1408" s="10">
        <v>136.11111111111109</v>
      </c>
      <c r="L1408" s="4"/>
      <c r="M1408" s="4">
        <v>1403</v>
      </c>
    </row>
    <row r="1409" spans="1:13" x14ac:dyDescent="0.25">
      <c r="A1409" s="4" t="s">
        <v>1291</v>
      </c>
      <c r="B1409" s="4" t="s">
        <v>1293</v>
      </c>
      <c r="C1409" s="4" t="s">
        <v>68</v>
      </c>
      <c r="D1409" s="10">
        <v>292</v>
      </c>
      <c r="E1409" s="11" t="s">
        <v>51</v>
      </c>
      <c r="F1409" s="10">
        <v>2000</v>
      </c>
      <c r="G1409" s="10">
        <v>0</v>
      </c>
      <c r="H1409" s="10">
        <f t="shared" si="21"/>
        <v>2000</v>
      </c>
      <c r="I1409" s="10"/>
      <c r="J1409" s="10"/>
      <c r="K1409" s="10"/>
      <c r="L1409" s="4" t="s">
        <v>69</v>
      </c>
      <c r="M1409" s="4">
        <v>1404</v>
      </c>
    </row>
    <row r="1410" spans="1:13" x14ac:dyDescent="0.25">
      <c r="A1410" s="4" t="s">
        <v>1294</v>
      </c>
      <c r="B1410" s="4" t="s">
        <v>1295</v>
      </c>
      <c r="C1410" s="9" t="s">
        <v>50</v>
      </c>
      <c r="D1410" s="10">
        <v>25</v>
      </c>
      <c r="E1410" s="11" t="s">
        <v>51</v>
      </c>
      <c r="F1410" s="10">
        <v>2125</v>
      </c>
      <c r="G1410" s="10">
        <v>0</v>
      </c>
      <c r="H1410" s="10">
        <f t="shared" si="21"/>
        <v>2125</v>
      </c>
      <c r="I1410" s="10"/>
      <c r="J1410" s="10"/>
      <c r="K1410" s="10"/>
      <c r="L1410" s="4" t="s">
        <v>52</v>
      </c>
      <c r="M1410" s="4">
        <v>1405</v>
      </c>
    </row>
    <row r="1411" spans="1:13" x14ac:dyDescent="0.25">
      <c r="A1411" s="4" t="s">
        <v>1294</v>
      </c>
      <c r="B1411" s="4" t="s">
        <v>1296</v>
      </c>
      <c r="C1411" s="9" t="s">
        <v>50</v>
      </c>
      <c r="D1411" s="10">
        <v>8</v>
      </c>
      <c r="E1411" s="11" t="s">
        <v>51</v>
      </c>
      <c r="F1411" s="10">
        <v>2475</v>
      </c>
      <c r="G1411" s="10">
        <v>0</v>
      </c>
      <c r="H1411" s="10">
        <f t="shared" si="21"/>
        <v>2475</v>
      </c>
      <c r="I1411" s="10"/>
      <c r="J1411" s="10"/>
      <c r="K1411" s="10"/>
      <c r="L1411" s="4" t="s">
        <v>52</v>
      </c>
      <c r="M1411" s="4">
        <v>1406</v>
      </c>
    </row>
    <row r="1412" spans="1:13" x14ac:dyDescent="0.25">
      <c r="A1412" s="4" t="s">
        <v>1294</v>
      </c>
      <c r="B1412" s="4" t="s">
        <v>1297</v>
      </c>
      <c r="C1412" s="9" t="s">
        <v>50</v>
      </c>
      <c r="D1412" s="10">
        <v>22</v>
      </c>
      <c r="E1412" s="11" t="s">
        <v>51</v>
      </c>
      <c r="F1412" s="10">
        <v>680</v>
      </c>
      <c r="G1412" s="10">
        <v>0</v>
      </c>
      <c r="H1412" s="10">
        <f t="shared" si="21"/>
        <v>680</v>
      </c>
      <c r="I1412" s="10"/>
      <c r="J1412" s="10"/>
      <c r="K1412" s="10"/>
      <c r="L1412" s="4" t="s">
        <v>52</v>
      </c>
      <c r="M1412" s="4">
        <v>1407</v>
      </c>
    </row>
    <row r="1413" spans="1:13" x14ac:dyDescent="0.25">
      <c r="A1413" s="4" t="s">
        <v>1294</v>
      </c>
      <c r="B1413" s="4" t="s">
        <v>1298</v>
      </c>
      <c r="C1413" s="9" t="s">
        <v>50</v>
      </c>
      <c r="D1413" s="10">
        <v>14</v>
      </c>
      <c r="E1413" s="11" t="s">
        <v>51</v>
      </c>
      <c r="F1413" s="10">
        <v>680</v>
      </c>
      <c r="G1413" s="10">
        <v>0</v>
      </c>
      <c r="H1413" s="10">
        <f t="shared" si="21"/>
        <v>680</v>
      </c>
      <c r="I1413" s="10"/>
      <c r="J1413" s="10"/>
      <c r="K1413" s="10"/>
      <c r="L1413" s="4" t="s">
        <v>52</v>
      </c>
      <c r="M1413" s="4">
        <v>1408</v>
      </c>
    </row>
    <row r="1414" spans="1:13" x14ac:dyDescent="0.25">
      <c r="A1414" s="4" t="s">
        <v>1294</v>
      </c>
      <c r="B1414" s="4" t="s">
        <v>1299</v>
      </c>
      <c r="C1414" s="9" t="s">
        <v>50</v>
      </c>
      <c r="D1414" s="10">
        <v>76</v>
      </c>
      <c r="E1414" s="11" t="s">
        <v>51</v>
      </c>
      <c r="F1414" s="10">
        <v>680</v>
      </c>
      <c r="G1414" s="10">
        <v>0</v>
      </c>
      <c r="H1414" s="10">
        <f t="shared" ref="H1414:H1477" si="22">F1414-G1414</f>
        <v>680</v>
      </c>
      <c r="I1414" s="10"/>
      <c r="J1414" s="10"/>
      <c r="K1414" s="10"/>
      <c r="L1414" s="4" t="s">
        <v>52</v>
      </c>
      <c r="M1414" s="4">
        <v>1409</v>
      </c>
    </row>
    <row r="1415" spans="1:13" x14ac:dyDescent="0.25">
      <c r="A1415" s="4" t="s">
        <v>1294</v>
      </c>
      <c r="B1415" s="4" t="s">
        <v>1300</v>
      </c>
      <c r="C1415" s="9" t="s">
        <v>50</v>
      </c>
      <c r="D1415" s="10">
        <v>6</v>
      </c>
      <c r="E1415" s="11" t="s">
        <v>51</v>
      </c>
      <c r="F1415" s="10">
        <v>420</v>
      </c>
      <c r="G1415" s="10">
        <v>0</v>
      </c>
      <c r="H1415" s="10">
        <f t="shared" si="22"/>
        <v>420</v>
      </c>
      <c r="I1415" s="10"/>
      <c r="J1415" s="10"/>
      <c r="K1415" s="10"/>
      <c r="L1415" s="4" t="s">
        <v>52</v>
      </c>
      <c r="M1415" s="4">
        <v>1410</v>
      </c>
    </row>
    <row r="1416" spans="1:13" x14ac:dyDescent="0.25">
      <c r="A1416" s="4" t="s">
        <v>1294</v>
      </c>
      <c r="B1416" s="4" t="s">
        <v>1301</v>
      </c>
      <c r="C1416" s="9" t="s">
        <v>50</v>
      </c>
      <c r="D1416" s="10">
        <v>295.5</v>
      </c>
      <c r="E1416" s="11" t="s">
        <v>51</v>
      </c>
      <c r="F1416" s="10">
        <v>4900</v>
      </c>
      <c r="G1416" s="10">
        <v>0</v>
      </c>
      <c r="H1416" s="10">
        <f t="shared" si="22"/>
        <v>4900</v>
      </c>
      <c r="I1416" s="10"/>
      <c r="J1416" s="10"/>
      <c r="K1416" s="10"/>
      <c r="L1416" s="4" t="s">
        <v>52</v>
      </c>
      <c r="M1416" s="4">
        <v>1411</v>
      </c>
    </row>
    <row r="1417" spans="1:13" x14ac:dyDescent="0.25">
      <c r="A1417" s="4" t="s">
        <v>1302</v>
      </c>
      <c r="B1417" s="4" t="s">
        <v>1303</v>
      </c>
      <c r="C1417" s="4" t="s">
        <v>65</v>
      </c>
      <c r="D1417" s="10">
        <v>76</v>
      </c>
      <c r="E1417" s="12" t="s">
        <v>66</v>
      </c>
      <c r="F1417" s="10">
        <v>23000</v>
      </c>
      <c r="G1417" s="10">
        <v>0</v>
      </c>
      <c r="H1417" s="10">
        <f t="shared" si="22"/>
        <v>23000</v>
      </c>
      <c r="I1417" s="10">
        <v>77.834179357021995</v>
      </c>
      <c r="J1417" s="10">
        <v>77.834179357021995</v>
      </c>
      <c r="K1417" s="10">
        <v>77.834179357021995</v>
      </c>
      <c r="L1417" s="4"/>
      <c r="M1417" s="4">
        <v>1412</v>
      </c>
    </row>
    <row r="1418" spans="1:13" x14ac:dyDescent="0.25">
      <c r="A1418" s="4" t="s">
        <v>1304</v>
      </c>
      <c r="B1418" s="4" t="s">
        <v>1305</v>
      </c>
      <c r="C1418" s="9" t="s">
        <v>50</v>
      </c>
      <c r="D1418" s="10">
        <v>147</v>
      </c>
      <c r="E1418" s="11" t="s">
        <v>51</v>
      </c>
      <c r="F1418" s="10">
        <v>5750</v>
      </c>
      <c r="G1418" s="10">
        <v>0</v>
      </c>
      <c r="H1418" s="10">
        <f t="shared" si="22"/>
        <v>5750</v>
      </c>
      <c r="I1418" s="10"/>
      <c r="J1418" s="10"/>
      <c r="K1418" s="10"/>
      <c r="L1418" s="4" t="s">
        <v>52</v>
      </c>
      <c r="M1418" s="4">
        <v>1413</v>
      </c>
    </row>
    <row r="1419" spans="1:13" x14ac:dyDescent="0.25">
      <c r="A1419" s="4" t="s">
        <v>1306</v>
      </c>
      <c r="B1419" s="4" t="s">
        <v>136</v>
      </c>
      <c r="C1419" s="9" t="s">
        <v>50</v>
      </c>
      <c r="D1419" s="10">
        <v>16</v>
      </c>
      <c r="E1419" s="11" t="s">
        <v>51</v>
      </c>
      <c r="F1419" s="10">
        <v>1360</v>
      </c>
      <c r="G1419" s="10">
        <v>0</v>
      </c>
      <c r="H1419" s="10">
        <f t="shared" si="22"/>
        <v>1360</v>
      </c>
      <c r="I1419" s="10"/>
      <c r="J1419" s="10"/>
      <c r="K1419" s="10"/>
      <c r="L1419" s="4" t="s">
        <v>52</v>
      </c>
      <c r="M1419" s="4">
        <v>1414</v>
      </c>
    </row>
    <row r="1420" spans="1:13" x14ac:dyDescent="0.25">
      <c r="A1420" s="4" t="s">
        <v>1306</v>
      </c>
      <c r="B1420" s="4" t="s">
        <v>82</v>
      </c>
      <c r="C1420" s="9" t="s">
        <v>50</v>
      </c>
      <c r="D1420" s="10">
        <v>40</v>
      </c>
      <c r="E1420" s="11" t="s">
        <v>51</v>
      </c>
      <c r="F1420" s="10">
        <v>3400</v>
      </c>
      <c r="G1420" s="10">
        <v>0</v>
      </c>
      <c r="H1420" s="10">
        <f t="shared" si="22"/>
        <v>3400</v>
      </c>
      <c r="I1420" s="10"/>
      <c r="J1420" s="10"/>
      <c r="K1420" s="10"/>
      <c r="L1420" s="4" t="s">
        <v>52</v>
      </c>
      <c r="M1420" s="4">
        <v>1415</v>
      </c>
    </row>
    <row r="1421" spans="1:13" x14ac:dyDescent="0.25">
      <c r="A1421" s="4" t="s">
        <v>1306</v>
      </c>
      <c r="B1421" s="4" t="s">
        <v>88</v>
      </c>
      <c r="C1421" s="9" t="s">
        <v>50</v>
      </c>
      <c r="D1421" s="10">
        <v>178.75</v>
      </c>
      <c r="E1421" s="11" t="s">
        <v>51</v>
      </c>
      <c r="F1421" s="10">
        <v>1275</v>
      </c>
      <c r="G1421" s="10">
        <v>0</v>
      </c>
      <c r="H1421" s="10">
        <f t="shared" si="22"/>
        <v>1275</v>
      </c>
      <c r="I1421" s="10"/>
      <c r="J1421" s="10"/>
      <c r="K1421" s="10"/>
      <c r="L1421" s="4" t="s">
        <v>52</v>
      </c>
      <c r="M1421" s="4">
        <v>1416</v>
      </c>
    </row>
    <row r="1422" spans="1:13" x14ac:dyDescent="0.25">
      <c r="A1422" s="4" t="s">
        <v>1307</v>
      </c>
      <c r="B1422" s="4" t="s">
        <v>1308</v>
      </c>
      <c r="C1422" s="9" t="s">
        <v>50</v>
      </c>
      <c r="D1422" s="10">
        <v>10</v>
      </c>
      <c r="E1422" s="11" t="s">
        <v>51</v>
      </c>
      <c r="F1422" s="10">
        <v>500</v>
      </c>
      <c r="G1422" s="10">
        <v>0</v>
      </c>
      <c r="H1422" s="10">
        <f t="shared" si="22"/>
        <v>500</v>
      </c>
      <c r="I1422" s="10"/>
      <c r="J1422" s="10"/>
      <c r="K1422" s="10"/>
      <c r="L1422" s="4" t="s">
        <v>52</v>
      </c>
      <c r="M1422" s="4">
        <v>1417</v>
      </c>
    </row>
    <row r="1423" spans="1:13" x14ac:dyDescent="0.25">
      <c r="A1423" s="4" t="s">
        <v>1307</v>
      </c>
      <c r="B1423" s="4" t="s">
        <v>1309</v>
      </c>
      <c r="C1423" s="9" t="s">
        <v>50</v>
      </c>
      <c r="D1423" s="10">
        <v>178.75</v>
      </c>
      <c r="E1423" s="11" t="s">
        <v>51</v>
      </c>
      <c r="F1423" s="10">
        <v>8500</v>
      </c>
      <c r="G1423" s="10">
        <v>0</v>
      </c>
      <c r="H1423" s="10">
        <f t="shared" si="22"/>
        <v>8500</v>
      </c>
      <c r="I1423" s="10"/>
      <c r="J1423" s="10"/>
      <c r="K1423" s="10"/>
      <c r="L1423" s="4" t="s">
        <v>52</v>
      </c>
      <c r="M1423" s="4">
        <v>1418</v>
      </c>
    </row>
    <row r="1424" spans="1:13" x14ac:dyDescent="0.25">
      <c r="A1424" s="4" t="s">
        <v>1310</v>
      </c>
      <c r="B1424" s="4" t="s">
        <v>1311</v>
      </c>
      <c r="C1424" s="4" t="s">
        <v>65</v>
      </c>
      <c r="D1424" s="10">
        <v>67</v>
      </c>
      <c r="E1424" s="12" t="s">
        <v>66</v>
      </c>
      <c r="F1424" s="10">
        <v>2050</v>
      </c>
      <c r="G1424" s="10">
        <v>0</v>
      </c>
      <c r="H1424" s="10">
        <f t="shared" si="22"/>
        <v>2050</v>
      </c>
      <c r="I1424" s="10">
        <v>82</v>
      </c>
      <c r="J1424" s="10">
        <v>82</v>
      </c>
      <c r="K1424" s="10">
        <v>82</v>
      </c>
      <c r="L1424" s="4"/>
      <c r="M1424" s="4">
        <v>1419</v>
      </c>
    </row>
    <row r="1425" spans="1:13" x14ac:dyDescent="0.25">
      <c r="A1425" s="4" t="s">
        <v>1312</v>
      </c>
      <c r="B1425" s="4" t="s">
        <v>656</v>
      </c>
      <c r="C1425" s="4" t="s">
        <v>65</v>
      </c>
      <c r="D1425" s="10">
        <v>18</v>
      </c>
      <c r="E1425" s="12" t="s">
        <v>66</v>
      </c>
      <c r="F1425" s="10">
        <v>1450</v>
      </c>
      <c r="G1425" s="10">
        <v>0</v>
      </c>
      <c r="H1425" s="10">
        <f t="shared" si="22"/>
        <v>1450</v>
      </c>
      <c r="I1425" s="10">
        <v>80.555555555555557</v>
      </c>
      <c r="J1425" s="10">
        <v>80.555555555555557</v>
      </c>
      <c r="K1425" s="10">
        <v>80.555555555555557</v>
      </c>
      <c r="L1425" s="4"/>
      <c r="M1425" s="4">
        <v>1420</v>
      </c>
    </row>
    <row r="1426" spans="1:13" x14ac:dyDescent="0.25">
      <c r="A1426" s="4" t="s">
        <v>1312</v>
      </c>
      <c r="B1426" s="4" t="s">
        <v>657</v>
      </c>
      <c r="C1426" s="4" t="s">
        <v>65</v>
      </c>
      <c r="D1426" s="10">
        <v>14</v>
      </c>
      <c r="E1426" s="12" t="s">
        <v>66</v>
      </c>
      <c r="F1426" s="10">
        <v>1150</v>
      </c>
      <c r="G1426" s="10">
        <v>0</v>
      </c>
      <c r="H1426" s="10">
        <f t="shared" si="22"/>
        <v>1150</v>
      </c>
      <c r="I1426" s="10">
        <v>82.142857142857139</v>
      </c>
      <c r="J1426" s="10">
        <v>82.142857142857139</v>
      </c>
      <c r="K1426" s="10">
        <v>82.142857142857139</v>
      </c>
      <c r="L1426" s="4"/>
      <c r="M1426" s="4">
        <v>1421</v>
      </c>
    </row>
    <row r="1427" spans="1:13" x14ac:dyDescent="0.25">
      <c r="A1427" s="4" t="s">
        <v>1312</v>
      </c>
      <c r="B1427" s="4" t="s">
        <v>1313</v>
      </c>
      <c r="C1427" s="4" t="s">
        <v>65</v>
      </c>
      <c r="D1427" s="10">
        <v>46</v>
      </c>
      <c r="E1427" s="12" t="s">
        <v>66</v>
      </c>
      <c r="F1427" s="10">
        <v>850</v>
      </c>
      <c r="G1427" s="10">
        <v>0</v>
      </c>
      <c r="H1427" s="10">
        <f t="shared" si="22"/>
        <v>850</v>
      </c>
      <c r="I1427" s="10">
        <v>85</v>
      </c>
      <c r="J1427" s="10">
        <v>85</v>
      </c>
      <c r="K1427" s="10">
        <v>85</v>
      </c>
      <c r="L1427" s="4"/>
      <c r="M1427" s="4">
        <v>1422</v>
      </c>
    </row>
    <row r="1428" spans="1:13" x14ac:dyDescent="0.25">
      <c r="A1428" s="4" t="s">
        <v>1314</v>
      </c>
      <c r="B1428" s="4" t="s">
        <v>1315</v>
      </c>
      <c r="C1428" s="4" t="s">
        <v>65</v>
      </c>
      <c r="D1428" s="10">
        <v>16</v>
      </c>
      <c r="E1428" s="12" t="s">
        <v>66</v>
      </c>
      <c r="F1428" s="10">
        <v>1500</v>
      </c>
      <c r="G1428" s="10">
        <v>0</v>
      </c>
      <c r="H1428" s="10">
        <f t="shared" si="22"/>
        <v>1500</v>
      </c>
      <c r="I1428" s="10">
        <v>93.75</v>
      </c>
      <c r="J1428" s="10">
        <v>93.75</v>
      </c>
      <c r="K1428" s="10">
        <v>93.75</v>
      </c>
      <c r="L1428" s="4"/>
      <c r="M1428" s="4">
        <v>1423</v>
      </c>
    </row>
    <row r="1429" spans="1:13" x14ac:dyDescent="0.25">
      <c r="A1429" s="4" t="s">
        <v>1314</v>
      </c>
      <c r="B1429" s="4" t="s">
        <v>1316</v>
      </c>
      <c r="C1429" s="4" t="s">
        <v>68</v>
      </c>
      <c r="D1429" s="10">
        <v>30</v>
      </c>
      <c r="E1429" s="11" t="s">
        <v>51</v>
      </c>
      <c r="F1429" s="10">
        <v>2850</v>
      </c>
      <c r="G1429" s="10">
        <v>0</v>
      </c>
      <c r="H1429" s="10">
        <f t="shared" si="22"/>
        <v>2850</v>
      </c>
      <c r="I1429" s="10"/>
      <c r="J1429" s="10"/>
      <c r="K1429" s="10"/>
      <c r="L1429" s="4" t="s">
        <v>69</v>
      </c>
      <c r="M1429" s="4">
        <v>1424</v>
      </c>
    </row>
    <row r="1430" spans="1:13" x14ac:dyDescent="0.25">
      <c r="A1430" s="4" t="s">
        <v>1317</v>
      </c>
      <c r="B1430" s="4" t="s">
        <v>136</v>
      </c>
      <c r="C1430" s="9" t="s">
        <v>50</v>
      </c>
      <c r="D1430" s="10"/>
      <c r="E1430" s="11" t="s">
        <v>51</v>
      </c>
      <c r="F1430" s="10"/>
      <c r="G1430" s="10">
        <v>0</v>
      </c>
      <c r="H1430" s="10">
        <f t="shared" si="22"/>
        <v>0</v>
      </c>
      <c r="I1430" s="10"/>
      <c r="J1430" s="10"/>
      <c r="K1430" s="10"/>
      <c r="L1430" s="4" t="s">
        <v>52</v>
      </c>
      <c r="M1430" s="4">
        <v>1425</v>
      </c>
    </row>
    <row r="1431" spans="1:13" x14ac:dyDescent="0.25">
      <c r="A1431" s="4" t="s">
        <v>1317</v>
      </c>
      <c r="B1431" s="4" t="s">
        <v>82</v>
      </c>
      <c r="C1431" s="9" t="s">
        <v>50</v>
      </c>
      <c r="D1431" s="10"/>
      <c r="E1431" s="11" t="s">
        <v>51</v>
      </c>
      <c r="F1431" s="10"/>
      <c r="G1431" s="10">
        <v>0</v>
      </c>
      <c r="H1431" s="10">
        <f t="shared" si="22"/>
        <v>0</v>
      </c>
      <c r="I1431" s="10"/>
      <c r="J1431" s="10"/>
      <c r="K1431" s="10"/>
      <c r="L1431" s="4" t="s">
        <v>52</v>
      </c>
      <c r="M1431" s="4">
        <v>1426</v>
      </c>
    </row>
    <row r="1432" spans="1:13" x14ac:dyDescent="0.25">
      <c r="A1432" s="4" t="s">
        <v>1317</v>
      </c>
      <c r="B1432" s="4" t="s">
        <v>88</v>
      </c>
      <c r="C1432" s="9" t="s">
        <v>50</v>
      </c>
      <c r="D1432" s="10"/>
      <c r="E1432" s="11" t="s">
        <v>51</v>
      </c>
      <c r="F1432" s="10"/>
      <c r="G1432" s="10">
        <v>0</v>
      </c>
      <c r="H1432" s="10">
        <f t="shared" si="22"/>
        <v>0</v>
      </c>
      <c r="I1432" s="10"/>
      <c r="J1432" s="10"/>
      <c r="K1432" s="10"/>
      <c r="L1432" s="4" t="s">
        <v>52</v>
      </c>
      <c r="M1432" s="4">
        <v>1427</v>
      </c>
    </row>
    <row r="1433" spans="1:13" x14ac:dyDescent="0.25">
      <c r="A1433" s="4" t="s">
        <v>1317</v>
      </c>
      <c r="B1433" s="4" t="s">
        <v>137</v>
      </c>
      <c r="C1433" s="9" t="s">
        <v>50</v>
      </c>
      <c r="D1433" s="10"/>
      <c r="E1433" s="11" t="s">
        <v>51</v>
      </c>
      <c r="F1433" s="10"/>
      <c r="G1433" s="10">
        <v>0</v>
      </c>
      <c r="H1433" s="10">
        <f t="shared" si="22"/>
        <v>0</v>
      </c>
      <c r="I1433" s="10"/>
      <c r="J1433" s="10"/>
      <c r="K1433" s="10"/>
      <c r="L1433" s="4" t="s">
        <v>52</v>
      </c>
      <c r="M1433" s="4">
        <v>1428</v>
      </c>
    </row>
    <row r="1434" spans="1:13" x14ac:dyDescent="0.25">
      <c r="A1434" s="4" t="s">
        <v>1317</v>
      </c>
      <c r="B1434" s="4" t="s">
        <v>272</v>
      </c>
      <c r="C1434" s="9" t="s">
        <v>50</v>
      </c>
      <c r="D1434" s="10"/>
      <c r="E1434" s="11" t="s">
        <v>51</v>
      </c>
      <c r="F1434" s="10"/>
      <c r="G1434" s="10">
        <v>0</v>
      </c>
      <c r="H1434" s="10">
        <f t="shared" si="22"/>
        <v>0</v>
      </c>
      <c r="I1434" s="10"/>
      <c r="J1434" s="10"/>
      <c r="K1434" s="10"/>
      <c r="L1434" s="4" t="s">
        <v>52</v>
      </c>
      <c r="M1434" s="4">
        <v>1429</v>
      </c>
    </row>
    <row r="1435" spans="1:13" x14ac:dyDescent="0.25">
      <c r="A1435" s="4" t="s">
        <v>1317</v>
      </c>
      <c r="B1435" s="4" t="s">
        <v>107</v>
      </c>
      <c r="C1435" s="9" t="s">
        <v>50</v>
      </c>
      <c r="D1435" s="10">
        <v>157</v>
      </c>
      <c r="E1435" s="11" t="s">
        <v>51</v>
      </c>
      <c r="F1435" s="10"/>
      <c r="G1435" s="10">
        <v>0</v>
      </c>
      <c r="H1435" s="10">
        <f t="shared" si="22"/>
        <v>0</v>
      </c>
      <c r="I1435" s="10"/>
      <c r="J1435" s="10"/>
      <c r="K1435" s="10"/>
      <c r="L1435" s="4" t="s">
        <v>52</v>
      </c>
      <c r="M1435" s="4">
        <v>1430</v>
      </c>
    </row>
    <row r="1436" spans="1:13" x14ac:dyDescent="0.25">
      <c r="A1436" s="4" t="s">
        <v>1318</v>
      </c>
      <c r="B1436" s="4" t="s">
        <v>136</v>
      </c>
      <c r="C1436" s="9" t="s">
        <v>50</v>
      </c>
      <c r="D1436" s="10"/>
      <c r="E1436" s="11" t="s">
        <v>51</v>
      </c>
      <c r="F1436" s="10"/>
      <c r="G1436" s="10">
        <v>0</v>
      </c>
      <c r="H1436" s="10">
        <f t="shared" si="22"/>
        <v>0</v>
      </c>
      <c r="I1436" s="10"/>
      <c r="J1436" s="10"/>
      <c r="K1436" s="10"/>
      <c r="L1436" s="4" t="s">
        <v>52</v>
      </c>
      <c r="M1436" s="4">
        <v>1431</v>
      </c>
    </row>
    <row r="1437" spans="1:13" x14ac:dyDescent="0.25">
      <c r="A1437" s="4" t="s">
        <v>1318</v>
      </c>
      <c r="B1437" s="4" t="s">
        <v>82</v>
      </c>
      <c r="C1437" s="9" t="s">
        <v>50</v>
      </c>
      <c r="D1437" s="10">
        <v>24</v>
      </c>
      <c r="E1437" s="11" t="s">
        <v>51</v>
      </c>
      <c r="F1437" s="10">
        <v>1700</v>
      </c>
      <c r="G1437" s="10">
        <v>0</v>
      </c>
      <c r="H1437" s="10">
        <f t="shared" si="22"/>
        <v>1700</v>
      </c>
      <c r="I1437" s="10"/>
      <c r="J1437" s="10"/>
      <c r="K1437" s="10"/>
      <c r="L1437" s="4" t="s">
        <v>52</v>
      </c>
      <c r="M1437" s="4">
        <v>1432</v>
      </c>
    </row>
    <row r="1438" spans="1:13" x14ac:dyDescent="0.25">
      <c r="A1438" s="4" t="s">
        <v>1318</v>
      </c>
      <c r="B1438" s="4" t="s">
        <v>88</v>
      </c>
      <c r="C1438" s="9" t="s">
        <v>50</v>
      </c>
      <c r="D1438" s="10">
        <v>32</v>
      </c>
      <c r="E1438" s="11" t="s">
        <v>51</v>
      </c>
      <c r="F1438" s="10">
        <v>2300</v>
      </c>
      <c r="G1438" s="10">
        <v>0</v>
      </c>
      <c r="H1438" s="10">
        <f t="shared" si="22"/>
        <v>2300</v>
      </c>
      <c r="I1438" s="10"/>
      <c r="J1438" s="10"/>
      <c r="K1438" s="10"/>
      <c r="L1438" s="4" t="s">
        <v>52</v>
      </c>
      <c r="M1438" s="4">
        <v>1433</v>
      </c>
    </row>
    <row r="1439" spans="1:13" x14ac:dyDescent="0.25">
      <c r="A1439" s="4" t="s">
        <v>1318</v>
      </c>
      <c r="B1439" s="4" t="s">
        <v>137</v>
      </c>
      <c r="C1439" s="9" t="s">
        <v>50</v>
      </c>
      <c r="D1439" s="10">
        <v>27</v>
      </c>
      <c r="E1439" s="11" t="s">
        <v>51</v>
      </c>
      <c r="F1439" s="10">
        <v>1900</v>
      </c>
      <c r="G1439" s="10">
        <v>0</v>
      </c>
      <c r="H1439" s="10">
        <f t="shared" si="22"/>
        <v>1900</v>
      </c>
      <c r="I1439" s="10"/>
      <c r="J1439" s="10"/>
      <c r="K1439" s="10"/>
      <c r="L1439" s="4" t="s">
        <v>52</v>
      </c>
      <c r="M1439" s="4">
        <v>1434</v>
      </c>
    </row>
    <row r="1440" spans="1:13" x14ac:dyDescent="0.25">
      <c r="A1440" s="4" t="s">
        <v>1318</v>
      </c>
      <c r="B1440" s="4" t="s">
        <v>106</v>
      </c>
      <c r="C1440" s="9" t="s">
        <v>50</v>
      </c>
      <c r="D1440" s="10">
        <v>27</v>
      </c>
      <c r="E1440" s="11" t="s">
        <v>51</v>
      </c>
      <c r="F1440" s="10">
        <v>1900</v>
      </c>
      <c r="G1440" s="10">
        <v>0</v>
      </c>
      <c r="H1440" s="10">
        <f t="shared" si="22"/>
        <v>1900</v>
      </c>
      <c r="I1440" s="10"/>
      <c r="J1440" s="10"/>
      <c r="K1440" s="10"/>
      <c r="L1440" s="4" t="s">
        <v>52</v>
      </c>
      <c r="M1440" s="4">
        <v>1435</v>
      </c>
    </row>
    <row r="1441" spans="1:13" x14ac:dyDescent="0.25">
      <c r="A1441" s="4" t="s">
        <v>1318</v>
      </c>
      <c r="B1441" s="4" t="s">
        <v>107</v>
      </c>
      <c r="C1441" s="9" t="s">
        <v>50</v>
      </c>
      <c r="D1441" s="10">
        <v>19</v>
      </c>
      <c r="E1441" s="11" t="s">
        <v>51</v>
      </c>
      <c r="F1441" s="10">
        <v>3300</v>
      </c>
      <c r="G1441" s="10">
        <v>0</v>
      </c>
      <c r="H1441" s="10">
        <f t="shared" si="22"/>
        <v>3300</v>
      </c>
      <c r="I1441" s="10"/>
      <c r="J1441" s="10"/>
      <c r="K1441" s="10"/>
      <c r="L1441" s="4" t="s">
        <v>52</v>
      </c>
      <c r="M1441" s="4">
        <v>1436</v>
      </c>
    </row>
    <row r="1442" spans="1:13" x14ac:dyDescent="0.25">
      <c r="A1442" s="4" t="s">
        <v>1319</v>
      </c>
      <c r="B1442" s="4" t="s">
        <v>1320</v>
      </c>
      <c r="C1442" s="4" t="s">
        <v>68</v>
      </c>
      <c r="D1442" s="10">
        <v>17</v>
      </c>
      <c r="E1442" s="11" t="s">
        <v>51</v>
      </c>
      <c r="F1442" s="10">
        <v>1800</v>
      </c>
      <c r="G1442" s="10">
        <v>0</v>
      </c>
      <c r="H1442" s="10">
        <f t="shared" si="22"/>
        <v>1800</v>
      </c>
      <c r="I1442" s="10"/>
      <c r="J1442" s="10"/>
      <c r="K1442" s="10"/>
      <c r="L1442" s="4" t="s">
        <v>69</v>
      </c>
      <c r="M1442" s="4">
        <v>1437</v>
      </c>
    </row>
    <row r="1443" spans="1:13" x14ac:dyDescent="0.25">
      <c r="A1443" s="4" t="s">
        <v>1319</v>
      </c>
      <c r="B1443" s="4" t="s">
        <v>1321</v>
      </c>
      <c r="C1443" s="9" t="s">
        <v>50</v>
      </c>
      <c r="D1443" s="10">
        <v>46</v>
      </c>
      <c r="E1443" s="11" t="s">
        <v>51</v>
      </c>
      <c r="F1443" s="10"/>
      <c r="G1443" s="10">
        <v>0</v>
      </c>
      <c r="H1443" s="10">
        <f t="shared" si="22"/>
        <v>0</v>
      </c>
      <c r="I1443" s="10"/>
      <c r="J1443" s="10"/>
      <c r="K1443" s="10"/>
      <c r="L1443" s="4" t="s">
        <v>52</v>
      </c>
      <c r="M1443" s="4">
        <v>1438</v>
      </c>
    </row>
    <row r="1444" spans="1:13" x14ac:dyDescent="0.25">
      <c r="A1444" s="4" t="s">
        <v>1322</v>
      </c>
      <c r="B1444" s="4" t="s">
        <v>1323</v>
      </c>
      <c r="C1444" s="9" t="s">
        <v>50</v>
      </c>
      <c r="D1444" s="10">
        <v>19</v>
      </c>
      <c r="E1444" s="11" t="s">
        <v>51</v>
      </c>
      <c r="F1444" s="10">
        <v>1650</v>
      </c>
      <c r="G1444" s="10">
        <v>0</v>
      </c>
      <c r="H1444" s="10">
        <f t="shared" si="22"/>
        <v>1650</v>
      </c>
      <c r="I1444" s="10"/>
      <c r="J1444" s="10"/>
      <c r="K1444" s="10"/>
      <c r="L1444" s="4" t="s">
        <v>52</v>
      </c>
      <c r="M1444" s="4">
        <v>1439</v>
      </c>
    </row>
    <row r="1445" spans="1:13" x14ac:dyDescent="0.25">
      <c r="A1445" s="4" t="s">
        <v>1322</v>
      </c>
      <c r="B1445" s="4" t="s">
        <v>421</v>
      </c>
      <c r="C1445" s="9" t="s">
        <v>50</v>
      </c>
      <c r="D1445" s="10">
        <v>38</v>
      </c>
      <c r="E1445" s="11" t="s">
        <v>51</v>
      </c>
      <c r="F1445" s="10">
        <v>2565</v>
      </c>
      <c r="G1445" s="10">
        <v>0</v>
      </c>
      <c r="H1445" s="10">
        <f t="shared" si="22"/>
        <v>2565</v>
      </c>
      <c r="I1445" s="10"/>
      <c r="J1445" s="10"/>
      <c r="K1445" s="10"/>
      <c r="L1445" s="4" t="s">
        <v>52</v>
      </c>
      <c r="M1445" s="4">
        <v>1440</v>
      </c>
    </row>
    <row r="1446" spans="1:13" x14ac:dyDescent="0.25">
      <c r="A1446" s="4" t="s">
        <v>1324</v>
      </c>
      <c r="B1446" s="4" t="s">
        <v>1325</v>
      </c>
      <c r="C1446" s="4" t="s">
        <v>65</v>
      </c>
      <c r="D1446" s="10">
        <v>41</v>
      </c>
      <c r="E1446" s="12" t="s">
        <v>66</v>
      </c>
      <c r="F1446" s="10">
        <v>1100</v>
      </c>
      <c r="G1446" s="10">
        <v>0</v>
      </c>
      <c r="H1446" s="10">
        <f t="shared" si="22"/>
        <v>1100</v>
      </c>
      <c r="I1446" s="10">
        <v>100</v>
      </c>
      <c r="J1446" s="10">
        <v>100</v>
      </c>
      <c r="K1446" s="10">
        <v>100</v>
      </c>
      <c r="L1446" s="4"/>
      <c r="M1446" s="4">
        <v>1441</v>
      </c>
    </row>
    <row r="1447" spans="1:13" x14ac:dyDescent="0.25">
      <c r="A1447" s="4" t="s">
        <v>1326</v>
      </c>
      <c r="B1447" s="4" t="s">
        <v>1315</v>
      </c>
      <c r="C1447" s="4" t="s">
        <v>65</v>
      </c>
      <c r="D1447" s="10">
        <v>1616</v>
      </c>
      <c r="E1447" s="12" t="s">
        <v>66</v>
      </c>
      <c r="F1447" s="10">
        <v>3500</v>
      </c>
      <c r="G1447" s="10">
        <v>0</v>
      </c>
      <c r="H1447" s="10">
        <f t="shared" si="22"/>
        <v>3500</v>
      </c>
      <c r="I1447" s="10">
        <v>116.6666666666667</v>
      </c>
      <c r="J1447" s="10">
        <v>116.6666666666667</v>
      </c>
      <c r="K1447" s="10">
        <v>116.6666666666667</v>
      </c>
      <c r="L1447" s="4"/>
      <c r="M1447" s="4">
        <v>1442</v>
      </c>
    </row>
    <row r="1448" spans="1:13" x14ac:dyDescent="0.25">
      <c r="A1448" s="4" t="s">
        <v>1327</v>
      </c>
      <c r="B1448" s="4" t="s">
        <v>136</v>
      </c>
      <c r="C1448" s="9" t="s">
        <v>50</v>
      </c>
      <c r="D1448" s="10">
        <v>46</v>
      </c>
      <c r="E1448" s="11" t="s">
        <v>51</v>
      </c>
      <c r="F1448" s="10">
        <v>12500</v>
      </c>
      <c r="G1448" s="10">
        <v>0</v>
      </c>
      <c r="H1448" s="10">
        <f t="shared" si="22"/>
        <v>12500</v>
      </c>
      <c r="I1448" s="10"/>
      <c r="J1448" s="10"/>
      <c r="K1448" s="10"/>
      <c r="L1448" s="4" t="s">
        <v>52</v>
      </c>
      <c r="M1448" s="4">
        <v>1443</v>
      </c>
    </row>
    <row r="1449" spans="1:13" x14ac:dyDescent="0.25">
      <c r="A1449" s="4" t="s">
        <v>1327</v>
      </c>
      <c r="B1449" s="4" t="s">
        <v>82</v>
      </c>
      <c r="C1449" s="9" t="s">
        <v>50</v>
      </c>
      <c r="D1449" s="10">
        <v>13.5</v>
      </c>
      <c r="E1449" s="11" t="s">
        <v>51</v>
      </c>
      <c r="F1449" s="10">
        <v>5450</v>
      </c>
      <c r="G1449" s="10">
        <v>0</v>
      </c>
      <c r="H1449" s="10">
        <f t="shared" si="22"/>
        <v>5450</v>
      </c>
      <c r="I1449" s="10"/>
      <c r="J1449" s="10"/>
      <c r="K1449" s="10"/>
      <c r="L1449" s="4" t="s">
        <v>52</v>
      </c>
      <c r="M1449" s="4">
        <v>1444</v>
      </c>
    </row>
    <row r="1450" spans="1:13" x14ac:dyDescent="0.25">
      <c r="A1450" s="4" t="s">
        <v>1327</v>
      </c>
      <c r="B1450" s="4" t="s">
        <v>88</v>
      </c>
      <c r="C1450" s="9" t="s">
        <v>50</v>
      </c>
      <c r="D1450" s="10">
        <v>662</v>
      </c>
      <c r="E1450" s="11" t="s">
        <v>51</v>
      </c>
      <c r="F1450" s="10">
        <v>43300</v>
      </c>
      <c r="G1450" s="10">
        <v>0</v>
      </c>
      <c r="H1450" s="10">
        <f t="shared" si="22"/>
        <v>43300</v>
      </c>
      <c r="I1450" s="10"/>
      <c r="J1450" s="10"/>
      <c r="K1450" s="10"/>
      <c r="L1450" s="4" t="s">
        <v>52</v>
      </c>
      <c r="M1450" s="4">
        <v>1445</v>
      </c>
    </row>
    <row r="1451" spans="1:13" x14ac:dyDescent="0.25">
      <c r="A1451" s="4" t="s">
        <v>1327</v>
      </c>
      <c r="B1451" s="4" t="s">
        <v>137</v>
      </c>
      <c r="C1451" s="9" t="s">
        <v>50</v>
      </c>
      <c r="D1451" s="10">
        <v>503.5</v>
      </c>
      <c r="E1451" s="11" t="s">
        <v>51</v>
      </c>
      <c r="F1451" s="10">
        <v>29350</v>
      </c>
      <c r="G1451" s="10">
        <v>0</v>
      </c>
      <c r="H1451" s="10">
        <f t="shared" si="22"/>
        <v>29350</v>
      </c>
      <c r="I1451" s="10"/>
      <c r="J1451" s="10"/>
      <c r="K1451" s="10"/>
      <c r="L1451" s="4" t="s">
        <v>52</v>
      </c>
      <c r="M1451" s="4">
        <v>1446</v>
      </c>
    </row>
    <row r="1452" spans="1:13" x14ac:dyDescent="0.25">
      <c r="A1452" s="4" t="s">
        <v>1327</v>
      </c>
      <c r="B1452" s="4" t="s">
        <v>1328</v>
      </c>
      <c r="C1452" s="9" t="s">
        <v>50</v>
      </c>
      <c r="D1452" s="10">
        <v>61</v>
      </c>
      <c r="E1452" s="11" t="s">
        <v>51</v>
      </c>
      <c r="F1452" s="10">
        <v>3050</v>
      </c>
      <c r="G1452" s="10">
        <v>0</v>
      </c>
      <c r="H1452" s="10">
        <f t="shared" si="22"/>
        <v>3050</v>
      </c>
      <c r="I1452" s="10"/>
      <c r="J1452" s="10"/>
      <c r="K1452" s="10"/>
      <c r="L1452" s="4" t="s">
        <v>52</v>
      </c>
      <c r="M1452" s="4">
        <v>1447</v>
      </c>
    </row>
    <row r="1453" spans="1:13" x14ac:dyDescent="0.25">
      <c r="A1453" s="4" t="s">
        <v>1327</v>
      </c>
      <c r="B1453" s="4" t="s">
        <v>106</v>
      </c>
      <c r="C1453" s="9" t="s">
        <v>50</v>
      </c>
      <c r="D1453" s="10">
        <v>675</v>
      </c>
      <c r="E1453" s="11" t="s">
        <v>51</v>
      </c>
      <c r="F1453" s="10">
        <v>26650</v>
      </c>
      <c r="G1453" s="10">
        <v>0</v>
      </c>
      <c r="H1453" s="10">
        <f t="shared" si="22"/>
        <v>26650</v>
      </c>
      <c r="I1453" s="10"/>
      <c r="J1453" s="10"/>
      <c r="K1453" s="10"/>
      <c r="L1453" s="4" t="s">
        <v>52</v>
      </c>
      <c r="M1453" s="4">
        <v>1448</v>
      </c>
    </row>
    <row r="1454" spans="1:13" x14ac:dyDescent="0.25">
      <c r="A1454" s="4" t="s">
        <v>1329</v>
      </c>
      <c r="B1454" s="4" t="s">
        <v>88</v>
      </c>
      <c r="C1454" s="9" t="s">
        <v>50</v>
      </c>
      <c r="D1454" s="10">
        <v>323</v>
      </c>
      <c r="E1454" s="11" t="s">
        <v>51</v>
      </c>
      <c r="F1454" s="10">
        <v>25150</v>
      </c>
      <c r="G1454" s="10">
        <v>0</v>
      </c>
      <c r="H1454" s="10">
        <f t="shared" si="22"/>
        <v>25150</v>
      </c>
      <c r="I1454" s="10"/>
      <c r="J1454" s="10"/>
      <c r="K1454" s="10"/>
      <c r="L1454" s="4" t="s">
        <v>52</v>
      </c>
      <c r="M1454" s="4">
        <v>1449</v>
      </c>
    </row>
    <row r="1455" spans="1:13" x14ac:dyDescent="0.25">
      <c r="A1455" s="4" t="s">
        <v>1329</v>
      </c>
      <c r="B1455" s="4" t="s">
        <v>1330</v>
      </c>
      <c r="C1455" s="9" t="s">
        <v>50</v>
      </c>
      <c r="D1455" s="10">
        <v>1033</v>
      </c>
      <c r="E1455" s="11" t="s">
        <v>51</v>
      </c>
      <c r="F1455" s="10">
        <v>3000</v>
      </c>
      <c r="G1455" s="10">
        <v>0</v>
      </c>
      <c r="H1455" s="10">
        <f t="shared" si="22"/>
        <v>3000</v>
      </c>
      <c r="I1455" s="10"/>
      <c r="J1455" s="10"/>
      <c r="K1455" s="10"/>
      <c r="L1455" s="4" t="s">
        <v>52</v>
      </c>
      <c r="M1455" s="4">
        <v>1450</v>
      </c>
    </row>
    <row r="1456" spans="1:13" x14ac:dyDescent="0.25">
      <c r="A1456" s="4" t="s">
        <v>1331</v>
      </c>
      <c r="B1456" s="4" t="s">
        <v>88</v>
      </c>
      <c r="C1456" s="9" t="s">
        <v>50</v>
      </c>
      <c r="D1456" s="10">
        <v>3300</v>
      </c>
      <c r="E1456" s="11" t="s">
        <v>51</v>
      </c>
      <c r="F1456" s="10">
        <v>240697.5</v>
      </c>
      <c r="G1456" s="10">
        <v>0</v>
      </c>
      <c r="H1456" s="10">
        <f t="shared" si="22"/>
        <v>240697.5</v>
      </c>
      <c r="I1456" s="10"/>
      <c r="J1456" s="10"/>
      <c r="K1456" s="10"/>
      <c r="L1456" s="4" t="s">
        <v>52</v>
      </c>
      <c r="M1456" s="4">
        <v>1451</v>
      </c>
    </row>
    <row r="1457" spans="1:13" x14ac:dyDescent="0.25">
      <c r="A1457" s="4" t="s">
        <v>1332</v>
      </c>
      <c r="B1457" s="4" t="s">
        <v>107</v>
      </c>
      <c r="C1457" s="9" t="s">
        <v>50</v>
      </c>
      <c r="D1457" s="10">
        <v>3044</v>
      </c>
      <c r="E1457" s="11" t="s">
        <v>51</v>
      </c>
      <c r="F1457" s="10">
        <v>208200</v>
      </c>
      <c r="G1457" s="10">
        <v>0</v>
      </c>
      <c r="H1457" s="10">
        <f t="shared" si="22"/>
        <v>208200</v>
      </c>
      <c r="I1457" s="10"/>
      <c r="J1457" s="10"/>
      <c r="K1457" s="10"/>
      <c r="L1457" s="4" t="s">
        <v>52</v>
      </c>
      <c r="M1457" s="4">
        <v>1452</v>
      </c>
    </row>
    <row r="1458" spans="1:13" x14ac:dyDescent="0.25">
      <c r="A1458" s="4" t="s">
        <v>1333</v>
      </c>
      <c r="B1458" s="4" t="s">
        <v>1334</v>
      </c>
      <c r="C1458" s="9" t="s">
        <v>50</v>
      </c>
      <c r="D1458" s="10">
        <v>291</v>
      </c>
      <c r="E1458" s="11" t="s">
        <v>51</v>
      </c>
      <c r="F1458" s="10">
        <v>3264</v>
      </c>
      <c r="G1458" s="10">
        <v>0</v>
      </c>
      <c r="H1458" s="10">
        <f t="shared" si="22"/>
        <v>3264</v>
      </c>
      <c r="I1458" s="10"/>
      <c r="J1458" s="10"/>
      <c r="K1458" s="10"/>
      <c r="L1458" s="4" t="s">
        <v>52</v>
      </c>
      <c r="M1458" s="4">
        <v>1453</v>
      </c>
    </row>
    <row r="1459" spans="1:13" x14ac:dyDescent="0.25">
      <c r="A1459" s="4" t="s">
        <v>1335</v>
      </c>
      <c r="B1459" s="4" t="s">
        <v>1336</v>
      </c>
      <c r="C1459" s="9" t="s">
        <v>50</v>
      </c>
      <c r="D1459" s="10">
        <v>291</v>
      </c>
      <c r="E1459" s="11" t="s">
        <v>51</v>
      </c>
      <c r="F1459" s="10">
        <v>22650</v>
      </c>
      <c r="G1459" s="10">
        <v>0</v>
      </c>
      <c r="H1459" s="10">
        <f t="shared" si="22"/>
        <v>22650</v>
      </c>
      <c r="I1459" s="10"/>
      <c r="J1459" s="10"/>
      <c r="K1459" s="10"/>
      <c r="L1459" s="4" t="s">
        <v>52</v>
      </c>
      <c r="M1459" s="4">
        <v>1454</v>
      </c>
    </row>
    <row r="1460" spans="1:13" x14ac:dyDescent="0.25">
      <c r="A1460" s="4" t="s">
        <v>1337</v>
      </c>
      <c r="B1460" s="4" t="s">
        <v>1338</v>
      </c>
      <c r="C1460" s="9" t="s">
        <v>50</v>
      </c>
      <c r="D1460" s="10">
        <v>220</v>
      </c>
      <c r="E1460" s="11" t="s">
        <v>51</v>
      </c>
      <c r="F1460" s="10">
        <v>3800</v>
      </c>
      <c r="G1460" s="10">
        <v>0</v>
      </c>
      <c r="H1460" s="10">
        <f t="shared" si="22"/>
        <v>3800</v>
      </c>
      <c r="I1460" s="10"/>
      <c r="J1460" s="10"/>
      <c r="K1460" s="10"/>
      <c r="L1460" s="4" t="s">
        <v>52</v>
      </c>
      <c r="M1460" s="4">
        <v>1455</v>
      </c>
    </row>
    <row r="1461" spans="1:13" x14ac:dyDescent="0.25">
      <c r="A1461" s="4" t="s">
        <v>1339</v>
      </c>
      <c r="B1461" s="4" t="s">
        <v>1340</v>
      </c>
      <c r="C1461" s="9" t="s">
        <v>50</v>
      </c>
      <c r="D1461" s="10">
        <v>380</v>
      </c>
      <c r="E1461" s="11" t="s">
        <v>51</v>
      </c>
      <c r="F1461" s="10">
        <v>3520</v>
      </c>
      <c r="G1461" s="10">
        <v>0</v>
      </c>
      <c r="H1461" s="10">
        <f t="shared" si="22"/>
        <v>3520</v>
      </c>
      <c r="I1461" s="10"/>
      <c r="J1461" s="10"/>
      <c r="K1461" s="10"/>
      <c r="L1461" s="4" t="s">
        <v>52</v>
      </c>
      <c r="M1461" s="4">
        <v>1456</v>
      </c>
    </row>
    <row r="1462" spans="1:13" x14ac:dyDescent="0.25">
      <c r="A1462" s="4" t="s">
        <v>1341</v>
      </c>
      <c r="B1462" s="4" t="s">
        <v>1342</v>
      </c>
      <c r="C1462" s="9" t="s">
        <v>50</v>
      </c>
      <c r="D1462" s="10">
        <v>106</v>
      </c>
      <c r="E1462" s="11" t="s">
        <v>51</v>
      </c>
      <c r="F1462" s="10">
        <v>3520</v>
      </c>
      <c r="G1462" s="10">
        <v>0</v>
      </c>
      <c r="H1462" s="10">
        <f t="shared" si="22"/>
        <v>3520</v>
      </c>
      <c r="I1462" s="10"/>
      <c r="J1462" s="10"/>
      <c r="K1462" s="10"/>
      <c r="L1462" s="4" t="s">
        <v>52</v>
      </c>
      <c r="M1462" s="4">
        <v>1457</v>
      </c>
    </row>
    <row r="1463" spans="1:13" x14ac:dyDescent="0.25">
      <c r="A1463" s="4" t="s">
        <v>1343</v>
      </c>
      <c r="B1463" s="4" t="s">
        <v>1344</v>
      </c>
      <c r="C1463" s="9" t="s">
        <v>50</v>
      </c>
      <c r="D1463" s="10">
        <v>138</v>
      </c>
      <c r="E1463" s="11" t="s">
        <v>51</v>
      </c>
      <c r="F1463" s="10"/>
      <c r="G1463" s="10">
        <v>0</v>
      </c>
      <c r="H1463" s="10">
        <f t="shared" si="22"/>
        <v>0</v>
      </c>
      <c r="I1463" s="10"/>
      <c r="J1463" s="10"/>
      <c r="K1463" s="10"/>
      <c r="L1463" s="4" t="s">
        <v>52</v>
      </c>
      <c r="M1463" s="4">
        <v>1458</v>
      </c>
    </row>
    <row r="1464" spans="1:13" x14ac:dyDescent="0.25">
      <c r="A1464" s="4" t="s">
        <v>1345</v>
      </c>
      <c r="B1464" s="4" t="s">
        <v>1346</v>
      </c>
      <c r="C1464" s="4" t="s">
        <v>68</v>
      </c>
      <c r="D1464" s="10">
        <v>24</v>
      </c>
      <c r="E1464" s="11" t="s">
        <v>51</v>
      </c>
      <c r="F1464" s="10"/>
      <c r="G1464" s="10">
        <v>0</v>
      </c>
      <c r="H1464" s="10">
        <f t="shared" si="22"/>
        <v>0</v>
      </c>
      <c r="I1464" s="10"/>
      <c r="J1464" s="10"/>
      <c r="K1464" s="10"/>
      <c r="L1464" s="4" t="s">
        <v>69</v>
      </c>
      <c r="M1464" s="4">
        <v>1459</v>
      </c>
    </row>
    <row r="1465" spans="1:13" x14ac:dyDescent="0.25">
      <c r="A1465" s="4" t="s">
        <v>1345</v>
      </c>
      <c r="B1465" s="4" t="s">
        <v>1347</v>
      </c>
      <c r="C1465" s="9" t="s">
        <v>50</v>
      </c>
      <c r="D1465" s="10"/>
      <c r="E1465" s="11" t="s">
        <v>51</v>
      </c>
      <c r="F1465" s="10"/>
      <c r="G1465" s="10">
        <v>0</v>
      </c>
      <c r="H1465" s="10">
        <f t="shared" si="22"/>
        <v>0</v>
      </c>
      <c r="I1465" s="10"/>
      <c r="J1465" s="10"/>
      <c r="K1465" s="10"/>
      <c r="L1465" s="4" t="s">
        <v>52</v>
      </c>
      <c r="M1465" s="4">
        <v>1460</v>
      </c>
    </row>
    <row r="1466" spans="1:13" x14ac:dyDescent="0.25">
      <c r="A1466" s="4" t="s">
        <v>1348</v>
      </c>
      <c r="B1466" s="4" t="s">
        <v>404</v>
      </c>
      <c r="C1466" s="9" t="s">
        <v>50</v>
      </c>
      <c r="D1466" s="10"/>
      <c r="E1466" s="11" t="s">
        <v>51</v>
      </c>
      <c r="F1466" s="10"/>
      <c r="G1466" s="10">
        <v>0</v>
      </c>
      <c r="H1466" s="10">
        <f t="shared" si="22"/>
        <v>0</v>
      </c>
      <c r="I1466" s="10"/>
      <c r="J1466" s="10"/>
      <c r="K1466" s="10"/>
      <c r="L1466" s="4" t="s">
        <v>52</v>
      </c>
      <c r="M1466" s="4">
        <v>1461</v>
      </c>
    </row>
    <row r="1467" spans="1:13" x14ac:dyDescent="0.25">
      <c r="A1467" s="4" t="s">
        <v>1348</v>
      </c>
      <c r="B1467" s="4" t="s">
        <v>270</v>
      </c>
      <c r="C1467" s="9" t="s">
        <v>50</v>
      </c>
      <c r="D1467" s="10">
        <v>55</v>
      </c>
      <c r="E1467" s="11" t="s">
        <v>51</v>
      </c>
      <c r="F1467" s="10"/>
      <c r="G1467" s="10">
        <v>0</v>
      </c>
      <c r="H1467" s="10">
        <f t="shared" si="22"/>
        <v>0</v>
      </c>
      <c r="I1467" s="10"/>
      <c r="J1467" s="10"/>
      <c r="K1467" s="10"/>
      <c r="L1467" s="4" t="s">
        <v>52</v>
      </c>
      <c r="M1467" s="4">
        <v>1462</v>
      </c>
    </row>
    <row r="1468" spans="1:13" x14ac:dyDescent="0.25">
      <c r="A1468" s="4" t="s">
        <v>1349</v>
      </c>
      <c r="B1468" s="4" t="s">
        <v>88</v>
      </c>
      <c r="C1468" s="9" t="s">
        <v>50</v>
      </c>
      <c r="D1468" s="10">
        <v>155</v>
      </c>
      <c r="E1468" s="11" t="s">
        <v>51</v>
      </c>
      <c r="F1468" s="10">
        <v>5225</v>
      </c>
      <c r="G1468" s="10">
        <v>0</v>
      </c>
      <c r="H1468" s="10">
        <f t="shared" si="22"/>
        <v>5225</v>
      </c>
      <c r="I1468" s="10"/>
      <c r="J1468" s="10"/>
      <c r="K1468" s="10"/>
      <c r="L1468" s="4" t="s">
        <v>52</v>
      </c>
      <c r="M1468" s="4">
        <v>1463</v>
      </c>
    </row>
    <row r="1469" spans="1:13" x14ac:dyDescent="0.25">
      <c r="A1469" s="4" t="s">
        <v>1350</v>
      </c>
      <c r="B1469" s="4" t="s">
        <v>1351</v>
      </c>
      <c r="C1469" s="4" t="s">
        <v>68</v>
      </c>
      <c r="D1469" s="10">
        <v>50</v>
      </c>
      <c r="E1469" s="11" t="s">
        <v>51</v>
      </c>
      <c r="F1469" s="10">
        <v>3500</v>
      </c>
      <c r="G1469" s="10">
        <v>0</v>
      </c>
      <c r="H1469" s="10">
        <f t="shared" si="22"/>
        <v>3500</v>
      </c>
      <c r="I1469" s="10"/>
      <c r="J1469" s="10"/>
      <c r="K1469" s="10"/>
      <c r="L1469" s="4" t="s">
        <v>69</v>
      </c>
      <c r="M1469" s="4">
        <v>1464</v>
      </c>
    </row>
    <row r="1470" spans="1:13" x14ac:dyDescent="0.25">
      <c r="A1470" s="4" t="s">
        <v>1350</v>
      </c>
      <c r="B1470" s="4" t="s">
        <v>1352</v>
      </c>
      <c r="C1470" s="4" t="s">
        <v>68</v>
      </c>
      <c r="D1470" s="10">
        <v>129</v>
      </c>
      <c r="E1470" s="11" t="s">
        <v>51</v>
      </c>
      <c r="F1470" s="10">
        <v>3500</v>
      </c>
      <c r="G1470" s="10">
        <v>0</v>
      </c>
      <c r="H1470" s="10">
        <f t="shared" si="22"/>
        <v>3500</v>
      </c>
      <c r="I1470" s="10"/>
      <c r="J1470" s="10"/>
      <c r="K1470" s="10"/>
      <c r="L1470" s="4" t="s">
        <v>69</v>
      </c>
      <c r="M1470" s="4">
        <v>1465</v>
      </c>
    </row>
    <row r="1471" spans="1:13" x14ac:dyDescent="0.25">
      <c r="A1471" s="4" t="s">
        <v>1353</v>
      </c>
      <c r="B1471" s="4" t="s">
        <v>1354</v>
      </c>
      <c r="C1471" s="4" t="s">
        <v>65</v>
      </c>
      <c r="D1471" s="10">
        <v>77</v>
      </c>
      <c r="E1471" s="12" t="s">
        <v>66</v>
      </c>
      <c r="F1471" s="10">
        <v>6200</v>
      </c>
      <c r="G1471" s="10">
        <v>0</v>
      </c>
      <c r="H1471" s="10">
        <f t="shared" si="22"/>
        <v>6200</v>
      </c>
      <c r="I1471" s="10">
        <v>80.519480519480524</v>
      </c>
      <c r="J1471" s="10">
        <v>80.519480519480524</v>
      </c>
      <c r="K1471" s="10">
        <v>80.519480519480524</v>
      </c>
      <c r="L1471" s="4"/>
      <c r="M1471" s="4">
        <v>1466</v>
      </c>
    </row>
    <row r="1472" spans="1:13" x14ac:dyDescent="0.25">
      <c r="A1472" s="4" t="s">
        <v>1353</v>
      </c>
      <c r="B1472" s="4" t="s">
        <v>1355</v>
      </c>
      <c r="C1472" s="4" t="s">
        <v>65</v>
      </c>
      <c r="D1472" s="10">
        <v>324</v>
      </c>
      <c r="E1472" s="12" t="s">
        <v>66</v>
      </c>
      <c r="F1472" s="10">
        <v>4200</v>
      </c>
      <c r="G1472" s="10">
        <v>0</v>
      </c>
      <c r="H1472" s="10">
        <f t="shared" si="22"/>
        <v>4200</v>
      </c>
      <c r="I1472" s="10">
        <v>80.769230769230774</v>
      </c>
      <c r="J1472" s="10">
        <v>80.769230769230774</v>
      </c>
      <c r="K1472" s="10">
        <v>80.769230769230774</v>
      </c>
      <c r="L1472" s="4"/>
      <c r="M1472" s="4">
        <v>1467</v>
      </c>
    </row>
    <row r="1473" spans="1:13" x14ac:dyDescent="0.25">
      <c r="A1473" s="4" t="s">
        <v>1356</v>
      </c>
      <c r="B1473" s="4" t="s">
        <v>1357</v>
      </c>
      <c r="C1473" s="9" t="s">
        <v>50</v>
      </c>
      <c r="D1473" s="10">
        <v>40</v>
      </c>
      <c r="E1473" s="11" t="s">
        <v>51</v>
      </c>
      <c r="F1473" s="10">
        <v>3600</v>
      </c>
      <c r="G1473" s="10">
        <v>0</v>
      </c>
      <c r="H1473" s="10">
        <f t="shared" si="22"/>
        <v>3600</v>
      </c>
      <c r="I1473" s="10">
        <v>90</v>
      </c>
      <c r="J1473" s="10">
        <v>90</v>
      </c>
      <c r="K1473" s="10">
        <v>90</v>
      </c>
      <c r="L1473" s="4" t="s">
        <v>259</v>
      </c>
      <c r="M1473" s="4">
        <v>1468</v>
      </c>
    </row>
    <row r="1474" spans="1:13" x14ac:dyDescent="0.25">
      <c r="A1474" s="4" t="s">
        <v>1356</v>
      </c>
      <c r="B1474" s="4" t="s">
        <v>1358</v>
      </c>
      <c r="C1474" s="9" t="s">
        <v>50</v>
      </c>
      <c r="D1474" s="10">
        <v>180</v>
      </c>
      <c r="E1474" s="11" t="s">
        <v>51</v>
      </c>
      <c r="F1474" s="10">
        <v>10900</v>
      </c>
      <c r="G1474" s="10">
        <v>0</v>
      </c>
      <c r="H1474" s="10">
        <f t="shared" si="22"/>
        <v>10900</v>
      </c>
      <c r="I1474" s="10"/>
      <c r="J1474" s="10"/>
      <c r="K1474" s="10"/>
      <c r="L1474" s="4" t="s">
        <v>52</v>
      </c>
      <c r="M1474" s="4">
        <v>1469</v>
      </c>
    </row>
    <row r="1475" spans="1:13" x14ac:dyDescent="0.25">
      <c r="A1475" s="4" t="s">
        <v>1356</v>
      </c>
      <c r="B1475" s="4" t="s">
        <v>1359</v>
      </c>
      <c r="C1475" s="4" t="s">
        <v>68</v>
      </c>
      <c r="D1475" s="10">
        <v>92</v>
      </c>
      <c r="E1475" s="12" t="s">
        <v>66</v>
      </c>
      <c r="F1475" s="10">
        <v>7720</v>
      </c>
      <c r="G1475" s="10">
        <v>0</v>
      </c>
      <c r="H1475" s="10">
        <f t="shared" si="22"/>
        <v>7720</v>
      </c>
      <c r="I1475" s="10">
        <v>83.913043478260875</v>
      </c>
      <c r="J1475" s="10">
        <v>83.913043478260875</v>
      </c>
      <c r="K1475" s="10">
        <v>83.913043478260875</v>
      </c>
      <c r="L1475" s="4"/>
      <c r="M1475" s="4">
        <v>1470</v>
      </c>
    </row>
    <row r="1476" spans="1:13" x14ac:dyDescent="0.25">
      <c r="A1476" s="4" t="s">
        <v>1356</v>
      </c>
      <c r="B1476" s="4" t="s">
        <v>1360</v>
      </c>
      <c r="C1476" s="4" t="s">
        <v>68</v>
      </c>
      <c r="D1476" s="10">
        <v>132</v>
      </c>
      <c r="E1476" s="11" t="s">
        <v>51</v>
      </c>
      <c r="F1476" s="10">
        <v>3600</v>
      </c>
      <c r="G1476" s="10">
        <v>0</v>
      </c>
      <c r="H1476" s="10">
        <f t="shared" si="22"/>
        <v>3600</v>
      </c>
      <c r="I1476" s="10"/>
      <c r="J1476" s="10"/>
      <c r="K1476" s="10"/>
      <c r="L1476" s="4" t="s">
        <v>69</v>
      </c>
      <c r="M1476" s="4">
        <v>1471</v>
      </c>
    </row>
    <row r="1477" spans="1:13" x14ac:dyDescent="0.25">
      <c r="A1477" s="4" t="s">
        <v>1356</v>
      </c>
      <c r="B1477" s="4" t="s">
        <v>1361</v>
      </c>
      <c r="C1477" s="4" t="s">
        <v>68</v>
      </c>
      <c r="D1477" s="10">
        <v>20</v>
      </c>
      <c r="E1477" s="11" t="s">
        <v>51</v>
      </c>
      <c r="F1477" s="10">
        <v>1800</v>
      </c>
      <c r="G1477" s="10">
        <v>0</v>
      </c>
      <c r="H1477" s="10">
        <f t="shared" si="22"/>
        <v>1800</v>
      </c>
      <c r="I1477" s="10"/>
      <c r="J1477" s="10"/>
      <c r="K1477" s="10"/>
      <c r="L1477" s="4" t="s">
        <v>69</v>
      </c>
      <c r="M1477" s="4">
        <v>1472</v>
      </c>
    </row>
    <row r="1478" spans="1:13" x14ac:dyDescent="0.25">
      <c r="A1478" s="4" t="s">
        <v>1356</v>
      </c>
      <c r="B1478" s="4" t="s">
        <v>1362</v>
      </c>
      <c r="C1478" s="4" t="s">
        <v>68</v>
      </c>
      <c r="D1478" s="10">
        <v>56</v>
      </c>
      <c r="E1478" s="11" t="s">
        <v>51</v>
      </c>
      <c r="F1478" s="10">
        <v>5040</v>
      </c>
      <c r="G1478" s="10">
        <v>0</v>
      </c>
      <c r="H1478" s="10">
        <f t="shared" ref="H1478:H1541" si="23">F1478-G1478</f>
        <v>5040</v>
      </c>
      <c r="I1478" s="10"/>
      <c r="J1478" s="10"/>
      <c r="K1478" s="10"/>
      <c r="L1478" s="4" t="s">
        <v>69</v>
      </c>
      <c r="M1478" s="4">
        <v>1473</v>
      </c>
    </row>
    <row r="1479" spans="1:13" x14ac:dyDescent="0.25">
      <c r="A1479" s="4" t="s">
        <v>1356</v>
      </c>
      <c r="B1479" s="4" t="s">
        <v>1363</v>
      </c>
      <c r="C1479" s="9" t="s">
        <v>50</v>
      </c>
      <c r="D1479" s="10">
        <v>16</v>
      </c>
      <c r="E1479" s="11" t="s">
        <v>51</v>
      </c>
      <c r="F1479" s="10">
        <v>1050</v>
      </c>
      <c r="G1479" s="10">
        <v>0</v>
      </c>
      <c r="H1479" s="10">
        <f t="shared" si="23"/>
        <v>1050</v>
      </c>
      <c r="I1479" s="10"/>
      <c r="J1479" s="10"/>
      <c r="K1479" s="10"/>
      <c r="L1479" s="4" t="s">
        <v>52</v>
      </c>
      <c r="M1479" s="4">
        <v>1474</v>
      </c>
    </row>
    <row r="1480" spans="1:13" x14ac:dyDescent="0.25">
      <c r="A1480" s="4" t="s">
        <v>1364</v>
      </c>
      <c r="B1480" s="4" t="s">
        <v>136</v>
      </c>
      <c r="C1480" s="9" t="s">
        <v>50</v>
      </c>
      <c r="D1480" s="10"/>
      <c r="E1480" s="11" t="s">
        <v>51</v>
      </c>
      <c r="F1480" s="10"/>
      <c r="G1480" s="10">
        <v>0</v>
      </c>
      <c r="H1480" s="10">
        <f t="shared" si="23"/>
        <v>0</v>
      </c>
      <c r="I1480" s="10"/>
      <c r="J1480" s="10"/>
      <c r="K1480" s="10"/>
      <c r="L1480" s="4" t="s">
        <v>52</v>
      </c>
      <c r="M1480" s="4">
        <v>1475</v>
      </c>
    </row>
    <row r="1481" spans="1:13" x14ac:dyDescent="0.25">
      <c r="A1481" s="4" t="s">
        <v>1364</v>
      </c>
      <c r="B1481" s="4" t="s">
        <v>88</v>
      </c>
      <c r="C1481" s="9" t="s">
        <v>50</v>
      </c>
      <c r="D1481" s="10">
        <v>34</v>
      </c>
      <c r="E1481" s="11" t="s">
        <v>51</v>
      </c>
      <c r="F1481" s="10"/>
      <c r="G1481" s="10">
        <v>0</v>
      </c>
      <c r="H1481" s="10">
        <f t="shared" si="23"/>
        <v>0</v>
      </c>
      <c r="I1481" s="10"/>
      <c r="J1481" s="10"/>
      <c r="K1481" s="10"/>
      <c r="L1481" s="4" t="s">
        <v>52</v>
      </c>
      <c r="M1481" s="4">
        <v>1476</v>
      </c>
    </row>
    <row r="1482" spans="1:13" x14ac:dyDescent="0.25">
      <c r="A1482" s="4" t="s">
        <v>1365</v>
      </c>
      <c r="B1482" s="4" t="s">
        <v>634</v>
      </c>
      <c r="C1482" s="4" t="s">
        <v>65</v>
      </c>
      <c r="D1482" s="10">
        <v>18</v>
      </c>
      <c r="E1482" s="12" t="s">
        <v>66</v>
      </c>
      <c r="F1482" s="10">
        <v>2450</v>
      </c>
      <c r="G1482" s="10">
        <v>0</v>
      </c>
      <c r="H1482" s="10">
        <f t="shared" si="23"/>
        <v>2450</v>
      </c>
      <c r="I1482" s="10">
        <v>136.11111111111109</v>
      </c>
      <c r="J1482" s="10">
        <v>136.11111111111109</v>
      </c>
      <c r="K1482" s="10">
        <v>136.11111111111109</v>
      </c>
      <c r="L1482" s="4"/>
      <c r="M1482" s="4">
        <v>1477</v>
      </c>
    </row>
    <row r="1483" spans="1:13" x14ac:dyDescent="0.25">
      <c r="A1483" s="4" t="s">
        <v>1365</v>
      </c>
      <c r="B1483" s="4" t="s">
        <v>1366</v>
      </c>
      <c r="C1483" s="4" t="s">
        <v>68</v>
      </c>
      <c r="D1483" s="10">
        <v>272</v>
      </c>
      <c r="E1483" s="11" t="s">
        <v>51</v>
      </c>
      <c r="F1483" s="10">
        <v>2000</v>
      </c>
      <c r="G1483" s="10">
        <v>0</v>
      </c>
      <c r="H1483" s="10">
        <f t="shared" si="23"/>
        <v>2000</v>
      </c>
      <c r="I1483" s="10"/>
      <c r="J1483" s="10"/>
      <c r="K1483" s="10"/>
      <c r="L1483" s="4" t="s">
        <v>69</v>
      </c>
      <c r="M1483" s="4">
        <v>1478</v>
      </c>
    </row>
    <row r="1484" spans="1:13" x14ac:dyDescent="0.25">
      <c r="A1484" s="4" t="s">
        <v>1367</v>
      </c>
      <c r="B1484" s="4" t="s">
        <v>1368</v>
      </c>
      <c r="C1484" s="9" t="s">
        <v>50</v>
      </c>
      <c r="D1484" s="10">
        <v>167</v>
      </c>
      <c r="E1484" s="11" t="s">
        <v>51</v>
      </c>
      <c r="F1484" s="10">
        <v>17144</v>
      </c>
      <c r="G1484" s="10">
        <v>0</v>
      </c>
      <c r="H1484" s="10">
        <f t="shared" si="23"/>
        <v>17144</v>
      </c>
      <c r="I1484" s="10"/>
      <c r="J1484" s="10"/>
      <c r="K1484" s="10"/>
      <c r="L1484" s="4" t="s">
        <v>52</v>
      </c>
      <c r="M1484" s="4">
        <v>1479</v>
      </c>
    </row>
    <row r="1485" spans="1:13" x14ac:dyDescent="0.25">
      <c r="A1485" s="4" t="s">
        <v>1367</v>
      </c>
      <c r="B1485" s="4" t="s">
        <v>1369</v>
      </c>
      <c r="C1485" s="9" t="s">
        <v>50</v>
      </c>
      <c r="D1485" s="10">
        <v>55</v>
      </c>
      <c r="E1485" s="11" t="s">
        <v>51</v>
      </c>
      <c r="F1485" s="10">
        <v>7808</v>
      </c>
      <c r="G1485" s="10">
        <v>0</v>
      </c>
      <c r="H1485" s="10">
        <f t="shared" si="23"/>
        <v>7808</v>
      </c>
      <c r="I1485" s="10"/>
      <c r="J1485" s="10"/>
      <c r="K1485" s="10"/>
      <c r="L1485" s="4" t="s">
        <v>52</v>
      </c>
      <c r="M1485" s="4">
        <v>1480</v>
      </c>
    </row>
    <row r="1486" spans="1:13" x14ac:dyDescent="0.25">
      <c r="A1486" s="4" t="s">
        <v>1367</v>
      </c>
      <c r="B1486" s="4" t="s">
        <v>1370</v>
      </c>
      <c r="C1486" s="9" t="s">
        <v>50</v>
      </c>
      <c r="D1486" s="10">
        <v>108</v>
      </c>
      <c r="E1486" s="11" t="s">
        <v>51</v>
      </c>
      <c r="F1486" s="10">
        <v>12200</v>
      </c>
      <c r="G1486" s="10">
        <v>0</v>
      </c>
      <c r="H1486" s="10">
        <f t="shared" si="23"/>
        <v>12200</v>
      </c>
      <c r="I1486" s="10"/>
      <c r="J1486" s="10"/>
      <c r="K1486" s="10"/>
      <c r="L1486" s="4" t="s">
        <v>52</v>
      </c>
      <c r="M1486" s="4">
        <v>1481</v>
      </c>
    </row>
    <row r="1487" spans="1:13" x14ac:dyDescent="0.25">
      <c r="A1487" s="4" t="s">
        <v>1371</v>
      </c>
      <c r="B1487" s="4" t="s">
        <v>1372</v>
      </c>
      <c r="C1487" s="4" t="s">
        <v>65</v>
      </c>
      <c r="D1487" s="10">
        <v>122</v>
      </c>
      <c r="E1487" s="12" t="s">
        <v>66</v>
      </c>
      <c r="F1487" s="10">
        <v>3350</v>
      </c>
      <c r="G1487" s="10">
        <v>0</v>
      </c>
      <c r="H1487" s="10">
        <f t="shared" si="23"/>
        <v>3350</v>
      </c>
      <c r="I1487" s="10">
        <v>139.58333333333329</v>
      </c>
      <c r="J1487" s="10">
        <v>139.58333333333329</v>
      </c>
      <c r="K1487" s="10">
        <v>139.58333333333329</v>
      </c>
      <c r="L1487" s="4"/>
      <c r="M1487" s="4">
        <v>1482</v>
      </c>
    </row>
    <row r="1488" spans="1:13" x14ac:dyDescent="0.25">
      <c r="A1488" s="4" t="s">
        <v>1373</v>
      </c>
      <c r="B1488" s="4" t="s">
        <v>634</v>
      </c>
      <c r="C1488" s="4" t="s">
        <v>65</v>
      </c>
      <c r="D1488" s="10">
        <v>56</v>
      </c>
      <c r="E1488" s="12" t="s">
        <v>66</v>
      </c>
      <c r="F1488" s="10">
        <v>7750</v>
      </c>
      <c r="G1488" s="10">
        <v>0</v>
      </c>
      <c r="H1488" s="10">
        <f t="shared" si="23"/>
        <v>7750</v>
      </c>
      <c r="I1488" s="10">
        <v>138.39285714285711</v>
      </c>
      <c r="J1488" s="10">
        <v>138.39285714285711</v>
      </c>
      <c r="K1488" s="10">
        <v>138.39285714285711</v>
      </c>
      <c r="L1488" s="4"/>
      <c r="M1488" s="4">
        <v>1483</v>
      </c>
    </row>
    <row r="1489" spans="1:13" x14ac:dyDescent="0.25">
      <c r="A1489" s="4" t="s">
        <v>1373</v>
      </c>
      <c r="B1489" s="4" t="s">
        <v>1374</v>
      </c>
      <c r="C1489" s="4" t="s">
        <v>68</v>
      </c>
      <c r="D1489" s="10">
        <v>10</v>
      </c>
      <c r="E1489" s="11" t="s">
        <v>51</v>
      </c>
      <c r="F1489" s="10">
        <v>5040</v>
      </c>
      <c r="G1489" s="10">
        <v>0</v>
      </c>
      <c r="H1489" s="10">
        <f t="shared" si="23"/>
        <v>5040</v>
      </c>
      <c r="I1489" s="10"/>
      <c r="J1489" s="10"/>
      <c r="K1489" s="10"/>
      <c r="L1489" s="4" t="s">
        <v>69</v>
      </c>
      <c r="M1489" s="4">
        <v>1484</v>
      </c>
    </row>
    <row r="1490" spans="1:13" x14ac:dyDescent="0.25">
      <c r="A1490" s="4" t="s">
        <v>1375</v>
      </c>
      <c r="B1490" s="4" t="s">
        <v>1376</v>
      </c>
      <c r="C1490" s="4" t="s">
        <v>65</v>
      </c>
      <c r="D1490" s="10">
        <v>4216.5</v>
      </c>
      <c r="E1490" s="12" t="s">
        <v>66</v>
      </c>
      <c r="F1490" s="10">
        <v>1250</v>
      </c>
      <c r="G1490" s="10">
        <v>0</v>
      </c>
      <c r="H1490" s="10">
        <f t="shared" si="23"/>
        <v>1250</v>
      </c>
      <c r="I1490" s="10">
        <v>125</v>
      </c>
      <c r="J1490" s="10">
        <v>125</v>
      </c>
      <c r="K1490" s="10">
        <v>125</v>
      </c>
      <c r="L1490" s="4"/>
      <c r="M1490" s="4">
        <v>1485</v>
      </c>
    </row>
    <row r="1491" spans="1:13" x14ac:dyDescent="0.25">
      <c r="A1491" s="4" t="s">
        <v>1377</v>
      </c>
      <c r="B1491" s="4" t="s">
        <v>136</v>
      </c>
      <c r="C1491" s="9" t="s">
        <v>50</v>
      </c>
      <c r="D1491" s="10">
        <v>26.5</v>
      </c>
      <c r="E1491" s="11" t="s">
        <v>51</v>
      </c>
      <c r="F1491" s="10">
        <v>2300</v>
      </c>
      <c r="G1491" s="10">
        <v>0</v>
      </c>
      <c r="H1491" s="10">
        <f t="shared" si="23"/>
        <v>2300</v>
      </c>
      <c r="I1491" s="10"/>
      <c r="J1491" s="10"/>
      <c r="K1491" s="10"/>
      <c r="L1491" s="4" t="s">
        <v>52</v>
      </c>
      <c r="M1491" s="4">
        <v>1486</v>
      </c>
    </row>
    <row r="1492" spans="1:13" x14ac:dyDescent="0.25">
      <c r="A1492" s="4" t="s">
        <v>1377</v>
      </c>
      <c r="B1492" s="4" t="s">
        <v>82</v>
      </c>
      <c r="C1492" s="9" t="s">
        <v>50</v>
      </c>
      <c r="D1492" s="10">
        <v>559</v>
      </c>
      <c r="E1492" s="11" t="s">
        <v>51</v>
      </c>
      <c r="F1492" s="10">
        <v>47500</v>
      </c>
      <c r="G1492" s="10">
        <v>0</v>
      </c>
      <c r="H1492" s="10">
        <f t="shared" si="23"/>
        <v>47500</v>
      </c>
      <c r="I1492" s="10"/>
      <c r="J1492" s="10"/>
      <c r="K1492" s="10"/>
      <c r="L1492" s="4" t="s">
        <v>52</v>
      </c>
      <c r="M1492" s="4">
        <v>1487</v>
      </c>
    </row>
    <row r="1493" spans="1:13" x14ac:dyDescent="0.25">
      <c r="A1493" s="4" t="s">
        <v>1377</v>
      </c>
      <c r="B1493" s="4" t="s">
        <v>88</v>
      </c>
      <c r="C1493" s="9" t="s">
        <v>50</v>
      </c>
      <c r="D1493" s="10">
        <v>578</v>
      </c>
      <c r="E1493" s="11" t="s">
        <v>51</v>
      </c>
      <c r="F1493" s="10">
        <v>49200</v>
      </c>
      <c r="G1493" s="10">
        <v>0</v>
      </c>
      <c r="H1493" s="10">
        <f t="shared" si="23"/>
        <v>49200</v>
      </c>
      <c r="I1493" s="10"/>
      <c r="J1493" s="10"/>
      <c r="K1493" s="10"/>
      <c r="L1493" s="4" t="s">
        <v>52</v>
      </c>
      <c r="M1493" s="4">
        <v>1488</v>
      </c>
    </row>
    <row r="1494" spans="1:13" x14ac:dyDescent="0.25">
      <c r="A1494" s="4" t="s">
        <v>1377</v>
      </c>
      <c r="B1494" s="4" t="s">
        <v>137</v>
      </c>
      <c r="C1494" s="9" t="s">
        <v>50</v>
      </c>
      <c r="D1494" s="10">
        <v>479.5</v>
      </c>
      <c r="E1494" s="11" t="s">
        <v>51</v>
      </c>
      <c r="F1494" s="10">
        <v>40800</v>
      </c>
      <c r="G1494" s="10">
        <v>0</v>
      </c>
      <c r="H1494" s="10">
        <f t="shared" si="23"/>
        <v>40800</v>
      </c>
      <c r="I1494" s="10"/>
      <c r="J1494" s="10"/>
      <c r="K1494" s="10"/>
      <c r="L1494" s="4" t="s">
        <v>52</v>
      </c>
      <c r="M1494" s="4">
        <v>1489</v>
      </c>
    </row>
    <row r="1495" spans="1:13" x14ac:dyDescent="0.25">
      <c r="A1495" s="4" t="s">
        <v>1377</v>
      </c>
      <c r="B1495" s="4" t="s">
        <v>537</v>
      </c>
      <c r="C1495" s="9" t="s">
        <v>50</v>
      </c>
      <c r="D1495" s="10">
        <v>16</v>
      </c>
      <c r="E1495" s="11" t="s">
        <v>51</v>
      </c>
      <c r="F1495" s="10">
        <v>1360</v>
      </c>
      <c r="G1495" s="10">
        <v>0</v>
      </c>
      <c r="H1495" s="10">
        <f t="shared" si="23"/>
        <v>1360</v>
      </c>
      <c r="I1495" s="10">
        <v>85</v>
      </c>
      <c r="J1495" s="10">
        <v>85</v>
      </c>
      <c r="K1495" s="10">
        <v>85</v>
      </c>
      <c r="L1495" s="4" t="s">
        <v>259</v>
      </c>
      <c r="M1495" s="4">
        <v>1490</v>
      </c>
    </row>
    <row r="1496" spans="1:13" x14ac:dyDescent="0.25">
      <c r="A1496" s="4" t="s">
        <v>1377</v>
      </c>
      <c r="B1496" s="4" t="s">
        <v>106</v>
      </c>
      <c r="C1496" s="9" t="s">
        <v>50</v>
      </c>
      <c r="D1496" s="10">
        <v>652.5</v>
      </c>
      <c r="E1496" s="11" t="s">
        <v>51</v>
      </c>
      <c r="F1496" s="10">
        <v>55500</v>
      </c>
      <c r="G1496" s="10">
        <v>0</v>
      </c>
      <c r="H1496" s="10">
        <f t="shared" si="23"/>
        <v>55500</v>
      </c>
      <c r="I1496" s="10"/>
      <c r="J1496" s="10"/>
      <c r="K1496" s="10"/>
      <c r="L1496" s="4" t="s">
        <v>52</v>
      </c>
      <c r="M1496" s="4">
        <v>1491</v>
      </c>
    </row>
    <row r="1497" spans="1:13" x14ac:dyDescent="0.25">
      <c r="A1497" s="4" t="s">
        <v>1377</v>
      </c>
      <c r="B1497" s="4" t="s">
        <v>271</v>
      </c>
      <c r="C1497" s="9" t="s">
        <v>50</v>
      </c>
      <c r="D1497" s="10">
        <v>23.5</v>
      </c>
      <c r="E1497" s="11" t="s">
        <v>51</v>
      </c>
      <c r="F1497" s="10">
        <v>2000</v>
      </c>
      <c r="G1497" s="10">
        <v>0</v>
      </c>
      <c r="H1497" s="10">
        <f t="shared" si="23"/>
        <v>2000</v>
      </c>
      <c r="I1497" s="10"/>
      <c r="J1497" s="10"/>
      <c r="K1497" s="10"/>
      <c r="L1497" s="4" t="s">
        <v>52</v>
      </c>
      <c r="M1497" s="4">
        <v>1492</v>
      </c>
    </row>
    <row r="1498" spans="1:13" x14ac:dyDescent="0.25">
      <c r="A1498" s="4" t="s">
        <v>1377</v>
      </c>
      <c r="B1498" s="4" t="s">
        <v>272</v>
      </c>
      <c r="C1498" s="9" t="s">
        <v>50</v>
      </c>
      <c r="D1498" s="10">
        <v>7</v>
      </c>
      <c r="E1498" s="11" t="s">
        <v>51</v>
      </c>
      <c r="F1498" s="10">
        <v>600</v>
      </c>
      <c r="G1498" s="10">
        <v>0</v>
      </c>
      <c r="H1498" s="10">
        <f t="shared" si="23"/>
        <v>600</v>
      </c>
      <c r="I1498" s="10"/>
      <c r="J1498" s="10"/>
      <c r="K1498" s="10"/>
      <c r="L1498" s="4" t="s">
        <v>52</v>
      </c>
      <c r="M1498" s="4">
        <v>1493</v>
      </c>
    </row>
    <row r="1499" spans="1:13" x14ac:dyDescent="0.25">
      <c r="A1499" s="4" t="s">
        <v>1377</v>
      </c>
      <c r="B1499" s="4" t="s">
        <v>107</v>
      </c>
      <c r="C1499" s="9" t="s">
        <v>50</v>
      </c>
      <c r="D1499" s="10">
        <v>1516</v>
      </c>
      <c r="E1499" s="11" t="s">
        <v>51</v>
      </c>
      <c r="F1499" s="10">
        <v>128900</v>
      </c>
      <c r="G1499" s="10">
        <v>0</v>
      </c>
      <c r="H1499" s="10">
        <f t="shared" si="23"/>
        <v>128900</v>
      </c>
      <c r="I1499" s="10"/>
      <c r="J1499" s="10"/>
      <c r="K1499" s="10"/>
      <c r="L1499" s="4" t="s">
        <v>52</v>
      </c>
      <c r="M1499" s="4">
        <v>1494</v>
      </c>
    </row>
    <row r="1500" spans="1:13" x14ac:dyDescent="0.25">
      <c r="A1500" s="4" t="s">
        <v>1377</v>
      </c>
      <c r="B1500" s="4" t="s">
        <v>128</v>
      </c>
      <c r="C1500" s="9" t="s">
        <v>50</v>
      </c>
      <c r="D1500" s="10">
        <v>384.5</v>
      </c>
      <c r="E1500" s="11" t="s">
        <v>51</v>
      </c>
      <c r="F1500" s="10">
        <v>31000</v>
      </c>
      <c r="G1500" s="10">
        <v>0</v>
      </c>
      <c r="H1500" s="10">
        <f t="shared" si="23"/>
        <v>31000</v>
      </c>
      <c r="I1500" s="10"/>
      <c r="J1500" s="10"/>
      <c r="K1500" s="10"/>
      <c r="L1500" s="4" t="s">
        <v>52</v>
      </c>
      <c r="M1500" s="4">
        <v>1495</v>
      </c>
    </row>
    <row r="1501" spans="1:13" x14ac:dyDescent="0.25">
      <c r="A1501" s="4" t="s">
        <v>1378</v>
      </c>
      <c r="B1501" s="4" t="s">
        <v>271</v>
      </c>
      <c r="C1501" s="9" t="s">
        <v>50</v>
      </c>
      <c r="D1501" s="10">
        <v>120</v>
      </c>
      <c r="E1501" s="11" t="s">
        <v>51</v>
      </c>
      <c r="F1501" s="10">
        <v>1700</v>
      </c>
      <c r="G1501" s="10">
        <v>0</v>
      </c>
      <c r="H1501" s="10">
        <f t="shared" si="23"/>
        <v>1700</v>
      </c>
      <c r="I1501" s="10"/>
      <c r="J1501" s="10"/>
      <c r="K1501" s="10"/>
      <c r="L1501" s="4" t="s">
        <v>52</v>
      </c>
      <c r="M1501" s="4">
        <v>1496</v>
      </c>
    </row>
    <row r="1502" spans="1:13" x14ac:dyDescent="0.25">
      <c r="A1502" s="4" t="s">
        <v>1379</v>
      </c>
      <c r="B1502" s="4" t="s">
        <v>1380</v>
      </c>
      <c r="C1502" s="9" t="s">
        <v>50</v>
      </c>
      <c r="D1502" s="10">
        <v>140</v>
      </c>
      <c r="E1502" s="11" t="s">
        <v>51</v>
      </c>
      <c r="F1502" s="10">
        <v>8500</v>
      </c>
      <c r="G1502" s="10">
        <v>0</v>
      </c>
      <c r="H1502" s="10">
        <f t="shared" si="23"/>
        <v>8500</v>
      </c>
      <c r="I1502" s="10"/>
      <c r="J1502" s="10"/>
      <c r="K1502" s="10"/>
      <c r="L1502" s="4" t="s">
        <v>52</v>
      </c>
      <c r="M1502" s="4">
        <v>1497</v>
      </c>
    </row>
    <row r="1503" spans="1:13" x14ac:dyDescent="0.25">
      <c r="A1503" s="4" t="s">
        <v>1381</v>
      </c>
      <c r="B1503" s="4" t="s">
        <v>1382</v>
      </c>
      <c r="C1503" s="4" t="s">
        <v>68</v>
      </c>
      <c r="D1503" s="10">
        <v>260</v>
      </c>
      <c r="E1503" s="11" t="s">
        <v>51</v>
      </c>
      <c r="F1503" s="10">
        <v>3400</v>
      </c>
      <c r="G1503" s="10">
        <v>0</v>
      </c>
      <c r="H1503" s="10">
        <f t="shared" si="23"/>
        <v>3400</v>
      </c>
      <c r="I1503" s="10"/>
      <c r="J1503" s="10"/>
      <c r="K1503" s="10"/>
      <c r="L1503" s="4" t="s">
        <v>69</v>
      </c>
      <c r="M1503" s="4">
        <v>1498</v>
      </c>
    </row>
    <row r="1504" spans="1:13" x14ac:dyDescent="0.25">
      <c r="A1504" s="4" t="s">
        <v>1383</v>
      </c>
      <c r="B1504" s="4" t="s">
        <v>1384</v>
      </c>
      <c r="C1504" s="4" t="s">
        <v>68</v>
      </c>
      <c r="D1504" s="10">
        <v>451</v>
      </c>
      <c r="E1504" s="11" t="s">
        <v>51</v>
      </c>
      <c r="F1504" s="10">
        <v>13100</v>
      </c>
      <c r="G1504" s="10">
        <v>0</v>
      </c>
      <c r="H1504" s="10">
        <f t="shared" si="23"/>
        <v>13100</v>
      </c>
      <c r="I1504" s="10"/>
      <c r="J1504" s="10"/>
      <c r="K1504" s="10"/>
      <c r="L1504" s="4" t="s">
        <v>69</v>
      </c>
      <c r="M1504" s="4">
        <v>1499</v>
      </c>
    </row>
    <row r="1505" spans="1:13" x14ac:dyDescent="0.25">
      <c r="A1505" s="4" t="s">
        <v>1385</v>
      </c>
      <c r="B1505" s="4" t="s">
        <v>136</v>
      </c>
      <c r="C1505" s="9" t="s">
        <v>50</v>
      </c>
      <c r="D1505" s="10">
        <v>1</v>
      </c>
      <c r="E1505" s="11" t="s">
        <v>51</v>
      </c>
      <c r="F1505" s="10">
        <v>100</v>
      </c>
      <c r="G1505" s="10">
        <v>0</v>
      </c>
      <c r="H1505" s="10">
        <f t="shared" si="23"/>
        <v>100</v>
      </c>
      <c r="I1505" s="10"/>
      <c r="J1505" s="10"/>
      <c r="K1505" s="10"/>
      <c r="L1505" s="4" t="s">
        <v>52</v>
      </c>
      <c r="M1505" s="4">
        <v>1500</v>
      </c>
    </row>
    <row r="1506" spans="1:13" x14ac:dyDescent="0.25">
      <c r="A1506" s="4" t="s">
        <v>1385</v>
      </c>
      <c r="B1506" s="4" t="s">
        <v>82</v>
      </c>
      <c r="C1506" s="9" t="s">
        <v>50</v>
      </c>
      <c r="D1506" s="10">
        <v>20</v>
      </c>
      <c r="E1506" s="11" t="s">
        <v>51</v>
      </c>
      <c r="F1506" s="10">
        <v>1400</v>
      </c>
      <c r="G1506" s="10">
        <v>0</v>
      </c>
      <c r="H1506" s="10">
        <f t="shared" si="23"/>
        <v>1400</v>
      </c>
      <c r="I1506" s="10"/>
      <c r="J1506" s="10"/>
      <c r="K1506" s="10"/>
      <c r="L1506" s="4" t="s">
        <v>52</v>
      </c>
      <c r="M1506" s="4">
        <v>1501</v>
      </c>
    </row>
    <row r="1507" spans="1:13" x14ac:dyDescent="0.25">
      <c r="A1507" s="4" t="s">
        <v>1385</v>
      </c>
      <c r="B1507" s="4" t="s">
        <v>88</v>
      </c>
      <c r="C1507" s="9" t="s">
        <v>50</v>
      </c>
      <c r="D1507" s="10">
        <v>27</v>
      </c>
      <c r="E1507" s="11" t="s">
        <v>51</v>
      </c>
      <c r="F1507" s="10">
        <v>1900</v>
      </c>
      <c r="G1507" s="10">
        <v>0</v>
      </c>
      <c r="H1507" s="10">
        <f t="shared" si="23"/>
        <v>1900</v>
      </c>
      <c r="I1507" s="10"/>
      <c r="J1507" s="10"/>
      <c r="K1507" s="10"/>
      <c r="L1507" s="4" t="s">
        <v>52</v>
      </c>
      <c r="M1507" s="4">
        <v>1502</v>
      </c>
    </row>
    <row r="1508" spans="1:13" x14ac:dyDescent="0.25">
      <c r="A1508" s="4" t="s">
        <v>1385</v>
      </c>
      <c r="B1508" s="4" t="s">
        <v>137</v>
      </c>
      <c r="C1508" s="9" t="s">
        <v>50</v>
      </c>
      <c r="D1508" s="10">
        <v>50</v>
      </c>
      <c r="E1508" s="11" t="s">
        <v>51</v>
      </c>
      <c r="F1508" s="10">
        <v>3400</v>
      </c>
      <c r="G1508" s="10">
        <v>0</v>
      </c>
      <c r="H1508" s="10">
        <f t="shared" si="23"/>
        <v>3400</v>
      </c>
      <c r="I1508" s="10"/>
      <c r="J1508" s="10"/>
      <c r="K1508" s="10"/>
      <c r="L1508" s="4" t="s">
        <v>52</v>
      </c>
      <c r="M1508" s="4">
        <v>1503</v>
      </c>
    </row>
    <row r="1509" spans="1:13" x14ac:dyDescent="0.25">
      <c r="A1509" s="4" t="s">
        <v>1385</v>
      </c>
      <c r="B1509" s="4" t="s">
        <v>106</v>
      </c>
      <c r="C1509" s="9" t="s">
        <v>50</v>
      </c>
      <c r="D1509" s="10">
        <v>43</v>
      </c>
      <c r="E1509" s="11" t="s">
        <v>51</v>
      </c>
      <c r="F1509" s="10">
        <v>3150</v>
      </c>
      <c r="G1509" s="10">
        <v>0</v>
      </c>
      <c r="H1509" s="10">
        <f t="shared" si="23"/>
        <v>3150</v>
      </c>
      <c r="I1509" s="10"/>
      <c r="J1509" s="10"/>
      <c r="K1509" s="10"/>
      <c r="L1509" s="4" t="s">
        <v>52</v>
      </c>
      <c r="M1509" s="4">
        <v>1504</v>
      </c>
    </row>
    <row r="1510" spans="1:13" x14ac:dyDescent="0.25">
      <c r="A1510" s="4" t="s">
        <v>1385</v>
      </c>
      <c r="B1510" s="4" t="s">
        <v>271</v>
      </c>
      <c r="C1510" s="9" t="s">
        <v>50</v>
      </c>
      <c r="D1510" s="10">
        <v>6</v>
      </c>
      <c r="E1510" s="11" t="s">
        <v>51</v>
      </c>
      <c r="F1510" s="10">
        <v>500</v>
      </c>
      <c r="G1510" s="10">
        <v>0</v>
      </c>
      <c r="H1510" s="10">
        <f t="shared" si="23"/>
        <v>500</v>
      </c>
      <c r="I1510" s="10"/>
      <c r="J1510" s="10"/>
      <c r="K1510" s="10"/>
      <c r="L1510" s="4" t="s">
        <v>52</v>
      </c>
      <c r="M1510" s="4">
        <v>1505</v>
      </c>
    </row>
    <row r="1511" spans="1:13" x14ac:dyDescent="0.25">
      <c r="A1511" s="4" t="s">
        <v>1385</v>
      </c>
      <c r="B1511" s="4" t="s">
        <v>272</v>
      </c>
      <c r="C1511" s="9" t="s">
        <v>50</v>
      </c>
      <c r="D1511" s="10">
        <v>4</v>
      </c>
      <c r="E1511" s="11" t="s">
        <v>51</v>
      </c>
      <c r="F1511" s="10">
        <v>300</v>
      </c>
      <c r="G1511" s="10">
        <v>0</v>
      </c>
      <c r="H1511" s="10">
        <f t="shared" si="23"/>
        <v>300</v>
      </c>
      <c r="I1511" s="10"/>
      <c r="J1511" s="10"/>
      <c r="K1511" s="10"/>
      <c r="L1511" s="4" t="s">
        <v>52</v>
      </c>
      <c r="M1511" s="4">
        <v>1506</v>
      </c>
    </row>
    <row r="1512" spans="1:13" x14ac:dyDescent="0.25">
      <c r="A1512" s="4" t="s">
        <v>1385</v>
      </c>
      <c r="B1512" s="4" t="s">
        <v>107</v>
      </c>
      <c r="C1512" s="9" t="s">
        <v>50</v>
      </c>
      <c r="D1512" s="10">
        <v>44</v>
      </c>
      <c r="E1512" s="11" t="s">
        <v>51</v>
      </c>
      <c r="F1512" s="10">
        <v>3100</v>
      </c>
      <c r="G1512" s="10">
        <v>0</v>
      </c>
      <c r="H1512" s="10">
        <f t="shared" si="23"/>
        <v>3100</v>
      </c>
      <c r="I1512" s="10"/>
      <c r="J1512" s="10"/>
      <c r="K1512" s="10"/>
      <c r="L1512" s="4" t="s">
        <v>52</v>
      </c>
      <c r="M1512" s="4">
        <v>1507</v>
      </c>
    </row>
    <row r="1513" spans="1:13" x14ac:dyDescent="0.25">
      <c r="A1513" s="4" t="s">
        <v>1385</v>
      </c>
      <c r="B1513" s="4" t="s">
        <v>128</v>
      </c>
      <c r="C1513" s="9" t="s">
        <v>50</v>
      </c>
      <c r="D1513" s="10">
        <v>52</v>
      </c>
      <c r="E1513" s="11" t="s">
        <v>51</v>
      </c>
      <c r="F1513" s="10">
        <v>2100</v>
      </c>
      <c r="G1513" s="10">
        <v>0</v>
      </c>
      <c r="H1513" s="10">
        <f t="shared" si="23"/>
        <v>2100</v>
      </c>
      <c r="I1513" s="10"/>
      <c r="J1513" s="10"/>
      <c r="K1513" s="10"/>
      <c r="L1513" s="4" t="s">
        <v>52</v>
      </c>
      <c r="M1513" s="4">
        <v>1508</v>
      </c>
    </row>
    <row r="1514" spans="1:13" x14ac:dyDescent="0.25">
      <c r="A1514" s="4" t="s">
        <v>1386</v>
      </c>
      <c r="B1514" s="4" t="s">
        <v>137</v>
      </c>
      <c r="C1514" s="9" t="s">
        <v>50</v>
      </c>
      <c r="D1514" s="10">
        <v>5</v>
      </c>
      <c r="E1514" s="11" t="s">
        <v>51</v>
      </c>
      <c r="F1514" s="10">
        <v>400</v>
      </c>
      <c r="G1514" s="10">
        <v>0</v>
      </c>
      <c r="H1514" s="10">
        <f t="shared" si="23"/>
        <v>400</v>
      </c>
      <c r="I1514" s="10"/>
      <c r="J1514" s="10"/>
      <c r="K1514" s="10"/>
      <c r="L1514" s="4" t="s">
        <v>52</v>
      </c>
      <c r="M1514" s="4">
        <v>1509</v>
      </c>
    </row>
    <row r="1515" spans="1:13" x14ac:dyDescent="0.25">
      <c r="A1515" s="4" t="s">
        <v>1386</v>
      </c>
      <c r="B1515" s="4" t="s">
        <v>106</v>
      </c>
      <c r="C1515" s="9" t="s">
        <v>50</v>
      </c>
      <c r="D1515" s="10">
        <v>4</v>
      </c>
      <c r="E1515" s="11" t="s">
        <v>51</v>
      </c>
      <c r="F1515" s="10">
        <v>300</v>
      </c>
      <c r="G1515" s="10">
        <v>0</v>
      </c>
      <c r="H1515" s="10">
        <f t="shared" si="23"/>
        <v>300</v>
      </c>
      <c r="I1515" s="10"/>
      <c r="J1515" s="10"/>
      <c r="K1515" s="10"/>
      <c r="L1515" s="4" t="s">
        <v>52</v>
      </c>
      <c r="M1515" s="4">
        <v>1510</v>
      </c>
    </row>
    <row r="1516" spans="1:13" x14ac:dyDescent="0.25">
      <c r="A1516" s="4" t="s">
        <v>1386</v>
      </c>
      <c r="B1516" s="4" t="s">
        <v>107</v>
      </c>
      <c r="C1516" s="9" t="s">
        <v>50</v>
      </c>
      <c r="D1516" s="10">
        <v>7</v>
      </c>
      <c r="E1516" s="11" t="s">
        <v>51</v>
      </c>
      <c r="F1516" s="10">
        <v>500</v>
      </c>
      <c r="G1516" s="10">
        <v>0</v>
      </c>
      <c r="H1516" s="10">
        <f t="shared" si="23"/>
        <v>500</v>
      </c>
      <c r="I1516" s="10"/>
      <c r="J1516" s="10"/>
      <c r="K1516" s="10"/>
      <c r="L1516" s="4" t="s">
        <v>52</v>
      </c>
      <c r="M1516" s="4">
        <v>1511</v>
      </c>
    </row>
    <row r="1517" spans="1:13" x14ac:dyDescent="0.25">
      <c r="A1517" s="4" t="s">
        <v>1387</v>
      </c>
      <c r="B1517" s="4" t="s">
        <v>136</v>
      </c>
      <c r="C1517" s="9" t="s">
        <v>50</v>
      </c>
      <c r="D1517" s="10"/>
      <c r="E1517" s="11" t="s">
        <v>51</v>
      </c>
      <c r="F1517" s="10"/>
      <c r="G1517" s="10">
        <v>0</v>
      </c>
      <c r="H1517" s="10">
        <f t="shared" si="23"/>
        <v>0</v>
      </c>
      <c r="I1517" s="10"/>
      <c r="J1517" s="10"/>
      <c r="K1517" s="10"/>
      <c r="L1517" s="4" t="s">
        <v>52</v>
      </c>
      <c r="M1517" s="4">
        <v>1512</v>
      </c>
    </row>
    <row r="1518" spans="1:13" x14ac:dyDescent="0.25">
      <c r="A1518" s="4" t="s">
        <v>1387</v>
      </c>
      <c r="B1518" s="4" t="s">
        <v>88</v>
      </c>
      <c r="C1518" s="9" t="s">
        <v>50</v>
      </c>
      <c r="D1518" s="10">
        <v>51</v>
      </c>
      <c r="E1518" s="11" t="s">
        <v>51</v>
      </c>
      <c r="F1518" s="10"/>
      <c r="G1518" s="10">
        <v>0</v>
      </c>
      <c r="H1518" s="10">
        <f t="shared" si="23"/>
        <v>0</v>
      </c>
      <c r="I1518" s="10"/>
      <c r="J1518" s="10"/>
      <c r="K1518" s="10"/>
      <c r="L1518" s="4" t="s">
        <v>52</v>
      </c>
      <c r="M1518" s="4">
        <v>1513</v>
      </c>
    </row>
    <row r="1519" spans="1:13" x14ac:dyDescent="0.25">
      <c r="A1519" s="4" t="s">
        <v>1388</v>
      </c>
      <c r="B1519" s="4" t="s">
        <v>82</v>
      </c>
      <c r="C1519" s="9" t="s">
        <v>50</v>
      </c>
      <c r="D1519" s="10">
        <v>15</v>
      </c>
      <c r="E1519" s="11" t="s">
        <v>51</v>
      </c>
      <c r="F1519" s="10">
        <v>1200</v>
      </c>
      <c r="G1519" s="10">
        <v>0</v>
      </c>
      <c r="H1519" s="10">
        <f t="shared" si="23"/>
        <v>1200</v>
      </c>
      <c r="I1519" s="10"/>
      <c r="J1519" s="10"/>
      <c r="K1519" s="10"/>
      <c r="L1519" s="4" t="s">
        <v>52</v>
      </c>
      <c r="M1519" s="4">
        <v>1514</v>
      </c>
    </row>
    <row r="1520" spans="1:13" x14ac:dyDescent="0.25">
      <c r="A1520" s="4" t="s">
        <v>1388</v>
      </c>
      <c r="B1520" s="4" t="s">
        <v>88</v>
      </c>
      <c r="C1520" s="9" t="s">
        <v>50</v>
      </c>
      <c r="D1520" s="10">
        <v>36</v>
      </c>
      <c r="E1520" s="11" t="s">
        <v>51</v>
      </c>
      <c r="F1520" s="10">
        <v>3420</v>
      </c>
      <c r="G1520" s="10">
        <v>0</v>
      </c>
      <c r="H1520" s="10">
        <f t="shared" si="23"/>
        <v>3420</v>
      </c>
      <c r="I1520" s="10"/>
      <c r="J1520" s="10"/>
      <c r="K1520" s="10"/>
      <c r="L1520" s="4" t="s">
        <v>52</v>
      </c>
      <c r="M1520" s="4">
        <v>1515</v>
      </c>
    </row>
    <row r="1521" spans="1:13" x14ac:dyDescent="0.25">
      <c r="A1521" s="4" t="s">
        <v>1389</v>
      </c>
      <c r="B1521" s="4" t="s">
        <v>136</v>
      </c>
      <c r="C1521" s="9" t="s">
        <v>50</v>
      </c>
      <c r="D1521" s="10"/>
      <c r="E1521" s="11" t="s">
        <v>51</v>
      </c>
      <c r="F1521" s="10"/>
      <c r="G1521" s="10">
        <v>0</v>
      </c>
      <c r="H1521" s="10">
        <f t="shared" si="23"/>
        <v>0</v>
      </c>
      <c r="I1521" s="10"/>
      <c r="J1521" s="10"/>
      <c r="K1521" s="10"/>
      <c r="L1521" s="4" t="s">
        <v>52</v>
      </c>
      <c r="M1521" s="4">
        <v>1516</v>
      </c>
    </row>
    <row r="1522" spans="1:13" x14ac:dyDescent="0.25">
      <c r="A1522" s="4" t="s">
        <v>1389</v>
      </c>
      <c r="B1522" s="4" t="s">
        <v>82</v>
      </c>
      <c r="C1522" s="9" t="s">
        <v>50</v>
      </c>
      <c r="D1522" s="10"/>
      <c r="E1522" s="11" t="s">
        <v>51</v>
      </c>
      <c r="F1522" s="10"/>
      <c r="G1522" s="10">
        <v>0</v>
      </c>
      <c r="H1522" s="10">
        <f t="shared" si="23"/>
        <v>0</v>
      </c>
      <c r="I1522" s="10"/>
      <c r="J1522" s="10"/>
      <c r="K1522" s="10"/>
      <c r="L1522" s="4" t="s">
        <v>52</v>
      </c>
      <c r="M1522" s="4">
        <v>1517</v>
      </c>
    </row>
    <row r="1523" spans="1:13" x14ac:dyDescent="0.25">
      <c r="A1523" s="4" t="s">
        <v>1389</v>
      </c>
      <c r="B1523" s="4" t="s">
        <v>88</v>
      </c>
      <c r="C1523" s="9" t="s">
        <v>50</v>
      </c>
      <c r="D1523" s="10"/>
      <c r="E1523" s="11" t="s">
        <v>51</v>
      </c>
      <c r="F1523" s="10"/>
      <c r="G1523" s="10">
        <v>0</v>
      </c>
      <c r="H1523" s="10">
        <f t="shared" si="23"/>
        <v>0</v>
      </c>
      <c r="I1523" s="10"/>
      <c r="J1523" s="10"/>
      <c r="K1523" s="10"/>
      <c r="L1523" s="4" t="s">
        <v>52</v>
      </c>
      <c r="M1523" s="4">
        <v>1518</v>
      </c>
    </row>
    <row r="1524" spans="1:13" x14ac:dyDescent="0.25">
      <c r="A1524" s="4" t="s">
        <v>1389</v>
      </c>
      <c r="B1524" s="4" t="s">
        <v>137</v>
      </c>
      <c r="C1524" s="9" t="s">
        <v>50</v>
      </c>
      <c r="D1524" s="10"/>
      <c r="E1524" s="11" t="s">
        <v>51</v>
      </c>
      <c r="F1524" s="10"/>
      <c r="G1524" s="10">
        <v>0</v>
      </c>
      <c r="H1524" s="10">
        <f t="shared" si="23"/>
        <v>0</v>
      </c>
      <c r="I1524" s="10"/>
      <c r="J1524" s="10"/>
      <c r="K1524" s="10"/>
      <c r="L1524" s="4" t="s">
        <v>52</v>
      </c>
      <c r="M1524" s="4">
        <v>1519</v>
      </c>
    </row>
    <row r="1525" spans="1:13" x14ac:dyDescent="0.25">
      <c r="A1525" s="4" t="s">
        <v>1389</v>
      </c>
      <c r="B1525" s="4" t="s">
        <v>107</v>
      </c>
      <c r="C1525" s="9" t="s">
        <v>50</v>
      </c>
      <c r="D1525" s="10"/>
      <c r="E1525" s="11" t="s">
        <v>51</v>
      </c>
      <c r="F1525" s="10"/>
      <c r="G1525" s="10">
        <v>0</v>
      </c>
      <c r="H1525" s="10">
        <f t="shared" si="23"/>
        <v>0</v>
      </c>
      <c r="I1525" s="10"/>
      <c r="J1525" s="10"/>
      <c r="K1525" s="10"/>
      <c r="L1525" s="4" t="s">
        <v>52</v>
      </c>
      <c r="M1525" s="4">
        <v>1520</v>
      </c>
    </row>
    <row r="1526" spans="1:13" x14ac:dyDescent="0.25">
      <c r="A1526" s="4" t="s">
        <v>1389</v>
      </c>
      <c r="B1526" s="4" t="s">
        <v>128</v>
      </c>
      <c r="C1526" s="9" t="s">
        <v>50</v>
      </c>
      <c r="D1526" s="10">
        <v>24</v>
      </c>
      <c r="E1526" s="11" t="s">
        <v>51</v>
      </c>
      <c r="F1526" s="10"/>
      <c r="G1526" s="10">
        <v>0</v>
      </c>
      <c r="H1526" s="10">
        <f t="shared" si="23"/>
        <v>0</v>
      </c>
      <c r="I1526" s="10"/>
      <c r="J1526" s="10"/>
      <c r="K1526" s="10"/>
      <c r="L1526" s="4" t="s">
        <v>52</v>
      </c>
      <c r="M1526" s="4">
        <v>1521</v>
      </c>
    </row>
    <row r="1527" spans="1:13" x14ac:dyDescent="0.25">
      <c r="A1527" s="4" t="s">
        <v>1390</v>
      </c>
      <c r="B1527" s="4" t="s">
        <v>1391</v>
      </c>
      <c r="C1527" s="9" t="s">
        <v>50</v>
      </c>
      <c r="D1527" s="10">
        <v>87</v>
      </c>
      <c r="E1527" s="11" t="s">
        <v>51</v>
      </c>
      <c r="F1527" s="10">
        <v>3425</v>
      </c>
      <c r="G1527" s="10">
        <v>0</v>
      </c>
      <c r="H1527" s="10">
        <f t="shared" si="23"/>
        <v>3425</v>
      </c>
      <c r="I1527" s="10"/>
      <c r="J1527" s="10"/>
      <c r="K1527" s="10"/>
      <c r="L1527" s="4" t="s">
        <v>52</v>
      </c>
      <c r="M1527" s="4">
        <v>1522</v>
      </c>
    </row>
    <row r="1528" spans="1:13" x14ac:dyDescent="0.25">
      <c r="A1528" s="4" t="s">
        <v>1392</v>
      </c>
      <c r="B1528" s="4" t="s">
        <v>637</v>
      </c>
      <c r="C1528" s="4" t="s">
        <v>65</v>
      </c>
      <c r="D1528" s="10">
        <v>18</v>
      </c>
      <c r="E1528" s="12" t="s">
        <v>66</v>
      </c>
      <c r="F1528" s="10">
        <v>2450</v>
      </c>
      <c r="G1528" s="10">
        <v>0</v>
      </c>
      <c r="H1528" s="10">
        <f t="shared" si="23"/>
        <v>2450</v>
      </c>
      <c r="I1528" s="10">
        <v>136.11111111111109</v>
      </c>
      <c r="J1528" s="10">
        <v>136.11111111111109</v>
      </c>
      <c r="K1528" s="10">
        <v>136.11111111111109</v>
      </c>
      <c r="L1528" s="4"/>
      <c r="M1528" s="4">
        <v>1523</v>
      </c>
    </row>
    <row r="1529" spans="1:13" x14ac:dyDescent="0.25">
      <c r="A1529" s="4" t="s">
        <v>1392</v>
      </c>
      <c r="B1529" s="4" t="s">
        <v>1393</v>
      </c>
      <c r="C1529" s="4" t="s">
        <v>65</v>
      </c>
      <c r="D1529" s="10">
        <v>53</v>
      </c>
      <c r="E1529" s="12" t="s">
        <v>66</v>
      </c>
      <c r="F1529" s="10">
        <v>4275</v>
      </c>
      <c r="G1529" s="10">
        <v>0</v>
      </c>
      <c r="H1529" s="10">
        <f t="shared" si="23"/>
        <v>4275</v>
      </c>
      <c r="I1529" s="10">
        <v>80.660377358490564</v>
      </c>
      <c r="J1529" s="10">
        <v>80.660377358490564</v>
      </c>
      <c r="K1529" s="10">
        <v>80.660377358490564</v>
      </c>
      <c r="L1529" s="4"/>
      <c r="M1529" s="4">
        <v>1524</v>
      </c>
    </row>
    <row r="1530" spans="1:13" x14ac:dyDescent="0.25">
      <c r="A1530" s="4" t="s">
        <v>1392</v>
      </c>
      <c r="B1530" s="4" t="s">
        <v>1394</v>
      </c>
      <c r="C1530" s="4" t="s">
        <v>68</v>
      </c>
      <c r="D1530" s="10">
        <v>15</v>
      </c>
      <c r="E1530" s="11" t="s">
        <v>51</v>
      </c>
      <c r="F1530" s="10">
        <v>2000</v>
      </c>
      <c r="G1530" s="10">
        <v>0</v>
      </c>
      <c r="H1530" s="10">
        <f t="shared" si="23"/>
        <v>2000</v>
      </c>
      <c r="I1530" s="10"/>
      <c r="J1530" s="10"/>
      <c r="K1530" s="10"/>
      <c r="L1530" s="4" t="s">
        <v>69</v>
      </c>
      <c r="M1530" s="4">
        <v>1525</v>
      </c>
    </row>
    <row r="1531" spans="1:13" x14ac:dyDescent="0.25">
      <c r="A1531" s="4" t="s">
        <v>1395</v>
      </c>
      <c r="B1531" s="4" t="s">
        <v>136</v>
      </c>
      <c r="C1531" s="9" t="s">
        <v>50</v>
      </c>
      <c r="D1531" s="10">
        <v>2.25</v>
      </c>
      <c r="E1531" s="11" t="s">
        <v>51</v>
      </c>
      <c r="F1531" s="10">
        <v>221.5</v>
      </c>
      <c r="G1531" s="10">
        <v>0</v>
      </c>
      <c r="H1531" s="10">
        <f t="shared" si="23"/>
        <v>221.5</v>
      </c>
      <c r="I1531" s="10"/>
      <c r="J1531" s="10"/>
      <c r="K1531" s="10"/>
      <c r="L1531" s="4" t="s">
        <v>52</v>
      </c>
      <c r="M1531" s="4">
        <v>1526</v>
      </c>
    </row>
    <row r="1532" spans="1:13" x14ac:dyDescent="0.25">
      <c r="A1532" s="4" t="s">
        <v>1395</v>
      </c>
      <c r="B1532" s="4" t="s">
        <v>82</v>
      </c>
      <c r="C1532" s="9" t="s">
        <v>50</v>
      </c>
      <c r="D1532" s="10">
        <v>41.25</v>
      </c>
      <c r="E1532" s="11" t="s">
        <v>51</v>
      </c>
      <c r="F1532" s="10">
        <v>1148</v>
      </c>
      <c r="G1532" s="10">
        <v>0</v>
      </c>
      <c r="H1532" s="10">
        <f t="shared" si="23"/>
        <v>1148</v>
      </c>
      <c r="I1532" s="10"/>
      <c r="J1532" s="10"/>
      <c r="K1532" s="10"/>
      <c r="L1532" s="4" t="s">
        <v>52</v>
      </c>
      <c r="M1532" s="4">
        <v>1527</v>
      </c>
    </row>
    <row r="1533" spans="1:13" x14ac:dyDescent="0.25">
      <c r="A1533" s="4" t="s">
        <v>1396</v>
      </c>
      <c r="B1533" s="4" t="s">
        <v>136</v>
      </c>
      <c r="C1533" s="9" t="s">
        <v>50</v>
      </c>
      <c r="D1533" s="10">
        <v>3</v>
      </c>
      <c r="E1533" s="11" t="s">
        <v>51</v>
      </c>
      <c r="F1533" s="10">
        <v>282</v>
      </c>
      <c r="G1533" s="10">
        <v>0</v>
      </c>
      <c r="H1533" s="10">
        <f t="shared" si="23"/>
        <v>282</v>
      </c>
      <c r="I1533" s="10"/>
      <c r="J1533" s="10"/>
      <c r="K1533" s="10"/>
      <c r="L1533" s="4" t="s">
        <v>52</v>
      </c>
      <c r="M1533" s="4">
        <v>1528</v>
      </c>
    </row>
    <row r="1534" spans="1:13" x14ac:dyDescent="0.25">
      <c r="A1534" s="4" t="s">
        <v>1396</v>
      </c>
      <c r="B1534" s="4" t="s">
        <v>82</v>
      </c>
      <c r="C1534" s="9" t="s">
        <v>50</v>
      </c>
      <c r="D1534" s="10">
        <v>50.5</v>
      </c>
      <c r="E1534" s="11" t="s">
        <v>51</v>
      </c>
      <c r="F1534" s="10">
        <v>2205</v>
      </c>
      <c r="G1534" s="10">
        <v>0</v>
      </c>
      <c r="H1534" s="10">
        <f t="shared" si="23"/>
        <v>2205</v>
      </c>
      <c r="I1534" s="10"/>
      <c r="J1534" s="10"/>
      <c r="K1534" s="10"/>
      <c r="L1534" s="4" t="s">
        <v>52</v>
      </c>
      <c r="M1534" s="4">
        <v>1529</v>
      </c>
    </row>
    <row r="1535" spans="1:13" x14ac:dyDescent="0.25">
      <c r="A1535" s="4" t="s">
        <v>1397</v>
      </c>
      <c r="B1535" s="4" t="s">
        <v>136</v>
      </c>
      <c r="C1535" s="9" t="s">
        <v>50</v>
      </c>
      <c r="D1535" s="10">
        <v>2.5</v>
      </c>
      <c r="E1535" s="11" t="s">
        <v>51</v>
      </c>
      <c r="F1535" s="10">
        <v>265</v>
      </c>
      <c r="G1535" s="10">
        <v>0</v>
      </c>
      <c r="H1535" s="10">
        <f t="shared" si="23"/>
        <v>265</v>
      </c>
      <c r="I1535" s="10"/>
      <c r="J1535" s="10"/>
      <c r="K1535" s="10"/>
      <c r="L1535" s="4" t="s">
        <v>52</v>
      </c>
      <c r="M1535" s="4">
        <v>1530</v>
      </c>
    </row>
    <row r="1536" spans="1:13" x14ac:dyDescent="0.25">
      <c r="A1536" s="4" t="s">
        <v>1397</v>
      </c>
      <c r="B1536" s="4" t="s">
        <v>82</v>
      </c>
      <c r="C1536" s="9" t="s">
        <v>50</v>
      </c>
      <c r="D1536" s="10">
        <v>33.25</v>
      </c>
      <c r="E1536" s="11" t="s">
        <v>51</v>
      </c>
      <c r="F1536" s="10">
        <v>1942</v>
      </c>
      <c r="G1536" s="10">
        <v>0</v>
      </c>
      <c r="H1536" s="10">
        <f t="shared" si="23"/>
        <v>1942</v>
      </c>
      <c r="I1536" s="10"/>
      <c r="J1536" s="10"/>
      <c r="K1536" s="10"/>
      <c r="L1536" s="4" t="s">
        <v>52</v>
      </c>
      <c r="M1536" s="4">
        <v>1531</v>
      </c>
    </row>
    <row r="1537" spans="1:13" x14ac:dyDescent="0.25">
      <c r="A1537" s="4" t="s">
        <v>1398</v>
      </c>
      <c r="B1537" s="4" t="s">
        <v>136</v>
      </c>
      <c r="C1537" s="9" t="s">
        <v>50</v>
      </c>
      <c r="D1537" s="10">
        <v>2</v>
      </c>
      <c r="E1537" s="11" t="s">
        <v>51</v>
      </c>
      <c r="F1537" s="10">
        <v>191.5</v>
      </c>
      <c r="G1537" s="10">
        <v>0</v>
      </c>
      <c r="H1537" s="10">
        <f t="shared" si="23"/>
        <v>191.5</v>
      </c>
      <c r="I1537" s="10"/>
      <c r="J1537" s="10"/>
      <c r="K1537" s="10"/>
      <c r="L1537" s="4" t="s">
        <v>52</v>
      </c>
      <c r="M1537" s="4">
        <v>1532</v>
      </c>
    </row>
    <row r="1538" spans="1:13" x14ac:dyDescent="0.25">
      <c r="A1538" s="4" t="s">
        <v>1398</v>
      </c>
      <c r="B1538" s="4" t="s">
        <v>82</v>
      </c>
      <c r="C1538" s="9" t="s">
        <v>50</v>
      </c>
      <c r="D1538" s="10">
        <v>8.75</v>
      </c>
      <c r="E1538" s="11" t="s">
        <v>51</v>
      </c>
      <c r="F1538" s="10">
        <v>788</v>
      </c>
      <c r="G1538" s="10">
        <v>0</v>
      </c>
      <c r="H1538" s="10">
        <f t="shared" si="23"/>
        <v>788</v>
      </c>
      <c r="I1538" s="10"/>
      <c r="J1538" s="10"/>
      <c r="K1538" s="10"/>
      <c r="L1538" s="4" t="s">
        <v>52</v>
      </c>
      <c r="M1538" s="4">
        <v>1533</v>
      </c>
    </row>
    <row r="1539" spans="1:13" x14ac:dyDescent="0.25">
      <c r="A1539" s="4" t="s">
        <v>1399</v>
      </c>
      <c r="B1539" s="4" t="s">
        <v>136</v>
      </c>
      <c r="C1539" s="9" t="s">
        <v>50</v>
      </c>
      <c r="D1539" s="10"/>
      <c r="E1539" s="11" t="s">
        <v>51</v>
      </c>
      <c r="F1539" s="10"/>
      <c r="G1539" s="10">
        <v>0</v>
      </c>
      <c r="H1539" s="10">
        <f t="shared" si="23"/>
        <v>0</v>
      </c>
      <c r="I1539" s="10"/>
      <c r="J1539" s="10"/>
      <c r="K1539" s="10"/>
      <c r="L1539" s="4" t="s">
        <v>52</v>
      </c>
      <c r="M1539" s="4">
        <v>1534</v>
      </c>
    </row>
    <row r="1540" spans="1:13" x14ac:dyDescent="0.25">
      <c r="A1540" s="4" t="s">
        <v>1399</v>
      </c>
      <c r="B1540" s="4" t="s">
        <v>82</v>
      </c>
      <c r="C1540" s="9" t="s">
        <v>50</v>
      </c>
      <c r="D1540" s="10"/>
      <c r="E1540" s="11" t="s">
        <v>51</v>
      </c>
      <c r="F1540" s="10"/>
      <c r="G1540" s="10">
        <v>0</v>
      </c>
      <c r="H1540" s="10">
        <f t="shared" si="23"/>
        <v>0</v>
      </c>
      <c r="I1540" s="10"/>
      <c r="J1540" s="10"/>
      <c r="K1540" s="10"/>
      <c r="L1540" s="4" t="s">
        <v>52</v>
      </c>
      <c r="M1540" s="4">
        <v>1535</v>
      </c>
    </row>
    <row r="1541" spans="1:13" x14ac:dyDescent="0.25">
      <c r="A1541" s="4" t="s">
        <v>1399</v>
      </c>
      <c r="B1541" s="4" t="s">
        <v>88</v>
      </c>
      <c r="C1541" s="9" t="s">
        <v>50</v>
      </c>
      <c r="D1541" s="10"/>
      <c r="E1541" s="11" t="s">
        <v>51</v>
      </c>
      <c r="F1541" s="10"/>
      <c r="G1541" s="10">
        <v>0</v>
      </c>
      <c r="H1541" s="10">
        <f t="shared" si="23"/>
        <v>0</v>
      </c>
      <c r="I1541" s="10"/>
      <c r="J1541" s="10"/>
      <c r="K1541" s="10"/>
      <c r="L1541" s="4" t="s">
        <v>52</v>
      </c>
      <c r="M1541" s="4">
        <v>1536</v>
      </c>
    </row>
    <row r="1542" spans="1:13" x14ac:dyDescent="0.25">
      <c r="A1542" s="4" t="s">
        <v>1399</v>
      </c>
      <c r="B1542" s="4" t="s">
        <v>137</v>
      </c>
      <c r="C1542" s="9" t="s">
        <v>50</v>
      </c>
      <c r="D1542" s="10"/>
      <c r="E1542" s="11" t="s">
        <v>51</v>
      </c>
      <c r="F1542" s="10"/>
      <c r="G1542" s="10">
        <v>0</v>
      </c>
      <c r="H1542" s="10">
        <f t="shared" ref="H1542:H1605" si="24">F1542-G1542</f>
        <v>0</v>
      </c>
      <c r="I1542" s="10"/>
      <c r="J1542" s="10"/>
      <c r="K1542" s="10"/>
      <c r="L1542" s="4" t="s">
        <v>52</v>
      </c>
      <c r="M1542" s="4">
        <v>1537</v>
      </c>
    </row>
    <row r="1543" spans="1:13" x14ac:dyDescent="0.25">
      <c r="A1543" s="4" t="s">
        <v>1399</v>
      </c>
      <c r="B1543" s="4" t="s">
        <v>107</v>
      </c>
      <c r="C1543" s="9" t="s">
        <v>50</v>
      </c>
      <c r="D1543" s="10"/>
      <c r="E1543" s="11" t="s">
        <v>51</v>
      </c>
      <c r="F1543" s="10"/>
      <c r="G1543" s="10">
        <v>0</v>
      </c>
      <c r="H1543" s="10">
        <f t="shared" si="24"/>
        <v>0</v>
      </c>
      <c r="I1543" s="10"/>
      <c r="J1543" s="10"/>
      <c r="K1543" s="10"/>
      <c r="L1543" s="4" t="s">
        <v>52</v>
      </c>
      <c r="M1543" s="4">
        <v>1538</v>
      </c>
    </row>
    <row r="1544" spans="1:13" x14ac:dyDescent="0.25">
      <c r="A1544" s="4" t="s">
        <v>1399</v>
      </c>
      <c r="B1544" s="4" t="s">
        <v>128</v>
      </c>
      <c r="C1544" s="9" t="s">
        <v>50</v>
      </c>
      <c r="D1544" s="10">
        <v>77</v>
      </c>
      <c r="E1544" s="11" t="s">
        <v>51</v>
      </c>
      <c r="F1544" s="10"/>
      <c r="G1544" s="10">
        <v>0</v>
      </c>
      <c r="H1544" s="10">
        <f t="shared" si="24"/>
        <v>0</v>
      </c>
      <c r="I1544" s="10"/>
      <c r="J1544" s="10"/>
      <c r="K1544" s="10"/>
      <c r="L1544" s="4" t="s">
        <v>52</v>
      </c>
      <c r="M1544" s="4">
        <v>1539</v>
      </c>
    </row>
    <row r="1545" spans="1:13" x14ac:dyDescent="0.25">
      <c r="A1545" s="4" t="s">
        <v>1400</v>
      </c>
      <c r="B1545" s="4" t="s">
        <v>1401</v>
      </c>
      <c r="C1545" s="9" t="s">
        <v>50</v>
      </c>
      <c r="D1545" s="10">
        <v>4</v>
      </c>
      <c r="E1545" s="11" t="s">
        <v>51</v>
      </c>
      <c r="F1545" s="10">
        <v>380</v>
      </c>
      <c r="G1545" s="10">
        <v>0</v>
      </c>
      <c r="H1545" s="10">
        <f t="shared" si="24"/>
        <v>380</v>
      </c>
      <c r="I1545" s="10"/>
      <c r="J1545" s="10"/>
      <c r="K1545" s="10"/>
      <c r="L1545" s="4" t="s">
        <v>52</v>
      </c>
      <c r="M1545" s="4">
        <v>1540</v>
      </c>
    </row>
    <row r="1546" spans="1:13" x14ac:dyDescent="0.25">
      <c r="A1546" s="4" t="s">
        <v>1400</v>
      </c>
      <c r="B1546" s="4" t="s">
        <v>1402</v>
      </c>
      <c r="C1546" s="9" t="s">
        <v>50</v>
      </c>
      <c r="D1546" s="10">
        <v>43</v>
      </c>
      <c r="E1546" s="11" t="s">
        <v>51</v>
      </c>
      <c r="F1546" s="10">
        <v>4000</v>
      </c>
      <c r="G1546" s="10">
        <v>0</v>
      </c>
      <c r="H1546" s="10">
        <f t="shared" si="24"/>
        <v>4000</v>
      </c>
      <c r="I1546" s="10"/>
      <c r="J1546" s="10"/>
      <c r="K1546" s="10"/>
      <c r="L1546" s="4" t="s">
        <v>52</v>
      </c>
      <c r="M1546" s="4">
        <v>1541</v>
      </c>
    </row>
    <row r="1547" spans="1:13" x14ac:dyDescent="0.25">
      <c r="A1547" s="4" t="s">
        <v>1400</v>
      </c>
      <c r="B1547" s="4" t="s">
        <v>421</v>
      </c>
      <c r="C1547" s="9" t="s">
        <v>50</v>
      </c>
      <c r="D1547" s="10">
        <v>105</v>
      </c>
      <c r="E1547" s="11" t="s">
        <v>51</v>
      </c>
      <c r="F1547" s="10">
        <v>2850</v>
      </c>
      <c r="G1547" s="10">
        <v>0</v>
      </c>
      <c r="H1547" s="10">
        <f t="shared" si="24"/>
        <v>2850</v>
      </c>
      <c r="I1547" s="10"/>
      <c r="J1547" s="10"/>
      <c r="K1547" s="10"/>
      <c r="L1547" s="4" t="s">
        <v>52</v>
      </c>
      <c r="M1547" s="4">
        <v>1542</v>
      </c>
    </row>
    <row r="1548" spans="1:13" x14ac:dyDescent="0.25">
      <c r="A1548" s="4" t="s">
        <v>1403</v>
      </c>
      <c r="B1548" s="4" t="s">
        <v>1404</v>
      </c>
      <c r="C1548" s="4" t="s">
        <v>68</v>
      </c>
      <c r="D1548" s="10">
        <v>38</v>
      </c>
      <c r="E1548" s="11" t="s">
        <v>51</v>
      </c>
      <c r="F1548" s="10">
        <v>4370</v>
      </c>
      <c r="G1548" s="10">
        <v>0</v>
      </c>
      <c r="H1548" s="10">
        <f t="shared" si="24"/>
        <v>4370</v>
      </c>
      <c r="I1548" s="10"/>
      <c r="J1548" s="10"/>
      <c r="K1548" s="10"/>
      <c r="L1548" s="4" t="s">
        <v>69</v>
      </c>
      <c r="M1548" s="4">
        <v>1543</v>
      </c>
    </row>
    <row r="1549" spans="1:13" x14ac:dyDescent="0.25">
      <c r="A1549" s="4" t="s">
        <v>1403</v>
      </c>
      <c r="B1549" s="4" t="s">
        <v>1405</v>
      </c>
      <c r="C1549" s="4" t="s">
        <v>65</v>
      </c>
      <c r="D1549" s="10">
        <v>161</v>
      </c>
      <c r="E1549" s="12" t="s">
        <v>66</v>
      </c>
      <c r="F1549" s="10">
        <v>4600</v>
      </c>
      <c r="G1549" s="10">
        <v>0</v>
      </c>
      <c r="H1549" s="10">
        <f t="shared" si="24"/>
        <v>4600</v>
      </c>
      <c r="I1549" s="10">
        <v>124.32432432432429</v>
      </c>
      <c r="J1549" s="10">
        <v>124.32432432432429</v>
      </c>
      <c r="K1549" s="10">
        <v>124.32432432432429</v>
      </c>
      <c r="L1549" s="4"/>
      <c r="M1549" s="4">
        <v>1544</v>
      </c>
    </row>
    <row r="1550" spans="1:13" x14ac:dyDescent="0.25">
      <c r="A1550" s="4" t="s">
        <v>1406</v>
      </c>
      <c r="B1550" s="4" t="s">
        <v>1407</v>
      </c>
      <c r="C1550" s="9" t="s">
        <v>50</v>
      </c>
      <c r="D1550" s="10">
        <v>42</v>
      </c>
      <c r="E1550" s="11" t="s">
        <v>51</v>
      </c>
      <c r="F1550" s="10">
        <v>3990</v>
      </c>
      <c r="G1550" s="10">
        <v>0</v>
      </c>
      <c r="H1550" s="10">
        <f t="shared" si="24"/>
        <v>3990</v>
      </c>
      <c r="I1550" s="10"/>
      <c r="J1550" s="10"/>
      <c r="K1550" s="10"/>
      <c r="L1550" s="4" t="s">
        <v>52</v>
      </c>
      <c r="M1550" s="4">
        <v>1545</v>
      </c>
    </row>
    <row r="1551" spans="1:13" x14ac:dyDescent="0.25">
      <c r="A1551" s="4" t="s">
        <v>1406</v>
      </c>
      <c r="B1551" s="4" t="s">
        <v>1408</v>
      </c>
      <c r="C1551" s="9" t="s">
        <v>50</v>
      </c>
      <c r="D1551" s="10">
        <v>8</v>
      </c>
      <c r="E1551" s="11" t="s">
        <v>51</v>
      </c>
      <c r="F1551" s="10">
        <v>760</v>
      </c>
      <c r="G1551" s="10">
        <v>0</v>
      </c>
      <c r="H1551" s="10">
        <f t="shared" si="24"/>
        <v>760</v>
      </c>
      <c r="I1551" s="10"/>
      <c r="J1551" s="10"/>
      <c r="K1551" s="10"/>
      <c r="L1551" s="4" t="s">
        <v>52</v>
      </c>
      <c r="M1551" s="4">
        <v>1546</v>
      </c>
    </row>
    <row r="1552" spans="1:13" x14ac:dyDescent="0.25">
      <c r="A1552" s="4" t="s">
        <v>1406</v>
      </c>
      <c r="B1552" s="4" t="s">
        <v>1409</v>
      </c>
      <c r="C1552" s="4" t="s">
        <v>65</v>
      </c>
      <c r="D1552" s="10">
        <v>24</v>
      </c>
      <c r="E1552" s="12" t="s">
        <v>66</v>
      </c>
      <c r="F1552" s="10">
        <v>1700</v>
      </c>
      <c r="G1552" s="10">
        <v>0</v>
      </c>
      <c r="H1552" s="10">
        <f t="shared" si="24"/>
        <v>1700</v>
      </c>
      <c r="I1552" s="10">
        <v>70.833333333333329</v>
      </c>
      <c r="J1552" s="10">
        <v>70.833333333333329</v>
      </c>
      <c r="K1552" s="10">
        <v>70.833333333333329</v>
      </c>
      <c r="L1552" s="4"/>
      <c r="M1552" s="4">
        <v>1547</v>
      </c>
    </row>
    <row r="1553" spans="1:13" x14ac:dyDescent="0.25">
      <c r="A1553" s="4" t="s">
        <v>1410</v>
      </c>
      <c r="B1553" s="4" t="s">
        <v>404</v>
      </c>
      <c r="C1553" s="9" t="s">
        <v>50</v>
      </c>
      <c r="D1553" s="10"/>
      <c r="E1553" s="11" t="s">
        <v>51</v>
      </c>
      <c r="F1553" s="10"/>
      <c r="G1553" s="10">
        <v>0</v>
      </c>
      <c r="H1553" s="10">
        <f t="shared" si="24"/>
        <v>0</v>
      </c>
      <c r="I1553" s="10"/>
      <c r="J1553" s="10"/>
      <c r="K1553" s="10"/>
      <c r="L1553" s="4" t="s">
        <v>52</v>
      </c>
      <c r="M1553" s="4">
        <v>1548</v>
      </c>
    </row>
    <row r="1554" spans="1:13" x14ac:dyDescent="0.25">
      <c r="A1554" s="4" t="s">
        <v>1410</v>
      </c>
      <c r="B1554" s="4" t="s">
        <v>270</v>
      </c>
      <c r="C1554" s="9" t="s">
        <v>50</v>
      </c>
      <c r="D1554" s="10">
        <v>20</v>
      </c>
      <c r="E1554" s="11" t="s">
        <v>51</v>
      </c>
      <c r="F1554" s="10"/>
      <c r="G1554" s="10">
        <v>0</v>
      </c>
      <c r="H1554" s="10">
        <f t="shared" si="24"/>
        <v>0</v>
      </c>
      <c r="I1554" s="10"/>
      <c r="J1554" s="10"/>
      <c r="K1554" s="10"/>
      <c r="L1554" s="4" t="s">
        <v>52</v>
      </c>
      <c r="M1554" s="4">
        <v>1549</v>
      </c>
    </row>
    <row r="1555" spans="1:13" x14ac:dyDescent="0.25">
      <c r="A1555" s="4" t="s">
        <v>1411</v>
      </c>
      <c r="B1555" s="4" t="s">
        <v>136</v>
      </c>
      <c r="C1555" s="9" t="s">
        <v>50</v>
      </c>
      <c r="D1555" s="10">
        <v>4</v>
      </c>
      <c r="E1555" s="11" t="s">
        <v>51</v>
      </c>
      <c r="F1555" s="10">
        <v>320</v>
      </c>
      <c r="G1555" s="10">
        <v>0</v>
      </c>
      <c r="H1555" s="10">
        <f t="shared" si="24"/>
        <v>320</v>
      </c>
      <c r="I1555" s="10"/>
      <c r="J1555" s="10"/>
      <c r="K1555" s="10"/>
      <c r="L1555" s="4" t="s">
        <v>52</v>
      </c>
      <c r="M1555" s="4">
        <v>1550</v>
      </c>
    </row>
    <row r="1556" spans="1:13" x14ac:dyDescent="0.25">
      <c r="A1556" s="4" t="s">
        <v>1411</v>
      </c>
      <c r="B1556" s="4" t="s">
        <v>82</v>
      </c>
      <c r="C1556" s="9" t="s">
        <v>50</v>
      </c>
      <c r="D1556" s="10">
        <v>6</v>
      </c>
      <c r="E1556" s="11" t="s">
        <v>51</v>
      </c>
      <c r="F1556" s="10">
        <v>480</v>
      </c>
      <c r="G1556" s="10">
        <v>0</v>
      </c>
      <c r="H1556" s="10">
        <f t="shared" si="24"/>
        <v>480</v>
      </c>
      <c r="I1556" s="10"/>
      <c r="J1556" s="10"/>
      <c r="K1556" s="10"/>
      <c r="L1556" s="4" t="s">
        <v>52</v>
      </c>
      <c r="M1556" s="4">
        <v>1551</v>
      </c>
    </row>
    <row r="1557" spans="1:13" x14ac:dyDescent="0.25">
      <c r="A1557" s="4" t="s">
        <v>1411</v>
      </c>
      <c r="B1557" s="4" t="s">
        <v>1412</v>
      </c>
      <c r="C1557" s="9" t="s">
        <v>50</v>
      </c>
      <c r="D1557" s="10">
        <v>10</v>
      </c>
      <c r="E1557" s="11" t="s">
        <v>51</v>
      </c>
      <c r="F1557" s="10">
        <v>800</v>
      </c>
      <c r="G1557" s="10">
        <v>0</v>
      </c>
      <c r="H1557" s="10">
        <f t="shared" si="24"/>
        <v>800</v>
      </c>
      <c r="I1557" s="10"/>
      <c r="J1557" s="10"/>
      <c r="K1557" s="10"/>
      <c r="L1557" s="4" t="s">
        <v>52</v>
      </c>
      <c r="M1557" s="4">
        <v>1552</v>
      </c>
    </row>
    <row r="1558" spans="1:13" x14ac:dyDescent="0.25">
      <c r="A1558" s="4" t="s">
        <v>1411</v>
      </c>
      <c r="B1558" s="4" t="s">
        <v>1413</v>
      </c>
      <c r="C1558" s="4" t="s">
        <v>68</v>
      </c>
      <c r="D1558" s="10"/>
      <c r="E1558" s="11" t="s">
        <v>51</v>
      </c>
      <c r="F1558" s="10"/>
      <c r="G1558" s="10">
        <v>0</v>
      </c>
      <c r="H1558" s="10">
        <f t="shared" si="24"/>
        <v>0</v>
      </c>
      <c r="I1558" s="10"/>
      <c r="J1558" s="10"/>
      <c r="K1558" s="10"/>
      <c r="L1558" s="4" t="s">
        <v>69</v>
      </c>
      <c r="M1558" s="4">
        <v>1553</v>
      </c>
    </row>
    <row r="1559" spans="1:13" x14ac:dyDescent="0.25">
      <c r="A1559" s="4" t="s">
        <v>1414</v>
      </c>
      <c r="B1559" s="4" t="s">
        <v>136</v>
      </c>
      <c r="C1559" s="9" t="s">
        <v>50</v>
      </c>
      <c r="D1559" s="10"/>
      <c r="E1559" s="11" t="s">
        <v>51</v>
      </c>
      <c r="F1559" s="10"/>
      <c r="G1559" s="10">
        <v>0</v>
      </c>
      <c r="H1559" s="10">
        <f t="shared" si="24"/>
        <v>0</v>
      </c>
      <c r="I1559" s="10"/>
      <c r="J1559" s="10"/>
      <c r="K1559" s="10"/>
      <c r="L1559" s="4" t="s">
        <v>52</v>
      </c>
      <c r="M1559" s="4">
        <v>1554</v>
      </c>
    </row>
    <row r="1560" spans="1:13" x14ac:dyDescent="0.25">
      <c r="A1560" s="4" t="s">
        <v>1414</v>
      </c>
      <c r="B1560" s="4" t="s">
        <v>82</v>
      </c>
      <c r="C1560" s="9" t="s">
        <v>50</v>
      </c>
      <c r="D1560" s="10"/>
      <c r="E1560" s="11" t="s">
        <v>51</v>
      </c>
      <c r="F1560" s="10"/>
      <c r="G1560" s="10">
        <v>0</v>
      </c>
      <c r="H1560" s="10">
        <f t="shared" si="24"/>
        <v>0</v>
      </c>
      <c r="I1560" s="10"/>
      <c r="J1560" s="10"/>
      <c r="K1560" s="10"/>
      <c r="L1560" s="4" t="s">
        <v>52</v>
      </c>
      <c r="M1560" s="4">
        <v>1555</v>
      </c>
    </row>
    <row r="1561" spans="1:13" x14ac:dyDescent="0.25">
      <c r="A1561" s="4" t="s">
        <v>1414</v>
      </c>
      <c r="B1561" s="4" t="s">
        <v>88</v>
      </c>
      <c r="C1561" s="9" t="s">
        <v>50</v>
      </c>
      <c r="D1561" s="10"/>
      <c r="E1561" s="11" t="s">
        <v>51</v>
      </c>
      <c r="F1561" s="10"/>
      <c r="G1561" s="10">
        <v>0</v>
      </c>
      <c r="H1561" s="10">
        <f t="shared" si="24"/>
        <v>0</v>
      </c>
      <c r="I1561" s="10"/>
      <c r="J1561" s="10"/>
      <c r="K1561" s="10"/>
      <c r="L1561" s="4" t="s">
        <v>52</v>
      </c>
      <c r="M1561" s="4">
        <v>1556</v>
      </c>
    </row>
    <row r="1562" spans="1:13" x14ac:dyDescent="0.25">
      <c r="A1562" s="4" t="s">
        <v>1414</v>
      </c>
      <c r="B1562" s="4" t="s">
        <v>137</v>
      </c>
      <c r="C1562" s="9" t="s">
        <v>50</v>
      </c>
      <c r="D1562" s="10"/>
      <c r="E1562" s="11" t="s">
        <v>51</v>
      </c>
      <c r="F1562" s="10"/>
      <c r="G1562" s="10">
        <v>0</v>
      </c>
      <c r="H1562" s="10">
        <f t="shared" si="24"/>
        <v>0</v>
      </c>
      <c r="I1562" s="10"/>
      <c r="J1562" s="10"/>
      <c r="K1562" s="10"/>
      <c r="L1562" s="4" t="s">
        <v>52</v>
      </c>
      <c r="M1562" s="4">
        <v>1557</v>
      </c>
    </row>
    <row r="1563" spans="1:13" x14ac:dyDescent="0.25">
      <c r="A1563" s="4" t="s">
        <v>1414</v>
      </c>
      <c r="B1563" s="4" t="s">
        <v>107</v>
      </c>
      <c r="C1563" s="9" t="s">
        <v>50</v>
      </c>
      <c r="D1563" s="10">
        <v>178</v>
      </c>
      <c r="E1563" s="11" t="s">
        <v>51</v>
      </c>
      <c r="F1563" s="10"/>
      <c r="G1563" s="10">
        <v>0</v>
      </c>
      <c r="H1563" s="10">
        <f t="shared" si="24"/>
        <v>0</v>
      </c>
      <c r="I1563" s="10"/>
      <c r="J1563" s="10"/>
      <c r="K1563" s="10"/>
      <c r="L1563" s="4" t="s">
        <v>52</v>
      </c>
      <c r="M1563" s="4">
        <v>1558</v>
      </c>
    </row>
    <row r="1564" spans="1:13" x14ac:dyDescent="0.25">
      <c r="A1564" s="4" t="s">
        <v>1415</v>
      </c>
      <c r="B1564" s="4" t="s">
        <v>1416</v>
      </c>
      <c r="C1564" s="9" t="s">
        <v>50</v>
      </c>
      <c r="D1564" s="10">
        <v>88</v>
      </c>
      <c r="E1564" s="11" t="s">
        <v>51</v>
      </c>
      <c r="F1564" s="10">
        <v>9300</v>
      </c>
      <c r="G1564" s="10">
        <v>0</v>
      </c>
      <c r="H1564" s="10">
        <f t="shared" si="24"/>
        <v>9300</v>
      </c>
      <c r="I1564" s="10"/>
      <c r="J1564" s="10"/>
      <c r="K1564" s="10"/>
      <c r="L1564" s="4" t="s">
        <v>52</v>
      </c>
      <c r="M1564" s="4">
        <v>1559</v>
      </c>
    </row>
    <row r="1565" spans="1:13" x14ac:dyDescent="0.25">
      <c r="A1565" s="4" t="s">
        <v>1415</v>
      </c>
      <c r="B1565" s="4" t="s">
        <v>1417</v>
      </c>
      <c r="C1565" s="4" t="s">
        <v>65</v>
      </c>
      <c r="D1565" s="10">
        <v>40</v>
      </c>
      <c r="E1565" s="12" t="s">
        <v>66</v>
      </c>
      <c r="F1565" s="10">
        <v>12500</v>
      </c>
      <c r="G1565" s="10">
        <v>0</v>
      </c>
      <c r="H1565" s="10">
        <f t="shared" si="24"/>
        <v>12500</v>
      </c>
      <c r="I1565" s="10">
        <v>138.88888888888891</v>
      </c>
      <c r="J1565" s="10">
        <v>138.88888888888891</v>
      </c>
      <c r="K1565" s="10">
        <v>138.88888888888891</v>
      </c>
      <c r="L1565" s="4"/>
      <c r="M1565" s="4">
        <v>1560</v>
      </c>
    </row>
    <row r="1566" spans="1:13" x14ac:dyDescent="0.25">
      <c r="A1566" s="4" t="s">
        <v>1418</v>
      </c>
      <c r="B1566" s="4" t="s">
        <v>1419</v>
      </c>
      <c r="C1566" s="4" t="s">
        <v>68</v>
      </c>
      <c r="D1566" s="10">
        <v>80</v>
      </c>
      <c r="E1566" s="11" t="s">
        <v>51</v>
      </c>
      <c r="F1566" s="10">
        <v>4600</v>
      </c>
      <c r="G1566" s="10">
        <v>0</v>
      </c>
      <c r="H1566" s="10">
        <f t="shared" si="24"/>
        <v>4600</v>
      </c>
      <c r="I1566" s="10"/>
      <c r="J1566" s="10"/>
      <c r="K1566" s="10"/>
      <c r="L1566" s="4" t="s">
        <v>69</v>
      </c>
      <c r="M1566" s="4">
        <v>1561</v>
      </c>
    </row>
    <row r="1567" spans="1:13" x14ac:dyDescent="0.25">
      <c r="A1567" s="4" t="s">
        <v>1420</v>
      </c>
      <c r="B1567" s="4" t="s">
        <v>1421</v>
      </c>
      <c r="C1567" s="4" t="s">
        <v>68</v>
      </c>
      <c r="D1567" s="10">
        <v>100</v>
      </c>
      <c r="E1567" s="11" t="s">
        <v>51</v>
      </c>
      <c r="F1567" s="10">
        <v>4600</v>
      </c>
      <c r="G1567" s="10">
        <v>0</v>
      </c>
      <c r="H1567" s="10">
        <f t="shared" si="24"/>
        <v>4600</v>
      </c>
      <c r="I1567" s="10"/>
      <c r="J1567" s="10"/>
      <c r="K1567" s="10"/>
      <c r="L1567" s="4" t="s">
        <v>69</v>
      </c>
      <c r="M1567" s="4">
        <v>1562</v>
      </c>
    </row>
    <row r="1568" spans="1:13" x14ac:dyDescent="0.25">
      <c r="A1568" s="4" t="s">
        <v>1422</v>
      </c>
      <c r="B1568" s="4" t="s">
        <v>1423</v>
      </c>
      <c r="C1568" s="4" t="s">
        <v>68</v>
      </c>
      <c r="D1568" s="10">
        <v>216</v>
      </c>
      <c r="E1568" s="11" t="s">
        <v>51</v>
      </c>
      <c r="F1568" s="10">
        <v>6900</v>
      </c>
      <c r="G1568" s="10">
        <v>0</v>
      </c>
      <c r="H1568" s="10">
        <f t="shared" si="24"/>
        <v>6900</v>
      </c>
      <c r="I1568" s="10"/>
      <c r="J1568" s="10"/>
      <c r="K1568" s="10"/>
      <c r="L1568" s="4" t="s">
        <v>69</v>
      </c>
      <c r="M1568" s="4">
        <v>1563</v>
      </c>
    </row>
    <row r="1569" spans="1:13" x14ac:dyDescent="0.25">
      <c r="A1569" s="4" t="s">
        <v>1424</v>
      </c>
      <c r="B1569" s="4" t="s">
        <v>1425</v>
      </c>
      <c r="C1569" s="9" t="s">
        <v>50</v>
      </c>
      <c r="D1569" s="10">
        <v>156</v>
      </c>
      <c r="E1569" s="11" t="s">
        <v>51</v>
      </c>
      <c r="F1569" s="10">
        <v>19990</v>
      </c>
      <c r="G1569" s="10">
        <v>0</v>
      </c>
      <c r="H1569" s="10">
        <f t="shared" si="24"/>
        <v>19990</v>
      </c>
      <c r="I1569" s="10"/>
      <c r="J1569" s="10"/>
      <c r="K1569" s="10"/>
      <c r="L1569" s="4" t="s">
        <v>52</v>
      </c>
      <c r="M1569" s="4">
        <v>1564</v>
      </c>
    </row>
    <row r="1570" spans="1:13" x14ac:dyDescent="0.25">
      <c r="A1570" s="4" t="s">
        <v>1426</v>
      </c>
      <c r="B1570" s="4" t="s">
        <v>136</v>
      </c>
      <c r="C1570" s="9" t="s">
        <v>50</v>
      </c>
      <c r="D1570" s="10"/>
      <c r="E1570" s="11" t="s">
        <v>51</v>
      </c>
      <c r="F1570" s="10"/>
      <c r="G1570" s="10">
        <v>0</v>
      </c>
      <c r="H1570" s="10">
        <f t="shared" si="24"/>
        <v>0</v>
      </c>
      <c r="I1570" s="10"/>
      <c r="J1570" s="10"/>
      <c r="K1570" s="10"/>
      <c r="L1570" s="4" t="s">
        <v>52</v>
      </c>
      <c r="M1570" s="4">
        <v>1565</v>
      </c>
    </row>
    <row r="1571" spans="1:13" x14ac:dyDescent="0.25">
      <c r="A1571" s="4" t="s">
        <v>1426</v>
      </c>
      <c r="B1571" s="4" t="s">
        <v>82</v>
      </c>
      <c r="C1571" s="9" t="s">
        <v>50</v>
      </c>
      <c r="D1571" s="10"/>
      <c r="E1571" s="11" t="s">
        <v>51</v>
      </c>
      <c r="F1571" s="10"/>
      <c r="G1571" s="10">
        <v>0</v>
      </c>
      <c r="H1571" s="10">
        <f t="shared" si="24"/>
        <v>0</v>
      </c>
      <c r="I1571" s="10"/>
      <c r="J1571" s="10"/>
      <c r="K1571" s="10"/>
      <c r="L1571" s="4" t="s">
        <v>52</v>
      </c>
      <c r="M1571" s="4">
        <v>1566</v>
      </c>
    </row>
    <row r="1572" spans="1:13" x14ac:dyDescent="0.25">
      <c r="A1572" s="4" t="s">
        <v>1426</v>
      </c>
      <c r="B1572" s="4" t="s">
        <v>88</v>
      </c>
      <c r="C1572" s="9" t="s">
        <v>50</v>
      </c>
      <c r="D1572" s="10"/>
      <c r="E1572" s="11" t="s">
        <v>51</v>
      </c>
      <c r="F1572" s="10"/>
      <c r="G1572" s="10">
        <v>0</v>
      </c>
      <c r="H1572" s="10">
        <f t="shared" si="24"/>
        <v>0</v>
      </c>
      <c r="I1572" s="10"/>
      <c r="J1572" s="10"/>
      <c r="K1572" s="10"/>
      <c r="L1572" s="4" t="s">
        <v>52</v>
      </c>
      <c r="M1572" s="4">
        <v>1567</v>
      </c>
    </row>
    <row r="1573" spans="1:13" x14ac:dyDescent="0.25">
      <c r="A1573" s="4" t="s">
        <v>1426</v>
      </c>
      <c r="B1573" s="4" t="s">
        <v>137</v>
      </c>
      <c r="C1573" s="9" t="s">
        <v>50</v>
      </c>
      <c r="D1573" s="10"/>
      <c r="E1573" s="11" t="s">
        <v>51</v>
      </c>
      <c r="F1573" s="10"/>
      <c r="G1573" s="10">
        <v>0</v>
      </c>
      <c r="H1573" s="10">
        <f t="shared" si="24"/>
        <v>0</v>
      </c>
      <c r="I1573" s="10"/>
      <c r="J1573" s="10"/>
      <c r="K1573" s="10"/>
      <c r="L1573" s="4" t="s">
        <v>52</v>
      </c>
      <c r="M1573" s="4">
        <v>1568</v>
      </c>
    </row>
    <row r="1574" spans="1:13" x14ac:dyDescent="0.25">
      <c r="A1574" s="4" t="s">
        <v>1426</v>
      </c>
      <c r="B1574" s="4" t="s">
        <v>106</v>
      </c>
      <c r="C1574" s="9" t="s">
        <v>50</v>
      </c>
      <c r="D1574" s="10"/>
      <c r="E1574" s="11" t="s">
        <v>51</v>
      </c>
      <c r="F1574" s="10"/>
      <c r="G1574" s="10">
        <v>0</v>
      </c>
      <c r="H1574" s="10">
        <f t="shared" si="24"/>
        <v>0</v>
      </c>
      <c r="I1574" s="10"/>
      <c r="J1574" s="10"/>
      <c r="K1574" s="10"/>
      <c r="L1574" s="4" t="s">
        <v>52</v>
      </c>
      <c r="M1574" s="4">
        <v>1569</v>
      </c>
    </row>
    <row r="1575" spans="1:13" x14ac:dyDescent="0.25">
      <c r="A1575" s="4" t="s">
        <v>1426</v>
      </c>
      <c r="B1575" s="4" t="s">
        <v>107</v>
      </c>
      <c r="C1575" s="9" t="s">
        <v>50</v>
      </c>
      <c r="D1575" s="10">
        <v>250</v>
      </c>
      <c r="E1575" s="11" t="s">
        <v>51</v>
      </c>
      <c r="F1575" s="10"/>
      <c r="G1575" s="10">
        <v>0</v>
      </c>
      <c r="H1575" s="10">
        <f t="shared" si="24"/>
        <v>0</v>
      </c>
      <c r="I1575" s="10"/>
      <c r="J1575" s="10"/>
      <c r="K1575" s="10"/>
      <c r="L1575" s="4" t="s">
        <v>52</v>
      </c>
      <c r="M1575" s="4">
        <v>1570</v>
      </c>
    </row>
    <row r="1576" spans="1:13" x14ac:dyDescent="0.25">
      <c r="A1576" s="4" t="s">
        <v>1427</v>
      </c>
      <c r="B1576" s="4" t="s">
        <v>1428</v>
      </c>
      <c r="C1576" s="9" t="s">
        <v>50</v>
      </c>
      <c r="D1576" s="10">
        <v>70</v>
      </c>
      <c r="E1576" s="11" t="s">
        <v>51</v>
      </c>
      <c r="F1576" s="10">
        <v>5250</v>
      </c>
      <c r="G1576" s="10">
        <v>0</v>
      </c>
      <c r="H1576" s="10">
        <f t="shared" si="24"/>
        <v>5250</v>
      </c>
      <c r="I1576" s="10"/>
      <c r="J1576" s="10"/>
      <c r="K1576" s="10"/>
      <c r="L1576" s="4" t="s">
        <v>52</v>
      </c>
      <c r="M1576" s="4">
        <v>1571</v>
      </c>
    </row>
    <row r="1577" spans="1:13" x14ac:dyDescent="0.25">
      <c r="A1577" s="4" t="s">
        <v>1427</v>
      </c>
      <c r="B1577" s="4" t="s">
        <v>421</v>
      </c>
      <c r="C1577" s="9" t="s">
        <v>50</v>
      </c>
      <c r="D1577" s="10">
        <v>657.5</v>
      </c>
      <c r="E1577" s="11" t="s">
        <v>51</v>
      </c>
      <c r="F1577" s="10">
        <v>13500</v>
      </c>
      <c r="G1577" s="10">
        <v>0</v>
      </c>
      <c r="H1577" s="10">
        <f t="shared" si="24"/>
        <v>13500</v>
      </c>
      <c r="I1577" s="10"/>
      <c r="J1577" s="10"/>
      <c r="K1577" s="10"/>
      <c r="L1577" s="4" t="s">
        <v>52</v>
      </c>
      <c r="M1577" s="4">
        <v>1572</v>
      </c>
    </row>
    <row r="1578" spans="1:13" x14ac:dyDescent="0.25">
      <c r="A1578" s="4" t="s">
        <v>1429</v>
      </c>
      <c r="B1578" s="4" t="s">
        <v>1430</v>
      </c>
      <c r="C1578" s="9" t="s">
        <v>50</v>
      </c>
      <c r="D1578" s="10">
        <v>599.5</v>
      </c>
      <c r="E1578" s="11" t="s">
        <v>51</v>
      </c>
      <c r="F1578" s="10">
        <v>50500</v>
      </c>
      <c r="G1578" s="10">
        <v>0</v>
      </c>
      <c r="H1578" s="10">
        <f t="shared" si="24"/>
        <v>50500</v>
      </c>
      <c r="I1578" s="10"/>
      <c r="J1578" s="10"/>
      <c r="K1578" s="10"/>
      <c r="L1578" s="4" t="s">
        <v>52</v>
      </c>
      <c r="M1578" s="4">
        <v>1573</v>
      </c>
    </row>
    <row r="1579" spans="1:13" x14ac:dyDescent="0.25">
      <c r="A1579" s="4" t="s">
        <v>1431</v>
      </c>
      <c r="B1579" s="4" t="s">
        <v>1432</v>
      </c>
      <c r="C1579" s="4" t="s">
        <v>65</v>
      </c>
      <c r="D1579" s="10">
        <v>36</v>
      </c>
      <c r="E1579" s="12" t="s">
        <v>66</v>
      </c>
      <c r="F1579" s="10">
        <v>2900</v>
      </c>
      <c r="G1579" s="10">
        <v>0</v>
      </c>
      <c r="H1579" s="10">
        <f t="shared" si="24"/>
        <v>2900</v>
      </c>
      <c r="I1579" s="10">
        <v>80.555555555555557</v>
      </c>
      <c r="J1579" s="10">
        <v>80.555555555555557</v>
      </c>
      <c r="K1579" s="10">
        <v>80.555555555555557</v>
      </c>
      <c r="L1579" s="4"/>
      <c r="M1579" s="4">
        <v>1574</v>
      </c>
    </row>
    <row r="1580" spans="1:13" x14ac:dyDescent="0.25">
      <c r="A1580" s="4" t="s">
        <v>1431</v>
      </c>
      <c r="B1580" s="4" t="s">
        <v>1433</v>
      </c>
      <c r="C1580" s="4" t="s">
        <v>65</v>
      </c>
      <c r="D1580" s="10">
        <v>86</v>
      </c>
      <c r="E1580" s="11" t="s">
        <v>51</v>
      </c>
      <c r="F1580" s="10"/>
      <c r="G1580" s="10">
        <v>0</v>
      </c>
      <c r="H1580" s="10">
        <f t="shared" si="24"/>
        <v>0</v>
      </c>
      <c r="I1580" s="10">
        <v>0</v>
      </c>
      <c r="J1580" s="10">
        <v>0</v>
      </c>
      <c r="K1580" s="10">
        <v>0</v>
      </c>
      <c r="L1580" s="4" t="s">
        <v>69</v>
      </c>
      <c r="M1580" s="4">
        <v>1575</v>
      </c>
    </row>
    <row r="1581" spans="1:13" x14ac:dyDescent="0.25">
      <c r="A1581" s="4" t="s">
        <v>1434</v>
      </c>
      <c r="B1581" s="4" t="s">
        <v>136</v>
      </c>
      <c r="C1581" s="9" t="s">
        <v>50</v>
      </c>
      <c r="D1581" s="10"/>
      <c r="E1581" s="11" t="s">
        <v>51</v>
      </c>
      <c r="F1581" s="10"/>
      <c r="G1581" s="10">
        <v>0</v>
      </c>
      <c r="H1581" s="10">
        <f t="shared" si="24"/>
        <v>0</v>
      </c>
      <c r="I1581" s="10"/>
      <c r="J1581" s="10"/>
      <c r="K1581" s="10"/>
      <c r="L1581" s="4" t="s">
        <v>52</v>
      </c>
      <c r="M1581" s="4">
        <v>1576</v>
      </c>
    </row>
    <row r="1582" spans="1:13" x14ac:dyDescent="0.25">
      <c r="A1582" s="4" t="s">
        <v>1434</v>
      </c>
      <c r="B1582" s="4" t="s">
        <v>88</v>
      </c>
      <c r="C1582" s="9" t="s">
        <v>50</v>
      </c>
      <c r="D1582" s="10">
        <v>60</v>
      </c>
      <c r="E1582" s="11" t="s">
        <v>51</v>
      </c>
      <c r="F1582" s="10"/>
      <c r="G1582" s="10">
        <v>0</v>
      </c>
      <c r="H1582" s="10">
        <f t="shared" si="24"/>
        <v>0</v>
      </c>
      <c r="I1582" s="10"/>
      <c r="J1582" s="10"/>
      <c r="K1582" s="10"/>
      <c r="L1582" s="4" t="s">
        <v>52</v>
      </c>
      <c r="M1582" s="4">
        <v>1577</v>
      </c>
    </row>
    <row r="1583" spans="1:13" x14ac:dyDescent="0.25">
      <c r="A1583" s="4" t="s">
        <v>1435</v>
      </c>
      <c r="B1583" s="4" t="s">
        <v>537</v>
      </c>
      <c r="C1583" s="9" t="s">
        <v>50</v>
      </c>
      <c r="D1583" s="10">
        <v>16</v>
      </c>
      <c r="E1583" s="11" t="s">
        <v>51</v>
      </c>
      <c r="F1583" s="10">
        <v>1360</v>
      </c>
      <c r="G1583" s="10">
        <v>0</v>
      </c>
      <c r="H1583" s="10">
        <f t="shared" si="24"/>
        <v>1360</v>
      </c>
      <c r="I1583" s="10">
        <v>85</v>
      </c>
      <c r="J1583" s="10">
        <v>85</v>
      </c>
      <c r="K1583" s="10">
        <v>85</v>
      </c>
      <c r="L1583" s="4" t="s">
        <v>259</v>
      </c>
      <c r="M1583" s="4">
        <v>1578</v>
      </c>
    </row>
    <row r="1584" spans="1:13" x14ac:dyDescent="0.25">
      <c r="A1584" s="4" t="s">
        <v>1435</v>
      </c>
      <c r="B1584" s="4" t="s">
        <v>106</v>
      </c>
      <c r="C1584" s="9" t="s">
        <v>50</v>
      </c>
      <c r="D1584" s="10">
        <v>28</v>
      </c>
      <c r="E1584" s="11" t="s">
        <v>51</v>
      </c>
      <c r="F1584" s="10">
        <v>3279.36</v>
      </c>
      <c r="G1584" s="10">
        <v>0</v>
      </c>
      <c r="H1584" s="10">
        <f t="shared" si="24"/>
        <v>3279.36</v>
      </c>
      <c r="I1584" s="10"/>
      <c r="J1584" s="10"/>
      <c r="K1584" s="10"/>
      <c r="L1584" s="4" t="s">
        <v>52</v>
      </c>
      <c r="M1584" s="4">
        <v>1579</v>
      </c>
    </row>
    <row r="1585" spans="1:13" x14ac:dyDescent="0.25">
      <c r="A1585" s="4" t="s">
        <v>1435</v>
      </c>
      <c r="B1585" s="4" t="s">
        <v>107</v>
      </c>
      <c r="C1585" s="9" t="s">
        <v>50</v>
      </c>
      <c r="D1585" s="10">
        <v>57</v>
      </c>
      <c r="E1585" s="11" t="s">
        <v>51</v>
      </c>
      <c r="F1585" s="10">
        <v>3778.15</v>
      </c>
      <c r="G1585" s="10">
        <v>0</v>
      </c>
      <c r="H1585" s="10">
        <f t="shared" si="24"/>
        <v>3778.15</v>
      </c>
      <c r="I1585" s="10"/>
      <c r="J1585" s="10"/>
      <c r="K1585" s="10"/>
      <c r="L1585" s="4" t="s">
        <v>52</v>
      </c>
      <c r="M1585" s="4">
        <v>1580</v>
      </c>
    </row>
    <row r="1586" spans="1:13" x14ac:dyDescent="0.25">
      <c r="A1586" s="4" t="s">
        <v>1436</v>
      </c>
      <c r="B1586" s="4" t="s">
        <v>1437</v>
      </c>
      <c r="C1586" s="4" t="s">
        <v>65</v>
      </c>
      <c r="D1586" s="10">
        <v>49</v>
      </c>
      <c r="E1586" s="12" t="s">
        <v>66</v>
      </c>
      <c r="F1586" s="10">
        <v>3400</v>
      </c>
      <c r="G1586" s="10">
        <v>0</v>
      </c>
      <c r="H1586" s="10">
        <f t="shared" si="24"/>
        <v>3400</v>
      </c>
      <c r="I1586" s="10">
        <v>136</v>
      </c>
      <c r="J1586" s="10">
        <v>136</v>
      </c>
      <c r="K1586" s="10">
        <v>136</v>
      </c>
      <c r="L1586" s="4"/>
      <c r="M1586" s="4">
        <v>1581</v>
      </c>
    </row>
    <row r="1587" spans="1:13" x14ac:dyDescent="0.25">
      <c r="A1587" s="4" t="s">
        <v>1438</v>
      </c>
      <c r="B1587" s="4" t="s">
        <v>272</v>
      </c>
      <c r="C1587" s="9" t="s">
        <v>50</v>
      </c>
      <c r="D1587" s="10">
        <v>4</v>
      </c>
      <c r="E1587" s="11" t="s">
        <v>51</v>
      </c>
      <c r="F1587" s="10">
        <v>380</v>
      </c>
      <c r="G1587" s="10">
        <v>0</v>
      </c>
      <c r="H1587" s="10">
        <f t="shared" si="24"/>
        <v>380</v>
      </c>
      <c r="I1587" s="10"/>
      <c r="J1587" s="10"/>
      <c r="K1587" s="10"/>
      <c r="L1587" s="4" t="s">
        <v>52</v>
      </c>
      <c r="M1587" s="4">
        <v>1582</v>
      </c>
    </row>
    <row r="1588" spans="1:13" x14ac:dyDescent="0.25">
      <c r="A1588" s="4" t="s">
        <v>1438</v>
      </c>
      <c r="B1588" s="4" t="s">
        <v>107</v>
      </c>
      <c r="C1588" s="9" t="s">
        <v>50</v>
      </c>
      <c r="D1588" s="10">
        <v>20</v>
      </c>
      <c r="E1588" s="11" t="s">
        <v>51</v>
      </c>
      <c r="F1588" s="10">
        <v>1900</v>
      </c>
      <c r="G1588" s="10">
        <v>0</v>
      </c>
      <c r="H1588" s="10">
        <f t="shared" si="24"/>
        <v>1900</v>
      </c>
      <c r="I1588" s="10"/>
      <c r="J1588" s="10"/>
      <c r="K1588" s="10"/>
      <c r="L1588" s="4" t="s">
        <v>52</v>
      </c>
      <c r="M1588" s="4">
        <v>1583</v>
      </c>
    </row>
    <row r="1589" spans="1:13" x14ac:dyDescent="0.25">
      <c r="A1589" s="4" t="s">
        <v>1439</v>
      </c>
      <c r="B1589" s="4" t="s">
        <v>136</v>
      </c>
      <c r="C1589" s="9" t="s">
        <v>50</v>
      </c>
      <c r="D1589" s="10"/>
      <c r="E1589" s="11" t="s">
        <v>51</v>
      </c>
      <c r="F1589" s="10"/>
      <c r="G1589" s="10">
        <v>0</v>
      </c>
      <c r="H1589" s="10">
        <f t="shared" si="24"/>
        <v>0</v>
      </c>
      <c r="I1589" s="10"/>
      <c r="J1589" s="10"/>
      <c r="K1589" s="10"/>
      <c r="L1589" s="4" t="s">
        <v>52</v>
      </c>
      <c r="M1589" s="4">
        <v>1584</v>
      </c>
    </row>
    <row r="1590" spans="1:13" x14ac:dyDescent="0.25">
      <c r="A1590" s="4" t="s">
        <v>1439</v>
      </c>
      <c r="B1590" s="4" t="s">
        <v>82</v>
      </c>
      <c r="C1590" s="9" t="s">
        <v>50</v>
      </c>
      <c r="D1590" s="10"/>
      <c r="E1590" s="11" t="s">
        <v>51</v>
      </c>
      <c r="F1590" s="10"/>
      <c r="G1590" s="10">
        <v>0</v>
      </c>
      <c r="H1590" s="10">
        <f t="shared" si="24"/>
        <v>0</v>
      </c>
      <c r="I1590" s="10"/>
      <c r="J1590" s="10"/>
      <c r="K1590" s="10"/>
      <c r="L1590" s="4" t="s">
        <v>52</v>
      </c>
      <c r="M1590" s="4">
        <v>1585</v>
      </c>
    </row>
    <row r="1591" spans="1:13" x14ac:dyDescent="0.25">
      <c r="A1591" s="4" t="s">
        <v>1439</v>
      </c>
      <c r="B1591" s="4" t="s">
        <v>88</v>
      </c>
      <c r="C1591" s="9" t="s">
        <v>50</v>
      </c>
      <c r="D1591" s="10"/>
      <c r="E1591" s="11" t="s">
        <v>51</v>
      </c>
      <c r="F1591" s="10"/>
      <c r="G1591" s="10">
        <v>0</v>
      </c>
      <c r="H1591" s="10">
        <f t="shared" si="24"/>
        <v>0</v>
      </c>
      <c r="I1591" s="10"/>
      <c r="J1591" s="10"/>
      <c r="K1591" s="10"/>
      <c r="L1591" s="4" t="s">
        <v>52</v>
      </c>
      <c r="M1591" s="4">
        <v>1586</v>
      </c>
    </row>
    <row r="1592" spans="1:13" x14ac:dyDescent="0.25">
      <c r="A1592" s="4" t="s">
        <v>1439</v>
      </c>
      <c r="B1592" s="4" t="s">
        <v>137</v>
      </c>
      <c r="C1592" s="9" t="s">
        <v>50</v>
      </c>
      <c r="D1592" s="10"/>
      <c r="E1592" s="11" t="s">
        <v>51</v>
      </c>
      <c r="F1592" s="10"/>
      <c r="G1592" s="10">
        <v>0</v>
      </c>
      <c r="H1592" s="10">
        <f t="shared" si="24"/>
        <v>0</v>
      </c>
      <c r="I1592" s="10"/>
      <c r="J1592" s="10"/>
      <c r="K1592" s="10"/>
      <c r="L1592" s="4" t="s">
        <v>52</v>
      </c>
      <c r="M1592" s="4">
        <v>1587</v>
      </c>
    </row>
    <row r="1593" spans="1:13" x14ac:dyDescent="0.25">
      <c r="A1593" s="4" t="s">
        <v>1440</v>
      </c>
      <c r="B1593" s="4" t="s">
        <v>136</v>
      </c>
      <c r="C1593" s="9" t="s">
        <v>50</v>
      </c>
      <c r="D1593" s="10"/>
      <c r="E1593" s="11" t="s">
        <v>51</v>
      </c>
      <c r="F1593" s="10"/>
      <c r="G1593" s="10">
        <v>0</v>
      </c>
      <c r="H1593" s="10">
        <f t="shared" si="24"/>
        <v>0</v>
      </c>
      <c r="I1593" s="10"/>
      <c r="J1593" s="10"/>
      <c r="K1593" s="10"/>
      <c r="L1593" s="4" t="s">
        <v>52</v>
      </c>
      <c r="M1593" s="4">
        <v>1588</v>
      </c>
    </row>
    <row r="1594" spans="1:13" x14ac:dyDescent="0.25">
      <c r="A1594" s="4" t="s">
        <v>1440</v>
      </c>
      <c r="B1594" s="4" t="s">
        <v>82</v>
      </c>
      <c r="C1594" s="9" t="s">
        <v>50</v>
      </c>
      <c r="D1594" s="10"/>
      <c r="E1594" s="11" t="s">
        <v>51</v>
      </c>
      <c r="F1594" s="10"/>
      <c r="G1594" s="10">
        <v>0</v>
      </c>
      <c r="H1594" s="10">
        <f t="shared" si="24"/>
        <v>0</v>
      </c>
      <c r="I1594" s="10"/>
      <c r="J1594" s="10"/>
      <c r="K1594" s="10"/>
      <c r="L1594" s="4" t="s">
        <v>52</v>
      </c>
      <c r="M1594" s="4">
        <v>1589</v>
      </c>
    </row>
    <row r="1595" spans="1:13" x14ac:dyDescent="0.25">
      <c r="A1595" s="4" t="s">
        <v>1440</v>
      </c>
      <c r="B1595" s="4" t="s">
        <v>88</v>
      </c>
      <c r="C1595" s="9" t="s">
        <v>50</v>
      </c>
      <c r="D1595" s="10"/>
      <c r="E1595" s="11" t="s">
        <v>51</v>
      </c>
      <c r="F1595" s="10"/>
      <c r="G1595" s="10">
        <v>0</v>
      </c>
      <c r="H1595" s="10">
        <f t="shared" si="24"/>
        <v>0</v>
      </c>
      <c r="I1595" s="10"/>
      <c r="J1595" s="10"/>
      <c r="K1595" s="10"/>
      <c r="L1595" s="4" t="s">
        <v>52</v>
      </c>
      <c r="M1595" s="4">
        <v>1590</v>
      </c>
    </row>
    <row r="1596" spans="1:13" x14ac:dyDescent="0.25">
      <c r="A1596" s="4" t="s">
        <v>1440</v>
      </c>
      <c r="B1596" s="4" t="s">
        <v>137</v>
      </c>
      <c r="C1596" s="9" t="s">
        <v>50</v>
      </c>
      <c r="D1596" s="10">
        <v>72</v>
      </c>
      <c r="E1596" s="11" t="s">
        <v>51</v>
      </c>
      <c r="F1596" s="10"/>
      <c r="G1596" s="10">
        <v>0</v>
      </c>
      <c r="H1596" s="10">
        <f t="shared" si="24"/>
        <v>0</v>
      </c>
      <c r="I1596" s="10"/>
      <c r="J1596" s="10"/>
      <c r="K1596" s="10"/>
      <c r="L1596" s="4" t="s">
        <v>52</v>
      </c>
      <c r="M1596" s="4">
        <v>1591</v>
      </c>
    </row>
    <row r="1597" spans="1:13" x14ac:dyDescent="0.25">
      <c r="A1597" s="4" t="s">
        <v>1441</v>
      </c>
      <c r="B1597" s="4" t="s">
        <v>1442</v>
      </c>
      <c r="C1597" s="9" t="s">
        <v>50</v>
      </c>
      <c r="D1597" s="10">
        <v>32</v>
      </c>
      <c r="E1597" s="11" t="s">
        <v>51</v>
      </c>
      <c r="F1597" s="10">
        <v>3350</v>
      </c>
      <c r="G1597" s="10">
        <v>0</v>
      </c>
      <c r="H1597" s="10">
        <f t="shared" si="24"/>
        <v>3350</v>
      </c>
      <c r="I1597" s="10"/>
      <c r="J1597" s="10"/>
      <c r="K1597" s="10"/>
      <c r="L1597" s="4" t="s">
        <v>52</v>
      </c>
      <c r="M1597" s="4">
        <v>1592</v>
      </c>
    </row>
    <row r="1598" spans="1:13" x14ac:dyDescent="0.25">
      <c r="A1598" s="4" t="s">
        <v>1441</v>
      </c>
      <c r="B1598" s="4" t="s">
        <v>1443</v>
      </c>
      <c r="C1598" s="9" t="s">
        <v>50</v>
      </c>
      <c r="D1598" s="10">
        <v>70</v>
      </c>
      <c r="E1598" s="11" t="s">
        <v>51</v>
      </c>
      <c r="F1598" s="10">
        <v>4655</v>
      </c>
      <c r="G1598" s="10">
        <v>0</v>
      </c>
      <c r="H1598" s="10">
        <f t="shared" si="24"/>
        <v>4655</v>
      </c>
      <c r="I1598" s="10"/>
      <c r="J1598" s="10"/>
      <c r="K1598" s="10"/>
      <c r="L1598" s="4" t="s">
        <v>52</v>
      </c>
      <c r="M1598" s="4">
        <v>1593</v>
      </c>
    </row>
    <row r="1599" spans="1:13" x14ac:dyDescent="0.25">
      <c r="A1599" s="4" t="s">
        <v>1444</v>
      </c>
      <c r="B1599" s="4" t="s">
        <v>1445</v>
      </c>
      <c r="C1599" s="4" t="s">
        <v>65</v>
      </c>
      <c r="D1599" s="10">
        <v>14</v>
      </c>
      <c r="E1599" s="12" t="s">
        <v>66</v>
      </c>
      <c r="F1599" s="10">
        <v>1800</v>
      </c>
      <c r="G1599" s="10">
        <v>0</v>
      </c>
      <c r="H1599" s="10">
        <f t="shared" si="24"/>
        <v>1800</v>
      </c>
      <c r="I1599" s="10">
        <v>128.57142857142861</v>
      </c>
      <c r="J1599" s="10">
        <v>128.57142857142861</v>
      </c>
      <c r="K1599" s="10">
        <v>128.57142857142861</v>
      </c>
      <c r="L1599" s="4"/>
      <c r="M1599" s="4">
        <v>1594</v>
      </c>
    </row>
    <row r="1600" spans="1:13" x14ac:dyDescent="0.25">
      <c r="A1600" s="4" t="s">
        <v>1444</v>
      </c>
      <c r="B1600" s="4" t="s">
        <v>1446</v>
      </c>
      <c r="C1600" s="4" t="s">
        <v>68</v>
      </c>
      <c r="D1600" s="10">
        <v>116</v>
      </c>
      <c r="E1600" s="11" t="s">
        <v>51</v>
      </c>
      <c r="F1600" s="10">
        <v>1760</v>
      </c>
      <c r="G1600" s="10">
        <v>0</v>
      </c>
      <c r="H1600" s="10">
        <f t="shared" si="24"/>
        <v>1760</v>
      </c>
      <c r="I1600" s="10"/>
      <c r="J1600" s="10"/>
      <c r="K1600" s="10"/>
      <c r="L1600" s="4" t="s">
        <v>69</v>
      </c>
      <c r="M1600" s="4">
        <v>1595</v>
      </c>
    </row>
    <row r="1601" spans="1:13" x14ac:dyDescent="0.25">
      <c r="A1601" s="4" t="s">
        <v>1447</v>
      </c>
      <c r="B1601" s="4" t="s">
        <v>1448</v>
      </c>
      <c r="C1601" s="4" t="s">
        <v>68</v>
      </c>
      <c r="D1601" s="10">
        <v>200</v>
      </c>
      <c r="E1601" s="11" t="s">
        <v>51</v>
      </c>
      <c r="F1601" s="10">
        <v>8500</v>
      </c>
      <c r="G1601" s="10">
        <v>0</v>
      </c>
      <c r="H1601" s="10">
        <f t="shared" si="24"/>
        <v>8500</v>
      </c>
      <c r="I1601" s="10"/>
      <c r="J1601" s="10"/>
      <c r="K1601" s="10"/>
      <c r="L1601" s="4" t="s">
        <v>69</v>
      </c>
      <c r="M1601" s="4">
        <v>1596</v>
      </c>
    </row>
    <row r="1602" spans="1:13" x14ac:dyDescent="0.25">
      <c r="A1602" s="4" t="s">
        <v>1449</v>
      </c>
      <c r="B1602" s="4" t="s">
        <v>1450</v>
      </c>
      <c r="C1602" s="4" t="s">
        <v>68</v>
      </c>
      <c r="D1602" s="10">
        <v>100</v>
      </c>
      <c r="E1602" s="11" t="s">
        <v>51</v>
      </c>
      <c r="F1602" s="10">
        <v>8500</v>
      </c>
      <c r="G1602" s="10">
        <v>0</v>
      </c>
      <c r="H1602" s="10">
        <f t="shared" si="24"/>
        <v>8500</v>
      </c>
      <c r="I1602" s="10"/>
      <c r="J1602" s="10"/>
      <c r="K1602" s="10"/>
      <c r="L1602" s="4" t="s">
        <v>69</v>
      </c>
      <c r="M1602" s="4">
        <v>1597</v>
      </c>
    </row>
    <row r="1603" spans="1:13" x14ac:dyDescent="0.25">
      <c r="A1603" s="4" t="s">
        <v>1451</v>
      </c>
      <c r="B1603" s="4" t="s">
        <v>136</v>
      </c>
      <c r="C1603" s="9" t="s">
        <v>50</v>
      </c>
      <c r="D1603" s="10"/>
      <c r="E1603" s="11" t="s">
        <v>51</v>
      </c>
      <c r="F1603" s="10"/>
      <c r="G1603" s="10">
        <v>0</v>
      </c>
      <c r="H1603" s="10">
        <f t="shared" si="24"/>
        <v>0</v>
      </c>
      <c r="I1603" s="10"/>
      <c r="J1603" s="10"/>
      <c r="K1603" s="10"/>
      <c r="L1603" s="4" t="s">
        <v>52</v>
      </c>
      <c r="M1603" s="4">
        <v>1598</v>
      </c>
    </row>
    <row r="1604" spans="1:13" x14ac:dyDescent="0.25">
      <c r="A1604" s="4" t="s">
        <v>1451</v>
      </c>
      <c r="B1604" s="4" t="s">
        <v>88</v>
      </c>
      <c r="C1604" s="9" t="s">
        <v>50</v>
      </c>
      <c r="D1604" s="10"/>
      <c r="E1604" s="11" t="s">
        <v>51</v>
      </c>
      <c r="F1604" s="10"/>
      <c r="G1604" s="10">
        <v>0</v>
      </c>
      <c r="H1604" s="10">
        <f t="shared" si="24"/>
        <v>0</v>
      </c>
      <c r="I1604" s="10"/>
      <c r="J1604" s="10"/>
      <c r="K1604" s="10"/>
      <c r="L1604" s="4" t="s">
        <v>52</v>
      </c>
      <c r="M1604" s="4">
        <v>1599</v>
      </c>
    </row>
    <row r="1605" spans="1:13" x14ac:dyDescent="0.25">
      <c r="A1605" s="4" t="s">
        <v>1451</v>
      </c>
      <c r="B1605" s="4" t="s">
        <v>107</v>
      </c>
      <c r="C1605" s="9" t="s">
        <v>50</v>
      </c>
      <c r="D1605" s="10"/>
      <c r="E1605" s="11" t="s">
        <v>51</v>
      </c>
      <c r="F1605" s="10"/>
      <c r="G1605" s="10">
        <v>0</v>
      </c>
      <c r="H1605" s="10">
        <f t="shared" si="24"/>
        <v>0</v>
      </c>
      <c r="I1605" s="10"/>
      <c r="J1605" s="10"/>
      <c r="K1605" s="10"/>
      <c r="L1605" s="4" t="s">
        <v>52</v>
      </c>
      <c r="M1605" s="4">
        <v>1600</v>
      </c>
    </row>
    <row r="1606" spans="1:13" x14ac:dyDescent="0.25">
      <c r="A1606" s="4" t="s">
        <v>1452</v>
      </c>
      <c r="B1606" s="4" t="s">
        <v>136</v>
      </c>
      <c r="C1606" s="9" t="s">
        <v>50</v>
      </c>
      <c r="D1606" s="10"/>
      <c r="E1606" s="11" t="s">
        <v>51</v>
      </c>
      <c r="F1606" s="10"/>
      <c r="G1606" s="10">
        <v>0</v>
      </c>
      <c r="H1606" s="10">
        <f t="shared" ref="H1606:H1669" si="25">F1606-G1606</f>
        <v>0</v>
      </c>
      <c r="I1606" s="10"/>
      <c r="J1606" s="10"/>
      <c r="K1606" s="10"/>
      <c r="L1606" s="4" t="s">
        <v>52</v>
      </c>
      <c r="M1606" s="4">
        <v>1601</v>
      </c>
    </row>
    <row r="1607" spans="1:13" x14ac:dyDescent="0.25">
      <c r="A1607" s="4" t="s">
        <v>1452</v>
      </c>
      <c r="B1607" s="4" t="s">
        <v>82</v>
      </c>
      <c r="C1607" s="9" t="s">
        <v>50</v>
      </c>
      <c r="D1607" s="10"/>
      <c r="E1607" s="11" t="s">
        <v>51</v>
      </c>
      <c r="F1607" s="10"/>
      <c r="G1607" s="10">
        <v>0</v>
      </c>
      <c r="H1607" s="10">
        <f t="shared" si="25"/>
        <v>0</v>
      </c>
      <c r="I1607" s="10"/>
      <c r="J1607" s="10"/>
      <c r="K1607" s="10"/>
      <c r="L1607" s="4" t="s">
        <v>52</v>
      </c>
      <c r="M1607" s="4">
        <v>1602</v>
      </c>
    </row>
    <row r="1608" spans="1:13" x14ac:dyDescent="0.25">
      <c r="A1608" s="4" t="s">
        <v>1452</v>
      </c>
      <c r="B1608" s="4" t="s">
        <v>88</v>
      </c>
      <c r="C1608" s="9" t="s">
        <v>50</v>
      </c>
      <c r="D1608" s="10"/>
      <c r="E1608" s="11" t="s">
        <v>51</v>
      </c>
      <c r="F1608" s="10"/>
      <c r="G1608" s="10">
        <v>0</v>
      </c>
      <c r="H1608" s="10">
        <f t="shared" si="25"/>
        <v>0</v>
      </c>
      <c r="I1608" s="10"/>
      <c r="J1608" s="10"/>
      <c r="K1608" s="10"/>
      <c r="L1608" s="4" t="s">
        <v>52</v>
      </c>
      <c r="M1608" s="4">
        <v>1603</v>
      </c>
    </row>
    <row r="1609" spans="1:13" x14ac:dyDescent="0.25">
      <c r="A1609" s="4" t="s">
        <v>1452</v>
      </c>
      <c r="B1609" s="4" t="s">
        <v>137</v>
      </c>
      <c r="C1609" s="9" t="s">
        <v>50</v>
      </c>
      <c r="D1609" s="10"/>
      <c r="E1609" s="11" t="s">
        <v>51</v>
      </c>
      <c r="F1609" s="10"/>
      <c r="G1609" s="10">
        <v>0</v>
      </c>
      <c r="H1609" s="10">
        <f t="shared" si="25"/>
        <v>0</v>
      </c>
      <c r="I1609" s="10"/>
      <c r="J1609" s="10"/>
      <c r="K1609" s="10"/>
      <c r="L1609" s="4" t="s">
        <v>52</v>
      </c>
      <c r="M1609" s="4">
        <v>1604</v>
      </c>
    </row>
    <row r="1610" spans="1:13" x14ac:dyDescent="0.25">
      <c r="A1610" s="4" t="s">
        <v>1452</v>
      </c>
      <c r="B1610" s="4" t="s">
        <v>106</v>
      </c>
      <c r="C1610" s="9" t="s">
        <v>50</v>
      </c>
      <c r="D1610" s="10"/>
      <c r="E1610" s="11" t="s">
        <v>51</v>
      </c>
      <c r="F1610" s="10"/>
      <c r="G1610" s="10">
        <v>0</v>
      </c>
      <c r="H1610" s="10">
        <f t="shared" si="25"/>
        <v>0</v>
      </c>
      <c r="I1610" s="10"/>
      <c r="J1610" s="10"/>
      <c r="K1610" s="10"/>
      <c r="L1610" s="4" t="s">
        <v>52</v>
      </c>
      <c r="M1610" s="4">
        <v>1605</v>
      </c>
    </row>
    <row r="1611" spans="1:13" x14ac:dyDescent="0.25">
      <c r="A1611" s="4" t="s">
        <v>1452</v>
      </c>
      <c r="B1611" s="4" t="s">
        <v>107</v>
      </c>
      <c r="C1611" s="9" t="s">
        <v>50</v>
      </c>
      <c r="D1611" s="10"/>
      <c r="E1611" s="11" t="s">
        <v>51</v>
      </c>
      <c r="F1611" s="10"/>
      <c r="G1611" s="10">
        <v>0</v>
      </c>
      <c r="H1611" s="10">
        <f t="shared" si="25"/>
        <v>0</v>
      </c>
      <c r="I1611" s="10"/>
      <c r="J1611" s="10"/>
      <c r="K1611" s="10"/>
      <c r="L1611" s="4" t="s">
        <v>52</v>
      </c>
      <c r="M1611" s="4">
        <v>1606</v>
      </c>
    </row>
    <row r="1612" spans="1:13" x14ac:dyDescent="0.25">
      <c r="A1612" s="4" t="s">
        <v>1453</v>
      </c>
      <c r="B1612" s="4" t="s">
        <v>136</v>
      </c>
      <c r="C1612" s="9" t="s">
        <v>50</v>
      </c>
      <c r="D1612" s="10"/>
      <c r="E1612" s="11" t="s">
        <v>51</v>
      </c>
      <c r="F1612" s="10"/>
      <c r="G1612" s="10">
        <v>0</v>
      </c>
      <c r="H1612" s="10">
        <f t="shared" si="25"/>
        <v>0</v>
      </c>
      <c r="I1612" s="10"/>
      <c r="J1612" s="10"/>
      <c r="K1612" s="10"/>
      <c r="L1612" s="4" t="s">
        <v>52</v>
      </c>
      <c r="M1612" s="4">
        <v>1607</v>
      </c>
    </row>
    <row r="1613" spans="1:13" x14ac:dyDescent="0.25">
      <c r="A1613" s="4" t="s">
        <v>1453</v>
      </c>
      <c r="B1613" s="4" t="s">
        <v>82</v>
      </c>
      <c r="C1613" s="9" t="s">
        <v>50</v>
      </c>
      <c r="D1613" s="10"/>
      <c r="E1613" s="11" t="s">
        <v>51</v>
      </c>
      <c r="F1613" s="10"/>
      <c r="G1613" s="10">
        <v>0</v>
      </c>
      <c r="H1613" s="10">
        <f t="shared" si="25"/>
        <v>0</v>
      </c>
      <c r="I1613" s="10"/>
      <c r="J1613" s="10"/>
      <c r="K1613" s="10"/>
      <c r="L1613" s="4" t="s">
        <v>52</v>
      </c>
      <c r="M1613" s="4">
        <v>1608</v>
      </c>
    </row>
    <row r="1614" spans="1:13" x14ac:dyDescent="0.25">
      <c r="A1614" s="4" t="s">
        <v>1453</v>
      </c>
      <c r="B1614" s="4" t="s">
        <v>88</v>
      </c>
      <c r="C1614" s="9" t="s">
        <v>50</v>
      </c>
      <c r="D1614" s="10"/>
      <c r="E1614" s="11" t="s">
        <v>51</v>
      </c>
      <c r="F1614" s="10"/>
      <c r="G1614" s="10">
        <v>0</v>
      </c>
      <c r="H1614" s="10">
        <f t="shared" si="25"/>
        <v>0</v>
      </c>
      <c r="I1614" s="10"/>
      <c r="J1614" s="10"/>
      <c r="K1614" s="10"/>
      <c r="L1614" s="4" t="s">
        <v>52</v>
      </c>
      <c r="M1614" s="4">
        <v>1609</v>
      </c>
    </row>
    <row r="1615" spans="1:13" x14ac:dyDescent="0.25">
      <c r="A1615" s="4" t="s">
        <v>1453</v>
      </c>
      <c r="B1615" s="4" t="s">
        <v>137</v>
      </c>
      <c r="C1615" s="9" t="s">
        <v>50</v>
      </c>
      <c r="D1615" s="10"/>
      <c r="E1615" s="11" t="s">
        <v>51</v>
      </c>
      <c r="F1615" s="10"/>
      <c r="G1615" s="10">
        <v>0</v>
      </c>
      <c r="H1615" s="10">
        <f t="shared" si="25"/>
        <v>0</v>
      </c>
      <c r="I1615" s="10"/>
      <c r="J1615" s="10"/>
      <c r="K1615" s="10"/>
      <c r="L1615" s="4" t="s">
        <v>52</v>
      </c>
      <c r="M1615" s="4">
        <v>1610</v>
      </c>
    </row>
    <row r="1616" spans="1:13" x14ac:dyDescent="0.25">
      <c r="A1616" s="4" t="s">
        <v>1453</v>
      </c>
      <c r="B1616" s="4" t="s">
        <v>106</v>
      </c>
      <c r="C1616" s="9" t="s">
        <v>50</v>
      </c>
      <c r="D1616" s="10"/>
      <c r="E1616" s="11" t="s">
        <v>51</v>
      </c>
      <c r="F1616" s="10"/>
      <c r="G1616" s="10">
        <v>0</v>
      </c>
      <c r="H1616" s="10">
        <f t="shared" si="25"/>
        <v>0</v>
      </c>
      <c r="I1616" s="10"/>
      <c r="J1616" s="10"/>
      <c r="K1616" s="10"/>
      <c r="L1616" s="4" t="s">
        <v>52</v>
      </c>
      <c r="M1616" s="4">
        <v>1611</v>
      </c>
    </row>
    <row r="1617" spans="1:13" x14ac:dyDescent="0.25">
      <c r="A1617" s="4" t="s">
        <v>1453</v>
      </c>
      <c r="B1617" s="4" t="s">
        <v>107</v>
      </c>
      <c r="C1617" s="9" t="s">
        <v>50</v>
      </c>
      <c r="D1617" s="10">
        <v>331</v>
      </c>
      <c r="E1617" s="11" t="s">
        <v>51</v>
      </c>
      <c r="F1617" s="10"/>
      <c r="G1617" s="10">
        <v>0</v>
      </c>
      <c r="H1617" s="10">
        <f t="shared" si="25"/>
        <v>0</v>
      </c>
      <c r="I1617" s="10"/>
      <c r="J1617" s="10"/>
      <c r="K1617" s="10"/>
      <c r="L1617" s="4" t="s">
        <v>52</v>
      </c>
      <c r="M1617" s="4">
        <v>1612</v>
      </c>
    </row>
    <row r="1618" spans="1:13" x14ac:dyDescent="0.25">
      <c r="A1618" s="4" t="s">
        <v>1454</v>
      </c>
      <c r="B1618" s="4" t="s">
        <v>136</v>
      </c>
      <c r="C1618" s="9" t="s">
        <v>50</v>
      </c>
      <c r="D1618" s="10">
        <v>2</v>
      </c>
      <c r="E1618" s="11" t="s">
        <v>51</v>
      </c>
      <c r="F1618" s="10">
        <v>150</v>
      </c>
      <c r="G1618" s="10">
        <v>0</v>
      </c>
      <c r="H1618" s="10">
        <f t="shared" si="25"/>
        <v>150</v>
      </c>
      <c r="I1618" s="10"/>
      <c r="J1618" s="10"/>
      <c r="K1618" s="10"/>
      <c r="L1618" s="4" t="s">
        <v>52</v>
      </c>
      <c r="M1618" s="4">
        <v>1613</v>
      </c>
    </row>
    <row r="1619" spans="1:13" x14ac:dyDescent="0.25">
      <c r="A1619" s="4" t="s">
        <v>1454</v>
      </c>
      <c r="B1619" s="4" t="s">
        <v>82</v>
      </c>
      <c r="C1619" s="9" t="s">
        <v>50</v>
      </c>
      <c r="D1619" s="10">
        <v>34</v>
      </c>
      <c r="E1619" s="11" t="s">
        <v>51</v>
      </c>
      <c r="F1619" s="10">
        <v>2800</v>
      </c>
      <c r="G1619" s="10">
        <v>0</v>
      </c>
      <c r="H1619" s="10">
        <f t="shared" si="25"/>
        <v>2800</v>
      </c>
      <c r="I1619" s="10"/>
      <c r="J1619" s="10"/>
      <c r="K1619" s="10"/>
      <c r="L1619" s="4" t="s">
        <v>52</v>
      </c>
      <c r="M1619" s="4">
        <v>1614</v>
      </c>
    </row>
    <row r="1620" spans="1:13" x14ac:dyDescent="0.25">
      <c r="A1620" s="4" t="s">
        <v>1454</v>
      </c>
      <c r="B1620" s="4" t="s">
        <v>88</v>
      </c>
      <c r="C1620" s="9" t="s">
        <v>50</v>
      </c>
      <c r="D1620" s="10">
        <v>42.5</v>
      </c>
      <c r="E1620" s="11" t="s">
        <v>51</v>
      </c>
      <c r="F1620" s="10">
        <v>3500</v>
      </c>
      <c r="G1620" s="10">
        <v>0</v>
      </c>
      <c r="H1620" s="10">
        <f t="shared" si="25"/>
        <v>3500</v>
      </c>
      <c r="I1620" s="10"/>
      <c r="J1620" s="10"/>
      <c r="K1620" s="10"/>
      <c r="L1620" s="4" t="s">
        <v>52</v>
      </c>
      <c r="M1620" s="4">
        <v>1615</v>
      </c>
    </row>
    <row r="1621" spans="1:13" x14ac:dyDescent="0.25">
      <c r="A1621" s="4" t="s">
        <v>1454</v>
      </c>
      <c r="B1621" s="4" t="s">
        <v>137</v>
      </c>
      <c r="C1621" s="9" t="s">
        <v>50</v>
      </c>
      <c r="D1621" s="10">
        <v>57</v>
      </c>
      <c r="E1621" s="11" t="s">
        <v>51</v>
      </c>
      <c r="F1621" s="10">
        <v>4700</v>
      </c>
      <c r="G1621" s="10">
        <v>0</v>
      </c>
      <c r="H1621" s="10">
        <f t="shared" si="25"/>
        <v>4700</v>
      </c>
      <c r="I1621" s="10"/>
      <c r="J1621" s="10"/>
      <c r="K1621" s="10"/>
      <c r="L1621" s="4" t="s">
        <v>52</v>
      </c>
      <c r="M1621" s="4">
        <v>1616</v>
      </c>
    </row>
    <row r="1622" spans="1:13" x14ac:dyDescent="0.25">
      <c r="A1622" s="4" t="s">
        <v>1454</v>
      </c>
      <c r="B1622" s="4" t="s">
        <v>106</v>
      </c>
      <c r="C1622" s="9" t="s">
        <v>50</v>
      </c>
      <c r="D1622" s="10">
        <v>57</v>
      </c>
      <c r="E1622" s="11" t="s">
        <v>51</v>
      </c>
      <c r="F1622" s="10">
        <v>4750</v>
      </c>
      <c r="G1622" s="10">
        <v>0</v>
      </c>
      <c r="H1622" s="10">
        <f t="shared" si="25"/>
        <v>4750</v>
      </c>
      <c r="I1622" s="10"/>
      <c r="J1622" s="10"/>
      <c r="K1622" s="10"/>
      <c r="L1622" s="4" t="s">
        <v>52</v>
      </c>
      <c r="M1622" s="4">
        <v>1617</v>
      </c>
    </row>
    <row r="1623" spans="1:13" x14ac:dyDescent="0.25">
      <c r="A1623" s="4" t="s">
        <v>1454</v>
      </c>
      <c r="B1623" s="4" t="s">
        <v>271</v>
      </c>
      <c r="C1623" s="9" t="s">
        <v>50</v>
      </c>
      <c r="D1623" s="10">
        <v>8.5</v>
      </c>
      <c r="E1623" s="11" t="s">
        <v>51</v>
      </c>
      <c r="F1623" s="10">
        <v>700</v>
      </c>
      <c r="G1623" s="10">
        <v>0</v>
      </c>
      <c r="H1623" s="10">
        <f t="shared" si="25"/>
        <v>700</v>
      </c>
      <c r="I1623" s="10"/>
      <c r="J1623" s="10"/>
      <c r="K1623" s="10"/>
      <c r="L1623" s="4" t="s">
        <v>52</v>
      </c>
      <c r="M1623" s="4">
        <v>1618</v>
      </c>
    </row>
    <row r="1624" spans="1:13" x14ac:dyDescent="0.25">
      <c r="A1624" s="4" t="s">
        <v>1454</v>
      </c>
      <c r="B1624" s="4" t="s">
        <v>272</v>
      </c>
      <c r="C1624" s="9" t="s">
        <v>50</v>
      </c>
      <c r="D1624" s="10">
        <v>8.5</v>
      </c>
      <c r="E1624" s="11" t="s">
        <v>51</v>
      </c>
      <c r="F1624" s="10">
        <v>700</v>
      </c>
      <c r="G1624" s="10">
        <v>0</v>
      </c>
      <c r="H1624" s="10">
        <f t="shared" si="25"/>
        <v>700</v>
      </c>
      <c r="I1624" s="10"/>
      <c r="J1624" s="10"/>
      <c r="K1624" s="10"/>
      <c r="L1624" s="4" t="s">
        <v>52</v>
      </c>
      <c r="M1624" s="4">
        <v>1619</v>
      </c>
    </row>
    <row r="1625" spans="1:13" x14ac:dyDescent="0.25">
      <c r="A1625" s="4" t="s">
        <v>1454</v>
      </c>
      <c r="B1625" s="4" t="s">
        <v>107</v>
      </c>
      <c r="C1625" s="9" t="s">
        <v>50</v>
      </c>
      <c r="D1625" s="10">
        <v>71.5</v>
      </c>
      <c r="E1625" s="11" t="s">
        <v>51</v>
      </c>
      <c r="F1625" s="10">
        <v>5900</v>
      </c>
      <c r="G1625" s="10">
        <v>0</v>
      </c>
      <c r="H1625" s="10">
        <f t="shared" si="25"/>
        <v>5900</v>
      </c>
      <c r="I1625" s="10"/>
      <c r="J1625" s="10"/>
      <c r="K1625" s="10"/>
      <c r="L1625" s="4" t="s">
        <v>52</v>
      </c>
      <c r="M1625" s="4">
        <v>1620</v>
      </c>
    </row>
    <row r="1626" spans="1:13" x14ac:dyDescent="0.25">
      <c r="A1626" s="4" t="s">
        <v>1454</v>
      </c>
      <c r="B1626" s="4" t="s">
        <v>128</v>
      </c>
      <c r="C1626" s="9" t="s">
        <v>50</v>
      </c>
      <c r="D1626" s="10">
        <v>68</v>
      </c>
      <c r="E1626" s="11" t="s">
        <v>51</v>
      </c>
      <c r="F1626" s="10">
        <v>3300</v>
      </c>
      <c r="G1626" s="10">
        <v>0</v>
      </c>
      <c r="H1626" s="10">
        <f t="shared" si="25"/>
        <v>3300</v>
      </c>
      <c r="I1626" s="10"/>
      <c r="J1626" s="10"/>
      <c r="K1626" s="10"/>
      <c r="L1626" s="4" t="s">
        <v>52</v>
      </c>
      <c r="M1626" s="4">
        <v>1621</v>
      </c>
    </row>
    <row r="1627" spans="1:13" x14ac:dyDescent="0.25">
      <c r="A1627" s="4" t="s">
        <v>1455</v>
      </c>
      <c r="B1627" s="4" t="s">
        <v>1456</v>
      </c>
      <c r="C1627" s="9" t="s">
        <v>50</v>
      </c>
      <c r="D1627" s="10">
        <v>2.5</v>
      </c>
      <c r="E1627" s="11" t="s">
        <v>51</v>
      </c>
      <c r="F1627" s="10">
        <v>200</v>
      </c>
      <c r="G1627" s="10">
        <v>0</v>
      </c>
      <c r="H1627" s="10">
        <f t="shared" si="25"/>
        <v>200</v>
      </c>
      <c r="I1627" s="10"/>
      <c r="J1627" s="10"/>
      <c r="K1627" s="10"/>
      <c r="L1627" s="4" t="s">
        <v>52</v>
      </c>
      <c r="M1627" s="4">
        <v>1622</v>
      </c>
    </row>
    <row r="1628" spans="1:13" x14ac:dyDescent="0.25">
      <c r="A1628" s="4" t="s">
        <v>1455</v>
      </c>
      <c r="B1628" s="4" t="s">
        <v>1457</v>
      </c>
      <c r="C1628" s="9" t="s">
        <v>50</v>
      </c>
      <c r="D1628" s="10">
        <v>3.5</v>
      </c>
      <c r="E1628" s="11" t="s">
        <v>51</v>
      </c>
      <c r="F1628" s="10">
        <v>300</v>
      </c>
      <c r="G1628" s="10">
        <v>0</v>
      </c>
      <c r="H1628" s="10">
        <f t="shared" si="25"/>
        <v>300</v>
      </c>
      <c r="I1628" s="10"/>
      <c r="J1628" s="10"/>
      <c r="K1628" s="10"/>
      <c r="L1628" s="4" t="s">
        <v>52</v>
      </c>
      <c r="M1628" s="4">
        <v>1623</v>
      </c>
    </row>
    <row r="1629" spans="1:13" x14ac:dyDescent="0.25">
      <c r="A1629" s="4" t="s">
        <v>1455</v>
      </c>
      <c r="B1629" s="4" t="s">
        <v>1458</v>
      </c>
      <c r="C1629" s="9" t="s">
        <v>50</v>
      </c>
      <c r="D1629" s="10">
        <v>5</v>
      </c>
      <c r="E1629" s="11" t="s">
        <v>51</v>
      </c>
      <c r="F1629" s="10">
        <v>400</v>
      </c>
      <c r="G1629" s="10">
        <v>0</v>
      </c>
      <c r="H1629" s="10">
        <f t="shared" si="25"/>
        <v>400</v>
      </c>
      <c r="I1629" s="10"/>
      <c r="J1629" s="10"/>
      <c r="K1629" s="10"/>
      <c r="L1629" s="4" t="s">
        <v>52</v>
      </c>
      <c r="M1629" s="4">
        <v>1624</v>
      </c>
    </row>
    <row r="1630" spans="1:13" x14ac:dyDescent="0.25">
      <c r="A1630" s="4" t="s">
        <v>1455</v>
      </c>
      <c r="B1630" s="4" t="s">
        <v>1459</v>
      </c>
      <c r="C1630" s="9" t="s">
        <v>50</v>
      </c>
      <c r="D1630" s="10">
        <v>67</v>
      </c>
      <c r="E1630" s="11" t="s">
        <v>51</v>
      </c>
      <c r="F1630" s="10">
        <v>600</v>
      </c>
      <c r="G1630" s="10">
        <v>0</v>
      </c>
      <c r="H1630" s="10">
        <f t="shared" si="25"/>
        <v>600</v>
      </c>
      <c r="I1630" s="10"/>
      <c r="J1630" s="10"/>
      <c r="K1630" s="10"/>
      <c r="L1630" s="4" t="s">
        <v>52</v>
      </c>
      <c r="M1630" s="4">
        <v>1625</v>
      </c>
    </row>
    <row r="1631" spans="1:13" x14ac:dyDescent="0.25">
      <c r="A1631" s="4" t="s">
        <v>1460</v>
      </c>
      <c r="B1631" s="4" t="s">
        <v>1461</v>
      </c>
      <c r="C1631" s="4" t="s">
        <v>65</v>
      </c>
      <c r="D1631" s="10">
        <v>14.5</v>
      </c>
      <c r="E1631" s="12" t="s">
        <v>66</v>
      </c>
      <c r="F1631" s="10">
        <v>1400</v>
      </c>
      <c r="G1631" s="10">
        <v>0</v>
      </c>
      <c r="H1631" s="10">
        <f t="shared" si="25"/>
        <v>1400</v>
      </c>
      <c r="I1631" s="10">
        <v>96.551724137931032</v>
      </c>
      <c r="J1631" s="10">
        <v>96.551724137931032</v>
      </c>
      <c r="K1631" s="10">
        <v>96.551724137931032</v>
      </c>
      <c r="L1631" s="4"/>
      <c r="M1631" s="4">
        <v>1626</v>
      </c>
    </row>
    <row r="1632" spans="1:13" x14ac:dyDescent="0.25">
      <c r="A1632" s="4" t="s">
        <v>1460</v>
      </c>
      <c r="B1632" s="4" t="s">
        <v>1462</v>
      </c>
      <c r="C1632" s="4" t="s">
        <v>65</v>
      </c>
      <c r="D1632" s="10">
        <v>33.5</v>
      </c>
      <c r="E1632" s="12" t="s">
        <v>66</v>
      </c>
      <c r="F1632" s="10">
        <v>3200</v>
      </c>
      <c r="G1632" s="10">
        <v>0</v>
      </c>
      <c r="H1632" s="10">
        <f t="shared" si="25"/>
        <v>3200</v>
      </c>
      <c r="I1632" s="10">
        <v>95.522388059701498</v>
      </c>
      <c r="J1632" s="10">
        <v>95.522388059701498</v>
      </c>
      <c r="K1632" s="10">
        <v>95.522388059701498</v>
      </c>
      <c r="L1632" s="4"/>
      <c r="M1632" s="4">
        <v>1627</v>
      </c>
    </row>
    <row r="1633" spans="1:13" x14ac:dyDescent="0.25">
      <c r="A1633" s="4" t="s">
        <v>1460</v>
      </c>
      <c r="B1633" s="4" t="s">
        <v>1463</v>
      </c>
      <c r="C1633" s="4" t="s">
        <v>65</v>
      </c>
      <c r="D1633" s="10">
        <v>107</v>
      </c>
      <c r="E1633" s="12" t="s">
        <v>66</v>
      </c>
      <c r="F1633" s="10">
        <v>1400</v>
      </c>
      <c r="G1633" s="10">
        <v>0</v>
      </c>
      <c r="H1633" s="10">
        <f t="shared" si="25"/>
        <v>1400</v>
      </c>
      <c r="I1633" s="10">
        <v>116.6666666666667</v>
      </c>
      <c r="J1633" s="10">
        <v>116.6666666666667</v>
      </c>
      <c r="K1633" s="10">
        <v>116.6666666666667</v>
      </c>
      <c r="L1633" s="4"/>
      <c r="M1633" s="4">
        <v>1628</v>
      </c>
    </row>
    <row r="1634" spans="1:13" x14ac:dyDescent="0.25">
      <c r="A1634" s="4" t="s">
        <v>1464</v>
      </c>
      <c r="B1634" s="4" t="s">
        <v>1465</v>
      </c>
      <c r="C1634" s="9" t="s">
        <v>50</v>
      </c>
      <c r="D1634" s="10">
        <v>149.5</v>
      </c>
      <c r="E1634" s="11" t="s">
        <v>51</v>
      </c>
      <c r="F1634" s="10">
        <v>6850</v>
      </c>
      <c r="G1634" s="10">
        <v>0</v>
      </c>
      <c r="H1634" s="10">
        <f t="shared" si="25"/>
        <v>6850</v>
      </c>
      <c r="I1634" s="10"/>
      <c r="J1634" s="10"/>
      <c r="K1634" s="10"/>
      <c r="L1634" s="4" t="s">
        <v>52</v>
      </c>
      <c r="M1634" s="4">
        <v>1629</v>
      </c>
    </row>
    <row r="1635" spans="1:13" x14ac:dyDescent="0.25">
      <c r="A1635" s="4" t="s">
        <v>1464</v>
      </c>
      <c r="B1635" s="4" t="s">
        <v>1466</v>
      </c>
      <c r="C1635" s="9" t="s">
        <v>50</v>
      </c>
      <c r="D1635" s="10">
        <v>85</v>
      </c>
      <c r="E1635" s="11" t="s">
        <v>51</v>
      </c>
      <c r="F1635" s="10">
        <v>3500</v>
      </c>
      <c r="G1635" s="10">
        <v>0</v>
      </c>
      <c r="H1635" s="10">
        <f t="shared" si="25"/>
        <v>3500</v>
      </c>
      <c r="I1635" s="10"/>
      <c r="J1635" s="10"/>
      <c r="K1635" s="10"/>
      <c r="L1635" s="4" t="s">
        <v>52</v>
      </c>
      <c r="M1635" s="4">
        <v>1630</v>
      </c>
    </row>
    <row r="1636" spans="1:13" x14ac:dyDescent="0.25">
      <c r="A1636" s="4" t="s">
        <v>1467</v>
      </c>
      <c r="B1636" s="4" t="s">
        <v>1468</v>
      </c>
      <c r="C1636" s="4" t="s">
        <v>65</v>
      </c>
      <c r="D1636" s="10">
        <v>47</v>
      </c>
      <c r="E1636" s="12" t="s">
        <v>66</v>
      </c>
      <c r="F1636" s="10">
        <v>2100</v>
      </c>
      <c r="G1636" s="10">
        <v>0</v>
      </c>
      <c r="H1636" s="10">
        <f t="shared" si="25"/>
        <v>2100</v>
      </c>
      <c r="I1636" s="10">
        <v>77.777777777777771</v>
      </c>
      <c r="J1636" s="10">
        <v>77.777777777777771</v>
      </c>
      <c r="K1636" s="10">
        <v>77.777777777777771</v>
      </c>
      <c r="L1636" s="4"/>
      <c r="M1636" s="4">
        <v>1631</v>
      </c>
    </row>
    <row r="1637" spans="1:13" x14ac:dyDescent="0.25">
      <c r="A1637" s="4" t="s">
        <v>1469</v>
      </c>
      <c r="B1637" s="4" t="s">
        <v>80</v>
      </c>
      <c r="C1637" s="4" t="s">
        <v>68</v>
      </c>
      <c r="D1637" s="10">
        <v>307.5</v>
      </c>
      <c r="E1637" s="11" t="s">
        <v>51</v>
      </c>
      <c r="F1637" s="10">
        <v>2000</v>
      </c>
      <c r="G1637" s="10">
        <v>0</v>
      </c>
      <c r="H1637" s="10">
        <f t="shared" si="25"/>
        <v>2000</v>
      </c>
      <c r="I1637" s="10"/>
      <c r="J1637" s="10"/>
      <c r="K1637" s="10"/>
      <c r="L1637" s="4" t="s">
        <v>69</v>
      </c>
      <c r="M1637" s="4">
        <v>1632</v>
      </c>
    </row>
    <row r="1638" spans="1:13" x14ac:dyDescent="0.25">
      <c r="A1638" s="4" t="s">
        <v>1470</v>
      </c>
      <c r="B1638" s="4" t="s">
        <v>136</v>
      </c>
      <c r="C1638" s="9" t="s">
        <v>50</v>
      </c>
      <c r="D1638" s="10">
        <v>2.5</v>
      </c>
      <c r="E1638" s="11" t="s">
        <v>51</v>
      </c>
      <c r="F1638" s="10">
        <v>250</v>
      </c>
      <c r="G1638" s="10">
        <v>0</v>
      </c>
      <c r="H1638" s="10">
        <f t="shared" si="25"/>
        <v>250</v>
      </c>
      <c r="I1638" s="10"/>
      <c r="J1638" s="10"/>
      <c r="K1638" s="10"/>
      <c r="L1638" s="4" t="s">
        <v>52</v>
      </c>
      <c r="M1638" s="4">
        <v>1633</v>
      </c>
    </row>
    <row r="1639" spans="1:13" x14ac:dyDescent="0.25">
      <c r="A1639" s="4" t="s">
        <v>1470</v>
      </c>
      <c r="B1639" s="4" t="s">
        <v>82</v>
      </c>
      <c r="C1639" s="9" t="s">
        <v>50</v>
      </c>
      <c r="D1639" s="10">
        <v>44</v>
      </c>
      <c r="E1639" s="11" t="s">
        <v>51</v>
      </c>
      <c r="F1639" s="10">
        <v>3900</v>
      </c>
      <c r="G1639" s="10">
        <v>0</v>
      </c>
      <c r="H1639" s="10">
        <f t="shared" si="25"/>
        <v>3900</v>
      </c>
      <c r="I1639" s="10"/>
      <c r="J1639" s="10"/>
      <c r="K1639" s="10"/>
      <c r="L1639" s="4" t="s">
        <v>52</v>
      </c>
      <c r="M1639" s="4">
        <v>1634</v>
      </c>
    </row>
    <row r="1640" spans="1:13" x14ac:dyDescent="0.25">
      <c r="A1640" s="4" t="s">
        <v>1470</v>
      </c>
      <c r="B1640" s="4" t="s">
        <v>88</v>
      </c>
      <c r="C1640" s="9" t="s">
        <v>50</v>
      </c>
      <c r="D1640" s="10">
        <v>55.5</v>
      </c>
      <c r="E1640" s="11" t="s">
        <v>51</v>
      </c>
      <c r="F1640" s="10">
        <v>4900</v>
      </c>
      <c r="G1640" s="10">
        <v>0</v>
      </c>
      <c r="H1640" s="10">
        <f t="shared" si="25"/>
        <v>4900</v>
      </c>
      <c r="I1640" s="10"/>
      <c r="J1640" s="10"/>
      <c r="K1640" s="10"/>
      <c r="L1640" s="4" t="s">
        <v>52</v>
      </c>
      <c r="M1640" s="4">
        <v>1635</v>
      </c>
    </row>
    <row r="1641" spans="1:13" x14ac:dyDescent="0.25">
      <c r="A1641" s="4" t="s">
        <v>1470</v>
      </c>
      <c r="B1641" s="4" t="s">
        <v>137</v>
      </c>
      <c r="C1641" s="9" t="s">
        <v>50</v>
      </c>
      <c r="D1641" s="10">
        <v>44</v>
      </c>
      <c r="E1641" s="11" t="s">
        <v>51</v>
      </c>
      <c r="F1641" s="10">
        <v>3900</v>
      </c>
      <c r="G1641" s="10">
        <v>0</v>
      </c>
      <c r="H1641" s="10">
        <f t="shared" si="25"/>
        <v>3900</v>
      </c>
      <c r="I1641" s="10"/>
      <c r="J1641" s="10"/>
      <c r="K1641" s="10"/>
      <c r="L1641" s="4" t="s">
        <v>52</v>
      </c>
      <c r="M1641" s="4">
        <v>1636</v>
      </c>
    </row>
    <row r="1642" spans="1:13" x14ac:dyDescent="0.25">
      <c r="A1642" s="4" t="s">
        <v>1470</v>
      </c>
      <c r="B1642" s="4" t="s">
        <v>106</v>
      </c>
      <c r="C1642" s="9" t="s">
        <v>50</v>
      </c>
      <c r="D1642" s="10">
        <v>51</v>
      </c>
      <c r="E1642" s="11" t="s">
        <v>51</v>
      </c>
      <c r="F1642" s="10">
        <v>4500</v>
      </c>
      <c r="G1642" s="10">
        <v>0</v>
      </c>
      <c r="H1642" s="10">
        <f t="shared" si="25"/>
        <v>4500</v>
      </c>
      <c r="I1642" s="10"/>
      <c r="J1642" s="10"/>
      <c r="K1642" s="10"/>
      <c r="L1642" s="4" t="s">
        <v>52</v>
      </c>
      <c r="M1642" s="4">
        <v>1637</v>
      </c>
    </row>
    <row r="1643" spans="1:13" x14ac:dyDescent="0.25">
      <c r="A1643" s="4" t="s">
        <v>1470</v>
      </c>
      <c r="B1643" s="4" t="s">
        <v>107</v>
      </c>
      <c r="C1643" s="9" t="s">
        <v>50</v>
      </c>
      <c r="D1643" s="10">
        <v>185.5</v>
      </c>
      <c r="E1643" s="11" t="s">
        <v>51</v>
      </c>
      <c r="F1643" s="10">
        <v>8000</v>
      </c>
      <c r="G1643" s="10">
        <v>0</v>
      </c>
      <c r="H1643" s="10">
        <f t="shared" si="25"/>
        <v>8000</v>
      </c>
      <c r="I1643" s="10"/>
      <c r="J1643" s="10"/>
      <c r="K1643" s="10"/>
      <c r="L1643" s="4" t="s">
        <v>52</v>
      </c>
      <c r="M1643" s="4">
        <v>1638</v>
      </c>
    </row>
    <row r="1644" spans="1:13" x14ac:dyDescent="0.25">
      <c r="A1644" s="4" t="s">
        <v>1471</v>
      </c>
      <c r="B1644" s="4" t="s">
        <v>106</v>
      </c>
      <c r="C1644" s="9" t="s">
        <v>50</v>
      </c>
      <c r="D1644" s="10">
        <v>40</v>
      </c>
      <c r="E1644" s="11" t="s">
        <v>51</v>
      </c>
      <c r="F1644" s="10">
        <v>3800</v>
      </c>
      <c r="G1644" s="10">
        <v>0</v>
      </c>
      <c r="H1644" s="10">
        <f t="shared" si="25"/>
        <v>3800</v>
      </c>
      <c r="I1644" s="10"/>
      <c r="J1644" s="10"/>
      <c r="K1644" s="10"/>
      <c r="L1644" s="4" t="s">
        <v>52</v>
      </c>
      <c r="M1644" s="4">
        <v>1639</v>
      </c>
    </row>
    <row r="1645" spans="1:13" x14ac:dyDescent="0.25">
      <c r="A1645" s="4" t="s">
        <v>1471</v>
      </c>
      <c r="B1645" s="4" t="s">
        <v>107</v>
      </c>
      <c r="C1645" s="9" t="s">
        <v>50</v>
      </c>
      <c r="D1645" s="10">
        <v>83</v>
      </c>
      <c r="E1645" s="11" t="s">
        <v>51</v>
      </c>
      <c r="F1645" s="10">
        <v>5225</v>
      </c>
      <c r="G1645" s="10">
        <v>0</v>
      </c>
      <c r="H1645" s="10">
        <f t="shared" si="25"/>
        <v>5225</v>
      </c>
      <c r="I1645" s="10"/>
      <c r="J1645" s="10"/>
      <c r="K1645" s="10"/>
      <c r="L1645" s="4" t="s">
        <v>52</v>
      </c>
      <c r="M1645" s="4">
        <v>1640</v>
      </c>
    </row>
    <row r="1646" spans="1:13" x14ac:dyDescent="0.25">
      <c r="A1646" s="4" t="s">
        <v>1472</v>
      </c>
      <c r="B1646" s="4" t="s">
        <v>1473</v>
      </c>
      <c r="C1646" s="9" t="s">
        <v>50</v>
      </c>
      <c r="D1646" s="10">
        <v>28</v>
      </c>
      <c r="E1646" s="11" t="s">
        <v>51</v>
      </c>
      <c r="F1646" s="10">
        <v>2660</v>
      </c>
      <c r="G1646" s="10">
        <v>0</v>
      </c>
      <c r="H1646" s="10">
        <f t="shared" si="25"/>
        <v>2660</v>
      </c>
      <c r="I1646" s="10"/>
      <c r="J1646" s="10"/>
      <c r="K1646" s="10"/>
      <c r="L1646" s="4" t="s">
        <v>52</v>
      </c>
      <c r="M1646" s="4">
        <v>1641</v>
      </c>
    </row>
    <row r="1647" spans="1:13" x14ac:dyDescent="0.25">
      <c r="A1647" s="4" t="s">
        <v>1474</v>
      </c>
      <c r="B1647" s="4" t="s">
        <v>136</v>
      </c>
      <c r="C1647" s="9" t="s">
        <v>50</v>
      </c>
      <c r="D1647" s="10"/>
      <c r="E1647" s="11" t="s">
        <v>51</v>
      </c>
      <c r="F1647" s="10"/>
      <c r="G1647" s="10">
        <v>0</v>
      </c>
      <c r="H1647" s="10">
        <f t="shared" si="25"/>
        <v>0</v>
      </c>
      <c r="I1647" s="10"/>
      <c r="J1647" s="10"/>
      <c r="K1647" s="10"/>
      <c r="L1647" s="4" t="s">
        <v>52</v>
      </c>
      <c r="M1647" s="4">
        <v>1642</v>
      </c>
    </row>
    <row r="1648" spans="1:13" x14ac:dyDescent="0.25">
      <c r="A1648" s="4" t="s">
        <v>1474</v>
      </c>
      <c r="B1648" s="4" t="s">
        <v>82</v>
      </c>
      <c r="C1648" s="9" t="s">
        <v>50</v>
      </c>
      <c r="D1648" s="10"/>
      <c r="E1648" s="11" t="s">
        <v>51</v>
      </c>
      <c r="F1648" s="10"/>
      <c r="G1648" s="10">
        <v>0</v>
      </c>
      <c r="H1648" s="10">
        <f t="shared" si="25"/>
        <v>0</v>
      </c>
      <c r="I1648" s="10"/>
      <c r="J1648" s="10"/>
      <c r="K1648" s="10"/>
      <c r="L1648" s="4" t="s">
        <v>52</v>
      </c>
      <c r="M1648" s="4">
        <v>1643</v>
      </c>
    </row>
    <row r="1649" spans="1:13" x14ac:dyDescent="0.25">
      <c r="A1649" s="4" t="s">
        <v>1474</v>
      </c>
      <c r="B1649" s="4" t="s">
        <v>88</v>
      </c>
      <c r="C1649" s="9" t="s">
        <v>50</v>
      </c>
      <c r="D1649" s="10"/>
      <c r="E1649" s="11" t="s">
        <v>51</v>
      </c>
      <c r="F1649" s="10"/>
      <c r="G1649" s="10">
        <v>0</v>
      </c>
      <c r="H1649" s="10">
        <f t="shared" si="25"/>
        <v>0</v>
      </c>
      <c r="I1649" s="10"/>
      <c r="J1649" s="10"/>
      <c r="K1649" s="10"/>
      <c r="L1649" s="4" t="s">
        <v>52</v>
      </c>
      <c r="M1649" s="4">
        <v>1644</v>
      </c>
    </row>
    <row r="1650" spans="1:13" x14ac:dyDescent="0.25">
      <c r="A1650" s="4" t="s">
        <v>1474</v>
      </c>
      <c r="B1650" s="4" t="s">
        <v>137</v>
      </c>
      <c r="C1650" s="9" t="s">
        <v>50</v>
      </c>
      <c r="D1650" s="10">
        <v>96</v>
      </c>
      <c r="E1650" s="11" t="s">
        <v>51</v>
      </c>
      <c r="F1650" s="10"/>
      <c r="G1650" s="10">
        <v>0</v>
      </c>
      <c r="H1650" s="10">
        <f t="shared" si="25"/>
        <v>0</v>
      </c>
      <c r="I1650" s="10"/>
      <c r="J1650" s="10"/>
      <c r="K1650" s="10"/>
      <c r="L1650" s="4" t="s">
        <v>52</v>
      </c>
      <c r="M1650" s="4">
        <v>1645</v>
      </c>
    </row>
    <row r="1651" spans="1:13" x14ac:dyDescent="0.25">
      <c r="A1651" s="4" t="s">
        <v>1475</v>
      </c>
      <c r="B1651" s="4" t="s">
        <v>270</v>
      </c>
      <c r="C1651" s="9" t="s">
        <v>50</v>
      </c>
      <c r="D1651" s="10">
        <v>2</v>
      </c>
      <c r="E1651" s="11" t="s">
        <v>51</v>
      </c>
      <c r="F1651" s="10">
        <v>146.02000000000001</v>
      </c>
      <c r="G1651" s="10">
        <v>0</v>
      </c>
      <c r="H1651" s="10">
        <f t="shared" si="25"/>
        <v>146.02000000000001</v>
      </c>
      <c r="I1651" s="10"/>
      <c r="J1651" s="10"/>
      <c r="K1651" s="10"/>
      <c r="L1651" s="4" t="s">
        <v>52</v>
      </c>
      <c r="M1651" s="4">
        <v>1646</v>
      </c>
    </row>
    <row r="1652" spans="1:13" x14ac:dyDescent="0.25">
      <c r="A1652" s="4" t="s">
        <v>1475</v>
      </c>
      <c r="B1652" s="4" t="s">
        <v>88</v>
      </c>
      <c r="C1652" s="9" t="s">
        <v>50</v>
      </c>
      <c r="D1652" s="10">
        <v>64</v>
      </c>
      <c r="E1652" s="11" t="s">
        <v>51</v>
      </c>
      <c r="F1652" s="10">
        <v>6572.86</v>
      </c>
      <c r="G1652" s="10">
        <v>0</v>
      </c>
      <c r="H1652" s="10">
        <f t="shared" si="25"/>
        <v>6572.86</v>
      </c>
      <c r="I1652" s="10"/>
      <c r="J1652" s="10"/>
      <c r="K1652" s="10"/>
      <c r="L1652" s="4" t="s">
        <v>52</v>
      </c>
      <c r="M1652" s="4">
        <v>1647</v>
      </c>
    </row>
    <row r="1653" spans="1:13" x14ac:dyDescent="0.25">
      <c r="A1653" s="4" t="s">
        <v>1475</v>
      </c>
      <c r="B1653" s="4" t="s">
        <v>107</v>
      </c>
      <c r="C1653" s="9" t="s">
        <v>50</v>
      </c>
      <c r="D1653" s="10">
        <v>30</v>
      </c>
      <c r="E1653" s="11" t="s">
        <v>51</v>
      </c>
      <c r="F1653" s="10">
        <v>3081.12</v>
      </c>
      <c r="G1653" s="10">
        <v>0</v>
      </c>
      <c r="H1653" s="10">
        <f t="shared" si="25"/>
        <v>3081.12</v>
      </c>
      <c r="I1653" s="10"/>
      <c r="J1653" s="10"/>
      <c r="K1653" s="10"/>
      <c r="L1653" s="4" t="s">
        <v>52</v>
      </c>
      <c r="M1653" s="4">
        <v>1648</v>
      </c>
    </row>
    <row r="1654" spans="1:13" x14ac:dyDescent="0.25">
      <c r="A1654" s="4" t="s">
        <v>1476</v>
      </c>
      <c r="B1654" s="4" t="s">
        <v>136</v>
      </c>
      <c r="C1654" s="9" t="s">
        <v>50</v>
      </c>
      <c r="D1654" s="10"/>
      <c r="E1654" s="11" t="s">
        <v>51</v>
      </c>
      <c r="F1654" s="10"/>
      <c r="G1654" s="10">
        <v>0</v>
      </c>
      <c r="H1654" s="10">
        <f t="shared" si="25"/>
        <v>0</v>
      </c>
      <c r="I1654" s="10"/>
      <c r="J1654" s="10"/>
      <c r="K1654" s="10"/>
      <c r="L1654" s="4" t="s">
        <v>52</v>
      </c>
      <c r="M1654" s="4">
        <v>1649</v>
      </c>
    </row>
    <row r="1655" spans="1:13" x14ac:dyDescent="0.25">
      <c r="A1655" s="4" t="s">
        <v>1476</v>
      </c>
      <c r="B1655" s="4" t="s">
        <v>82</v>
      </c>
      <c r="C1655" s="9" t="s">
        <v>50</v>
      </c>
      <c r="D1655" s="10"/>
      <c r="E1655" s="11" t="s">
        <v>51</v>
      </c>
      <c r="F1655" s="10"/>
      <c r="G1655" s="10">
        <v>0</v>
      </c>
      <c r="H1655" s="10">
        <f t="shared" si="25"/>
        <v>0</v>
      </c>
      <c r="I1655" s="10"/>
      <c r="J1655" s="10"/>
      <c r="K1655" s="10"/>
      <c r="L1655" s="4" t="s">
        <v>52</v>
      </c>
      <c r="M1655" s="4">
        <v>1650</v>
      </c>
    </row>
    <row r="1656" spans="1:13" x14ac:dyDescent="0.25">
      <c r="A1656" s="4" t="s">
        <v>1476</v>
      </c>
      <c r="B1656" s="4" t="s">
        <v>88</v>
      </c>
      <c r="C1656" s="9" t="s">
        <v>50</v>
      </c>
      <c r="D1656" s="10"/>
      <c r="E1656" s="11" t="s">
        <v>51</v>
      </c>
      <c r="F1656" s="10"/>
      <c r="G1656" s="10">
        <v>0</v>
      </c>
      <c r="H1656" s="10">
        <f t="shared" si="25"/>
        <v>0</v>
      </c>
      <c r="I1656" s="10"/>
      <c r="J1656" s="10"/>
      <c r="K1656" s="10"/>
      <c r="L1656" s="4" t="s">
        <v>52</v>
      </c>
      <c r="M1656" s="4">
        <v>1651</v>
      </c>
    </row>
    <row r="1657" spans="1:13" x14ac:dyDescent="0.25">
      <c r="A1657" s="4" t="s">
        <v>1476</v>
      </c>
      <c r="B1657" s="4" t="s">
        <v>137</v>
      </c>
      <c r="C1657" s="9" t="s">
        <v>50</v>
      </c>
      <c r="D1657" s="10">
        <v>66</v>
      </c>
      <c r="E1657" s="11" t="s">
        <v>51</v>
      </c>
      <c r="F1657" s="10"/>
      <c r="G1657" s="10">
        <v>0</v>
      </c>
      <c r="H1657" s="10">
        <f t="shared" si="25"/>
        <v>0</v>
      </c>
      <c r="I1657" s="10"/>
      <c r="J1657" s="10"/>
      <c r="K1657" s="10"/>
      <c r="L1657" s="4" t="s">
        <v>52</v>
      </c>
      <c r="M1657" s="4">
        <v>1652</v>
      </c>
    </row>
    <row r="1658" spans="1:13" x14ac:dyDescent="0.25">
      <c r="A1658" s="4" t="s">
        <v>1477</v>
      </c>
      <c r="B1658" s="4" t="s">
        <v>1478</v>
      </c>
      <c r="C1658" s="9" t="s">
        <v>50</v>
      </c>
      <c r="D1658" s="10">
        <v>66</v>
      </c>
      <c r="E1658" s="11" t="s">
        <v>51</v>
      </c>
      <c r="F1658" s="10">
        <v>6930</v>
      </c>
      <c r="G1658" s="10">
        <v>0</v>
      </c>
      <c r="H1658" s="10">
        <f t="shared" si="25"/>
        <v>6930</v>
      </c>
      <c r="I1658" s="10"/>
      <c r="J1658" s="10"/>
      <c r="K1658" s="10"/>
      <c r="L1658" s="4" t="s">
        <v>52</v>
      </c>
      <c r="M1658" s="4">
        <v>1653</v>
      </c>
    </row>
    <row r="1659" spans="1:13" x14ac:dyDescent="0.25">
      <c r="A1659" s="4" t="s">
        <v>1479</v>
      </c>
      <c r="B1659" s="4" t="s">
        <v>136</v>
      </c>
      <c r="C1659" s="9" t="s">
        <v>50</v>
      </c>
      <c r="D1659" s="10"/>
      <c r="E1659" s="11" t="s">
        <v>51</v>
      </c>
      <c r="F1659" s="10"/>
      <c r="G1659" s="10">
        <v>0</v>
      </c>
      <c r="H1659" s="10">
        <f t="shared" si="25"/>
        <v>0</v>
      </c>
      <c r="I1659" s="10"/>
      <c r="J1659" s="10"/>
      <c r="K1659" s="10"/>
      <c r="L1659" s="4" t="s">
        <v>52</v>
      </c>
      <c r="M1659" s="4">
        <v>1654</v>
      </c>
    </row>
    <row r="1660" spans="1:13" x14ac:dyDescent="0.25">
      <c r="A1660" s="4" t="s">
        <v>1479</v>
      </c>
      <c r="B1660" s="4" t="s">
        <v>82</v>
      </c>
      <c r="C1660" s="9" t="s">
        <v>50</v>
      </c>
      <c r="D1660" s="10"/>
      <c r="E1660" s="11" t="s">
        <v>51</v>
      </c>
      <c r="F1660" s="10"/>
      <c r="G1660" s="10">
        <v>0</v>
      </c>
      <c r="H1660" s="10">
        <f t="shared" si="25"/>
        <v>0</v>
      </c>
      <c r="I1660" s="10"/>
      <c r="J1660" s="10"/>
      <c r="K1660" s="10"/>
      <c r="L1660" s="4" t="s">
        <v>52</v>
      </c>
      <c r="M1660" s="4">
        <v>1655</v>
      </c>
    </row>
    <row r="1661" spans="1:13" x14ac:dyDescent="0.25">
      <c r="A1661" s="4" t="s">
        <v>1479</v>
      </c>
      <c r="B1661" s="4" t="s">
        <v>88</v>
      </c>
      <c r="C1661" s="9" t="s">
        <v>50</v>
      </c>
      <c r="D1661" s="10"/>
      <c r="E1661" s="11" t="s">
        <v>51</v>
      </c>
      <c r="F1661" s="10"/>
      <c r="G1661" s="10">
        <v>0</v>
      </c>
      <c r="H1661" s="10">
        <f t="shared" si="25"/>
        <v>0</v>
      </c>
      <c r="I1661" s="10"/>
      <c r="J1661" s="10"/>
      <c r="K1661" s="10"/>
      <c r="L1661" s="4" t="s">
        <v>52</v>
      </c>
      <c r="M1661" s="4">
        <v>1656</v>
      </c>
    </row>
    <row r="1662" spans="1:13" x14ac:dyDescent="0.25">
      <c r="A1662" s="4" t="s">
        <v>1479</v>
      </c>
      <c r="B1662" s="4" t="s">
        <v>137</v>
      </c>
      <c r="C1662" s="9" t="s">
        <v>50</v>
      </c>
      <c r="D1662" s="10">
        <v>1029</v>
      </c>
      <c r="E1662" s="11" t="s">
        <v>51</v>
      </c>
      <c r="F1662" s="10"/>
      <c r="G1662" s="10">
        <v>0</v>
      </c>
      <c r="H1662" s="10">
        <f t="shared" si="25"/>
        <v>0</v>
      </c>
      <c r="I1662" s="10"/>
      <c r="J1662" s="10"/>
      <c r="K1662" s="10"/>
      <c r="L1662" s="4" t="s">
        <v>52</v>
      </c>
      <c r="M1662" s="4">
        <v>1657</v>
      </c>
    </row>
    <row r="1663" spans="1:13" x14ac:dyDescent="0.25">
      <c r="A1663" s="4" t="s">
        <v>1480</v>
      </c>
      <c r="B1663" s="4" t="s">
        <v>136</v>
      </c>
      <c r="C1663" s="9" t="s">
        <v>50</v>
      </c>
      <c r="D1663" s="10">
        <v>33.5</v>
      </c>
      <c r="E1663" s="11" t="s">
        <v>51</v>
      </c>
      <c r="F1663" s="10">
        <v>3000</v>
      </c>
      <c r="G1663" s="10">
        <v>0</v>
      </c>
      <c r="H1663" s="10">
        <f t="shared" si="25"/>
        <v>3000</v>
      </c>
      <c r="I1663" s="10"/>
      <c r="J1663" s="10"/>
      <c r="K1663" s="10"/>
      <c r="L1663" s="4" t="s">
        <v>52</v>
      </c>
      <c r="M1663" s="4">
        <v>1658</v>
      </c>
    </row>
    <row r="1664" spans="1:13" x14ac:dyDescent="0.25">
      <c r="A1664" s="4" t="s">
        <v>1480</v>
      </c>
      <c r="B1664" s="4" t="s">
        <v>82</v>
      </c>
      <c r="C1664" s="9" t="s">
        <v>50</v>
      </c>
      <c r="D1664" s="10">
        <v>126.5</v>
      </c>
      <c r="E1664" s="11" t="s">
        <v>51</v>
      </c>
      <c r="F1664" s="10">
        <v>11200</v>
      </c>
      <c r="G1664" s="10">
        <v>0</v>
      </c>
      <c r="H1664" s="10">
        <f t="shared" si="25"/>
        <v>11200</v>
      </c>
      <c r="I1664" s="10"/>
      <c r="J1664" s="10"/>
      <c r="K1664" s="10"/>
      <c r="L1664" s="4" t="s">
        <v>52</v>
      </c>
      <c r="M1664" s="4">
        <v>1659</v>
      </c>
    </row>
    <row r="1665" spans="1:13" x14ac:dyDescent="0.25">
      <c r="A1665" s="4" t="s">
        <v>1480</v>
      </c>
      <c r="B1665" s="4" t="s">
        <v>88</v>
      </c>
      <c r="C1665" s="9" t="s">
        <v>50</v>
      </c>
      <c r="D1665" s="10">
        <v>166.5</v>
      </c>
      <c r="E1665" s="11" t="s">
        <v>51</v>
      </c>
      <c r="F1665" s="10">
        <v>13900</v>
      </c>
      <c r="G1665" s="10">
        <v>0</v>
      </c>
      <c r="H1665" s="10">
        <f t="shared" si="25"/>
        <v>13900</v>
      </c>
      <c r="I1665" s="10"/>
      <c r="J1665" s="10"/>
      <c r="K1665" s="10"/>
      <c r="L1665" s="4" t="s">
        <v>52</v>
      </c>
      <c r="M1665" s="4">
        <v>1660</v>
      </c>
    </row>
    <row r="1666" spans="1:13" x14ac:dyDescent="0.25">
      <c r="A1666" s="4" t="s">
        <v>1480</v>
      </c>
      <c r="B1666" s="4" t="s">
        <v>137</v>
      </c>
      <c r="C1666" s="9" t="s">
        <v>50</v>
      </c>
      <c r="D1666" s="10">
        <v>134</v>
      </c>
      <c r="E1666" s="11" t="s">
        <v>51</v>
      </c>
      <c r="F1666" s="10">
        <v>11200</v>
      </c>
      <c r="G1666" s="10">
        <v>0</v>
      </c>
      <c r="H1666" s="10">
        <f t="shared" si="25"/>
        <v>11200</v>
      </c>
      <c r="I1666" s="10"/>
      <c r="J1666" s="10"/>
      <c r="K1666" s="10"/>
      <c r="L1666" s="4" t="s">
        <v>52</v>
      </c>
      <c r="M1666" s="4">
        <v>1661</v>
      </c>
    </row>
    <row r="1667" spans="1:13" x14ac:dyDescent="0.25">
      <c r="A1667" s="4" t="s">
        <v>1480</v>
      </c>
      <c r="B1667" s="4" t="s">
        <v>1481</v>
      </c>
      <c r="C1667" s="9" t="s">
        <v>50</v>
      </c>
      <c r="D1667" s="10">
        <v>174</v>
      </c>
      <c r="E1667" s="11" t="s">
        <v>51</v>
      </c>
      <c r="F1667" s="10">
        <v>14500</v>
      </c>
      <c r="G1667" s="10">
        <v>0</v>
      </c>
      <c r="H1667" s="10">
        <f t="shared" si="25"/>
        <v>14500</v>
      </c>
      <c r="I1667" s="10"/>
      <c r="J1667" s="10"/>
      <c r="K1667" s="10"/>
      <c r="L1667" s="4" t="s">
        <v>52</v>
      </c>
      <c r="M1667" s="4">
        <v>1662</v>
      </c>
    </row>
    <row r="1668" spans="1:13" x14ac:dyDescent="0.25">
      <c r="A1668" s="4" t="s">
        <v>1480</v>
      </c>
      <c r="B1668" s="4" t="s">
        <v>271</v>
      </c>
      <c r="C1668" s="9" t="s">
        <v>50</v>
      </c>
      <c r="D1668" s="10"/>
      <c r="E1668" s="11" t="s">
        <v>51</v>
      </c>
      <c r="F1668" s="10"/>
      <c r="G1668" s="10">
        <v>0</v>
      </c>
      <c r="H1668" s="10">
        <f t="shared" si="25"/>
        <v>0</v>
      </c>
      <c r="I1668" s="10"/>
      <c r="J1668" s="10"/>
      <c r="K1668" s="10"/>
      <c r="L1668" s="4" t="s">
        <v>52</v>
      </c>
      <c r="M1668" s="4">
        <v>1663</v>
      </c>
    </row>
    <row r="1669" spans="1:13" x14ac:dyDescent="0.25">
      <c r="A1669" s="4" t="s">
        <v>1480</v>
      </c>
      <c r="B1669" s="4" t="s">
        <v>272</v>
      </c>
      <c r="C1669" s="9" t="s">
        <v>50</v>
      </c>
      <c r="D1669" s="10"/>
      <c r="E1669" s="11" t="s">
        <v>51</v>
      </c>
      <c r="F1669" s="10"/>
      <c r="G1669" s="10">
        <v>0</v>
      </c>
      <c r="H1669" s="10">
        <f t="shared" si="25"/>
        <v>0</v>
      </c>
      <c r="I1669" s="10"/>
      <c r="J1669" s="10"/>
      <c r="K1669" s="10"/>
      <c r="L1669" s="4" t="s">
        <v>52</v>
      </c>
      <c r="M1669" s="4">
        <v>1664</v>
      </c>
    </row>
    <row r="1670" spans="1:13" x14ac:dyDescent="0.25">
      <c r="A1670" s="4" t="s">
        <v>1480</v>
      </c>
      <c r="B1670" s="4" t="s">
        <v>1482</v>
      </c>
      <c r="C1670" s="4" t="s">
        <v>65</v>
      </c>
      <c r="D1670" s="10">
        <v>118.5</v>
      </c>
      <c r="E1670" s="12" t="s">
        <v>66</v>
      </c>
      <c r="F1670" s="10">
        <v>8910</v>
      </c>
      <c r="G1670" s="10">
        <v>0</v>
      </c>
      <c r="H1670" s="10">
        <f t="shared" ref="H1670:H1733" si="26">F1670-G1670</f>
        <v>8910</v>
      </c>
      <c r="I1670" s="10">
        <v>75.189873417721515</v>
      </c>
      <c r="J1670" s="10">
        <v>75.189873417721515</v>
      </c>
      <c r="K1670" s="10">
        <v>75.189873417721515</v>
      </c>
      <c r="L1670" s="4"/>
      <c r="M1670" s="4">
        <v>1665</v>
      </c>
    </row>
    <row r="1671" spans="1:13" x14ac:dyDescent="0.25">
      <c r="A1671" s="4" t="s">
        <v>1480</v>
      </c>
      <c r="B1671" s="4" t="s">
        <v>1483</v>
      </c>
      <c r="C1671" s="9" t="s">
        <v>50</v>
      </c>
      <c r="D1671" s="10">
        <v>394.5</v>
      </c>
      <c r="E1671" s="11" t="s">
        <v>51</v>
      </c>
      <c r="F1671" s="10">
        <v>32900</v>
      </c>
      <c r="G1671" s="10">
        <v>0</v>
      </c>
      <c r="H1671" s="10">
        <f t="shared" si="26"/>
        <v>32900</v>
      </c>
      <c r="I1671" s="10"/>
      <c r="J1671" s="10"/>
      <c r="K1671" s="10"/>
      <c r="L1671" s="4" t="s">
        <v>52</v>
      </c>
      <c r="M1671" s="4">
        <v>1666</v>
      </c>
    </row>
    <row r="1672" spans="1:13" x14ac:dyDescent="0.25">
      <c r="A1672" s="4" t="s">
        <v>1480</v>
      </c>
      <c r="B1672" s="4" t="s">
        <v>128</v>
      </c>
      <c r="C1672" s="9" t="s">
        <v>50</v>
      </c>
      <c r="D1672" s="10">
        <v>36</v>
      </c>
      <c r="E1672" s="11" t="s">
        <v>51</v>
      </c>
      <c r="F1672" s="10"/>
      <c r="G1672" s="10">
        <v>0</v>
      </c>
      <c r="H1672" s="10">
        <f t="shared" si="26"/>
        <v>0</v>
      </c>
      <c r="I1672" s="10"/>
      <c r="J1672" s="10"/>
      <c r="K1672" s="10"/>
      <c r="L1672" s="4" t="s">
        <v>52</v>
      </c>
      <c r="M1672" s="4">
        <v>1667</v>
      </c>
    </row>
    <row r="1673" spans="1:13" x14ac:dyDescent="0.25">
      <c r="A1673" s="4" t="s">
        <v>1484</v>
      </c>
      <c r="B1673" s="4" t="s">
        <v>1261</v>
      </c>
      <c r="C1673" s="4" t="s">
        <v>65</v>
      </c>
      <c r="D1673" s="10">
        <v>36</v>
      </c>
      <c r="E1673" s="12" t="s">
        <v>66</v>
      </c>
      <c r="F1673" s="10">
        <v>4850</v>
      </c>
      <c r="G1673" s="10">
        <v>0</v>
      </c>
      <c r="H1673" s="10">
        <f t="shared" si="26"/>
        <v>4850</v>
      </c>
      <c r="I1673" s="10">
        <v>134.7222222222222</v>
      </c>
      <c r="J1673" s="10">
        <v>134.7222222222222</v>
      </c>
      <c r="K1673" s="10">
        <v>134.7222222222222</v>
      </c>
      <c r="L1673" s="4"/>
      <c r="M1673" s="4">
        <v>1668</v>
      </c>
    </row>
    <row r="1674" spans="1:13" x14ac:dyDescent="0.25">
      <c r="A1674" s="4" t="s">
        <v>1485</v>
      </c>
      <c r="B1674" s="4" t="s">
        <v>136</v>
      </c>
      <c r="C1674" s="9" t="s">
        <v>50</v>
      </c>
      <c r="D1674" s="10">
        <v>7</v>
      </c>
      <c r="E1674" s="11" t="s">
        <v>51</v>
      </c>
      <c r="F1674" s="10">
        <v>691.05</v>
      </c>
      <c r="G1674" s="10">
        <v>0</v>
      </c>
      <c r="H1674" s="10">
        <f t="shared" si="26"/>
        <v>691.05</v>
      </c>
      <c r="I1674" s="10"/>
      <c r="J1674" s="10"/>
      <c r="K1674" s="10"/>
      <c r="L1674" s="4" t="s">
        <v>52</v>
      </c>
      <c r="M1674" s="4">
        <v>1669</v>
      </c>
    </row>
    <row r="1675" spans="1:13" x14ac:dyDescent="0.25">
      <c r="A1675" s="4" t="s">
        <v>1485</v>
      </c>
      <c r="B1675" s="4" t="s">
        <v>82</v>
      </c>
      <c r="C1675" s="9" t="s">
        <v>50</v>
      </c>
      <c r="D1675" s="10">
        <v>16</v>
      </c>
      <c r="E1675" s="11" t="s">
        <v>51</v>
      </c>
      <c r="F1675" s="10">
        <v>1578.45</v>
      </c>
      <c r="G1675" s="10">
        <v>0</v>
      </c>
      <c r="H1675" s="10">
        <f t="shared" si="26"/>
        <v>1578.45</v>
      </c>
      <c r="I1675" s="10"/>
      <c r="J1675" s="10"/>
      <c r="K1675" s="10"/>
      <c r="L1675" s="4" t="s">
        <v>52</v>
      </c>
      <c r="M1675" s="4">
        <v>1670</v>
      </c>
    </row>
    <row r="1676" spans="1:13" x14ac:dyDescent="0.25">
      <c r="A1676" s="4" t="s">
        <v>1485</v>
      </c>
      <c r="B1676" s="4" t="s">
        <v>88</v>
      </c>
      <c r="C1676" s="9" t="s">
        <v>50</v>
      </c>
      <c r="D1676" s="10">
        <v>50</v>
      </c>
      <c r="E1676" s="11" t="s">
        <v>51</v>
      </c>
      <c r="F1676" s="10">
        <v>4932.55</v>
      </c>
      <c r="G1676" s="10">
        <v>0</v>
      </c>
      <c r="H1676" s="10">
        <f t="shared" si="26"/>
        <v>4932.55</v>
      </c>
      <c r="I1676" s="10"/>
      <c r="J1676" s="10"/>
      <c r="K1676" s="10"/>
      <c r="L1676" s="4" t="s">
        <v>52</v>
      </c>
      <c r="M1676" s="4">
        <v>1671</v>
      </c>
    </row>
    <row r="1677" spans="1:13" x14ac:dyDescent="0.25">
      <c r="A1677" s="4" t="s">
        <v>1485</v>
      </c>
      <c r="B1677" s="4" t="s">
        <v>137</v>
      </c>
      <c r="C1677" s="9" t="s">
        <v>50</v>
      </c>
      <c r="D1677" s="10">
        <v>25</v>
      </c>
      <c r="E1677" s="11" t="s">
        <v>51</v>
      </c>
      <c r="F1677" s="10">
        <v>1297.95</v>
      </c>
      <c r="G1677" s="10">
        <v>0</v>
      </c>
      <c r="H1677" s="10">
        <f t="shared" si="26"/>
        <v>1297.95</v>
      </c>
      <c r="I1677" s="10"/>
      <c r="J1677" s="10"/>
      <c r="K1677" s="10"/>
      <c r="L1677" s="4" t="s">
        <v>52</v>
      </c>
      <c r="M1677" s="4">
        <v>1672</v>
      </c>
    </row>
    <row r="1678" spans="1:13" x14ac:dyDescent="0.25">
      <c r="A1678" s="4" t="s">
        <v>1485</v>
      </c>
      <c r="B1678" s="4" t="s">
        <v>107</v>
      </c>
      <c r="C1678" s="9" t="s">
        <v>50</v>
      </c>
      <c r="D1678" s="10">
        <v>97</v>
      </c>
      <c r="E1678" s="11" t="s">
        <v>51</v>
      </c>
      <c r="F1678" s="10">
        <v>6650</v>
      </c>
      <c r="G1678" s="10">
        <v>0</v>
      </c>
      <c r="H1678" s="10">
        <f t="shared" si="26"/>
        <v>6650</v>
      </c>
      <c r="I1678" s="10"/>
      <c r="J1678" s="10"/>
      <c r="K1678" s="10"/>
      <c r="L1678" s="4" t="s">
        <v>52</v>
      </c>
      <c r="M1678" s="4">
        <v>1673</v>
      </c>
    </row>
    <row r="1679" spans="1:13" x14ac:dyDescent="0.25">
      <c r="A1679" s="4" t="s">
        <v>1486</v>
      </c>
      <c r="B1679" s="4" t="s">
        <v>270</v>
      </c>
      <c r="C1679" s="9" t="s">
        <v>50</v>
      </c>
      <c r="D1679" s="10">
        <v>91</v>
      </c>
      <c r="E1679" s="11" t="s">
        <v>51</v>
      </c>
      <c r="F1679" s="10">
        <v>3000</v>
      </c>
      <c r="G1679" s="10">
        <v>0</v>
      </c>
      <c r="H1679" s="10">
        <f t="shared" si="26"/>
        <v>3000</v>
      </c>
      <c r="I1679" s="10"/>
      <c r="J1679" s="10"/>
      <c r="K1679" s="10"/>
      <c r="L1679" s="4" t="s">
        <v>52</v>
      </c>
      <c r="M1679" s="4">
        <v>1674</v>
      </c>
    </row>
    <row r="1680" spans="1:13" x14ac:dyDescent="0.25">
      <c r="A1680" s="4" t="s">
        <v>1487</v>
      </c>
      <c r="B1680" s="4" t="s">
        <v>88</v>
      </c>
      <c r="C1680" s="9" t="s">
        <v>50</v>
      </c>
      <c r="D1680" s="10">
        <v>80</v>
      </c>
      <c r="E1680" s="11" t="s">
        <v>51</v>
      </c>
      <c r="F1680" s="10">
        <v>5500</v>
      </c>
      <c r="G1680" s="10">
        <v>0</v>
      </c>
      <c r="H1680" s="10">
        <f t="shared" si="26"/>
        <v>5500</v>
      </c>
      <c r="I1680" s="10"/>
      <c r="J1680" s="10"/>
      <c r="K1680" s="10"/>
      <c r="L1680" s="4" t="s">
        <v>52</v>
      </c>
      <c r="M1680" s="4">
        <v>1675</v>
      </c>
    </row>
    <row r="1681" spans="1:13" x14ac:dyDescent="0.25">
      <c r="A1681" s="4" t="s">
        <v>1488</v>
      </c>
      <c r="B1681" s="4" t="s">
        <v>1489</v>
      </c>
      <c r="C1681" s="4" t="s">
        <v>68</v>
      </c>
      <c r="D1681" s="10">
        <v>432</v>
      </c>
      <c r="E1681" s="11" t="s">
        <v>51</v>
      </c>
      <c r="F1681" s="10">
        <v>2000</v>
      </c>
      <c r="G1681" s="10">
        <v>0</v>
      </c>
      <c r="H1681" s="10">
        <f t="shared" si="26"/>
        <v>2000</v>
      </c>
      <c r="I1681" s="10"/>
      <c r="J1681" s="10"/>
      <c r="K1681" s="10"/>
      <c r="L1681" s="4" t="s">
        <v>69</v>
      </c>
      <c r="M1681" s="4">
        <v>1676</v>
      </c>
    </row>
    <row r="1682" spans="1:13" x14ac:dyDescent="0.25">
      <c r="A1682" s="4" t="s">
        <v>1490</v>
      </c>
      <c r="B1682" s="4" t="s">
        <v>1491</v>
      </c>
      <c r="C1682" s="4" t="s">
        <v>65</v>
      </c>
      <c r="D1682" s="10">
        <v>32</v>
      </c>
      <c r="E1682" s="12" t="s">
        <v>66</v>
      </c>
      <c r="F1682" s="10">
        <v>5440</v>
      </c>
      <c r="G1682" s="10">
        <v>0</v>
      </c>
      <c r="H1682" s="10">
        <f t="shared" si="26"/>
        <v>5440</v>
      </c>
      <c r="I1682" s="10">
        <v>170</v>
      </c>
      <c r="J1682" s="10">
        <v>170</v>
      </c>
      <c r="K1682" s="10">
        <v>170</v>
      </c>
      <c r="L1682" s="4"/>
      <c r="M1682" s="4">
        <v>1677</v>
      </c>
    </row>
    <row r="1683" spans="1:13" x14ac:dyDescent="0.25">
      <c r="A1683" s="4" t="s">
        <v>1490</v>
      </c>
      <c r="B1683" s="4" t="s">
        <v>1492</v>
      </c>
      <c r="C1683" s="9" t="s">
        <v>50</v>
      </c>
      <c r="D1683" s="10">
        <v>272</v>
      </c>
      <c r="E1683" s="11" t="s">
        <v>51</v>
      </c>
      <c r="F1683" s="10">
        <v>25900</v>
      </c>
      <c r="G1683" s="10">
        <v>0</v>
      </c>
      <c r="H1683" s="10">
        <f t="shared" si="26"/>
        <v>25900</v>
      </c>
      <c r="I1683" s="10"/>
      <c r="J1683" s="10"/>
      <c r="K1683" s="10"/>
      <c r="L1683" s="4" t="s">
        <v>52</v>
      </c>
      <c r="M1683" s="4">
        <v>1678</v>
      </c>
    </row>
    <row r="1684" spans="1:13" x14ac:dyDescent="0.25">
      <c r="A1684" s="4" t="s">
        <v>1490</v>
      </c>
      <c r="B1684" s="4" t="s">
        <v>1493</v>
      </c>
      <c r="C1684" s="9" t="s">
        <v>50</v>
      </c>
      <c r="D1684" s="10">
        <v>129.75</v>
      </c>
      <c r="E1684" s="11" t="s">
        <v>51</v>
      </c>
      <c r="F1684" s="10">
        <v>11028.75</v>
      </c>
      <c r="G1684" s="10">
        <v>0</v>
      </c>
      <c r="H1684" s="10">
        <f t="shared" si="26"/>
        <v>11028.75</v>
      </c>
      <c r="I1684" s="10"/>
      <c r="J1684" s="10"/>
      <c r="K1684" s="10"/>
      <c r="L1684" s="4" t="s">
        <v>52</v>
      </c>
      <c r="M1684" s="4">
        <v>1679</v>
      </c>
    </row>
    <row r="1685" spans="1:13" x14ac:dyDescent="0.25">
      <c r="A1685" s="4" t="s">
        <v>1490</v>
      </c>
      <c r="B1685" s="4" t="s">
        <v>1494</v>
      </c>
      <c r="C1685" s="9" t="s">
        <v>50</v>
      </c>
      <c r="D1685" s="10">
        <v>122.25</v>
      </c>
      <c r="E1685" s="11" t="s">
        <v>51</v>
      </c>
      <c r="F1685" s="10">
        <v>2571.25</v>
      </c>
      <c r="G1685" s="10">
        <v>0</v>
      </c>
      <c r="H1685" s="10">
        <f t="shared" si="26"/>
        <v>2571.25</v>
      </c>
      <c r="I1685" s="10"/>
      <c r="J1685" s="10"/>
      <c r="K1685" s="10"/>
      <c r="L1685" s="4" t="s">
        <v>52</v>
      </c>
      <c r="M1685" s="4">
        <v>1680</v>
      </c>
    </row>
    <row r="1686" spans="1:13" x14ac:dyDescent="0.25">
      <c r="A1686" s="4" t="s">
        <v>1495</v>
      </c>
      <c r="B1686" s="4" t="s">
        <v>1496</v>
      </c>
      <c r="C1686" s="9" t="s">
        <v>50</v>
      </c>
      <c r="D1686" s="10">
        <v>10</v>
      </c>
      <c r="E1686" s="11" t="s">
        <v>51</v>
      </c>
      <c r="F1686" s="10">
        <v>550</v>
      </c>
      <c r="G1686" s="10">
        <v>0</v>
      </c>
      <c r="H1686" s="10">
        <f t="shared" si="26"/>
        <v>550</v>
      </c>
      <c r="I1686" s="10"/>
      <c r="J1686" s="10"/>
      <c r="K1686" s="10"/>
      <c r="L1686" s="4" t="s">
        <v>52</v>
      </c>
      <c r="M1686" s="4">
        <v>1681</v>
      </c>
    </row>
    <row r="1687" spans="1:13" x14ac:dyDescent="0.25">
      <c r="A1687" s="4" t="s">
        <v>1495</v>
      </c>
      <c r="B1687" s="4" t="s">
        <v>119</v>
      </c>
      <c r="C1687" s="9" t="s">
        <v>50</v>
      </c>
      <c r="D1687" s="10">
        <v>58</v>
      </c>
      <c r="E1687" s="11" t="s">
        <v>51</v>
      </c>
      <c r="F1687" s="10">
        <v>3550</v>
      </c>
      <c r="G1687" s="10">
        <v>0</v>
      </c>
      <c r="H1687" s="10">
        <f t="shared" si="26"/>
        <v>3550</v>
      </c>
      <c r="I1687" s="10"/>
      <c r="J1687" s="10"/>
      <c r="K1687" s="10"/>
      <c r="L1687" s="4" t="s">
        <v>52</v>
      </c>
      <c r="M1687" s="4">
        <v>1682</v>
      </c>
    </row>
    <row r="1688" spans="1:13" x14ac:dyDescent="0.25">
      <c r="A1688" s="4" t="s">
        <v>1495</v>
      </c>
      <c r="B1688" s="4" t="s">
        <v>118</v>
      </c>
      <c r="C1688" s="9" t="s">
        <v>50</v>
      </c>
      <c r="D1688" s="10">
        <v>124</v>
      </c>
      <c r="E1688" s="11" t="s">
        <v>51</v>
      </c>
      <c r="F1688" s="10">
        <v>1500</v>
      </c>
      <c r="G1688" s="10">
        <v>0</v>
      </c>
      <c r="H1688" s="10">
        <f t="shared" si="26"/>
        <v>1500</v>
      </c>
      <c r="I1688" s="10"/>
      <c r="J1688" s="10"/>
      <c r="K1688" s="10"/>
      <c r="L1688" s="4" t="s">
        <v>52</v>
      </c>
      <c r="M1688" s="4">
        <v>1683</v>
      </c>
    </row>
    <row r="1689" spans="1:13" x14ac:dyDescent="0.25">
      <c r="A1689" s="4" t="s">
        <v>1497</v>
      </c>
      <c r="B1689" s="4" t="s">
        <v>1498</v>
      </c>
      <c r="C1689" s="9" t="s">
        <v>50</v>
      </c>
      <c r="D1689" s="10">
        <v>60</v>
      </c>
      <c r="E1689" s="11" t="s">
        <v>51</v>
      </c>
      <c r="F1689" s="10">
        <v>5100</v>
      </c>
      <c r="G1689" s="10">
        <v>0</v>
      </c>
      <c r="H1689" s="10">
        <f t="shared" si="26"/>
        <v>5100</v>
      </c>
      <c r="I1689" s="10"/>
      <c r="J1689" s="10"/>
      <c r="K1689" s="10"/>
      <c r="L1689" s="4" t="s">
        <v>52</v>
      </c>
      <c r="M1689" s="4">
        <v>1684</v>
      </c>
    </row>
    <row r="1690" spans="1:13" x14ac:dyDescent="0.25">
      <c r="A1690" s="4" t="s">
        <v>1497</v>
      </c>
      <c r="B1690" s="4" t="s">
        <v>1499</v>
      </c>
      <c r="C1690" s="9" t="s">
        <v>50</v>
      </c>
      <c r="D1690" s="10">
        <v>232</v>
      </c>
      <c r="E1690" s="11" t="s">
        <v>51</v>
      </c>
      <c r="F1690" s="10">
        <v>3400</v>
      </c>
      <c r="G1690" s="10">
        <v>0</v>
      </c>
      <c r="H1690" s="10">
        <f t="shared" si="26"/>
        <v>3400</v>
      </c>
      <c r="I1690" s="10"/>
      <c r="J1690" s="10"/>
      <c r="K1690" s="10"/>
      <c r="L1690" s="4" t="s">
        <v>52</v>
      </c>
      <c r="M1690" s="4">
        <v>1685</v>
      </c>
    </row>
    <row r="1691" spans="1:13" x14ac:dyDescent="0.25">
      <c r="A1691" s="4" t="s">
        <v>1500</v>
      </c>
      <c r="B1691" s="4" t="s">
        <v>1501</v>
      </c>
      <c r="C1691" s="4" t="s">
        <v>68</v>
      </c>
      <c r="D1691" s="10">
        <v>434</v>
      </c>
      <c r="E1691" s="11" t="s">
        <v>51</v>
      </c>
      <c r="F1691" s="10">
        <v>18240</v>
      </c>
      <c r="G1691" s="10">
        <v>0</v>
      </c>
      <c r="H1691" s="10">
        <f t="shared" si="26"/>
        <v>18240</v>
      </c>
      <c r="I1691" s="10"/>
      <c r="J1691" s="10"/>
      <c r="K1691" s="10"/>
      <c r="L1691" s="4" t="s">
        <v>69</v>
      </c>
      <c r="M1691" s="4">
        <v>1686</v>
      </c>
    </row>
    <row r="1692" spans="1:13" x14ac:dyDescent="0.25">
      <c r="A1692" s="4" t="s">
        <v>1502</v>
      </c>
      <c r="B1692" s="4" t="s">
        <v>1503</v>
      </c>
      <c r="C1692" s="4" t="s">
        <v>68</v>
      </c>
      <c r="D1692" s="10">
        <v>484</v>
      </c>
      <c r="E1692" s="11" t="s">
        <v>51</v>
      </c>
      <c r="F1692" s="10">
        <v>20990</v>
      </c>
      <c r="G1692" s="10">
        <v>0</v>
      </c>
      <c r="H1692" s="10">
        <f t="shared" si="26"/>
        <v>20990</v>
      </c>
      <c r="I1692" s="10"/>
      <c r="J1692" s="10"/>
      <c r="K1692" s="10"/>
      <c r="L1692" s="4" t="s">
        <v>69</v>
      </c>
      <c r="M1692" s="4">
        <v>1687</v>
      </c>
    </row>
    <row r="1693" spans="1:13" x14ac:dyDescent="0.25">
      <c r="A1693" s="4" t="s">
        <v>1504</v>
      </c>
      <c r="B1693" s="4" t="s">
        <v>136</v>
      </c>
      <c r="C1693" s="9" t="s">
        <v>50</v>
      </c>
      <c r="D1693" s="10">
        <v>30</v>
      </c>
      <c r="E1693" s="11" t="s">
        <v>51</v>
      </c>
      <c r="F1693" s="10">
        <v>2850</v>
      </c>
      <c r="G1693" s="10">
        <v>0</v>
      </c>
      <c r="H1693" s="10">
        <f t="shared" si="26"/>
        <v>2850</v>
      </c>
      <c r="I1693" s="10"/>
      <c r="J1693" s="10"/>
      <c r="K1693" s="10"/>
      <c r="L1693" s="4" t="s">
        <v>52</v>
      </c>
      <c r="M1693" s="4">
        <v>1688</v>
      </c>
    </row>
    <row r="1694" spans="1:13" x14ac:dyDescent="0.25">
      <c r="A1694" s="4" t="s">
        <v>1504</v>
      </c>
      <c r="B1694" s="4" t="s">
        <v>82</v>
      </c>
      <c r="C1694" s="9" t="s">
        <v>50</v>
      </c>
      <c r="D1694" s="10">
        <v>28</v>
      </c>
      <c r="E1694" s="11" t="s">
        <v>51</v>
      </c>
      <c r="F1694" s="10">
        <v>2660</v>
      </c>
      <c r="G1694" s="10">
        <v>0</v>
      </c>
      <c r="H1694" s="10">
        <f t="shared" si="26"/>
        <v>2660</v>
      </c>
      <c r="I1694" s="10"/>
      <c r="J1694" s="10"/>
      <c r="K1694" s="10"/>
      <c r="L1694" s="4" t="s">
        <v>52</v>
      </c>
      <c r="M1694" s="4">
        <v>1689</v>
      </c>
    </row>
    <row r="1695" spans="1:13" x14ac:dyDescent="0.25">
      <c r="A1695" s="4" t="s">
        <v>1504</v>
      </c>
      <c r="B1695" s="4" t="s">
        <v>88</v>
      </c>
      <c r="C1695" s="9" t="s">
        <v>50</v>
      </c>
      <c r="D1695" s="10">
        <v>34</v>
      </c>
      <c r="E1695" s="11" t="s">
        <v>51</v>
      </c>
      <c r="F1695" s="10">
        <v>3230</v>
      </c>
      <c r="G1695" s="10">
        <v>0</v>
      </c>
      <c r="H1695" s="10">
        <f t="shared" si="26"/>
        <v>3230</v>
      </c>
      <c r="I1695" s="10"/>
      <c r="J1695" s="10"/>
      <c r="K1695" s="10"/>
      <c r="L1695" s="4" t="s">
        <v>52</v>
      </c>
      <c r="M1695" s="4">
        <v>1690</v>
      </c>
    </row>
    <row r="1696" spans="1:13" x14ac:dyDescent="0.25">
      <c r="A1696" s="4" t="s">
        <v>1504</v>
      </c>
      <c r="B1696" s="4" t="s">
        <v>137</v>
      </c>
      <c r="C1696" s="9" t="s">
        <v>50</v>
      </c>
      <c r="D1696" s="10">
        <v>30</v>
      </c>
      <c r="E1696" s="11" t="s">
        <v>51</v>
      </c>
      <c r="F1696" s="10">
        <v>2850</v>
      </c>
      <c r="G1696" s="10">
        <v>0</v>
      </c>
      <c r="H1696" s="10">
        <f t="shared" si="26"/>
        <v>2850</v>
      </c>
      <c r="I1696" s="10"/>
      <c r="J1696" s="10"/>
      <c r="K1696" s="10"/>
      <c r="L1696" s="4" t="s">
        <v>52</v>
      </c>
      <c r="M1696" s="4">
        <v>1691</v>
      </c>
    </row>
    <row r="1697" spans="1:13" x14ac:dyDescent="0.25">
      <c r="A1697" s="4" t="s">
        <v>1504</v>
      </c>
      <c r="B1697" s="4" t="s">
        <v>128</v>
      </c>
      <c r="C1697" s="9" t="s">
        <v>50</v>
      </c>
      <c r="D1697" s="10">
        <v>290</v>
      </c>
      <c r="E1697" s="11" t="s">
        <v>51</v>
      </c>
      <c r="F1697" s="10">
        <v>9400</v>
      </c>
      <c r="G1697" s="10">
        <v>0</v>
      </c>
      <c r="H1697" s="10">
        <f t="shared" si="26"/>
        <v>9400</v>
      </c>
      <c r="I1697" s="10"/>
      <c r="J1697" s="10"/>
      <c r="K1697" s="10"/>
      <c r="L1697" s="4" t="s">
        <v>52</v>
      </c>
      <c r="M1697" s="4">
        <v>1692</v>
      </c>
    </row>
    <row r="1698" spans="1:13" x14ac:dyDescent="0.25">
      <c r="A1698" s="4" t="s">
        <v>1505</v>
      </c>
      <c r="B1698" s="4" t="s">
        <v>1506</v>
      </c>
      <c r="C1698" s="9" t="s">
        <v>50</v>
      </c>
      <c r="D1698" s="10">
        <v>12</v>
      </c>
      <c r="E1698" s="11" t="s">
        <v>51</v>
      </c>
      <c r="F1698" s="10">
        <v>660</v>
      </c>
      <c r="G1698" s="10">
        <v>0</v>
      </c>
      <c r="H1698" s="10">
        <f t="shared" si="26"/>
        <v>660</v>
      </c>
      <c r="I1698" s="10"/>
      <c r="J1698" s="10"/>
      <c r="K1698" s="10"/>
      <c r="L1698" s="4" t="s">
        <v>52</v>
      </c>
      <c r="M1698" s="4">
        <v>1693</v>
      </c>
    </row>
    <row r="1699" spans="1:13" x14ac:dyDescent="0.25">
      <c r="A1699" s="4" t="s">
        <v>1505</v>
      </c>
      <c r="B1699" s="4" t="s">
        <v>1507</v>
      </c>
      <c r="C1699" s="9" t="s">
        <v>50</v>
      </c>
      <c r="D1699" s="10">
        <v>108</v>
      </c>
      <c r="E1699" s="11" t="s">
        <v>51</v>
      </c>
      <c r="F1699" s="10">
        <v>5940</v>
      </c>
      <c r="G1699" s="10">
        <v>0</v>
      </c>
      <c r="H1699" s="10">
        <f t="shared" si="26"/>
        <v>5940</v>
      </c>
      <c r="I1699" s="10"/>
      <c r="J1699" s="10"/>
      <c r="K1699" s="10"/>
      <c r="L1699" s="4" t="s">
        <v>52</v>
      </c>
      <c r="M1699" s="4">
        <v>1694</v>
      </c>
    </row>
    <row r="1700" spans="1:13" x14ac:dyDescent="0.25">
      <c r="A1700" s="4" t="s">
        <v>1505</v>
      </c>
      <c r="B1700" s="4" t="s">
        <v>1508</v>
      </c>
      <c r="C1700" s="9" t="s">
        <v>50</v>
      </c>
      <c r="D1700" s="10">
        <v>147</v>
      </c>
      <c r="E1700" s="11" t="s">
        <v>51</v>
      </c>
      <c r="F1700" s="10">
        <v>2750</v>
      </c>
      <c r="G1700" s="10">
        <v>0</v>
      </c>
      <c r="H1700" s="10">
        <f t="shared" si="26"/>
        <v>2750</v>
      </c>
      <c r="I1700" s="10"/>
      <c r="J1700" s="10"/>
      <c r="K1700" s="10"/>
      <c r="L1700" s="4" t="s">
        <v>52</v>
      </c>
      <c r="M1700" s="4">
        <v>1695</v>
      </c>
    </row>
    <row r="1701" spans="1:13" x14ac:dyDescent="0.25">
      <c r="A1701" s="4" t="s">
        <v>1509</v>
      </c>
      <c r="B1701" s="4" t="s">
        <v>136</v>
      </c>
      <c r="C1701" s="9" t="s">
        <v>50</v>
      </c>
      <c r="D1701" s="10">
        <v>1</v>
      </c>
      <c r="E1701" s="11" t="s">
        <v>51</v>
      </c>
      <c r="F1701" s="10">
        <v>100</v>
      </c>
      <c r="G1701" s="10">
        <v>0</v>
      </c>
      <c r="H1701" s="10">
        <f t="shared" si="26"/>
        <v>100</v>
      </c>
      <c r="I1701" s="10"/>
      <c r="J1701" s="10"/>
      <c r="K1701" s="10"/>
      <c r="L1701" s="4" t="s">
        <v>52</v>
      </c>
      <c r="M1701" s="4">
        <v>1696</v>
      </c>
    </row>
    <row r="1702" spans="1:13" x14ac:dyDescent="0.25">
      <c r="A1702" s="4" t="s">
        <v>1509</v>
      </c>
      <c r="B1702" s="4" t="s">
        <v>82</v>
      </c>
      <c r="C1702" s="9" t="s">
        <v>50</v>
      </c>
      <c r="D1702" s="10">
        <v>14</v>
      </c>
      <c r="E1702" s="11" t="s">
        <v>51</v>
      </c>
      <c r="F1702" s="10">
        <v>1400</v>
      </c>
      <c r="G1702" s="10">
        <v>0</v>
      </c>
      <c r="H1702" s="10">
        <f t="shared" si="26"/>
        <v>1400</v>
      </c>
      <c r="I1702" s="10"/>
      <c r="J1702" s="10"/>
      <c r="K1702" s="10"/>
      <c r="L1702" s="4" t="s">
        <v>52</v>
      </c>
      <c r="M1702" s="4">
        <v>1697</v>
      </c>
    </row>
    <row r="1703" spans="1:13" x14ac:dyDescent="0.25">
      <c r="A1703" s="4" t="s">
        <v>1509</v>
      </c>
      <c r="B1703" s="4" t="s">
        <v>88</v>
      </c>
      <c r="C1703" s="9" t="s">
        <v>50</v>
      </c>
      <c r="D1703" s="10">
        <v>21.5</v>
      </c>
      <c r="E1703" s="11" t="s">
        <v>51</v>
      </c>
      <c r="F1703" s="10">
        <v>2150</v>
      </c>
      <c r="G1703" s="10">
        <v>0</v>
      </c>
      <c r="H1703" s="10">
        <f t="shared" si="26"/>
        <v>2150</v>
      </c>
      <c r="I1703" s="10"/>
      <c r="J1703" s="10"/>
      <c r="K1703" s="10"/>
      <c r="L1703" s="4" t="s">
        <v>52</v>
      </c>
      <c r="M1703" s="4">
        <v>1698</v>
      </c>
    </row>
    <row r="1704" spans="1:13" x14ac:dyDescent="0.25">
      <c r="A1704" s="4" t="s">
        <v>1509</v>
      </c>
      <c r="B1704" s="4" t="s">
        <v>137</v>
      </c>
      <c r="C1704" s="9" t="s">
        <v>50</v>
      </c>
      <c r="D1704" s="10">
        <v>23.5</v>
      </c>
      <c r="E1704" s="11" t="s">
        <v>51</v>
      </c>
      <c r="F1704" s="10">
        <v>2350</v>
      </c>
      <c r="G1704" s="10">
        <v>0</v>
      </c>
      <c r="H1704" s="10">
        <f t="shared" si="26"/>
        <v>2350</v>
      </c>
      <c r="I1704" s="10"/>
      <c r="J1704" s="10"/>
      <c r="K1704" s="10"/>
      <c r="L1704" s="4" t="s">
        <v>52</v>
      </c>
      <c r="M1704" s="4">
        <v>1699</v>
      </c>
    </row>
    <row r="1705" spans="1:13" x14ac:dyDescent="0.25">
      <c r="A1705" s="4" t="s">
        <v>1509</v>
      </c>
      <c r="B1705" s="4" t="s">
        <v>106</v>
      </c>
      <c r="C1705" s="9" t="s">
        <v>50</v>
      </c>
      <c r="D1705" s="10">
        <v>31</v>
      </c>
      <c r="E1705" s="11" t="s">
        <v>51</v>
      </c>
      <c r="F1705" s="10">
        <v>3100</v>
      </c>
      <c r="G1705" s="10">
        <v>0</v>
      </c>
      <c r="H1705" s="10">
        <f t="shared" si="26"/>
        <v>3100</v>
      </c>
      <c r="I1705" s="10"/>
      <c r="J1705" s="10"/>
      <c r="K1705" s="10"/>
      <c r="L1705" s="4" t="s">
        <v>52</v>
      </c>
      <c r="M1705" s="4">
        <v>1700</v>
      </c>
    </row>
    <row r="1706" spans="1:13" x14ac:dyDescent="0.25">
      <c r="A1706" s="4" t="s">
        <v>1509</v>
      </c>
      <c r="B1706" s="4" t="s">
        <v>271</v>
      </c>
      <c r="C1706" s="9" t="s">
        <v>50</v>
      </c>
      <c r="D1706" s="10">
        <v>3</v>
      </c>
      <c r="E1706" s="11" t="s">
        <v>51</v>
      </c>
      <c r="F1706" s="10">
        <v>300</v>
      </c>
      <c r="G1706" s="10">
        <v>0</v>
      </c>
      <c r="H1706" s="10">
        <f t="shared" si="26"/>
        <v>300</v>
      </c>
      <c r="I1706" s="10"/>
      <c r="J1706" s="10"/>
      <c r="K1706" s="10"/>
      <c r="L1706" s="4" t="s">
        <v>52</v>
      </c>
      <c r="M1706" s="4">
        <v>1701</v>
      </c>
    </row>
    <row r="1707" spans="1:13" x14ac:dyDescent="0.25">
      <c r="A1707" s="4" t="s">
        <v>1509</v>
      </c>
      <c r="B1707" s="4" t="s">
        <v>272</v>
      </c>
      <c r="C1707" s="9" t="s">
        <v>50</v>
      </c>
      <c r="D1707" s="10">
        <v>3</v>
      </c>
      <c r="E1707" s="11" t="s">
        <v>51</v>
      </c>
      <c r="F1707" s="10">
        <v>300</v>
      </c>
      <c r="G1707" s="10">
        <v>0</v>
      </c>
      <c r="H1707" s="10">
        <f t="shared" si="26"/>
        <v>300</v>
      </c>
      <c r="I1707" s="10"/>
      <c r="J1707" s="10"/>
      <c r="K1707" s="10"/>
      <c r="L1707" s="4" t="s">
        <v>52</v>
      </c>
      <c r="M1707" s="4">
        <v>1702</v>
      </c>
    </row>
    <row r="1708" spans="1:13" x14ac:dyDescent="0.25">
      <c r="A1708" s="4" t="s">
        <v>1509</v>
      </c>
      <c r="B1708" s="4" t="s">
        <v>107</v>
      </c>
      <c r="C1708" s="9" t="s">
        <v>50</v>
      </c>
      <c r="D1708" s="10"/>
      <c r="E1708" s="11" t="s">
        <v>51</v>
      </c>
      <c r="F1708" s="10"/>
      <c r="G1708" s="10">
        <v>0</v>
      </c>
      <c r="H1708" s="10">
        <f t="shared" si="26"/>
        <v>0</v>
      </c>
      <c r="I1708" s="10"/>
      <c r="J1708" s="10"/>
      <c r="K1708" s="10"/>
      <c r="L1708" s="4" t="s">
        <v>52</v>
      </c>
      <c r="M1708" s="4">
        <v>1703</v>
      </c>
    </row>
    <row r="1709" spans="1:13" x14ac:dyDescent="0.25">
      <c r="A1709" s="4" t="s">
        <v>1509</v>
      </c>
      <c r="B1709" s="4" t="s">
        <v>128</v>
      </c>
      <c r="C1709" s="9" t="s">
        <v>50</v>
      </c>
      <c r="D1709" s="10">
        <v>227</v>
      </c>
      <c r="E1709" s="11" t="s">
        <v>51</v>
      </c>
      <c r="F1709" s="10"/>
      <c r="G1709" s="10">
        <v>0</v>
      </c>
      <c r="H1709" s="10">
        <f t="shared" si="26"/>
        <v>0</v>
      </c>
      <c r="I1709" s="10"/>
      <c r="J1709" s="10"/>
      <c r="K1709" s="10"/>
      <c r="L1709" s="4" t="s">
        <v>52</v>
      </c>
      <c r="M1709" s="4">
        <v>1704</v>
      </c>
    </row>
    <row r="1710" spans="1:13" x14ac:dyDescent="0.25">
      <c r="A1710" s="4" t="s">
        <v>1510</v>
      </c>
      <c r="B1710" s="4" t="s">
        <v>136</v>
      </c>
      <c r="C1710" s="9" t="s">
        <v>50</v>
      </c>
      <c r="D1710" s="10">
        <v>35</v>
      </c>
      <c r="E1710" s="11" t="s">
        <v>51</v>
      </c>
      <c r="F1710" s="10">
        <v>3500</v>
      </c>
      <c r="G1710" s="10">
        <v>0</v>
      </c>
      <c r="H1710" s="10">
        <f t="shared" si="26"/>
        <v>3500</v>
      </c>
      <c r="I1710" s="10"/>
      <c r="J1710" s="10"/>
      <c r="K1710" s="10"/>
      <c r="L1710" s="4" t="s">
        <v>52</v>
      </c>
      <c r="M1710" s="4">
        <v>1705</v>
      </c>
    </row>
    <row r="1711" spans="1:13" x14ac:dyDescent="0.25">
      <c r="A1711" s="4" t="s">
        <v>1510</v>
      </c>
      <c r="B1711" s="4" t="s">
        <v>88</v>
      </c>
      <c r="C1711" s="9" t="s">
        <v>50</v>
      </c>
      <c r="D1711" s="10">
        <v>96.5</v>
      </c>
      <c r="E1711" s="11" t="s">
        <v>51</v>
      </c>
      <c r="F1711" s="10">
        <v>9650</v>
      </c>
      <c r="G1711" s="10">
        <v>0</v>
      </c>
      <c r="H1711" s="10">
        <f t="shared" si="26"/>
        <v>9650</v>
      </c>
      <c r="I1711" s="10"/>
      <c r="J1711" s="10"/>
      <c r="K1711" s="10"/>
      <c r="L1711" s="4" t="s">
        <v>52</v>
      </c>
      <c r="M1711" s="4">
        <v>1706</v>
      </c>
    </row>
    <row r="1712" spans="1:13" x14ac:dyDescent="0.25">
      <c r="A1712" s="4" t="s">
        <v>1510</v>
      </c>
      <c r="B1712" s="4" t="s">
        <v>137</v>
      </c>
      <c r="C1712" s="9" t="s">
        <v>50</v>
      </c>
      <c r="D1712" s="10">
        <v>34</v>
      </c>
      <c r="E1712" s="11" t="s">
        <v>51</v>
      </c>
      <c r="F1712" s="10">
        <v>2000</v>
      </c>
      <c r="G1712" s="10">
        <v>0</v>
      </c>
      <c r="H1712" s="10">
        <f t="shared" si="26"/>
        <v>2000</v>
      </c>
      <c r="I1712" s="10"/>
      <c r="J1712" s="10"/>
      <c r="K1712" s="10"/>
      <c r="L1712" s="4" t="s">
        <v>52</v>
      </c>
      <c r="M1712" s="4">
        <v>1707</v>
      </c>
    </row>
    <row r="1713" spans="1:13" x14ac:dyDescent="0.25">
      <c r="A1713" s="4" t="s">
        <v>1510</v>
      </c>
      <c r="B1713" s="4" t="s">
        <v>128</v>
      </c>
      <c r="C1713" s="9" t="s">
        <v>50</v>
      </c>
      <c r="D1713" s="10">
        <v>150.5</v>
      </c>
      <c r="E1713" s="11" t="s">
        <v>51</v>
      </c>
      <c r="F1713" s="10">
        <v>3625</v>
      </c>
      <c r="G1713" s="10">
        <v>0</v>
      </c>
      <c r="H1713" s="10">
        <f t="shared" si="26"/>
        <v>3625</v>
      </c>
      <c r="I1713" s="10"/>
      <c r="J1713" s="10"/>
      <c r="K1713" s="10"/>
      <c r="L1713" s="4" t="s">
        <v>52</v>
      </c>
      <c r="M1713" s="4">
        <v>1708</v>
      </c>
    </row>
    <row r="1714" spans="1:13" x14ac:dyDescent="0.25">
      <c r="A1714" s="4" t="s">
        <v>1511</v>
      </c>
      <c r="B1714" s="4" t="s">
        <v>1512</v>
      </c>
      <c r="C1714" s="4" t="s">
        <v>65</v>
      </c>
      <c r="D1714" s="10">
        <v>34</v>
      </c>
      <c r="E1714" s="12" t="s">
        <v>66</v>
      </c>
      <c r="F1714" s="10">
        <v>3950</v>
      </c>
      <c r="G1714" s="10">
        <v>0</v>
      </c>
      <c r="H1714" s="10">
        <f t="shared" si="26"/>
        <v>3950</v>
      </c>
      <c r="I1714" s="10">
        <v>116.1764705882353</v>
      </c>
      <c r="J1714" s="10">
        <v>116.1764705882353</v>
      </c>
      <c r="K1714" s="10">
        <v>116.1764705882353</v>
      </c>
      <c r="L1714" s="4"/>
      <c r="M1714" s="4">
        <v>1709</v>
      </c>
    </row>
    <row r="1715" spans="1:13" x14ac:dyDescent="0.25">
      <c r="A1715" s="4" t="s">
        <v>1511</v>
      </c>
      <c r="B1715" s="4" t="s">
        <v>1513</v>
      </c>
      <c r="C1715" s="4" t="s">
        <v>65</v>
      </c>
      <c r="D1715" s="10">
        <v>26</v>
      </c>
      <c r="E1715" s="12" t="s">
        <v>66</v>
      </c>
      <c r="F1715" s="10">
        <v>3300</v>
      </c>
      <c r="G1715" s="10">
        <v>0</v>
      </c>
      <c r="H1715" s="10">
        <f t="shared" si="26"/>
        <v>3300</v>
      </c>
      <c r="I1715" s="10">
        <v>126.92307692307691</v>
      </c>
      <c r="J1715" s="10">
        <v>126.92307692307691</v>
      </c>
      <c r="K1715" s="10">
        <v>126.92307692307691</v>
      </c>
      <c r="L1715" s="4"/>
      <c r="M1715" s="4">
        <v>1710</v>
      </c>
    </row>
    <row r="1716" spans="1:13" x14ac:dyDescent="0.25">
      <c r="A1716" s="4" t="s">
        <v>1511</v>
      </c>
      <c r="B1716" s="4" t="s">
        <v>1514</v>
      </c>
      <c r="C1716" s="4" t="s">
        <v>65</v>
      </c>
      <c r="D1716" s="10">
        <v>11</v>
      </c>
      <c r="E1716" s="12" t="s">
        <v>66</v>
      </c>
      <c r="F1716" s="10">
        <v>900</v>
      </c>
      <c r="G1716" s="10">
        <v>0</v>
      </c>
      <c r="H1716" s="10">
        <f t="shared" si="26"/>
        <v>900</v>
      </c>
      <c r="I1716" s="10">
        <v>81.818181818181813</v>
      </c>
      <c r="J1716" s="10">
        <v>81.818181818181813</v>
      </c>
      <c r="K1716" s="10">
        <v>81.818181818181813</v>
      </c>
      <c r="L1716" s="4"/>
      <c r="M1716" s="4">
        <v>1711</v>
      </c>
    </row>
    <row r="1717" spans="1:13" x14ac:dyDescent="0.25">
      <c r="A1717" s="4" t="s">
        <v>1511</v>
      </c>
      <c r="B1717" s="4" t="s">
        <v>1515</v>
      </c>
      <c r="C1717" s="4" t="s">
        <v>68</v>
      </c>
      <c r="D1717" s="10">
        <v>60</v>
      </c>
      <c r="E1717" s="11" t="s">
        <v>51</v>
      </c>
      <c r="F1717" s="10">
        <v>1210</v>
      </c>
      <c r="G1717" s="10">
        <v>0</v>
      </c>
      <c r="H1717" s="10">
        <f t="shared" si="26"/>
        <v>1210</v>
      </c>
      <c r="I1717" s="10"/>
      <c r="J1717" s="10"/>
      <c r="K1717" s="10"/>
      <c r="L1717" s="4" t="s">
        <v>69</v>
      </c>
      <c r="M1717" s="4">
        <v>1712</v>
      </c>
    </row>
    <row r="1718" spans="1:13" x14ac:dyDescent="0.25">
      <c r="A1718" s="4" t="s">
        <v>1516</v>
      </c>
      <c r="B1718" s="4" t="s">
        <v>1517</v>
      </c>
      <c r="C1718" s="4" t="s">
        <v>65</v>
      </c>
      <c r="D1718" s="10">
        <v>11</v>
      </c>
      <c r="E1718" s="12" t="s">
        <v>66</v>
      </c>
      <c r="F1718" s="10">
        <v>900</v>
      </c>
      <c r="G1718" s="10">
        <v>0</v>
      </c>
      <c r="H1718" s="10">
        <f t="shared" si="26"/>
        <v>900</v>
      </c>
      <c r="I1718" s="10">
        <v>81.818181818181813</v>
      </c>
      <c r="J1718" s="10">
        <v>81.818181818181813</v>
      </c>
      <c r="K1718" s="10">
        <v>81.818181818181813</v>
      </c>
      <c r="L1718" s="4"/>
      <c r="M1718" s="4">
        <v>1713</v>
      </c>
    </row>
    <row r="1719" spans="1:13" x14ac:dyDescent="0.25">
      <c r="A1719" s="4" t="s">
        <v>1516</v>
      </c>
      <c r="B1719" s="4" t="s">
        <v>1213</v>
      </c>
      <c r="C1719" s="4" t="s">
        <v>68</v>
      </c>
      <c r="D1719" s="10">
        <v>8</v>
      </c>
      <c r="E1719" s="11" t="s">
        <v>51</v>
      </c>
      <c r="F1719" s="10">
        <v>880</v>
      </c>
      <c r="G1719" s="10">
        <v>0</v>
      </c>
      <c r="H1719" s="10">
        <f t="shared" si="26"/>
        <v>880</v>
      </c>
      <c r="I1719" s="10"/>
      <c r="J1719" s="10"/>
      <c r="K1719" s="10"/>
      <c r="L1719" s="4" t="s">
        <v>69</v>
      </c>
      <c r="M1719" s="4">
        <v>1714</v>
      </c>
    </row>
    <row r="1720" spans="1:13" x14ac:dyDescent="0.25">
      <c r="A1720" s="4" t="s">
        <v>1516</v>
      </c>
      <c r="B1720" s="4" t="s">
        <v>1518</v>
      </c>
      <c r="C1720" s="4" t="s">
        <v>65</v>
      </c>
      <c r="D1720" s="10">
        <v>17</v>
      </c>
      <c r="E1720" s="12" t="s">
        <v>66</v>
      </c>
      <c r="F1720" s="10">
        <v>1400</v>
      </c>
      <c r="G1720" s="10">
        <v>0</v>
      </c>
      <c r="H1720" s="10">
        <f t="shared" si="26"/>
        <v>1400</v>
      </c>
      <c r="I1720" s="10">
        <v>82.352941176470594</v>
      </c>
      <c r="J1720" s="10">
        <v>82.352941176470594</v>
      </c>
      <c r="K1720" s="10">
        <v>82.352941176470594</v>
      </c>
      <c r="L1720" s="4"/>
      <c r="M1720" s="4">
        <v>1715</v>
      </c>
    </row>
    <row r="1721" spans="1:13" x14ac:dyDescent="0.25">
      <c r="A1721" s="4" t="s">
        <v>1516</v>
      </c>
      <c r="B1721" s="4" t="s">
        <v>1519</v>
      </c>
      <c r="C1721" s="4" t="s">
        <v>65</v>
      </c>
      <c r="D1721" s="10">
        <v>52</v>
      </c>
      <c r="E1721" s="12" t="s">
        <v>66</v>
      </c>
      <c r="F1721" s="10">
        <v>1050</v>
      </c>
      <c r="G1721" s="10">
        <v>0</v>
      </c>
      <c r="H1721" s="10">
        <f t="shared" si="26"/>
        <v>1050</v>
      </c>
      <c r="I1721" s="10">
        <v>80.769230769230774</v>
      </c>
      <c r="J1721" s="10">
        <v>80.769230769230774</v>
      </c>
      <c r="K1721" s="10">
        <v>80.769230769230774</v>
      </c>
      <c r="L1721" s="4"/>
      <c r="M1721" s="4">
        <v>1716</v>
      </c>
    </row>
    <row r="1722" spans="1:13" x14ac:dyDescent="0.25">
      <c r="A1722" s="4" t="s">
        <v>1520</v>
      </c>
      <c r="B1722" s="4" t="s">
        <v>1521</v>
      </c>
      <c r="C1722" s="4" t="s">
        <v>65</v>
      </c>
      <c r="D1722" s="10">
        <v>9</v>
      </c>
      <c r="E1722" s="12" t="s">
        <v>66</v>
      </c>
      <c r="F1722" s="10">
        <v>750</v>
      </c>
      <c r="G1722" s="10">
        <v>0</v>
      </c>
      <c r="H1722" s="10">
        <f t="shared" si="26"/>
        <v>750</v>
      </c>
      <c r="I1722" s="10">
        <v>83.333333333333329</v>
      </c>
      <c r="J1722" s="10">
        <v>83.333333333333329</v>
      </c>
      <c r="K1722" s="10">
        <v>83.333333333333329</v>
      </c>
      <c r="L1722" s="4"/>
      <c r="M1722" s="4">
        <v>1717</v>
      </c>
    </row>
    <row r="1723" spans="1:13" x14ac:dyDescent="0.25">
      <c r="A1723" s="4" t="s">
        <v>1520</v>
      </c>
      <c r="B1723" s="4" t="s">
        <v>1522</v>
      </c>
      <c r="C1723" s="4" t="s">
        <v>68</v>
      </c>
      <c r="D1723" s="10">
        <v>8</v>
      </c>
      <c r="E1723" s="11" t="s">
        <v>51</v>
      </c>
      <c r="F1723" s="10">
        <v>880</v>
      </c>
      <c r="G1723" s="10">
        <v>0</v>
      </c>
      <c r="H1723" s="10">
        <f t="shared" si="26"/>
        <v>880</v>
      </c>
      <c r="I1723" s="10"/>
      <c r="J1723" s="10"/>
      <c r="K1723" s="10"/>
      <c r="L1723" s="4" t="s">
        <v>69</v>
      </c>
      <c r="M1723" s="4">
        <v>1718</v>
      </c>
    </row>
    <row r="1724" spans="1:13" x14ac:dyDescent="0.25">
      <c r="A1724" s="4" t="s">
        <v>1520</v>
      </c>
      <c r="B1724" s="4" t="s">
        <v>1523</v>
      </c>
      <c r="C1724" s="4" t="s">
        <v>65</v>
      </c>
      <c r="D1724" s="10">
        <v>13</v>
      </c>
      <c r="E1724" s="12" t="s">
        <v>66</v>
      </c>
      <c r="F1724" s="10">
        <v>1050</v>
      </c>
      <c r="G1724" s="10">
        <v>0</v>
      </c>
      <c r="H1724" s="10">
        <f t="shared" si="26"/>
        <v>1050</v>
      </c>
      <c r="I1724" s="10">
        <v>80.769230769230774</v>
      </c>
      <c r="J1724" s="10">
        <v>80.769230769230774</v>
      </c>
      <c r="K1724" s="10">
        <v>80.769230769230774</v>
      </c>
      <c r="L1724" s="4"/>
      <c r="M1724" s="4">
        <v>1719</v>
      </c>
    </row>
    <row r="1725" spans="1:13" x14ac:dyDescent="0.25">
      <c r="A1725" s="4" t="s">
        <v>1520</v>
      </c>
      <c r="B1725" s="4" t="s">
        <v>1524</v>
      </c>
      <c r="C1725" s="4" t="s">
        <v>65</v>
      </c>
      <c r="D1725" s="10">
        <v>69</v>
      </c>
      <c r="E1725" s="12" t="s">
        <v>66</v>
      </c>
      <c r="F1725" s="10">
        <v>750</v>
      </c>
      <c r="G1725" s="10">
        <v>0</v>
      </c>
      <c r="H1725" s="10">
        <f t="shared" si="26"/>
        <v>750</v>
      </c>
      <c r="I1725" s="10">
        <v>83.333333333333329</v>
      </c>
      <c r="J1725" s="10">
        <v>83.333333333333329</v>
      </c>
      <c r="K1725" s="10">
        <v>83.333333333333329</v>
      </c>
      <c r="L1725" s="4"/>
      <c r="M1725" s="4">
        <v>1720</v>
      </c>
    </row>
    <row r="1726" spans="1:13" x14ac:dyDescent="0.25">
      <c r="A1726" s="4" t="s">
        <v>1525</v>
      </c>
      <c r="B1726" s="4" t="s">
        <v>1526</v>
      </c>
      <c r="C1726" s="4" t="s">
        <v>68</v>
      </c>
      <c r="D1726" s="10">
        <v>120</v>
      </c>
      <c r="E1726" s="11" t="s">
        <v>51</v>
      </c>
      <c r="F1726" s="10">
        <v>6300</v>
      </c>
      <c r="G1726" s="10">
        <v>0</v>
      </c>
      <c r="H1726" s="10">
        <f t="shared" si="26"/>
        <v>6300</v>
      </c>
      <c r="I1726" s="10"/>
      <c r="J1726" s="10"/>
      <c r="K1726" s="10"/>
      <c r="L1726" s="4" t="s">
        <v>69</v>
      </c>
      <c r="M1726" s="4">
        <v>1721</v>
      </c>
    </row>
    <row r="1727" spans="1:13" x14ac:dyDescent="0.25">
      <c r="A1727" s="4" t="s">
        <v>1527</v>
      </c>
      <c r="B1727" s="4" t="s">
        <v>1528</v>
      </c>
      <c r="C1727" s="4" t="s">
        <v>68</v>
      </c>
      <c r="D1727" s="10">
        <v>120</v>
      </c>
      <c r="E1727" s="11" t="s">
        <v>51</v>
      </c>
      <c r="F1727" s="10">
        <v>6300</v>
      </c>
      <c r="G1727" s="10">
        <v>0</v>
      </c>
      <c r="H1727" s="10">
        <f t="shared" si="26"/>
        <v>6300</v>
      </c>
      <c r="I1727" s="10"/>
      <c r="J1727" s="10"/>
      <c r="K1727" s="10"/>
      <c r="L1727" s="4" t="s">
        <v>69</v>
      </c>
      <c r="M1727" s="4">
        <v>1722</v>
      </c>
    </row>
    <row r="1728" spans="1:13" x14ac:dyDescent="0.25">
      <c r="A1728" s="4" t="s">
        <v>1529</v>
      </c>
      <c r="B1728" s="4" t="s">
        <v>88</v>
      </c>
      <c r="C1728" s="9" t="s">
        <v>50</v>
      </c>
      <c r="D1728" s="10">
        <v>163</v>
      </c>
      <c r="E1728" s="11" t="s">
        <v>51</v>
      </c>
      <c r="F1728" s="10">
        <v>5700</v>
      </c>
      <c r="G1728" s="10">
        <v>0</v>
      </c>
      <c r="H1728" s="10">
        <f t="shared" si="26"/>
        <v>5700</v>
      </c>
      <c r="I1728" s="10"/>
      <c r="J1728" s="10"/>
      <c r="K1728" s="10"/>
      <c r="L1728" s="4" t="s">
        <v>52</v>
      </c>
      <c r="M1728" s="4">
        <v>1723</v>
      </c>
    </row>
    <row r="1729" spans="1:13" x14ac:dyDescent="0.25">
      <c r="A1729" s="4" t="s">
        <v>1530</v>
      </c>
      <c r="B1729" s="4" t="s">
        <v>136</v>
      </c>
      <c r="C1729" s="9" t="s">
        <v>50</v>
      </c>
      <c r="D1729" s="10">
        <v>7</v>
      </c>
      <c r="E1729" s="11" t="s">
        <v>51</v>
      </c>
      <c r="F1729" s="10">
        <v>645.91999999999996</v>
      </c>
      <c r="G1729" s="10">
        <v>0</v>
      </c>
      <c r="H1729" s="10">
        <f t="shared" si="26"/>
        <v>645.91999999999996</v>
      </c>
      <c r="I1729" s="10"/>
      <c r="J1729" s="10"/>
      <c r="K1729" s="10"/>
      <c r="L1729" s="4" t="s">
        <v>52</v>
      </c>
      <c r="M1729" s="4">
        <v>1724</v>
      </c>
    </row>
    <row r="1730" spans="1:13" x14ac:dyDescent="0.25">
      <c r="A1730" s="4" t="s">
        <v>1530</v>
      </c>
      <c r="B1730" s="4" t="s">
        <v>82</v>
      </c>
      <c r="C1730" s="9" t="s">
        <v>50</v>
      </c>
      <c r="D1730" s="10">
        <v>6</v>
      </c>
      <c r="E1730" s="11" t="s">
        <v>51</v>
      </c>
      <c r="F1730" s="10">
        <v>552.64</v>
      </c>
      <c r="G1730" s="10">
        <v>0</v>
      </c>
      <c r="H1730" s="10">
        <f t="shared" si="26"/>
        <v>552.64</v>
      </c>
      <c r="I1730" s="10"/>
      <c r="J1730" s="10"/>
      <c r="K1730" s="10"/>
      <c r="L1730" s="4" t="s">
        <v>52</v>
      </c>
      <c r="M1730" s="4">
        <v>1725</v>
      </c>
    </row>
    <row r="1731" spans="1:13" x14ac:dyDescent="0.25">
      <c r="A1731" s="4" t="s">
        <v>1530</v>
      </c>
      <c r="B1731" s="4" t="s">
        <v>88</v>
      </c>
      <c r="C1731" s="9" t="s">
        <v>50</v>
      </c>
      <c r="D1731" s="10">
        <v>30</v>
      </c>
      <c r="E1731" s="11" t="s">
        <v>51</v>
      </c>
      <c r="F1731" s="10">
        <v>2764.08</v>
      </c>
      <c r="G1731" s="10">
        <v>0</v>
      </c>
      <c r="H1731" s="10">
        <f t="shared" si="26"/>
        <v>2764.08</v>
      </c>
      <c r="I1731" s="10"/>
      <c r="J1731" s="10"/>
      <c r="K1731" s="10"/>
      <c r="L1731" s="4" t="s">
        <v>52</v>
      </c>
      <c r="M1731" s="4">
        <v>1726</v>
      </c>
    </row>
    <row r="1732" spans="1:13" x14ac:dyDescent="0.25">
      <c r="A1732" s="4" t="s">
        <v>1530</v>
      </c>
      <c r="B1732" s="4" t="s">
        <v>137</v>
      </c>
      <c r="C1732" s="9" t="s">
        <v>50</v>
      </c>
      <c r="D1732" s="10">
        <v>20</v>
      </c>
      <c r="E1732" s="11" t="s">
        <v>51</v>
      </c>
      <c r="F1732" s="10">
        <v>1151.92</v>
      </c>
      <c r="G1732" s="10">
        <v>0</v>
      </c>
      <c r="H1732" s="10">
        <f t="shared" si="26"/>
        <v>1151.92</v>
      </c>
      <c r="I1732" s="10"/>
      <c r="J1732" s="10"/>
      <c r="K1732" s="10"/>
      <c r="L1732" s="4" t="s">
        <v>52</v>
      </c>
      <c r="M1732" s="4">
        <v>1727</v>
      </c>
    </row>
    <row r="1733" spans="1:13" x14ac:dyDescent="0.25">
      <c r="A1733" s="4" t="s">
        <v>1530</v>
      </c>
      <c r="B1733" s="4" t="s">
        <v>107</v>
      </c>
      <c r="C1733" s="9" t="s">
        <v>50</v>
      </c>
      <c r="D1733" s="10">
        <v>351</v>
      </c>
      <c r="E1733" s="11" t="s">
        <v>51</v>
      </c>
      <c r="F1733" s="10">
        <v>3685.44</v>
      </c>
      <c r="G1733" s="10">
        <v>0</v>
      </c>
      <c r="H1733" s="10">
        <f t="shared" si="26"/>
        <v>3685.44</v>
      </c>
      <c r="I1733" s="10"/>
      <c r="J1733" s="10"/>
      <c r="K1733" s="10"/>
      <c r="L1733" s="4" t="s">
        <v>52</v>
      </c>
      <c r="M1733" s="4">
        <v>1728</v>
      </c>
    </row>
    <row r="1734" spans="1:13" x14ac:dyDescent="0.25">
      <c r="A1734" s="4" t="s">
        <v>1531</v>
      </c>
      <c r="B1734" s="4" t="s">
        <v>106</v>
      </c>
      <c r="C1734" s="9" t="s">
        <v>50</v>
      </c>
      <c r="D1734" s="10">
        <v>100</v>
      </c>
      <c r="E1734" s="11" t="s">
        <v>51</v>
      </c>
      <c r="F1734" s="10">
        <v>9710.93</v>
      </c>
      <c r="G1734" s="10">
        <v>0</v>
      </c>
      <c r="H1734" s="10">
        <f t="shared" ref="H1734:H1797" si="27">F1734-G1734</f>
        <v>9710.93</v>
      </c>
      <c r="I1734" s="10"/>
      <c r="J1734" s="10"/>
      <c r="K1734" s="10"/>
      <c r="L1734" s="4" t="s">
        <v>52</v>
      </c>
      <c r="M1734" s="4">
        <v>1729</v>
      </c>
    </row>
    <row r="1735" spans="1:13" x14ac:dyDescent="0.25">
      <c r="A1735" s="4" t="s">
        <v>1531</v>
      </c>
      <c r="B1735" s="4" t="s">
        <v>107</v>
      </c>
      <c r="C1735" s="9" t="s">
        <v>50</v>
      </c>
      <c r="D1735" s="10">
        <v>110</v>
      </c>
      <c r="E1735" s="11" t="s">
        <v>51</v>
      </c>
      <c r="F1735" s="10">
        <v>10740.33</v>
      </c>
      <c r="G1735" s="10">
        <v>0</v>
      </c>
      <c r="H1735" s="10">
        <f t="shared" si="27"/>
        <v>10740.33</v>
      </c>
      <c r="I1735" s="10"/>
      <c r="J1735" s="10"/>
      <c r="K1735" s="10"/>
      <c r="L1735" s="4" t="s">
        <v>52</v>
      </c>
      <c r="M1735" s="4">
        <v>1730</v>
      </c>
    </row>
    <row r="1736" spans="1:13" x14ac:dyDescent="0.25">
      <c r="A1736" s="4" t="s">
        <v>1531</v>
      </c>
      <c r="B1736" s="4" t="s">
        <v>128</v>
      </c>
      <c r="C1736" s="9" t="s">
        <v>50</v>
      </c>
      <c r="D1736" s="10">
        <v>131</v>
      </c>
      <c r="E1736" s="11" t="s">
        <v>51</v>
      </c>
      <c r="F1736" s="10">
        <v>5698.75</v>
      </c>
      <c r="G1736" s="10">
        <v>0</v>
      </c>
      <c r="H1736" s="10">
        <f t="shared" si="27"/>
        <v>5698.75</v>
      </c>
      <c r="I1736" s="10"/>
      <c r="J1736" s="10"/>
      <c r="K1736" s="10"/>
      <c r="L1736" s="4" t="s">
        <v>52</v>
      </c>
      <c r="M1736" s="4">
        <v>1731</v>
      </c>
    </row>
    <row r="1737" spans="1:13" x14ac:dyDescent="0.25">
      <c r="A1737" s="4" t="s">
        <v>1532</v>
      </c>
      <c r="B1737" s="4" t="s">
        <v>67</v>
      </c>
      <c r="C1737" s="4" t="s">
        <v>68</v>
      </c>
      <c r="D1737" s="10">
        <v>71</v>
      </c>
      <c r="E1737" s="11" t="s">
        <v>51</v>
      </c>
      <c r="F1737" s="10">
        <v>3300</v>
      </c>
      <c r="G1737" s="10">
        <v>0</v>
      </c>
      <c r="H1737" s="10">
        <f t="shared" si="27"/>
        <v>3300</v>
      </c>
      <c r="I1737" s="10"/>
      <c r="J1737" s="10"/>
      <c r="K1737" s="10"/>
      <c r="L1737" s="4" t="s">
        <v>69</v>
      </c>
      <c r="M1737" s="4">
        <v>1732</v>
      </c>
    </row>
    <row r="1738" spans="1:13" x14ac:dyDescent="0.25">
      <c r="A1738" s="4" t="s">
        <v>1533</v>
      </c>
      <c r="B1738" s="4" t="s">
        <v>470</v>
      </c>
      <c r="C1738" s="4" t="s">
        <v>68</v>
      </c>
      <c r="D1738" s="10">
        <v>20</v>
      </c>
      <c r="E1738" s="11" t="s">
        <v>51</v>
      </c>
      <c r="F1738" s="10">
        <v>2400</v>
      </c>
      <c r="G1738" s="10">
        <v>0</v>
      </c>
      <c r="H1738" s="10">
        <f t="shared" si="27"/>
        <v>2400</v>
      </c>
      <c r="I1738" s="10"/>
      <c r="J1738" s="10"/>
      <c r="K1738" s="10"/>
      <c r="L1738" s="4" t="s">
        <v>69</v>
      </c>
      <c r="M1738" s="4">
        <v>1733</v>
      </c>
    </row>
    <row r="1739" spans="1:13" x14ac:dyDescent="0.25">
      <c r="A1739" s="4" t="s">
        <v>1533</v>
      </c>
      <c r="B1739" s="4" t="s">
        <v>1534</v>
      </c>
      <c r="C1739" s="4" t="s">
        <v>65</v>
      </c>
      <c r="D1739" s="10">
        <v>42</v>
      </c>
      <c r="E1739" s="12" t="s">
        <v>66</v>
      </c>
      <c r="F1739" s="10">
        <v>2600</v>
      </c>
      <c r="G1739" s="10">
        <v>0</v>
      </c>
      <c r="H1739" s="10">
        <f t="shared" si="27"/>
        <v>2600</v>
      </c>
      <c r="I1739" s="10">
        <v>123.8095238095238</v>
      </c>
      <c r="J1739" s="10">
        <v>123.8095238095238</v>
      </c>
      <c r="K1739" s="10">
        <v>123.8095238095238</v>
      </c>
      <c r="L1739" s="4"/>
      <c r="M1739" s="4">
        <v>1734</v>
      </c>
    </row>
    <row r="1740" spans="1:13" x14ac:dyDescent="0.25">
      <c r="A1740" s="4" t="s">
        <v>1535</v>
      </c>
      <c r="B1740" s="4" t="s">
        <v>1315</v>
      </c>
      <c r="C1740" s="4" t="s">
        <v>65</v>
      </c>
      <c r="D1740" s="10">
        <v>397</v>
      </c>
      <c r="E1740" s="12" t="s">
        <v>66</v>
      </c>
      <c r="F1740" s="10">
        <v>2550</v>
      </c>
      <c r="G1740" s="10">
        <v>0</v>
      </c>
      <c r="H1740" s="10">
        <f t="shared" si="27"/>
        <v>2550</v>
      </c>
      <c r="I1740" s="10">
        <v>121.4285714285714</v>
      </c>
      <c r="J1740" s="10">
        <v>121.4285714285714</v>
      </c>
      <c r="K1740" s="10">
        <v>121.4285714285714</v>
      </c>
      <c r="L1740" s="4"/>
      <c r="M1740" s="4">
        <v>1735</v>
      </c>
    </row>
    <row r="1741" spans="1:13" x14ac:dyDescent="0.25">
      <c r="A1741" s="4" t="s">
        <v>1536</v>
      </c>
      <c r="B1741" s="4" t="s">
        <v>512</v>
      </c>
      <c r="C1741" s="9" t="s">
        <v>50</v>
      </c>
      <c r="D1741" s="10">
        <v>10</v>
      </c>
      <c r="E1741" s="11" t="s">
        <v>51</v>
      </c>
      <c r="F1741" s="10">
        <v>850</v>
      </c>
      <c r="G1741" s="10">
        <v>0</v>
      </c>
      <c r="H1741" s="10">
        <f t="shared" si="27"/>
        <v>850</v>
      </c>
      <c r="I1741" s="10"/>
      <c r="J1741" s="10"/>
      <c r="K1741" s="10"/>
      <c r="L1741" s="4" t="s">
        <v>52</v>
      </c>
      <c r="M1741" s="4">
        <v>1736</v>
      </c>
    </row>
    <row r="1742" spans="1:13" x14ac:dyDescent="0.25">
      <c r="A1742" s="4" t="s">
        <v>1536</v>
      </c>
      <c r="B1742" s="4" t="s">
        <v>82</v>
      </c>
      <c r="C1742" s="9" t="s">
        <v>50</v>
      </c>
      <c r="D1742" s="10">
        <v>4</v>
      </c>
      <c r="E1742" s="11" t="s">
        <v>51</v>
      </c>
      <c r="F1742" s="10">
        <v>340</v>
      </c>
      <c r="G1742" s="10">
        <v>0</v>
      </c>
      <c r="H1742" s="10">
        <f t="shared" si="27"/>
        <v>340</v>
      </c>
      <c r="I1742" s="10"/>
      <c r="J1742" s="10"/>
      <c r="K1742" s="10"/>
      <c r="L1742" s="4" t="s">
        <v>52</v>
      </c>
      <c r="M1742" s="4">
        <v>1737</v>
      </c>
    </row>
    <row r="1743" spans="1:13" x14ac:dyDescent="0.25">
      <c r="A1743" s="4" t="s">
        <v>1536</v>
      </c>
      <c r="B1743" s="4" t="s">
        <v>88</v>
      </c>
      <c r="C1743" s="9" t="s">
        <v>50</v>
      </c>
      <c r="D1743" s="10">
        <v>170</v>
      </c>
      <c r="E1743" s="11" t="s">
        <v>51</v>
      </c>
      <c r="F1743" s="10">
        <v>14450</v>
      </c>
      <c r="G1743" s="10">
        <v>0</v>
      </c>
      <c r="H1743" s="10">
        <f t="shared" si="27"/>
        <v>14450</v>
      </c>
      <c r="I1743" s="10"/>
      <c r="J1743" s="10"/>
      <c r="K1743" s="10"/>
      <c r="L1743" s="4" t="s">
        <v>52</v>
      </c>
      <c r="M1743" s="4">
        <v>1738</v>
      </c>
    </row>
    <row r="1744" spans="1:13" x14ac:dyDescent="0.25">
      <c r="A1744" s="4" t="s">
        <v>1536</v>
      </c>
      <c r="B1744" s="4" t="s">
        <v>137</v>
      </c>
      <c r="C1744" s="9" t="s">
        <v>50</v>
      </c>
      <c r="D1744" s="10">
        <v>62</v>
      </c>
      <c r="E1744" s="11" t="s">
        <v>51</v>
      </c>
      <c r="F1744" s="10">
        <v>4010</v>
      </c>
      <c r="G1744" s="10">
        <v>0</v>
      </c>
      <c r="H1744" s="10">
        <f t="shared" si="27"/>
        <v>4010</v>
      </c>
      <c r="I1744" s="10"/>
      <c r="J1744" s="10"/>
      <c r="K1744" s="10"/>
      <c r="L1744" s="4" t="s">
        <v>52</v>
      </c>
      <c r="M1744" s="4">
        <v>1739</v>
      </c>
    </row>
    <row r="1745" spans="1:13" x14ac:dyDescent="0.25">
      <c r="A1745" s="4" t="s">
        <v>1536</v>
      </c>
      <c r="B1745" s="4" t="s">
        <v>106</v>
      </c>
      <c r="C1745" s="9" t="s">
        <v>50</v>
      </c>
      <c r="D1745" s="10">
        <v>40</v>
      </c>
      <c r="E1745" s="11" t="s">
        <v>51</v>
      </c>
      <c r="F1745" s="10">
        <v>3400</v>
      </c>
      <c r="G1745" s="10">
        <v>0</v>
      </c>
      <c r="H1745" s="10">
        <f t="shared" si="27"/>
        <v>3400</v>
      </c>
      <c r="I1745" s="10"/>
      <c r="J1745" s="10"/>
      <c r="K1745" s="10"/>
      <c r="L1745" s="4" t="s">
        <v>52</v>
      </c>
      <c r="M1745" s="4">
        <v>1740</v>
      </c>
    </row>
    <row r="1746" spans="1:13" x14ac:dyDescent="0.25">
      <c r="A1746" s="4" t="s">
        <v>1536</v>
      </c>
      <c r="B1746" s="4" t="s">
        <v>107</v>
      </c>
      <c r="C1746" s="9" t="s">
        <v>50</v>
      </c>
      <c r="D1746" s="10">
        <v>419.25</v>
      </c>
      <c r="E1746" s="11" t="s">
        <v>51</v>
      </c>
      <c r="F1746" s="10">
        <v>7650</v>
      </c>
      <c r="G1746" s="10">
        <v>0</v>
      </c>
      <c r="H1746" s="10">
        <f t="shared" si="27"/>
        <v>7650</v>
      </c>
      <c r="I1746" s="10"/>
      <c r="J1746" s="10"/>
      <c r="K1746" s="10"/>
      <c r="L1746" s="4" t="s">
        <v>52</v>
      </c>
      <c r="M1746" s="4">
        <v>1741</v>
      </c>
    </row>
    <row r="1747" spans="1:13" x14ac:dyDescent="0.25">
      <c r="A1747" s="4" t="s">
        <v>1537</v>
      </c>
      <c r="B1747" s="4" t="s">
        <v>1538</v>
      </c>
      <c r="C1747" s="9" t="s">
        <v>50</v>
      </c>
      <c r="D1747" s="10">
        <v>107</v>
      </c>
      <c r="E1747" s="11" t="s">
        <v>51</v>
      </c>
      <c r="F1747" s="10">
        <v>10050</v>
      </c>
      <c r="G1747" s="10">
        <v>0</v>
      </c>
      <c r="H1747" s="10">
        <f t="shared" si="27"/>
        <v>10050</v>
      </c>
      <c r="I1747" s="10"/>
      <c r="J1747" s="10"/>
      <c r="K1747" s="10"/>
      <c r="L1747" s="4" t="s">
        <v>52</v>
      </c>
      <c r="M1747" s="4">
        <v>1742</v>
      </c>
    </row>
    <row r="1748" spans="1:13" x14ac:dyDescent="0.25">
      <c r="A1748" s="4" t="s">
        <v>1537</v>
      </c>
      <c r="B1748" s="4" t="s">
        <v>1539</v>
      </c>
      <c r="C1748" s="9" t="s">
        <v>50</v>
      </c>
      <c r="D1748" s="10">
        <v>50</v>
      </c>
      <c r="E1748" s="11" t="s">
        <v>51</v>
      </c>
      <c r="F1748" s="10">
        <v>4750</v>
      </c>
      <c r="G1748" s="10">
        <v>0</v>
      </c>
      <c r="H1748" s="10">
        <f t="shared" si="27"/>
        <v>4750</v>
      </c>
      <c r="I1748" s="10"/>
      <c r="J1748" s="10"/>
      <c r="K1748" s="10"/>
      <c r="L1748" s="4" t="s">
        <v>52</v>
      </c>
      <c r="M1748" s="4">
        <v>1743</v>
      </c>
    </row>
    <row r="1749" spans="1:13" x14ac:dyDescent="0.25">
      <c r="A1749" s="4" t="s">
        <v>1537</v>
      </c>
      <c r="B1749" s="4" t="s">
        <v>1540</v>
      </c>
      <c r="C1749" s="9" t="s">
        <v>50</v>
      </c>
      <c r="D1749" s="10">
        <v>20</v>
      </c>
      <c r="E1749" s="11" t="s">
        <v>51</v>
      </c>
      <c r="F1749" s="10">
        <v>1900</v>
      </c>
      <c r="G1749" s="10">
        <v>0</v>
      </c>
      <c r="H1749" s="10">
        <f t="shared" si="27"/>
        <v>1900</v>
      </c>
      <c r="I1749" s="10"/>
      <c r="J1749" s="10"/>
      <c r="K1749" s="10"/>
      <c r="L1749" s="4" t="s">
        <v>52</v>
      </c>
      <c r="M1749" s="4">
        <v>1744</v>
      </c>
    </row>
    <row r="1750" spans="1:13" x14ac:dyDescent="0.25">
      <c r="A1750" s="4" t="s">
        <v>1537</v>
      </c>
      <c r="B1750" s="4" t="s">
        <v>1541</v>
      </c>
      <c r="C1750" s="9" t="s">
        <v>50</v>
      </c>
      <c r="D1750" s="10">
        <v>38.25</v>
      </c>
      <c r="E1750" s="11" t="s">
        <v>51</v>
      </c>
      <c r="F1750" s="10">
        <v>2100</v>
      </c>
      <c r="G1750" s="10">
        <v>0</v>
      </c>
      <c r="H1750" s="10">
        <f t="shared" si="27"/>
        <v>2100</v>
      </c>
      <c r="I1750" s="10"/>
      <c r="J1750" s="10"/>
      <c r="K1750" s="10"/>
      <c r="L1750" s="4" t="s">
        <v>52</v>
      </c>
      <c r="M1750" s="4">
        <v>1745</v>
      </c>
    </row>
    <row r="1751" spans="1:13" x14ac:dyDescent="0.25">
      <c r="A1751" s="4" t="s">
        <v>1537</v>
      </c>
      <c r="B1751" s="4" t="s">
        <v>1542</v>
      </c>
      <c r="C1751" s="9" t="s">
        <v>50</v>
      </c>
      <c r="D1751" s="10">
        <v>18</v>
      </c>
      <c r="E1751" s="11" t="s">
        <v>51</v>
      </c>
      <c r="F1751" s="10">
        <v>950</v>
      </c>
      <c r="G1751" s="10">
        <v>0</v>
      </c>
      <c r="H1751" s="10">
        <f t="shared" si="27"/>
        <v>950</v>
      </c>
      <c r="I1751" s="10"/>
      <c r="J1751" s="10"/>
      <c r="K1751" s="10"/>
      <c r="L1751" s="4" t="s">
        <v>52</v>
      </c>
      <c r="M1751" s="4">
        <v>1746</v>
      </c>
    </row>
    <row r="1752" spans="1:13" x14ac:dyDescent="0.25">
      <c r="A1752" s="4" t="s">
        <v>1537</v>
      </c>
      <c r="B1752" s="4" t="s">
        <v>1543</v>
      </c>
      <c r="C1752" s="4" t="s">
        <v>65</v>
      </c>
      <c r="D1752" s="10">
        <v>36</v>
      </c>
      <c r="E1752" s="12" t="s">
        <v>66</v>
      </c>
      <c r="F1752" s="10">
        <v>3420</v>
      </c>
      <c r="G1752" s="10">
        <v>0</v>
      </c>
      <c r="H1752" s="10">
        <f t="shared" si="27"/>
        <v>3420</v>
      </c>
      <c r="I1752" s="10">
        <v>95</v>
      </c>
      <c r="J1752" s="10">
        <v>95</v>
      </c>
      <c r="K1752" s="10">
        <v>95</v>
      </c>
      <c r="L1752" s="4"/>
      <c r="M1752" s="4">
        <v>1747</v>
      </c>
    </row>
    <row r="1753" spans="1:13" x14ac:dyDescent="0.25">
      <c r="A1753" s="4" t="s">
        <v>1537</v>
      </c>
      <c r="B1753" s="4" t="s">
        <v>1544</v>
      </c>
      <c r="C1753" s="4" t="s">
        <v>65</v>
      </c>
      <c r="D1753" s="10">
        <v>40</v>
      </c>
      <c r="E1753" s="12" t="s">
        <v>66</v>
      </c>
      <c r="F1753" s="10">
        <v>3800</v>
      </c>
      <c r="G1753" s="10">
        <v>0</v>
      </c>
      <c r="H1753" s="10">
        <f t="shared" si="27"/>
        <v>3800</v>
      </c>
      <c r="I1753" s="10">
        <v>95</v>
      </c>
      <c r="J1753" s="10">
        <v>95</v>
      </c>
      <c r="K1753" s="10">
        <v>95</v>
      </c>
      <c r="L1753" s="4"/>
      <c r="M1753" s="4">
        <v>1748</v>
      </c>
    </row>
    <row r="1754" spans="1:13" x14ac:dyDescent="0.25">
      <c r="A1754" s="4" t="s">
        <v>1537</v>
      </c>
      <c r="B1754" s="4" t="s">
        <v>1545</v>
      </c>
      <c r="C1754" s="4" t="s">
        <v>65</v>
      </c>
      <c r="D1754" s="10">
        <v>20</v>
      </c>
      <c r="E1754" s="12" t="s">
        <v>66</v>
      </c>
      <c r="F1754" s="10">
        <v>1900</v>
      </c>
      <c r="G1754" s="10">
        <v>0</v>
      </c>
      <c r="H1754" s="10">
        <f t="shared" si="27"/>
        <v>1900</v>
      </c>
      <c r="I1754" s="10">
        <v>95</v>
      </c>
      <c r="J1754" s="10">
        <v>95</v>
      </c>
      <c r="K1754" s="10">
        <v>95</v>
      </c>
      <c r="L1754" s="4"/>
      <c r="M1754" s="4">
        <v>1749</v>
      </c>
    </row>
    <row r="1755" spans="1:13" x14ac:dyDescent="0.25">
      <c r="A1755" s="4" t="s">
        <v>1537</v>
      </c>
      <c r="B1755" s="4" t="s">
        <v>1546</v>
      </c>
      <c r="C1755" s="9" t="s">
        <v>50</v>
      </c>
      <c r="D1755" s="10">
        <v>120</v>
      </c>
      <c r="E1755" s="11" t="s">
        <v>51</v>
      </c>
      <c r="F1755" s="10">
        <v>10550</v>
      </c>
      <c r="G1755" s="10">
        <v>0</v>
      </c>
      <c r="H1755" s="10">
        <f t="shared" si="27"/>
        <v>10550</v>
      </c>
      <c r="I1755" s="10"/>
      <c r="J1755" s="10"/>
      <c r="K1755" s="10"/>
      <c r="L1755" s="4" t="s">
        <v>52</v>
      </c>
      <c r="M1755" s="4">
        <v>1750</v>
      </c>
    </row>
    <row r="1756" spans="1:13" x14ac:dyDescent="0.25">
      <c r="A1756" s="4" t="s">
        <v>1547</v>
      </c>
      <c r="B1756" s="4" t="s">
        <v>1548</v>
      </c>
      <c r="C1756" s="4" t="s">
        <v>68</v>
      </c>
      <c r="D1756" s="10">
        <v>22</v>
      </c>
      <c r="E1756" s="11" t="s">
        <v>51</v>
      </c>
      <c r="F1756" s="10">
        <v>2258.88</v>
      </c>
      <c r="G1756" s="10">
        <v>0</v>
      </c>
      <c r="H1756" s="10">
        <f t="shared" si="27"/>
        <v>2258.88</v>
      </c>
      <c r="I1756" s="10"/>
      <c r="J1756" s="10"/>
      <c r="K1756" s="10"/>
      <c r="L1756" s="4" t="s">
        <v>69</v>
      </c>
      <c r="M1756" s="4">
        <v>1751</v>
      </c>
    </row>
    <row r="1757" spans="1:13" x14ac:dyDescent="0.25">
      <c r="A1757" s="4" t="s">
        <v>1549</v>
      </c>
      <c r="B1757" s="4" t="s">
        <v>1550</v>
      </c>
      <c r="C1757" s="4" t="s">
        <v>68</v>
      </c>
      <c r="D1757" s="10">
        <v>6</v>
      </c>
      <c r="E1757" s="11" t="s">
        <v>51</v>
      </c>
      <c r="F1757" s="10">
        <v>450</v>
      </c>
      <c r="G1757" s="10">
        <v>0</v>
      </c>
      <c r="H1757" s="10">
        <f t="shared" si="27"/>
        <v>450</v>
      </c>
      <c r="I1757" s="10"/>
      <c r="J1757" s="10"/>
      <c r="K1757" s="10"/>
      <c r="L1757" s="4" t="s">
        <v>69</v>
      </c>
      <c r="M1757" s="4">
        <v>1752</v>
      </c>
    </row>
    <row r="1758" spans="1:13" x14ac:dyDescent="0.25">
      <c r="A1758" s="4" t="s">
        <v>1549</v>
      </c>
      <c r="B1758" s="4" t="s">
        <v>525</v>
      </c>
      <c r="C1758" s="4" t="s">
        <v>65</v>
      </c>
      <c r="D1758" s="10">
        <v>136</v>
      </c>
      <c r="E1758" s="12" t="s">
        <v>66</v>
      </c>
      <c r="F1758" s="10">
        <v>1450</v>
      </c>
      <c r="G1758" s="10">
        <v>0</v>
      </c>
      <c r="H1758" s="10">
        <f t="shared" si="27"/>
        <v>1450</v>
      </c>
      <c r="I1758" s="10">
        <v>90.625</v>
      </c>
      <c r="J1758" s="10">
        <v>90.625</v>
      </c>
      <c r="K1758" s="10">
        <v>90.625</v>
      </c>
      <c r="L1758" s="4"/>
      <c r="M1758" s="4">
        <v>1753</v>
      </c>
    </row>
    <row r="1759" spans="1:13" x14ac:dyDescent="0.25">
      <c r="A1759" s="4" t="s">
        <v>1551</v>
      </c>
      <c r="B1759" s="4" t="s">
        <v>1552</v>
      </c>
      <c r="C1759" s="9" t="s">
        <v>50</v>
      </c>
      <c r="D1759" s="10">
        <v>100</v>
      </c>
      <c r="E1759" s="11" t="s">
        <v>51</v>
      </c>
      <c r="F1759" s="10">
        <v>9500</v>
      </c>
      <c r="G1759" s="10">
        <v>0</v>
      </c>
      <c r="H1759" s="10">
        <f t="shared" si="27"/>
        <v>9500</v>
      </c>
      <c r="I1759" s="10"/>
      <c r="J1759" s="10"/>
      <c r="K1759" s="10"/>
      <c r="L1759" s="4" t="s">
        <v>52</v>
      </c>
      <c r="M1759" s="4">
        <v>1754</v>
      </c>
    </row>
    <row r="1760" spans="1:13" x14ac:dyDescent="0.25">
      <c r="A1760" s="4" t="s">
        <v>1551</v>
      </c>
      <c r="B1760" s="4" t="s">
        <v>1553</v>
      </c>
      <c r="C1760" s="9" t="s">
        <v>50</v>
      </c>
      <c r="D1760" s="10">
        <v>163</v>
      </c>
      <c r="E1760" s="11" t="s">
        <v>51</v>
      </c>
      <c r="F1760" s="10">
        <v>1900</v>
      </c>
      <c r="G1760" s="10">
        <v>0</v>
      </c>
      <c r="H1760" s="10">
        <f t="shared" si="27"/>
        <v>1900</v>
      </c>
      <c r="I1760" s="10"/>
      <c r="J1760" s="10"/>
      <c r="K1760" s="10"/>
      <c r="L1760" s="4" t="s">
        <v>52</v>
      </c>
      <c r="M1760" s="4">
        <v>1755</v>
      </c>
    </row>
    <row r="1761" spans="1:13" x14ac:dyDescent="0.25">
      <c r="A1761" s="4" t="s">
        <v>1554</v>
      </c>
      <c r="B1761" s="4" t="s">
        <v>1555</v>
      </c>
      <c r="C1761" s="9" t="s">
        <v>50</v>
      </c>
      <c r="D1761" s="10">
        <v>72</v>
      </c>
      <c r="E1761" s="11" t="s">
        <v>51</v>
      </c>
      <c r="F1761" s="10">
        <v>6840</v>
      </c>
      <c r="G1761" s="10">
        <v>0</v>
      </c>
      <c r="H1761" s="10">
        <f t="shared" si="27"/>
        <v>6840</v>
      </c>
      <c r="I1761" s="10"/>
      <c r="J1761" s="10"/>
      <c r="K1761" s="10"/>
      <c r="L1761" s="4" t="s">
        <v>52</v>
      </c>
      <c r="M1761" s="4">
        <v>1756</v>
      </c>
    </row>
    <row r="1762" spans="1:13" x14ac:dyDescent="0.25">
      <c r="A1762" s="4" t="s">
        <v>1554</v>
      </c>
      <c r="B1762" s="4" t="s">
        <v>1402</v>
      </c>
      <c r="C1762" s="9" t="s">
        <v>50</v>
      </c>
      <c r="D1762" s="10">
        <v>71</v>
      </c>
      <c r="E1762" s="11" t="s">
        <v>51</v>
      </c>
      <c r="F1762" s="10">
        <v>6350</v>
      </c>
      <c r="G1762" s="10">
        <v>0</v>
      </c>
      <c r="H1762" s="10">
        <f t="shared" si="27"/>
        <v>6350</v>
      </c>
      <c r="I1762" s="10"/>
      <c r="J1762" s="10"/>
      <c r="K1762" s="10"/>
      <c r="L1762" s="4" t="s">
        <v>52</v>
      </c>
      <c r="M1762" s="4">
        <v>1757</v>
      </c>
    </row>
    <row r="1763" spans="1:13" x14ac:dyDescent="0.25">
      <c r="A1763" s="4" t="s">
        <v>1554</v>
      </c>
      <c r="B1763" s="4" t="s">
        <v>1556</v>
      </c>
      <c r="C1763" s="9" t="s">
        <v>50</v>
      </c>
      <c r="D1763" s="10"/>
      <c r="E1763" s="11" t="s">
        <v>51</v>
      </c>
      <c r="F1763" s="10"/>
      <c r="G1763" s="10">
        <v>0</v>
      </c>
      <c r="H1763" s="10">
        <f t="shared" si="27"/>
        <v>0</v>
      </c>
      <c r="I1763" s="10"/>
      <c r="J1763" s="10"/>
      <c r="K1763" s="10"/>
      <c r="L1763" s="4" t="s">
        <v>52</v>
      </c>
      <c r="M1763" s="4">
        <v>1758</v>
      </c>
    </row>
    <row r="1764" spans="1:13" x14ac:dyDescent="0.25">
      <c r="A1764" s="4" t="s">
        <v>1554</v>
      </c>
      <c r="B1764" s="4" t="s">
        <v>1557</v>
      </c>
      <c r="C1764" s="9" t="s">
        <v>50</v>
      </c>
      <c r="D1764" s="10">
        <v>60</v>
      </c>
      <c r="E1764" s="11" t="s">
        <v>51</v>
      </c>
      <c r="F1764" s="10"/>
      <c r="G1764" s="10">
        <v>0</v>
      </c>
      <c r="H1764" s="10">
        <f t="shared" si="27"/>
        <v>0</v>
      </c>
      <c r="I1764" s="10"/>
      <c r="J1764" s="10"/>
      <c r="K1764" s="10"/>
      <c r="L1764" s="4" t="s">
        <v>52</v>
      </c>
      <c r="M1764" s="4">
        <v>1759</v>
      </c>
    </row>
    <row r="1765" spans="1:13" x14ac:dyDescent="0.25">
      <c r="A1765" s="4" t="s">
        <v>1558</v>
      </c>
      <c r="B1765" s="4" t="s">
        <v>1559</v>
      </c>
      <c r="C1765" s="4" t="s">
        <v>68</v>
      </c>
      <c r="D1765" s="10">
        <v>20</v>
      </c>
      <c r="E1765" s="11" t="s">
        <v>51</v>
      </c>
      <c r="F1765" s="10"/>
      <c r="G1765" s="10">
        <v>0</v>
      </c>
      <c r="H1765" s="10">
        <f t="shared" si="27"/>
        <v>0</v>
      </c>
      <c r="I1765" s="10"/>
      <c r="J1765" s="10"/>
      <c r="K1765" s="10"/>
      <c r="L1765" s="4" t="s">
        <v>69</v>
      </c>
      <c r="M1765" s="4">
        <v>1760</v>
      </c>
    </row>
    <row r="1766" spans="1:13" x14ac:dyDescent="0.25">
      <c r="A1766" s="4" t="s">
        <v>1558</v>
      </c>
      <c r="B1766" s="4" t="s">
        <v>1560</v>
      </c>
      <c r="C1766" s="4" t="s">
        <v>68</v>
      </c>
      <c r="D1766" s="10">
        <v>64</v>
      </c>
      <c r="E1766" s="11" t="s">
        <v>51</v>
      </c>
      <c r="F1766" s="10"/>
      <c r="G1766" s="10">
        <v>0</v>
      </c>
      <c r="H1766" s="10">
        <f t="shared" si="27"/>
        <v>0</v>
      </c>
      <c r="I1766" s="10"/>
      <c r="J1766" s="10"/>
      <c r="K1766" s="10"/>
      <c r="L1766" s="4" t="s">
        <v>69</v>
      </c>
      <c r="M1766" s="4">
        <v>1761</v>
      </c>
    </row>
    <row r="1767" spans="1:13" x14ac:dyDescent="0.25">
      <c r="A1767" s="4" t="s">
        <v>1561</v>
      </c>
      <c r="B1767" s="4" t="s">
        <v>958</v>
      </c>
      <c r="C1767" s="9" t="s">
        <v>50</v>
      </c>
      <c r="D1767" s="10">
        <v>63</v>
      </c>
      <c r="E1767" s="11" t="s">
        <v>51</v>
      </c>
      <c r="F1767" s="10">
        <v>2300</v>
      </c>
      <c r="G1767" s="10">
        <v>0</v>
      </c>
      <c r="H1767" s="10">
        <f t="shared" si="27"/>
        <v>2300</v>
      </c>
      <c r="I1767" s="10"/>
      <c r="J1767" s="10"/>
      <c r="K1767" s="10"/>
      <c r="L1767" s="4" t="s">
        <v>52</v>
      </c>
      <c r="M1767" s="4">
        <v>1762</v>
      </c>
    </row>
    <row r="1768" spans="1:13" x14ac:dyDescent="0.25">
      <c r="A1768" s="4" t="s">
        <v>1562</v>
      </c>
      <c r="B1768" s="4" t="s">
        <v>248</v>
      </c>
      <c r="C1768" s="4" t="s">
        <v>68</v>
      </c>
      <c r="D1768" s="10">
        <v>20</v>
      </c>
      <c r="E1768" s="11" t="s">
        <v>51</v>
      </c>
      <c r="F1768" s="10">
        <v>2000</v>
      </c>
      <c r="G1768" s="10">
        <v>0</v>
      </c>
      <c r="H1768" s="10">
        <f t="shared" si="27"/>
        <v>2000</v>
      </c>
      <c r="I1768" s="10"/>
      <c r="J1768" s="10"/>
      <c r="K1768" s="10"/>
      <c r="L1768" s="4" t="s">
        <v>69</v>
      </c>
      <c r="M1768" s="4">
        <v>1763</v>
      </c>
    </row>
    <row r="1769" spans="1:13" x14ac:dyDescent="0.25">
      <c r="A1769" s="4" t="s">
        <v>1562</v>
      </c>
      <c r="B1769" s="4" t="s">
        <v>1563</v>
      </c>
      <c r="C1769" s="4" t="s">
        <v>65</v>
      </c>
      <c r="D1769" s="10">
        <v>49</v>
      </c>
      <c r="E1769" s="12" t="s">
        <v>66</v>
      </c>
      <c r="F1769" s="10">
        <v>2050</v>
      </c>
      <c r="G1769" s="10">
        <v>0</v>
      </c>
      <c r="H1769" s="10">
        <f t="shared" si="27"/>
        <v>2050</v>
      </c>
      <c r="I1769" s="10">
        <v>107.8947368421053</v>
      </c>
      <c r="J1769" s="10">
        <v>107.8947368421053</v>
      </c>
      <c r="K1769" s="10">
        <v>107.8947368421053</v>
      </c>
      <c r="L1769" s="4"/>
      <c r="M1769" s="4">
        <v>1764</v>
      </c>
    </row>
    <row r="1770" spans="1:13" x14ac:dyDescent="0.25">
      <c r="A1770" s="4" t="s">
        <v>1564</v>
      </c>
      <c r="B1770" s="4" t="s">
        <v>1565</v>
      </c>
      <c r="C1770" s="4" t="s">
        <v>68</v>
      </c>
      <c r="D1770" s="10">
        <v>30</v>
      </c>
      <c r="E1770" s="11" t="s">
        <v>51</v>
      </c>
      <c r="F1770" s="10">
        <v>3000</v>
      </c>
      <c r="G1770" s="10">
        <v>0</v>
      </c>
      <c r="H1770" s="10">
        <f t="shared" si="27"/>
        <v>3000</v>
      </c>
      <c r="I1770" s="10"/>
      <c r="J1770" s="10"/>
      <c r="K1770" s="10"/>
      <c r="L1770" s="4" t="s">
        <v>69</v>
      </c>
      <c r="M1770" s="4">
        <v>1765</v>
      </c>
    </row>
    <row r="1771" spans="1:13" x14ac:dyDescent="0.25">
      <c r="A1771" s="4" t="s">
        <v>1566</v>
      </c>
      <c r="B1771" s="4" t="s">
        <v>1567</v>
      </c>
      <c r="C1771" s="4" t="s">
        <v>68</v>
      </c>
      <c r="D1771" s="10">
        <v>30</v>
      </c>
      <c r="E1771" s="11" t="s">
        <v>51</v>
      </c>
      <c r="F1771" s="10"/>
      <c r="G1771" s="10">
        <v>0</v>
      </c>
      <c r="H1771" s="10">
        <f t="shared" si="27"/>
        <v>0</v>
      </c>
      <c r="I1771" s="10"/>
      <c r="J1771" s="10"/>
      <c r="K1771" s="10"/>
      <c r="L1771" s="4" t="s">
        <v>69</v>
      </c>
      <c r="M1771" s="4">
        <v>1766</v>
      </c>
    </row>
    <row r="1772" spans="1:13" x14ac:dyDescent="0.25">
      <c r="A1772" s="4" t="s">
        <v>1566</v>
      </c>
      <c r="B1772" s="4" t="s">
        <v>1568</v>
      </c>
      <c r="C1772" s="4" t="s">
        <v>65</v>
      </c>
      <c r="D1772" s="10">
        <v>46</v>
      </c>
      <c r="E1772" s="11" t="s">
        <v>51</v>
      </c>
      <c r="F1772" s="10"/>
      <c r="G1772" s="10">
        <v>0</v>
      </c>
      <c r="H1772" s="10">
        <f t="shared" si="27"/>
        <v>0</v>
      </c>
      <c r="I1772" s="10"/>
      <c r="J1772" s="10"/>
      <c r="K1772" s="10"/>
      <c r="L1772" s="4" t="s">
        <v>69</v>
      </c>
      <c r="M1772" s="4">
        <v>1767</v>
      </c>
    </row>
    <row r="1773" spans="1:13" x14ac:dyDescent="0.25">
      <c r="A1773" s="4" t="s">
        <v>1569</v>
      </c>
      <c r="B1773" s="4" t="s">
        <v>136</v>
      </c>
      <c r="C1773" s="9" t="s">
        <v>50</v>
      </c>
      <c r="D1773" s="10">
        <v>1</v>
      </c>
      <c r="E1773" s="11" t="s">
        <v>51</v>
      </c>
      <c r="F1773" s="10">
        <v>94.41</v>
      </c>
      <c r="G1773" s="10">
        <v>0</v>
      </c>
      <c r="H1773" s="10">
        <f t="shared" si="27"/>
        <v>94.41</v>
      </c>
      <c r="I1773" s="10"/>
      <c r="J1773" s="10"/>
      <c r="K1773" s="10"/>
      <c r="L1773" s="4" t="s">
        <v>52</v>
      </c>
      <c r="M1773" s="4">
        <v>1768</v>
      </c>
    </row>
    <row r="1774" spans="1:13" x14ac:dyDescent="0.25">
      <c r="A1774" s="4" t="s">
        <v>1569</v>
      </c>
      <c r="B1774" s="4" t="s">
        <v>88</v>
      </c>
      <c r="C1774" s="9" t="s">
        <v>50</v>
      </c>
      <c r="D1774" s="10">
        <v>35</v>
      </c>
      <c r="E1774" s="11" t="s">
        <v>51</v>
      </c>
      <c r="F1774" s="10">
        <v>3301.02</v>
      </c>
      <c r="G1774" s="10">
        <v>0</v>
      </c>
      <c r="H1774" s="10">
        <f t="shared" si="27"/>
        <v>3301.02</v>
      </c>
      <c r="I1774" s="10"/>
      <c r="J1774" s="10"/>
      <c r="K1774" s="10"/>
      <c r="L1774" s="4" t="s">
        <v>52</v>
      </c>
      <c r="M1774" s="4">
        <v>1769</v>
      </c>
    </row>
    <row r="1775" spans="1:13" x14ac:dyDescent="0.25">
      <c r="A1775" s="4" t="s">
        <v>1569</v>
      </c>
      <c r="B1775" s="4" t="s">
        <v>137</v>
      </c>
      <c r="C1775" s="9" t="s">
        <v>50</v>
      </c>
      <c r="D1775" s="10">
        <v>10</v>
      </c>
      <c r="E1775" s="11" t="s">
        <v>51</v>
      </c>
      <c r="F1775" s="10">
        <v>554.58000000000004</v>
      </c>
      <c r="G1775" s="10">
        <v>0</v>
      </c>
      <c r="H1775" s="10">
        <f t="shared" si="27"/>
        <v>554.58000000000004</v>
      </c>
      <c r="I1775" s="10"/>
      <c r="J1775" s="10"/>
      <c r="K1775" s="10"/>
      <c r="L1775" s="4" t="s">
        <v>52</v>
      </c>
      <c r="M1775" s="4">
        <v>1770</v>
      </c>
    </row>
    <row r="1776" spans="1:13" x14ac:dyDescent="0.25">
      <c r="A1776" s="4" t="s">
        <v>1570</v>
      </c>
      <c r="B1776" s="4" t="s">
        <v>1571</v>
      </c>
      <c r="C1776" s="4" t="s">
        <v>65</v>
      </c>
      <c r="D1776" s="10">
        <v>230</v>
      </c>
      <c r="E1776" s="11" t="s">
        <v>51</v>
      </c>
      <c r="F1776" s="10"/>
      <c r="G1776" s="10">
        <v>0</v>
      </c>
      <c r="H1776" s="10">
        <f t="shared" si="27"/>
        <v>0</v>
      </c>
      <c r="I1776" s="10"/>
      <c r="J1776" s="10"/>
      <c r="K1776" s="10"/>
      <c r="L1776" s="4" t="s">
        <v>69</v>
      </c>
      <c r="M1776" s="4">
        <v>1771</v>
      </c>
    </row>
    <row r="1777" spans="1:13" x14ac:dyDescent="0.25">
      <c r="A1777" s="4" t="s">
        <v>1572</v>
      </c>
      <c r="B1777" s="4" t="s">
        <v>136</v>
      </c>
      <c r="C1777" s="9" t="s">
        <v>50</v>
      </c>
      <c r="D1777" s="10">
        <v>102</v>
      </c>
      <c r="E1777" s="11" t="s">
        <v>51</v>
      </c>
      <c r="F1777" s="10">
        <v>8670.43</v>
      </c>
      <c r="G1777" s="10">
        <v>0</v>
      </c>
      <c r="H1777" s="10">
        <f t="shared" si="27"/>
        <v>8670.43</v>
      </c>
      <c r="I1777" s="10"/>
      <c r="J1777" s="10"/>
      <c r="K1777" s="10"/>
      <c r="L1777" s="4" t="s">
        <v>52</v>
      </c>
      <c r="M1777" s="4">
        <v>1772</v>
      </c>
    </row>
    <row r="1778" spans="1:13" x14ac:dyDescent="0.25">
      <c r="A1778" s="4" t="s">
        <v>1572</v>
      </c>
      <c r="B1778" s="4" t="s">
        <v>82</v>
      </c>
      <c r="C1778" s="9" t="s">
        <v>50</v>
      </c>
      <c r="D1778" s="10">
        <v>70</v>
      </c>
      <c r="E1778" s="11" t="s">
        <v>51</v>
      </c>
      <c r="F1778" s="10">
        <v>5949.07</v>
      </c>
      <c r="G1778" s="10">
        <v>0</v>
      </c>
      <c r="H1778" s="10">
        <f t="shared" si="27"/>
        <v>5949.07</v>
      </c>
      <c r="I1778" s="10"/>
      <c r="J1778" s="10"/>
      <c r="K1778" s="10"/>
      <c r="L1778" s="4" t="s">
        <v>52</v>
      </c>
      <c r="M1778" s="4">
        <v>1773</v>
      </c>
    </row>
    <row r="1779" spans="1:13" x14ac:dyDescent="0.25">
      <c r="A1779" s="4" t="s">
        <v>1572</v>
      </c>
      <c r="B1779" s="4" t="s">
        <v>88</v>
      </c>
      <c r="C1779" s="9" t="s">
        <v>50</v>
      </c>
      <c r="D1779" s="10">
        <v>44</v>
      </c>
      <c r="E1779" s="11" t="s">
        <v>51</v>
      </c>
      <c r="F1779" s="10">
        <v>3739.92</v>
      </c>
      <c r="G1779" s="10">
        <v>0</v>
      </c>
      <c r="H1779" s="10">
        <f t="shared" si="27"/>
        <v>3739.92</v>
      </c>
      <c r="I1779" s="10"/>
      <c r="J1779" s="10"/>
      <c r="K1779" s="10"/>
      <c r="L1779" s="4" t="s">
        <v>52</v>
      </c>
      <c r="M1779" s="4">
        <v>1774</v>
      </c>
    </row>
    <row r="1780" spans="1:13" x14ac:dyDescent="0.25">
      <c r="A1780" s="4" t="s">
        <v>1572</v>
      </c>
      <c r="B1780" s="4" t="s">
        <v>137</v>
      </c>
      <c r="C1780" s="9" t="s">
        <v>50</v>
      </c>
      <c r="D1780" s="10">
        <v>20</v>
      </c>
      <c r="E1780" s="11" t="s">
        <v>51</v>
      </c>
      <c r="F1780" s="10">
        <v>1190.5999999999999</v>
      </c>
      <c r="G1780" s="10">
        <v>0</v>
      </c>
      <c r="H1780" s="10">
        <f t="shared" si="27"/>
        <v>1190.5999999999999</v>
      </c>
      <c r="I1780" s="10"/>
      <c r="J1780" s="10"/>
      <c r="K1780" s="10"/>
      <c r="L1780" s="4" t="s">
        <v>52</v>
      </c>
      <c r="M1780" s="4">
        <v>1775</v>
      </c>
    </row>
    <row r="1781" spans="1:13" x14ac:dyDescent="0.25">
      <c r="A1781" s="4" t="s">
        <v>1573</v>
      </c>
      <c r="B1781" s="4" t="s">
        <v>1574</v>
      </c>
      <c r="C1781" s="4" t="s">
        <v>65</v>
      </c>
      <c r="D1781" s="10">
        <v>615</v>
      </c>
      <c r="E1781" s="12" t="s">
        <v>66</v>
      </c>
      <c r="F1781" s="10">
        <v>500</v>
      </c>
      <c r="G1781" s="10">
        <v>0</v>
      </c>
      <c r="H1781" s="10">
        <f t="shared" si="27"/>
        <v>500</v>
      </c>
      <c r="I1781" s="10">
        <v>83.333333333333329</v>
      </c>
      <c r="J1781" s="10">
        <v>83.333333333333329</v>
      </c>
      <c r="K1781" s="10">
        <v>83.333333333333329</v>
      </c>
      <c r="L1781" s="4"/>
      <c r="M1781" s="4">
        <v>1776</v>
      </c>
    </row>
    <row r="1782" spans="1:13" x14ac:dyDescent="0.25">
      <c r="A1782" s="4" t="s">
        <v>1575</v>
      </c>
      <c r="B1782" s="4" t="s">
        <v>1576</v>
      </c>
      <c r="C1782" s="4" t="s">
        <v>68</v>
      </c>
      <c r="D1782" s="10">
        <v>40</v>
      </c>
      <c r="E1782" s="11" t="s">
        <v>51</v>
      </c>
      <c r="F1782" s="10">
        <v>4000</v>
      </c>
      <c r="G1782" s="10">
        <v>0</v>
      </c>
      <c r="H1782" s="10">
        <f t="shared" si="27"/>
        <v>4000</v>
      </c>
      <c r="I1782" s="10"/>
      <c r="J1782" s="10"/>
      <c r="K1782" s="10"/>
      <c r="L1782" s="4" t="s">
        <v>69</v>
      </c>
      <c r="M1782" s="4">
        <v>1777</v>
      </c>
    </row>
    <row r="1783" spans="1:13" x14ac:dyDescent="0.25">
      <c r="A1783" s="4" t="s">
        <v>1575</v>
      </c>
      <c r="B1783" s="4" t="s">
        <v>1577</v>
      </c>
      <c r="C1783" s="4" t="s">
        <v>68</v>
      </c>
      <c r="D1783" s="10">
        <v>175</v>
      </c>
      <c r="E1783" s="11" t="s">
        <v>51</v>
      </c>
      <c r="F1783" s="10">
        <v>12000</v>
      </c>
      <c r="G1783" s="10">
        <v>0</v>
      </c>
      <c r="H1783" s="10">
        <f t="shared" si="27"/>
        <v>12000</v>
      </c>
      <c r="I1783" s="10"/>
      <c r="J1783" s="10"/>
      <c r="K1783" s="10"/>
      <c r="L1783" s="4" t="s">
        <v>69</v>
      </c>
      <c r="M1783" s="4">
        <v>1778</v>
      </c>
    </row>
    <row r="1784" spans="1:13" x14ac:dyDescent="0.25">
      <c r="A1784" s="4" t="s">
        <v>1575</v>
      </c>
      <c r="B1784" s="4" t="s">
        <v>1578</v>
      </c>
      <c r="C1784" s="9" t="s">
        <v>50</v>
      </c>
      <c r="D1784" s="10">
        <v>55</v>
      </c>
      <c r="E1784" s="11" t="s">
        <v>51</v>
      </c>
      <c r="F1784" s="10">
        <v>3750</v>
      </c>
      <c r="G1784" s="10">
        <v>0</v>
      </c>
      <c r="H1784" s="10">
        <f t="shared" si="27"/>
        <v>3750</v>
      </c>
      <c r="I1784" s="10"/>
      <c r="J1784" s="10"/>
      <c r="K1784" s="10"/>
      <c r="L1784" s="4" t="s">
        <v>52</v>
      </c>
      <c r="M1784" s="4">
        <v>1779</v>
      </c>
    </row>
    <row r="1785" spans="1:13" x14ac:dyDescent="0.25">
      <c r="A1785" s="4" t="s">
        <v>1575</v>
      </c>
      <c r="B1785" s="4" t="s">
        <v>1579</v>
      </c>
      <c r="C1785" s="4" t="s">
        <v>68</v>
      </c>
      <c r="D1785" s="10">
        <v>880</v>
      </c>
      <c r="E1785" s="11" t="s">
        <v>51</v>
      </c>
      <c r="F1785" s="10">
        <v>40000</v>
      </c>
      <c r="G1785" s="10">
        <v>0</v>
      </c>
      <c r="H1785" s="10">
        <f t="shared" si="27"/>
        <v>40000</v>
      </c>
      <c r="I1785" s="10"/>
      <c r="J1785" s="10"/>
      <c r="K1785" s="10"/>
      <c r="L1785" s="4" t="s">
        <v>69</v>
      </c>
      <c r="M1785" s="4">
        <v>1780</v>
      </c>
    </row>
    <row r="1786" spans="1:13" x14ac:dyDescent="0.25">
      <c r="A1786" s="4" t="s">
        <v>1580</v>
      </c>
      <c r="B1786" s="4" t="s">
        <v>1581</v>
      </c>
      <c r="C1786" s="4" t="s">
        <v>65</v>
      </c>
      <c r="D1786" s="10">
        <v>440</v>
      </c>
      <c r="E1786" s="12" t="s">
        <v>66</v>
      </c>
      <c r="F1786" s="10">
        <v>52500</v>
      </c>
      <c r="G1786" s="10">
        <v>0</v>
      </c>
      <c r="H1786" s="10">
        <f t="shared" si="27"/>
        <v>52500</v>
      </c>
      <c r="I1786" s="10">
        <v>119.3181818181818</v>
      </c>
      <c r="J1786" s="10">
        <v>119.3181818181818</v>
      </c>
      <c r="K1786" s="10">
        <v>119.3181818181818</v>
      </c>
      <c r="L1786" s="4"/>
      <c r="M1786" s="4">
        <v>1781</v>
      </c>
    </row>
    <row r="1787" spans="1:13" x14ac:dyDescent="0.25">
      <c r="A1787" s="4" t="s">
        <v>1580</v>
      </c>
      <c r="B1787" s="4" t="s">
        <v>1582</v>
      </c>
      <c r="C1787" s="4" t="s">
        <v>68</v>
      </c>
      <c r="D1787" s="10">
        <v>106</v>
      </c>
      <c r="E1787" s="11" t="s">
        <v>51</v>
      </c>
      <c r="F1787" s="10">
        <v>6800</v>
      </c>
      <c r="G1787" s="10">
        <v>0</v>
      </c>
      <c r="H1787" s="10">
        <f t="shared" si="27"/>
        <v>6800</v>
      </c>
      <c r="I1787" s="10"/>
      <c r="J1787" s="10"/>
      <c r="K1787" s="10"/>
      <c r="L1787" s="4" t="s">
        <v>69</v>
      </c>
      <c r="M1787" s="4">
        <v>1782</v>
      </c>
    </row>
    <row r="1788" spans="1:13" x14ac:dyDescent="0.25">
      <c r="A1788" s="4" t="s">
        <v>1583</v>
      </c>
      <c r="B1788" s="4" t="s">
        <v>88</v>
      </c>
      <c r="C1788" s="9" t="s">
        <v>50</v>
      </c>
      <c r="D1788" s="10">
        <v>20</v>
      </c>
      <c r="E1788" s="11" t="s">
        <v>51</v>
      </c>
      <c r="F1788" s="10">
        <v>1855.55</v>
      </c>
      <c r="G1788" s="10">
        <v>0</v>
      </c>
      <c r="H1788" s="10">
        <f t="shared" si="27"/>
        <v>1855.55</v>
      </c>
      <c r="I1788" s="10"/>
      <c r="J1788" s="10"/>
      <c r="K1788" s="10"/>
      <c r="L1788" s="4" t="s">
        <v>52</v>
      </c>
      <c r="M1788" s="4">
        <v>1783</v>
      </c>
    </row>
    <row r="1789" spans="1:13" x14ac:dyDescent="0.25">
      <c r="A1789" s="4" t="s">
        <v>1583</v>
      </c>
      <c r="B1789" s="4" t="s">
        <v>137</v>
      </c>
      <c r="C1789" s="9" t="s">
        <v>50</v>
      </c>
      <c r="D1789" s="10">
        <v>6</v>
      </c>
      <c r="E1789" s="11" t="s">
        <v>51</v>
      </c>
      <c r="F1789" s="10">
        <v>333.35</v>
      </c>
      <c r="G1789" s="10">
        <v>0</v>
      </c>
      <c r="H1789" s="10">
        <f t="shared" si="27"/>
        <v>333.35</v>
      </c>
      <c r="I1789" s="10"/>
      <c r="J1789" s="10"/>
      <c r="K1789" s="10"/>
      <c r="L1789" s="4" t="s">
        <v>52</v>
      </c>
      <c r="M1789" s="4">
        <v>1784</v>
      </c>
    </row>
    <row r="1790" spans="1:13" x14ac:dyDescent="0.25">
      <c r="A1790" s="4" t="s">
        <v>1583</v>
      </c>
      <c r="B1790" s="4" t="s">
        <v>106</v>
      </c>
      <c r="C1790" s="9" t="s">
        <v>50</v>
      </c>
      <c r="D1790" s="10">
        <v>16</v>
      </c>
      <c r="E1790" s="11" t="s">
        <v>51</v>
      </c>
      <c r="F1790" s="10">
        <v>1484.44</v>
      </c>
      <c r="G1790" s="10">
        <v>0</v>
      </c>
      <c r="H1790" s="10">
        <f t="shared" si="27"/>
        <v>1484.44</v>
      </c>
      <c r="I1790" s="10"/>
      <c r="J1790" s="10"/>
      <c r="K1790" s="10"/>
      <c r="L1790" s="4" t="s">
        <v>52</v>
      </c>
      <c r="M1790" s="4">
        <v>1785</v>
      </c>
    </row>
    <row r="1791" spans="1:13" x14ac:dyDescent="0.25">
      <c r="A1791" s="4" t="s">
        <v>1583</v>
      </c>
      <c r="B1791" s="4" t="s">
        <v>107</v>
      </c>
      <c r="C1791" s="9" t="s">
        <v>50</v>
      </c>
      <c r="D1791" s="10">
        <v>1014</v>
      </c>
      <c r="E1791" s="11" t="s">
        <v>51</v>
      </c>
      <c r="F1791" s="10">
        <v>2226.66</v>
      </c>
      <c r="G1791" s="10">
        <v>0</v>
      </c>
      <c r="H1791" s="10">
        <f t="shared" si="27"/>
        <v>2226.66</v>
      </c>
      <c r="I1791" s="10"/>
      <c r="J1791" s="10"/>
      <c r="K1791" s="10"/>
      <c r="L1791" s="4" t="s">
        <v>52</v>
      </c>
      <c r="M1791" s="4">
        <v>1786</v>
      </c>
    </row>
    <row r="1792" spans="1:13" x14ac:dyDescent="0.25">
      <c r="A1792" s="4" t="s">
        <v>1584</v>
      </c>
      <c r="B1792" s="4" t="s">
        <v>82</v>
      </c>
      <c r="C1792" s="9" t="s">
        <v>50</v>
      </c>
      <c r="D1792" s="10">
        <v>590</v>
      </c>
      <c r="E1792" s="11" t="s">
        <v>51</v>
      </c>
      <c r="F1792" s="10">
        <v>44300</v>
      </c>
      <c r="G1792" s="10">
        <v>0</v>
      </c>
      <c r="H1792" s="10">
        <f t="shared" si="27"/>
        <v>44300</v>
      </c>
      <c r="I1792" s="10"/>
      <c r="J1792" s="10"/>
      <c r="K1792" s="10"/>
      <c r="L1792" s="4" t="s">
        <v>52</v>
      </c>
      <c r="M1792" s="4">
        <v>1787</v>
      </c>
    </row>
    <row r="1793" spans="1:13" x14ac:dyDescent="0.25">
      <c r="A1793" s="4" t="s">
        <v>1584</v>
      </c>
      <c r="B1793" s="4" t="s">
        <v>128</v>
      </c>
      <c r="C1793" s="9" t="s">
        <v>50</v>
      </c>
      <c r="D1793" s="10">
        <v>490</v>
      </c>
      <c r="E1793" s="11" t="s">
        <v>51</v>
      </c>
      <c r="F1793" s="10">
        <v>20000</v>
      </c>
      <c r="G1793" s="10">
        <v>0</v>
      </c>
      <c r="H1793" s="10">
        <f t="shared" si="27"/>
        <v>20000</v>
      </c>
      <c r="I1793" s="10"/>
      <c r="J1793" s="10"/>
      <c r="K1793" s="10"/>
      <c r="L1793" s="4" t="s">
        <v>52</v>
      </c>
      <c r="M1793" s="4">
        <v>1788</v>
      </c>
    </row>
    <row r="1794" spans="1:13" x14ac:dyDescent="0.25">
      <c r="A1794" s="4" t="s">
        <v>1585</v>
      </c>
      <c r="B1794" s="4" t="s">
        <v>421</v>
      </c>
      <c r="C1794" s="9" t="s">
        <v>50</v>
      </c>
      <c r="D1794" s="10">
        <v>2163.75</v>
      </c>
      <c r="E1794" s="11" t="s">
        <v>51</v>
      </c>
      <c r="F1794" s="10">
        <v>8550</v>
      </c>
      <c r="G1794" s="10">
        <v>0</v>
      </c>
      <c r="H1794" s="10">
        <f t="shared" si="27"/>
        <v>8550</v>
      </c>
      <c r="I1794" s="10"/>
      <c r="J1794" s="10"/>
      <c r="K1794" s="10"/>
      <c r="L1794" s="4" t="s">
        <v>52</v>
      </c>
      <c r="M1794" s="4">
        <v>1789</v>
      </c>
    </row>
    <row r="1795" spans="1:13" x14ac:dyDescent="0.25">
      <c r="A1795" s="4" t="s">
        <v>1586</v>
      </c>
      <c r="B1795" s="4" t="s">
        <v>136</v>
      </c>
      <c r="C1795" s="9" t="s">
        <v>50</v>
      </c>
      <c r="D1795" s="10">
        <v>7</v>
      </c>
      <c r="E1795" s="11" t="s">
        <v>51</v>
      </c>
      <c r="F1795" s="10">
        <v>700</v>
      </c>
      <c r="G1795" s="10">
        <v>0</v>
      </c>
      <c r="H1795" s="10">
        <f t="shared" si="27"/>
        <v>700</v>
      </c>
      <c r="I1795" s="10"/>
      <c r="J1795" s="10"/>
      <c r="K1795" s="10"/>
      <c r="L1795" s="4" t="s">
        <v>52</v>
      </c>
      <c r="M1795" s="4">
        <v>1790</v>
      </c>
    </row>
    <row r="1796" spans="1:13" x14ac:dyDescent="0.25">
      <c r="A1796" s="4" t="s">
        <v>1586</v>
      </c>
      <c r="B1796" s="4" t="s">
        <v>82</v>
      </c>
      <c r="C1796" s="9" t="s">
        <v>50</v>
      </c>
      <c r="D1796" s="10">
        <v>309.5</v>
      </c>
      <c r="E1796" s="11" t="s">
        <v>51</v>
      </c>
      <c r="F1796" s="10">
        <v>37300</v>
      </c>
      <c r="G1796" s="10">
        <v>0</v>
      </c>
      <c r="H1796" s="10">
        <f t="shared" si="27"/>
        <v>37300</v>
      </c>
      <c r="I1796" s="10"/>
      <c r="J1796" s="10"/>
      <c r="K1796" s="10"/>
      <c r="L1796" s="4" t="s">
        <v>52</v>
      </c>
      <c r="M1796" s="4">
        <v>1791</v>
      </c>
    </row>
    <row r="1797" spans="1:13" x14ac:dyDescent="0.25">
      <c r="A1797" s="4" t="s">
        <v>1586</v>
      </c>
      <c r="B1797" s="4" t="s">
        <v>88</v>
      </c>
      <c r="C1797" s="9" t="s">
        <v>50</v>
      </c>
      <c r="D1797" s="10">
        <v>313.5</v>
      </c>
      <c r="E1797" s="11" t="s">
        <v>51</v>
      </c>
      <c r="F1797" s="10">
        <v>22030</v>
      </c>
      <c r="G1797" s="10">
        <v>0</v>
      </c>
      <c r="H1797" s="10">
        <f t="shared" si="27"/>
        <v>22030</v>
      </c>
      <c r="I1797" s="10"/>
      <c r="J1797" s="10"/>
      <c r="K1797" s="10"/>
      <c r="L1797" s="4" t="s">
        <v>52</v>
      </c>
      <c r="M1797" s="4">
        <v>1792</v>
      </c>
    </row>
    <row r="1798" spans="1:13" x14ac:dyDescent="0.25">
      <c r="A1798" s="4" t="s">
        <v>1586</v>
      </c>
      <c r="B1798" s="4" t="s">
        <v>137</v>
      </c>
      <c r="C1798" s="9" t="s">
        <v>50</v>
      </c>
      <c r="D1798" s="10">
        <v>176</v>
      </c>
      <c r="E1798" s="11" t="s">
        <v>51</v>
      </c>
      <c r="F1798" s="10">
        <v>13600</v>
      </c>
      <c r="G1798" s="10">
        <v>0</v>
      </c>
      <c r="H1798" s="10">
        <f t="shared" ref="H1798:H1861" si="28">F1798-G1798</f>
        <v>13600</v>
      </c>
      <c r="I1798" s="10"/>
      <c r="J1798" s="10"/>
      <c r="K1798" s="10"/>
      <c r="L1798" s="4" t="s">
        <v>52</v>
      </c>
      <c r="M1798" s="4">
        <v>1793</v>
      </c>
    </row>
    <row r="1799" spans="1:13" x14ac:dyDescent="0.25">
      <c r="A1799" s="4" t="s">
        <v>1586</v>
      </c>
      <c r="B1799" s="4" t="s">
        <v>537</v>
      </c>
      <c r="C1799" s="9" t="s">
        <v>50</v>
      </c>
      <c r="D1799" s="10">
        <v>20</v>
      </c>
      <c r="E1799" s="11" t="s">
        <v>51</v>
      </c>
      <c r="F1799" s="10">
        <v>1900</v>
      </c>
      <c r="G1799" s="10">
        <v>0</v>
      </c>
      <c r="H1799" s="10">
        <f t="shared" si="28"/>
        <v>1900</v>
      </c>
      <c r="I1799" s="10">
        <v>95</v>
      </c>
      <c r="J1799" s="10">
        <v>95</v>
      </c>
      <c r="K1799" s="10">
        <v>95</v>
      </c>
      <c r="L1799" s="4" t="s">
        <v>259</v>
      </c>
      <c r="M1799" s="4">
        <v>1794</v>
      </c>
    </row>
    <row r="1800" spans="1:13" x14ac:dyDescent="0.25">
      <c r="A1800" s="4" t="s">
        <v>1586</v>
      </c>
      <c r="B1800" s="4" t="s">
        <v>106</v>
      </c>
      <c r="C1800" s="9" t="s">
        <v>50</v>
      </c>
      <c r="D1800" s="10">
        <v>354</v>
      </c>
      <c r="E1800" s="11" t="s">
        <v>51</v>
      </c>
      <c r="F1800" s="10">
        <v>33995</v>
      </c>
      <c r="G1800" s="10">
        <v>0</v>
      </c>
      <c r="H1800" s="10">
        <f t="shared" si="28"/>
        <v>33995</v>
      </c>
      <c r="I1800" s="10"/>
      <c r="J1800" s="10"/>
      <c r="K1800" s="10"/>
      <c r="L1800" s="4" t="s">
        <v>52</v>
      </c>
      <c r="M1800" s="4">
        <v>1795</v>
      </c>
    </row>
    <row r="1801" spans="1:13" x14ac:dyDescent="0.25">
      <c r="A1801" s="4" t="s">
        <v>1586</v>
      </c>
      <c r="B1801" s="4" t="s">
        <v>107</v>
      </c>
      <c r="C1801" s="9" t="s">
        <v>50</v>
      </c>
      <c r="D1801" s="10">
        <v>705</v>
      </c>
      <c r="E1801" s="11" t="s">
        <v>51</v>
      </c>
      <c r="F1801" s="10">
        <v>61675</v>
      </c>
      <c r="G1801" s="10">
        <v>0</v>
      </c>
      <c r="H1801" s="10">
        <f t="shared" si="28"/>
        <v>61675</v>
      </c>
      <c r="I1801" s="10"/>
      <c r="J1801" s="10"/>
      <c r="K1801" s="10"/>
      <c r="L1801" s="4" t="s">
        <v>52</v>
      </c>
      <c r="M1801" s="4">
        <v>1796</v>
      </c>
    </row>
    <row r="1802" spans="1:13" x14ac:dyDescent="0.25">
      <c r="A1802" s="4" t="s">
        <v>1586</v>
      </c>
      <c r="B1802" s="4" t="s">
        <v>128</v>
      </c>
      <c r="C1802" s="9" t="s">
        <v>50</v>
      </c>
      <c r="D1802" s="10">
        <v>187</v>
      </c>
      <c r="E1802" s="11" t="s">
        <v>51</v>
      </c>
      <c r="F1802" s="10">
        <v>10560</v>
      </c>
      <c r="G1802" s="10">
        <v>0</v>
      </c>
      <c r="H1802" s="10">
        <f t="shared" si="28"/>
        <v>10560</v>
      </c>
      <c r="I1802" s="10"/>
      <c r="J1802" s="10"/>
      <c r="K1802" s="10"/>
      <c r="L1802" s="4" t="s">
        <v>52</v>
      </c>
      <c r="M1802" s="4">
        <v>1797</v>
      </c>
    </row>
    <row r="1803" spans="1:13" x14ac:dyDescent="0.25">
      <c r="A1803" s="4" t="s">
        <v>1586</v>
      </c>
      <c r="B1803" s="4" t="s">
        <v>1587</v>
      </c>
      <c r="C1803" s="9" t="s">
        <v>50</v>
      </c>
      <c r="D1803" s="10">
        <v>2013.75</v>
      </c>
      <c r="E1803" s="11" t="s">
        <v>51</v>
      </c>
      <c r="F1803" s="10">
        <v>1450</v>
      </c>
      <c r="G1803" s="10">
        <v>0</v>
      </c>
      <c r="H1803" s="10">
        <f t="shared" si="28"/>
        <v>1450</v>
      </c>
      <c r="I1803" s="10"/>
      <c r="J1803" s="10"/>
      <c r="K1803" s="10"/>
      <c r="L1803" s="4" t="s">
        <v>52</v>
      </c>
      <c r="M1803" s="4">
        <v>1798</v>
      </c>
    </row>
    <row r="1804" spans="1:13" x14ac:dyDescent="0.25">
      <c r="A1804" s="4" t="s">
        <v>1588</v>
      </c>
      <c r="B1804" s="4" t="s">
        <v>1589</v>
      </c>
      <c r="C1804" s="4" t="s">
        <v>65</v>
      </c>
      <c r="D1804" s="10">
        <v>6</v>
      </c>
      <c r="E1804" s="12" t="s">
        <v>66</v>
      </c>
      <c r="F1804" s="10">
        <v>550</v>
      </c>
      <c r="G1804" s="10">
        <v>0</v>
      </c>
      <c r="H1804" s="10">
        <f t="shared" si="28"/>
        <v>550</v>
      </c>
      <c r="I1804" s="10">
        <v>91.666666666666671</v>
      </c>
      <c r="J1804" s="10">
        <v>91.666666666666671</v>
      </c>
      <c r="K1804" s="10">
        <v>91.666666666666671</v>
      </c>
      <c r="L1804" s="4"/>
      <c r="M1804" s="4">
        <v>1799</v>
      </c>
    </row>
    <row r="1805" spans="1:13" x14ac:dyDescent="0.25">
      <c r="A1805" s="4" t="s">
        <v>1588</v>
      </c>
      <c r="B1805" s="4" t="s">
        <v>1590</v>
      </c>
      <c r="C1805" s="4" t="s">
        <v>65</v>
      </c>
      <c r="D1805" s="10">
        <v>205.5</v>
      </c>
      <c r="E1805" s="12" t="s">
        <v>66</v>
      </c>
      <c r="F1805" s="10">
        <v>28300</v>
      </c>
      <c r="G1805" s="10">
        <v>0</v>
      </c>
      <c r="H1805" s="10">
        <f t="shared" si="28"/>
        <v>28300</v>
      </c>
      <c r="I1805" s="10">
        <v>137.71289537712889</v>
      </c>
      <c r="J1805" s="10">
        <v>137.71289537712889</v>
      </c>
      <c r="K1805" s="10">
        <v>137.71289537712889</v>
      </c>
      <c r="L1805" s="4"/>
      <c r="M1805" s="4">
        <v>1800</v>
      </c>
    </row>
    <row r="1806" spans="1:13" x14ac:dyDescent="0.25">
      <c r="A1806" s="4" t="s">
        <v>1588</v>
      </c>
      <c r="B1806" s="4" t="s">
        <v>1591</v>
      </c>
      <c r="C1806" s="4" t="s">
        <v>65</v>
      </c>
      <c r="D1806" s="10">
        <v>389.5</v>
      </c>
      <c r="E1806" s="12" t="s">
        <v>66</v>
      </c>
      <c r="F1806" s="10">
        <v>28230</v>
      </c>
      <c r="G1806" s="10">
        <v>0</v>
      </c>
      <c r="H1806" s="10">
        <f t="shared" si="28"/>
        <v>28230</v>
      </c>
      <c r="I1806" s="10">
        <v>72.477535301668809</v>
      </c>
      <c r="J1806" s="10">
        <v>72.477535301668809</v>
      </c>
      <c r="K1806" s="10">
        <v>72.477535301668809</v>
      </c>
      <c r="L1806" s="4"/>
      <c r="M1806" s="4">
        <v>1801</v>
      </c>
    </row>
    <row r="1807" spans="1:13" x14ac:dyDescent="0.25">
      <c r="A1807" s="4" t="s">
        <v>1588</v>
      </c>
      <c r="B1807" s="4" t="s">
        <v>1592</v>
      </c>
      <c r="C1807" s="4" t="s">
        <v>65</v>
      </c>
      <c r="D1807" s="10">
        <v>140</v>
      </c>
      <c r="E1807" s="12" t="s">
        <v>66</v>
      </c>
      <c r="F1807" s="10">
        <v>10900</v>
      </c>
      <c r="G1807" s="10">
        <v>0</v>
      </c>
      <c r="H1807" s="10">
        <f t="shared" si="28"/>
        <v>10900</v>
      </c>
      <c r="I1807" s="10">
        <v>77.857142857142861</v>
      </c>
      <c r="J1807" s="10">
        <v>77.857142857142861</v>
      </c>
      <c r="K1807" s="10">
        <v>77.857142857142861</v>
      </c>
      <c r="L1807" s="4"/>
      <c r="M1807" s="4">
        <v>1802</v>
      </c>
    </row>
    <row r="1808" spans="1:13" x14ac:dyDescent="0.25">
      <c r="A1808" s="4" t="s">
        <v>1588</v>
      </c>
      <c r="B1808" s="4" t="s">
        <v>537</v>
      </c>
      <c r="C1808" s="4" t="s">
        <v>65</v>
      </c>
      <c r="D1808" s="10">
        <v>15</v>
      </c>
      <c r="E1808" s="12" t="s">
        <v>66</v>
      </c>
      <c r="F1808" s="10">
        <v>1425</v>
      </c>
      <c r="G1808" s="10">
        <v>0</v>
      </c>
      <c r="H1808" s="10">
        <f t="shared" si="28"/>
        <v>1425</v>
      </c>
      <c r="I1808" s="10">
        <v>95</v>
      </c>
      <c r="J1808" s="10">
        <v>95</v>
      </c>
      <c r="K1808" s="10">
        <v>95</v>
      </c>
      <c r="L1808" s="4"/>
      <c r="M1808" s="4">
        <v>1803</v>
      </c>
    </row>
    <row r="1809" spans="1:13" x14ac:dyDescent="0.25">
      <c r="A1809" s="4" t="s">
        <v>1588</v>
      </c>
      <c r="B1809" s="4" t="s">
        <v>1593</v>
      </c>
      <c r="C1809" s="4" t="s">
        <v>65</v>
      </c>
      <c r="D1809" s="10">
        <v>329</v>
      </c>
      <c r="E1809" s="12" t="s">
        <v>66</v>
      </c>
      <c r="F1809" s="10">
        <v>31745</v>
      </c>
      <c r="G1809" s="10">
        <v>0</v>
      </c>
      <c r="H1809" s="10">
        <f t="shared" si="28"/>
        <v>31745</v>
      </c>
      <c r="I1809" s="10">
        <v>96.489361702127653</v>
      </c>
      <c r="J1809" s="10">
        <v>96.489361702127653</v>
      </c>
      <c r="K1809" s="10">
        <v>96.489361702127653</v>
      </c>
      <c r="L1809" s="4"/>
      <c r="M1809" s="4">
        <v>1804</v>
      </c>
    </row>
    <row r="1810" spans="1:13" x14ac:dyDescent="0.25">
      <c r="A1810" s="4" t="s">
        <v>1588</v>
      </c>
      <c r="B1810" s="4" t="s">
        <v>1594</v>
      </c>
      <c r="C1810" s="9" t="s">
        <v>50</v>
      </c>
      <c r="D1810" s="10">
        <v>104</v>
      </c>
      <c r="E1810" s="11" t="s">
        <v>51</v>
      </c>
      <c r="F1810" s="10">
        <v>8800</v>
      </c>
      <c r="G1810" s="10">
        <v>0</v>
      </c>
      <c r="H1810" s="10">
        <f t="shared" si="28"/>
        <v>8800</v>
      </c>
      <c r="I1810" s="10">
        <v>84.615384615384613</v>
      </c>
      <c r="J1810" s="10">
        <v>84.615384615384613</v>
      </c>
      <c r="K1810" s="10">
        <v>84.615384615384613</v>
      </c>
      <c r="L1810" s="4" t="s">
        <v>259</v>
      </c>
      <c r="M1810" s="4">
        <v>1805</v>
      </c>
    </row>
    <row r="1811" spans="1:13" x14ac:dyDescent="0.25">
      <c r="A1811" s="4" t="s">
        <v>1588</v>
      </c>
      <c r="B1811" s="4" t="s">
        <v>1595</v>
      </c>
      <c r="C1811" s="9" t="s">
        <v>50</v>
      </c>
      <c r="D1811" s="10">
        <v>843</v>
      </c>
      <c r="E1811" s="11" t="s">
        <v>51</v>
      </c>
      <c r="F1811" s="10">
        <v>63975</v>
      </c>
      <c r="G1811" s="10">
        <v>0</v>
      </c>
      <c r="H1811" s="10">
        <f t="shared" si="28"/>
        <v>63975</v>
      </c>
      <c r="I1811" s="10"/>
      <c r="J1811" s="10"/>
      <c r="K1811" s="10"/>
      <c r="L1811" s="4" t="s">
        <v>52</v>
      </c>
      <c r="M1811" s="4">
        <v>1806</v>
      </c>
    </row>
    <row r="1812" spans="1:13" x14ac:dyDescent="0.25">
      <c r="A1812" s="4" t="s">
        <v>1588</v>
      </c>
      <c r="B1812" s="4" t="s">
        <v>1596</v>
      </c>
      <c r="C1812" s="4" t="s">
        <v>65</v>
      </c>
      <c r="D1812" s="10">
        <v>233</v>
      </c>
      <c r="E1812" s="12" t="s">
        <v>66</v>
      </c>
      <c r="F1812" s="10">
        <v>10314</v>
      </c>
      <c r="G1812" s="10">
        <v>0</v>
      </c>
      <c r="H1812" s="10">
        <f t="shared" si="28"/>
        <v>10314</v>
      </c>
      <c r="I1812" s="10">
        <v>56.360655737704917</v>
      </c>
      <c r="J1812" s="10">
        <v>56.360655737704917</v>
      </c>
      <c r="K1812" s="10">
        <v>56.360655737704917</v>
      </c>
      <c r="L1812" s="4"/>
      <c r="M1812" s="4">
        <v>1807</v>
      </c>
    </row>
    <row r="1813" spans="1:13" x14ac:dyDescent="0.25">
      <c r="A1813" s="4" t="s">
        <v>1597</v>
      </c>
      <c r="B1813" s="4" t="s">
        <v>1598</v>
      </c>
      <c r="C1813" s="4" t="s">
        <v>68</v>
      </c>
      <c r="D1813" s="10">
        <v>10</v>
      </c>
      <c r="E1813" s="11" t="s">
        <v>51</v>
      </c>
      <c r="F1813" s="10"/>
      <c r="G1813" s="10">
        <v>0</v>
      </c>
      <c r="H1813" s="10">
        <f t="shared" si="28"/>
        <v>0</v>
      </c>
      <c r="I1813" s="10"/>
      <c r="J1813" s="10"/>
      <c r="K1813" s="10"/>
      <c r="L1813" s="4" t="s">
        <v>69</v>
      </c>
      <c r="M1813" s="4">
        <v>1808</v>
      </c>
    </row>
    <row r="1814" spans="1:13" x14ac:dyDescent="0.25">
      <c r="A1814" s="4" t="s">
        <v>1597</v>
      </c>
      <c r="B1814" s="4" t="s">
        <v>1599</v>
      </c>
      <c r="C1814" s="4" t="s">
        <v>68</v>
      </c>
      <c r="D1814" s="10">
        <v>10</v>
      </c>
      <c r="E1814" s="11" t="s">
        <v>51</v>
      </c>
      <c r="F1814" s="10"/>
      <c r="G1814" s="10">
        <v>0</v>
      </c>
      <c r="H1814" s="10">
        <f t="shared" si="28"/>
        <v>0</v>
      </c>
      <c r="I1814" s="10"/>
      <c r="J1814" s="10"/>
      <c r="K1814" s="10"/>
      <c r="L1814" s="4" t="s">
        <v>69</v>
      </c>
      <c r="M1814" s="4">
        <v>1809</v>
      </c>
    </row>
    <row r="1815" spans="1:13" x14ac:dyDescent="0.25">
      <c r="A1815" s="4" t="s">
        <v>1597</v>
      </c>
      <c r="B1815" s="4" t="s">
        <v>1600</v>
      </c>
      <c r="C1815" s="4" t="s">
        <v>68</v>
      </c>
      <c r="D1815" s="10">
        <v>10</v>
      </c>
      <c r="E1815" s="11" t="s">
        <v>51</v>
      </c>
      <c r="F1815" s="10"/>
      <c r="G1815" s="10">
        <v>0</v>
      </c>
      <c r="H1815" s="10">
        <f t="shared" si="28"/>
        <v>0</v>
      </c>
      <c r="I1815" s="10"/>
      <c r="J1815" s="10"/>
      <c r="K1815" s="10"/>
      <c r="L1815" s="4" t="s">
        <v>69</v>
      </c>
      <c r="M1815" s="4">
        <v>1810</v>
      </c>
    </row>
    <row r="1816" spans="1:13" x14ac:dyDescent="0.25">
      <c r="A1816" s="4" t="s">
        <v>1597</v>
      </c>
      <c r="B1816" s="4" t="s">
        <v>1601</v>
      </c>
      <c r="C1816" s="4" t="s">
        <v>68</v>
      </c>
      <c r="D1816" s="10">
        <v>10</v>
      </c>
      <c r="E1816" s="11" t="s">
        <v>51</v>
      </c>
      <c r="F1816" s="10"/>
      <c r="G1816" s="10">
        <v>0</v>
      </c>
      <c r="H1816" s="10">
        <f t="shared" si="28"/>
        <v>0</v>
      </c>
      <c r="I1816" s="10"/>
      <c r="J1816" s="10"/>
      <c r="K1816" s="10"/>
      <c r="L1816" s="4" t="s">
        <v>69</v>
      </c>
      <c r="M1816" s="4">
        <v>1811</v>
      </c>
    </row>
    <row r="1817" spans="1:13" x14ac:dyDescent="0.25">
      <c r="A1817" s="4" t="s">
        <v>1597</v>
      </c>
      <c r="B1817" s="4" t="s">
        <v>1602</v>
      </c>
      <c r="C1817" s="4" t="s">
        <v>68</v>
      </c>
      <c r="D1817" s="10">
        <v>41</v>
      </c>
      <c r="E1817" s="11" t="s">
        <v>51</v>
      </c>
      <c r="F1817" s="10"/>
      <c r="G1817" s="10">
        <v>0</v>
      </c>
      <c r="H1817" s="10">
        <f t="shared" si="28"/>
        <v>0</v>
      </c>
      <c r="I1817" s="10"/>
      <c r="J1817" s="10"/>
      <c r="K1817" s="10"/>
      <c r="L1817" s="4" t="s">
        <v>69</v>
      </c>
      <c r="M1817" s="4">
        <v>1812</v>
      </c>
    </row>
    <row r="1818" spans="1:13" x14ac:dyDescent="0.25">
      <c r="A1818" s="4" t="s">
        <v>1603</v>
      </c>
      <c r="B1818" s="4" t="s">
        <v>443</v>
      </c>
      <c r="C1818" s="9" t="s">
        <v>50</v>
      </c>
      <c r="D1818" s="10">
        <v>17</v>
      </c>
      <c r="E1818" s="11" t="s">
        <v>51</v>
      </c>
      <c r="F1818" s="10">
        <v>1650</v>
      </c>
      <c r="G1818" s="10">
        <v>0</v>
      </c>
      <c r="H1818" s="10">
        <f t="shared" si="28"/>
        <v>1650</v>
      </c>
      <c r="I1818" s="10"/>
      <c r="J1818" s="10"/>
      <c r="K1818" s="10"/>
      <c r="L1818" s="4" t="s">
        <v>52</v>
      </c>
      <c r="M1818" s="4">
        <v>1813</v>
      </c>
    </row>
    <row r="1819" spans="1:13" x14ac:dyDescent="0.25">
      <c r="A1819" s="4" t="s">
        <v>1603</v>
      </c>
      <c r="B1819" s="4" t="s">
        <v>1604</v>
      </c>
      <c r="C1819" s="9" t="s">
        <v>50</v>
      </c>
      <c r="D1819" s="10">
        <v>69</v>
      </c>
      <c r="E1819" s="11" t="s">
        <v>51</v>
      </c>
      <c r="F1819" s="10">
        <v>2280</v>
      </c>
      <c r="G1819" s="10">
        <v>0</v>
      </c>
      <c r="H1819" s="10">
        <f t="shared" si="28"/>
        <v>2280</v>
      </c>
      <c r="I1819" s="10"/>
      <c r="J1819" s="10"/>
      <c r="K1819" s="10"/>
      <c r="L1819" s="4" t="s">
        <v>52</v>
      </c>
      <c r="M1819" s="4">
        <v>1814</v>
      </c>
    </row>
    <row r="1820" spans="1:13" x14ac:dyDescent="0.25">
      <c r="A1820" s="4" t="s">
        <v>1605</v>
      </c>
      <c r="B1820" s="4" t="s">
        <v>1606</v>
      </c>
      <c r="C1820" s="4" t="s">
        <v>65</v>
      </c>
      <c r="D1820" s="10">
        <v>28</v>
      </c>
      <c r="E1820" s="12" t="s">
        <v>66</v>
      </c>
      <c r="F1820" s="10">
        <v>2900</v>
      </c>
      <c r="G1820" s="10">
        <v>0</v>
      </c>
      <c r="H1820" s="10">
        <f t="shared" si="28"/>
        <v>2900</v>
      </c>
      <c r="I1820" s="10">
        <v>103.5714285714286</v>
      </c>
      <c r="J1820" s="10">
        <v>103.5714285714286</v>
      </c>
      <c r="K1820" s="10">
        <v>103.5714285714286</v>
      </c>
      <c r="L1820" s="4"/>
      <c r="M1820" s="4">
        <v>1815</v>
      </c>
    </row>
    <row r="1821" spans="1:13" x14ac:dyDescent="0.25">
      <c r="A1821" s="4" t="s">
        <v>1605</v>
      </c>
      <c r="B1821" s="4" t="s">
        <v>1607</v>
      </c>
      <c r="C1821" s="4" t="s">
        <v>65</v>
      </c>
      <c r="D1821" s="10">
        <v>5</v>
      </c>
      <c r="E1821" s="12" t="s">
        <v>66</v>
      </c>
      <c r="F1821" s="10">
        <v>650</v>
      </c>
      <c r="G1821" s="10">
        <v>0</v>
      </c>
      <c r="H1821" s="10">
        <f t="shared" si="28"/>
        <v>650</v>
      </c>
      <c r="I1821" s="10">
        <v>130</v>
      </c>
      <c r="J1821" s="10">
        <v>130</v>
      </c>
      <c r="K1821" s="10">
        <v>130</v>
      </c>
      <c r="L1821" s="4"/>
      <c r="M1821" s="4">
        <v>1816</v>
      </c>
    </row>
    <row r="1822" spans="1:13" x14ac:dyDescent="0.25">
      <c r="A1822" s="4" t="s">
        <v>1605</v>
      </c>
      <c r="B1822" s="4" t="s">
        <v>1608</v>
      </c>
      <c r="C1822" s="4" t="s">
        <v>68</v>
      </c>
      <c r="D1822" s="10">
        <v>25</v>
      </c>
      <c r="E1822" s="11" t="s">
        <v>51</v>
      </c>
      <c r="F1822" s="10">
        <v>1200</v>
      </c>
      <c r="G1822" s="10">
        <v>0</v>
      </c>
      <c r="H1822" s="10">
        <f t="shared" si="28"/>
        <v>1200</v>
      </c>
      <c r="I1822" s="10"/>
      <c r="J1822" s="10"/>
      <c r="K1822" s="10"/>
      <c r="L1822" s="4" t="s">
        <v>69</v>
      </c>
      <c r="M1822" s="4">
        <v>1817</v>
      </c>
    </row>
    <row r="1823" spans="1:13" x14ac:dyDescent="0.25">
      <c r="A1823" s="4" t="s">
        <v>1609</v>
      </c>
      <c r="B1823" s="4" t="s">
        <v>1610</v>
      </c>
      <c r="C1823" s="4" t="s">
        <v>65</v>
      </c>
      <c r="D1823" s="10">
        <v>9</v>
      </c>
      <c r="E1823" s="12" t="s">
        <v>66</v>
      </c>
      <c r="F1823" s="10">
        <v>1150</v>
      </c>
      <c r="G1823" s="10">
        <v>0</v>
      </c>
      <c r="H1823" s="10">
        <f t="shared" si="28"/>
        <v>1150</v>
      </c>
      <c r="I1823" s="10">
        <v>127.7777777777778</v>
      </c>
      <c r="J1823" s="10">
        <v>127.7777777777778</v>
      </c>
      <c r="K1823" s="10">
        <v>127.7777777777778</v>
      </c>
      <c r="L1823" s="4"/>
      <c r="M1823" s="4">
        <v>1818</v>
      </c>
    </row>
    <row r="1824" spans="1:13" x14ac:dyDescent="0.25">
      <c r="A1824" s="4" t="s">
        <v>1609</v>
      </c>
      <c r="B1824" s="4" t="s">
        <v>1611</v>
      </c>
      <c r="C1824" s="4" t="s">
        <v>68</v>
      </c>
      <c r="D1824" s="10">
        <v>193</v>
      </c>
      <c r="E1824" s="11" t="s">
        <v>51</v>
      </c>
      <c r="F1824" s="10">
        <v>400</v>
      </c>
      <c r="G1824" s="10">
        <v>0</v>
      </c>
      <c r="H1824" s="10">
        <f t="shared" si="28"/>
        <v>400</v>
      </c>
      <c r="I1824" s="10"/>
      <c r="J1824" s="10"/>
      <c r="K1824" s="10"/>
      <c r="L1824" s="4" t="s">
        <v>69</v>
      </c>
      <c r="M1824" s="4">
        <v>1819</v>
      </c>
    </row>
    <row r="1825" spans="1:13" x14ac:dyDescent="0.25">
      <c r="A1825" s="4" t="s">
        <v>1612</v>
      </c>
      <c r="B1825" s="4" t="s">
        <v>1613</v>
      </c>
      <c r="C1825" s="4" t="s">
        <v>68</v>
      </c>
      <c r="D1825" s="10">
        <v>329</v>
      </c>
      <c r="E1825" s="11" t="s">
        <v>51</v>
      </c>
      <c r="F1825" s="10">
        <v>17181.25</v>
      </c>
      <c r="G1825" s="10">
        <v>0</v>
      </c>
      <c r="H1825" s="10">
        <f t="shared" si="28"/>
        <v>17181.25</v>
      </c>
      <c r="I1825" s="10"/>
      <c r="J1825" s="10"/>
      <c r="K1825" s="10"/>
      <c r="L1825" s="4" t="s">
        <v>69</v>
      </c>
      <c r="M1825" s="4">
        <v>1820</v>
      </c>
    </row>
    <row r="1826" spans="1:13" x14ac:dyDescent="0.25">
      <c r="A1826" s="4" t="s">
        <v>1614</v>
      </c>
      <c r="B1826" s="4" t="s">
        <v>1615</v>
      </c>
      <c r="C1826" s="9" t="s">
        <v>50</v>
      </c>
      <c r="D1826" s="10">
        <v>92</v>
      </c>
      <c r="E1826" s="11" t="s">
        <v>51</v>
      </c>
      <c r="F1826" s="10">
        <v>8740</v>
      </c>
      <c r="G1826" s="10">
        <v>0</v>
      </c>
      <c r="H1826" s="10">
        <f t="shared" si="28"/>
        <v>8740</v>
      </c>
      <c r="I1826" s="10"/>
      <c r="J1826" s="10"/>
      <c r="K1826" s="10"/>
      <c r="L1826" s="4" t="s">
        <v>52</v>
      </c>
      <c r="M1826" s="4">
        <v>1821</v>
      </c>
    </row>
    <row r="1827" spans="1:13" x14ac:dyDescent="0.25">
      <c r="A1827" s="4" t="s">
        <v>1614</v>
      </c>
      <c r="B1827" s="4" t="s">
        <v>421</v>
      </c>
      <c r="C1827" s="9" t="s">
        <v>50</v>
      </c>
      <c r="D1827" s="10">
        <v>32</v>
      </c>
      <c r="E1827" s="11" t="s">
        <v>51</v>
      </c>
      <c r="F1827" s="10">
        <v>3040</v>
      </c>
      <c r="G1827" s="10">
        <v>0</v>
      </c>
      <c r="H1827" s="10">
        <f t="shared" si="28"/>
        <v>3040</v>
      </c>
      <c r="I1827" s="10"/>
      <c r="J1827" s="10"/>
      <c r="K1827" s="10"/>
      <c r="L1827" s="4" t="s">
        <v>52</v>
      </c>
      <c r="M1827" s="4">
        <v>1822</v>
      </c>
    </row>
    <row r="1828" spans="1:13" x14ac:dyDescent="0.25">
      <c r="A1828" s="4" t="s">
        <v>1614</v>
      </c>
      <c r="B1828" s="4" t="s">
        <v>1616</v>
      </c>
      <c r="C1828" s="9" t="s">
        <v>50</v>
      </c>
      <c r="D1828" s="10">
        <v>60</v>
      </c>
      <c r="E1828" s="11" t="s">
        <v>51</v>
      </c>
      <c r="F1828" s="10">
        <v>1520</v>
      </c>
      <c r="G1828" s="10">
        <v>0</v>
      </c>
      <c r="H1828" s="10">
        <f t="shared" si="28"/>
        <v>1520</v>
      </c>
      <c r="I1828" s="10"/>
      <c r="J1828" s="10"/>
      <c r="K1828" s="10"/>
      <c r="L1828" s="4" t="s">
        <v>52</v>
      </c>
      <c r="M1828" s="4">
        <v>1823</v>
      </c>
    </row>
    <row r="1829" spans="1:13" x14ac:dyDescent="0.25">
      <c r="A1829" s="4" t="s">
        <v>1617</v>
      </c>
      <c r="B1829" s="4" t="s">
        <v>1618</v>
      </c>
      <c r="C1829" s="9" t="s">
        <v>50</v>
      </c>
      <c r="D1829" s="10">
        <v>4</v>
      </c>
      <c r="E1829" s="11" t="s">
        <v>51</v>
      </c>
      <c r="F1829" s="10">
        <v>499</v>
      </c>
      <c r="G1829" s="10">
        <v>0</v>
      </c>
      <c r="H1829" s="10">
        <f t="shared" si="28"/>
        <v>499</v>
      </c>
      <c r="I1829" s="10"/>
      <c r="J1829" s="10"/>
      <c r="K1829" s="10"/>
      <c r="L1829" s="4" t="s">
        <v>52</v>
      </c>
      <c r="M1829" s="4">
        <v>1824</v>
      </c>
    </row>
    <row r="1830" spans="1:13" x14ac:dyDescent="0.25">
      <c r="A1830" s="4" t="s">
        <v>1617</v>
      </c>
      <c r="B1830" s="4" t="s">
        <v>1619</v>
      </c>
      <c r="C1830" s="9" t="s">
        <v>50</v>
      </c>
      <c r="D1830" s="10">
        <v>8</v>
      </c>
      <c r="E1830" s="11" t="s">
        <v>51</v>
      </c>
      <c r="F1830" s="10">
        <v>960</v>
      </c>
      <c r="G1830" s="10">
        <v>0</v>
      </c>
      <c r="H1830" s="10">
        <f t="shared" si="28"/>
        <v>960</v>
      </c>
      <c r="I1830" s="10"/>
      <c r="J1830" s="10"/>
      <c r="K1830" s="10"/>
      <c r="L1830" s="4" t="s">
        <v>52</v>
      </c>
      <c r="M1830" s="4">
        <v>1825</v>
      </c>
    </row>
    <row r="1831" spans="1:13" x14ac:dyDescent="0.25">
      <c r="A1831" s="4" t="s">
        <v>1617</v>
      </c>
      <c r="B1831" s="4" t="s">
        <v>1620</v>
      </c>
      <c r="C1831" s="9" t="s">
        <v>50</v>
      </c>
      <c r="D1831" s="10">
        <v>8</v>
      </c>
      <c r="E1831" s="11" t="s">
        <v>51</v>
      </c>
      <c r="F1831" s="10">
        <v>960</v>
      </c>
      <c r="G1831" s="10">
        <v>0</v>
      </c>
      <c r="H1831" s="10">
        <f t="shared" si="28"/>
        <v>960</v>
      </c>
      <c r="I1831" s="10"/>
      <c r="J1831" s="10"/>
      <c r="K1831" s="10"/>
      <c r="L1831" s="4" t="s">
        <v>52</v>
      </c>
      <c r="M1831" s="4">
        <v>1826</v>
      </c>
    </row>
    <row r="1832" spans="1:13" x14ac:dyDescent="0.25">
      <c r="A1832" s="4" t="s">
        <v>1617</v>
      </c>
      <c r="B1832" s="4" t="s">
        <v>1621</v>
      </c>
      <c r="C1832" s="9" t="s">
        <v>50</v>
      </c>
      <c r="D1832" s="10">
        <v>8</v>
      </c>
      <c r="E1832" s="11" t="s">
        <v>51</v>
      </c>
      <c r="F1832" s="10">
        <v>960</v>
      </c>
      <c r="G1832" s="10">
        <v>0</v>
      </c>
      <c r="H1832" s="10">
        <f t="shared" si="28"/>
        <v>960</v>
      </c>
      <c r="I1832" s="10"/>
      <c r="J1832" s="10"/>
      <c r="K1832" s="10"/>
      <c r="L1832" s="4" t="s">
        <v>52</v>
      </c>
      <c r="M1832" s="4">
        <v>1827</v>
      </c>
    </row>
    <row r="1833" spans="1:13" x14ac:dyDescent="0.25">
      <c r="A1833" s="4" t="s">
        <v>1617</v>
      </c>
      <c r="B1833" s="4" t="s">
        <v>1622</v>
      </c>
      <c r="C1833" s="9" t="s">
        <v>50</v>
      </c>
      <c r="D1833" s="10">
        <v>8</v>
      </c>
      <c r="E1833" s="11" t="s">
        <v>51</v>
      </c>
      <c r="F1833" s="10">
        <v>960</v>
      </c>
      <c r="G1833" s="10">
        <v>0</v>
      </c>
      <c r="H1833" s="10">
        <f t="shared" si="28"/>
        <v>960</v>
      </c>
      <c r="I1833" s="10"/>
      <c r="J1833" s="10"/>
      <c r="K1833" s="10"/>
      <c r="L1833" s="4" t="s">
        <v>52</v>
      </c>
      <c r="M1833" s="4">
        <v>1828</v>
      </c>
    </row>
    <row r="1834" spans="1:13" x14ac:dyDescent="0.25">
      <c r="A1834" s="4" t="s">
        <v>1617</v>
      </c>
      <c r="B1834" s="4" t="s">
        <v>1623</v>
      </c>
      <c r="C1834" s="9" t="s">
        <v>50</v>
      </c>
      <c r="D1834" s="10">
        <v>145</v>
      </c>
      <c r="E1834" s="11" t="s">
        <v>51</v>
      </c>
      <c r="F1834" s="10">
        <v>960</v>
      </c>
      <c r="G1834" s="10">
        <v>0</v>
      </c>
      <c r="H1834" s="10">
        <f t="shared" si="28"/>
        <v>960</v>
      </c>
      <c r="I1834" s="10"/>
      <c r="J1834" s="10"/>
      <c r="K1834" s="10"/>
      <c r="L1834" s="4" t="s">
        <v>52</v>
      </c>
      <c r="M1834" s="4">
        <v>1829</v>
      </c>
    </row>
    <row r="1835" spans="1:13" x14ac:dyDescent="0.25">
      <c r="A1835" s="4" t="s">
        <v>1624</v>
      </c>
      <c r="B1835" s="4" t="s">
        <v>1625</v>
      </c>
      <c r="C1835" s="9" t="s">
        <v>50</v>
      </c>
      <c r="D1835" s="10">
        <v>36</v>
      </c>
      <c r="E1835" s="11" t="s">
        <v>51</v>
      </c>
      <c r="F1835" s="10">
        <v>3420</v>
      </c>
      <c r="G1835" s="10">
        <v>0</v>
      </c>
      <c r="H1835" s="10">
        <f t="shared" si="28"/>
        <v>3420</v>
      </c>
      <c r="I1835" s="10"/>
      <c r="J1835" s="10"/>
      <c r="K1835" s="10"/>
      <c r="L1835" s="4" t="s">
        <v>52</v>
      </c>
      <c r="M1835" s="4">
        <v>1830</v>
      </c>
    </row>
    <row r="1836" spans="1:13" x14ac:dyDescent="0.25">
      <c r="A1836" s="4" t="s">
        <v>1624</v>
      </c>
      <c r="B1836" s="4" t="s">
        <v>1136</v>
      </c>
      <c r="C1836" s="9" t="s">
        <v>50</v>
      </c>
      <c r="D1836" s="10">
        <v>41</v>
      </c>
      <c r="E1836" s="11" t="s">
        <v>51</v>
      </c>
      <c r="F1836" s="10">
        <v>3200</v>
      </c>
      <c r="G1836" s="10">
        <v>0</v>
      </c>
      <c r="H1836" s="10">
        <f t="shared" si="28"/>
        <v>3200</v>
      </c>
      <c r="I1836" s="10"/>
      <c r="J1836" s="10"/>
      <c r="K1836" s="10"/>
      <c r="L1836" s="4" t="s">
        <v>52</v>
      </c>
      <c r="M1836" s="4">
        <v>1831</v>
      </c>
    </row>
    <row r="1837" spans="1:13" x14ac:dyDescent="0.25">
      <c r="A1837" s="4" t="s">
        <v>1624</v>
      </c>
      <c r="B1837" s="4" t="s">
        <v>421</v>
      </c>
      <c r="C1837" s="9" t="s">
        <v>50</v>
      </c>
      <c r="D1837" s="10">
        <v>102</v>
      </c>
      <c r="E1837" s="11" t="s">
        <v>51</v>
      </c>
      <c r="F1837" s="10">
        <v>5700</v>
      </c>
      <c r="G1837" s="10">
        <v>0</v>
      </c>
      <c r="H1837" s="10">
        <f t="shared" si="28"/>
        <v>5700</v>
      </c>
      <c r="I1837" s="10"/>
      <c r="J1837" s="10"/>
      <c r="K1837" s="10"/>
      <c r="L1837" s="4" t="s">
        <v>52</v>
      </c>
      <c r="M1837" s="4">
        <v>1832</v>
      </c>
    </row>
    <row r="1838" spans="1:13" x14ac:dyDescent="0.25">
      <c r="A1838" s="4" t="s">
        <v>1626</v>
      </c>
      <c r="B1838" s="4" t="s">
        <v>128</v>
      </c>
      <c r="C1838" s="9" t="s">
        <v>50</v>
      </c>
      <c r="D1838" s="10">
        <v>74</v>
      </c>
      <c r="E1838" s="11" t="s">
        <v>51</v>
      </c>
      <c r="F1838" s="10">
        <v>3990</v>
      </c>
      <c r="G1838" s="10">
        <v>0</v>
      </c>
      <c r="H1838" s="10">
        <f t="shared" si="28"/>
        <v>3990</v>
      </c>
      <c r="I1838" s="10"/>
      <c r="J1838" s="10"/>
      <c r="K1838" s="10"/>
      <c r="L1838" s="4" t="s">
        <v>52</v>
      </c>
      <c r="M1838" s="4">
        <v>1833</v>
      </c>
    </row>
    <row r="1839" spans="1:13" x14ac:dyDescent="0.25">
      <c r="A1839" s="4" t="s">
        <v>1627</v>
      </c>
      <c r="B1839" s="4" t="s">
        <v>1628</v>
      </c>
      <c r="C1839" s="9" t="s">
        <v>50</v>
      </c>
      <c r="D1839" s="10">
        <v>8</v>
      </c>
      <c r="E1839" s="11" t="s">
        <v>51</v>
      </c>
      <c r="F1839" s="10">
        <v>880</v>
      </c>
      <c r="G1839" s="10">
        <v>0</v>
      </c>
      <c r="H1839" s="10">
        <f t="shared" si="28"/>
        <v>880</v>
      </c>
      <c r="I1839" s="10"/>
      <c r="J1839" s="10"/>
      <c r="K1839" s="10"/>
      <c r="L1839" s="4" t="s">
        <v>52</v>
      </c>
      <c r="M1839" s="4">
        <v>1834</v>
      </c>
    </row>
    <row r="1840" spans="1:13" x14ac:dyDescent="0.25">
      <c r="A1840" s="4" t="s">
        <v>1627</v>
      </c>
      <c r="B1840" s="4" t="s">
        <v>1629</v>
      </c>
      <c r="C1840" s="9" t="s">
        <v>50</v>
      </c>
      <c r="D1840" s="10">
        <v>8</v>
      </c>
      <c r="E1840" s="11" t="s">
        <v>51</v>
      </c>
      <c r="F1840" s="10">
        <v>440</v>
      </c>
      <c r="G1840" s="10">
        <v>0</v>
      </c>
      <c r="H1840" s="10">
        <f t="shared" si="28"/>
        <v>440</v>
      </c>
      <c r="I1840" s="10"/>
      <c r="J1840" s="10"/>
      <c r="K1840" s="10"/>
      <c r="L1840" s="4" t="s">
        <v>52</v>
      </c>
      <c r="M1840" s="4">
        <v>1835</v>
      </c>
    </row>
    <row r="1841" spans="1:13" x14ac:dyDescent="0.25">
      <c r="A1841" s="4" t="s">
        <v>1627</v>
      </c>
      <c r="B1841" s="4" t="s">
        <v>481</v>
      </c>
      <c r="C1841" s="9" t="s">
        <v>50</v>
      </c>
      <c r="D1841" s="10">
        <v>64</v>
      </c>
      <c r="E1841" s="11" t="s">
        <v>51</v>
      </c>
      <c r="F1841" s="10">
        <v>880</v>
      </c>
      <c r="G1841" s="10">
        <v>0</v>
      </c>
      <c r="H1841" s="10">
        <f t="shared" si="28"/>
        <v>880</v>
      </c>
      <c r="I1841" s="10"/>
      <c r="J1841" s="10"/>
      <c r="K1841" s="10"/>
      <c r="L1841" s="4" t="s">
        <v>52</v>
      </c>
      <c r="M1841" s="4">
        <v>1836</v>
      </c>
    </row>
    <row r="1842" spans="1:13" x14ac:dyDescent="0.25">
      <c r="A1842" s="4" t="s">
        <v>1630</v>
      </c>
      <c r="B1842" s="4" t="s">
        <v>1631</v>
      </c>
      <c r="C1842" s="4" t="s">
        <v>65</v>
      </c>
      <c r="D1842" s="10">
        <v>40</v>
      </c>
      <c r="E1842" s="12" t="s">
        <v>66</v>
      </c>
      <c r="F1842" s="10">
        <v>4700</v>
      </c>
      <c r="G1842" s="10">
        <v>0</v>
      </c>
      <c r="H1842" s="10">
        <f t="shared" si="28"/>
        <v>4700</v>
      </c>
      <c r="I1842" s="10">
        <v>117.5</v>
      </c>
      <c r="J1842" s="10">
        <v>117.5</v>
      </c>
      <c r="K1842" s="10">
        <v>117.5</v>
      </c>
      <c r="L1842" s="4"/>
      <c r="M1842" s="4">
        <v>1837</v>
      </c>
    </row>
    <row r="1843" spans="1:13" x14ac:dyDescent="0.25">
      <c r="A1843" s="4" t="s">
        <v>1630</v>
      </c>
      <c r="B1843" s="4" t="s">
        <v>1632</v>
      </c>
      <c r="C1843" s="4" t="s">
        <v>68</v>
      </c>
      <c r="D1843" s="10">
        <v>761.5</v>
      </c>
      <c r="E1843" s="11" t="s">
        <v>51</v>
      </c>
      <c r="F1843" s="10">
        <v>3000</v>
      </c>
      <c r="G1843" s="10">
        <v>0</v>
      </c>
      <c r="H1843" s="10">
        <f t="shared" si="28"/>
        <v>3000</v>
      </c>
      <c r="I1843" s="10"/>
      <c r="J1843" s="10"/>
      <c r="K1843" s="10"/>
      <c r="L1843" s="4" t="s">
        <v>69</v>
      </c>
      <c r="M1843" s="4">
        <v>1838</v>
      </c>
    </row>
    <row r="1844" spans="1:13" x14ac:dyDescent="0.25">
      <c r="A1844" s="4" t="s">
        <v>1633</v>
      </c>
      <c r="B1844" s="4" t="s">
        <v>1634</v>
      </c>
      <c r="C1844" s="9" t="s">
        <v>50</v>
      </c>
      <c r="D1844" s="10">
        <v>24</v>
      </c>
      <c r="E1844" s="11" t="s">
        <v>51</v>
      </c>
      <c r="F1844" s="10">
        <v>1440</v>
      </c>
      <c r="G1844" s="10">
        <v>0</v>
      </c>
      <c r="H1844" s="10">
        <f t="shared" si="28"/>
        <v>1440</v>
      </c>
      <c r="I1844" s="10"/>
      <c r="J1844" s="10"/>
      <c r="K1844" s="10"/>
      <c r="L1844" s="4" t="s">
        <v>52</v>
      </c>
      <c r="M1844" s="4">
        <v>1839</v>
      </c>
    </row>
    <row r="1845" spans="1:13" x14ac:dyDescent="0.25">
      <c r="A1845" s="4" t="s">
        <v>1633</v>
      </c>
      <c r="B1845" s="4" t="s">
        <v>1635</v>
      </c>
      <c r="C1845" s="9" t="s">
        <v>50</v>
      </c>
      <c r="D1845" s="10">
        <v>349.75</v>
      </c>
      <c r="E1845" s="11" t="s">
        <v>51</v>
      </c>
      <c r="F1845" s="10">
        <v>19957.5</v>
      </c>
      <c r="G1845" s="10">
        <v>0</v>
      </c>
      <c r="H1845" s="10">
        <f t="shared" si="28"/>
        <v>19957.5</v>
      </c>
      <c r="I1845" s="10"/>
      <c r="J1845" s="10"/>
      <c r="K1845" s="10"/>
      <c r="L1845" s="4" t="s">
        <v>52</v>
      </c>
      <c r="M1845" s="4">
        <v>1840</v>
      </c>
    </row>
    <row r="1846" spans="1:13" x14ac:dyDescent="0.25">
      <c r="A1846" s="4" t="s">
        <v>1636</v>
      </c>
      <c r="B1846" s="4" t="s">
        <v>1637</v>
      </c>
      <c r="C1846" s="4" t="s">
        <v>65</v>
      </c>
      <c r="D1846" s="10">
        <v>459.5</v>
      </c>
      <c r="E1846" s="12" t="s">
        <v>66</v>
      </c>
      <c r="F1846" s="10">
        <v>1800</v>
      </c>
      <c r="G1846" s="10">
        <v>0</v>
      </c>
      <c r="H1846" s="10">
        <f t="shared" si="28"/>
        <v>1800</v>
      </c>
      <c r="I1846" s="10">
        <v>105.88235294117651</v>
      </c>
      <c r="J1846" s="10">
        <v>105.88235294117651</v>
      </c>
      <c r="K1846" s="10">
        <v>105.88235294117651</v>
      </c>
      <c r="L1846" s="4"/>
      <c r="M1846" s="4">
        <v>1841</v>
      </c>
    </row>
    <row r="1847" spans="1:13" x14ac:dyDescent="0.25">
      <c r="A1847" s="4" t="s">
        <v>1638</v>
      </c>
      <c r="B1847" s="4" t="s">
        <v>136</v>
      </c>
      <c r="C1847" s="9" t="s">
        <v>50</v>
      </c>
      <c r="D1847" s="10">
        <v>13</v>
      </c>
      <c r="E1847" s="11" t="s">
        <v>51</v>
      </c>
      <c r="F1847" s="10">
        <v>1250</v>
      </c>
      <c r="G1847" s="10">
        <v>0</v>
      </c>
      <c r="H1847" s="10">
        <f t="shared" si="28"/>
        <v>1250</v>
      </c>
      <c r="I1847" s="10"/>
      <c r="J1847" s="10"/>
      <c r="K1847" s="10"/>
      <c r="L1847" s="4" t="s">
        <v>52</v>
      </c>
      <c r="M1847" s="4">
        <v>1842</v>
      </c>
    </row>
    <row r="1848" spans="1:13" x14ac:dyDescent="0.25">
      <c r="A1848" s="4" t="s">
        <v>1638</v>
      </c>
      <c r="B1848" s="4" t="s">
        <v>82</v>
      </c>
      <c r="C1848" s="9" t="s">
        <v>50</v>
      </c>
      <c r="D1848" s="10">
        <v>62</v>
      </c>
      <c r="E1848" s="11" t="s">
        <v>51</v>
      </c>
      <c r="F1848" s="10">
        <v>5500</v>
      </c>
      <c r="G1848" s="10">
        <v>0</v>
      </c>
      <c r="H1848" s="10">
        <f t="shared" si="28"/>
        <v>5500</v>
      </c>
      <c r="I1848" s="10"/>
      <c r="J1848" s="10"/>
      <c r="K1848" s="10"/>
      <c r="L1848" s="4" t="s">
        <v>52</v>
      </c>
      <c r="M1848" s="4">
        <v>1843</v>
      </c>
    </row>
    <row r="1849" spans="1:13" x14ac:dyDescent="0.25">
      <c r="A1849" s="4" t="s">
        <v>1638</v>
      </c>
      <c r="B1849" s="4" t="s">
        <v>88</v>
      </c>
      <c r="C1849" s="9" t="s">
        <v>50</v>
      </c>
      <c r="D1849" s="10">
        <v>79</v>
      </c>
      <c r="E1849" s="11" t="s">
        <v>51</v>
      </c>
      <c r="F1849" s="10">
        <v>7000</v>
      </c>
      <c r="G1849" s="10">
        <v>0</v>
      </c>
      <c r="H1849" s="10">
        <f t="shared" si="28"/>
        <v>7000</v>
      </c>
      <c r="I1849" s="10"/>
      <c r="J1849" s="10"/>
      <c r="K1849" s="10"/>
      <c r="L1849" s="4" t="s">
        <v>52</v>
      </c>
      <c r="M1849" s="4">
        <v>1844</v>
      </c>
    </row>
    <row r="1850" spans="1:13" x14ac:dyDescent="0.25">
      <c r="A1850" s="4" t="s">
        <v>1638</v>
      </c>
      <c r="B1850" s="4" t="s">
        <v>137</v>
      </c>
      <c r="C1850" s="9" t="s">
        <v>50</v>
      </c>
      <c r="D1850" s="10">
        <v>62</v>
      </c>
      <c r="E1850" s="11" t="s">
        <v>51</v>
      </c>
      <c r="F1850" s="10">
        <v>5500</v>
      </c>
      <c r="G1850" s="10">
        <v>0</v>
      </c>
      <c r="H1850" s="10">
        <f t="shared" si="28"/>
        <v>5500</v>
      </c>
      <c r="I1850" s="10"/>
      <c r="J1850" s="10"/>
      <c r="K1850" s="10"/>
      <c r="L1850" s="4" t="s">
        <v>52</v>
      </c>
      <c r="M1850" s="4">
        <v>1845</v>
      </c>
    </row>
    <row r="1851" spans="1:13" x14ac:dyDescent="0.25">
      <c r="A1851" s="4" t="s">
        <v>1638</v>
      </c>
      <c r="B1851" s="4" t="s">
        <v>106</v>
      </c>
      <c r="C1851" s="9" t="s">
        <v>50</v>
      </c>
      <c r="D1851" s="10">
        <v>85</v>
      </c>
      <c r="E1851" s="11" t="s">
        <v>51</v>
      </c>
      <c r="F1851" s="10">
        <v>7500</v>
      </c>
      <c r="G1851" s="10">
        <v>0</v>
      </c>
      <c r="H1851" s="10">
        <f t="shared" si="28"/>
        <v>7500</v>
      </c>
      <c r="I1851" s="10"/>
      <c r="J1851" s="10"/>
      <c r="K1851" s="10"/>
      <c r="L1851" s="4" t="s">
        <v>52</v>
      </c>
      <c r="M1851" s="4">
        <v>1846</v>
      </c>
    </row>
    <row r="1852" spans="1:13" x14ac:dyDescent="0.25">
      <c r="A1852" s="4" t="s">
        <v>1638</v>
      </c>
      <c r="B1852" s="4" t="s">
        <v>107</v>
      </c>
      <c r="C1852" s="9" t="s">
        <v>50</v>
      </c>
      <c r="D1852" s="10">
        <v>165.5</v>
      </c>
      <c r="E1852" s="11" t="s">
        <v>51</v>
      </c>
      <c r="F1852" s="10">
        <v>12500</v>
      </c>
      <c r="G1852" s="10">
        <v>0</v>
      </c>
      <c r="H1852" s="10">
        <f t="shared" si="28"/>
        <v>12500</v>
      </c>
      <c r="I1852" s="10"/>
      <c r="J1852" s="10"/>
      <c r="K1852" s="10"/>
      <c r="L1852" s="4" t="s">
        <v>52</v>
      </c>
      <c r="M1852" s="4">
        <v>1847</v>
      </c>
    </row>
    <row r="1853" spans="1:13" x14ac:dyDescent="0.25">
      <c r="A1853" s="4" t="s">
        <v>1639</v>
      </c>
      <c r="B1853" s="4" t="s">
        <v>1640</v>
      </c>
      <c r="C1853" s="4" t="s">
        <v>65</v>
      </c>
      <c r="D1853" s="10">
        <v>24</v>
      </c>
      <c r="E1853" s="12" t="s">
        <v>66</v>
      </c>
      <c r="F1853" s="10">
        <v>1950</v>
      </c>
      <c r="G1853" s="10">
        <v>0</v>
      </c>
      <c r="H1853" s="10">
        <f t="shared" si="28"/>
        <v>1950</v>
      </c>
      <c r="I1853" s="10">
        <v>81.25</v>
      </c>
      <c r="J1853" s="10">
        <v>81.25</v>
      </c>
      <c r="K1853" s="10">
        <v>81.25</v>
      </c>
      <c r="L1853" s="4"/>
      <c r="M1853" s="4">
        <v>1848</v>
      </c>
    </row>
    <row r="1854" spans="1:13" x14ac:dyDescent="0.25">
      <c r="A1854" s="4" t="s">
        <v>1639</v>
      </c>
      <c r="B1854" s="4" t="s">
        <v>1641</v>
      </c>
      <c r="C1854" s="4" t="s">
        <v>65</v>
      </c>
      <c r="D1854" s="10">
        <v>24</v>
      </c>
      <c r="E1854" s="11" t="s">
        <v>51</v>
      </c>
      <c r="F1854" s="10">
        <v>360</v>
      </c>
      <c r="G1854" s="10">
        <v>0</v>
      </c>
      <c r="H1854" s="10">
        <f t="shared" si="28"/>
        <v>360</v>
      </c>
      <c r="I1854" s="10"/>
      <c r="J1854" s="10"/>
      <c r="K1854" s="10"/>
      <c r="L1854" s="4" t="s">
        <v>69</v>
      </c>
      <c r="M1854" s="4">
        <v>1849</v>
      </c>
    </row>
    <row r="1855" spans="1:13" x14ac:dyDescent="0.25">
      <c r="A1855" s="4" t="s">
        <v>1642</v>
      </c>
      <c r="B1855" s="4" t="s">
        <v>1637</v>
      </c>
      <c r="C1855" s="4" t="s">
        <v>65</v>
      </c>
      <c r="D1855" s="10">
        <v>17</v>
      </c>
      <c r="E1855" s="12" t="s">
        <v>66</v>
      </c>
      <c r="F1855" s="10">
        <v>1650</v>
      </c>
      <c r="G1855" s="10">
        <v>0</v>
      </c>
      <c r="H1855" s="10">
        <f t="shared" si="28"/>
        <v>1650</v>
      </c>
      <c r="I1855" s="10">
        <v>97.058823529411768</v>
      </c>
      <c r="J1855" s="10">
        <v>97.058823529411768</v>
      </c>
      <c r="K1855" s="10">
        <v>97.058823529411768</v>
      </c>
      <c r="L1855" s="4"/>
      <c r="M1855" s="4">
        <v>1850</v>
      </c>
    </row>
    <row r="1856" spans="1:13" x14ac:dyDescent="0.25">
      <c r="A1856" s="4" t="s">
        <v>1642</v>
      </c>
      <c r="B1856" s="4" t="s">
        <v>1643</v>
      </c>
      <c r="C1856" s="4" t="s">
        <v>65</v>
      </c>
      <c r="D1856" s="10">
        <v>94</v>
      </c>
      <c r="E1856" s="12" t="s">
        <v>66</v>
      </c>
      <c r="F1856" s="10">
        <v>900</v>
      </c>
      <c r="G1856" s="10">
        <v>0</v>
      </c>
      <c r="H1856" s="10">
        <f t="shared" si="28"/>
        <v>900</v>
      </c>
      <c r="I1856" s="10">
        <v>128.57142857142861</v>
      </c>
      <c r="J1856" s="10">
        <v>128.57142857142861</v>
      </c>
      <c r="K1856" s="10">
        <v>128.57142857142861</v>
      </c>
      <c r="L1856" s="4"/>
      <c r="M1856" s="4">
        <v>1851</v>
      </c>
    </row>
    <row r="1857" spans="1:13" x14ac:dyDescent="0.25">
      <c r="A1857" s="4" t="s">
        <v>1644</v>
      </c>
      <c r="B1857" s="4" t="s">
        <v>564</v>
      </c>
      <c r="C1857" s="9" t="s">
        <v>50</v>
      </c>
      <c r="D1857" s="10">
        <v>87</v>
      </c>
      <c r="E1857" s="11" t="s">
        <v>51</v>
      </c>
      <c r="F1857" s="10"/>
      <c r="G1857" s="10">
        <v>0</v>
      </c>
      <c r="H1857" s="10">
        <f t="shared" si="28"/>
        <v>0</v>
      </c>
      <c r="I1857" s="10"/>
      <c r="J1857" s="10"/>
      <c r="K1857" s="10"/>
      <c r="L1857" s="4" t="s">
        <v>52</v>
      </c>
      <c r="M1857" s="4">
        <v>1852</v>
      </c>
    </row>
    <row r="1858" spans="1:13" x14ac:dyDescent="0.25">
      <c r="A1858" s="4" t="s">
        <v>1644</v>
      </c>
      <c r="B1858" s="4" t="s">
        <v>1645</v>
      </c>
      <c r="C1858" s="4" t="s">
        <v>65</v>
      </c>
      <c r="D1858" s="10">
        <v>54</v>
      </c>
      <c r="E1858" s="12" t="s">
        <v>66</v>
      </c>
      <c r="F1858" s="10">
        <v>5000</v>
      </c>
      <c r="G1858" s="10">
        <v>0</v>
      </c>
      <c r="H1858" s="10">
        <f t="shared" si="28"/>
        <v>5000</v>
      </c>
      <c r="I1858" s="10">
        <v>92.592592592592595</v>
      </c>
      <c r="J1858" s="10">
        <v>92.592592592592595</v>
      </c>
      <c r="K1858" s="10">
        <v>92.592592592592595</v>
      </c>
      <c r="L1858" s="4"/>
      <c r="M1858" s="4">
        <v>1853</v>
      </c>
    </row>
    <row r="1859" spans="1:13" x14ac:dyDescent="0.25">
      <c r="A1859" s="4" t="s">
        <v>1644</v>
      </c>
      <c r="B1859" s="4" t="s">
        <v>1646</v>
      </c>
      <c r="C1859" s="4" t="s">
        <v>68</v>
      </c>
      <c r="D1859" s="10">
        <v>10</v>
      </c>
      <c r="E1859" s="11" t="s">
        <v>51</v>
      </c>
      <c r="F1859" s="10">
        <v>800</v>
      </c>
      <c r="G1859" s="10">
        <v>0</v>
      </c>
      <c r="H1859" s="10">
        <f t="shared" si="28"/>
        <v>800</v>
      </c>
      <c r="I1859" s="10"/>
      <c r="J1859" s="10"/>
      <c r="K1859" s="10"/>
      <c r="L1859" s="4" t="s">
        <v>69</v>
      </c>
      <c r="M1859" s="4">
        <v>1854</v>
      </c>
    </row>
    <row r="1860" spans="1:13" x14ac:dyDescent="0.25">
      <c r="A1860" s="4" t="s">
        <v>1644</v>
      </c>
      <c r="B1860" s="4" t="s">
        <v>1647</v>
      </c>
      <c r="C1860" s="4" t="s">
        <v>68</v>
      </c>
      <c r="D1860" s="10">
        <v>12</v>
      </c>
      <c r="E1860" s="11" t="s">
        <v>51</v>
      </c>
      <c r="F1860" s="10">
        <v>960</v>
      </c>
      <c r="G1860" s="10">
        <v>0</v>
      </c>
      <c r="H1860" s="10">
        <f t="shared" si="28"/>
        <v>960</v>
      </c>
      <c r="I1860" s="10"/>
      <c r="J1860" s="10"/>
      <c r="K1860" s="10"/>
      <c r="L1860" s="4" t="s">
        <v>69</v>
      </c>
      <c r="M1860" s="4">
        <v>1855</v>
      </c>
    </row>
    <row r="1861" spans="1:13" x14ac:dyDescent="0.25">
      <c r="A1861" s="4" t="s">
        <v>1644</v>
      </c>
      <c r="B1861" s="4" t="s">
        <v>1648</v>
      </c>
      <c r="C1861" s="4" t="s">
        <v>65</v>
      </c>
      <c r="D1861" s="10">
        <v>1292</v>
      </c>
      <c r="E1861" s="12" t="s">
        <v>66</v>
      </c>
      <c r="F1861" s="10">
        <v>1500</v>
      </c>
      <c r="G1861" s="10">
        <v>0</v>
      </c>
      <c r="H1861" s="10">
        <f t="shared" si="28"/>
        <v>1500</v>
      </c>
      <c r="I1861" s="10">
        <v>136.3636363636364</v>
      </c>
      <c r="J1861" s="10">
        <v>136.3636363636364</v>
      </c>
      <c r="K1861" s="10">
        <v>136.3636363636364</v>
      </c>
      <c r="L1861" s="4"/>
      <c r="M1861" s="4">
        <v>1856</v>
      </c>
    </row>
    <row r="1862" spans="1:13" x14ac:dyDescent="0.25">
      <c r="A1862" s="4" t="s">
        <v>1649</v>
      </c>
      <c r="B1862" s="4" t="s">
        <v>136</v>
      </c>
      <c r="C1862" s="9" t="s">
        <v>50</v>
      </c>
      <c r="D1862" s="10">
        <v>17</v>
      </c>
      <c r="E1862" s="11" t="s">
        <v>51</v>
      </c>
      <c r="F1862" s="10">
        <v>1650</v>
      </c>
      <c r="G1862" s="10">
        <v>0</v>
      </c>
      <c r="H1862" s="10">
        <f t="shared" ref="H1862:H1925" si="29">F1862-G1862</f>
        <v>1650</v>
      </c>
      <c r="I1862" s="10"/>
      <c r="J1862" s="10"/>
      <c r="K1862" s="10"/>
      <c r="L1862" s="4" t="s">
        <v>52</v>
      </c>
      <c r="M1862" s="4">
        <v>1857</v>
      </c>
    </row>
    <row r="1863" spans="1:13" x14ac:dyDescent="0.25">
      <c r="A1863" s="4" t="s">
        <v>1649</v>
      </c>
      <c r="B1863" s="4" t="s">
        <v>82</v>
      </c>
      <c r="C1863" s="9" t="s">
        <v>50</v>
      </c>
      <c r="D1863" s="10">
        <v>263</v>
      </c>
      <c r="E1863" s="11" t="s">
        <v>51</v>
      </c>
      <c r="F1863" s="10">
        <v>25000</v>
      </c>
      <c r="G1863" s="10">
        <v>0</v>
      </c>
      <c r="H1863" s="10">
        <f t="shared" si="29"/>
        <v>25000</v>
      </c>
      <c r="I1863" s="10"/>
      <c r="J1863" s="10"/>
      <c r="K1863" s="10"/>
      <c r="L1863" s="4" t="s">
        <v>52</v>
      </c>
      <c r="M1863" s="4">
        <v>1858</v>
      </c>
    </row>
    <row r="1864" spans="1:13" x14ac:dyDescent="0.25">
      <c r="A1864" s="4" t="s">
        <v>1649</v>
      </c>
      <c r="B1864" s="4" t="s">
        <v>88</v>
      </c>
      <c r="C1864" s="9" t="s">
        <v>50</v>
      </c>
      <c r="D1864" s="10">
        <v>333</v>
      </c>
      <c r="E1864" s="11" t="s">
        <v>51</v>
      </c>
      <c r="F1864" s="10">
        <v>31650</v>
      </c>
      <c r="G1864" s="10">
        <v>0</v>
      </c>
      <c r="H1864" s="10">
        <f t="shared" si="29"/>
        <v>31650</v>
      </c>
      <c r="I1864" s="10"/>
      <c r="J1864" s="10"/>
      <c r="K1864" s="10"/>
      <c r="L1864" s="4" t="s">
        <v>52</v>
      </c>
      <c r="M1864" s="4">
        <v>1859</v>
      </c>
    </row>
    <row r="1865" spans="1:13" x14ac:dyDescent="0.25">
      <c r="A1865" s="4" t="s">
        <v>1649</v>
      </c>
      <c r="B1865" s="4" t="s">
        <v>137</v>
      </c>
      <c r="C1865" s="9" t="s">
        <v>50</v>
      </c>
      <c r="D1865" s="10">
        <v>263</v>
      </c>
      <c r="E1865" s="11" t="s">
        <v>51</v>
      </c>
      <c r="F1865" s="10">
        <v>25000</v>
      </c>
      <c r="G1865" s="10">
        <v>0</v>
      </c>
      <c r="H1865" s="10">
        <f t="shared" si="29"/>
        <v>25000</v>
      </c>
      <c r="I1865" s="10"/>
      <c r="J1865" s="10"/>
      <c r="K1865" s="10"/>
      <c r="L1865" s="4" t="s">
        <v>52</v>
      </c>
      <c r="M1865" s="4">
        <v>1860</v>
      </c>
    </row>
    <row r="1866" spans="1:13" x14ac:dyDescent="0.25">
      <c r="A1866" s="4" t="s">
        <v>1649</v>
      </c>
      <c r="B1866" s="4" t="s">
        <v>537</v>
      </c>
      <c r="C1866" s="9" t="s">
        <v>50</v>
      </c>
      <c r="D1866" s="10">
        <v>16</v>
      </c>
      <c r="E1866" s="11" t="s">
        <v>51</v>
      </c>
      <c r="F1866" s="10">
        <v>1360</v>
      </c>
      <c r="G1866" s="10">
        <v>0</v>
      </c>
      <c r="H1866" s="10">
        <f t="shared" si="29"/>
        <v>1360</v>
      </c>
      <c r="I1866" s="10">
        <v>85</v>
      </c>
      <c r="J1866" s="10">
        <v>85</v>
      </c>
      <c r="K1866" s="10">
        <v>85</v>
      </c>
      <c r="L1866" s="4" t="s">
        <v>259</v>
      </c>
      <c r="M1866" s="4">
        <v>1861</v>
      </c>
    </row>
    <row r="1867" spans="1:13" x14ac:dyDescent="0.25">
      <c r="A1867" s="4" t="s">
        <v>1649</v>
      </c>
      <c r="B1867" s="4" t="s">
        <v>106</v>
      </c>
      <c r="C1867" s="9" t="s">
        <v>50</v>
      </c>
      <c r="D1867" s="10">
        <v>365</v>
      </c>
      <c r="E1867" s="11" t="s">
        <v>51</v>
      </c>
      <c r="F1867" s="10">
        <v>34675</v>
      </c>
      <c r="G1867" s="10">
        <v>0</v>
      </c>
      <c r="H1867" s="10">
        <f t="shared" si="29"/>
        <v>34675</v>
      </c>
      <c r="I1867" s="10"/>
      <c r="J1867" s="10"/>
      <c r="K1867" s="10"/>
      <c r="L1867" s="4" t="s">
        <v>52</v>
      </c>
      <c r="M1867" s="4">
        <v>1862</v>
      </c>
    </row>
    <row r="1868" spans="1:13" x14ac:dyDescent="0.25">
      <c r="A1868" s="4" t="s">
        <v>1649</v>
      </c>
      <c r="B1868" s="4" t="s">
        <v>107</v>
      </c>
      <c r="C1868" s="9" t="s">
        <v>50</v>
      </c>
      <c r="D1868" s="10">
        <v>150</v>
      </c>
      <c r="E1868" s="11" t="s">
        <v>51</v>
      </c>
      <c r="F1868" s="10">
        <v>3800</v>
      </c>
      <c r="G1868" s="10">
        <v>0</v>
      </c>
      <c r="H1868" s="10">
        <f t="shared" si="29"/>
        <v>3800</v>
      </c>
      <c r="I1868" s="10"/>
      <c r="J1868" s="10"/>
      <c r="K1868" s="10"/>
      <c r="L1868" s="4" t="s">
        <v>52</v>
      </c>
      <c r="M1868" s="4">
        <v>1863</v>
      </c>
    </row>
    <row r="1869" spans="1:13" x14ac:dyDescent="0.25">
      <c r="A1869" s="4" t="s">
        <v>1650</v>
      </c>
      <c r="B1869" s="4" t="s">
        <v>1651</v>
      </c>
      <c r="C1869" s="9" t="s">
        <v>50</v>
      </c>
      <c r="D1869" s="10">
        <v>80</v>
      </c>
      <c r="E1869" s="11" t="s">
        <v>51</v>
      </c>
      <c r="F1869" s="10">
        <v>5050</v>
      </c>
      <c r="G1869" s="10">
        <v>0</v>
      </c>
      <c r="H1869" s="10">
        <f t="shared" si="29"/>
        <v>5050</v>
      </c>
      <c r="I1869" s="10"/>
      <c r="J1869" s="10"/>
      <c r="K1869" s="10"/>
      <c r="L1869" s="4" t="s">
        <v>52</v>
      </c>
      <c r="M1869" s="4">
        <v>1864</v>
      </c>
    </row>
    <row r="1870" spans="1:13" x14ac:dyDescent="0.25">
      <c r="A1870" s="4" t="s">
        <v>1650</v>
      </c>
      <c r="B1870" s="4" t="s">
        <v>1443</v>
      </c>
      <c r="C1870" s="9" t="s">
        <v>50</v>
      </c>
      <c r="D1870" s="10">
        <v>80</v>
      </c>
      <c r="E1870" s="11" t="s">
        <v>51</v>
      </c>
      <c r="F1870" s="10">
        <v>2550</v>
      </c>
      <c r="G1870" s="10">
        <v>0</v>
      </c>
      <c r="H1870" s="10">
        <f t="shared" si="29"/>
        <v>2550</v>
      </c>
      <c r="I1870" s="10"/>
      <c r="J1870" s="10"/>
      <c r="K1870" s="10"/>
      <c r="L1870" s="4" t="s">
        <v>52</v>
      </c>
      <c r="M1870" s="4">
        <v>1865</v>
      </c>
    </row>
    <row r="1871" spans="1:13" x14ac:dyDescent="0.25">
      <c r="A1871" s="4" t="s">
        <v>1652</v>
      </c>
      <c r="B1871" s="4" t="s">
        <v>1653</v>
      </c>
      <c r="C1871" s="4" t="s">
        <v>68</v>
      </c>
      <c r="D1871" s="10">
        <v>10</v>
      </c>
      <c r="E1871" s="11" t="s">
        <v>51</v>
      </c>
      <c r="F1871" s="10">
        <v>850</v>
      </c>
      <c r="G1871" s="10">
        <v>0</v>
      </c>
      <c r="H1871" s="10">
        <f t="shared" si="29"/>
        <v>850</v>
      </c>
      <c r="I1871" s="10"/>
      <c r="J1871" s="10"/>
      <c r="K1871" s="10"/>
      <c r="L1871" s="4" t="s">
        <v>69</v>
      </c>
      <c r="M1871" s="4">
        <v>1866</v>
      </c>
    </row>
    <row r="1872" spans="1:13" x14ac:dyDescent="0.25">
      <c r="A1872" s="4" t="s">
        <v>1652</v>
      </c>
      <c r="B1872" s="4" t="s">
        <v>1654</v>
      </c>
      <c r="C1872" s="4" t="s">
        <v>68</v>
      </c>
      <c r="D1872" s="10">
        <v>30</v>
      </c>
      <c r="E1872" s="11" t="s">
        <v>51</v>
      </c>
      <c r="F1872" s="10">
        <v>2550</v>
      </c>
      <c r="G1872" s="10">
        <v>0</v>
      </c>
      <c r="H1872" s="10">
        <f t="shared" si="29"/>
        <v>2550</v>
      </c>
      <c r="I1872" s="10"/>
      <c r="J1872" s="10"/>
      <c r="K1872" s="10"/>
      <c r="L1872" s="4" t="s">
        <v>69</v>
      </c>
      <c r="M1872" s="4">
        <v>1867</v>
      </c>
    </row>
    <row r="1873" spans="1:13" x14ac:dyDescent="0.25">
      <c r="A1873" s="4" t="s">
        <v>1652</v>
      </c>
      <c r="B1873" s="4" t="s">
        <v>1655</v>
      </c>
      <c r="C1873" s="4" t="s">
        <v>68</v>
      </c>
      <c r="D1873" s="10">
        <v>160</v>
      </c>
      <c r="E1873" s="11" t="s">
        <v>51</v>
      </c>
      <c r="F1873" s="10">
        <v>500</v>
      </c>
      <c r="G1873" s="10">
        <v>0</v>
      </c>
      <c r="H1873" s="10">
        <f t="shared" si="29"/>
        <v>500</v>
      </c>
      <c r="I1873" s="10"/>
      <c r="J1873" s="10"/>
      <c r="K1873" s="10"/>
      <c r="L1873" s="4" t="s">
        <v>69</v>
      </c>
      <c r="M1873" s="4">
        <v>1868</v>
      </c>
    </row>
    <row r="1874" spans="1:13" x14ac:dyDescent="0.25">
      <c r="A1874" s="4" t="s">
        <v>1656</v>
      </c>
      <c r="B1874" s="4" t="s">
        <v>1657</v>
      </c>
      <c r="C1874" s="4" t="s">
        <v>68</v>
      </c>
      <c r="D1874" s="10">
        <v>10</v>
      </c>
      <c r="E1874" s="11" t="s">
        <v>51</v>
      </c>
      <c r="F1874" s="10">
        <v>850</v>
      </c>
      <c r="G1874" s="10">
        <v>0</v>
      </c>
      <c r="H1874" s="10">
        <f t="shared" si="29"/>
        <v>850</v>
      </c>
      <c r="I1874" s="10"/>
      <c r="J1874" s="10"/>
      <c r="K1874" s="10"/>
      <c r="L1874" s="4" t="s">
        <v>69</v>
      </c>
      <c r="M1874" s="4">
        <v>1869</v>
      </c>
    </row>
    <row r="1875" spans="1:13" x14ac:dyDescent="0.25">
      <c r="A1875" s="4" t="s">
        <v>1656</v>
      </c>
      <c r="B1875" s="4" t="s">
        <v>1658</v>
      </c>
      <c r="C1875" s="4" t="s">
        <v>68</v>
      </c>
      <c r="D1875" s="10">
        <v>80</v>
      </c>
      <c r="E1875" s="11" t="s">
        <v>51</v>
      </c>
      <c r="F1875" s="10">
        <v>6800</v>
      </c>
      <c r="G1875" s="10">
        <v>0</v>
      </c>
      <c r="H1875" s="10">
        <f t="shared" si="29"/>
        <v>6800</v>
      </c>
      <c r="I1875" s="10"/>
      <c r="J1875" s="10"/>
      <c r="K1875" s="10"/>
      <c r="L1875" s="4" t="s">
        <v>69</v>
      </c>
      <c r="M1875" s="4">
        <v>1870</v>
      </c>
    </row>
    <row r="1876" spans="1:13" x14ac:dyDescent="0.25">
      <c r="A1876" s="4" t="s">
        <v>1656</v>
      </c>
      <c r="B1876" s="4" t="s">
        <v>1659</v>
      </c>
      <c r="C1876" s="4" t="s">
        <v>68</v>
      </c>
      <c r="D1876" s="10">
        <v>170.5</v>
      </c>
      <c r="E1876" s="11" t="s">
        <v>51</v>
      </c>
      <c r="F1876" s="10">
        <v>3000</v>
      </c>
      <c r="G1876" s="10">
        <v>0</v>
      </c>
      <c r="H1876" s="10">
        <f t="shared" si="29"/>
        <v>3000</v>
      </c>
      <c r="I1876" s="10"/>
      <c r="J1876" s="10"/>
      <c r="K1876" s="10"/>
      <c r="L1876" s="4" t="s">
        <v>69</v>
      </c>
      <c r="M1876" s="4">
        <v>1871</v>
      </c>
    </row>
    <row r="1877" spans="1:13" x14ac:dyDescent="0.25">
      <c r="A1877" s="4" t="s">
        <v>1660</v>
      </c>
      <c r="B1877" s="4" t="s">
        <v>1661</v>
      </c>
      <c r="C1877" s="4" t="s">
        <v>65</v>
      </c>
      <c r="D1877" s="10">
        <v>66</v>
      </c>
      <c r="E1877" s="12" t="s">
        <v>66</v>
      </c>
      <c r="F1877" s="10">
        <v>5900</v>
      </c>
      <c r="G1877" s="10">
        <v>0</v>
      </c>
      <c r="H1877" s="10">
        <f t="shared" si="29"/>
        <v>5900</v>
      </c>
      <c r="I1877" s="10">
        <v>89.393939393939391</v>
      </c>
      <c r="J1877" s="10">
        <v>89.393939393939391</v>
      </c>
      <c r="K1877" s="10">
        <v>89.393939393939391</v>
      </c>
      <c r="L1877" s="4"/>
      <c r="M1877" s="4">
        <v>1872</v>
      </c>
    </row>
    <row r="1878" spans="1:13" x14ac:dyDescent="0.25">
      <c r="A1878" s="4" t="s">
        <v>1660</v>
      </c>
      <c r="B1878" s="4" t="s">
        <v>1662</v>
      </c>
      <c r="C1878" s="4" t="s">
        <v>65</v>
      </c>
      <c r="D1878" s="10">
        <v>40</v>
      </c>
      <c r="E1878" s="12" t="s">
        <v>66</v>
      </c>
      <c r="F1878" s="10">
        <v>2800</v>
      </c>
      <c r="G1878" s="10">
        <v>0</v>
      </c>
      <c r="H1878" s="10">
        <f t="shared" si="29"/>
        <v>2800</v>
      </c>
      <c r="I1878" s="10">
        <v>70</v>
      </c>
      <c r="J1878" s="10">
        <v>70</v>
      </c>
      <c r="K1878" s="10">
        <v>70</v>
      </c>
      <c r="L1878" s="4"/>
      <c r="M1878" s="4">
        <v>1873</v>
      </c>
    </row>
    <row r="1879" spans="1:13" x14ac:dyDescent="0.25">
      <c r="A1879" s="4" t="s">
        <v>1660</v>
      </c>
      <c r="B1879" s="4" t="s">
        <v>1663</v>
      </c>
      <c r="C1879" s="4" t="s">
        <v>65</v>
      </c>
      <c r="D1879" s="10">
        <v>40.5</v>
      </c>
      <c r="E1879" s="12" t="s">
        <v>66</v>
      </c>
      <c r="F1879" s="10">
        <v>490</v>
      </c>
      <c r="G1879" s="10">
        <v>0</v>
      </c>
      <c r="H1879" s="10">
        <f t="shared" si="29"/>
        <v>490</v>
      </c>
      <c r="I1879" s="10">
        <v>108.8888888888889</v>
      </c>
      <c r="J1879" s="10">
        <v>108.8888888888889</v>
      </c>
      <c r="K1879" s="10">
        <v>108.8888888888889</v>
      </c>
      <c r="L1879" s="4"/>
      <c r="M1879" s="4">
        <v>1874</v>
      </c>
    </row>
    <row r="1880" spans="1:13" x14ac:dyDescent="0.25">
      <c r="A1880" s="4" t="s">
        <v>1664</v>
      </c>
      <c r="B1880" s="4" t="s">
        <v>1665</v>
      </c>
      <c r="C1880" s="4" t="s">
        <v>68</v>
      </c>
      <c r="D1880" s="10">
        <v>36</v>
      </c>
      <c r="E1880" s="11" t="s">
        <v>51</v>
      </c>
      <c r="F1880" s="10">
        <v>3600</v>
      </c>
      <c r="G1880" s="10">
        <v>0</v>
      </c>
      <c r="H1880" s="10">
        <f t="shared" si="29"/>
        <v>3600</v>
      </c>
      <c r="I1880" s="10"/>
      <c r="J1880" s="10"/>
      <c r="K1880" s="10"/>
      <c r="L1880" s="4" t="s">
        <v>69</v>
      </c>
      <c r="M1880" s="4">
        <v>1875</v>
      </c>
    </row>
    <row r="1881" spans="1:13" x14ac:dyDescent="0.25">
      <c r="A1881" s="4" t="s">
        <v>1666</v>
      </c>
      <c r="B1881" s="4" t="s">
        <v>1667</v>
      </c>
      <c r="C1881" s="4" t="s">
        <v>68</v>
      </c>
      <c r="D1881" s="10">
        <v>630</v>
      </c>
      <c r="E1881" s="11" t="s">
        <v>51</v>
      </c>
      <c r="F1881" s="10">
        <v>1352</v>
      </c>
      <c r="G1881" s="10">
        <v>0</v>
      </c>
      <c r="H1881" s="10">
        <f t="shared" si="29"/>
        <v>1352</v>
      </c>
      <c r="I1881" s="10"/>
      <c r="J1881" s="10"/>
      <c r="K1881" s="10"/>
      <c r="L1881" s="4" t="s">
        <v>69</v>
      </c>
      <c r="M1881" s="4">
        <v>1876</v>
      </c>
    </row>
    <row r="1882" spans="1:13" x14ac:dyDescent="0.25">
      <c r="A1882" s="4" t="s">
        <v>1668</v>
      </c>
      <c r="B1882" s="4" t="s">
        <v>136</v>
      </c>
      <c r="C1882" s="9" t="s">
        <v>50</v>
      </c>
      <c r="D1882" s="10">
        <v>36</v>
      </c>
      <c r="E1882" s="11" t="s">
        <v>51</v>
      </c>
      <c r="F1882" s="10">
        <v>5700</v>
      </c>
      <c r="G1882" s="10">
        <v>0</v>
      </c>
      <c r="H1882" s="10">
        <f t="shared" si="29"/>
        <v>5700</v>
      </c>
      <c r="I1882" s="10"/>
      <c r="J1882" s="10"/>
      <c r="K1882" s="10"/>
      <c r="L1882" s="4" t="s">
        <v>52</v>
      </c>
      <c r="M1882" s="4">
        <v>1877</v>
      </c>
    </row>
    <row r="1883" spans="1:13" x14ac:dyDescent="0.25">
      <c r="A1883" s="4" t="s">
        <v>1668</v>
      </c>
      <c r="B1883" s="4" t="s">
        <v>82</v>
      </c>
      <c r="C1883" s="9" t="s">
        <v>50</v>
      </c>
      <c r="D1883" s="10">
        <v>72</v>
      </c>
      <c r="E1883" s="11" t="s">
        <v>51</v>
      </c>
      <c r="F1883" s="10">
        <v>11400</v>
      </c>
      <c r="G1883" s="10">
        <v>0</v>
      </c>
      <c r="H1883" s="10">
        <f t="shared" si="29"/>
        <v>11400</v>
      </c>
      <c r="I1883" s="10"/>
      <c r="J1883" s="10"/>
      <c r="K1883" s="10"/>
      <c r="L1883" s="4" t="s">
        <v>52</v>
      </c>
      <c r="M1883" s="4">
        <v>1878</v>
      </c>
    </row>
    <row r="1884" spans="1:13" x14ac:dyDescent="0.25">
      <c r="A1884" s="4" t="s">
        <v>1668</v>
      </c>
      <c r="B1884" s="4" t="s">
        <v>88</v>
      </c>
      <c r="C1884" s="9" t="s">
        <v>50</v>
      </c>
      <c r="D1884" s="10">
        <v>84</v>
      </c>
      <c r="E1884" s="11" t="s">
        <v>51</v>
      </c>
      <c r="F1884" s="10">
        <v>13300</v>
      </c>
      <c r="G1884" s="10">
        <v>0</v>
      </c>
      <c r="H1884" s="10">
        <f t="shared" si="29"/>
        <v>13300</v>
      </c>
      <c r="I1884" s="10"/>
      <c r="J1884" s="10"/>
      <c r="K1884" s="10"/>
      <c r="L1884" s="4" t="s">
        <v>52</v>
      </c>
      <c r="M1884" s="4">
        <v>1879</v>
      </c>
    </row>
    <row r="1885" spans="1:13" x14ac:dyDescent="0.25">
      <c r="A1885" s="4" t="s">
        <v>1668</v>
      </c>
      <c r="B1885" s="4" t="s">
        <v>137</v>
      </c>
      <c r="C1885" s="9" t="s">
        <v>50</v>
      </c>
      <c r="D1885" s="10">
        <v>90</v>
      </c>
      <c r="E1885" s="11" t="s">
        <v>51</v>
      </c>
      <c r="F1885" s="10">
        <v>14250</v>
      </c>
      <c r="G1885" s="10">
        <v>0</v>
      </c>
      <c r="H1885" s="10">
        <f t="shared" si="29"/>
        <v>14250</v>
      </c>
      <c r="I1885" s="10"/>
      <c r="J1885" s="10"/>
      <c r="K1885" s="10"/>
      <c r="L1885" s="4" t="s">
        <v>52</v>
      </c>
      <c r="M1885" s="4">
        <v>1880</v>
      </c>
    </row>
    <row r="1886" spans="1:13" x14ac:dyDescent="0.25">
      <c r="A1886" s="4" t="s">
        <v>1668</v>
      </c>
      <c r="B1886" s="4" t="s">
        <v>106</v>
      </c>
      <c r="C1886" s="9" t="s">
        <v>50</v>
      </c>
      <c r="D1886" s="10">
        <v>192</v>
      </c>
      <c r="E1886" s="11" t="s">
        <v>51</v>
      </c>
      <c r="F1886" s="10">
        <v>30400</v>
      </c>
      <c r="G1886" s="10">
        <v>0</v>
      </c>
      <c r="H1886" s="10">
        <f t="shared" si="29"/>
        <v>30400</v>
      </c>
      <c r="I1886" s="10"/>
      <c r="J1886" s="10"/>
      <c r="K1886" s="10"/>
      <c r="L1886" s="4" t="s">
        <v>52</v>
      </c>
      <c r="M1886" s="4">
        <v>1881</v>
      </c>
    </row>
    <row r="1887" spans="1:13" x14ac:dyDescent="0.25">
      <c r="A1887" s="4" t="s">
        <v>1668</v>
      </c>
      <c r="B1887" s="4" t="s">
        <v>1669</v>
      </c>
      <c r="C1887" s="9" t="s">
        <v>50</v>
      </c>
      <c r="D1887" s="10">
        <v>172</v>
      </c>
      <c r="E1887" s="11" t="s">
        <v>51</v>
      </c>
      <c r="F1887" s="10">
        <v>16000</v>
      </c>
      <c r="G1887" s="10">
        <v>0</v>
      </c>
      <c r="H1887" s="10">
        <f t="shared" si="29"/>
        <v>16000</v>
      </c>
      <c r="I1887" s="10"/>
      <c r="J1887" s="10"/>
      <c r="K1887" s="10"/>
      <c r="L1887" s="4" t="s">
        <v>52</v>
      </c>
      <c r="M1887" s="4">
        <v>1882</v>
      </c>
    </row>
    <row r="1888" spans="1:13" x14ac:dyDescent="0.25">
      <c r="A1888" s="4" t="s">
        <v>1670</v>
      </c>
      <c r="B1888" s="4" t="s">
        <v>1671</v>
      </c>
      <c r="C1888" s="4" t="s">
        <v>65</v>
      </c>
      <c r="D1888" s="10">
        <v>1203.75</v>
      </c>
      <c r="E1888" s="12" t="s">
        <v>66</v>
      </c>
      <c r="F1888" s="10">
        <v>1750</v>
      </c>
      <c r="G1888" s="10">
        <v>0</v>
      </c>
      <c r="H1888" s="10">
        <f t="shared" si="29"/>
        <v>1750</v>
      </c>
      <c r="I1888" s="10">
        <v>109.375</v>
      </c>
      <c r="J1888" s="10">
        <v>109.375</v>
      </c>
      <c r="K1888" s="10">
        <v>109.375</v>
      </c>
      <c r="L1888" s="4"/>
      <c r="M1888" s="4">
        <v>1883</v>
      </c>
    </row>
    <row r="1889" spans="1:13" x14ac:dyDescent="0.25">
      <c r="A1889" s="4" t="s">
        <v>1672</v>
      </c>
      <c r="B1889" s="4" t="s">
        <v>136</v>
      </c>
      <c r="C1889" s="9" t="s">
        <v>50</v>
      </c>
      <c r="D1889" s="10">
        <v>6</v>
      </c>
      <c r="E1889" s="11" t="s">
        <v>51</v>
      </c>
      <c r="F1889" s="10">
        <v>600</v>
      </c>
      <c r="G1889" s="10">
        <v>0</v>
      </c>
      <c r="H1889" s="10">
        <f t="shared" si="29"/>
        <v>600</v>
      </c>
      <c r="I1889" s="10"/>
      <c r="J1889" s="10"/>
      <c r="K1889" s="10"/>
      <c r="L1889" s="4" t="s">
        <v>52</v>
      </c>
      <c r="M1889" s="4">
        <v>1884</v>
      </c>
    </row>
    <row r="1890" spans="1:13" x14ac:dyDescent="0.25">
      <c r="A1890" s="4" t="s">
        <v>1672</v>
      </c>
      <c r="B1890" s="4" t="s">
        <v>82</v>
      </c>
      <c r="C1890" s="9" t="s">
        <v>50</v>
      </c>
      <c r="D1890" s="10">
        <v>108</v>
      </c>
      <c r="E1890" s="11" t="s">
        <v>51</v>
      </c>
      <c r="F1890" s="10">
        <v>10550</v>
      </c>
      <c r="G1890" s="10">
        <v>0</v>
      </c>
      <c r="H1890" s="10">
        <f t="shared" si="29"/>
        <v>10550</v>
      </c>
      <c r="I1890" s="10"/>
      <c r="J1890" s="10"/>
      <c r="K1890" s="10"/>
      <c r="L1890" s="4" t="s">
        <v>52</v>
      </c>
      <c r="M1890" s="4">
        <v>1885</v>
      </c>
    </row>
    <row r="1891" spans="1:13" x14ac:dyDescent="0.25">
      <c r="A1891" s="4" t="s">
        <v>1672</v>
      </c>
      <c r="B1891" s="4" t="s">
        <v>88</v>
      </c>
      <c r="C1891" s="9" t="s">
        <v>50</v>
      </c>
      <c r="D1891" s="10">
        <v>189</v>
      </c>
      <c r="E1891" s="11" t="s">
        <v>51</v>
      </c>
      <c r="F1891" s="10">
        <v>17100</v>
      </c>
      <c r="G1891" s="10">
        <v>0</v>
      </c>
      <c r="H1891" s="10">
        <f t="shared" si="29"/>
        <v>17100</v>
      </c>
      <c r="I1891" s="10"/>
      <c r="J1891" s="10"/>
      <c r="K1891" s="10"/>
      <c r="L1891" s="4" t="s">
        <v>52</v>
      </c>
      <c r="M1891" s="4">
        <v>1886</v>
      </c>
    </row>
    <row r="1892" spans="1:13" x14ac:dyDescent="0.25">
      <c r="A1892" s="4" t="s">
        <v>1672</v>
      </c>
      <c r="B1892" s="4" t="s">
        <v>137</v>
      </c>
      <c r="C1892" s="9" t="s">
        <v>50</v>
      </c>
      <c r="D1892" s="10">
        <v>110</v>
      </c>
      <c r="E1892" s="11" t="s">
        <v>51</v>
      </c>
      <c r="F1892" s="10">
        <v>9550</v>
      </c>
      <c r="G1892" s="10">
        <v>0</v>
      </c>
      <c r="H1892" s="10">
        <f t="shared" si="29"/>
        <v>9550</v>
      </c>
      <c r="I1892" s="10"/>
      <c r="J1892" s="10"/>
      <c r="K1892" s="10"/>
      <c r="L1892" s="4" t="s">
        <v>52</v>
      </c>
      <c r="M1892" s="4">
        <v>1887</v>
      </c>
    </row>
    <row r="1893" spans="1:13" x14ac:dyDescent="0.25">
      <c r="A1893" s="4" t="s">
        <v>1672</v>
      </c>
      <c r="B1893" s="4" t="s">
        <v>1673</v>
      </c>
      <c r="C1893" s="9" t="s">
        <v>50</v>
      </c>
      <c r="D1893" s="10">
        <v>20</v>
      </c>
      <c r="E1893" s="11" t="s">
        <v>51</v>
      </c>
      <c r="F1893" s="10">
        <v>1700</v>
      </c>
      <c r="G1893" s="10">
        <v>0</v>
      </c>
      <c r="H1893" s="10">
        <f t="shared" si="29"/>
        <v>1700</v>
      </c>
      <c r="I1893" s="10">
        <v>85</v>
      </c>
      <c r="J1893" s="10">
        <v>85</v>
      </c>
      <c r="K1893" s="10">
        <v>85</v>
      </c>
      <c r="L1893" s="4" t="s">
        <v>259</v>
      </c>
      <c r="M1893" s="4">
        <v>1888</v>
      </c>
    </row>
    <row r="1894" spans="1:13" x14ac:dyDescent="0.25">
      <c r="A1894" s="4" t="s">
        <v>1672</v>
      </c>
      <c r="B1894" s="4" t="s">
        <v>1674</v>
      </c>
      <c r="C1894" s="9" t="s">
        <v>50</v>
      </c>
      <c r="D1894" s="10">
        <v>100</v>
      </c>
      <c r="E1894" s="11" t="s">
        <v>51</v>
      </c>
      <c r="F1894" s="10">
        <v>8500</v>
      </c>
      <c r="G1894" s="10">
        <v>0</v>
      </c>
      <c r="H1894" s="10">
        <f t="shared" si="29"/>
        <v>8500</v>
      </c>
      <c r="I1894" s="10"/>
      <c r="J1894" s="10"/>
      <c r="K1894" s="10"/>
      <c r="L1894" s="4" t="s">
        <v>52</v>
      </c>
      <c r="M1894" s="4">
        <v>1889</v>
      </c>
    </row>
    <row r="1895" spans="1:13" x14ac:dyDescent="0.25">
      <c r="A1895" s="4" t="s">
        <v>1672</v>
      </c>
      <c r="B1895" s="4" t="s">
        <v>1675</v>
      </c>
      <c r="C1895" s="9" t="s">
        <v>50</v>
      </c>
      <c r="D1895" s="10">
        <v>16.75</v>
      </c>
      <c r="E1895" s="11" t="s">
        <v>51</v>
      </c>
      <c r="F1895" s="10">
        <v>1650</v>
      </c>
      <c r="G1895" s="10">
        <v>0</v>
      </c>
      <c r="H1895" s="10">
        <f t="shared" si="29"/>
        <v>1650</v>
      </c>
      <c r="I1895" s="10"/>
      <c r="J1895" s="10"/>
      <c r="K1895" s="10"/>
      <c r="L1895" s="4" t="s">
        <v>52</v>
      </c>
      <c r="M1895" s="4">
        <v>1890</v>
      </c>
    </row>
    <row r="1896" spans="1:13" x14ac:dyDescent="0.25">
      <c r="A1896" s="4" t="s">
        <v>1672</v>
      </c>
      <c r="B1896" s="4" t="s">
        <v>1676</v>
      </c>
      <c r="C1896" s="9" t="s">
        <v>50</v>
      </c>
      <c r="D1896" s="10">
        <v>261</v>
      </c>
      <c r="E1896" s="11" t="s">
        <v>51</v>
      </c>
      <c r="F1896" s="10">
        <v>27250</v>
      </c>
      <c r="G1896" s="10">
        <v>0</v>
      </c>
      <c r="H1896" s="10">
        <f t="shared" si="29"/>
        <v>27250</v>
      </c>
      <c r="I1896" s="10"/>
      <c r="J1896" s="10"/>
      <c r="K1896" s="10"/>
      <c r="L1896" s="4" t="s">
        <v>52</v>
      </c>
      <c r="M1896" s="4">
        <v>1891</v>
      </c>
    </row>
    <row r="1897" spans="1:13" x14ac:dyDescent="0.25">
      <c r="A1897" s="4" t="s">
        <v>1672</v>
      </c>
      <c r="B1897" s="4" t="s">
        <v>1677</v>
      </c>
      <c r="C1897" s="9" t="s">
        <v>50</v>
      </c>
      <c r="D1897" s="10">
        <v>20</v>
      </c>
      <c r="E1897" s="11" t="s">
        <v>51</v>
      </c>
      <c r="F1897" s="10">
        <v>1700</v>
      </c>
      <c r="G1897" s="10">
        <v>0</v>
      </c>
      <c r="H1897" s="10">
        <f t="shared" si="29"/>
        <v>1700</v>
      </c>
      <c r="I1897" s="10"/>
      <c r="J1897" s="10"/>
      <c r="K1897" s="10"/>
      <c r="L1897" s="4" t="s">
        <v>52</v>
      </c>
      <c r="M1897" s="4">
        <v>1892</v>
      </c>
    </row>
    <row r="1898" spans="1:13" x14ac:dyDescent="0.25">
      <c r="A1898" s="4" t="s">
        <v>1672</v>
      </c>
      <c r="B1898" s="4" t="s">
        <v>1678</v>
      </c>
      <c r="C1898" s="9" t="s">
        <v>50</v>
      </c>
      <c r="D1898" s="10">
        <v>20</v>
      </c>
      <c r="E1898" s="11" t="s">
        <v>51</v>
      </c>
      <c r="F1898" s="10">
        <v>1700</v>
      </c>
      <c r="G1898" s="10">
        <v>0</v>
      </c>
      <c r="H1898" s="10">
        <f t="shared" si="29"/>
        <v>1700</v>
      </c>
      <c r="I1898" s="10"/>
      <c r="J1898" s="10"/>
      <c r="K1898" s="10"/>
      <c r="L1898" s="4" t="s">
        <v>52</v>
      </c>
      <c r="M1898" s="4">
        <v>1893</v>
      </c>
    </row>
    <row r="1899" spans="1:13" x14ac:dyDescent="0.25">
      <c r="A1899" s="4" t="s">
        <v>1672</v>
      </c>
      <c r="B1899" s="4" t="s">
        <v>1679</v>
      </c>
      <c r="C1899" s="4" t="s">
        <v>65</v>
      </c>
      <c r="D1899" s="10">
        <v>194</v>
      </c>
      <c r="E1899" s="12" t="s">
        <v>66</v>
      </c>
      <c r="F1899" s="10">
        <v>19000</v>
      </c>
      <c r="G1899" s="10">
        <v>0</v>
      </c>
      <c r="H1899" s="10">
        <f t="shared" si="29"/>
        <v>19000</v>
      </c>
      <c r="I1899" s="10">
        <v>97.9381443298969</v>
      </c>
      <c r="J1899" s="10">
        <v>97.9381443298969</v>
      </c>
      <c r="K1899" s="10">
        <v>97.9381443298969</v>
      </c>
      <c r="L1899" s="4"/>
      <c r="M1899" s="4">
        <v>1894</v>
      </c>
    </row>
    <row r="1900" spans="1:13" x14ac:dyDescent="0.25">
      <c r="A1900" s="4" t="s">
        <v>1672</v>
      </c>
      <c r="B1900" s="4" t="s">
        <v>1680</v>
      </c>
      <c r="C1900" s="4" t="s">
        <v>65</v>
      </c>
      <c r="D1900" s="10">
        <v>50</v>
      </c>
      <c r="E1900" s="12" t="s">
        <v>66</v>
      </c>
      <c r="F1900" s="10">
        <v>4900</v>
      </c>
      <c r="G1900" s="10">
        <v>0</v>
      </c>
      <c r="H1900" s="10">
        <f t="shared" si="29"/>
        <v>4900</v>
      </c>
      <c r="I1900" s="10">
        <v>98</v>
      </c>
      <c r="J1900" s="10">
        <v>98</v>
      </c>
      <c r="K1900" s="10">
        <v>98</v>
      </c>
      <c r="L1900" s="4"/>
      <c r="M1900" s="4">
        <v>1895</v>
      </c>
    </row>
    <row r="1901" spans="1:13" x14ac:dyDescent="0.25">
      <c r="A1901" s="4" t="s">
        <v>1672</v>
      </c>
      <c r="B1901" s="4" t="s">
        <v>1681</v>
      </c>
      <c r="C1901" s="9" t="s">
        <v>50</v>
      </c>
      <c r="D1901" s="10">
        <v>158</v>
      </c>
      <c r="E1901" s="11" t="s">
        <v>51</v>
      </c>
      <c r="F1901" s="10">
        <v>2915</v>
      </c>
      <c r="G1901" s="10">
        <v>0</v>
      </c>
      <c r="H1901" s="10">
        <f t="shared" si="29"/>
        <v>2915</v>
      </c>
      <c r="I1901" s="10"/>
      <c r="J1901" s="10"/>
      <c r="K1901" s="10"/>
      <c r="L1901" s="4" t="s">
        <v>52</v>
      </c>
      <c r="M1901" s="4">
        <v>1896</v>
      </c>
    </row>
    <row r="1902" spans="1:13" x14ac:dyDescent="0.25">
      <c r="A1902" s="4" t="s">
        <v>1682</v>
      </c>
      <c r="B1902" s="4" t="s">
        <v>1683</v>
      </c>
      <c r="C1902" s="4" t="s">
        <v>68</v>
      </c>
      <c r="D1902" s="10">
        <v>71.5</v>
      </c>
      <c r="E1902" s="11" t="s">
        <v>51</v>
      </c>
      <c r="F1902" s="10">
        <v>3960</v>
      </c>
      <c r="G1902" s="10">
        <v>0</v>
      </c>
      <c r="H1902" s="10">
        <f t="shared" si="29"/>
        <v>3960</v>
      </c>
      <c r="I1902" s="10"/>
      <c r="J1902" s="10"/>
      <c r="K1902" s="10"/>
      <c r="L1902" s="4" t="s">
        <v>69</v>
      </c>
      <c r="M1902" s="4">
        <v>1897</v>
      </c>
    </row>
    <row r="1903" spans="1:13" x14ac:dyDescent="0.25">
      <c r="A1903" s="4" t="s">
        <v>1684</v>
      </c>
      <c r="B1903" s="4" t="s">
        <v>1685</v>
      </c>
      <c r="C1903" s="4" t="s">
        <v>65</v>
      </c>
      <c r="D1903" s="10">
        <v>76.5</v>
      </c>
      <c r="E1903" s="12" t="s">
        <v>66</v>
      </c>
      <c r="F1903" s="10">
        <v>2250</v>
      </c>
      <c r="G1903" s="10">
        <v>0</v>
      </c>
      <c r="H1903" s="10">
        <f t="shared" si="29"/>
        <v>2250</v>
      </c>
      <c r="I1903" s="10">
        <v>84.905660377358487</v>
      </c>
      <c r="J1903" s="10">
        <v>84.905660377358487</v>
      </c>
      <c r="K1903" s="10">
        <v>84.905660377358487</v>
      </c>
      <c r="L1903" s="4"/>
      <c r="M1903" s="4">
        <v>1898</v>
      </c>
    </row>
    <row r="1904" spans="1:13" x14ac:dyDescent="0.25">
      <c r="A1904" s="4" t="s">
        <v>1686</v>
      </c>
      <c r="B1904" s="4" t="s">
        <v>107</v>
      </c>
      <c r="C1904" s="9" t="s">
        <v>50</v>
      </c>
      <c r="D1904" s="10">
        <v>89</v>
      </c>
      <c r="E1904" s="11" t="s">
        <v>51</v>
      </c>
      <c r="F1904" s="10">
        <v>4500</v>
      </c>
      <c r="G1904" s="10">
        <v>0</v>
      </c>
      <c r="H1904" s="10">
        <f t="shared" si="29"/>
        <v>4500</v>
      </c>
      <c r="I1904" s="10"/>
      <c r="J1904" s="10"/>
      <c r="K1904" s="10"/>
      <c r="L1904" s="4" t="s">
        <v>52</v>
      </c>
      <c r="M1904" s="4">
        <v>1899</v>
      </c>
    </row>
    <row r="1905" spans="1:13" x14ac:dyDescent="0.25">
      <c r="A1905" s="4" t="s">
        <v>1687</v>
      </c>
      <c r="B1905" s="4" t="s">
        <v>785</v>
      </c>
      <c r="C1905" s="4" t="s">
        <v>65</v>
      </c>
      <c r="D1905" s="10">
        <v>68</v>
      </c>
      <c r="E1905" s="12" t="s">
        <v>66</v>
      </c>
      <c r="F1905" s="10">
        <v>4300</v>
      </c>
      <c r="G1905" s="10">
        <v>0</v>
      </c>
      <c r="H1905" s="10">
        <f t="shared" si="29"/>
        <v>4300</v>
      </c>
      <c r="I1905" s="10">
        <v>110.25641025641031</v>
      </c>
      <c r="J1905" s="10">
        <v>110.25641025641031</v>
      </c>
      <c r="K1905" s="10">
        <v>110.25641025641031</v>
      </c>
      <c r="L1905" s="4"/>
      <c r="M1905" s="4">
        <v>1900</v>
      </c>
    </row>
    <row r="1906" spans="1:13" x14ac:dyDescent="0.25">
      <c r="A1906" s="4" t="s">
        <v>1688</v>
      </c>
      <c r="B1906" s="4" t="s">
        <v>1689</v>
      </c>
      <c r="C1906" s="4" t="s">
        <v>68</v>
      </c>
      <c r="D1906" s="10">
        <v>8</v>
      </c>
      <c r="E1906" s="11" t="s">
        <v>51</v>
      </c>
      <c r="F1906" s="10">
        <v>560</v>
      </c>
      <c r="G1906" s="10">
        <v>0</v>
      </c>
      <c r="H1906" s="10">
        <f t="shared" si="29"/>
        <v>560</v>
      </c>
      <c r="I1906" s="10"/>
      <c r="J1906" s="10"/>
      <c r="K1906" s="10"/>
      <c r="L1906" s="4" t="s">
        <v>69</v>
      </c>
      <c r="M1906" s="4">
        <v>1901</v>
      </c>
    </row>
    <row r="1907" spans="1:13" x14ac:dyDescent="0.25">
      <c r="A1907" s="4" t="s">
        <v>1688</v>
      </c>
      <c r="B1907" s="4" t="s">
        <v>1690</v>
      </c>
      <c r="C1907" s="4" t="s">
        <v>65</v>
      </c>
      <c r="D1907" s="10">
        <v>83</v>
      </c>
      <c r="E1907" s="12" t="s">
        <v>66</v>
      </c>
      <c r="F1907" s="10">
        <v>1700</v>
      </c>
      <c r="G1907" s="10">
        <v>0</v>
      </c>
      <c r="H1907" s="10">
        <f t="shared" si="29"/>
        <v>1700</v>
      </c>
      <c r="I1907" s="10">
        <v>80.952380952380949</v>
      </c>
      <c r="J1907" s="10">
        <v>80.952380952380949</v>
      </c>
      <c r="K1907" s="10">
        <v>80.952380952380949</v>
      </c>
      <c r="L1907" s="4"/>
      <c r="M1907" s="4">
        <v>1902</v>
      </c>
    </row>
    <row r="1908" spans="1:13" x14ac:dyDescent="0.25">
      <c r="A1908" s="4" t="s">
        <v>1691</v>
      </c>
      <c r="B1908" s="4" t="s">
        <v>137</v>
      </c>
      <c r="C1908" s="9" t="s">
        <v>50</v>
      </c>
      <c r="D1908" s="10">
        <v>415.5</v>
      </c>
      <c r="E1908" s="11" t="s">
        <v>51</v>
      </c>
      <c r="F1908" s="10">
        <v>5418.18</v>
      </c>
      <c r="G1908" s="10">
        <v>0</v>
      </c>
      <c r="H1908" s="10">
        <f t="shared" si="29"/>
        <v>5418.18</v>
      </c>
      <c r="I1908" s="10"/>
      <c r="J1908" s="10"/>
      <c r="K1908" s="10"/>
      <c r="L1908" s="4" t="s">
        <v>52</v>
      </c>
      <c r="M1908" s="4">
        <v>1903</v>
      </c>
    </row>
    <row r="1909" spans="1:13" x14ac:dyDescent="0.25">
      <c r="A1909" s="4" t="s">
        <v>1692</v>
      </c>
      <c r="B1909" s="4" t="s">
        <v>82</v>
      </c>
      <c r="C1909" s="9" t="s">
        <v>50</v>
      </c>
      <c r="D1909" s="10">
        <v>43</v>
      </c>
      <c r="E1909" s="11" t="s">
        <v>51</v>
      </c>
      <c r="F1909" s="10">
        <v>3800</v>
      </c>
      <c r="G1909" s="10">
        <v>0</v>
      </c>
      <c r="H1909" s="10">
        <f t="shared" si="29"/>
        <v>3800</v>
      </c>
      <c r="I1909" s="10"/>
      <c r="J1909" s="10"/>
      <c r="K1909" s="10"/>
      <c r="L1909" s="4" t="s">
        <v>52</v>
      </c>
      <c r="M1909" s="4">
        <v>1904</v>
      </c>
    </row>
    <row r="1910" spans="1:13" x14ac:dyDescent="0.25">
      <c r="A1910" s="4" t="s">
        <v>1692</v>
      </c>
      <c r="B1910" s="4" t="s">
        <v>88</v>
      </c>
      <c r="C1910" s="9" t="s">
        <v>50</v>
      </c>
      <c r="D1910" s="10">
        <v>55.5</v>
      </c>
      <c r="E1910" s="11" t="s">
        <v>51</v>
      </c>
      <c r="F1910" s="10">
        <v>4900</v>
      </c>
      <c r="G1910" s="10">
        <v>0</v>
      </c>
      <c r="H1910" s="10">
        <f t="shared" si="29"/>
        <v>4900</v>
      </c>
      <c r="I1910" s="10"/>
      <c r="J1910" s="10"/>
      <c r="K1910" s="10"/>
      <c r="L1910" s="4" t="s">
        <v>52</v>
      </c>
      <c r="M1910" s="4">
        <v>1905</v>
      </c>
    </row>
    <row r="1911" spans="1:13" x14ac:dyDescent="0.25">
      <c r="A1911" s="4" t="s">
        <v>1692</v>
      </c>
      <c r="B1911" s="4" t="s">
        <v>137</v>
      </c>
      <c r="C1911" s="9" t="s">
        <v>50</v>
      </c>
      <c r="D1911" s="10">
        <v>43</v>
      </c>
      <c r="E1911" s="11" t="s">
        <v>51</v>
      </c>
      <c r="F1911" s="10">
        <v>3800</v>
      </c>
      <c r="G1911" s="10">
        <v>0</v>
      </c>
      <c r="H1911" s="10">
        <f t="shared" si="29"/>
        <v>3800</v>
      </c>
      <c r="I1911" s="10"/>
      <c r="J1911" s="10"/>
      <c r="K1911" s="10"/>
      <c r="L1911" s="4" t="s">
        <v>52</v>
      </c>
      <c r="M1911" s="4">
        <v>1906</v>
      </c>
    </row>
    <row r="1912" spans="1:13" x14ac:dyDescent="0.25">
      <c r="A1912" s="4" t="s">
        <v>1692</v>
      </c>
      <c r="B1912" s="4" t="s">
        <v>1693</v>
      </c>
      <c r="C1912" s="9" t="s">
        <v>50</v>
      </c>
      <c r="D1912" s="10">
        <v>20</v>
      </c>
      <c r="E1912" s="11" t="s">
        <v>51</v>
      </c>
      <c r="F1912" s="10">
        <v>1500</v>
      </c>
      <c r="G1912" s="10">
        <v>0</v>
      </c>
      <c r="H1912" s="10">
        <f t="shared" si="29"/>
        <v>1500</v>
      </c>
      <c r="I1912" s="10"/>
      <c r="J1912" s="10"/>
      <c r="K1912" s="10"/>
      <c r="L1912" s="4" t="s">
        <v>52</v>
      </c>
      <c r="M1912" s="4">
        <v>1907</v>
      </c>
    </row>
    <row r="1913" spans="1:13" x14ac:dyDescent="0.25">
      <c r="A1913" s="4" t="s">
        <v>1692</v>
      </c>
      <c r="B1913" s="4" t="s">
        <v>106</v>
      </c>
      <c r="C1913" s="9" t="s">
        <v>50</v>
      </c>
      <c r="D1913" s="10">
        <v>54</v>
      </c>
      <c r="E1913" s="11" t="s">
        <v>51</v>
      </c>
      <c r="F1913" s="10">
        <v>4800</v>
      </c>
      <c r="G1913" s="10">
        <v>0</v>
      </c>
      <c r="H1913" s="10">
        <f t="shared" si="29"/>
        <v>4800</v>
      </c>
      <c r="I1913" s="10"/>
      <c r="J1913" s="10"/>
      <c r="K1913" s="10"/>
      <c r="L1913" s="4" t="s">
        <v>52</v>
      </c>
      <c r="M1913" s="4">
        <v>1908</v>
      </c>
    </row>
    <row r="1914" spans="1:13" x14ac:dyDescent="0.25">
      <c r="A1914" s="4" t="s">
        <v>1692</v>
      </c>
      <c r="B1914" s="4" t="s">
        <v>1694</v>
      </c>
      <c r="C1914" s="9" t="s">
        <v>50</v>
      </c>
      <c r="D1914" s="10">
        <v>94</v>
      </c>
      <c r="E1914" s="11" t="s">
        <v>51</v>
      </c>
      <c r="F1914" s="10">
        <v>8300</v>
      </c>
      <c r="G1914" s="10">
        <v>0</v>
      </c>
      <c r="H1914" s="10">
        <f t="shared" si="29"/>
        <v>8300</v>
      </c>
      <c r="I1914" s="10"/>
      <c r="J1914" s="10"/>
      <c r="K1914" s="10"/>
      <c r="L1914" s="4" t="s">
        <v>52</v>
      </c>
      <c r="M1914" s="4">
        <v>1909</v>
      </c>
    </row>
    <row r="1915" spans="1:13" x14ac:dyDescent="0.25">
      <c r="A1915" s="4" t="s">
        <v>1692</v>
      </c>
      <c r="B1915" s="4" t="s">
        <v>1695</v>
      </c>
      <c r="C1915" s="9" t="s">
        <v>50</v>
      </c>
      <c r="D1915" s="10">
        <v>44</v>
      </c>
      <c r="E1915" s="11" t="s">
        <v>51</v>
      </c>
      <c r="F1915" s="10">
        <v>2650</v>
      </c>
      <c r="G1915" s="10">
        <v>0</v>
      </c>
      <c r="H1915" s="10">
        <f t="shared" si="29"/>
        <v>2650</v>
      </c>
      <c r="I1915" s="10"/>
      <c r="J1915" s="10"/>
      <c r="K1915" s="10"/>
      <c r="L1915" s="4" t="s">
        <v>52</v>
      </c>
      <c r="M1915" s="4">
        <v>1910</v>
      </c>
    </row>
    <row r="1916" spans="1:13" x14ac:dyDescent="0.25">
      <c r="A1916" s="4" t="s">
        <v>1692</v>
      </c>
      <c r="B1916" s="4" t="s">
        <v>1696</v>
      </c>
      <c r="C1916" s="4" t="s">
        <v>65</v>
      </c>
      <c r="D1916" s="10">
        <v>10</v>
      </c>
      <c r="E1916" s="11" t="s">
        <v>51</v>
      </c>
      <c r="F1916" s="10"/>
      <c r="G1916" s="10">
        <v>0</v>
      </c>
      <c r="H1916" s="10">
        <f t="shared" si="29"/>
        <v>0</v>
      </c>
      <c r="I1916" s="10"/>
      <c r="J1916" s="10"/>
      <c r="K1916" s="10"/>
      <c r="L1916" s="4" t="s">
        <v>69</v>
      </c>
      <c r="M1916" s="4">
        <v>1911</v>
      </c>
    </row>
    <row r="1917" spans="1:13" x14ac:dyDescent="0.25">
      <c r="A1917" s="4" t="s">
        <v>1697</v>
      </c>
      <c r="B1917" s="4" t="s">
        <v>248</v>
      </c>
      <c r="C1917" s="4" t="s">
        <v>68</v>
      </c>
      <c r="D1917" s="10">
        <v>20</v>
      </c>
      <c r="E1917" s="11" t="s">
        <v>51</v>
      </c>
      <c r="F1917" s="10">
        <v>1100</v>
      </c>
      <c r="G1917" s="10">
        <v>0</v>
      </c>
      <c r="H1917" s="10">
        <f t="shared" si="29"/>
        <v>1100</v>
      </c>
      <c r="I1917" s="10"/>
      <c r="J1917" s="10"/>
      <c r="K1917" s="10"/>
      <c r="L1917" s="4" t="s">
        <v>69</v>
      </c>
      <c r="M1917" s="4">
        <v>1912</v>
      </c>
    </row>
    <row r="1918" spans="1:13" x14ac:dyDescent="0.25">
      <c r="A1918" s="4" t="s">
        <v>1698</v>
      </c>
      <c r="B1918" s="4" t="s">
        <v>248</v>
      </c>
      <c r="C1918" s="4" t="s">
        <v>68</v>
      </c>
      <c r="D1918" s="10">
        <v>2080</v>
      </c>
      <c r="E1918" s="11" t="s">
        <v>51</v>
      </c>
      <c r="F1918" s="10">
        <v>2200</v>
      </c>
      <c r="G1918" s="10">
        <v>0</v>
      </c>
      <c r="H1918" s="10">
        <f t="shared" si="29"/>
        <v>2200</v>
      </c>
      <c r="I1918" s="10"/>
      <c r="J1918" s="10"/>
      <c r="K1918" s="10"/>
      <c r="L1918" s="4" t="s">
        <v>69</v>
      </c>
      <c r="M1918" s="4">
        <v>1913</v>
      </c>
    </row>
    <row r="1919" spans="1:13" x14ac:dyDescent="0.25">
      <c r="A1919" s="4" t="s">
        <v>1699</v>
      </c>
      <c r="B1919" s="4" t="s">
        <v>136</v>
      </c>
      <c r="C1919" s="9" t="s">
        <v>50</v>
      </c>
      <c r="D1919" s="10">
        <v>140</v>
      </c>
      <c r="E1919" s="11" t="s">
        <v>51</v>
      </c>
      <c r="F1919" s="10">
        <v>16601.63</v>
      </c>
      <c r="G1919" s="10">
        <v>0</v>
      </c>
      <c r="H1919" s="10">
        <f t="shared" si="29"/>
        <v>16601.63</v>
      </c>
      <c r="I1919" s="10"/>
      <c r="J1919" s="10"/>
      <c r="K1919" s="10"/>
      <c r="L1919" s="4" t="s">
        <v>52</v>
      </c>
      <c r="M1919" s="4">
        <v>1914</v>
      </c>
    </row>
    <row r="1920" spans="1:13" x14ac:dyDescent="0.25">
      <c r="A1920" s="4" t="s">
        <v>1699</v>
      </c>
      <c r="B1920" s="4" t="s">
        <v>82</v>
      </c>
      <c r="C1920" s="9" t="s">
        <v>50</v>
      </c>
      <c r="D1920" s="10">
        <v>137</v>
      </c>
      <c r="E1920" s="11" t="s">
        <v>51</v>
      </c>
      <c r="F1920" s="10">
        <v>16242.2</v>
      </c>
      <c r="G1920" s="10">
        <v>0</v>
      </c>
      <c r="H1920" s="10">
        <f t="shared" si="29"/>
        <v>16242.2</v>
      </c>
      <c r="I1920" s="10"/>
      <c r="J1920" s="10"/>
      <c r="K1920" s="10"/>
      <c r="L1920" s="4" t="s">
        <v>52</v>
      </c>
      <c r="M1920" s="4">
        <v>1915</v>
      </c>
    </row>
    <row r="1921" spans="1:13" x14ac:dyDescent="0.25">
      <c r="A1921" s="4" t="s">
        <v>1699</v>
      </c>
      <c r="B1921" s="4" t="s">
        <v>88</v>
      </c>
      <c r="C1921" s="9" t="s">
        <v>50</v>
      </c>
      <c r="D1921" s="10">
        <v>1155</v>
      </c>
      <c r="E1921" s="11" t="s">
        <v>51</v>
      </c>
      <c r="F1921" s="10">
        <v>136969.10999999999</v>
      </c>
      <c r="G1921" s="10">
        <v>0</v>
      </c>
      <c r="H1921" s="10">
        <f t="shared" si="29"/>
        <v>136969.10999999999</v>
      </c>
      <c r="I1921" s="10"/>
      <c r="J1921" s="10"/>
      <c r="K1921" s="10"/>
      <c r="L1921" s="4" t="s">
        <v>52</v>
      </c>
      <c r="M1921" s="4">
        <v>1916</v>
      </c>
    </row>
    <row r="1922" spans="1:13" x14ac:dyDescent="0.25">
      <c r="A1922" s="4" t="s">
        <v>1699</v>
      </c>
      <c r="B1922" s="4" t="s">
        <v>137</v>
      </c>
      <c r="C1922" s="9" t="s">
        <v>50</v>
      </c>
      <c r="D1922" s="10">
        <v>228</v>
      </c>
      <c r="E1922" s="11" t="s">
        <v>51</v>
      </c>
      <c r="F1922" s="10">
        <v>18061.86</v>
      </c>
      <c r="G1922" s="10">
        <v>0</v>
      </c>
      <c r="H1922" s="10">
        <f t="shared" si="29"/>
        <v>18061.86</v>
      </c>
      <c r="I1922" s="10"/>
      <c r="J1922" s="10"/>
      <c r="K1922" s="10"/>
      <c r="L1922" s="4" t="s">
        <v>52</v>
      </c>
      <c r="M1922" s="4">
        <v>1917</v>
      </c>
    </row>
    <row r="1923" spans="1:13" x14ac:dyDescent="0.25">
      <c r="A1923" s="4" t="s">
        <v>1699</v>
      </c>
      <c r="B1923" s="4" t="s">
        <v>271</v>
      </c>
      <c r="C1923" s="9" t="s">
        <v>50</v>
      </c>
      <c r="D1923" s="10">
        <v>66</v>
      </c>
      <c r="E1923" s="11" t="s">
        <v>51</v>
      </c>
      <c r="F1923" s="10">
        <v>7817.82</v>
      </c>
      <c r="G1923" s="10">
        <v>0</v>
      </c>
      <c r="H1923" s="10">
        <f t="shared" si="29"/>
        <v>7817.82</v>
      </c>
      <c r="I1923" s="10"/>
      <c r="J1923" s="10"/>
      <c r="K1923" s="10"/>
      <c r="L1923" s="4" t="s">
        <v>52</v>
      </c>
      <c r="M1923" s="4">
        <v>1918</v>
      </c>
    </row>
    <row r="1924" spans="1:13" x14ac:dyDescent="0.25">
      <c r="A1924" s="4" t="s">
        <v>1699</v>
      </c>
      <c r="B1924" s="4" t="s">
        <v>272</v>
      </c>
      <c r="C1924" s="9" t="s">
        <v>50</v>
      </c>
      <c r="D1924" s="10">
        <v>64</v>
      </c>
      <c r="E1924" s="11" t="s">
        <v>51</v>
      </c>
      <c r="F1924" s="10">
        <v>7593.17</v>
      </c>
      <c r="G1924" s="10">
        <v>0</v>
      </c>
      <c r="H1924" s="10">
        <f t="shared" si="29"/>
        <v>7593.17</v>
      </c>
      <c r="I1924" s="10"/>
      <c r="J1924" s="10"/>
      <c r="K1924" s="10"/>
      <c r="L1924" s="4" t="s">
        <v>52</v>
      </c>
      <c r="M1924" s="4">
        <v>1919</v>
      </c>
    </row>
    <row r="1925" spans="1:13" x14ac:dyDescent="0.25">
      <c r="A1925" s="4" t="s">
        <v>1699</v>
      </c>
      <c r="B1925" s="4" t="s">
        <v>128</v>
      </c>
      <c r="C1925" s="9" t="s">
        <v>50</v>
      </c>
      <c r="D1925" s="10">
        <v>306</v>
      </c>
      <c r="E1925" s="11" t="s">
        <v>51</v>
      </c>
      <c r="F1925" s="10">
        <v>21364.22</v>
      </c>
      <c r="G1925" s="10">
        <v>0</v>
      </c>
      <c r="H1925" s="10">
        <f t="shared" si="29"/>
        <v>21364.22</v>
      </c>
      <c r="I1925" s="10"/>
      <c r="J1925" s="10"/>
      <c r="K1925" s="10"/>
      <c r="L1925" s="4" t="s">
        <v>52</v>
      </c>
      <c r="M1925" s="4">
        <v>1920</v>
      </c>
    </row>
    <row r="1926" spans="1:13" x14ac:dyDescent="0.25">
      <c r="A1926" s="4" t="s">
        <v>1700</v>
      </c>
      <c r="B1926" s="4" t="s">
        <v>1701</v>
      </c>
      <c r="C1926" s="9" t="s">
        <v>50</v>
      </c>
      <c r="D1926" s="10">
        <v>282</v>
      </c>
      <c r="E1926" s="11" t="s">
        <v>51</v>
      </c>
      <c r="F1926" s="10">
        <v>1360</v>
      </c>
      <c r="G1926" s="10">
        <v>0</v>
      </c>
      <c r="H1926" s="10">
        <f t="shared" ref="H1926:H1989" si="30">F1926-G1926</f>
        <v>1360</v>
      </c>
      <c r="I1926" s="10"/>
      <c r="J1926" s="10"/>
      <c r="K1926" s="10"/>
      <c r="L1926" s="4" t="s">
        <v>52</v>
      </c>
      <c r="M1926" s="4">
        <v>1921</v>
      </c>
    </row>
    <row r="1927" spans="1:13" x14ac:dyDescent="0.25">
      <c r="A1927" s="4" t="s">
        <v>1702</v>
      </c>
      <c r="B1927" s="4" t="s">
        <v>136</v>
      </c>
      <c r="C1927" s="9" t="s">
        <v>50</v>
      </c>
      <c r="D1927" s="10">
        <v>1</v>
      </c>
      <c r="E1927" s="11" t="s">
        <v>51</v>
      </c>
      <c r="F1927" s="10">
        <v>75</v>
      </c>
      <c r="G1927" s="10">
        <v>0</v>
      </c>
      <c r="H1927" s="10">
        <f t="shared" si="30"/>
        <v>75</v>
      </c>
      <c r="I1927" s="10"/>
      <c r="J1927" s="10"/>
      <c r="K1927" s="10"/>
      <c r="L1927" s="4" t="s">
        <v>52</v>
      </c>
      <c r="M1927" s="4">
        <v>1922</v>
      </c>
    </row>
    <row r="1928" spans="1:13" x14ac:dyDescent="0.25">
      <c r="A1928" s="4" t="s">
        <v>1702</v>
      </c>
      <c r="B1928" s="4" t="s">
        <v>82</v>
      </c>
      <c r="C1928" s="9" t="s">
        <v>50</v>
      </c>
      <c r="D1928" s="10">
        <v>35</v>
      </c>
      <c r="E1928" s="11" t="s">
        <v>51</v>
      </c>
      <c r="F1928" s="10">
        <v>2625</v>
      </c>
      <c r="G1928" s="10">
        <v>0</v>
      </c>
      <c r="H1928" s="10">
        <f t="shared" si="30"/>
        <v>2625</v>
      </c>
      <c r="I1928" s="10"/>
      <c r="J1928" s="10"/>
      <c r="K1928" s="10"/>
      <c r="L1928" s="4" t="s">
        <v>52</v>
      </c>
      <c r="M1928" s="4">
        <v>1923</v>
      </c>
    </row>
    <row r="1929" spans="1:13" x14ac:dyDescent="0.25">
      <c r="A1929" s="4" t="s">
        <v>1702</v>
      </c>
      <c r="B1929" s="4" t="s">
        <v>88</v>
      </c>
      <c r="C1929" s="9" t="s">
        <v>50</v>
      </c>
      <c r="D1929" s="10">
        <v>40</v>
      </c>
      <c r="E1929" s="11" t="s">
        <v>51</v>
      </c>
      <c r="F1929" s="10">
        <v>3000</v>
      </c>
      <c r="G1929" s="10">
        <v>0</v>
      </c>
      <c r="H1929" s="10">
        <f t="shared" si="30"/>
        <v>3000</v>
      </c>
      <c r="I1929" s="10"/>
      <c r="J1929" s="10"/>
      <c r="K1929" s="10"/>
      <c r="L1929" s="4" t="s">
        <v>52</v>
      </c>
      <c r="M1929" s="4">
        <v>1924</v>
      </c>
    </row>
    <row r="1930" spans="1:13" x14ac:dyDescent="0.25">
      <c r="A1930" s="4" t="s">
        <v>1702</v>
      </c>
      <c r="B1930" s="4" t="s">
        <v>137</v>
      </c>
      <c r="C1930" s="9" t="s">
        <v>50</v>
      </c>
      <c r="D1930" s="10">
        <v>38</v>
      </c>
      <c r="E1930" s="11" t="s">
        <v>51</v>
      </c>
      <c r="F1930" s="10">
        <v>2850</v>
      </c>
      <c r="G1930" s="10">
        <v>0</v>
      </c>
      <c r="H1930" s="10">
        <f t="shared" si="30"/>
        <v>2850</v>
      </c>
      <c r="I1930" s="10"/>
      <c r="J1930" s="10"/>
      <c r="K1930" s="10"/>
      <c r="L1930" s="4" t="s">
        <v>52</v>
      </c>
      <c r="M1930" s="4">
        <v>1925</v>
      </c>
    </row>
    <row r="1931" spans="1:13" x14ac:dyDescent="0.25">
      <c r="A1931" s="4" t="s">
        <v>1702</v>
      </c>
      <c r="B1931" s="4" t="s">
        <v>106</v>
      </c>
      <c r="C1931" s="9" t="s">
        <v>50</v>
      </c>
      <c r="D1931" s="10">
        <v>24</v>
      </c>
      <c r="E1931" s="11" t="s">
        <v>51</v>
      </c>
      <c r="F1931" s="10">
        <v>1800</v>
      </c>
      <c r="G1931" s="10">
        <v>0</v>
      </c>
      <c r="H1931" s="10">
        <f t="shared" si="30"/>
        <v>1800</v>
      </c>
      <c r="I1931" s="10"/>
      <c r="J1931" s="10"/>
      <c r="K1931" s="10"/>
      <c r="L1931" s="4" t="s">
        <v>52</v>
      </c>
      <c r="M1931" s="4">
        <v>1926</v>
      </c>
    </row>
    <row r="1932" spans="1:13" x14ac:dyDescent="0.25">
      <c r="A1932" s="4" t="s">
        <v>1702</v>
      </c>
      <c r="B1932" s="4" t="s">
        <v>742</v>
      </c>
      <c r="C1932" s="9" t="s">
        <v>50</v>
      </c>
      <c r="D1932" s="10">
        <v>40</v>
      </c>
      <c r="E1932" s="11" t="s">
        <v>51</v>
      </c>
      <c r="F1932" s="10">
        <v>3000</v>
      </c>
      <c r="G1932" s="10">
        <v>0</v>
      </c>
      <c r="H1932" s="10">
        <f t="shared" si="30"/>
        <v>3000</v>
      </c>
      <c r="I1932" s="10"/>
      <c r="J1932" s="10"/>
      <c r="K1932" s="10"/>
      <c r="L1932" s="4" t="s">
        <v>52</v>
      </c>
      <c r="M1932" s="4">
        <v>1927</v>
      </c>
    </row>
    <row r="1933" spans="1:13" x14ac:dyDescent="0.25">
      <c r="A1933" s="4" t="s">
        <v>1702</v>
      </c>
      <c r="B1933" s="4" t="s">
        <v>1264</v>
      </c>
      <c r="C1933" s="9" t="s">
        <v>50</v>
      </c>
      <c r="D1933" s="10">
        <v>80</v>
      </c>
      <c r="E1933" s="11" t="s">
        <v>51</v>
      </c>
      <c r="F1933" s="10">
        <v>6000</v>
      </c>
      <c r="G1933" s="10">
        <v>0</v>
      </c>
      <c r="H1933" s="10">
        <f t="shared" si="30"/>
        <v>6000</v>
      </c>
      <c r="I1933" s="10"/>
      <c r="J1933" s="10"/>
      <c r="K1933" s="10"/>
      <c r="L1933" s="4" t="s">
        <v>52</v>
      </c>
      <c r="M1933" s="4">
        <v>1928</v>
      </c>
    </row>
    <row r="1934" spans="1:13" x14ac:dyDescent="0.25">
      <c r="A1934" s="4" t="s">
        <v>1702</v>
      </c>
      <c r="B1934" s="4" t="s">
        <v>1703</v>
      </c>
      <c r="C1934" s="4" t="s">
        <v>68</v>
      </c>
      <c r="D1934" s="10">
        <v>18</v>
      </c>
      <c r="E1934" s="11" t="s">
        <v>51</v>
      </c>
      <c r="F1934" s="10">
        <v>400</v>
      </c>
      <c r="G1934" s="10">
        <v>0</v>
      </c>
      <c r="H1934" s="10">
        <f t="shared" si="30"/>
        <v>400</v>
      </c>
      <c r="I1934" s="10"/>
      <c r="J1934" s="10"/>
      <c r="K1934" s="10"/>
      <c r="L1934" s="4" t="s">
        <v>69</v>
      </c>
      <c r="M1934" s="4">
        <v>1929</v>
      </c>
    </row>
    <row r="1935" spans="1:13" x14ac:dyDescent="0.25">
      <c r="A1935" s="4" t="s">
        <v>1704</v>
      </c>
      <c r="B1935" s="4" t="s">
        <v>82</v>
      </c>
      <c r="C1935" s="9" t="s">
        <v>50</v>
      </c>
      <c r="D1935" s="10">
        <v>718.5</v>
      </c>
      <c r="E1935" s="11" t="s">
        <v>51</v>
      </c>
      <c r="F1935" s="10">
        <v>950</v>
      </c>
      <c r="G1935" s="10">
        <v>0</v>
      </c>
      <c r="H1935" s="10">
        <f t="shared" si="30"/>
        <v>950</v>
      </c>
      <c r="I1935" s="10"/>
      <c r="J1935" s="10"/>
      <c r="K1935" s="10"/>
      <c r="L1935" s="4" t="s">
        <v>52</v>
      </c>
      <c r="M1935" s="4">
        <v>1930</v>
      </c>
    </row>
    <row r="1936" spans="1:13" x14ac:dyDescent="0.25">
      <c r="A1936" s="4" t="s">
        <v>1705</v>
      </c>
      <c r="B1936" s="4" t="s">
        <v>136</v>
      </c>
      <c r="C1936" s="9" t="s">
        <v>50</v>
      </c>
      <c r="D1936" s="10">
        <v>36.5</v>
      </c>
      <c r="E1936" s="11" t="s">
        <v>51</v>
      </c>
      <c r="F1936" s="10">
        <v>3968.64</v>
      </c>
      <c r="G1936" s="10">
        <v>0</v>
      </c>
      <c r="H1936" s="10">
        <f t="shared" si="30"/>
        <v>3968.64</v>
      </c>
      <c r="I1936" s="10"/>
      <c r="J1936" s="10"/>
      <c r="K1936" s="10"/>
      <c r="L1936" s="4" t="s">
        <v>52</v>
      </c>
      <c r="M1936" s="4">
        <v>1931</v>
      </c>
    </row>
    <row r="1937" spans="1:13" x14ac:dyDescent="0.25">
      <c r="A1937" s="4" t="s">
        <v>1705</v>
      </c>
      <c r="B1937" s="4" t="s">
        <v>82</v>
      </c>
      <c r="C1937" s="9" t="s">
        <v>50</v>
      </c>
      <c r="D1937" s="10">
        <v>104</v>
      </c>
      <c r="E1937" s="11" t="s">
        <v>51</v>
      </c>
      <c r="F1937" s="10">
        <v>11263.38</v>
      </c>
      <c r="G1937" s="10">
        <v>0</v>
      </c>
      <c r="H1937" s="10">
        <f t="shared" si="30"/>
        <v>11263.38</v>
      </c>
      <c r="I1937" s="10"/>
      <c r="J1937" s="10"/>
      <c r="K1937" s="10"/>
      <c r="L1937" s="4" t="s">
        <v>52</v>
      </c>
      <c r="M1937" s="4">
        <v>1932</v>
      </c>
    </row>
    <row r="1938" spans="1:13" x14ac:dyDescent="0.25">
      <c r="A1938" s="4" t="s">
        <v>1705</v>
      </c>
      <c r="B1938" s="4" t="s">
        <v>88</v>
      </c>
      <c r="C1938" s="9" t="s">
        <v>50</v>
      </c>
      <c r="D1938" s="10">
        <v>204</v>
      </c>
      <c r="E1938" s="11" t="s">
        <v>51</v>
      </c>
      <c r="F1938" s="10">
        <v>22745.97</v>
      </c>
      <c r="G1938" s="10">
        <v>0</v>
      </c>
      <c r="H1938" s="10">
        <f t="shared" si="30"/>
        <v>22745.97</v>
      </c>
      <c r="I1938" s="10"/>
      <c r="J1938" s="10"/>
      <c r="K1938" s="10"/>
      <c r="L1938" s="4" t="s">
        <v>52</v>
      </c>
      <c r="M1938" s="4">
        <v>1933</v>
      </c>
    </row>
    <row r="1939" spans="1:13" x14ac:dyDescent="0.25">
      <c r="A1939" s="4" t="s">
        <v>1705</v>
      </c>
      <c r="B1939" s="4" t="s">
        <v>137</v>
      </c>
      <c r="C1939" s="9" t="s">
        <v>50</v>
      </c>
      <c r="D1939" s="10">
        <v>118</v>
      </c>
      <c r="E1939" s="11" t="s">
        <v>51</v>
      </c>
      <c r="F1939" s="10">
        <v>10877.85</v>
      </c>
      <c r="G1939" s="10">
        <v>0</v>
      </c>
      <c r="H1939" s="10">
        <f t="shared" si="30"/>
        <v>10877.85</v>
      </c>
      <c r="I1939" s="10"/>
      <c r="J1939" s="10"/>
      <c r="K1939" s="10"/>
      <c r="L1939" s="4" t="s">
        <v>52</v>
      </c>
      <c r="M1939" s="4">
        <v>1934</v>
      </c>
    </row>
    <row r="1940" spans="1:13" x14ac:dyDescent="0.25">
      <c r="A1940" s="4" t="s">
        <v>1705</v>
      </c>
      <c r="B1940" s="4" t="s">
        <v>537</v>
      </c>
      <c r="C1940" s="9" t="s">
        <v>50</v>
      </c>
      <c r="D1940" s="10">
        <v>4</v>
      </c>
      <c r="E1940" s="11" t="s">
        <v>51</v>
      </c>
      <c r="F1940" s="10">
        <v>360</v>
      </c>
      <c r="G1940" s="10">
        <v>0</v>
      </c>
      <c r="H1940" s="10">
        <f t="shared" si="30"/>
        <v>360</v>
      </c>
      <c r="I1940" s="10">
        <v>90</v>
      </c>
      <c r="J1940" s="10">
        <v>90</v>
      </c>
      <c r="K1940" s="10">
        <v>90</v>
      </c>
      <c r="L1940" s="4" t="s">
        <v>259</v>
      </c>
      <c r="M1940" s="4">
        <v>1935</v>
      </c>
    </row>
    <row r="1941" spans="1:13" x14ac:dyDescent="0.25">
      <c r="A1941" s="4" t="s">
        <v>1705</v>
      </c>
      <c r="B1941" s="4" t="s">
        <v>106</v>
      </c>
      <c r="C1941" s="9" t="s">
        <v>50</v>
      </c>
      <c r="D1941" s="10">
        <v>198</v>
      </c>
      <c r="E1941" s="11" t="s">
        <v>51</v>
      </c>
      <c r="F1941" s="10">
        <v>21528.92</v>
      </c>
      <c r="G1941" s="10">
        <v>0</v>
      </c>
      <c r="H1941" s="10">
        <f t="shared" si="30"/>
        <v>21528.92</v>
      </c>
      <c r="I1941" s="10"/>
      <c r="J1941" s="10"/>
      <c r="K1941" s="10"/>
      <c r="L1941" s="4" t="s">
        <v>52</v>
      </c>
      <c r="M1941" s="4">
        <v>1936</v>
      </c>
    </row>
    <row r="1942" spans="1:13" x14ac:dyDescent="0.25">
      <c r="A1942" s="4" t="s">
        <v>1705</v>
      </c>
      <c r="B1942" s="4" t="s">
        <v>271</v>
      </c>
      <c r="C1942" s="9" t="s">
        <v>50</v>
      </c>
      <c r="D1942" s="10">
        <v>32</v>
      </c>
      <c r="E1942" s="11" t="s">
        <v>51</v>
      </c>
      <c r="F1942" s="10">
        <v>3469.72</v>
      </c>
      <c r="G1942" s="10">
        <v>0</v>
      </c>
      <c r="H1942" s="10">
        <f t="shared" si="30"/>
        <v>3469.72</v>
      </c>
      <c r="I1942" s="10"/>
      <c r="J1942" s="10"/>
      <c r="K1942" s="10"/>
      <c r="L1942" s="4" t="s">
        <v>52</v>
      </c>
      <c r="M1942" s="4">
        <v>1937</v>
      </c>
    </row>
    <row r="1943" spans="1:13" x14ac:dyDescent="0.25">
      <c r="A1943" s="4" t="s">
        <v>1705</v>
      </c>
      <c r="B1943" s="4" t="s">
        <v>272</v>
      </c>
      <c r="C1943" s="9" t="s">
        <v>50</v>
      </c>
      <c r="D1943" s="10">
        <v>61</v>
      </c>
      <c r="E1943" s="11" t="s">
        <v>51</v>
      </c>
      <c r="F1943" s="10">
        <v>1738.64</v>
      </c>
      <c r="G1943" s="10">
        <v>0</v>
      </c>
      <c r="H1943" s="10">
        <f t="shared" si="30"/>
        <v>1738.64</v>
      </c>
      <c r="I1943" s="10"/>
      <c r="J1943" s="10"/>
      <c r="K1943" s="10"/>
      <c r="L1943" s="4" t="s">
        <v>52</v>
      </c>
      <c r="M1943" s="4">
        <v>1938</v>
      </c>
    </row>
    <row r="1944" spans="1:13" x14ac:dyDescent="0.25">
      <c r="A1944" s="4" t="s">
        <v>1706</v>
      </c>
      <c r="B1944" s="4" t="s">
        <v>1707</v>
      </c>
      <c r="C1944" s="9" t="s">
        <v>50</v>
      </c>
      <c r="D1944" s="10">
        <v>28</v>
      </c>
      <c r="E1944" s="11" t="s">
        <v>51</v>
      </c>
      <c r="F1944" s="10">
        <v>2900</v>
      </c>
      <c r="G1944" s="10">
        <v>0</v>
      </c>
      <c r="H1944" s="10">
        <f t="shared" si="30"/>
        <v>2900</v>
      </c>
      <c r="I1944" s="10"/>
      <c r="J1944" s="10"/>
      <c r="K1944" s="10"/>
      <c r="L1944" s="4" t="s">
        <v>52</v>
      </c>
      <c r="M1944" s="4">
        <v>1939</v>
      </c>
    </row>
    <row r="1945" spans="1:13" x14ac:dyDescent="0.25">
      <c r="A1945" s="4" t="s">
        <v>1706</v>
      </c>
      <c r="B1945" s="4" t="s">
        <v>1708</v>
      </c>
      <c r="C1945" s="9" t="s">
        <v>50</v>
      </c>
      <c r="D1945" s="10">
        <v>5</v>
      </c>
      <c r="E1945" s="11" t="s">
        <v>51</v>
      </c>
      <c r="F1945" s="10">
        <v>650</v>
      </c>
      <c r="G1945" s="10">
        <v>0</v>
      </c>
      <c r="H1945" s="10">
        <f t="shared" si="30"/>
        <v>650</v>
      </c>
      <c r="I1945" s="10"/>
      <c r="J1945" s="10"/>
      <c r="K1945" s="10"/>
      <c r="L1945" s="4" t="s">
        <v>52</v>
      </c>
      <c r="M1945" s="4">
        <v>1940</v>
      </c>
    </row>
    <row r="1946" spans="1:13" x14ac:dyDescent="0.25">
      <c r="A1946" s="4" t="s">
        <v>1706</v>
      </c>
      <c r="B1946" s="4" t="s">
        <v>1709</v>
      </c>
      <c r="C1946" s="4" t="s">
        <v>68</v>
      </c>
      <c r="D1946" s="10">
        <v>1135</v>
      </c>
      <c r="E1946" s="11" t="s">
        <v>51</v>
      </c>
      <c r="F1946" s="10">
        <v>1200</v>
      </c>
      <c r="G1946" s="10">
        <v>0</v>
      </c>
      <c r="H1946" s="10">
        <f t="shared" si="30"/>
        <v>1200</v>
      </c>
      <c r="I1946" s="10"/>
      <c r="J1946" s="10"/>
      <c r="K1946" s="10"/>
      <c r="L1946" s="4" t="s">
        <v>69</v>
      </c>
      <c r="M1946" s="4">
        <v>1941</v>
      </c>
    </row>
    <row r="1947" spans="1:13" x14ac:dyDescent="0.25">
      <c r="A1947" s="4" t="s">
        <v>1710</v>
      </c>
      <c r="B1947" s="4" t="s">
        <v>82</v>
      </c>
      <c r="C1947" s="9" t="s">
        <v>50</v>
      </c>
      <c r="D1947" s="10">
        <v>213</v>
      </c>
      <c r="E1947" s="11" t="s">
        <v>51</v>
      </c>
      <c r="F1947" s="10">
        <v>20235</v>
      </c>
      <c r="G1947" s="10">
        <v>0</v>
      </c>
      <c r="H1947" s="10">
        <f t="shared" si="30"/>
        <v>20235</v>
      </c>
      <c r="I1947" s="10"/>
      <c r="J1947" s="10"/>
      <c r="K1947" s="10"/>
      <c r="L1947" s="4" t="s">
        <v>52</v>
      </c>
      <c r="M1947" s="4">
        <v>1942</v>
      </c>
    </row>
    <row r="1948" spans="1:13" x14ac:dyDescent="0.25">
      <c r="A1948" s="4" t="s">
        <v>1710</v>
      </c>
      <c r="B1948" s="4" t="s">
        <v>88</v>
      </c>
      <c r="C1948" s="9" t="s">
        <v>50</v>
      </c>
      <c r="D1948" s="10">
        <v>180</v>
      </c>
      <c r="E1948" s="11" t="s">
        <v>51</v>
      </c>
      <c r="F1948" s="10">
        <v>18762.5</v>
      </c>
      <c r="G1948" s="10">
        <v>0</v>
      </c>
      <c r="H1948" s="10">
        <f t="shared" si="30"/>
        <v>18762.5</v>
      </c>
      <c r="I1948" s="10"/>
      <c r="J1948" s="10"/>
      <c r="K1948" s="10"/>
      <c r="L1948" s="4" t="s">
        <v>52</v>
      </c>
      <c r="M1948" s="4">
        <v>1943</v>
      </c>
    </row>
    <row r="1949" spans="1:13" x14ac:dyDescent="0.25">
      <c r="A1949" s="4" t="s">
        <v>1710</v>
      </c>
      <c r="B1949" s="4" t="s">
        <v>137</v>
      </c>
      <c r="C1949" s="9" t="s">
        <v>50</v>
      </c>
      <c r="D1949" s="10">
        <v>180</v>
      </c>
      <c r="E1949" s="11" t="s">
        <v>51</v>
      </c>
      <c r="F1949" s="10">
        <v>11797.5</v>
      </c>
      <c r="G1949" s="10">
        <v>0</v>
      </c>
      <c r="H1949" s="10">
        <f t="shared" si="30"/>
        <v>11797.5</v>
      </c>
      <c r="I1949" s="10"/>
      <c r="J1949" s="10"/>
      <c r="K1949" s="10"/>
      <c r="L1949" s="4" t="s">
        <v>52</v>
      </c>
      <c r="M1949" s="4">
        <v>1944</v>
      </c>
    </row>
    <row r="1950" spans="1:13" x14ac:dyDescent="0.25">
      <c r="A1950" s="4" t="s">
        <v>1710</v>
      </c>
      <c r="B1950" s="4" t="s">
        <v>106</v>
      </c>
      <c r="C1950" s="9" t="s">
        <v>50</v>
      </c>
      <c r="D1950" s="10">
        <v>250</v>
      </c>
      <c r="E1950" s="11" t="s">
        <v>51</v>
      </c>
      <c r="F1950" s="10">
        <v>24343.75</v>
      </c>
      <c r="G1950" s="10">
        <v>0</v>
      </c>
      <c r="H1950" s="10">
        <f t="shared" si="30"/>
        <v>24343.75</v>
      </c>
      <c r="I1950" s="10"/>
      <c r="J1950" s="10"/>
      <c r="K1950" s="10"/>
      <c r="L1950" s="4" t="s">
        <v>52</v>
      </c>
      <c r="M1950" s="4">
        <v>1945</v>
      </c>
    </row>
    <row r="1951" spans="1:13" x14ac:dyDescent="0.25">
      <c r="A1951" s="4" t="s">
        <v>1710</v>
      </c>
      <c r="B1951" s="4" t="s">
        <v>107</v>
      </c>
      <c r="C1951" s="9" t="s">
        <v>50</v>
      </c>
      <c r="D1951" s="10">
        <v>605</v>
      </c>
      <c r="E1951" s="11" t="s">
        <v>51</v>
      </c>
      <c r="F1951" s="10">
        <v>28500</v>
      </c>
      <c r="G1951" s="10">
        <v>0</v>
      </c>
      <c r="H1951" s="10">
        <f t="shared" si="30"/>
        <v>28500</v>
      </c>
      <c r="I1951" s="10"/>
      <c r="J1951" s="10"/>
      <c r="K1951" s="10"/>
      <c r="L1951" s="4" t="s">
        <v>52</v>
      </c>
      <c r="M1951" s="4">
        <v>1946</v>
      </c>
    </row>
    <row r="1952" spans="1:13" x14ac:dyDescent="0.25">
      <c r="A1952" s="4" t="s">
        <v>1711</v>
      </c>
      <c r="B1952" s="4" t="s">
        <v>88</v>
      </c>
      <c r="C1952" s="9" t="s">
        <v>50</v>
      </c>
      <c r="D1952" s="10">
        <v>205</v>
      </c>
      <c r="E1952" s="11" t="s">
        <v>51</v>
      </c>
      <c r="F1952" s="10">
        <v>19498.75</v>
      </c>
      <c r="G1952" s="10">
        <v>0</v>
      </c>
      <c r="H1952" s="10">
        <f t="shared" si="30"/>
        <v>19498.75</v>
      </c>
      <c r="I1952" s="10"/>
      <c r="J1952" s="10"/>
      <c r="K1952" s="10"/>
      <c r="L1952" s="4" t="s">
        <v>52</v>
      </c>
      <c r="M1952" s="4">
        <v>1947</v>
      </c>
    </row>
    <row r="1953" spans="1:13" x14ac:dyDescent="0.25">
      <c r="A1953" s="4" t="s">
        <v>1711</v>
      </c>
      <c r="B1953" s="4" t="s">
        <v>137</v>
      </c>
      <c r="C1953" s="9" t="s">
        <v>50</v>
      </c>
      <c r="D1953" s="10">
        <v>100</v>
      </c>
      <c r="E1953" s="11" t="s">
        <v>51</v>
      </c>
      <c r="F1953" s="10">
        <v>5000</v>
      </c>
      <c r="G1953" s="10">
        <v>0</v>
      </c>
      <c r="H1953" s="10">
        <f t="shared" si="30"/>
        <v>5000</v>
      </c>
      <c r="I1953" s="10"/>
      <c r="J1953" s="10"/>
      <c r="K1953" s="10"/>
      <c r="L1953" s="4" t="s">
        <v>52</v>
      </c>
      <c r="M1953" s="4">
        <v>1948</v>
      </c>
    </row>
    <row r="1954" spans="1:13" x14ac:dyDescent="0.25">
      <c r="A1954" s="4" t="s">
        <v>1711</v>
      </c>
      <c r="B1954" s="4" t="s">
        <v>1712</v>
      </c>
      <c r="C1954" s="9" t="s">
        <v>50</v>
      </c>
      <c r="D1954" s="10">
        <v>60</v>
      </c>
      <c r="E1954" s="11" t="s">
        <v>51</v>
      </c>
      <c r="F1954" s="10">
        <v>2313.75</v>
      </c>
      <c r="G1954" s="10">
        <v>0</v>
      </c>
      <c r="H1954" s="10">
        <f t="shared" si="30"/>
        <v>2313.75</v>
      </c>
      <c r="I1954" s="10"/>
      <c r="J1954" s="10"/>
      <c r="K1954" s="10"/>
      <c r="L1954" s="4" t="s">
        <v>52</v>
      </c>
      <c r="M1954" s="4">
        <v>1949</v>
      </c>
    </row>
    <row r="1955" spans="1:13" x14ac:dyDescent="0.25">
      <c r="A1955" s="4" t="s">
        <v>1713</v>
      </c>
      <c r="B1955" s="4" t="s">
        <v>82</v>
      </c>
      <c r="C1955" s="9" t="s">
        <v>50</v>
      </c>
      <c r="D1955" s="10">
        <v>120</v>
      </c>
      <c r="E1955" s="11" t="s">
        <v>51</v>
      </c>
      <c r="F1955" s="10">
        <v>5700</v>
      </c>
      <c r="G1955" s="10">
        <v>0</v>
      </c>
      <c r="H1955" s="10">
        <f t="shared" si="30"/>
        <v>5700</v>
      </c>
      <c r="I1955" s="10"/>
      <c r="J1955" s="10"/>
      <c r="K1955" s="10"/>
      <c r="L1955" s="4" t="s">
        <v>52</v>
      </c>
      <c r="M1955" s="4">
        <v>1950</v>
      </c>
    </row>
    <row r="1956" spans="1:13" x14ac:dyDescent="0.25">
      <c r="A1956" s="4" t="s">
        <v>1714</v>
      </c>
      <c r="B1956" s="4" t="s">
        <v>1715</v>
      </c>
      <c r="C1956" s="9" t="s">
        <v>50</v>
      </c>
      <c r="D1956" s="10">
        <v>52</v>
      </c>
      <c r="E1956" s="11" t="s">
        <v>51</v>
      </c>
      <c r="F1956" s="10">
        <v>4940</v>
      </c>
      <c r="G1956" s="10">
        <v>0</v>
      </c>
      <c r="H1956" s="10">
        <f t="shared" si="30"/>
        <v>4940</v>
      </c>
      <c r="I1956" s="10"/>
      <c r="J1956" s="10"/>
      <c r="K1956" s="10"/>
      <c r="L1956" s="4" t="s">
        <v>52</v>
      </c>
      <c r="M1956" s="4">
        <v>1951</v>
      </c>
    </row>
    <row r="1957" spans="1:13" x14ac:dyDescent="0.25">
      <c r="A1957" s="4" t="s">
        <v>1714</v>
      </c>
      <c r="B1957" s="4" t="s">
        <v>1716</v>
      </c>
      <c r="C1957" s="9" t="s">
        <v>50</v>
      </c>
      <c r="D1957" s="10">
        <v>8</v>
      </c>
      <c r="E1957" s="11" t="s">
        <v>51</v>
      </c>
      <c r="F1957" s="10">
        <v>400</v>
      </c>
      <c r="G1957" s="10">
        <v>0</v>
      </c>
      <c r="H1957" s="10">
        <f t="shared" si="30"/>
        <v>400</v>
      </c>
      <c r="I1957" s="10"/>
      <c r="J1957" s="10"/>
      <c r="K1957" s="10"/>
      <c r="L1957" s="4" t="s">
        <v>52</v>
      </c>
      <c r="M1957" s="4">
        <v>1952</v>
      </c>
    </row>
    <row r="1958" spans="1:13" x14ac:dyDescent="0.25">
      <c r="A1958" s="4" t="s">
        <v>1717</v>
      </c>
      <c r="B1958" s="4" t="s">
        <v>1718</v>
      </c>
      <c r="C1958" s="9" t="s">
        <v>50</v>
      </c>
      <c r="D1958" s="10">
        <v>205</v>
      </c>
      <c r="E1958" s="11" t="s">
        <v>51</v>
      </c>
      <c r="F1958" s="10"/>
      <c r="G1958" s="10">
        <v>0</v>
      </c>
      <c r="H1958" s="10">
        <f t="shared" si="30"/>
        <v>0</v>
      </c>
      <c r="I1958" s="10"/>
      <c r="J1958" s="10"/>
      <c r="K1958" s="10"/>
      <c r="L1958" s="4" t="s">
        <v>52</v>
      </c>
      <c r="M1958" s="4">
        <v>1953</v>
      </c>
    </row>
    <row r="1959" spans="1:13" x14ac:dyDescent="0.25">
      <c r="A1959" s="4" t="s">
        <v>1719</v>
      </c>
      <c r="B1959" s="4" t="s">
        <v>1402</v>
      </c>
      <c r="C1959" s="9" t="s">
        <v>50</v>
      </c>
      <c r="D1959" s="10">
        <v>60</v>
      </c>
      <c r="E1959" s="11" t="s">
        <v>51</v>
      </c>
      <c r="F1959" s="10">
        <v>6300</v>
      </c>
      <c r="G1959" s="10">
        <v>0</v>
      </c>
      <c r="H1959" s="10">
        <f t="shared" si="30"/>
        <v>6300</v>
      </c>
      <c r="I1959" s="10"/>
      <c r="J1959" s="10"/>
      <c r="K1959" s="10"/>
      <c r="L1959" s="4" t="s">
        <v>52</v>
      </c>
      <c r="M1959" s="4">
        <v>1954</v>
      </c>
    </row>
    <row r="1960" spans="1:13" x14ac:dyDescent="0.25">
      <c r="A1960" s="4" t="s">
        <v>1719</v>
      </c>
      <c r="B1960" s="4" t="s">
        <v>1720</v>
      </c>
      <c r="C1960" s="9" t="s">
        <v>50</v>
      </c>
      <c r="D1960" s="10">
        <v>85</v>
      </c>
      <c r="E1960" s="11" t="s">
        <v>51</v>
      </c>
      <c r="F1960" s="10">
        <v>4700</v>
      </c>
      <c r="G1960" s="10">
        <v>0</v>
      </c>
      <c r="H1960" s="10">
        <f t="shared" si="30"/>
        <v>4700</v>
      </c>
      <c r="I1960" s="10"/>
      <c r="J1960" s="10"/>
      <c r="K1960" s="10"/>
      <c r="L1960" s="4" t="s">
        <v>52</v>
      </c>
      <c r="M1960" s="4">
        <v>1955</v>
      </c>
    </row>
    <row r="1961" spans="1:13" x14ac:dyDescent="0.25">
      <c r="A1961" s="4" t="s">
        <v>1719</v>
      </c>
      <c r="B1961" s="4" t="s">
        <v>421</v>
      </c>
      <c r="C1961" s="9" t="s">
        <v>50</v>
      </c>
      <c r="D1961" s="10">
        <v>60</v>
      </c>
      <c r="E1961" s="11" t="s">
        <v>51</v>
      </c>
      <c r="F1961" s="10">
        <v>5700</v>
      </c>
      <c r="G1961" s="10">
        <v>0</v>
      </c>
      <c r="H1961" s="10">
        <f t="shared" si="30"/>
        <v>5700</v>
      </c>
      <c r="I1961" s="10"/>
      <c r="J1961" s="10"/>
      <c r="K1961" s="10"/>
      <c r="L1961" s="4" t="s">
        <v>52</v>
      </c>
      <c r="M1961" s="4">
        <v>1956</v>
      </c>
    </row>
    <row r="1962" spans="1:13" x14ac:dyDescent="0.25">
      <c r="A1962" s="4" t="s">
        <v>1719</v>
      </c>
      <c r="B1962" s="4" t="s">
        <v>1721</v>
      </c>
      <c r="C1962" s="9" t="s">
        <v>50</v>
      </c>
      <c r="D1962" s="10">
        <v>20</v>
      </c>
      <c r="E1962" s="11" t="s">
        <v>51</v>
      </c>
      <c r="F1962" s="10"/>
      <c r="G1962" s="10">
        <v>0</v>
      </c>
      <c r="H1962" s="10">
        <f t="shared" si="30"/>
        <v>0</v>
      </c>
      <c r="I1962" s="10"/>
      <c r="J1962" s="10"/>
      <c r="K1962" s="10"/>
      <c r="L1962" s="4" t="s">
        <v>52</v>
      </c>
      <c r="M1962" s="4">
        <v>1957</v>
      </c>
    </row>
    <row r="1963" spans="1:13" x14ac:dyDescent="0.25">
      <c r="A1963" s="4" t="s">
        <v>1722</v>
      </c>
      <c r="B1963" s="4" t="s">
        <v>1723</v>
      </c>
      <c r="C1963" s="4" t="s">
        <v>68</v>
      </c>
      <c r="D1963" s="10">
        <v>23</v>
      </c>
      <c r="E1963" s="11" t="s">
        <v>51</v>
      </c>
      <c r="F1963" s="10">
        <v>2200</v>
      </c>
      <c r="G1963" s="10">
        <v>0</v>
      </c>
      <c r="H1963" s="10">
        <f t="shared" si="30"/>
        <v>2200</v>
      </c>
      <c r="I1963" s="10"/>
      <c r="J1963" s="10"/>
      <c r="K1963" s="10"/>
      <c r="L1963" s="4" t="s">
        <v>69</v>
      </c>
      <c r="M1963" s="4">
        <v>1958</v>
      </c>
    </row>
    <row r="1964" spans="1:13" x14ac:dyDescent="0.25">
      <c r="A1964" s="4" t="s">
        <v>1724</v>
      </c>
      <c r="B1964" s="4" t="s">
        <v>1725</v>
      </c>
      <c r="C1964" s="4" t="s">
        <v>65</v>
      </c>
      <c r="D1964" s="10">
        <v>72</v>
      </c>
      <c r="E1964" s="12" t="s">
        <v>66</v>
      </c>
      <c r="F1964" s="10">
        <v>300</v>
      </c>
      <c r="G1964" s="10">
        <v>0</v>
      </c>
      <c r="H1964" s="10">
        <f t="shared" si="30"/>
        <v>300</v>
      </c>
      <c r="I1964" s="10">
        <v>100</v>
      </c>
      <c r="J1964" s="10">
        <v>100</v>
      </c>
      <c r="K1964" s="10">
        <v>100</v>
      </c>
      <c r="L1964" s="4"/>
      <c r="M1964" s="4">
        <v>1959</v>
      </c>
    </row>
    <row r="1965" spans="1:13" x14ac:dyDescent="0.25">
      <c r="A1965" s="4" t="s">
        <v>1726</v>
      </c>
      <c r="B1965" s="4" t="s">
        <v>1727</v>
      </c>
      <c r="C1965" s="4" t="s">
        <v>68</v>
      </c>
      <c r="D1965" s="10">
        <v>40</v>
      </c>
      <c r="E1965" s="11" t="s">
        <v>51</v>
      </c>
      <c r="F1965" s="10">
        <v>4600</v>
      </c>
      <c r="G1965" s="10">
        <v>0</v>
      </c>
      <c r="H1965" s="10">
        <f t="shared" si="30"/>
        <v>4600</v>
      </c>
      <c r="I1965" s="10"/>
      <c r="J1965" s="10"/>
      <c r="K1965" s="10"/>
      <c r="L1965" s="4" t="s">
        <v>69</v>
      </c>
      <c r="M1965" s="4">
        <v>1960</v>
      </c>
    </row>
    <row r="1966" spans="1:13" x14ac:dyDescent="0.25">
      <c r="A1966" s="4" t="s">
        <v>1726</v>
      </c>
      <c r="B1966" s="4" t="s">
        <v>1728</v>
      </c>
      <c r="C1966" s="4" t="s">
        <v>68</v>
      </c>
      <c r="D1966" s="10">
        <v>492</v>
      </c>
      <c r="E1966" s="11" t="s">
        <v>51</v>
      </c>
      <c r="F1966" s="10">
        <v>3680</v>
      </c>
      <c r="G1966" s="10">
        <v>0</v>
      </c>
      <c r="H1966" s="10">
        <f t="shared" si="30"/>
        <v>3680</v>
      </c>
      <c r="I1966" s="10"/>
      <c r="J1966" s="10"/>
      <c r="K1966" s="10"/>
      <c r="L1966" s="4" t="s">
        <v>69</v>
      </c>
      <c r="M1966" s="4">
        <v>1961</v>
      </c>
    </row>
    <row r="1967" spans="1:13" x14ac:dyDescent="0.25">
      <c r="A1967" s="4" t="s">
        <v>1729</v>
      </c>
      <c r="B1967" s="4" t="s">
        <v>1730</v>
      </c>
      <c r="C1967" s="4" t="s">
        <v>68</v>
      </c>
      <c r="D1967" s="10">
        <v>160</v>
      </c>
      <c r="E1967" s="11" t="s">
        <v>51</v>
      </c>
      <c r="F1967" s="10">
        <v>16000</v>
      </c>
      <c r="G1967" s="10">
        <v>0</v>
      </c>
      <c r="H1967" s="10">
        <f t="shared" si="30"/>
        <v>16000</v>
      </c>
      <c r="I1967" s="10"/>
      <c r="J1967" s="10"/>
      <c r="K1967" s="10"/>
      <c r="L1967" s="4" t="s">
        <v>69</v>
      </c>
      <c r="M1967" s="4">
        <v>1962</v>
      </c>
    </row>
    <row r="1968" spans="1:13" x14ac:dyDescent="0.25">
      <c r="A1968" s="4" t="s">
        <v>1729</v>
      </c>
      <c r="B1968" s="4" t="s">
        <v>1731</v>
      </c>
      <c r="C1968" s="4" t="s">
        <v>68</v>
      </c>
      <c r="D1968" s="10">
        <v>489</v>
      </c>
      <c r="E1968" s="11" t="s">
        <v>51</v>
      </c>
      <c r="F1968" s="10">
        <v>30000</v>
      </c>
      <c r="G1968" s="10">
        <v>0</v>
      </c>
      <c r="H1968" s="10">
        <f t="shared" si="30"/>
        <v>30000</v>
      </c>
      <c r="I1968" s="10"/>
      <c r="J1968" s="10"/>
      <c r="K1968" s="10"/>
      <c r="L1968" s="4" t="s">
        <v>69</v>
      </c>
      <c r="M1968" s="4">
        <v>1963</v>
      </c>
    </row>
    <row r="1969" spans="1:13" x14ac:dyDescent="0.25">
      <c r="A1969" s="4" t="s">
        <v>1732</v>
      </c>
      <c r="B1969" s="4" t="s">
        <v>1733</v>
      </c>
      <c r="C1969" s="4" t="s">
        <v>68</v>
      </c>
      <c r="D1969" s="10">
        <v>74</v>
      </c>
      <c r="E1969" s="11" t="s">
        <v>51</v>
      </c>
      <c r="F1969" s="10">
        <v>5180</v>
      </c>
      <c r="G1969" s="10">
        <v>0</v>
      </c>
      <c r="H1969" s="10">
        <f t="shared" si="30"/>
        <v>5180</v>
      </c>
      <c r="I1969" s="10"/>
      <c r="J1969" s="10"/>
      <c r="K1969" s="10"/>
      <c r="L1969" s="4" t="s">
        <v>69</v>
      </c>
      <c r="M1969" s="4">
        <v>1964</v>
      </c>
    </row>
    <row r="1970" spans="1:13" x14ac:dyDescent="0.25">
      <c r="A1970" s="4" t="s">
        <v>1732</v>
      </c>
      <c r="B1970" s="4" t="s">
        <v>1734</v>
      </c>
      <c r="C1970" s="4" t="s">
        <v>65</v>
      </c>
      <c r="D1970" s="10">
        <v>159</v>
      </c>
      <c r="E1970" s="12" t="s">
        <v>66</v>
      </c>
      <c r="F1970" s="10">
        <v>9250</v>
      </c>
      <c r="G1970" s="10">
        <v>0</v>
      </c>
      <c r="H1970" s="10">
        <f t="shared" si="30"/>
        <v>9250</v>
      </c>
      <c r="I1970" s="10">
        <v>80.434782608695656</v>
      </c>
      <c r="J1970" s="10">
        <v>80.434782608695656</v>
      </c>
      <c r="K1970" s="10">
        <v>80.434782608695656</v>
      </c>
      <c r="L1970" s="4"/>
      <c r="M1970" s="4">
        <v>1965</v>
      </c>
    </row>
    <row r="1971" spans="1:13" x14ac:dyDescent="0.25">
      <c r="A1971" s="4" t="s">
        <v>1735</v>
      </c>
      <c r="B1971" s="4" t="s">
        <v>1736</v>
      </c>
      <c r="C1971" s="9" t="s">
        <v>50</v>
      </c>
      <c r="D1971" s="10">
        <v>11</v>
      </c>
      <c r="E1971" s="11" t="s">
        <v>51</v>
      </c>
      <c r="F1971" s="10">
        <v>1045</v>
      </c>
      <c r="G1971" s="10">
        <v>0</v>
      </c>
      <c r="H1971" s="10">
        <f t="shared" si="30"/>
        <v>1045</v>
      </c>
      <c r="I1971" s="10"/>
      <c r="J1971" s="10"/>
      <c r="K1971" s="10"/>
      <c r="L1971" s="4" t="s">
        <v>52</v>
      </c>
      <c r="M1971" s="4">
        <v>1966</v>
      </c>
    </row>
    <row r="1972" spans="1:13" x14ac:dyDescent="0.25">
      <c r="A1972" s="4" t="s">
        <v>1735</v>
      </c>
      <c r="B1972" s="4" t="s">
        <v>1737</v>
      </c>
      <c r="C1972" s="9" t="s">
        <v>50</v>
      </c>
      <c r="D1972" s="10">
        <v>20</v>
      </c>
      <c r="E1972" s="11" t="s">
        <v>51</v>
      </c>
      <c r="F1972" s="10">
        <v>2200</v>
      </c>
      <c r="G1972" s="10">
        <v>0</v>
      </c>
      <c r="H1972" s="10">
        <f t="shared" si="30"/>
        <v>2200</v>
      </c>
      <c r="I1972" s="10"/>
      <c r="J1972" s="10"/>
      <c r="K1972" s="10"/>
      <c r="L1972" s="4" t="s">
        <v>52</v>
      </c>
      <c r="M1972" s="4">
        <v>1967</v>
      </c>
    </row>
    <row r="1973" spans="1:13" x14ac:dyDescent="0.25">
      <c r="A1973" s="4" t="s">
        <v>1735</v>
      </c>
      <c r="B1973" s="4" t="s">
        <v>1738</v>
      </c>
      <c r="C1973" s="9" t="s">
        <v>50</v>
      </c>
      <c r="D1973" s="10">
        <v>48</v>
      </c>
      <c r="E1973" s="11" t="s">
        <v>51</v>
      </c>
      <c r="F1973" s="10">
        <v>1200</v>
      </c>
      <c r="G1973" s="10">
        <v>0</v>
      </c>
      <c r="H1973" s="10">
        <f t="shared" si="30"/>
        <v>1200</v>
      </c>
      <c r="I1973" s="10"/>
      <c r="J1973" s="10"/>
      <c r="K1973" s="10"/>
      <c r="L1973" s="4" t="s">
        <v>52</v>
      </c>
      <c r="M1973" s="4">
        <v>1968</v>
      </c>
    </row>
    <row r="1974" spans="1:13" x14ac:dyDescent="0.25">
      <c r="A1974" s="4" t="s">
        <v>1739</v>
      </c>
      <c r="B1974" s="4" t="s">
        <v>1740</v>
      </c>
      <c r="C1974" s="4" t="s">
        <v>65</v>
      </c>
      <c r="D1974" s="10">
        <v>10.5</v>
      </c>
      <c r="E1974" s="12" t="s">
        <v>66</v>
      </c>
      <c r="F1974" s="10">
        <v>1250</v>
      </c>
      <c r="G1974" s="10">
        <v>0</v>
      </c>
      <c r="H1974" s="10">
        <f t="shared" si="30"/>
        <v>1250</v>
      </c>
      <c r="I1974" s="10">
        <v>119.04761904761909</v>
      </c>
      <c r="J1974" s="10">
        <v>119.04761904761909</v>
      </c>
      <c r="K1974" s="10">
        <v>119.04761904761909</v>
      </c>
      <c r="L1974" s="4"/>
      <c r="M1974" s="4">
        <v>1969</v>
      </c>
    </row>
    <row r="1975" spans="1:13" x14ac:dyDescent="0.25">
      <c r="A1975" s="4" t="s">
        <v>1739</v>
      </c>
      <c r="B1975" s="4" t="s">
        <v>1741</v>
      </c>
      <c r="C1975" s="4" t="s">
        <v>65</v>
      </c>
      <c r="D1975" s="10">
        <v>9</v>
      </c>
      <c r="E1975" s="12" t="s">
        <v>66</v>
      </c>
      <c r="F1975" s="10">
        <v>650</v>
      </c>
      <c r="G1975" s="10">
        <v>0</v>
      </c>
      <c r="H1975" s="10">
        <f t="shared" si="30"/>
        <v>650</v>
      </c>
      <c r="I1975" s="10">
        <v>72.222222222222229</v>
      </c>
      <c r="J1975" s="10">
        <v>72.222222222222229</v>
      </c>
      <c r="K1975" s="10">
        <v>72.222222222222229</v>
      </c>
      <c r="L1975" s="4"/>
      <c r="M1975" s="4">
        <v>1970</v>
      </c>
    </row>
    <row r="1976" spans="1:13" x14ac:dyDescent="0.25">
      <c r="A1976" s="4" t="s">
        <v>1739</v>
      </c>
      <c r="B1976" s="4" t="s">
        <v>1742</v>
      </c>
      <c r="C1976" s="4" t="s">
        <v>65</v>
      </c>
      <c r="D1976" s="10">
        <v>72.5</v>
      </c>
      <c r="E1976" s="12" t="s">
        <v>66</v>
      </c>
      <c r="F1976" s="10">
        <v>1750</v>
      </c>
      <c r="G1976" s="10">
        <v>0</v>
      </c>
      <c r="H1976" s="10">
        <f t="shared" si="30"/>
        <v>1750</v>
      </c>
      <c r="I1976" s="10">
        <v>112.9032258064516</v>
      </c>
      <c r="J1976" s="10">
        <v>112.9032258064516</v>
      </c>
      <c r="K1976" s="10">
        <v>112.9032258064516</v>
      </c>
      <c r="L1976" s="4"/>
      <c r="M1976" s="4">
        <v>1971</v>
      </c>
    </row>
    <row r="1977" spans="1:13" x14ac:dyDescent="0.25">
      <c r="A1977" s="4" t="s">
        <v>1743</v>
      </c>
      <c r="B1977" s="4" t="s">
        <v>1744</v>
      </c>
      <c r="C1977" s="4" t="s">
        <v>68</v>
      </c>
      <c r="D1977" s="10">
        <v>56</v>
      </c>
      <c r="E1977" s="11" t="s">
        <v>51</v>
      </c>
      <c r="F1977" s="10">
        <v>3920</v>
      </c>
      <c r="G1977" s="10">
        <v>0</v>
      </c>
      <c r="H1977" s="10">
        <f t="shared" si="30"/>
        <v>3920</v>
      </c>
      <c r="I1977" s="10"/>
      <c r="J1977" s="10"/>
      <c r="K1977" s="10"/>
      <c r="L1977" s="4" t="s">
        <v>69</v>
      </c>
      <c r="M1977" s="4">
        <v>1972</v>
      </c>
    </row>
    <row r="1978" spans="1:13" x14ac:dyDescent="0.25">
      <c r="A1978" s="4" t="s">
        <v>1743</v>
      </c>
      <c r="B1978" s="4" t="s">
        <v>1745</v>
      </c>
      <c r="C1978" s="9" t="s">
        <v>50</v>
      </c>
      <c r="D1978" s="10">
        <v>266</v>
      </c>
      <c r="E1978" s="11" t="s">
        <v>51</v>
      </c>
      <c r="F1978" s="10">
        <v>55</v>
      </c>
      <c r="G1978" s="10">
        <v>0</v>
      </c>
      <c r="H1978" s="10">
        <f t="shared" si="30"/>
        <v>55</v>
      </c>
      <c r="I1978" s="10"/>
      <c r="J1978" s="10"/>
      <c r="K1978" s="10"/>
      <c r="L1978" s="4" t="s">
        <v>52</v>
      </c>
      <c r="M1978" s="4">
        <v>1973</v>
      </c>
    </row>
    <row r="1979" spans="1:13" x14ac:dyDescent="0.25">
      <c r="A1979" s="4" t="s">
        <v>1746</v>
      </c>
      <c r="B1979" s="4" t="s">
        <v>1747</v>
      </c>
      <c r="C1979" s="4" t="s">
        <v>68</v>
      </c>
      <c r="D1979" s="10">
        <v>180</v>
      </c>
      <c r="E1979" s="11" t="s">
        <v>51</v>
      </c>
      <c r="F1979" s="10">
        <v>12600</v>
      </c>
      <c r="G1979" s="10">
        <v>0</v>
      </c>
      <c r="H1979" s="10">
        <f t="shared" si="30"/>
        <v>12600</v>
      </c>
      <c r="I1979" s="10"/>
      <c r="J1979" s="10"/>
      <c r="K1979" s="10"/>
      <c r="L1979" s="4" t="s">
        <v>69</v>
      </c>
      <c r="M1979" s="4">
        <v>1974</v>
      </c>
    </row>
    <row r="1980" spans="1:13" x14ac:dyDescent="0.25">
      <c r="A1980" s="4" t="s">
        <v>1746</v>
      </c>
      <c r="B1980" s="4" t="s">
        <v>1748</v>
      </c>
      <c r="C1980" s="4" t="s">
        <v>65</v>
      </c>
      <c r="D1980" s="10">
        <v>60</v>
      </c>
      <c r="E1980" s="12" t="s">
        <v>66</v>
      </c>
      <c r="F1980" s="10">
        <v>4850</v>
      </c>
      <c r="G1980" s="10">
        <v>0</v>
      </c>
      <c r="H1980" s="10">
        <f t="shared" si="30"/>
        <v>4850</v>
      </c>
      <c r="I1980" s="10">
        <v>80.833333333333329</v>
      </c>
      <c r="J1980" s="10">
        <v>80.833333333333329</v>
      </c>
      <c r="K1980" s="10">
        <v>80.833333333333329</v>
      </c>
      <c r="L1980" s="4"/>
      <c r="M1980" s="4">
        <v>1975</v>
      </c>
    </row>
    <row r="1981" spans="1:13" x14ac:dyDescent="0.25">
      <c r="A1981" s="4" t="s">
        <v>1746</v>
      </c>
      <c r="B1981" s="4" t="s">
        <v>1749</v>
      </c>
      <c r="C1981" s="4" t="s">
        <v>68</v>
      </c>
      <c r="D1981" s="10">
        <v>25</v>
      </c>
      <c r="E1981" s="11" t="s">
        <v>51</v>
      </c>
      <c r="F1981" s="10">
        <v>1750</v>
      </c>
      <c r="G1981" s="10">
        <v>0</v>
      </c>
      <c r="H1981" s="10">
        <f t="shared" si="30"/>
        <v>1750</v>
      </c>
      <c r="I1981" s="10"/>
      <c r="J1981" s="10"/>
      <c r="K1981" s="10"/>
      <c r="L1981" s="4" t="s">
        <v>69</v>
      </c>
      <c r="M1981" s="4">
        <v>1976</v>
      </c>
    </row>
    <row r="1982" spans="1:13" x14ac:dyDescent="0.25">
      <c r="A1982" s="4" t="s">
        <v>1746</v>
      </c>
      <c r="B1982" s="4" t="s">
        <v>1745</v>
      </c>
      <c r="C1982" s="9" t="s">
        <v>50</v>
      </c>
      <c r="D1982" s="10">
        <v>1</v>
      </c>
      <c r="E1982" s="11" t="s">
        <v>51</v>
      </c>
      <c r="F1982" s="10"/>
      <c r="G1982" s="10">
        <v>0</v>
      </c>
      <c r="H1982" s="10">
        <f t="shared" si="30"/>
        <v>0</v>
      </c>
      <c r="I1982" s="10"/>
      <c r="J1982" s="10"/>
      <c r="K1982" s="10"/>
      <c r="L1982" s="4" t="s">
        <v>52</v>
      </c>
      <c r="M1982" s="4">
        <v>1977</v>
      </c>
    </row>
    <row r="1983" spans="1:13" x14ac:dyDescent="0.25">
      <c r="A1983" s="4" t="s">
        <v>1750</v>
      </c>
      <c r="B1983" s="4" t="s">
        <v>1751</v>
      </c>
      <c r="C1983" s="4" t="s">
        <v>68</v>
      </c>
      <c r="D1983" s="10">
        <v>200</v>
      </c>
      <c r="E1983" s="11" t="s">
        <v>51</v>
      </c>
      <c r="F1983" s="10">
        <v>7000</v>
      </c>
      <c r="G1983" s="10">
        <v>0</v>
      </c>
      <c r="H1983" s="10">
        <f t="shared" si="30"/>
        <v>7000</v>
      </c>
      <c r="I1983" s="10"/>
      <c r="J1983" s="10"/>
      <c r="K1983" s="10"/>
      <c r="L1983" s="4" t="s">
        <v>69</v>
      </c>
      <c r="M1983" s="4">
        <v>1978</v>
      </c>
    </row>
    <row r="1984" spans="1:13" x14ac:dyDescent="0.25">
      <c r="A1984" s="4" t="s">
        <v>1752</v>
      </c>
      <c r="B1984" s="4" t="s">
        <v>1753</v>
      </c>
      <c r="C1984" s="4" t="s">
        <v>65</v>
      </c>
      <c r="D1984" s="10">
        <v>146</v>
      </c>
      <c r="E1984" s="12" t="s">
        <v>66</v>
      </c>
      <c r="F1984" s="10">
        <v>16050</v>
      </c>
      <c r="G1984" s="10">
        <v>0</v>
      </c>
      <c r="H1984" s="10">
        <f t="shared" si="30"/>
        <v>16050</v>
      </c>
      <c r="I1984" s="10">
        <v>123.4615384615385</v>
      </c>
      <c r="J1984" s="10">
        <v>123.4615384615385</v>
      </c>
      <c r="K1984" s="10">
        <v>123.4615384615385</v>
      </c>
      <c r="L1984" s="4"/>
      <c r="M1984" s="4">
        <v>1979</v>
      </c>
    </row>
    <row r="1985" spans="1:13" x14ac:dyDescent="0.25">
      <c r="A1985" s="4" t="s">
        <v>1754</v>
      </c>
      <c r="B1985" s="4" t="s">
        <v>128</v>
      </c>
      <c r="C1985" s="9" t="s">
        <v>50</v>
      </c>
      <c r="D1985" s="10">
        <v>46</v>
      </c>
      <c r="E1985" s="11" t="s">
        <v>51</v>
      </c>
      <c r="F1985" s="10">
        <v>1000</v>
      </c>
      <c r="G1985" s="10">
        <v>0</v>
      </c>
      <c r="H1985" s="10">
        <f t="shared" si="30"/>
        <v>1000</v>
      </c>
      <c r="I1985" s="10"/>
      <c r="J1985" s="10"/>
      <c r="K1985" s="10"/>
      <c r="L1985" s="4" t="s">
        <v>52</v>
      </c>
      <c r="M1985" s="4">
        <v>1980</v>
      </c>
    </row>
    <row r="1986" spans="1:13" x14ac:dyDescent="0.25">
      <c r="A1986" s="4" t="s">
        <v>1755</v>
      </c>
      <c r="B1986" s="4" t="s">
        <v>107</v>
      </c>
      <c r="C1986" s="9" t="s">
        <v>50</v>
      </c>
      <c r="D1986" s="10">
        <v>50.75</v>
      </c>
      <c r="E1986" s="11" t="s">
        <v>51</v>
      </c>
      <c r="F1986" s="10">
        <v>2850</v>
      </c>
      <c r="G1986" s="10">
        <v>0</v>
      </c>
      <c r="H1986" s="10">
        <f t="shared" si="30"/>
        <v>2850</v>
      </c>
      <c r="I1986" s="10"/>
      <c r="J1986" s="10"/>
      <c r="K1986" s="10"/>
      <c r="L1986" s="4" t="s">
        <v>52</v>
      </c>
      <c r="M1986" s="4">
        <v>1981</v>
      </c>
    </row>
    <row r="1987" spans="1:13" x14ac:dyDescent="0.25">
      <c r="A1987" s="4" t="s">
        <v>1756</v>
      </c>
      <c r="B1987" s="4" t="s">
        <v>270</v>
      </c>
      <c r="C1987" s="9" t="s">
        <v>50</v>
      </c>
      <c r="D1987" s="10">
        <v>0.75</v>
      </c>
      <c r="E1987" s="11" t="s">
        <v>51</v>
      </c>
      <c r="F1987" s="10">
        <v>36.119999999999997</v>
      </c>
      <c r="G1987" s="10">
        <v>0</v>
      </c>
      <c r="H1987" s="10">
        <f t="shared" si="30"/>
        <v>36.119999999999997</v>
      </c>
      <c r="I1987" s="10"/>
      <c r="J1987" s="10"/>
      <c r="K1987" s="10"/>
      <c r="L1987" s="4" t="s">
        <v>52</v>
      </c>
      <c r="M1987" s="4">
        <v>1982</v>
      </c>
    </row>
    <row r="1988" spans="1:13" x14ac:dyDescent="0.25">
      <c r="A1988" s="4" t="s">
        <v>1756</v>
      </c>
      <c r="B1988" s="4" t="s">
        <v>88</v>
      </c>
      <c r="C1988" s="9" t="s">
        <v>50</v>
      </c>
      <c r="D1988" s="10">
        <v>137</v>
      </c>
      <c r="E1988" s="11" t="s">
        <v>51</v>
      </c>
      <c r="F1988" s="10">
        <v>2063.88</v>
      </c>
      <c r="G1988" s="10">
        <v>0</v>
      </c>
      <c r="H1988" s="10">
        <f t="shared" si="30"/>
        <v>2063.88</v>
      </c>
      <c r="I1988" s="10"/>
      <c r="J1988" s="10"/>
      <c r="K1988" s="10"/>
      <c r="L1988" s="4" t="s">
        <v>52</v>
      </c>
      <c r="M1988" s="4">
        <v>1983</v>
      </c>
    </row>
    <row r="1989" spans="1:13" x14ac:dyDescent="0.25">
      <c r="A1989" s="4" t="s">
        <v>1757</v>
      </c>
      <c r="B1989" s="4" t="s">
        <v>1758</v>
      </c>
      <c r="C1989" s="4" t="s">
        <v>65</v>
      </c>
      <c r="D1989" s="10">
        <v>52</v>
      </c>
      <c r="E1989" s="12" t="s">
        <v>66</v>
      </c>
      <c r="F1989" s="10">
        <v>6900</v>
      </c>
      <c r="G1989" s="10">
        <v>0</v>
      </c>
      <c r="H1989" s="10">
        <f t="shared" si="30"/>
        <v>6900</v>
      </c>
      <c r="I1989" s="10">
        <v>132.69230769230771</v>
      </c>
      <c r="J1989" s="10">
        <v>132.69230769230771</v>
      </c>
      <c r="K1989" s="10">
        <v>132.69230769230771</v>
      </c>
      <c r="L1989" s="4"/>
      <c r="M1989" s="4">
        <v>1984</v>
      </c>
    </row>
    <row r="1990" spans="1:13" x14ac:dyDescent="0.25">
      <c r="A1990" s="4" t="s">
        <v>1757</v>
      </c>
      <c r="B1990" s="4" t="s">
        <v>1759</v>
      </c>
      <c r="C1990" s="4" t="s">
        <v>65</v>
      </c>
      <c r="D1990" s="10"/>
      <c r="E1990" s="11" t="s">
        <v>51</v>
      </c>
      <c r="F1990" s="10"/>
      <c r="G1990" s="10">
        <v>0</v>
      </c>
      <c r="H1990" s="10">
        <f t="shared" ref="H1990:H2053" si="31">F1990-G1990</f>
        <v>0</v>
      </c>
      <c r="I1990" s="10"/>
      <c r="J1990" s="10"/>
      <c r="K1990" s="10"/>
      <c r="L1990" s="4" t="s">
        <v>69</v>
      </c>
      <c r="M1990" s="4">
        <v>1985</v>
      </c>
    </row>
    <row r="1991" spans="1:13" x14ac:dyDescent="0.25">
      <c r="A1991" s="4" t="s">
        <v>1757</v>
      </c>
      <c r="B1991" s="4" t="s">
        <v>1760</v>
      </c>
      <c r="C1991" s="4" t="s">
        <v>65</v>
      </c>
      <c r="D1991" s="10">
        <v>33</v>
      </c>
      <c r="E1991" s="12" t="s">
        <v>66</v>
      </c>
      <c r="F1991" s="10">
        <v>2700</v>
      </c>
      <c r="G1991" s="10">
        <v>0</v>
      </c>
      <c r="H1991" s="10">
        <f t="shared" si="31"/>
        <v>2700</v>
      </c>
      <c r="I1991" s="10">
        <v>81.818181818181813</v>
      </c>
      <c r="J1991" s="10">
        <v>81.818181818181813</v>
      </c>
      <c r="K1991" s="10">
        <v>81.818181818181813</v>
      </c>
      <c r="L1991" s="4"/>
      <c r="M1991" s="4">
        <v>1986</v>
      </c>
    </row>
    <row r="1992" spans="1:13" x14ac:dyDescent="0.25">
      <c r="A1992" s="4" t="s">
        <v>1757</v>
      </c>
      <c r="B1992" s="4" t="s">
        <v>1761</v>
      </c>
      <c r="C1992" s="4" t="s">
        <v>65</v>
      </c>
      <c r="D1992" s="10">
        <v>59</v>
      </c>
      <c r="E1992" s="12" t="s">
        <v>66</v>
      </c>
      <c r="F1992" s="10">
        <v>2600</v>
      </c>
      <c r="G1992" s="10">
        <v>0</v>
      </c>
      <c r="H1992" s="10">
        <f t="shared" si="31"/>
        <v>2600</v>
      </c>
      <c r="I1992" s="10">
        <v>81.25</v>
      </c>
      <c r="J1992" s="10">
        <v>81.25</v>
      </c>
      <c r="K1992" s="10">
        <v>81.25</v>
      </c>
      <c r="L1992" s="4"/>
      <c r="M1992" s="4">
        <v>1987</v>
      </c>
    </row>
    <row r="1993" spans="1:13" x14ac:dyDescent="0.25">
      <c r="A1993" s="4" t="s">
        <v>1762</v>
      </c>
      <c r="B1993" s="4" t="s">
        <v>389</v>
      </c>
      <c r="C1993" s="4" t="s">
        <v>65</v>
      </c>
      <c r="D1993" s="10">
        <v>25</v>
      </c>
      <c r="E1993" s="12" t="s">
        <v>66</v>
      </c>
      <c r="F1993" s="10">
        <v>3200</v>
      </c>
      <c r="G1993" s="10">
        <v>0</v>
      </c>
      <c r="H1993" s="10">
        <f t="shared" si="31"/>
        <v>3200</v>
      </c>
      <c r="I1993" s="10">
        <v>128</v>
      </c>
      <c r="J1993" s="10">
        <v>128</v>
      </c>
      <c r="K1993" s="10">
        <v>128</v>
      </c>
      <c r="L1993" s="4"/>
      <c r="M1993" s="4">
        <v>1988</v>
      </c>
    </row>
    <row r="1994" spans="1:13" x14ac:dyDescent="0.25">
      <c r="A1994" s="4" t="s">
        <v>1762</v>
      </c>
      <c r="B1994" s="4" t="s">
        <v>1763</v>
      </c>
      <c r="C1994" s="4" t="s">
        <v>65</v>
      </c>
      <c r="D1994" s="10">
        <v>4</v>
      </c>
      <c r="E1994" s="12" t="s">
        <v>66</v>
      </c>
      <c r="F1994" s="10">
        <v>600</v>
      </c>
      <c r="G1994" s="10">
        <v>0</v>
      </c>
      <c r="H1994" s="10">
        <f t="shared" si="31"/>
        <v>600</v>
      </c>
      <c r="I1994" s="10">
        <v>150</v>
      </c>
      <c r="J1994" s="10">
        <v>150</v>
      </c>
      <c r="K1994" s="10">
        <v>150</v>
      </c>
      <c r="L1994" s="4"/>
      <c r="M1994" s="4">
        <v>1989</v>
      </c>
    </row>
    <row r="1995" spans="1:13" x14ac:dyDescent="0.25">
      <c r="A1995" s="4" t="s">
        <v>1762</v>
      </c>
      <c r="B1995" s="4" t="s">
        <v>1764</v>
      </c>
      <c r="C1995" s="4" t="s">
        <v>68</v>
      </c>
      <c r="D1995" s="10">
        <v>20</v>
      </c>
      <c r="E1995" s="11" t="s">
        <v>51</v>
      </c>
      <c r="F1995" s="10">
        <v>2400</v>
      </c>
      <c r="G1995" s="10">
        <v>0</v>
      </c>
      <c r="H1995" s="10">
        <f t="shared" si="31"/>
        <v>2400</v>
      </c>
      <c r="I1995" s="10"/>
      <c r="J1995" s="10"/>
      <c r="K1995" s="10"/>
      <c r="L1995" s="4" t="s">
        <v>69</v>
      </c>
      <c r="M1995" s="4">
        <v>1990</v>
      </c>
    </row>
    <row r="1996" spans="1:13" x14ac:dyDescent="0.25">
      <c r="A1996" s="4" t="s">
        <v>1762</v>
      </c>
      <c r="B1996" s="4" t="s">
        <v>1765</v>
      </c>
      <c r="C1996" s="4" t="s">
        <v>65</v>
      </c>
      <c r="D1996" s="10">
        <v>4</v>
      </c>
      <c r="E1996" s="12" t="s">
        <v>66</v>
      </c>
      <c r="F1996" s="10">
        <v>350</v>
      </c>
      <c r="G1996" s="10">
        <v>0</v>
      </c>
      <c r="H1996" s="10">
        <f t="shared" si="31"/>
        <v>350</v>
      </c>
      <c r="I1996" s="10">
        <v>87.5</v>
      </c>
      <c r="J1996" s="10">
        <v>87.5</v>
      </c>
      <c r="K1996" s="10">
        <v>87.5</v>
      </c>
      <c r="L1996" s="4"/>
      <c r="M1996" s="4">
        <v>1991</v>
      </c>
    </row>
    <row r="1997" spans="1:13" x14ac:dyDescent="0.25">
      <c r="A1997" s="4" t="s">
        <v>1762</v>
      </c>
      <c r="B1997" s="4" t="s">
        <v>1766</v>
      </c>
      <c r="C1997" s="4" t="s">
        <v>65</v>
      </c>
      <c r="D1997" s="10">
        <v>128</v>
      </c>
      <c r="E1997" s="12" t="s">
        <v>66</v>
      </c>
      <c r="F1997" s="10">
        <v>500</v>
      </c>
      <c r="G1997" s="10">
        <v>0</v>
      </c>
      <c r="H1997" s="10">
        <f t="shared" si="31"/>
        <v>500</v>
      </c>
      <c r="I1997" s="10">
        <v>83.333333333333329</v>
      </c>
      <c r="J1997" s="10">
        <v>83.333333333333329</v>
      </c>
      <c r="K1997" s="10">
        <v>83.333333333333329</v>
      </c>
      <c r="L1997" s="4"/>
      <c r="M1997" s="4">
        <v>1992</v>
      </c>
    </row>
    <row r="1998" spans="1:13" x14ac:dyDescent="0.25">
      <c r="A1998" s="4" t="s">
        <v>1767</v>
      </c>
      <c r="B1998" s="4" t="s">
        <v>1768</v>
      </c>
      <c r="C1998" s="4" t="s">
        <v>68</v>
      </c>
      <c r="D1998" s="10">
        <v>30</v>
      </c>
      <c r="E1998" s="11" t="s">
        <v>51</v>
      </c>
      <c r="F1998" s="10">
        <v>2850</v>
      </c>
      <c r="G1998" s="10">
        <v>0</v>
      </c>
      <c r="H1998" s="10">
        <f t="shared" si="31"/>
        <v>2850</v>
      </c>
      <c r="I1998" s="10"/>
      <c r="J1998" s="10"/>
      <c r="K1998" s="10"/>
      <c r="L1998" s="4" t="s">
        <v>69</v>
      </c>
      <c r="M1998" s="4">
        <v>1993</v>
      </c>
    </row>
    <row r="1999" spans="1:13" x14ac:dyDescent="0.25">
      <c r="A1999" s="4" t="s">
        <v>1767</v>
      </c>
      <c r="B1999" s="4" t="s">
        <v>1769</v>
      </c>
      <c r="C1999" s="9" t="s">
        <v>50</v>
      </c>
      <c r="D1999" s="10">
        <v>176</v>
      </c>
      <c r="E1999" s="11" t="s">
        <v>51</v>
      </c>
      <c r="F1999" s="10">
        <v>8900</v>
      </c>
      <c r="G1999" s="10">
        <v>0</v>
      </c>
      <c r="H1999" s="10">
        <f t="shared" si="31"/>
        <v>8900</v>
      </c>
      <c r="I1999" s="10"/>
      <c r="J1999" s="10"/>
      <c r="K1999" s="10"/>
      <c r="L1999" s="4" t="s">
        <v>52</v>
      </c>
      <c r="M1999" s="4">
        <v>1994</v>
      </c>
    </row>
    <row r="2000" spans="1:13" x14ac:dyDescent="0.25">
      <c r="A2000" s="4" t="s">
        <v>1770</v>
      </c>
      <c r="B2000" s="4" t="s">
        <v>1771</v>
      </c>
      <c r="C2000" s="9" t="s">
        <v>50</v>
      </c>
      <c r="D2000" s="10">
        <v>20</v>
      </c>
      <c r="E2000" s="11" t="s">
        <v>51</v>
      </c>
      <c r="F2000" s="10">
        <v>2100</v>
      </c>
      <c r="G2000" s="10">
        <v>0</v>
      </c>
      <c r="H2000" s="10">
        <f t="shared" si="31"/>
        <v>2100</v>
      </c>
      <c r="I2000" s="10"/>
      <c r="J2000" s="10"/>
      <c r="K2000" s="10"/>
      <c r="L2000" s="4" t="s">
        <v>52</v>
      </c>
      <c r="M2000" s="4">
        <v>1995</v>
      </c>
    </row>
    <row r="2001" spans="1:13" x14ac:dyDescent="0.25">
      <c r="A2001" s="4" t="s">
        <v>1770</v>
      </c>
      <c r="B2001" s="4" t="s">
        <v>974</v>
      </c>
      <c r="C2001" s="9" t="s">
        <v>50</v>
      </c>
      <c r="D2001" s="10">
        <v>40</v>
      </c>
      <c r="E2001" s="11" t="s">
        <v>51</v>
      </c>
      <c r="F2001" s="10">
        <v>3800</v>
      </c>
      <c r="G2001" s="10">
        <v>0</v>
      </c>
      <c r="H2001" s="10">
        <f t="shared" si="31"/>
        <v>3800</v>
      </c>
      <c r="I2001" s="10"/>
      <c r="J2001" s="10"/>
      <c r="K2001" s="10"/>
      <c r="L2001" s="4" t="s">
        <v>52</v>
      </c>
      <c r="M2001" s="4">
        <v>1996</v>
      </c>
    </row>
    <row r="2002" spans="1:13" x14ac:dyDescent="0.25">
      <c r="A2002" s="4" t="s">
        <v>1770</v>
      </c>
      <c r="B2002" s="4" t="s">
        <v>609</v>
      </c>
      <c r="C2002" s="9" t="s">
        <v>50</v>
      </c>
      <c r="D2002" s="10">
        <v>99</v>
      </c>
      <c r="E2002" s="11" t="s">
        <v>51</v>
      </c>
      <c r="F2002" s="10">
        <v>2550</v>
      </c>
      <c r="G2002" s="10">
        <v>0</v>
      </c>
      <c r="H2002" s="10">
        <f t="shared" si="31"/>
        <v>2550</v>
      </c>
      <c r="I2002" s="10"/>
      <c r="J2002" s="10"/>
      <c r="K2002" s="10"/>
      <c r="L2002" s="4" t="s">
        <v>52</v>
      </c>
      <c r="M2002" s="4">
        <v>1997</v>
      </c>
    </row>
    <row r="2003" spans="1:13" x14ac:dyDescent="0.25">
      <c r="A2003" s="4" t="s">
        <v>1772</v>
      </c>
      <c r="B2003" s="4" t="s">
        <v>119</v>
      </c>
      <c r="C2003" s="9" t="s">
        <v>50</v>
      </c>
      <c r="D2003" s="10">
        <v>48.5</v>
      </c>
      <c r="E2003" s="11" t="s">
        <v>51</v>
      </c>
      <c r="F2003" s="10">
        <v>2950</v>
      </c>
      <c r="G2003" s="10">
        <v>0</v>
      </c>
      <c r="H2003" s="10">
        <f t="shared" si="31"/>
        <v>2950</v>
      </c>
      <c r="I2003" s="10"/>
      <c r="J2003" s="10"/>
      <c r="K2003" s="10"/>
      <c r="L2003" s="4" t="s">
        <v>52</v>
      </c>
      <c r="M2003" s="4">
        <v>1998</v>
      </c>
    </row>
    <row r="2004" spans="1:13" x14ac:dyDescent="0.25">
      <c r="A2004" s="4" t="s">
        <v>1772</v>
      </c>
      <c r="B2004" s="4" t="s">
        <v>118</v>
      </c>
      <c r="C2004" s="9" t="s">
        <v>50</v>
      </c>
      <c r="D2004" s="10">
        <v>82.5</v>
      </c>
      <c r="E2004" s="11" t="s">
        <v>51</v>
      </c>
      <c r="F2004" s="10">
        <v>1650</v>
      </c>
      <c r="G2004" s="10">
        <v>0</v>
      </c>
      <c r="H2004" s="10">
        <f t="shared" si="31"/>
        <v>1650</v>
      </c>
      <c r="I2004" s="10"/>
      <c r="J2004" s="10"/>
      <c r="K2004" s="10"/>
      <c r="L2004" s="4" t="s">
        <v>52</v>
      </c>
      <c r="M2004" s="4">
        <v>1999</v>
      </c>
    </row>
    <row r="2005" spans="1:13" x14ac:dyDescent="0.25">
      <c r="A2005" s="4" t="s">
        <v>1773</v>
      </c>
      <c r="B2005" s="4" t="s">
        <v>974</v>
      </c>
      <c r="C2005" s="9" t="s">
        <v>50</v>
      </c>
      <c r="D2005" s="10">
        <v>40</v>
      </c>
      <c r="E2005" s="11" t="s">
        <v>51</v>
      </c>
      <c r="F2005" s="10"/>
      <c r="G2005" s="10">
        <v>0</v>
      </c>
      <c r="H2005" s="10">
        <f t="shared" si="31"/>
        <v>0</v>
      </c>
      <c r="I2005" s="10"/>
      <c r="J2005" s="10"/>
      <c r="K2005" s="10"/>
      <c r="L2005" s="4" t="s">
        <v>52</v>
      </c>
      <c r="M2005" s="4">
        <v>2000</v>
      </c>
    </row>
    <row r="2006" spans="1:13" x14ac:dyDescent="0.25">
      <c r="A2006" s="4" t="s">
        <v>1773</v>
      </c>
      <c r="B2006" s="4" t="s">
        <v>1774</v>
      </c>
      <c r="C2006" s="4" t="s">
        <v>65</v>
      </c>
      <c r="D2006" s="10">
        <v>236</v>
      </c>
      <c r="E2006" s="11" t="s">
        <v>51</v>
      </c>
      <c r="F2006" s="10"/>
      <c r="G2006" s="10">
        <v>0</v>
      </c>
      <c r="H2006" s="10">
        <f t="shared" si="31"/>
        <v>0</v>
      </c>
      <c r="I2006" s="10">
        <v>0</v>
      </c>
      <c r="J2006" s="10">
        <v>0</v>
      </c>
      <c r="K2006" s="10">
        <v>0</v>
      </c>
      <c r="L2006" s="4" t="s">
        <v>69</v>
      </c>
      <c r="M2006" s="4">
        <v>2001</v>
      </c>
    </row>
    <row r="2007" spans="1:13" x14ac:dyDescent="0.25">
      <c r="A2007" s="4" t="s">
        <v>1775</v>
      </c>
      <c r="B2007" s="4" t="s">
        <v>88</v>
      </c>
      <c r="C2007" s="9" t="s">
        <v>50</v>
      </c>
      <c r="D2007" s="10">
        <v>134</v>
      </c>
      <c r="E2007" s="11" t="s">
        <v>51</v>
      </c>
      <c r="F2007" s="10">
        <v>12060</v>
      </c>
      <c r="G2007" s="10">
        <v>0</v>
      </c>
      <c r="H2007" s="10">
        <f t="shared" si="31"/>
        <v>12060</v>
      </c>
      <c r="I2007" s="10"/>
      <c r="J2007" s="10"/>
      <c r="K2007" s="10"/>
      <c r="L2007" s="4" t="s">
        <v>52</v>
      </c>
      <c r="M2007" s="4">
        <v>2002</v>
      </c>
    </row>
    <row r="2008" spans="1:13" x14ac:dyDescent="0.25">
      <c r="A2008" s="4" t="s">
        <v>1775</v>
      </c>
      <c r="B2008" s="4" t="s">
        <v>137</v>
      </c>
      <c r="C2008" s="9" t="s">
        <v>50</v>
      </c>
      <c r="D2008" s="10">
        <v>16</v>
      </c>
      <c r="E2008" s="11" t="s">
        <v>51</v>
      </c>
      <c r="F2008" s="10">
        <v>1160</v>
      </c>
      <c r="G2008" s="10">
        <v>0</v>
      </c>
      <c r="H2008" s="10">
        <f t="shared" si="31"/>
        <v>1160</v>
      </c>
      <c r="I2008" s="10"/>
      <c r="J2008" s="10"/>
      <c r="K2008" s="10"/>
      <c r="L2008" s="4" t="s">
        <v>52</v>
      </c>
      <c r="M2008" s="4">
        <v>2003</v>
      </c>
    </row>
    <row r="2009" spans="1:13" x14ac:dyDescent="0.25">
      <c r="A2009" s="4" t="s">
        <v>1775</v>
      </c>
      <c r="B2009" s="4" t="s">
        <v>107</v>
      </c>
      <c r="C2009" s="9" t="s">
        <v>50</v>
      </c>
      <c r="D2009" s="10">
        <v>40</v>
      </c>
      <c r="E2009" s="11" t="s">
        <v>51</v>
      </c>
      <c r="F2009" s="10">
        <v>3600</v>
      </c>
      <c r="G2009" s="10">
        <v>0</v>
      </c>
      <c r="H2009" s="10">
        <f t="shared" si="31"/>
        <v>3600</v>
      </c>
      <c r="I2009" s="10"/>
      <c r="J2009" s="10"/>
      <c r="K2009" s="10"/>
      <c r="L2009" s="4" t="s">
        <v>52</v>
      </c>
      <c r="M2009" s="4">
        <v>2004</v>
      </c>
    </row>
    <row r="2010" spans="1:13" x14ac:dyDescent="0.25">
      <c r="A2010" s="4" t="s">
        <v>1775</v>
      </c>
      <c r="B2010" s="4" t="s">
        <v>1776</v>
      </c>
      <c r="C2010" s="4" t="s">
        <v>68</v>
      </c>
      <c r="D2010" s="10">
        <v>70</v>
      </c>
      <c r="E2010" s="11" t="s">
        <v>51</v>
      </c>
      <c r="F2010" s="10">
        <v>1650</v>
      </c>
      <c r="G2010" s="10">
        <v>0</v>
      </c>
      <c r="H2010" s="10">
        <f t="shared" si="31"/>
        <v>1650</v>
      </c>
      <c r="I2010" s="10"/>
      <c r="J2010" s="10"/>
      <c r="K2010" s="10"/>
      <c r="L2010" s="4" t="s">
        <v>69</v>
      </c>
      <c r="M2010" s="4">
        <v>2005</v>
      </c>
    </row>
    <row r="2011" spans="1:13" x14ac:dyDescent="0.25">
      <c r="A2011" s="4" t="s">
        <v>1777</v>
      </c>
      <c r="B2011" s="4" t="s">
        <v>272</v>
      </c>
      <c r="C2011" s="9" t="s">
        <v>50</v>
      </c>
      <c r="D2011" s="10">
        <v>8</v>
      </c>
      <c r="E2011" s="11" t="s">
        <v>51</v>
      </c>
      <c r="F2011" s="10">
        <v>760</v>
      </c>
      <c r="G2011" s="10">
        <v>0</v>
      </c>
      <c r="H2011" s="10">
        <f t="shared" si="31"/>
        <v>760</v>
      </c>
      <c r="I2011" s="10"/>
      <c r="J2011" s="10"/>
      <c r="K2011" s="10"/>
      <c r="L2011" s="4" t="s">
        <v>52</v>
      </c>
      <c r="M2011" s="4">
        <v>2006</v>
      </c>
    </row>
    <row r="2012" spans="1:13" x14ac:dyDescent="0.25">
      <c r="A2012" s="4" t="s">
        <v>1777</v>
      </c>
      <c r="B2012" s="4" t="s">
        <v>107</v>
      </c>
      <c r="C2012" s="9" t="s">
        <v>50</v>
      </c>
      <c r="D2012" s="10">
        <v>161</v>
      </c>
      <c r="E2012" s="11" t="s">
        <v>51</v>
      </c>
      <c r="F2012" s="10">
        <v>3040</v>
      </c>
      <c r="G2012" s="10">
        <v>0</v>
      </c>
      <c r="H2012" s="10">
        <f t="shared" si="31"/>
        <v>3040</v>
      </c>
      <c r="I2012" s="10"/>
      <c r="J2012" s="10"/>
      <c r="K2012" s="10"/>
      <c r="L2012" s="4" t="s">
        <v>52</v>
      </c>
      <c r="M2012" s="4">
        <v>2007</v>
      </c>
    </row>
    <row r="2013" spans="1:13" x14ac:dyDescent="0.25">
      <c r="A2013" s="4" t="s">
        <v>1778</v>
      </c>
      <c r="B2013" s="4" t="s">
        <v>136</v>
      </c>
      <c r="C2013" s="9" t="s">
        <v>50</v>
      </c>
      <c r="D2013" s="10">
        <v>5</v>
      </c>
      <c r="E2013" s="11" t="s">
        <v>51</v>
      </c>
      <c r="F2013" s="10">
        <v>540.08000000000004</v>
      </c>
      <c r="G2013" s="10">
        <v>0</v>
      </c>
      <c r="H2013" s="10">
        <f t="shared" si="31"/>
        <v>540.08000000000004</v>
      </c>
      <c r="I2013" s="10"/>
      <c r="J2013" s="10"/>
      <c r="K2013" s="10"/>
      <c r="L2013" s="4" t="s">
        <v>52</v>
      </c>
      <c r="M2013" s="4">
        <v>2008</v>
      </c>
    </row>
    <row r="2014" spans="1:13" x14ac:dyDescent="0.25">
      <c r="A2014" s="4" t="s">
        <v>1778</v>
      </c>
      <c r="B2014" s="4" t="s">
        <v>107</v>
      </c>
      <c r="C2014" s="9" t="s">
        <v>50</v>
      </c>
      <c r="D2014" s="10">
        <v>9</v>
      </c>
      <c r="E2014" s="11" t="s">
        <v>51</v>
      </c>
      <c r="F2014" s="10">
        <v>971.09</v>
      </c>
      <c r="G2014" s="10">
        <v>0</v>
      </c>
      <c r="H2014" s="10">
        <f t="shared" si="31"/>
        <v>971.09</v>
      </c>
      <c r="I2014" s="10"/>
      <c r="J2014" s="10"/>
      <c r="K2014" s="10"/>
      <c r="L2014" s="4" t="s">
        <v>52</v>
      </c>
      <c r="M2014" s="4">
        <v>2009</v>
      </c>
    </row>
    <row r="2015" spans="1:13" x14ac:dyDescent="0.25">
      <c r="A2015" s="4" t="s">
        <v>1778</v>
      </c>
      <c r="B2015" s="4" t="s">
        <v>128</v>
      </c>
      <c r="C2015" s="9" t="s">
        <v>50</v>
      </c>
      <c r="D2015" s="10">
        <v>186</v>
      </c>
      <c r="E2015" s="11" t="s">
        <v>51</v>
      </c>
      <c r="F2015" s="10">
        <v>7213.83</v>
      </c>
      <c r="G2015" s="10">
        <v>0</v>
      </c>
      <c r="H2015" s="10">
        <f t="shared" si="31"/>
        <v>7213.83</v>
      </c>
      <c r="I2015" s="10"/>
      <c r="J2015" s="10"/>
      <c r="K2015" s="10"/>
      <c r="L2015" s="4" t="s">
        <v>52</v>
      </c>
      <c r="M2015" s="4">
        <v>2010</v>
      </c>
    </row>
    <row r="2016" spans="1:13" x14ac:dyDescent="0.25">
      <c r="A2016" s="4" t="s">
        <v>1779</v>
      </c>
      <c r="B2016" s="4" t="s">
        <v>1780</v>
      </c>
      <c r="C2016" s="9" t="s">
        <v>50</v>
      </c>
      <c r="D2016" s="10">
        <v>23</v>
      </c>
      <c r="E2016" s="11" t="s">
        <v>51</v>
      </c>
      <c r="F2016" s="10">
        <v>2300</v>
      </c>
      <c r="G2016" s="10">
        <v>0</v>
      </c>
      <c r="H2016" s="10">
        <f t="shared" si="31"/>
        <v>2300</v>
      </c>
      <c r="I2016" s="10"/>
      <c r="J2016" s="10"/>
      <c r="K2016" s="10"/>
      <c r="L2016" s="4" t="s">
        <v>52</v>
      </c>
      <c r="M2016" s="4">
        <v>2011</v>
      </c>
    </row>
    <row r="2017" spans="1:13" x14ac:dyDescent="0.25">
      <c r="A2017" s="4" t="s">
        <v>1779</v>
      </c>
      <c r="B2017" s="4" t="s">
        <v>1781</v>
      </c>
      <c r="C2017" s="9" t="s">
        <v>50</v>
      </c>
      <c r="D2017" s="10">
        <v>10</v>
      </c>
      <c r="E2017" s="11" t="s">
        <v>51</v>
      </c>
      <c r="F2017" s="10">
        <v>200</v>
      </c>
      <c r="G2017" s="10">
        <v>0</v>
      </c>
      <c r="H2017" s="10">
        <f t="shared" si="31"/>
        <v>200</v>
      </c>
      <c r="I2017" s="10"/>
      <c r="J2017" s="10"/>
      <c r="K2017" s="10"/>
      <c r="L2017" s="4" t="s">
        <v>52</v>
      </c>
      <c r="M2017" s="4">
        <v>2012</v>
      </c>
    </row>
    <row r="2018" spans="1:13" x14ac:dyDescent="0.25">
      <c r="A2018" s="4" t="s">
        <v>1779</v>
      </c>
      <c r="B2018" s="4" t="s">
        <v>1296</v>
      </c>
      <c r="C2018" s="9" t="s">
        <v>50</v>
      </c>
      <c r="D2018" s="10">
        <v>6</v>
      </c>
      <c r="E2018" s="11" t="s">
        <v>51</v>
      </c>
      <c r="F2018" s="10">
        <v>700</v>
      </c>
      <c r="G2018" s="10">
        <v>0</v>
      </c>
      <c r="H2018" s="10">
        <f t="shared" si="31"/>
        <v>700</v>
      </c>
      <c r="I2018" s="10"/>
      <c r="J2018" s="10"/>
      <c r="K2018" s="10"/>
      <c r="L2018" s="4" t="s">
        <v>52</v>
      </c>
      <c r="M2018" s="4">
        <v>2013</v>
      </c>
    </row>
    <row r="2019" spans="1:13" x14ac:dyDescent="0.25">
      <c r="A2019" s="4" t="s">
        <v>1779</v>
      </c>
      <c r="B2019" s="4" t="s">
        <v>1628</v>
      </c>
      <c r="C2019" s="9" t="s">
        <v>50</v>
      </c>
      <c r="D2019" s="10">
        <v>5</v>
      </c>
      <c r="E2019" s="11" t="s">
        <v>51</v>
      </c>
      <c r="F2019" s="10">
        <v>500</v>
      </c>
      <c r="G2019" s="10">
        <v>0</v>
      </c>
      <c r="H2019" s="10">
        <f t="shared" si="31"/>
        <v>500</v>
      </c>
      <c r="I2019" s="10"/>
      <c r="J2019" s="10"/>
      <c r="K2019" s="10"/>
      <c r="L2019" s="4" t="s">
        <v>52</v>
      </c>
      <c r="M2019" s="4">
        <v>2014</v>
      </c>
    </row>
    <row r="2020" spans="1:13" x14ac:dyDescent="0.25">
      <c r="A2020" s="4" t="s">
        <v>1779</v>
      </c>
      <c r="B2020" s="4" t="s">
        <v>1629</v>
      </c>
      <c r="C2020" s="9" t="s">
        <v>50</v>
      </c>
      <c r="D2020" s="10">
        <v>5</v>
      </c>
      <c r="E2020" s="11" t="s">
        <v>51</v>
      </c>
      <c r="F2020" s="10">
        <v>100</v>
      </c>
      <c r="G2020" s="10">
        <v>0</v>
      </c>
      <c r="H2020" s="10">
        <f t="shared" si="31"/>
        <v>100</v>
      </c>
      <c r="I2020" s="10"/>
      <c r="J2020" s="10"/>
      <c r="K2020" s="10"/>
      <c r="L2020" s="4" t="s">
        <v>52</v>
      </c>
      <c r="M2020" s="4">
        <v>2015</v>
      </c>
    </row>
    <row r="2021" spans="1:13" x14ac:dyDescent="0.25">
      <c r="A2021" s="4" t="s">
        <v>1779</v>
      </c>
      <c r="B2021" s="4" t="s">
        <v>478</v>
      </c>
      <c r="C2021" s="9" t="s">
        <v>50</v>
      </c>
      <c r="D2021" s="10">
        <v>1</v>
      </c>
      <c r="E2021" s="11" t="s">
        <v>51</v>
      </c>
      <c r="F2021" s="10">
        <v>100</v>
      </c>
      <c r="G2021" s="10">
        <v>0</v>
      </c>
      <c r="H2021" s="10">
        <f t="shared" si="31"/>
        <v>100</v>
      </c>
      <c r="I2021" s="10"/>
      <c r="J2021" s="10"/>
      <c r="K2021" s="10"/>
      <c r="L2021" s="4" t="s">
        <v>52</v>
      </c>
      <c r="M2021" s="4">
        <v>2016</v>
      </c>
    </row>
    <row r="2022" spans="1:13" x14ac:dyDescent="0.25">
      <c r="A2022" s="4" t="s">
        <v>1779</v>
      </c>
      <c r="B2022" s="4" t="s">
        <v>479</v>
      </c>
      <c r="C2022" s="9" t="s">
        <v>50</v>
      </c>
      <c r="D2022" s="10">
        <v>164</v>
      </c>
      <c r="E2022" s="11" t="s">
        <v>51</v>
      </c>
      <c r="F2022" s="10">
        <v>400</v>
      </c>
      <c r="G2022" s="10">
        <v>0</v>
      </c>
      <c r="H2022" s="10">
        <f t="shared" si="31"/>
        <v>400</v>
      </c>
      <c r="I2022" s="10"/>
      <c r="J2022" s="10"/>
      <c r="K2022" s="10"/>
      <c r="L2022" s="4" t="s">
        <v>52</v>
      </c>
      <c r="M2022" s="4">
        <v>2017</v>
      </c>
    </row>
    <row r="2023" spans="1:13" x14ac:dyDescent="0.25">
      <c r="A2023" s="4" t="s">
        <v>1782</v>
      </c>
      <c r="B2023" s="4" t="s">
        <v>136</v>
      </c>
      <c r="C2023" s="9" t="s">
        <v>50</v>
      </c>
      <c r="D2023" s="10">
        <v>13</v>
      </c>
      <c r="E2023" s="11" t="s">
        <v>51</v>
      </c>
      <c r="F2023" s="10">
        <v>1183.8699999999999</v>
      </c>
      <c r="G2023" s="10">
        <v>0</v>
      </c>
      <c r="H2023" s="10">
        <f t="shared" si="31"/>
        <v>1183.8699999999999</v>
      </c>
      <c r="I2023" s="10"/>
      <c r="J2023" s="10"/>
      <c r="K2023" s="10"/>
      <c r="L2023" s="4" t="s">
        <v>52</v>
      </c>
      <c r="M2023" s="4">
        <v>2018</v>
      </c>
    </row>
    <row r="2024" spans="1:13" x14ac:dyDescent="0.25">
      <c r="A2024" s="4" t="s">
        <v>1782</v>
      </c>
      <c r="B2024" s="4" t="s">
        <v>82</v>
      </c>
      <c r="C2024" s="9" t="s">
        <v>50</v>
      </c>
      <c r="D2024" s="10">
        <v>28</v>
      </c>
      <c r="E2024" s="11" t="s">
        <v>51</v>
      </c>
      <c r="F2024" s="10">
        <v>2548.89</v>
      </c>
      <c r="G2024" s="10">
        <v>0</v>
      </c>
      <c r="H2024" s="10">
        <f t="shared" si="31"/>
        <v>2548.89</v>
      </c>
      <c r="I2024" s="10"/>
      <c r="J2024" s="10"/>
      <c r="K2024" s="10"/>
      <c r="L2024" s="4" t="s">
        <v>52</v>
      </c>
      <c r="M2024" s="4">
        <v>2019</v>
      </c>
    </row>
    <row r="2025" spans="1:13" x14ac:dyDescent="0.25">
      <c r="A2025" s="4" t="s">
        <v>1782</v>
      </c>
      <c r="B2025" s="4" t="s">
        <v>88</v>
      </c>
      <c r="C2025" s="9" t="s">
        <v>50</v>
      </c>
      <c r="D2025" s="10">
        <v>28</v>
      </c>
      <c r="E2025" s="11" t="s">
        <v>51</v>
      </c>
      <c r="F2025" s="10">
        <v>3095.75</v>
      </c>
      <c r="G2025" s="10">
        <v>0</v>
      </c>
      <c r="H2025" s="10">
        <f t="shared" si="31"/>
        <v>3095.75</v>
      </c>
      <c r="I2025" s="10"/>
      <c r="J2025" s="10"/>
      <c r="K2025" s="10"/>
      <c r="L2025" s="4" t="s">
        <v>52</v>
      </c>
      <c r="M2025" s="4">
        <v>2020</v>
      </c>
    </row>
    <row r="2026" spans="1:13" x14ac:dyDescent="0.25">
      <c r="A2026" s="4" t="s">
        <v>1782</v>
      </c>
      <c r="B2026" s="4" t="s">
        <v>137</v>
      </c>
      <c r="C2026" s="9" t="s">
        <v>50</v>
      </c>
      <c r="D2026" s="10">
        <v>25</v>
      </c>
      <c r="E2026" s="11" t="s">
        <v>51</v>
      </c>
      <c r="F2026" s="10">
        <v>1220.79</v>
      </c>
      <c r="G2026" s="10">
        <v>0</v>
      </c>
      <c r="H2026" s="10">
        <f t="shared" si="31"/>
        <v>1220.79</v>
      </c>
      <c r="I2026" s="10"/>
      <c r="J2026" s="10"/>
      <c r="K2026" s="10"/>
      <c r="L2026" s="4" t="s">
        <v>52</v>
      </c>
      <c r="M2026" s="4">
        <v>2021</v>
      </c>
    </row>
    <row r="2027" spans="1:13" x14ac:dyDescent="0.25">
      <c r="A2027" s="4" t="s">
        <v>1782</v>
      </c>
      <c r="B2027" s="4" t="s">
        <v>128</v>
      </c>
      <c r="C2027" s="9" t="s">
        <v>50</v>
      </c>
      <c r="D2027" s="10">
        <v>10</v>
      </c>
      <c r="E2027" s="11" t="s">
        <v>51</v>
      </c>
      <c r="F2027" s="10">
        <v>535.70000000000005</v>
      </c>
      <c r="G2027" s="10">
        <v>0</v>
      </c>
      <c r="H2027" s="10">
        <f t="shared" si="31"/>
        <v>535.70000000000005</v>
      </c>
      <c r="I2027" s="10"/>
      <c r="J2027" s="10"/>
      <c r="K2027" s="10"/>
      <c r="L2027" s="4" t="s">
        <v>52</v>
      </c>
      <c r="M2027" s="4">
        <v>2022</v>
      </c>
    </row>
    <row r="2028" spans="1:13" x14ac:dyDescent="0.25">
      <c r="A2028" s="4" t="s">
        <v>1782</v>
      </c>
      <c r="B2028" s="4" t="s">
        <v>1783</v>
      </c>
      <c r="C2028" s="4" t="s">
        <v>68</v>
      </c>
      <c r="D2028" s="10">
        <v>355.3</v>
      </c>
      <c r="E2028" s="11" t="s">
        <v>51</v>
      </c>
      <c r="F2028" s="10">
        <v>6300</v>
      </c>
      <c r="G2028" s="10">
        <v>0</v>
      </c>
      <c r="H2028" s="10">
        <f t="shared" si="31"/>
        <v>6300</v>
      </c>
      <c r="I2028" s="10"/>
      <c r="J2028" s="10"/>
      <c r="K2028" s="10"/>
      <c r="L2028" s="4" t="s">
        <v>69</v>
      </c>
      <c r="M2028" s="4">
        <v>2023</v>
      </c>
    </row>
    <row r="2029" spans="1:13" x14ac:dyDescent="0.25">
      <c r="A2029" s="4" t="s">
        <v>1784</v>
      </c>
      <c r="B2029" s="4" t="s">
        <v>82</v>
      </c>
      <c r="C2029" s="9" t="s">
        <v>50</v>
      </c>
      <c r="D2029" s="10">
        <v>22</v>
      </c>
      <c r="E2029" s="11" t="s">
        <v>51</v>
      </c>
      <c r="F2029" s="10">
        <v>2090</v>
      </c>
      <c r="G2029" s="10">
        <v>0</v>
      </c>
      <c r="H2029" s="10">
        <f t="shared" si="31"/>
        <v>2090</v>
      </c>
      <c r="I2029" s="10"/>
      <c r="J2029" s="10"/>
      <c r="K2029" s="10"/>
      <c r="L2029" s="4" t="s">
        <v>52</v>
      </c>
      <c r="M2029" s="4">
        <v>2024</v>
      </c>
    </row>
    <row r="2030" spans="1:13" x14ac:dyDescent="0.25">
      <c r="A2030" s="4" t="s">
        <v>1784</v>
      </c>
      <c r="B2030" s="4" t="s">
        <v>88</v>
      </c>
      <c r="C2030" s="9" t="s">
        <v>50</v>
      </c>
      <c r="D2030" s="10">
        <v>58</v>
      </c>
      <c r="E2030" s="11" t="s">
        <v>51</v>
      </c>
      <c r="F2030" s="10">
        <v>5510</v>
      </c>
      <c r="G2030" s="10">
        <v>0</v>
      </c>
      <c r="H2030" s="10">
        <f t="shared" si="31"/>
        <v>5510</v>
      </c>
      <c r="I2030" s="10"/>
      <c r="J2030" s="10"/>
      <c r="K2030" s="10"/>
      <c r="L2030" s="4" t="s">
        <v>52</v>
      </c>
      <c r="M2030" s="4">
        <v>2025</v>
      </c>
    </row>
    <row r="2031" spans="1:13" x14ac:dyDescent="0.25">
      <c r="A2031" s="4" t="s">
        <v>1784</v>
      </c>
      <c r="B2031" s="4" t="s">
        <v>834</v>
      </c>
      <c r="C2031" s="4" t="s">
        <v>68</v>
      </c>
      <c r="D2031" s="10">
        <v>726.8</v>
      </c>
      <c r="E2031" s="11" t="s">
        <v>51</v>
      </c>
      <c r="F2031" s="10">
        <v>20453.46</v>
      </c>
      <c r="G2031" s="10">
        <v>0</v>
      </c>
      <c r="H2031" s="10">
        <f t="shared" si="31"/>
        <v>20453.46</v>
      </c>
      <c r="I2031" s="10"/>
      <c r="J2031" s="10"/>
      <c r="K2031" s="10"/>
      <c r="L2031" s="4" t="s">
        <v>69</v>
      </c>
      <c r="M2031" s="4">
        <v>2026</v>
      </c>
    </row>
    <row r="2032" spans="1:13" x14ac:dyDescent="0.25">
      <c r="A2032" s="4" t="s">
        <v>1785</v>
      </c>
      <c r="B2032" s="4" t="s">
        <v>1786</v>
      </c>
      <c r="C2032" s="9" t="s">
        <v>50</v>
      </c>
      <c r="D2032" s="10">
        <v>10.5</v>
      </c>
      <c r="E2032" s="11" t="s">
        <v>51</v>
      </c>
      <c r="F2032" s="10">
        <v>1000</v>
      </c>
      <c r="G2032" s="10">
        <v>0</v>
      </c>
      <c r="H2032" s="10">
        <f t="shared" si="31"/>
        <v>1000</v>
      </c>
      <c r="I2032" s="10"/>
      <c r="J2032" s="10"/>
      <c r="K2032" s="10"/>
      <c r="L2032" s="4" t="s">
        <v>52</v>
      </c>
      <c r="M2032" s="4">
        <v>2027</v>
      </c>
    </row>
    <row r="2033" spans="1:13" x14ac:dyDescent="0.25">
      <c r="A2033" s="4" t="s">
        <v>1785</v>
      </c>
      <c r="B2033" s="4" t="s">
        <v>1787</v>
      </c>
      <c r="C2033" s="9" t="s">
        <v>50</v>
      </c>
      <c r="D2033" s="10">
        <v>117.5</v>
      </c>
      <c r="E2033" s="11" t="s">
        <v>51</v>
      </c>
      <c r="F2033" s="10">
        <v>11200</v>
      </c>
      <c r="G2033" s="10">
        <v>0</v>
      </c>
      <c r="H2033" s="10">
        <f t="shared" si="31"/>
        <v>11200</v>
      </c>
      <c r="I2033" s="10"/>
      <c r="J2033" s="10"/>
      <c r="K2033" s="10"/>
      <c r="L2033" s="4" t="s">
        <v>52</v>
      </c>
      <c r="M2033" s="4">
        <v>2028</v>
      </c>
    </row>
    <row r="2034" spans="1:13" x14ac:dyDescent="0.25">
      <c r="A2034" s="4" t="s">
        <v>1785</v>
      </c>
      <c r="B2034" s="4" t="s">
        <v>1788</v>
      </c>
      <c r="C2034" s="9" t="s">
        <v>50</v>
      </c>
      <c r="D2034" s="10">
        <v>251</v>
      </c>
      <c r="E2034" s="11" t="s">
        <v>51</v>
      </c>
      <c r="F2034" s="10">
        <v>23850</v>
      </c>
      <c r="G2034" s="10">
        <v>0</v>
      </c>
      <c r="H2034" s="10">
        <f t="shared" si="31"/>
        <v>23850</v>
      </c>
      <c r="I2034" s="10"/>
      <c r="J2034" s="10"/>
      <c r="K2034" s="10"/>
      <c r="L2034" s="4" t="s">
        <v>52</v>
      </c>
      <c r="M2034" s="4">
        <v>2029</v>
      </c>
    </row>
    <row r="2035" spans="1:13" x14ac:dyDescent="0.25">
      <c r="A2035" s="4" t="s">
        <v>1785</v>
      </c>
      <c r="B2035" s="4" t="s">
        <v>1789</v>
      </c>
      <c r="C2035" s="9" t="s">
        <v>50</v>
      </c>
      <c r="D2035" s="10">
        <v>132.5</v>
      </c>
      <c r="E2035" s="11" t="s">
        <v>51</v>
      </c>
      <c r="F2035" s="10">
        <v>12600</v>
      </c>
      <c r="G2035" s="10">
        <v>0</v>
      </c>
      <c r="H2035" s="10">
        <f t="shared" si="31"/>
        <v>12600</v>
      </c>
      <c r="I2035" s="10"/>
      <c r="J2035" s="10"/>
      <c r="K2035" s="10"/>
      <c r="L2035" s="4" t="s">
        <v>52</v>
      </c>
      <c r="M2035" s="4">
        <v>2030</v>
      </c>
    </row>
    <row r="2036" spans="1:13" x14ac:dyDescent="0.25">
      <c r="A2036" s="4" t="s">
        <v>1785</v>
      </c>
      <c r="B2036" s="4" t="s">
        <v>1790</v>
      </c>
      <c r="C2036" s="9" t="s">
        <v>50</v>
      </c>
      <c r="D2036" s="10">
        <v>233.5</v>
      </c>
      <c r="E2036" s="11" t="s">
        <v>51</v>
      </c>
      <c r="F2036" s="10"/>
      <c r="G2036" s="10">
        <v>0</v>
      </c>
      <c r="H2036" s="10">
        <f t="shared" si="31"/>
        <v>0</v>
      </c>
      <c r="I2036" s="10"/>
      <c r="J2036" s="10"/>
      <c r="K2036" s="10"/>
      <c r="L2036" s="4" t="s">
        <v>52</v>
      </c>
      <c r="M2036" s="4">
        <v>2031</v>
      </c>
    </row>
    <row r="2037" spans="1:13" x14ac:dyDescent="0.25">
      <c r="A2037" s="4" t="s">
        <v>1791</v>
      </c>
      <c r="B2037" s="4" t="s">
        <v>1792</v>
      </c>
      <c r="C2037" s="4" t="s">
        <v>65</v>
      </c>
      <c r="D2037" s="10">
        <v>44.5</v>
      </c>
      <c r="E2037" s="12" t="s">
        <v>66</v>
      </c>
      <c r="F2037" s="10">
        <v>4700</v>
      </c>
      <c r="G2037" s="10">
        <v>0</v>
      </c>
      <c r="H2037" s="10">
        <f t="shared" si="31"/>
        <v>4700</v>
      </c>
      <c r="I2037" s="10">
        <v>105.6179775280899</v>
      </c>
      <c r="J2037" s="10">
        <v>105.6179775280899</v>
      </c>
      <c r="K2037" s="10">
        <v>105.6179775280899</v>
      </c>
      <c r="L2037" s="4"/>
      <c r="M2037" s="4">
        <v>2032</v>
      </c>
    </row>
    <row r="2038" spans="1:13" x14ac:dyDescent="0.25">
      <c r="A2038" s="4" t="s">
        <v>1791</v>
      </c>
      <c r="B2038" s="4" t="s">
        <v>1793</v>
      </c>
      <c r="C2038" s="4" t="s">
        <v>65</v>
      </c>
      <c r="D2038" s="10">
        <v>94</v>
      </c>
      <c r="E2038" s="12" t="s">
        <v>66</v>
      </c>
      <c r="F2038" s="10">
        <v>9900</v>
      </c>
      <c r="G2038" s="10">
        <v>0</v>
      </c>
      <c r="H2038" s="10">
        <f t="shared" si="31"/>
        <v>9900</v>
      </c>
      <c r="I2038" s="10">
        <v>105.31914893617019</v>
      </c>
      <c r="J2038" s="10">
        <v>105.31914893617019</v>
      </c>
      <c r="K2038" s="10">
        <v>105.31914893617019</v>
      </c>
      <c r="L2038" s="4"/>
      <c r="M2038" s="4">
        <v>2033</v>
      </c>
    </row>
    <row r="2039" spans="1:13" x14ac:dyDescent="0.25">
      <c r="A2039" s="4" t="s">
        <v>1791</v>
      </c>
      <c r="B2039" s="4" t="s">
        <v>1794</v>
      </c>
      <c r="C2039" s="4" t="s">
        <v>68</v>
      </c>
      <c r="D2039" s="10">
        <v>50</v>
      </c>
      <c r="E2039" s="11" t="s">
        <v>51</v>
      </c>
      <c r="F2039" s="10">
        <v>5250</v>
      </c>
      <c r="G2039" s="10">
        <v>0</v>
      </c>
      <c r="H2039" s="10">
        <f t="shared" si="31"/>
        <v>5250</v>
      </c>
      <c r="I2039" s="10"/>
      <c r="J2039" s="10"/>
      <c r="K2039" s="10"/>
      <c r="L2039" s="4" t="s">
        <v>69</v>
      </c>
      <c r="M2039" s="4">
        <v>2034</v>
      </c>
    </row>
    <row r="2040" spans="1:13" x14ac:dyDescent="0.25">
      <c r="A2040" s="4" t="s">
        <v>1791</v>
      </c>
      <c r="B2040" s="4" t="s">
        <v>1795</v>
      </c>
      <c r="C2040" s="4" t="s">
        <v>65</v>
      </c>
      <c r="D2040" s="10">
        <v>15</v>
      </c>
      <c r="E2040" s="12" t="s">
        <v>66</v>
      </c>
      <c r="F2040" s="10">
        <v>1600</v>
      </c>
      <c r="G2040" s="10">
        <v>0</v>
      </c>
      <c r="H2040" s="10">
        <f t="shared" si="31"/>
        <v>1600</v>
      </c>
      <c r="I2040" s="10">
        <v>106.6666666666667</v>
      </c>
      <c r="J2040" s="10">
        <v>106.6666666666667</v>
      </c>
      <c r="K2040" s="10">
        <v>106.6666666666667</v>
      </c>
      <c r="L2040" s="4"/>
      <c r="M2040" s="4">
        <v>2035</v>
      </c>
    </row>
    <row r="2041" spans="1:13" x14ac:dyDescent="0.25">
      <c r="A2041" s="4" t="s">
        <v>1791</v>
      </c>
      <c r="B2041" s="4" t="s">
        <v>1796</v>
      </c>
      <c r="C2041" s="4" t="s">
        <v>65</v>
      </c>
      <c r="D2041" s="10">
        <v>30</v>
      </c>
      <c r="E2041" s="12" t="s">
        <v>66</v>
      </c>
      <c r="F2041" s="10">
        <v>3200</v>
      </c>
      <c r="G2041" s="10">
        <v>0</v>
      </c>
      <c r="H2041" s="10">
        <f t="shared" si="31"/>
        <v>3200</v>
      </c>
      <c r="I2041" s="10">
        <v>106.6666666666667</v>
      </c>
      <c r="J2041" s="10">
        <v>106.6666666666667</v>
      </c>
      <c r="K2041" s="10">
        <v>106.6666666666667</v>
      </c>
      <c r="L2041" s="4"/>
      <c r="M2041" s="4">
        <v>2036</v>
      </c>
    </row>
    <row r="2042" spans="1:13" x14ac:dyDescent="0.25">
      <c r="A2042" s="4" t="s">
        <v>1791</v>
      </c>
      <c r="B2042" s="4" t="s">
        <v>1797</v>
      </c>
      <c r="C2042" s="9" t="s">
        <v>50</v>
      </c>
      <c r="D2042" s="10">
        <v>90</v>
      </c>
      <c r="E2042" s="11" t="s">
        <v>51</v>
      </c>
      <c r="F2042" s="10"/>
      <c r="G2042" s="10">
        <v>0</v>
      </c>
      <c r="H2042" s="10">
        <f t="shared" si="31"/>
        <v>0</v>
      </c>
      <c r="I2042" s="10"/>
      <c r="J2042" s="10"/>
      <c r="K2042" s="10"/>
      <c r="L2042" s="4" t="s">
        <v>52</v>
      </c>
      <c r="M2042" s="4">
        <v>2037</v>
      </c>
    </row>
    <row r="2043" spans="1:13" x14ac:dyDescent="0.25">
      <c r="A2043" s="4" t="s">
        <v>1798</v>
      </c>
      <c r="B2043" s="4" t="s">
        <v>1799</v>
      </c>
      <c r="C2043" s="9" t="s">
        <v>50</v>
      </c>
      <c r="D2043" s="10">
        <v>140</v>
      </c>
      <c r="E2043" s="11" t="s">
        <v>51</v>
      </c>
      <c r="F2043" s="10">
        <v>8550</v>
      </c>
      <c r="G2043" s="10">
        <v>0</v>
      </c>
      <c r="H2043" s="10">
        <f t="shared" si="31"/>
        <v>8550</v>
      </c>
      <c r="I2043" s="10"/>
      <c r="J2043" s="10"/>
      <c r="K2043" s="10"/>
      <c r="L2043" s="4" t="s">
        <v>52</v>
      </c>
      <c r="M2043" s="4">
        <v>2038</v>
      </c>
    </row>
    <row r="2044" spans="1:13" x14ac:dyDescent="0.25">
      <c r="A2044" s="4" t="s">
        <v>1800</v>
      </c>
      <c r="B2044" s="4" t="s">
        <v>1801</v>
      </c>
      <c r="C2044" s="4" t="s">
        <v>68</v>
      </c>
      <c r="D2044" s="10">
        <v>196.5</v>
      </c>
      <c r="E2044" s="11" t="s">
        <v>51</v>
      </c>
      <c r="F2044" s="10">
        <v>5750</v>
      </c>
      <c r="G2044" s="10">
        <v>0</v>
      </c>
      <c r="H2044" s="10">
        <f t="shared" si="31"/>
        <v>5750</v>
      </c>
      <c r="I2044" s="10"/>
      <c r="J2044" s="10"/>
      <c r="K2044" s="10"/>
      <c r="L2044" s="4" t="s">
        <v>69</v>
      </c>
      <c r="M2044" s="4">
        <v>2039</v>
      </c>
    </row>
    <row r="2045" spans="1:13" x14ac:dyDescent="0.25">
      <c r="A2045" s="4" t="s">
        <v>1802</v>
      </c>
      <c r="B2045" s="4" t="s">
        <v>1803</v>
      </c>
      <c r="C2045" s="4" t="s">
        <v>68</v>
      </c>
      <c r="D2045" s="10">
        <v>37</v>
      </c>
      <c r="E2045" s="11" t="s">
        <v>51</v>
      </c>
      <c r="F2045" s="10">
        <v>4255</v>
      </c>
      <c r="G2045" s="10">
        <v>0</v>
      </c>
      <c r="H2045" s="10">
        <f t="shared" si="31"/>
        <v>4255</v>
      </c>
      <c r="I2045" s="10"/>
      <c r="J2045" s="10"/>
      <c r="K2045" s="10"/>
      <c r="L2045" s="4" t="s">
        <v>69</v>
      </c>
      <c r="M2045" s="4">
        <v>2040</v>
      </c>
    </row>
    <row r="2046" spans="1:13" x14ac:dyDescent="0.25">
      <c r="A2046" s="4" t="s">
        <v>1802</v>
      </c>
      <c r="B2046" s="4" t="s">
        <v>1804</v>
      </c>
      <c r="C2046" s="4" t="s">
        <v>65</v>
      </c>
      <c r="D2046" s="10">
        <v>59.5</v>
      </c>
      <c r="E2046" s="12" t="s">
        <v>66</v>
      </c>
      <c r="F2046" s="10">
        <v>7850</v>
      </c>
      <c r="G2046" s="10">
        <v>0</v>
      </c>
      <c r="H2046" s="10">
        <f t="shared" si="31"/>
        <v>7850</v>
      </c>
      <c r="I2046" s="10">
        <v>131.9327731092437</v>
      </c>
      <c r="J2046" s="10">
        <v>131.9327731092437</v>
      </c>
      <c r="K2046" s="10">
        <v>131.9327731092437</v>
      </c>
      <c r="L2046" s="4"/>
      <c r="M2046" s="4">
        <v>2041</v>
      </c>
    </row>
    <row r="2047" spans="1:13" x14ac:dyDescent="0.25">
      <c r="A2047" s="4" t="s">
        <v>1802</v>
      </c>
      <c r="B2047" s="4" t="s">
        <v>1805</v>
      </c>
      <c r="C2047" s="4" t="s">
        <v>68</v>
      </c>
      <c r="D2047" s="10">
        <v>40</v>
      </c>
      <c r="E2047" s="11" t="s">
        <v>51</v>
      </c>
      <c r="F2047" s="10">
        <v>5750</v>
      </c>
      <c r="G2047" s="10">
        <v>0</v>
      </c>
      <c r="H2047" s="10">
        <f t="shared" si="31"/>
        <v>5750</v>
      </c>
      <c r="I2047" s="10"/>
      <c r="J2047" s="10"/>
      <c r="K2047" s="10"/>
      <c r="L2047" s="4" t="s">
        <v>69</v>
      </c>
      <c r="M2047" s="4">
        <v>2042</v>
      </c>
    </row>
    <row r="2048" spans="1:13" x14ac:dyDescent="0.25">
      <c r="A2048" s="4" t="s">
        <v>1806</v>
      </c>
      <c r="B2048" s="4" t="s">
        <v>1807</v>
      </c>
      <c r="C2048" s="4" t="s">
        <v>68</v>
      </c>
      <c r="D2048" s="10">
        <v>134</v>
      </c>
      <c r="E2048" s="11" t="s">
        <v>51</v>
      </c>
      <c r="F2048" s="10"/>
      <c r="G2048" s="10">
        <v>0</v>
      </c>
      <c r="H2048" s="10">
        <f t="shared" si="31"/>
        <v>0</v>
      </c>
      <c r="I2048" s="10"/>
      <c r="J2048" s="10"/>
      <c r="K2048" s="10"/>
      <c r="L2048" s="4" t="s">
        <v>69</v>
      </c>
      <c r="M2048" s="4">
        <v>2043</v>
      </c>
    </row>
    <row r="2049" spans="1:13" x14ac:dyDescent="0.25">
      <c r="A2049" s="4" t="s">
        <v>1808</v>
      </c>
      <c r="B2049" s="4" t="s">
        <v>1809</v>
      </c>
      <c r="C2049" s="4" t="s">
        <v>65</v>
      </c>
      <c r="D2049" s="10">
        <v>34</v>
      </c>
      <c r="E2049" s="12" t="s">
        <v>66</v>
      </c>
      <c r="F2049" s="10">
        <v>6242.5</v>
      </c>
      <c r="G2049" s="10">
        <v>0</v>
      </c>
      <c r="H2049" s="10">
        <f t="shared" si="31"/>
        <v>6242.5</v>
      </c>
      <c r="I2049" s="10">
        <v>183.60294117647061</v>
      </c>
      <c r="J2049" s="10">
        <v>183.60294117647061</v>
      </c>
      <c r="K2049" s="10">
        <v>183.60294117647061</v>
      </c>
      <c r="L2049" s="4"/>
      <c r="M2049" s="4">
        <v>2044</v>
      </c>
    </row>
    <row r="2050" spans="1:13" x14ac:dyDescent="0.25">
      <c r="A2050" s="4" t="s">
        <v>1808</v>
      </c>
      <c r="B2050" s="4" t="s">
        <v>1810</v>
      </c>
      <c r="C2050" s="4" t="s">
        <v>68</v>
      </c>
      <c r="D2050" s="10">
        <v>40</v>
      </c>
      <c r="E2050" s="11" t="s">
        <v>51</v>
      </c>
      <c r="F2050" s="10">
        <v>5405</v>
      </c>
      <c r="G2050" s="10">
        <v>0</v>
      </c>
      <c r="H2050" s="10">
        <f t="shared" si="31"/>
        <v>5405</v>
      </c>
      <c r="I2050" s="10"/>
      <c r="J2050" s="10"/>
      <c r="K2050" s="10"/>
      <c r="L2050" s="4" t="s">
        <v>69</v>
      </c>
      <c r="M2050" s="4">
        <v>2045</v>
      </c>
    </row>
    <row r="2051" spans="1:13" x14ac:dyDescent="0.25">
      <c r="A2051" s="4" t="s">
        <v>1808</v>
      </c>
      <c r="B2051" s="4" t="s">
        <v>1811</v>
      </c>
      <c r="C2051" s="4" t="s">
        <v>68</v>
      </c>
      <c r="D2051" s="10">
        <v>120</v>
      </c>
      <c r="E2051" s="11" t="s">
        <v>51</v>
      </c>
      <c r="F2051" s="10">
        <v>2962.5</v>
      </c>
      <c r="G2051" s="10">
        <v>0</v>
      </c>
      <c r="H2051" s="10">
        <f t="shared" si="31"/>
        <v>2962.5</v>
      </c>
      <c r="I2051" s="10"/>
      <c r="J2051" s="10"/>
      <c r="K2051" s="10"/>
      <c r="L2051" s="4" t="s">
        <v>69</v>
      </c>
      <c r="M2051" s="4">
        <v>2046</v>
      </c>
    </row>
    <row r="2052" spans="1:13" x14ac:dyDescent="0.25">
      <c r="A2052" s="4" t="s">
        <v>1812</v>
      </c>
      <c r="B2052" s="4" t="s">
        <v>1036</v>
      </c>
      <c r="C2052" s="4" t="s">
        <v>68</v>
      </c>
      <c r="D2052" s="10">
        <v>72</v>
      </c>
      <c r="E2052" s="11" t="s">
        <v>51</v>
      </c>
      <c r="F2052" s="10">
        <v>11000</v>
      </c>
      <c r="G2052" s="10">
        <v>0</v>
      </c>
      <c r="H2052" s="10">
        <f t="shared" si="31"/>
        <v>11000</v>
      </c>
      <c r="I2052" s="10"/>
      <c r="J2052" s="10"/>
      <c r="K2052" s="10"/>
      <c r="L2052" s="4" t="s">
        <v>69</v>
      </c>
      <c r="M2052" s="4">
        <v>2047</v>
      </c>
    </row>
    <row r="2053" spans="1:13" x14ac:dyDescent="0.25">
      <c r="A2053" s="4" t="s">
        <v>1813</v>
      </c>
      <c r="B2053" s="4" t="s">
        <v>634</v>
      </c>
      <c r="C2053" s="4" t="s">
        <v>65</v>
      </c>
      <c r="D2053" s="10">
        <v>32</v>
      </c>
      <c r="E2053" s="12" t="s">
        <v>66</v>
      </c>
      <c r="F2053" s="10">
        <v>4250</v>
      </c>
      <c r="G2053" s="10">
        <v>0</v>
      </c>
      <c r="H2053" s="10">
        <f t="shared" si="31"/>
        <v>4250</v>
      </c>
      <c r="I2053" s="10">
        <v>132.8125</v>
      </c>
      <c r="J2053" s="10">
        <v>132.8125</v>
      </c>
      <c r="K2053" s="10">
        <v>132.8125</v>
      </c>
      <c r="L2053" s="4"/>
      <c r="M2053" s="4">
        <v>2048</v>
      </c>
    </row>
    <row r="2054" spans="1:13" x14ac:dyDescent="0.25">
      <c r="A2054" s="4" t="s">
        <v>1813</v>
      </c>
      <c r="B2054" s="4" t="s">
        <v>1814</v>
      </c>
      <c r="C2054" s="4" t="s">
        <v>68</v>
      </c>
      <c r="D2054" s="10">
        <v>120</v>
      </c>
      <c r="E2054" s="11" t="s">
        <v>51</v>
      </c>
      <c r="F2054" s="10">
        <v>4600</v>
      </c>
      <c r="G2054" s="10">
        <v>0</v>
      </c>
      <c r="H2054" s="10">
        <f t="shared" ref="H2054:H2117" si="32">F2054-G2054</f>
        <v>4600</v>
      </c>
      <c r="I2054" s="10"/>
      <c r="J2054" s="10"/>
      <c r="K2054" s="10"/>
      <c r="L2054" s="4" t="s">
        <v>69</v>
      </c>
      <c r="M2054" s="4">
        <v>2049</v>
      </c>
    </row>
    <row r="2055" spans="1:13" x14ac:dyDescent="0.25">
      <c r="A2055" s="4" t="s">
        <v>1815</v>
      </c>
      <c r="B2055" s="4" t="s">
        <v>378</v>
      </c>
      <c r="C2055" s="4" t="s">
        <v>65</v>
      </c>
      <c r="D2055" s="10">
        <v>40</v>
      </c>
      <c r="E2055" s="12" t="s">
        <v>66</v>
      </c>
      <c r="F2055" s="10">
        <v>5300</v>
      </c>
      <c r="G2055" s="10">
        <v>0</v>
      </c>
      <c r="H2055" s="10">
        <f t="shared" si="32"/>
        <v>5300</v>
      </c>
      <c r="I2055" s="10">
        <v>132.5</v>
      </c>
      <c r="J2055" s="10">
        <v>132.5</v>
      </c>
      <c r="K2055" s="10">
        <v>132.5</v>
      </c>
      <c r="L2055" s="4"/>
      <c r="M2055" s="4">
        <v>2050</v>
      </c>
    </row>
    <row r="2056" spans="1:13" x14ac:dyDescent="0.25">
      <c r="A2056" s="4" t="s">
        <v>1815</v>
      </c>
      <c r="B2056" s="4" t="s">
        <v>1816</v>
      </c>
      <c r="C2056" s="4" t="s">
        <v>68</v>
      </c>
      <c r="D2056" s="10">
        <v>141</v>
      </c>
      <c r="E2056" s="11" t="s">
        <v>51</v>
      </c>
      <c r="F2056" s="10">
        <v>5807.5</v>
      </c>
      <c r="G2056" s="10">
        <v>0</v>
      </c>
      <c r="H2056" s="10">
        <f t="shared" si="32"/>
        <v>5807.5</v>
      </c>
      <c r="I2056" s="10"/>
      <c r="J2056" s="10"/>
      <c r="K2056" s="10"/>
      <c r="L2056" s="4" t="s">
        <v>69</v>
      </c>
      <c r="M2056" s="4">
        <v>2051</v>
      </c>
    </row>
    <row r="2057" spans="1:13" x14ac:dyDescent="0.25">
      <c r="A2057" s="4" t="s">
        <v>1817</v>
      </c>
      <c r="B2057" s="4" t="s">
        <v>378</v>
      </c>
      <c r="C2057" s="4" t="s">
        <v>65</v>
      </c>
      <c r="D2057" s="10">
        <v>29</v>
      </c>
      <c r="E2057" s="12" t="s">
        <v>66</v>
      </c>
      <c r="F2057" s="10">
        <v>3850</v>
      </c>
      <c r="G2057" s="10">
        <v>0</v>
      </c>
      <c r="H2057" s="10">
        <f t="shared" si="32"/>
        <v>3850</v>
      </c>
      <c r="I2057" s="10">
        <v>132.7586206896552</v>
      </c>
      <c r="J2057" s="10">
        <v>132.7586206896552</v>
      </c>
      <c r="K2057" s="10">
        <v>132.7586206896552</v>
      </c>
      <c r="L2057" s="4"/>
      <c r="M2057" s="4">
        <v>2052</v>
      </c>
    </row>
    <row r="2058" spans="1:13" x14ac:dyDescent="0.25">
      <c r="A2058" s="4" t="s">
        <v>1817</v>
      </c>
      <c r="B2058" s="4" t="s">
        <v>1816</v>
      </c>
      <c r="C2058" s="4" t="s">
        <v>68</v>
      </c>
      <c r="D2058" s="10">
        <v>32</v>
      </c>
      <c r="E2058" s="11" t="s">
        <v>51</v>
      </c>
      <c r="F2058" s="10">
        <v>4772.5</v>
      </c>
      <c r="G2058" s="10">
        <v>0</v>
      </c>
      <c r="H2058" s="10">
        <f t="shared" si="32"/>
        <v>4772.5</v>
      </c>
      <c r="I2058" s="10"/>
      <c r="J2058" s="10"/>
      <c r="K2058" s="10"/>
      <c r="L2058" s="4" t="s">
        <v>69</v>
      </c>
      <c r="M2058" s="4">
        <v>2053</v>
      </c>
    </row>
    <row r="2059" spans="1:13" x14ac:dyDescent="0.25">
      <c r="A2059" s="4" t="s">
        <v>1817</v>
      </c>
      <c r="B2059" s="4" t="s">
        <v>1818</v>
      </c>
      <c r="C2059" s="4" t="s">
        <v>68</v>
      </c>
      <c r="D2059" s="10">
        <v>260</v>
      </c>
      <c r="E2059" s="11" t="s">
        <v>51</v>
      </c>
      <c r="F2059" s="10">
        <v>6911.25</v>
      </c>
      <c r="G2059" s="10">
        <v>0</v>
      </c>
      <c r="H2059" s="10">
        <f t="shared" si="32"/>
        <v>6911.25</v>
      </c>
      <c r="I2059" s="10"/>
      <c r="J2059" s="10"/>
      <c r="K2059" s="10"/>
      <c r="L2059" s="4" t="s">
        <v>69</v>
      </c>
      <c r="M2059" s="4">
        <v>2054</v>
      </c>
    </row>
    <row r="2060" spans="1:13" x14ac:dyDescent="0.25">
      <c r="A2060" s="4" t="s">
        <v>1819</v>
      </c>
      <c r="B2060" s="4" t="s">
        <v>378</v>
      </c>
      <c r="C2060" s="4" t="s">
        <v>65</v>
      </c>
      <c r="D2060" s="10">
        <v>70</v>
      </c>
      <c r="E2060" s="12" t="s">
        <v>66</v>
      </c>
      <c r="F2060" s="10">
        <v>8250</v>
      </c>
      <c r="G2060" s="10">
        <v>0</v>
      </c>
      <c r="H2060" s="10">
        <f t="shared" si="32"/>
        <v>8250</v>
      </c>
      <c r="I2060" s="10">
        <v>117.8571428571429</v>
      </c>
      <c r="J2060" s="10">
        <v>117.8571428571429</v>
      </c>
      <c r="K2060" s="10">
        <v>117.8571428571429</v>
      </c>
      <c r="L2060" s="4"/>
      <c r="M2060" s="4">
        <v>2055</v>
      </c>
    </row>
    <row r="2061" spans="1:13" x14ac:dyDescent="0.25">
      <c r="A2061" s="4" t="s">
        <v>1819</v>
      </c>
      <c r="B2061" s="4" t="s">
        <v>1816</v>
      </c>
      <c r="C2061" s="4" t="s">
        <v>68</v>
      </c>
      <c r="D2061" s="10">
        <v>100</v>
      </c>
      <c r="E2061" s="11" t="s">
        <v>51</v>
      </c>
      <c r="F2061" s="10">
        <v>11500</v>
      </c>
      <c r="G2061" s="10">
        <v>0</v>
      </c>
      <c r="H2061" s="10">
        <f t="shared" si="32"/>
        <v>11500</v>
      </c>
      <c r="I2061" s="10"/>
      <c r="J2061" s="10"/>
      <c r="K2061" s="10"/>
      <c r="L2061" s="4" t="s">
        <v>69</v>
      </c>
      <c r="M2061" s="4">
        <v>2056</v>
      </c>
    </row>
    <row r="2062" spans="1:13" x14ac:dyDescent="0.25">
      <c r="A2062" s="4" t="s">
        <v>1819</v>
      </c>
      <c r="B2062" s="4" t="s">
        <v>1820</v>
      </c>
      <c r="C2062" s="4" t="s">
        <v>68</v>
      </c>
      <c r="D2062" s="10">
        <v>126</v>
      </c>
      <c r="E2062" s="11" t="s">
        <v>51</v>
      </c>
      <c r="F2062" s="10">
        <v>5750</v>
      </c>
      <c r="G2062" s="10">
        <v>0</v>
      </c>
      <c r="H2062" s="10">
        <f t="shared" si="32"/>
        <v>5750</v>
      </c>
      <c r="I2062" s="10"/>
      <c r="J2062" s="10"/>
      <c r="K2062" s="10"/>
      <c r="L2062" s="4" t="s">
        <v>69</v>
      </c>
      <c r="M2062" s="4">
        <v>2057</v>
      </c>
    </row>
    <row r="2063" spans="1:13" x14ac:dyDescent="0.25">
      <c r="A2063" s="4" t="s">
        <v>1821</v>
      </c>
      <c r="B2063" s="4" t="s">
        <v>1822</v>
      </c>
      <c r="C2063" s="4" t="s">
        <v>68</v>
      </c>
      <c r="D2063" s="10">
        <v>42</v>
      </c>
      <c r="E2063" s="11" t="s">
        <v>51</v>
      </c>
      <c r="F2063" s="10">
        <v>4830</v>
      </c>
      <c r="G2063" s="10">
        <v>0</v>
      </c>
      <c r="H2063" s="10">
        <f t="shared" si="32"/>
        <v>4830</v>
      </c>
      <c r="I2063" s="10"/>
      <c r="J2063" s="10"/>
      <c r="K2063" s="10"/>
      <c r="L2063" s="4" t="s">
        <v>69</v>
      </c>
      <c r="M2063" s="4">
        <v>2058</v>
      </c>
    </row>
    <row r="2064" spans="1:13" x14ac:dyDescent="0.25">
      <c r="A2064" s="4" t="s">
        <v>1821</v>
      </c>
      <c r="B2064" s="4" t="s">
        <v>1823</v>
      </c>
      <c r="C2064" s="4" t="s">
        <v>68</v>
      </c>
      <c r="D2064" s="10">
        <v>32</v>
      </c>
      <c r="E2064" s="11" t="s">
        <v>51</v>
      </c>
      <c r="F2064" s="10">
        <v>3680</v>
      </c>
      <c r="G2064" s="10">
        <v>0</v>
      </c>
      <c r="H2064" s="10">
        <f t="shared" si="32"/>
        <v>3680</v>
      </c>
      <c r="I2064" s="10"/>
      <c r="J2064" s="10"/>
      <c r="K2064" s="10"/>
      <c r="L2064" s="4" t="s">
        <v>69</v>
      </c>
      <c r="M2064" s="4">
        <v>2059</v>
      </c>
    </row>
    <row r="2065" spans="1:13" x14ac:dyDescent="0.25">
      <c r="A2065" s="4" t="s">
        <v>1821</v>
      </c>
      <c r="B2065" s="4" t="s">
        <v>1824</v>
      </c>
      <c r="C2065" s="4" t="s">
        <v>65</v>
      </c>
      <c r="D2065" s="10">
        <v>366.5</v>
      </c>
      <c r="E2065" s="12" t="s">
        <v>66</v>
      </c>
      <c r="F2065" s="10">
        <v>150</v>
      </c>
      <c r="G2065" s="10">
        <v>0</v>
      </c>
      <c r="H2065" s="10">
        <f t="shared" si="32"/>
        <v>150</v>
      </c>
      <c r="I2065" s="10">
        <v>75</v>
      </c>
      <c r="J2065" s="10">
        <v>75</v>
      </c>
      <c r="K2065" s="10">
        <v>75</v>
      </c>
      <c r="L2065" s="4"/>
      <c r="M2065" s="4">
        <v>2060</v>
      </c>
    </row>
    <row r="2066" spans="1:13" x14ac:dyDescent="0.25">
      <c r="A2066" s="4" t="s">
        <v>1825</v>
      </c>
      <c r="B2066" s="4" t="s">
        <v>136</v>
      </c>
      <c r="C2066" s="9" t="s">
        <v>50</v>
      </c>
      <c r="D2066" s="10">
        <v>3.5</v>
      </c>
      <c r="E2066" s="11" t="s">
        <v>51</v>
      </c>
      <c r="F2066" s="10">
        <v>350</v>
      </c>
      <c r="G2066" s="10">
        <v>0</v>
      </c>
      <c r="H2066" s="10">
        <f t="shared" si="32"/>
        <v>350</v>
      </c>
      <c r="I2066" s="10"/>
      <c r="J2066" s="10"/>
      <c r="K2066" s="10"/>
      <c r="L2066" s="4" t="s">
        <v>52</v>
      </c>
      <c r="M2066" s="4">
        <v>2061</v>
      </c>
    </row>
    <row r="2067" spans="1:13" x14ac:dyDescent="0.25">
      <c r="A2067" s="4" t="s">
        <v>1825</v>
      </c>
      <c r="B2067" s="4" t="s">
        <v>82</v>
      </c>
      <c r="C2067" s="9" t="s">
        <v>50</v>
      </c>
      <c r="D2067" s="10">
        <v>56</v>
      </c>
      <c r="E2067" s="11" t="s">
        <v>51</v>
      </c>
      <c r="F2067" s="10">
        <v>5600</v>
      </c>
      <c r="G2067" s="10">
        <v>0</v>
      </c>
      <c r="H2067" s="10">
        <f t="shared" si="32"/>
        <v>5600</v>
      </c>
      <c r="I2067" s="10"/>
      <c r="J2067" s="10"/>
      <c r="K2067" s="10"/>
      <c r="L2067" s="4" t="s">
        <v>52</v>
      </c>
      <c r="M2067" s="4">
        <v>2062</v>
      </c>
    </row>
    <row r="2068" spans="1:13" x14ac:dyDescent="0.25">
      <c r="A2068" s="4" t="s">
        <v>1825</v>
      </c>
      <c r="B2068" s="4" t="s">
        <v>88</v>
      </c>
      <c r="C2068" s="9" t="s">
        <v>50</v>
      </c>
      <c r="D2068" s="10">
        <v>72</v>
      </c>
      <c r="E2068" s="11" t="s">
        <v>51</v>
      </c>
      <c r="F2068" s="10">
        <v>7200</v>
      </c>
      <c r="G2068" s="10">
        <v>0</v>
      </c>
      <c r="H2068" s="10">
        <f t="shared" si="32"/>
        <v>7200</v>
      </c>
      <c r="I2068" s="10"/>
      <c r="J2068" s="10"/>
      <c r="K2068" s="10"/>
      <c r="L2068" s="4" t="s">
        <v>52</v>
      </c>
      <c r="M2068" s="4">
        <v>2063</v>
      </c>
    </row>
    <row r="2069" spans="1:13" x14ac:dyDescent="0.25">
      <c r="A2069" s="4" t="s">
        <v>1825</v>
      </c>
      <c r="B2069" s="4" t="s">
        <v>137</v>
      </c>
      <c r="C2069" s="9" t="s">
        <v>50</v>
      </c>
      <c r="D2069" s="10">
        <v>56</v>
      </c>
      <c r="E2069" s="11" t="s">
        <v>51</v>
      </c>
      <c r="F2069" s="10">
        <v>5600</v>
      </c>
      <c r="G2069" s="10">
        <v>0</v>
      </c>
      <c r="H2069" s="10">
        <f t="shared" si="32"/>
        <v>5600</v>
      </c>
      <c r="I2069" s="10"/>
      <c r="J2069" s="10"/>
      <c r="K2069" s="10"/>
      <c r="L2069" s="4" t="s">
        <v>52</v>
      </c>
      <c r="M2069" s="4">
        <v>2064</v>
      </c>
    </row>
    <row r="2070" spans="1:13" x14ac:dyDescent="0.25">
      <c r="A2070" s="4" t="s">
        <v>1825</v>
      </c>
      <c r="B2070" s="4" t="s">
        <v>106</v>
      </c>
      <c r="C2070" s="9" t="s">
        <v>50</v>
      </c>
      <c r="D2070" s="10">
        <v>69</v>
      </c>
      <c r="E2070" s="11" t="s">
        <v>51</v>
      </c>
      <c r="F2070" s="10">
        <v>6900</v>
      </c>
      <c r="G2070" s="10">
        <v>0</v>
      </c>
      <c r="H2070" s="10">
        <f t="shared" si="32"/>
        <v>6900</v>
      </c>
      <c r="I2070" s="10"/>
      <c r="J2070" s="10"/>
      <c r="K2070" s="10"/>
      <c r="L2070" s="4" t="s">
        <v>52</v>
      </c>
      <c r="M2070" s="4">
        <v>2065</v>
      </c>
    </row>
    <row r="2071" spans="1:13" x14ac:dyDescent="0.25">
      <c r="A2071" s="4" t="s">
        <v>1825</v>
      </c>
      <c r="B2071" s="4" t="s">
        <v>1826</v>
      </c>
      <c r="C2071" s="9" t="s">
        <v>50</v>
      </c>
      <c r="D2071" s="10">
        <v>146</v>
      </c>
      <c r="E2071" s="11" t="s">
        <v>51</v>
      </c>
      <c r="F2071" s="10">
        <v>11000</v>
      </c>
      <c r="G2071" s="10">
        <v>0</v>
      </c>
      <c r="H2071" s="10">
        <f t="shared" si="32"/>
        <v>11000</v>
      </c>
      <c r="I2071" s="10"/>
      <c r="J2071" s="10"/>
      <c r="K2071" s="10"/>
      <c r="L2071" s="4" t="s">
        <v>52</v>
      </c>
      <c r="M2071" s="4">
        <v>2066</v>
      </c>
    </row>
    <row r="2072" spans="1:13" x14ac:dyDescent="0.25">
      <c r="A2072" s="4" t="s">
        <v>1827</v>
      </c>
      <c r="B2072" s="4" t="s">
        <v>1828</v>
      </c>
      <c r="C2072" s="4" t="s">
        <v>65</v>
      </c>
      <c r="D2072" s="10">
        <v>24</v>
      </c>
      <c r="E2072" s="12" t="s">
        <v>66</v>
      </c>
      <c r="F2072" s="10">
        <v>2950</v>
      </c>
      <c r="G2072" s="10">
        <v>0</v>
      </c>
      <c r="H2072" s="10">
        <f t="shared" si="32"/>
        <v>2950</v>
      </c>
      <c r="I2072" s="10">
        <v>122.9166666666667</v>
      </c>
      <c r="J2072" s="10">
        <v>122.9166666666667</v>
      </c>
      <c r="K2072" s="10">
        <v>122.9166666666667</v>
      </c>
      <c r="L2072" s="4"/>
      <c r="M2072" s="4">
        <v>2067</v>
      </c>
    </row>
    <row r="2073" spans="1:13" x14ac:dyDescent="0.25">
      <c r="A2073" s="4" t="s">
        <v>1827</v>
      </c>
      <c r="B2073" s="4" t="s">
        <v>1829</v>
      </c>
      <c r="C2073" s="4" t="s">
        <v>65</v>
      </c>
      <c r="D2073" s="10">
        <v>6</v>
      </c>
      <c r="E2073" s="12" t="s">
        <v>66</v>
      </c>
      <c r="F2073" s="10">
        <v>800</v>
      </c>
      <c r="G2073" s="10">
        <v>0</v>
      </c>
      <c r="H2073" s="10">
        <f t="shared" si="32"/>
        <v>800</v>
      </c>
      <c r="I2073" s="10">
        <v>133.33333333333329</v>
      </c>
      <c r="J2073" s="10">
        <v>133.33333333333329</v>
      </c>
      <c r="K2073" s="10">
        <v>133.33333333333329</v>
      </c>
      <c r="L2073" s="4"/>
      <c r="M2073" s="4">
        <v>2068</v>
      </c>
    </row>
    <row r="2074" spans="1:13" x14ac:dyDescent="0.25">
      <c r="A2074" s="4" t="s">
        <v>1827</v>
      </c>
      <c r="B2074" s="4" t="s">
        <v>1830</v>
      </c>
      <c r="C2074" s="4" t="s">
        <v>65</v>
      </c>
      <c r="D2074" s="10">
        <v>112</v>
      </c>
      <c r="E2074" s="12" t="s">
        <v>66</v>
      </c>
      <c r="F2074" s="10">
        <v>500</v>
      </c>
      <c r="G2074" s="10">
        <v>0</v>
      </c>
      <c r="H2074" s="10">
        <f t="shared" si="32"/>
        <v>500</v>
      </c>
      <c r="I2074" s="10">
        <v>83.333333333333329</v>
      </c>
      <c r="J2074" s="10">
        <v>83.333333333333329</v>
      </c>
      <c r="K2074" s="10">
        <v>83.333333333333329</v>
      </c>
      <c r="L2074" s="4"/>
      <c r="M2074" s="4">
        <v>2069</v>
      </c>
    </row>
    <row r="2075" spans="1:13" x14ac:dyDescent="0.25">
      <c r="A2075" s="4" t="s">
        <v>1831</v>
      </c>
      <c r="B2075" s="4" t="s">
        <v>637</v>
      </c>
      <c r="C2075" s="4" t="s">
        <v>65</v>
      </c>
      <c r="D2075" s="10">
        <v>27</v>
      </c>
      <c r="E2075" s="12" t="s">
        <v>66</v>
      </c>
      <c r="F2075" s="10">
        <v>3700</v>
      </c>
      <c r="G2075" s="10">
        <v>0</v>
      </c>
      <c r="H2075" s="10">
        <f t="shared" si="32"/>
        <v>3700</v>
      </c>
      <c r="I2075" s="10">
        <v>137.03703703703701</v>
      </c>
      <c r="J2075" s="10">
        <v>137.03703703703701</v>
      </c>
      <c r="K2075" s="10">
        <v>137.03703703703701</v>
      </c>
      <c r="L2075" s="4"/>
      <c r="M2075" s="4">
        <v>2070</v>
      </c>
    </row>
    <row r="2076" spans="1:13" x14ac:dyDescent="0.25">
      <c r="A2076" s="4" t="s">
        <v>1831</v>
      </c>
      <c r="B2076" s="4" t="s">
        <v>1832</v>
      </c>
      <c r="C2076" s="4" t="s">
        <v>65</v>
      </c>
      <c r="D2076" s="10">
        <v>339</v>
      </c>
      <c r="E2076" s="12" t="s">
        <v>66</v>
      </c>
      <c r="F2076" s="10">
        <v>10850</v>
      </c>
      <c r="G2076" s="10">
        <v>0</v>
      </c>
      <c r="H2076" s="10">
        <f t="shared" si="32"/>
        <v>10850</v>
      </c>
      <c r="I2076" s="10">
        <v>137.34177215189871</v>
      </c>
      <c r="J2076" s="10">
        <v>137.34177215189871</v>
      </c>
      <c r="K2076" s="10">
        <v>137.34177215189871</v>
      </c>
      <c r="L2076" s="4"/>
      <c r="M2076" s="4">
        <v>2071</v>
      </c>
    </row>
    <row r="2077" spans="1:13" x14ac:dyDescent="0.25">
      <c r="A2077" s="4" t="s">
        <v>1833</v>
      </c>
      <c r="B2077" s="4" t="s">
        <v>1834</v>
      </c>
      <c r="C2077" s="4" t="s">
        <v>65</v>
      </c>
      <c r="D2077" s="10">
        <v>26</v>
      </c>
      <c r="E2077" s="12" t="s">
        <v>66</v>
      </c>
      <c r="F2077" s="10">
        <v>3700</v>
      </c>
      <c r="G2077" s="10">
        <v>0</v>
      </c>
      <c r="H2077" s="10">
        <f t="shared" si="32"/>
        <v>3700</v>
      </c>
      <c r="I2077" s="10">
        <v>142.30769230769229</v>
      </c>
      <c r="J2077" s="10">
        <v>142.30769230769229</v>
      </c>
      <c r="K2077" s="10">
        <v>142.30769230769229</v>
      </c>
      <c r="L2077" s="4"/>
      <c r="M2077" s="4">
        <v>2072</v>
      </c>
    </row>
    <row r="2078" spans="1:13" x14ac:dyDescent="0.25">
      <c r="A2078" s="4" t="s">
        <v>1833</v>
      </c>
      <c r="B2078" s="4" t="s">
        <v>1835</v>
      </c>
      <c r="C2078" s="4" t="s">
        <v>65</v>
      </c>
      <c r="D2078" s="10">
        <v>80</v>
      </c>
      <c r="E2078" s="12" t="s">
        <v>66</v>
      </c>
      <c r="F2078" s="10">
        <v>10850</v>
      </c>
      <c r="G2078" s="10">
        <v>0</v>
      </c>
      <c r="H2078" s="10">
        <f t="shared" si="32"/>
        <v>10850</v>
      </c>
      <c r="I2078" s="10">
        <v>135.625</v>
      </c>
      <c r="J2078" s="10">
        <v>135.625</v>
      </c>
      <c r="K2078" s="10">
        <v>135.625</v>
      </c>
      <c r="L2078" s="4"/>
      <c r="M2078" s="4">
        <v>2073</v>
      </c>
    </row>
    <row r="2079" spans="1:13" x14ac:dyDescent="0.25">
      <c r="A2079" s="4" t="s">
        <v>1833</v>
      </c>
      <c r="B2079" s="4" t="s">
        <v>1836</v>
      </c>
      <c r="C2079" s="4" t="s">
        <v>65</v>
      </c>
      <c r="D2079" s="10">
        <v>95</v>
      </c>
      <c r="E2079" s="11" t="s">
        <v>51</v>
      </c>
      <c r="F2079" s="10"/>
      <c r="G2079" s="10">
        <v>0</v>
      </c>
      <c r="H2079" s="10">
        <f t="shared" si="32"/>
        <v>0</v>
      </c>
      <c r="I2079" s="10">
        <v>0</v>
      </c>
      <c r="J2079" s="10">
        <v>0</v>
      </c>
      <c r="K2079" s="10">
        <v>0</v>
      </c>
      <c r="L2079" s="4" t="s">
        <v>69</v>
      </c>
      <c r="M2079" s="4">
        <v>2074</v>
      </c>
    </row>
    <row r="2080" spans="1:13" x14ac:dyDescent="0.25">
      <c r="A2080" s="4" t="s">
        <v>1833</v>
      </c>
      <c r="B2080" s="4" t="s">
        <v>1837</v>
      </c>
      <c r="C2080" s="4" t="s">
        <v>65</v>
      </c>
      <c r="D2080" s="10">
        <v>75</v>
      </c>
      <c r="E2080" s="11" t="s">
        <v>51</v>
      </c>
      <c r="F2080" s="10"/>
      <c r="G2080" s="10">
        <v>0</v>
      </c>
      <c r="H2080" s="10">
        <f t="shared" si="32"/>
        <v>0</v>
      </c>
      <c r="I2080" s="10">
        <v>0</v>
      </c>
      <c r="J2080" s="10">
        <v>0</v>
      </c>
      <c r="K2080" s="10">
        <v>0</v>
      </c>
      <c r="L2080" s="4" t="s">
        <v>69</v>
      </c>
      <c r="M2080" s="4">
        <v>2075</v>
      </c>
    </row>
    <row r="2081" spans="1:13" x14ac:dyDescent="0.25">
      <c r="A2081" s="4" t="s">
        <v>1838</v>
      </c>
      <c r="B2081" s="4" t="s">
        <v>88</v>
      </c>
      <c r="C2081" s="9" t="s">
        <v>50</v>
      </c>
      <c r="D2081" s="10">
        <v>191</v>
      </c>
      <c r="E2081" s="11" t="s">
        <v>51</v>
      </c>
      <c r="F2081" s="10">
        <v>1520</v>
      </c>
      <c r="G2081" s="10">
        <v>0</v>
      </c>
      <c r="H2081" s="10">
        <f t="shared" si="32"/>
        <v>1520</v>
      </c>
      <c r="I2081" s="10"/>
      <c r="J2081" s="10"/>
      <c r="K2081" s="10"/>
      <c r="L2081" s="4" t="s">
        <v>52</v>
      </c>
      <c r="M2081" s="4">
        <v>2076</v>
      </c>
    </row>
    <row r="2082" spans="1:13" x14ac:dyDescent="0.25">
      <c r="A2082" s="4" t="s">
        <v>1839</v>
      </c>
      <c r="B2082" s="4" t="s">
        <v>136</v>
      </c>
      <c r="C2082" s="9" t="s">
        <v>50</v>
      </c>
      <c r="D2082" s="10">
        <v>7</v>
      </c>
      <c r="E2082" s="11" t="s">
        <v>51</v>
      </c>
      <c r="F2082" s="10">
        <v>738.92</v>
      </c>
      <c r="G2082" s="10">
        <v>0</v>
      </c>
      <c r="H2082" s="10">
        <f t="shared" si="32"/>
        <v>738.92</v>
      </c>
      <c r="I2082" s="10"/>
      <c r="J2082" s="10"/>
      <c r="K2082" s="10"/>
      <c r="L2082" s="4" t="s">
        <v>52</v>
      </c>
      <c r="M2082" s="4">
        <v>2077</v>
      </c>
    </row>
    <row r="2083" spans="1:13" x14ac:dyDescent="0.25">
      <c r="A2083" s="4" t="s">
        <v>1839</v>
      </c>
      <c r="B2083" s="4" t="s">
        <v>82</v>
      </c>
      <c r="C2083" s="9" t="s">
        <v>50</v>
      </c>
      <c r="D2083" s="10">
        <v>10</v>
      </c>
      <c r="E2083" s="11" t="s">
        <v>51</v>
      </c>
      <c r="F2083" s="10">
        <v>1056.51</v>
      </c>
      <c r="G2083" s="10">
        <v>0</v>
      </c>
      <c r="H2083" s="10">
        <f t="shared" si="32"/>
        <v>1056.51</v>
      </c>
      <c r="I2083" s="10"/>
      <c r="J2083" s="10"/>
      <c r="K2083" s="10"/>
      <c r="L2083" s="4" t="s">
        <v>52</v>
      </c>
      <c r="M2083" s="4">
        <v>2078</v>
      </c>
    </row>
    <row r="2084" spans="1:13" x14ac:dyDescent="0.25">
      <c r="A2084" s="4" t="s">
        <v>1839</v>
      </c>
      <c r="B2084" s="4" t="s">
        <v>88</v>
      </c>
      <c r="C2084" s="9" t="s">
        <v>50</v>
      </c>
      <c r="D2084" s="10">
        <v>59</v>
      </c>
      <c r="E2084" s="11" t="s">
        <v>51</v>
      </c>
      <c r="F2084" s="10">
        <v>6255.81</v>
      </c>
      <c r="G2084" s="10">
        <v>0</v>
      </c>
      <c r="H2084" s="10">
        <f t="shared" si="32"/>
        <v>6255.81</v>
      </c>
      <c r="I2084" s="10"/>
      <c r="J2084" s="10"/>
      <c r="K2084" s="10"/>
      <c r="L2084" s="4" t="s">
        <v>52</v>
      </c>
      <c r="M2084" s="4">
        <v>2079</v>
      </c>
    </row>
    <row r="2085" spans="1:13" x14ac:dyDescent="0.25">
      <c r="A2085" s="4" t="s">
        <v>1839</v>
      </c>
      <c r="B2085" s="4" t="s">
        <v>137</v>
      </c>
      <c r="C2085" s="9" t="s">
        <v>50</v>
      </c>
      <c r="D2085" s="10">
        <v>29</v>
      </c>
      <c r="E2085" s="11" t="s">
        <v>51</v>
      </c>
      <c r="F2085" s="10">
        <v>1628.76</v>
      </c>
      <c r="G2085" s="10">
        <v>0</v>
      </c>
      <c r="H2085" s="10">
        <f t="shared" si="32"/>
        <v>1628.76</v>
      </c>
      <c r="I2085" s="10"/>
      <c r="J2085" s="10"/>
      <c r="K2085" s="10"/>
      <c r="L2085" s="4" t="s">
        <v>52</v>
      </c>
      <c r="M2085" s="4">
        <v>2080</v>
      </c>
    </row>
    <row r="2086" spans="1:13" x14ac:dyDescent="0.25">
      <c r="A2086" s="4" t="s">
        <v>1839</v>
      </c>
      <c r="B2086" s="4" t="s">
        <v>1840</v>
      </c>
      <c r="C2086" s="4" t="s">
        <v>68</v>
      </c>
      <c r="D2086" s="10">
        <v>41</v>
      </c>
      <c r="E2086" s="12" t="s">
        <v>66</v>
      </c>
      <c r="F2086" s="10">
        <v>4655</v>
      </c>
      <c r="G2086" s="10">
        <v>0</v>
      </c>
      <c r="H2086" s="10">
        <f t="shared" si="32"/>
        <v>4655</v>
      </c>
      <c r="I2086" s="10">
        <v>113.5365853658537</v>
      </c>
      <c r="J2086" s="10">
        <v>113.5365853658537</v>
      </c>
      <c r="K2086" s="10">
        <v>113.5365853658537</v>
      </c>
      <c r="L2086" s="4"/>
      <c r="M2086" s="4">
        <v>2081</v>
      </c>
    </row>
    <row r="2087" spans="1:13" x14ac:dyDescent="0.25">
      <c r="A2087" s="4" t="s">
        <v>1839</v>
      </c>
      <c r="B2087" s="4" t="s">
        <v>1841</v>
      </c>
      <c r="C2087" s="4" t="s">
        <v>68</v>
      </c>
      <c r="D2087" s="10">
        <v>139</v>
      </c>
      <c r="E2087" s="11" t="s">
        <v>51</v>
      </c>
      <c r="F2087" s="10">
        <v>6650</v>
      </c>
      <c r="G2087" s="10">
        <v>0</v>
      </c>
      <c r="H2087" s="10">
        <f t="shared" si="32"/>
        <v>6650</v>
      </c>
      <c r="I2087" s="10"/>
      <c r="J2087" s="10"/>
      <c r="K2087" s="10"/>
      <c r="L2087" s="4" t="s">
        <v>69</v>
      </c>
      <c r="M2087" s="4">
        <v>2082</v>
      </c>
    </row>
    <row r="2088" spans="1:13" x14ac:dyDescent="0.25">
      <c r="A2088" s="4" t="s">
        <v>1842</v>
      </c>
      <c r="B2088" s="4" t="s">
        <v>1843</v>
      </c>
      <c r="C2088" s="9" t="s">
        <v>50</v>
      </c>
      <c r="D2088" s="10">
        <v>10</v>
      </c>
      <c r="E2088" s="11" t="s">
        <v>51</v>
      </c>
      <c r="F2088" s="10">
        <v>1150</v>
      </c>
      <c r="G2088" s="10">
        <v>0</v>
      </c>
      <c r="H2088" s="10">
        <f t="shared" si="32"/>
        <v>1150</v>
      </c>
      <c r="I2088" s="10"/>
      <c r="J2088" s="10"/>
      <c r="K2088" s="10"/>
      <c r="L2088" s="4" t="s">
        <v>52</v>
      </c>
      <c r="M2088" s="4">
        <v>2083</v>
      </c>
    </row>
    <row r="2089" spans="1:13" x14ac:dyDescent="0.25">
      <c r="A2089" s="4" t="s">
        <v>1842</v>
      </c>
      <c r="B2089" s="4" t="s">
        <v>1844</v>
      </c>
      <c r="C2089" s="9" t="s">
        <v>50</v>
      </c>
      <c r="D2089" s="10">
        <v>6</v>
      </c>
      <c r="E2089" s="11" t="s">
        <v>51</v>
      </c>
      <c r="F2089" s="10">
        <v>690</v>
      </c>
      <c r="G2089" s="10">
        <v>0</v>
      </c>
      <c r="H2089" s="10">
        <f t="shared" si="32"/>
        <v>690</v>
      </c>
      <c r="I2089" s="10"/>
      <c r="J2089" s="10"/>
      <c r="K2089" s="10"/>
      <c r="L2089" s="4" t="s">
        <v>52</v>
      </c>
      <c r="M2089" s="4">
        <v>2084</v>
      </c>
    </row>
    <row r="2090" spans="1:13" x14ac:dyDescent="0.25">
      <c r="A2090" s="4" t="s">
        <v>1842</v>
      </c>
      <c r="B2090" s="4" t="s">
        <v>1845</v>
      </c>
      <c r="C2090" s="9" t="s">
        <v>50</v>
      </c>
      <c r="D2090" s="10">
        <v>24</v>
      </c>
      <c r="E2090" s="11" t="s">
        <v>51</v>
      </c>
      <c r="F2090" s="10">
        <v>55</v>
      </c>
      <c r="G2090" s="10">
        <v>0</v>
      </c>
      <c r="H2090" s="10">
        <f t="shared" si="32"/>
        <v>55</v>
      </c>
      <c r="I2090" s="10"/>
      <c r="J2090" s="10"/>
      <c r="K2090" s="10"/>
      <c r="L2090" s="4" t="s">
        <v>52</v>
      </c>
      <c r="M2090" s="4">
        <v>2085</v>
      </c>
    </row>
    <row r="2091" spans="1:13" x14ac:dyDescent="0.25">
      <c r="A2091" s="4" t="s">
        <v>1842</v>
      </c>
      <c r="B2091" s="4" t="s">
        <v>1846</v>
      </c>
      <c r="C2091" s="9" t="s">
        <v>50</v>
      </c>
      <c r="D2091" s="10">
        <v>24</v>
      </c>
      <c r="E2091" s="11" t="s">
        <v>51</v>
      </c>
      <c r="F2091" s="10">
        <v>2760</v>
      </c>
      <c r="G2091" s="10">
        <v>0</v>
      </c>
      <c r="H2091" s="10">
        <f t="shared" si="32"/>
        <v>2760</v>
      </c>
      <c r="I2091" s="10"/>
      <c r="J2091" s="10"/>
      <c r="K2091" s="10"/>
      <c r="L2091" s="4" t="s">
        <v>52</v>
      </c>
      <c r="M2091" s="4">
        <v>2086</v>
      </c>
    </row>
    <row r="2092" spans="1:13" x14ac:dyDescent="0.25">
      <c r="A2092" s="4" t="s">
        <v>1842</v>
      </c>
      <c r="B2092" s="4" t="s">
        <v>88</v>
      </c>
      <c r="C2092" s="9" t="s">
        <v>50</v>
      </c>
      <c r="D2092" s="10">
        <v>131</v>
      </c>
      <c r="E2092" s="11" t="s">
        <v>51</v>
      </c>
      <c r="F2092" s="10">
        <v>3800</v>
      </c>
      <c r="G2092" s="10">
        <v>0</v>
      </c>
      <c r="H2092" s="10">
        <f t="shared" si="32"/>
        <v>3800</v>
      </c>
      <c r="I2092" s="10"/>
      <c r="J2092" s="10"/>
      <c r="K2092" s="10"/>
      <c r="L2092" s="4" t="s">
        <v>52</v>
      </c>
      <c r="M2092" s="4">
        <v>2087</v>
      </c>
    </row>
    <row r="2093" spans="1:13" x14ac:dyDescent="0.25">
      <c r="A2093" s="4" t="s">
        <v>1847</v>
      </c>
      <c r="B2093" s="4" t="s">
        <v>136</v>
      </c>
      <c r="C2093" s="9" t="s">
        <v>50</v>
      </c>
      <c r="D2093" s="10">
        <v>1</v>
      </c>
      <c r="E2093" s="11" t="s">
        <v>51</v>
      </c>
      <c r="F2093" s="10">
        <v>117</v>
      </c>
      <c r="G2093" s="10">
        <v>0</v>
      </c>
      <c r="H2093" s="10">
        <f t="shared" si="32"/>
        <v>117</v>
      </c>
      <c r="I2093" s="10"/>
      <c r="J2093" s="10"/>
      <c r="K2093" s="10"/>
      <c r="L2093" s="4" t="s">
        <v>52</v>
      </c>
      <c r="M2093" s="4">
        <v>2088</v>
      </c>
    </row>
    <row r="2094" spans="1:13" x14ac:dyDescent="0.25">
      <c r="A2094" s="4" t="s">
        <v>1847</v>
      </c>
      <c r="B2094" s="4" t="s">
        <v>82</v>
      </c>
      <c r="C2094" s="9" t="s">
        <v>50</v>
      </c>
      <c r="D2094" s="10">
        <v>5</v>
      </c>
      <c r="E2094" s="11" t="s">
        <v>51</v>
      </c>
      <c r="F2094" s="10">
        <v>601.75</v>
      </c>
      <c r="G2094" s="10">
        <v>0</v>
      </c>
      <c r="H2094" s="10">
        <f t="shared" si="32"/>
        <v>601.75</v>
      </c>
      <c r="I2094" s="10"/>
      <c r="J2094" s="10"/>
      <c r="K2094" s="10"/>
      <c r="L2094" s="4" t="s">
        <v>52</v>
      </c>
      <c r="M2094" s="4">
        <v>2089</v>
      </c>
    </row>
    <row r="2095" spans="1:13" x14ac:dyDescent="0.25">
      <c r="A2095" s="4" t="s">
        <v>1847</v>
      </c>
      <c r="B2095" s="4" t="s">
        <v>88</v>
      </c>
      <c r="C2095" s="9" t="s">
        <v>50</v>
      </c>
      <c r="D2095" s="10">
        <v>35</v>
      </c>
      <c r="E2095" s="11" t="s">
        <v>51</v>
      </c>
      <c r="F2095" s="10">
        <v>5126.75</v>
      </c>
      <c r="G2095" s="10">
        <v>0</v>
      </c>
      <c r="H2095" s="10">
        <f t="shared" si="32"/>
        <v>5126.75</v>
      </c>
      <c r="I2095" s="10"/>
      <c r="J2095" s="10"/>
      <c r="K2095" s="10"/>
      <c r="L2095" s="4" t="s">
        <v>52</v>
      </c>
      <c r="M2095" s="4">
        <v>2090</v>
      </c>
    </row>
    <row r="2096" spans="1:13" x14ac:dyDescent="0.25">
      <c r="A2096" s="4" t="s">
        <v>1847</v>
      </c>
      <c r="B2096" s="4" t="s">
        <v>137</v>
      </c>
      <c r="C2096" s="9" t="s">
        <v>50</v>
      </c>
      <c r="D2096" s="10">
        <v>20</v>
      </c>
      <c r="E2096" s="11" t="s">
        <v>51</v>
      </c>
      <c r="F2096" s="10">
        <v>1642</v>
      </c>
      <c r="G2096" s="10">
        <v>0</v>
      </c>
      <c r="H2096" s="10">
        <f t="shared" si="32"/>
        <v>1642</v>
      </c>
      <c r="I2096" s="10"/>
      <c r="J2096" s="10"/>
      <c r="K2096" s="10"/>
      <c r="L2096" s="4" t="s">
        <v>52</v>
      </c>
      <c r="M2096" s="4">
        <v>2091</v>
      </c>
    </row>
    <row r="2097" spans="1:13" x14ac:dyDescent="0.25">
      <c r="A2097" s="4" t="s">
        <v>1847</v>
      </c>
      <c r="B2097" s="4" t="s">
        <v>107</v>
      </c>
      <c r="C2097" s="9" t="s">
        <v>50</v>
      </c>
      <c r="D2097" s="10">
        <v>80</v>
      </c>
      <c r="E2097" s="11" t="s">
        <v>51</v>
      </c>
      <c r="F2097" s="10">
        <v>2718.75</v>
      </c>
      <c r="G2097" s="10">
        <v>0</v>
      </c>
      <c r="H2097" s="10">
        <f t="shared" si="32"/>
        <v>2718.75</v>
      </c>
      <c r="I2097" s="10"/>
      <c r="J2097" s="10"/>
      <c r="K2097" s="10"/>
      <c r="L2097" s="4" t="s">
        <v>52</v>
      </c>
      <c r="M2097" s="4">
        <v>2092</v>
      </c>
    </row>
    <row r="2098" spans="1:13" x14ac:dyDescent="0.25">
      <c r="A2098" s="4" t="s">
        <v>1848</v>
      </c>
      <c r="B2098" s="4" t="s">
        <v>82</v>
      </c>
      <c r="C2098" s="9" t="s">
        <v>50</v>
      </c>
      <c r="D2098" s="10">
        <v>100</v>
      </c>
      <c r="E2098" s="11" t="s">
        <v>51</v>
      </c>
      <c r="F2098" s="10">
        <v>4750</v>
      </c>
      <c r="G2098" s="10">
        <v>0</v>
      </c>
      <c r="H2098" s="10">
        <f t="shared" si="32"/>
        <v>4750</v>
      </c>
      <c r="I2098" s="10"/>
      <c r="J2098" s="10"/>
      <c r="K2098" s="10"/>
      <c r="L2098" s="4" t="s">
        <v>52</v>
      </c>
      <c r="M2098" s="4">
        <v>2093</v>
      </c>
    </row>
    <row r="2099" spans="1:13" x14ac:dyDescent="0.25">
      <c r="A2099" s="4" t="s">
        <v>1849</v>
      </c>
      <c r="B2099" s="4" t="s">
        <v>621</v>
      </c>
      <c r="C2099" s="4" t="s">
        <v>68</v>
      </c>
      <c r="D2099" s="10">
        <v>2056.25</v>
      </c>
      <c r="E2099" s="11" t="s">
        <v>51</v>
      </c>
      <c r="F2099" s="10">
        <v>6562.5</v>
      </c>
      <c r="G2099" s="10">
        <v>0</v>
      </c>
      <c r="H2099" s="10">
        <f t="shared" si="32"/>
        <v>6562.5</v>
      </c>
      <c r="I2099" s="10"/>
      <c r="J2099" s="10"/>
      <c r="K2099" s="10"/>
      <c r="L2099" s="4" t="s">
        <v>69</v>
      </c>
      <c r="M2099" s="4">
        <v>2094</v>
      </c>
    </row>
    <row r="2100" spans="1:13" x14ac:dyDescent="0.25">
      <c r="A2100" s="4" t="s">
        <v>1850</v>
      </c>
      <c r="B2100" s="4" t="s">
        <v>1851</v>
      </c>
      <c r="C2100" s="9" t="s">
        <v>50</v>
      </c>
      <c r="D2100" s="10">
        <v>301.75</v>
      </c>
      <c r="E2100" s="11" t="s">
        <v>51</v>
      </c>
      <c r="F2100" s="10">
        <v>27761</v>
      </c>
      <c r="G2100" s="10">
        <v>0</v>
      </c>
      <c r="H2100" s="10">
        <f t="shared" si="32"/>
        <v>27761</v>
      </c>
      <c r="I2100" s="10">
        <v>92</v>
      </c>
      <c r="J2100" s="10">
        <v>92</v>
      </c>
      <c r="K2100" s="10">
        <v>92</v>
      </c>
      <c r="L2100" s="4" t="s">
        <v>259</v>
      </c>
      <c r="M2100" s="4">
        <v>2095</v>
      </c>
    </row>
    <row r="2101" spans="1:13" x14ac:dyDescent="0.25">
      <c r="A2101" s="4" t="s">
        <v>1850</v>
      </c>
      <c r="B2101" s="4" t="s">
        <v>82</v>
      </c>
      <c r="C2101" s="9" t="s">
        <v>50</v>
      </c>
      <c r="D2101" s="10">
        <v>1246.25</v>
      </c>
      <c r="E2101" s="11" t="s">
        <v>51</v>
      </c>
      <c r="F2101" s="10">
        <v>116128</v>
      </c>
      <c r="G2101" s="10">
        <v>0</v>
      </c>
      <c r="H2101" s="10">
        <f t="shared" si="32"/>
        <v>116128</v>
      </c>
      <c r="I2101" s="10"/>
      <c r="J2101" s="10"/>
      <c r="K2101" s="10"/>
      <c r="L2101" s="4" t="s">
        <v>52</v>
      </c>
      <c r="M2101" s="4">
        <v>2096</v>
      </c>
    </row>
    <row r="2102" spans="1:13" x14ac:dyDescent="0.25">
      <c r="A2102" s="4" t="s">
        <v>1850</v>
      </c>
      <c r="B2102" s="4" t="s">
        <v>1852</v>
      </c>
      <c r="C2102" s="9" t="s">
        <v>50</v>
      </c>
      <c r="D2102" s="10">
        <v>300</v>
      </c>
      <c r="E2102" s="11" t="s">
        <v>51</v>
      </c>
      <c r="F2102" s="10">
        <v>27600</v>
      </c>
      <c r="G2102" s="10">
        <v>0</v>
      </c>
      <c r="H2102" s="10">
        <f t="shared" si="32"/>
        <v>27600</v>
      </c>
      <c r="I2102" s="10">
        <v>92</v>
      </c>
      <c r="J2102" s="10">
        <v>92</v>
      </c>
      <c r="K2102" s="10">
        <v>92</v>
      </c>
      <c r="L2102" s="4" t="s">
        <v>259</v>
      </c>
      <c r="M2102" s="4">
        <v>2097</v>
      </c>
    </row>
    <row r="2103" spans="1:13" x14ac:dyDescent="0.25">
      <c r="A2103" s="4" t="s">
        <v>1850</v>
      </c>
      <c r="B2103" s="4" t="s">
        <v>1853</v>
      </c>
      <c r="C2103" s="9" t="s">
        <v>50</v>
      </c>
      <c r="D2103" s="10">
        <v>300</v>
      </c>
      <c r="E2103" s="11" t="s">
        <v>51</v>
      </c>
      <c r="F2103" s="10">
        <v>27600</v>
      </c>
      <c r="G2103" s="10">
        <v>0</v>
      </c>
      <c r="H2103" s="10">
        <f t="shared" si="32"/>
        <v>27600</v>
      </c>
      <c r="I2103" s="10"/>
      <c r="J2103" s="10"/>
      <c r="K2103" s="10"/>
      <c r="L2103" s="4" t="s">
        <v>52</v>
      </c>
      <c r="M2103" s="4">
        <v>2098</v>
      </c>
    </row>
    <row r="2104" spans="1:13" x14ac:dyDescent="0.25">
      <c r="A2104" s="4" t="s">
        <v>1850</v>
      </c>
      <c r="B2104" s="4" t="s">
        <v>1854</v>
      </c>
      <c r="C2104" s="9" t="s">
        <v>50</v>
      </c>
      <c r="D2104" s="10">
        <v>200</v>
      </c>
      <c r="E2104" s="11" t="s">
        <v>51</v>
      </c>
      <c r="F2104" s="10">
        <v>18400</v>
      </c>
      <c r="G2104" s="10">
        <v>0</v>
      </c>
      <c r="H2104" s="10">
        <f t="shared" si="32"/>
        <v>18400</v>
      </c>
      <c r="I2104" s="10"/>
      <c r="J2104" s="10"/>
      <c r="K2104" s="10"/>
      <c r="L2104" s="4" t="s">
        <v>52</v>
      </c>
      <c r="M2104" s="4">
        <v>2099</v>
      </c>
    </row>
    <row r="2105" spans="1:13" x14ac:dyDescent="0.25">
      <c r="A2105" s="4" t="s">
        <v>1850</v>
      </c>
      <c r="B2105" s="4" t="s">
        <v>1855</v>
      </c>
      <c r="C2105" s="9" t="s">
        <v>50</v>
      </c>
      <c r="D2105" s="10">
        <v>200</v>
      </c>
      <c r="E2105" s="11" t="s">
        <v>51</v>
      </c>
      <c r="F2105" s="10">
        <v>18400</v>
      </c>
      <c r="G2105" s="10">
        <v>0</v>
      </c>
      <c r="H2105" s="10">
        <f t="shared" si="32"/>
        <v>18400</v>
      </c>
      <c r="I2105" s="10">
        <v>92</v>
      </c>
      <c r="J2105" s="10">
        <v>92</v>
      </c>
      <c r="K2105" s="10">
        <v>92</v>
      </c>
      <c r="L2105" s="4" t="s">
        <v>259</v>
      </c>
      <c r="M2105" s="4">
        <v>2100</v>
      </c>
    </row>
    <row r="2106" spans="1:13" x14ac:dyDescent="0.25">
      <c r="A2106" s="4" t="s">
        <v>1850</v>
      </c>
      <c r="B2106" s="4" t="s">
        <v>1856</v>
      </c>
      <c r="C2106" s="9" t="s">
        <v>50</v>
      </c>
      <c r="D2106" s="10">
        <v>200</v>
      </c>
      <c r="E2106" s="11" t="s">
        <v>51</v>
      </c>
      <c r="F2106" s="10">
        <v>18400</v>
      </c>
      <c r="G2106" s="10">
        <v>0</v>
      </c>
      <c r="H2106" s="10">
        <f t="shared" si="32"/>
        <v>18400</v>
      </c>
      <c r="I2106" s="10"/>
      <c r="J2106" s="10"/>
      <c r="K2106" s="10"/>
      <c r="L2106" s="4" t="s">
        <v>52</v>
      </c>
      <c r="M2106" s="4">
        <v>2101</v>
      </c>
    </row>
    <row r="2107" spans="1:13" x14ac:dyDescent="0.25">
      <c r="A2107" s="4" t="s">
        <v>1850</v>
      </c>
      <c r="B2107" s="4" t="s">
        <v>1857</v>
      </c>
      <c r="C2107" s="4" t="s">
        <v>68</v>
      </c>
      <c r="D2107" s="10">
        <v>182</v>
      </c>
      <c r="E2107" s="11" t="s">
        <v>51</v>
      </c>
      <c r="F2107" s="10">
        <v>5880</v>
      </c>
      <c r="G2107" s="10">
        <v>0</v>
      </c>
      <c r="H2107" s="10">
        <f t="shared" si="32"/>
        <v>5880</v>
      </c>
      <c r="I2107" s="10"/>
      <c r="J2107" s="10"/>
      <c r="K2107" s="10"/>
      <c r="L2107" s="4" t="s">
        <v>69</v>
      </c>
      <c r="M2107" s="4">
        <v>2102</v>
      </c>
    </row>
    <row r="2108" spans="1:13" x14ac:dyDescent="0.25">
      <c r="A2108" s="4" t="s">
        <v>1858</v>
      </c>
      <c r="B2108" s="4" t="s">
        <v>1859</v>
      </c>
      <c r="C2108" s="4" t="s">
        <v>68</v>
      </c>
      <c r="D2108" s="10">
        <v>14</v>
      </c>
      <c r="E2108" s="11" t="s">
        <v>51</v>
      </c>
      <c r="F2108" s="10">
        <v>1288</v>
      </c>
      <c r="G2108" s="10">
        <v>0</v>
      </c>
      <c r="H2108" s="10">
        <f t="shared" si="32"/>
        <v>1288</v>
      </c>
      <c r="I2108" s="10"/>
      <c r="J2108" s="10"/>
      <c r="K2108" s="10"/>
      <c r="L2108" s="4" t="s">
        <v>69</v>
      </c>
      <c r="M2108" s="4">
        <v>2103</v>
      </c>
    </row>
    <row r="2109" spans="1:13" x14ac:dyDescent="0.25">
      <c r="A2109" s="4" t="s">
        <v>1858</v>
      </c>
      <c r="B2109" s="4" t="s">
        <v>1860</v>
      </c>
      <c r="C2109" s="4" t="s">
        <v>68</v>
      </c>
      <c r="D2109" s="10">
        <v>12</v>
      </c>
      <c r="E2109" s="11" t="s">
        <v>51</v>
      </c>
      <c r="F2109" s="10">
        <v>1104</v>
      </c>
      <c r="G2109" s="10">
        <v>0</v>
      </c>
      <c r="H2109" s="10">
        <f t="shared" si="32"/>
        <v>1104</v>
      </c>
      <c r="I2109" s="10"/>
      <c r="J2109" s="10"/>
      <c r="K2109" s="10"/>
      <c r="L2109" s="4" t="s">
        <v>69</v>
      </c>
      <c r="M2109" s="4">
        <v>2104</v>
      </c>
    </row>
    <row r="2110" spans="1:13" x14ac:dyDescent="0.25">
      <c r="A2110" s="4" t="s">
        <v>1858</v>
      </c>
      <c r="B2110" s="4" t="s">
        <v>1861</v>
      </c>
      <c r="C2110" s="4" t="s">
        <v>68</v>
      </c>
      <c r="D2110" s="10">
        <v>12</v>
      </c>
      <c r="E2110" s="11" t="s">
        <v>51</v>
      </c>
      <c r="F2110" s="10">
        <v>1104</v>
      </c>
      <c r="G2110" s="10">
        <v>0</v>
      </c>
      <c r="H2110" s="10">
        <f t="shared" si="32"/>
        <v>1104</v>
      </c>
      <c r="I2110" s="10"/>
      <c r="J2110" s="10"/>
      <c r="K2110" s="10"/>
      <c r="L2110" s="4" t="s">
        <v>69</v>
      </c>
      <c r="M2110" s="4">
        <v>2105</v>
      </c>
    </row>
    <row r="2111" spans="1:13" x14ac:dyDescent="0.25">
      <c r="A2111" s="4" t="s">
        <v>1858</v>
      </c>
      <c r="B2111" s="4" t="s">
        <v>1862</v>
      </c>
      <c r="C2111" s="4" t="s">
        <v>68</v>
      </c>
      <c r="D2111" s="10">
        <v>12</v>
      </c>
      <c r="E2111" s="11" t="s">
        <v>51</v>
      </c>
      <c r="F2111" s="10">
        <v>1104</v>
      </c>
      <c r="G2111" s="10">
        <v>0</v>
      </c>
      <c r="H2111" s="10">
        <f t="shared" si="32"/>
        <v>1104</v>
      </c>
      <c r="I2111" s="10"/>
      <c r="J2111" s="10"/>
      <c r="K2111" s="10"/>
      <c r="L2111" s="4" t="s">
        <v>69</v>
      </c>
      <c r="M2111" s="4">
        <v>2106</v>
      </c>
    </row>
    <row r="2112" spans="1:13" x14ac:dyDescent="0.25">
      <c r="A2112" s="4" t="s">
        <v>1858</v>
      </c>
      <c r="B2112" s="4" t="s">
        <v>1863</v>
      </c>
      <c r="C2112" s="4" t="s">
        <v>68</v>
      </c>
      <c r="D2112" s="10">
        <v>12</v>
      </c>
      <c r="E2112" s="11" t="s">
        <v>51</v>
      </c>
      <c r="F2112" s="10">
        <v>1104</v>
      </c>
      <c r="G2112" s="10">
        <v>0</v>
      </c>
      <c r="H2112" s="10">
        <f t="shared" si="32"/>
        <v>1104</v>
      </c>
      <c r="I2112" s="10"/>
      <c r="J2112" s="10"/>
      <c r="K2112" s="10"/>
      <c r="L2112" s="4" t="s">
        <v>69</v>
      </c>
      <c r="M2112" s="4">
        <v>2107</v>
      </c>
    </row>
    <row r="2113" spans="1:13" x14ac:dyDescent="0.25">
      <c r="A2113" s="4" t="s">
        <v>1858</v>
      </c>
      <c r="B2113" s="4" t="s">
        <v>1864</v>
      </c>
      <c r="C2113" s="4" t="s">
        <v>68</v>
      </c>
      <c r="D2113" s="10">
        <v>12</v>
      </c>
      <c r="E2113" s="11" t="s">
        <v>51</v>
      </c>
      <c r="F2113" s="10">
        <v>1104</v>
      </c>
      <c r="G2113" s="10">
        <v>0</v>
      </c>
      <c r="H2113" s="10">
        <f t="shared" si="32"/>
        <v>1104</v>
      </c>
      <c r="I2113" s="10"/>
      <c r="J2113" s="10"/>
      <c r="K2113" s="10"/>
      <c r="L2113" s="4" t="s">
        <v>69</v>
      </c>
      <c r="M2113" s="4">
        <v>2108</v>
      </c>
    </row>
    <row r="2114" spans="1:13" x14ac:dyDescent="0.25">
      <c r="A2114" s="4" t="s">
        <v>1858</v>
      </c>
      <c r="B2114" s="4" t="s">
        <v>1865</v>
      </c>
      <c r="C2114" s="4" t="s">
        <v>68</v>
      </c>
      <c r="D2114" s="10">
        <v>12</v>
      </c>
      <c r="E2114" s="11" t="s">
        <v>51</v>
      </c>
      <c r="F2114" s="10">
        <v>1104</v>
      </c>
      <c r="G2114" s="10">
        <v>0</v>
      </c>
      <c r="H2114" s="10">
        <f t="shared" si="32"/>
        <v>1104</v>
      </c>
      <c r="I2114" s="10"/>
      <c r="J2114" s="10"/>
      <c r="K2114" s="10"/>
      <c r="L2114" s="4" t="s">
        <v>69</v>
      </c>
      <c r="M2114" s="4">
        <v>2109</v>
      </c>
    </row>
    <row r="2115" spans="1:13" x14ac:dyDescent="0.25">
      <c r="A2115" s="4" t="s">
        <v>1858</v>
      </c>
      <c r="B2115" s="4" t="s">
        <v>1866</v>
      </c>
      <c r="C2115" s="4" t="s">
        <v>68</v>
      </c>
      <c r="D2115" s="10">
        <v>12</v>
      </c>
      <c r="E2115" s="11" t="s">
        <v>51</v>
      </c>
      <c r="F2115" s="10">
        <v>1104</v>
      </c>
      <c r="G2115" s="10">
        <v>0</v>
      </c>
      <c r="H2115" s="10">
        <f t="shared" si="32"/>
        <v>1104</v>
      </c>
      <c r="I2115" s="10"/>
      <c r="J2115" s="10"/>
      <c r="K2115" s="10"/>
      <c r="L2115" s="4" t="s">
        <v>69</v>
      </c>
      <c r="M2115" s="4">
        <v>2110</v>
      </c>
    </row>
    <row r="2116" spans="1:13" x14ac:dyDescent="0.25">
      <c r="A2116" s="4" t="s">
        <v>1858</v>
      </c>
      <c r="B2116" s="4" t="s">
        <v>1867</v>
      </c>
      <c r="C2116" s="4" t="s">
        <v>68</v>
      </c>
      <c r="D2116" s="10">
        <v>12</v>
      </c>
      <c r="E2116" s="11" t="s">
        <v>51</v>
      </c>
      <c r="F2116" s="10">
        <v>1104</v>
      </c>
      <c r="G2116" s="10">
        <v>0</v>
      </c>
      <c r="H2116" s="10">
        <f t="shared" si="32"/>
        <v>1104</v>
      </c>
      <c r="I2116" s="10"/>
      <c r="J2116" s="10"/>
      <c r="K2116" s="10"/>
      <c r="L2116" s="4" t="s">
        <v>69</v>
      </c>
      <c r="M2116" s="4">
        <v>2111</v>
      </c>
    </row>
    <row r="2117" spans="1:13" x14ac:dyDescent="0.25">
      <c r="A2117" s="4" t="s">
        <v>1858</v>
      </c>
      <c r="B2117" s="4" t="s">
        <v>1868</v>
      </c>
      <c r="C2117" s="4" t="s">
        <v>68</v>
      </c>
      <c r="D2117" s="10">
        <v>2</v>
      </c>
      <c r="E2117" s="11" t="s">
        <v>51</v>
      </c>
      <c r="F2117" s="10">
        <v>1104</v>
      </c>
      <c r="G2117" s="10">
        <v>0</v>
      </c>
      <c r="H2117" s="10">
        <f t="shared" si="32"/>
        <v>1104</v>
      </c>
      <c r="I2117" s="10"/>
      <c r="J2117" s="10"/>
      <c r="K2117" s="10"/>
      <c r="L2117" s="4" t="s">
        <v>69</v>
      </c>
      <c r="M2117" s="4">
        <v>2112</v>
      </c>
    </row>
    <row r="2118" spans="1:13" x14ac:dyDescent="0.25">
      <c r="A2118" s="4" t="s">
        <v>1869</v>
      </c>
      <c r="B2118" s="4" t="s">
        <v>1870</v>
      </c>
      <c r="C2118" s="4" t="s">
        <v>65</v>
      </c>
      <c r="D2118" s="10">
        <v>1</v>
      </c>
      <c r="E2118" s="12" t="s">
        <v>66</v>
      </c>
      <c r="F2118" s="10">
        <v>311</v>
      </c>
      <c r="G2118" s="10">
        <v>0</v>
      </c>
      <c r="H2118" s="10">
        <f t="shared" ref="H2118:H2181" si="33">F2118-G2118</f>
        <v>311</v>
      </c>
      <c r="I2118" s="10">
        <v>311</v>
      </c>
      <c r="J2118" s="10">
        <v>311</v>
      </c>
      <c r="K2118" s="10">
        <v>311</v>
      </c>
      <c r="L2118" s="4"/>
      <c r="M2118" s="4">
        <v>2113</v>
      </c>
    </row>
    <row r="2119" spans="1:13" x14ac:dyDescent="0.25">
      <c r="A2119" s="4" t="s">
        <v>1869</v>
      </c>
      <c r="B2119" s="4" t="s">
        <v>1871</v>
      </c>
      <c r="C2119" s="4" t="s">
        <v>65</v>
      </c>
      <c r="D2119" s="10">
        <v>231</v>
      </c>
      <c r="E2119" s="12" t="s">
        <v>66</v>
      </c>
      <c r="F2119" s="10">
        <v>311</v>
      </c>
      <c r="G2119" s="10">
        <v>0</v>
      </c>
      <c r="H2119" s="10">
        <f t="shared" si="33"/>
        <v>311</v>
      </c>
      <c r="I2119" s="10">
        <v>311</v>
      </c>
      <c r="J2119" s="10">
        <v>311</v>
      </c>
      <c r="K2119" s="10">
        <v>311</v>
      </c>
      <c r="L2119" s="4"/>
      <c r="M2119" s="4">
        <v>2114</v>
      </c>
    </row>
    <row r="2120" spans="1:13" x14ac:dyDescent="0.25">
      <c r="A2120" s="4" t="s">
        <v>1872</v>
      </c>
      <c r="B2120" s="4" t="s">
        <v>1873</v>
      </c>
      <c r="C2120" s="9" t="s">
        <v>50</v>
      </c>
      <c r="D2120" s="10">
        <v>41</v>
      </c>
      <c r="E2120" s="11" t="s">
        <v>51</v>
      </c>
      <c r="F2120" s="10">
        <v>3772</v>
      </c>
      <c r="G2120" s="10">
        <v>0</v>
      </c>
      <c r="H2120" s="10">
        <f t="shared" si="33"/>
        <v>3772</v>
      </c>
      <c r="I2120" s="10"/>
      <c r="J2120" s="10"/>
      <c r="K2120" s="10"/>
      <c r="L2120" s="4" t="s">
        <v>52</v>
      </c>
      <c r="M2120" s="4">
        <v>2115</v>
      </c>
    </row>
    <row r="2121" spans="1:13" x14ac:dyDescent="0.25">
      <c r="A2121" s="4" t="s">
        <v>1872</v>
      </c>
      <c r="B2121" s="4" t="s">
        <v>1874</v>
      </c>
      <c r="C2121" s="9" t="s">
        <v>50</v>
      </c>
      <c r="D2121" s="10">
        <v>56</v>
      </c>
      <c r="E2121" s="11" t="s">
        <v>51</v>
      </c>
      <c r="F2121" s="10">
        <v>4462</v>
      </c>
      <c r="G2121" s="10">
        <v>0</v>
      </c>
      <c r="H2121" s="10">
        <f t="shared" si="33"/>
        <v>4462</v>
      </c>
      <c r="I2121" s="10"/>
      <c r="J2121" s="10"/>
      <c r="K2121" s="10"/>
      <c r="L2121" s="4" t="s">
        <v>52</v>
      </c>
      <c r="M2121" s="4">
        <v>2116</v>
      </c>
    </row>
    <row r="2122" spans="1:13" x14ac:dyDescent="0.25">
      <c r="A2122" s="4" t="s">
        <v>1872</v>
      </c>
      <c r="B2122" s="4" t="s">
        <v>1875</v>
      </c>
      <c r="C2122" s="9" t="s">
        <v>50</v>
      </c>
      <c r="D2122" s="10">
        <v>48</v>
      </c>
      <c r="E2122" s="11" t="s">
        <v>51</v>
      </c>
      <c r="F2122" s="10">
        <v>3680</v>
      </c>
      <c r="G2122" s="10">
        <v>0</v>
      </c>
      <c r="H2122" s="10">
        <f t="shared" si="33"/>
        <v>3680</v>
      </c>
      <c r="I2122" s="10"/>
      <c r="J2122" s="10"/>
      <c r="K2122" s="10"/>
      <c r="L2122" s="4" t="s">
        <v>52</v>
      </c>
      <c r="M2122" s="4">
        <v>2117</v>
      </c>
    </row>
    <row r="2123" spans="1:13" x14ac:dyDescent="0.25">
      <c r="A2123" s="4" t="s">
        <v>1872</v>
      </c>
      <c r="B2123" s="4" t="s">
        <v>1876</v>
      </c>
      <c r="C2123" s="9" t="s">
        <v>50</v>
      </c>
      <c r="D2123" s="10">
        <v>8</v>
      </c>
      <c r="E2123" s="11" t="s">
        <v>51</v>
      </c>
      <c r="F2123" s="10">
        <v>736</v>
      </c>
      <c r="G2123" s="10">
        <v>0</v>
      </c>
      <c r="H2123" s="10">
        <f t="shared" si="33"/>
        <v>736</v>
      </c>
      <c r="I2123" s="10"/>
      <c r="J2123" s="10"/>
      <c r="K2123" s="10"/>
      <c r="L2123" s="4" t="s">
        <v>52</v>
      </c>
      <c r="M2123" s="4">
        <v>2118</v>
      </c>
    </row>
    <row r="2124" spans="1:13" x14ac:dyDescent="0.25">
      <c r="A2124" s="4" t="s">
        <v>1872</v>
      </c>
      <c r="B2124" s="4" t="s">
        <v>1877</v>
      </c>
      <c r="C2124" s="9" t="s">
        <v>50</v>
      </c>
      <c r="D2124" s="10">
        <v>40</v>
      </c>
      <c r="E2124" s="11" t="s">
        <v>51</v>
      </c>
      <c r="F2124" s="10">
        <v>3496</v>
      </c>
      <c r="G2124" s="10">
        <v>0</v>
      </c>
      <c r="H2124" s="10">
        <f t="shared" si="33"/>
        <v>3496</v>
      </c>
      <c r="I2124" s="10"/>
      <c r="J2124" s="10"/>
      <c r="K2124" s="10"/>
      <c r="L2124" s="4" t="s">
        <v>52</v>
      </c>
      <c r="M2124" s="4">
        <v>2119</v>
      </c>
    </row>
    <row r="2125" spans="1:13" x14ac:dyDescent="0.25">
      <c r="A2125" s="4" t="s">
        <v>1872</v>
      </c>
      <c r="B2125" s="4" t="s">
        <v>1857</v>
      </c>
      <c r="C2125" s="4" t="s">
        <v>68</v>
      </c>
      <c r="D2125" s="10">
        <v>328</v>
      </c>
      <c r="E2125" s="11" t="s">
        <v>51</v>
      </c>
      <c r="F2125" s="10">
        <v>3652</v>
      </c>
      <c r="G2125" s="10">
        <v>0</v>
      </c>
      <c r="H2125" s="10">
        <f t="shared" si="33"/>
        <v>3652</v>
      </c>
      <c r="I2125" s="10"/>
      <c r="J2125" s="10"/>
      <c r="K2125" s="10"/>
      <c r="L2125" s="4" t="s">
        <v>69</v>
      </c>
      <c r="M2125" s="4">
        <v>2120</v>
      </c>
    </row>
    <row r="2126" spans="1:13" x14ac:dyDescent="0.25">
      <c r="A2126" s="4" t="s">
        <v>1878</v>
      </c>
      <c r="B2126" s="4" t="s">
        <v>1875</v>
      </c>
      <c r="C2126" s="9" t="s">
        <v>50</v>
      </c>
      <c r="D2126" s="10">
        <v>44</v>
      </c>
      <c r="E2126" s="11" t="s">
        <v>51</v>
      </c>
      <c r="F2126" s="10">
        <v>3864</v>
      </c>
      <c r="G2126" s="10">
        <v>0</v>
      </c>
      <c r="H2126" s="10">
        <f t="shared" si="33"/>
        <v>3864</v>
      </c>
      <c r="I2126" s="10"/>
      <c r="J2126" s="10"/>
      <c r="K2126" s="10"/>
      <c r="L2126" s="4" t="s">
        <v>52</v>
      </c>
      <c r="M2126" s="4">
        <v>2121</v>
      </c>
    </row>
    <row r="2127" spans="1:13" x14ac:dyDescent="0.25">
      <c r="A2127" s="4" t="s">
        <v>1878</v>
      </c>
      <c r="B2127" s="4" t="s">
        <v>1874</v>
      </c>
      <c r="C2127" s="9" t="s">
        <v>50</v>
      </c>
      <c r="D2127" s="10">
        <v>56</v>
      </c>
      <c r="E2127" s="11" t="s">
        <v>51</v>
      </c>
      <c r="F2127" s="10">
        <v>5255.5</v>
      </c>
      <c r="G2127" s="10">
        <v>0</v>
      </c>
      <c r="H2127" s="10">
        <f t="shared" si="33"/>
        <v>5255.5</v>
      </c>
      <c r="I2127" s="10"/>
      <c r="J2127" s="10"/>
      <c r="K2127" s="10"/>
      <c r="L2127" s="4" t="s">
        <v>52</v>
      </c>
      <c r="M2127" s="4">
        <v>2122</v>
      </c>
    </row>
    <row r="2128" spans="1:13" x14ac:dyDescent="0.25">
      <c r="A2128" s="4" t="s">
        <v>1878</v>
      </c>
      <c r="B2128" s="4" t="s">
        <v>1873</v>
      </c>
      <c r="C2128" s="9" t="s">
        <v>50</v>
      </c>
      <c r="D2128" s="10">
        <v>96</v>
      </c>
      <c r="E2128" s="11" t="s">
        <v>51</v>
      </c>
      <c r="F2128" s="10">
        <v>8832</v>
      </c>
      <c r="G2128" s="10">
        <v>0</v>
      </c>
      <c r="H2128" s="10">
        <f t="shared" si="33"/>
        <v>8832</v>
      </c>
      <c r="I2128" s="10"/>
      <c r="J2128" s="10"/>
      <c r="K2128" s="10"/>
      <c r="L2128" s="4" t="s">
        <v>52</v>
      </c>
      <c r="M2128" s="4">
        <v>2123</v>
      </c>
    </row>
    <row r="2129" spans="1:13" x14ac:dyDescent="0.25">
      <c r="A2129" s="4" t="s">
        <v>1878</v>
      </c>
      <c r="B2129" s="4" t="s">
        <v>1876</v>
      </c>
      <c r="C2129" s="9" t="s">
        <v>50</v>
      </c>
      <c r="D2129" s="10">
        <v>16</v>
      </c>
      <c r="E2129" s="11" t="s">
        <v>51</v>
      </c>
      <c r="F2129" s="10">
        <v>736</v>
      </c>
      <c r="G2129" s="10">
        <v>0</v>
      </c>
      <c r="H2129" s="10">
        <f t="shared" si="33"/>
        <v>736</v>
      </c>
      <c r="I2129" s="10"/>
      <c r="J2129" s="10"/>
      <c r="K2129" s="10"/>
      <c r="L2129" s="4" t="s">
        <v>52</v>
      </c>
      <c r="M2129" s="4">
        <v>2124</v>
      </c>
    </row>
    <row r="2130" spans="1:13" x14ac:dyDescent="0.25">
      <c r="A2130" s="4" t="s">
        <v>1878</v>
      </c>
      <c r="B2130" s="4" t="s">
        <v>1877</v>
      </c>
      <c r="C2130" s="9" t="s">
        <v>50</v>
      </c>
      <c r="D2130" s="10">
        <v>40</v>
      </c>
      <c r="E2130" s="11" t="s">
        <v>51</v>
      </c>
      <c r="F2130" s="10">
        <v>3496</v>
      </c>
      <c r="G2130" s="10">
        <v>0</v>
      </c>
      <c r="H2130" s="10">
        <f t="shared" si="33"/>
        <v>3496</v>
      </c>
      <c r="I2130" s="10"/>
      <c r="J2130" s="10"/>
      <c r="K2130" s="10"/>
      <c r="L2130" s="4" t="s">
        <v>52</v>
      </c>
      <c r="M2130" s="4">
        <v>2125</v>
      </c>
    </row>
    <row r="2131" spans="1:13" x14ac:dyDescent="0.25">
      <c r="A2131" s="4" t="s">
        <v>1878</v>
      </c>
      <c r="B2131" s="4" t="s">
        <v>1879</v>
      </c>
      <c r="C2131" s="9" t="s">
        <v>50</v>
      </c>
      <c r="D2131" s="10">
        <v>272</v>
      </c>
      <c r="E2131" s="11" t="s">
        <v>51</v>
      </c>
      <c r="F2131" s="10">
        <v>3556</v>
      </c>
      <c r="G2131" s="10">
        <v>0</v>
      </c>
      <c r="H2131" s="10">
        <f t="shared" si="33"/>
        <v>3556</v>
      </c>
      <c r="I2131" s="10"/>
      <c r="J2131" s="10"/>
      <c r="K2131" s="10"/>
      <c r="L2131" s="4" t="s">
        <v>52</v>
      </c>
      <c r="M2131" s="4">
        <v>2126</v>
      </c>
    </row>
    <row r="2132" spans="1:13" x14ac:dyDescent="0.25">
      <c r="A2132" s="4" t="s">
        <v>1880</v>
      </c>
      <c r="B2132" s="4" t="s">
        <v>1881</v>
      </c>
      <c r="C2132" s="4" t="s">
        <v>68</v>
      </c>
      <c r="D2132" s="10">
        <v>40</v>
      </c>
      <c r="E2132" s="11" t="s">
        <v>51</v>
      </c>
      <c r="F2132" s="10"/>
      <c r="G2132" s="10">
        <v>0</v>
      </c>
      <c r="H2132" s="10">
        <f t="shared" si="33"/>
        <v>0</v>
      </c>
      <c r="I2132" s="10"/>
      <c r="J2132" s="10"/>
      <c r="K2132" s="10"/>
      <c r="L2132" s="4" t="s">
        <v>69</v>
      </c>
      <c r="M2132" s="4">
        <v>2127</v>
      </c>
    </row>
    <row r="2133" spans="1:13" x14ac:dyDescent="0.25">
      <c r="A2133" s="4" t="s">
        <v>1880</v>
      </c>
      <c r="B2133" s="4" t="s">
        <v>1873</v>
      </c>
      <c r="C2133" s="9" t="s">
        <v>50</v>
      </c>
      <c r="D2133" s="10">
        <v>60</v>
      </c>
      <c r="E2133" s="11" t="s">
        <v>51</v>
      </c>
      <c r="F2133" s="10">
        <v>5520</v>
      </c>
      <c r="G2133" s="10">
        <v>0</v>
      </c>
      <c r="H2133" s="10">
        <f t="shared" si="33"/>
        <v>5520</v>
      </c>
      <c r="I2133" s="10"/>
      <c r="J2133" s="10"/>
      <c r="K2133" s="10"/>
      <c r="L2133" s="4" t="s">
        <v>52</v>
      </c>
      <c r="M2133" s="4">
        <v>2128</v>
      </c>
    </row>
    <row r="2134" spans="1:13" x14ac:dyDescent="0.25">
      <c r="A2134" s="4" t="s">
        <v>1880</v>
      </c>
      <c r="B2134" s="4" t="s">
        <v>1876</v>
      </c>
      <c r="C2134" s="9" t="s">
        <v>50</v>
      </c>
      <c r="D2134" s="10">
        <v>8</v>
      </c>
      <c r="E2134" s="11" t="s">
        <v>51</v>
      </c>
      <c r="F2134" s="10">
        <v>368</v>
      </c>
      <c r="G2134" s="10">
        <v>0</v>
      </c>
      <c r="H2134" s="10">
        <f t="shared" si="33"/>
        <v>368</v>
      </c>
      <c r="I2134" s="10"/>
      <c r="J2134" s="10"/>
      <c r="K2134" s="10"/>
      <c r="L2134" s="4" t="s">
        <v>52</v>
      </c>
      <c r="M2134" s="4">
        <v>2129</v>
      </c>
    </row>
    <row r="2135" spans="1:13" x14ac:dyDescent="0.25">
      <c r="A2135" s="4" t="s">
        <v>1880</v>
      </c>
      <c r="B2135" s="4" t="s">
        <v>1874</v>
      </c>
      <c r="C2135" s="9" t="s">
        <v>50</v>
      </c>
      <c r="D2135" s="10">
        <v>56</v>
      </c>
      <c r="E2135" s="11" t="s">
        <v>51</v>
      </c>
      <c r="F2135" s="10">
        <v>5014</v>
      </c>
      <c r="G2135" s="10">
        <v>0</v>
      </c>
      <c r="H2135" s="10">
        <f t="shared" si="33"/>
        <v>5014</v>
      </c>
      <c r="I2135" s="10"/>
      <c r="J2135" s="10"/>
      <c r="K2135" s="10"/>
      <c r="L2135" s="4" t="s">
        <v>52</v>
      </c>
      <c r="M2135" s="4">
        <v>2130</v>
      </c>
    </row>
    <row r="2136" spans="1:13" x14ac:dyDescent="0.25">
      <c r="A2136" s="4" t="s">
        <v>1880</v>
      </c>
      <c r="B2136" s="4" t="s">
        <v>1882</v>
      </c>
      <c r="C2136" s="4" t="s">
        <v>68</v>
      </c>
      <c r="D2136" s="10">
        <v>36</v>
      </c>
      <c r="E2136" s="11" t="s">
        <v>51</v>
      </c>
      <c r="F2136" s="10">
        <v>3128</v>
      </c>
      <c r="G2136" s="10">
        <v>0</v>
      </c>
      <c r="H2136" s="10">
        <f t="shared" si="33"/>
        <v>3128</v>
      </c>
      <c r="I2136" s="10"/>
      <c r="J2136" s="10"/>
      <c r="K2136" s="10"/>
      <c r="L2136" s="4" t="s">
        <v>69</v>
      </c>
      <c r="M2136" s="4">
        <v>2131</v>
      </c>
    </row>
    <row r="2137" spans="1:13" x14ac:dyDescent="0.25">
      <c r="A2137" s="4" t="s">
        <v>1880</v>
      </c>
      <c r="B2137" s="4" t="s">
        <v>1879</v>
      </c>
      <c r="C2137" s="9" t="s">
        <v>50</v>
      </c>
      <c r="D2137" s="10">
        <v>268</v>
      </c>
      <c r="E2137" s="11" t="s">
        <v>51</v>
      </c>
      <c r="F2137" s="10">
        <v>3268</v>
      </c>
      <c r="G2137" s="10">
        <v>0</v>
      </c>
      <c r="H2137" s="10">
        <f t="shared" si="33"/>
        <v>3268</v>
      </c>
      <c r="I2137" s="10"/>
      <c r="J2137" s="10"/>
      <c r="K2137" s="10"/>
      <c r="L2137" s="4" t="s">
        <v>52</v>
      </c>
      <c r="M2137" s="4">
        <v>2132</v>
      </c>
    </row>
    <row r="2138" spans="1:13" x14ac:dyDescent="0.25">
      <c r="A2138" s="4" t="s">
        <v>1883</v>
      </c>
      <c r="B2138" s="4" t="s">
        <v>1873</v>
      </c>
      <c r="C2138" s="9" t="s">
        <v>50</v>
      </c>
      <c r="D2138" s="10">
        <v>46</v>
      </c>
      <c r="E2138" s="11" t="s">
        <v>51</v>
      </c>
      <c r="F2138" s="10">
        <v>4232</v>
      </c>
      <c r="G2138" s="10">
        <v>0</v>
      </c>
      <c r="H2138" s="10">
        <f t="shared" si="33"/>
        <v>4232</v>
      </c>
      <c r="I2138" s="10"/>
      <c r="J2138" s="10"/>
      <c r="K2138" s="10"/>
      <c r="L2138" s="4" t="s">
        <v>52</v>
      </c>
      <c r="M2138" s="4">
        <v>2133</v>
      </c>
    </row>
    <row r="2139" spans="1:13" x14ac:dyDescent="0.25">
      <c r="A2139" s="4" t="s">
        <v>1883</v>
      </c>
      <c r="B2139" s="4" t="s">
        <v>1876</v>
      </c>
      <c r="C2139" s="9" t="s">
        <v>50</v>
      </c>
      <c r="D2139" s="10">
        <v>64</v>
      </c>
      <c r="E2139" s="11" t="s">
        <v>51</v>
      </c>
      <c r="F2139" s="10">
        <v>368</v>
      </c>
      <c r="G2139" s="10">
        <v>0</v>
      </c>
      <c r="H2139" s="10">
        <f t="shared" si="33"/>
        <v>368</v>
      </c>
      <c r="I2139" s="10"/>
      <c r="J2139" s="10"/>
      <c r="K2139" s="10"/>
      <c r="L2139" s="4" t="s">
        <v>52</v>
      </c>
      <c r="M2139" s="4">
        <v>2134</v>
      </c>
    </row>
    <row r="2140" spans="1:13" x14ac:dyDescent="0.25">
      <c r="A2140" s="4" t="s">
        <v>1883</v>
      </c>
      <c r="B2140" s="4" t="s">
        <v>1884</v>
      </c>
      <c r="C2140" s="9" t="s">
        <v>50</v>
      </c>
      <c r="D2140" s="10">
        <v>40</v>
      </c>
      <c r="E2140" s="11" t="s">
        <v>51</v>
      </c>
      <c r="F2140" s="10">
        <v>3680</v>
      </c>
      <c r="G2140" s="10">
        <v>0</v>
      </c>
      <c r="H2140" s="10">
        <f t="shared" si="33"/>
        <v>3680</v>
      </c>
      <c r="I2140" s="10"/>
      <c r="J2140" s="10"/>
      <c r="K2140" s="10"/>
      <c r="L2140" s="4" t="s">
        <v>52</v>
      </c>
      <c r="M2140" s="4">
        <v>2135</v>
      </c>
    </row>
    <row r="2141" spans="1:13" x14ac:dyDescent="0.25">
      <c r="A2141" s="4" t="s">
        <v>1883</v>
      </c>
      <c r="B2141" s="4" t="s">
        <v>1885</v>
      </c>
      <c r="C2141" s="9" t="s">
        <v>50</v>
      </c>
      <c r="D2141" s="10">
        <v>16</v>
      </c>
      <c r="E2141" s="11" t="s">
        <v>51</v>
      </c>
      <c r="F2141" s="10">
        <v>736</v>
      </c>
      <c r="G2141" s="10">
        <v>0</v>
      </c>
      <c r="H2141" s="10">
        <f t="shared" si="33"/>
        <v>736</v>
      </c>
      <c r="I2141" s="10"/>
      <c r="J2141" s="10"/>
      <c r="K2141" s="10"/>
      <c r="L2141" s="4" t="s">
        <v>52</v>
      </c>
      <c r="M2141" s="4">
        <v>2136</v>
      </c>
    </row>
    <row r="2142" spans="1:13" x14ac:dyDescent="0.25">
      <c r="A2142" s="4" t="s">
        <v>1883</v>
      </c>
      <c r="B2142" s="4" t="s">
        <v>1881</v>
      </c>
      <c r="C2142" s="4" t="s">
        <v>68</v>
      </c>
      <c r="D2142" s="10">
        <v>44</v>
      </c>
      <c r="E2142" s="11" t="s">
        <v>51</v>
      </c>
      <c r="F2142" s="10">
        <v>3864</v>
      </c>
      <c r="G2142" s="10">
        <v>0</v>
      </c>
      <c r="H2142" s="10">
        <f t="shared" si="33"/>
        <v>3864</v>
      </c>
      <c r="I2142" s="10"/>
      <c r="J2142" s="10"/>
      <c r="K2142" s="10"/>
      <c r="L2142" s="4" t="s">
        <v>69</v>
      </c>
      <c r="M2142" s="4">
        <v>2137</v>
      </c>
    </row>
    <row r="2143" spans="1:13" x14ac:dyDescent="0.25">
      <c r="A2143" s="4" t="s">
        <v>1883</v>
      </c>
      <c r="B2143" s="4" t="s">
        <v>1882</v>
      </c>
      <c r="C2143" s="4" t="s">
        <v>68</v>
      </c>
      <c r="D2143" s="10">
        <v>40</v>
      </c>
      <c r="E2143" s="11" t="s">
        <v>51</v>
      </c>
      <c r="F2143" s="10">
        <v>3496</v>
      </c>
      <c r="G2143" s="10">
        <v>0</v>
      </c>
      <c r="H2143" s="10">
        <f t="shared" si="33"/>
        <v>3496</v>
      </c>
      <c r="I2143" s="10"/>
      <c r="J2143" s="10"/>
      <c r="K2143" s="10"/>
      <c r="L2143" s="4" t="s">
        <v>69</v>
      </c>
      <c r="M2143" s="4">
        <v>2138</v>
      </c>
    </row>
    <row r="2144" spans="1:13" x14ac:dyDescent="0.25">
      <c r="A2144" s="4" t="s">
        <v>1883</v>
      </c>
      <c r="B2144" s="4" t="s">
        <v>1857</v>
      </c>
      <c r="C2144" s="4" t="s">
        <v>68</v>
      </c>
      <c r="D2144" s="10">
        <v>244</v>
      </c>
      <c r="E2144" s="11" t="s">
        <v>51</v>
      </c>
      <c r="F2144" s="10">
        <v>3752</v>
      </c>
      <c r="G2144" s="10">
        <v>0</v>
      </c>
      <c r="H2144" s="10">
        <f t="shared" si="33"/>
        <v>3752</v>
      </c>
      <c r="I2144" s="10"/>
      <c r="J2144" s="10"/>
      <c r="K2144" s="10"/>
      <c r="L2144" s="4" t="s">
        <v>69</v>
      </c>
      <c r="M2144" s="4">
        <v>2139</v>
      </c>
    </row>
    <row r="2145" spans="1:13" x14ac:dyDescent="0.25">
      <c r="A2145" s="4" t="s">
        <v>1886</v>
      </c>
      <c r="B2145" s="4" t="s">
        <v>1873</v>
      </c>
      <c r="C2145" s="9" t="s">
        <v>50</v>
      </c>
      <c r="D2145" s="10">
        <v>70</v>
      </c>
      <c r="E2145" s="11" t="s">
        <v>51</v>
      </c>
      <c r="F2145" s="10">
        <v>6440</v>
      </c>
      <c r="G2145" s="10">
        <v>0</v>
      </c>
      <c r="H2145" s="10">
        <f t="shared" si="33"/>
        <v>6440</v>
      </c>
      <c r="I2145" s="10"/>
      <c r="J2145" s="10"/>
      <c r="K2145" s="10"/>
      <c r="L2145" s="4" t="s">
        <v>52</v>
      </c>
      <c r="M2145" s="4">
        <v>2140</v>
      </c>
    </row>
    <row r="2146" spans="1:13" x14ac:dyDescent="0.25">
      <c r="A2146" s="4" t="s">
        <v>1886</v>
      </c>
      <c r="B2146" s="4" t="s">
        <v>1876</v>
      </c>
      <c r="C2146" s="9" t="s">
        <v>50</v>
      </c>
      <c r="D2146" s="10">
        <v>8</v>
      </c>
      <c r="E2146" s="11" t="s">
        <v>51</v>
      </c>
      <c r="F2146" s="10">
        <v>368</v>
      </c>
      <c r="G2146" s="10">
        <v>0</v>
      </c>
      <c r="H2146" s="10">
        <f t="shared" si="33"/>
        <v>368</v>
      </c>
      <c r="I2146" s="10"/>
      <c r="J2146" s="10"/>
      <c r="K2146" s="10"/>
      <c r="L2146" s="4" t="s">
        <v>52</v>
      </c>
      <c r="M2146" s="4">
        <v>2141</v>
      </c>
    </row>
    <row r="2147" spans="1:13" x14ac:dyDescent="0.25">
      <c r="A2147" s="4" t="s">
        <v>1886</v>
      </c>
      <c r="B2147" s="4" t="s">
        <v>1874</v>
      </c>
      <c r="C2147" s="9" t="s">
        <v>50</v>
      </c>
      <c r="D2147" s="10">
        <v>40</v>
      </c>
      <c r="E2147" s="11" t="s">
        <v>51</v>
      </c>
      <c r="F2147" s="10">
        <v>2944</v>
      </c>
      <c r="G2147" s="10">
        <v>0</v>
      </c>
      <c r="H2147" s="10">
        <f t="shared" si="33"/>
        <v>2944</v>
      </c>
      <c r="I2147" s="10"/>
      <c r="J2147" s="10"/>
      <c r="K2147" s="10"/>
      <c r="L2147" s="4" t="s">
        <v>52</v>
      </c>
      <c r="M2147" s="4">
        <v>2142</v>
      </c>
    </row>
    <row r="2148" spans="1:13" x14ac:dyDescent="0.25">
      <c r="A2148" s="4" t="s">
        <v>1886</v>
      </c>
      <c r="B2148" s="4" t="s">
        <v>1881</v>
      </c>
      <c r="C2148" s="4" t="s">
        <v>68</v>
      </c>
      <c r="D2148" s="10">
        <v>32</v>
      </c>
      <c r="E2148" s="11" t="s">
        <v>51</v>
      </c>
      <c r="F2148" s="10">
        <v>2576</v>
      </c>
      <c r="G2148" s="10">
        <v>0</v>
      </c>
      <c r="H2148" s="10">
        <f t="shared" si="33"/>
        <v>2576</v>
      </c>
      <c r="I2148" s="10"/>
      <c r="J2148" s="10"/>
      <c r="K2148" s="10"/>
      <c r="L2148" s="4" t="s">
        <v>69</v>
      </c>
      <c r="M2148" s="4">
        <v>2143</v>
      </c>
    </row>
    <row r="2149" spans="1:13" x14ac:dyDescent="0.25">
      <c r="A2149" s="4" t="s">
        <v>1886</v>
      </c>
      <c r="B2149" s="4" t="s">
        <v>1882</v>
      </c>
      <c r="C2149" s="4" t="s">
        <v>68</v>
      </c>
      <c r="D2149" s="10">
        <v>28</v>
      </c>
      <c r="E2149" s="11" t="s">
        <v>51</v>
      </c>
      <c r="F2149" s="10">
        <v>2392</v>
      </c>
      <c r="G2149" s="10">
        <v>0</v>
      </c>
      <c r="H2149" s="10">
        <f t="shared" si="33"/>
        <v>2392</v>
      </c>
      <c r="I2149" s="10"/>
      <c r="J2149" s="10"/>
      <c r="K2149" s="10"/>
      <c r="L2149" s="4" t="s">
        <v>69</v>
      </c>
      <c r="M2149" s="4">
        <v>2144</v>
      </c>
    </row>
    <row r="2150" spans="1:13" x14ac:dyDescent="0.25">
      <c r="A2150" s="4" t="s">
        <v>1886</v>
      </c>
      <c r="B2150" s="4" t="s">
        <v>1879</v>
      </c>
      <c r="C2150" s="9" t="s">
        <v>50</v>
      </c>
      <c r="D2150" s="10">
        <v>228</v>
      </c>
      <c r="E2150" s="11" t="s">
        <v>51</v>
      </c>
      <c r="F2150" s="10">
        <v>2500</v>
      </c>
      <c r="G2150" s="10">
        <v>0</v>
      </c>
      <c r="H2150" s="10">
        <f t="shared" si="33"/>
        <v>2500</v>
      </c>
      <c r="I2150" s="10"/>
      <c r="J2150" s="10"/>
      <c r="K2150" s="10"/>
      <c r="L2150" s="4" t="s">
        <v>52</v>
      </c>
      <c r="M2150" s="4">
        <v>2145</v>
      </c>
    </row>
    <row r="2151" spans="1:13" x14ac:dyDescent="0.25">
      <c r="A2151" s="4" t="s">
        <v>1887</v>
      </c>
      <c r="B2151" s="4" t="s">
        <v>1881</v>
      </c>
      <c r="C2151" s="4" t="s">
        <v>68</v>
      </c>
      <c r="D2151" s="10">
        <v>32</v>
      </c>
      <c r="E2151" s="11" t="s">
        <v>51</v>
      </c>
      <c r="F2151" s="10">
        <v>2392</v>
      </c>
      <c r="G2151" s="10">
        <v>0</v>
      </c>
      <c r="H2151" s="10">
        <f t="shared" si="33"/>
        <v>2392</v>
      </c>
      <c r="I2151" s="10"/>
      <c r="J2151" s="10"/>
      <c r="K2151" s="10"/>
      <c r="L2151" s="4" t="s">
        <v>69</v>
      </c>
      <c r="M2151" s="4">
        <v>2146</v>
      </c>
    </row>
    <row r="2152" spans="1:13" x14ac:dyDescent="0.25">
      <c r="A2152" s="4" t="s">
        <v>1887</v>
      </c>
      <c r="B2152" s="4" t="s">
        <v>1873</v>
      </c>
      <c r="C2152" s="9" t="s">
        <v>50</v>
      </c>
      <c r="D2152" s="10">
        <v>52</v>
      </c>
      <c r="E2152" s="11" t="s">
        <v>51</v>
      </c>
      <c r="F2152" s="10">
        <v>4784</v>
      </c>
      <c r="G2152" s="10">
        <v>0</v>
      </c>
      <c r="H2152" s="10">
        <f t="shared" si="33"/>
        <v>4784</v>
      </c>
      <c r="I2152" s="10"/>
      <c r="J2152" s="10"/>
      <c r="K2152" s="10"/>
      <c r="L2152" s="4" t="s">
        <v>52</v>
      </c>
      <c r="M2152" s="4">
        <v>2147</v>
      </c>
    </row>
    <row r="2153" spans="1:13" x14ac:dyDescent="0.25">
      <c r="A2153" s="4" t="s">
        <v>1887</v>
      </c>
      <c r="B2153" s="4" t="s">
        <v>1876</v>
      </c>
      <c r="C2153" s="9" t="s">
        <v>50</v>
      </c>
      <c r="D2153" s="10">
        <v>8</v>
      </c>
      <c r="E2153" s="11" t="s">
        <v>51</v>
      </c>
      <c r="F2153" s="10">
        <v>368</v>
      </c>
      <c r="G2153" s="10">
        <v>0</v>
      </c>
      <c r="H2153" s="10">
        <f t="shared" si="33"/>
        <v>368</v>
      </c>
      <c r="I2153" s="10"/>
      <c r="J2153" s="10"/>
      <c r="K2153" s="10"/>
      <c r="L2153" s="4" t="s">
        <v>52</v>
      </c>
      <c r="M2153" s="4">
        <v>2148</v>
      </c>
    </row>
    <row r="2154" spans="1:13" x14ac:dyDescent="0.25">
      <c r="A2154" s="4" t="s">
        <v>1887</v>
      </c>
      <c r="B2154" s="4" t="s">
        <v>1874</v>
      </c>
      <c r="C2154" s="9" t="s">
        <v>50</v>
      </c>
      <c r="D2154" s="10">
        <v>40</v>
      </c>
      <c r="E2154" s="11" t="s">
        <v>51</v>
      </c>
      <c r="F2154" s="10">
        <v>2944</v>
      </c>
      <c r="G2154" s="10">
        <v>0</v>
      </c>
      <c r="H2154" s="10">
        <f t="shared" si="33"/>
        <v>2944</v>
      </c>
      <c r="I2154" s="10"/>
      <c r="J2154" s="10"/>
      <c r="K2154" s="10"/>
      <c r="L2154" s="4" t="s">
        <v>52</v>
      </c>
      <c r="M2154" s="4">
        <v>2149</v>
      </c>
    </row>
    <row r="2155" spans="1:13" x14ac:dyDescent="0.25">
      <c r="A2155" s="4" t="s">
        <v>1887</v>
      </c>
      <c r="B2155" s="4" t="s">
        <v>1882</v>
      </c>
      <c r="C2155" s="4" t="s">
        <v>68</v>
      </c>
      <c r="D2155" s="10">
        <v>36</v>
      </c>
      <c r="E2155" s="11" t="s">
        <v>51</v>
      </c>
      <c r="F2155" s="10">
        <v>3128</v>
      </c>
      <c r="G2155" s="10">
        <v>0</v>
      </c>
      <c r="H2155" s="10">
        <f t="shared" si="33"/>
        <v>3128</v>
      </c>
      <c r="I2155" s="10"/>
      <c r="J2155" s="10"/>
      <c r="K2155" s="10"/>
      <c r="L2155" s="4" t="s">
        <v>69</v>
      </c>
      <c r="M2155" s="4">
        <v>2150</v>
      </c>
    </row>
    <row r="2156" spans="1:13" x14ac:dyDescent="0.25">
      <c r="A2156" s="4" t="s">
        <v>1887</v>
      </c>
      <c r="B2156" s="4" t="s">
        <v>1879</v>
      </c>
      <c r="C2156" s="9" t="s">
        <v>50</v>
      </c>
      <c r="D2156" s="10">
        <v>260</v>
      </c>
      <c r="E2156" s="11" t="s">
        <v>51</v>
      </c>
      <c r="F2156" s="10">
        <v>3268</v>
      </c>
      <c r="G2156" s="10">
        <v>0</v>
      </c>
      <c r="H2156" s="10">
        <f t="shared" si="33"/>
        <v>3268</v>
      </c>
      <c r="I2156" s="10"/>
      <c r="J2156" s="10"/>
      <c r="K2156" s="10"/>
      <c r="L2156" s="4" t="s">
        <v>52</v>
      </c>
      <c r="M2156" s="4">
        <v>2151</v>
      </c>
    </row>
    <row r="2157" spans="1:13" x14ac:dyDescent="0.25">
      <c r="A2157" s="4" t="s">
        <v>1888</v>
      </c>
      <c r="B2157" s="4" t="s">
        <v>1881</v>
      </c>
      <c r="C2157" s="4" t="s">
        <v>68</v>
      </c>
      <c r="D2157" s="10">
        <v>48</v>
      </c>
      <c r="E2157" s="11" t="s">
        <v>51</v>
      </c>
      <c r="F2157" s="10">
        <v>4048</v>
      </c>
      <c r="G2157" s="10">
        <v>0</v>
      </c>
      <c r="H2157" s="10">
        <f t="shared" si="33"/>
        <v>4048</v>
      </c>
      <c r="I2157" s="10"/>
      <c r="J2157" s="10"/>
      <c r="K2157" s="10"/>
      <c r="L2157" s="4" t="s">
        <v>69</v>
      </c>
      <c r="M2157" s="4">
        <v>2152</v>
      </c>
    </row>
    <row r="2158" spans="1:13" x14ac:dyDescent="0.25">
      <c r="A2158" s="4" t="s">
        <v>1888</v>
      </c>
      <c r="B2158" s="4" t="s">
        <v>1873</v>
      </c>
      <c r="C2158" s="9" t="s">
        <v>50</v>
      </c>
      <c r="D2158" s="10">
        <v>16</v>
      </c>
      <c r="E2158" s="11" t="s">
        <v>51</v>
      </c>
      <c r="F2158" s="10">
        <v>1472</v>
      </c>
      <c r="G2158" s="10">
        <v>0</v>
      </c>
      <c r="H2158" s="10">
        <f t="shared" si="33"/>
        <v>1472</v>
      </c>
      <c r="I2158" s="10"/>
      <c r="J2158" s="10"/>
      <c r="K2158" s="10"/>
      <c r="L2158" s="4" t="s">
        <v>52</v>
      </c>
      <c r="M2158" s="4">
        <v>2153</v>
      </c>
    </row>
    <row r="2159" spans="1:13" x14ac:dyDescent="0.25">
      <c r="A2159" s="4" t="s">
        <v>1888</v>
      </c>
      <c r="B2159" s="4" t="s">
        <v>1876</v>
      </c>
      <c r="C2159" s="9" t="s">
        <v>50</v>
      </c>
      <c r="D2159" s="10">
        <v>4</v>
      </c>
      <c r="E2159" s="11" t="s">
        <v>51</v>
      </c>
      <c r="F2159" s="10">
        <v>184</v>
      </c>
      <c r="G2159" s="10">
        <v>0</v>
      </c>
      <c r="H2159" s="10">
        <f t="shared" si="33"/>
        <v>184</v>
      </c>
      <c r="I2159" s="10"/>
      <c r="J2159" s="10"/>
      <c r="K2159" s="10"/>
      <c r="L2159" s="4" t="s">
        <v>52</v>
      </c>
      <c r="M2159" s="4">
        <v>2154</v>
      </c>
    </row>
    <row r="2160" spans="1:13" x14ac:dyDescent="0.25">
      <c r="A2160" s="4" t="s">
        <v>1888</v>
      </c>
      <c r="B2160" s="4" t="s">
        <v>1874</v>
      </c>
      <c r="C2160" s="9" t="s">
        <v>50</v>
      </c>
      <c r="D2160" s="10">
        <v>40</v>
      </c>
      <c r="E2160" s="11" t="s">
        <v>51</v>
      </c>
      <c r="F2160" s="10">
        <v>3105</v>
      </c>
      <c r="G2160" s="10">
        <v>0</v>
      </c>
      <c r="H2160" s="10">
        <f t="shared" si="33"/>
        <v>3105</v>
      </c>
      <c r="I2160" s="10"/>
      <c r="J2160" s="10"/>
      <c r="K2160" s="10"/>
      <c r="L2160" s="4" t="s">
        <v>52</v>
      </c>
      <c r="M2160" s="4">
        <v>2155</v>
      </c>
    </row>
    <row r="2161" spans="1:13" x14ac:dyDescent="0.25">
      <c r="A2161" s="4" t="s">
        <v>1888</v>
      </c>
      <c r="B2161" s="4" t="s">
        <v>1882</v>
      </c>
      <c r="C2161" s="4" t="s">
        <v>68</v>
      </c>
      <c r="D2161" s="10">
        <v>40</v>
      </c>
      <c r="E2161" s="11" t="s">
        <v>51</v>
      </c>
      <c r="F2161" s="10">
        <v>3496</v>
      </c>
      <c r="G2161" s="10">
        <v>0</v>
      </c>
      <c r="H2161" s="10">
        <f t="shared" si="33"/>
        <v>3496</v>
      </c>
      <c r="I2161" s="10"/>
      <c r="J2161" s="10"/>
      <c r="K2161" s="10"/>
      <c r="L2161" s="4" t="s">
        <v>69</v>
      </c>
      <c r="M2161" s="4">
        <v>2156</v>
      </c>
    </row>
    <row r="2162" spans="1:13" x14ac:dyDescent="0.25">
      <c r="A2162" s="4" t="s">
        <v>1888</v>
      </c>
      <c r="B2162" s="4" t="s">
        <v>1879</v>
      </c>
      <c r="C2162" s="9" t="s">
        <v>50</v>
      </c>
      <c r="D2162" s="10">
        <v>362</v>
      </c>
      <c r="E2162" s="11" t="s">
        <v>51</v>
      </c>
      <c r="F2162" s="10">
        <v>3652</v>
      </c>
      <c r="G2162" s="10">
        <v>0</v>
      </c>
      <c r="H2162" s="10">
        <f t="shared" si="33"/>
        <v>3652</v>
      </c>
      <c r="I2162" s="10"/>
      <c r="J2162" s="10"/>
      <c r="K2162" s="10"/>
      <c r="L2162" s="4" t="s">
        <v>52</v>
      </c>
      <c r="M2162" s="4">
        <v>2157</v>
      </c>
    </row>
    <row r="2163" spans="1:13" x14ac:dyDescent="0.25">
      <c r="A2163" s="4" t="s">
        <v>1889</v>
      </c>
      <c r="B2163" s="4" t="s">
        <v>1875</v>
      </c>
      <c r="C2163" s="9" t="s">
        <v>50</v>
      </c>
      <c r="D2163" s="10">
        <v>48</v>
      </c>
      <c r="E2163" s="11" t="s">
        <v>51</v>
      </c>
      <c r="F2163" s="10"/>
      <c r="G2163" s="10">
        <v>0</v>
      </c>
      <c r="H2163" s="10">
        <f t="shared" si="33"/>
        <v>0</v>
      </c>
      <c r="I2163" s="10"/>
      <c r="J2163" s="10"/>
      <c r="K2163" s="10"/>
      <c r="L2163" s="4" t="s">
        <v>52</v>
      </c>
      <c r="M2163" s="4">
        <v>2158</v>
      </c>
    </row>
    <row r="2164" spans="1:13" x14ac:dyDescent="0.25">
      <c r="A2164" s="4" t="s">
        <v>1889</v>
      </c>
      <c r="B2164" s="4" t="s">
        <v>1874</v>
      </c>
      <c r="C2164" s="9" t="s">
        <v>50</v>
      </c>
      <c r="D2164" s="10">
        <v>56</v>
      </c>
      <c r="E2164" s="11" t="s">
        <v>51</v>
      </c>
      <c r="F2164" s="10">
        <v>5576</v>
      </c>
      <c r="G2164" s="10">
        <v>0</v>
      </c>
      <c r="H2164" s="10">
        <f t="shared" si="33"/>
        <v>5576</v>
      </c>
      <c r="I2164" s="10"/>
      <c r="J2164" s="10"/>
      <c r="K2164" s="10"/>
      <c r="L2164" s="4" t="s">
        <v>52</v>
      </c>
      <c r="M2164" s="4">
        <v>2159</v>
      </c>
    </row>
    <row r="2165" spans="1:13" x14ac:dyDescent="0.25">
      <c r="A2165" s="4" t="s">
        <v>1889</v>
      </c>
      <c r="B2165" s="4" t="s">
        <v>1873</v>
      </c>
      <c r="C2165" s="9" t="s">
        <v>50</v>
      </c>
      <c r="D2165" s="10">
        <v>72</v>
      </c>
      <c r="E2165" s="11" t="s">
        <v>51</v>
      </c>
      <c r="F2165" s="10">
        <v>11040</v>
      </c>
      <c r="G2165" s="10">
        <v>0</v>
      </c>
      <c r="H2165" s="10">
        <f t="shared" si="33"/>
        <v>11040</v>
      </c>
      <c r="I2165" s="10"/>
      <c r="J2165" s="10"/>
      <c r="K2165" s="10"/>
      <c r="L2165" s="4" t="s">
        <v>52</v>
      </c>
      <c r="M2165" s="4">
        <v>2160</v>
      </c>
    </row>
    <row r="2166" spans="1:13" x14ac:dyDescent="0.25">
      <c r="A2166" s="4" t="s">
        <v>1889</v>
      </c>
      <c r="B2166" s="4" t="s">
        <v>1876</v>
      </c>
      <c r="C2166" s="9" t="s">
        <v>50</v>
      </c>
      <c r="D2166" s="10">
        <v>12</v>
      </c>
      <c r="E2166" s="11" t="s">
        <v>51</v>
      </c>
      <c r="F2166" s="10">
        <v>552</v>
      </c>
      <c r="G2166" s="10">
        <v>0</v>
      </c>
      <c r="H2166" s="10">
        <f t="shared" si="33"/>
        <v>552</v>
      </c>
      <c r="I2166" s="10"/>
      <c r="J2166" s="10"/>
      <c r="K2166" s="10"/>
      <c r="L2166" s="4" t="s">
        <v>52</v>
      </c>
      <c r="M2166" s="4">
        <v>2161</v>
      </c>
    </row>
    <row r="2167" spans="1:13" x14ac:dyDescent="0.25">
      <c r="A2167" s="4" t="s">
        <v>1889</v>
      </c>
      <c r="B2167" s="4" t="s">
        <v>1890</v>
      </c>
      <c r="C2167" s="9" t="s">
        <v>50</v>
      </c>
      <c r="D2167" s="10">
        <v>48</v>
      </c>
      <c r="E2167" s="11" t="s">
        <v>51</v>
      </c>
      <c r="F2167" s="10">
        <v>4416</v>
      </c>
      <c r="G2167" s="10">
        <v>0</v>
      </c>
      <c r="H2167" s="10">
        <f t="shared" si="33"/>
        <v>4416</v>
      </c>
      <c r="I2167" s="10"/>
      <c r="J2167" s="10"/>
      <c r="K2167" s="10"/>
      <c r="L2167" s="4" t="s">
        <v>52</v>
      </c>
      <c r="M2167" s="4">
        <v>2162</v>
      </c>
    </row>
    <row r="2168" spans="1:13" x14ac:dyDescent="0.25">
      <c r="A2168" s="4" t="s">
        <v>1889</v>
      </c>
      <c r="B2168" s="4" t="s">
        <v>1891</v>
      </c>
      <c r="C2168" s="4" t="s">
        <v>68</v>
      </c>
      <c r="D2168" s="10">
        <v>312</v>
      </c>
      <c r="E2168" s="11" t="s">
        <v>51</v>
      </c>
      <c r="F2168" s="10">
        <v>4608</v>
      </c>
      <c r="G2168" s="10">
        <v>0</v>
      </c>
      <c r="H2168" s="10">
        <f t="shared" si="33"/>
        <v>4608</v>
      </c>
      <c r="I2168" s="10"/>
      <c r="J2168" s="10"/>
      <c r="K2168" s="10"/>
      <c r="L2168" s="4" t="s">
        <v>69</v>
      </c>
      <c r="M2168" s="4">
        <v>2163</v>
      </c>
    </row>
    <row r="2169" spans="1:13" x14ac:dyDescent="0.25">
      <c r="A2169" s="4" t="s">
        <v>1892</v>
      </c>
      <c r="B2169" s="4" t="s">
        <v>1881</v>
      </c>
      <c r="C2169" s="4" t="s">
        <v>68</v>
      </c>
      <c r="D2169" s="10">
        <v>56</v>
      </c>
      <c r="E2169" s="11" t="s">
        <v>51</v>
      </c>
      <c r="F2169" s="10">
        <v>4784</v>
      </c>
      <c r="G2169" s="10">
        <v>0</v>
      </c>
      <c r="H2169" s="10">
        <f t="shared" si="33"/>
        <v>4784</v>
      </c>
      <c r="I2169" s="10"/>
      <c r="J2169" s="10"/>
      <c r="K2169" s="10"/>
      <c r="L2169" s="4" t="s">
        <v>69</v>
      </c>
      <c r="M2169" s="4">
        <v>2164</v>
      </c>
    </row>
    <row r="2170" spans="1:13" x14ac:dyDescent="0.25">
      <c r="A2170" s="4" t="s">
        <v>1892</v>
      </c>
      <c r="B2170" s="4" t="s">
        <v>1874</v>
      </c>
      <c r="C2170" s="9" t="s">
        <v>50</v>
      </c>
      <c r="D2170" s="10">
        <v>68</v>
      </c>
      <c r="E2170" s="11" t="s">
        <v>51</v>
      </c>
      <c r="F2170" s="10">
        <v>5520</v>
      </c>
      <c r="G2170" s="10">
        <v>0</v>
      </c>
      <c r="H2170" s="10">
        <f t="shared" si="33"/>
        <v>5520</v>
      </c>
      <c r="I2170" s="10"/>
      <c r="J2170" s="10"/>
      <c r="K2170" s="10"/>
      <c r="L2170" s="4" t="s">
        <v>52</v>
      </c>
      <c r="M2170" s="4">
        <v>2165</v>
      </c>
    </row>
    <row r="2171" spans="1:13" x14ac:dyDescent="0.25">
      <c r="A2171" s="4" t="s">
        <v>1892</v>
      </c>
      <c r="B2171" s="4" t="s">
        <v>1873</v>
      </c>
      <c r="C2171" s="9" t="s">
        <v>50</v>
      </c>
      <c r="D2171" s="10">
        <v>48</v>
      </c>
      <c r="E2171" s="11" t="s">
        <v>51</v>
      </c>
      <c r="F2171" s="10">
        <v>4416</v>
      </c>
      <c r="G2171" s="10">
        <v>0</v>
      </c>
      <c r="H2171" s="10">
        <f t="shared" si="33"/>
        <v>4416</v>
      </c>
      <c r="I2171" s="10"/>
      <c r="J2171" s="10"/>
      <c r="K2171" s="10"/>
      <c r="L2171" s="4" t="s">
        <v>52</v>
      </c>
      <c r="M2171" s="4">
        <v>2166</v>
      </c>
    </row>
    <row r="2172" spans="1:13" x14ac:dyDescent="0.25">
      <c r="A2172" s="4" t="s">
        <v>1892</v>
      </c>
      <c r="B2172" s="4" t="s">
        <v>1876</v>
      </c>
      <c r="C2172" s="9" t="s">
        <v>50</v>
      </c>
      <c r="D2172" s="10">
        <v>8</v>
      </c>
      <c r="E2172" s="11" t="s">
        <v>51</v>
      </c>
      <c r="F2172" s="10">
        <v>368</v>
      </c>
      <c r="G2172" s="10">
        <v>0</v>
      </c>
      <c r="H2172" s="10">
        <f t="shared" si="33"/>
        <v>368</v>
      </c>
      <c r="I2172" s="10"/>
      <c r="J2172" s="10"/>
      <c r="K2172" s="10"/>
      <c r="L2172" s="4" t="s">
        <v>52</v>
      </c>
      <c r="M2172" s="4">
        <v>2167</v>
      </c>
    </row>
    <row r="2173" spans="1:13" x14ac:dyDescent="0.25">
      <c r="A2173" s="4" t="s">
        <v>1892</v>
      </c>
      <c r="B2173" s="4" t="s">
        <v>1882</v>
      </c>
      <c r="C2173" s="4" t="s">
        <v>68</v>
      </c>
      <c r="D2173" s="10">
        <v>68</v>
      </c>
      <c r="E2173" s="11" t="s">
        <v>51</v>
      </c>
      <c r="F2173" s="10">
        <v>5888</v>
      </c>
      <c r="G2173" s="10">
        <v>0</v>
      </c>
      <c r="H2173" s="10">
        <f t="shared" si="33"/>
        <v>5888</v>
      </c>
      <c r="I2173" s="10"/>
      <c r="J2173" s="10"/>
      <c r="K2173" s="10"/>
      <c r="L2173" s="4" t="s">
        <v>69</v>
      </c>
      <c r="M2173" s="4">
        <v>2168</v>
      </c>
    </row>
    <row r="2174" spans="1:13" x14ac:dyDescent="0.25">
      <c r="A2174" s="4" t="s">
        <v>1892</v>
      </c>
      <c r="B2174" s="4" t="s">
        <v>1879</v>
      </c>
      <c r="C2174" s="9" t="s">
        <v>50</v>
      </c>
      <c r="D2174" s="10">
        <v>160</v>
      </c>
      <c r="E2174" s="11" t="s">
        <v>51</v>
      </c>
      <c r="F2174" s="10">
        <v>6602.6</v>
      </c>
      <c r="G2174" s="10">
        <v>0</v>
      </c>
      <c r="H2174" s="10">
        <f t="shared" si="33"/>
        <v>6602.6</v>
      </c>
      <c r="I2174" s="10"/>
      <c r="J2174" s="10"/>
      <c r="K2174" s="10"/>
      <c r="L2174" s="4" t="s">
        <v>52</v>
      </c>
      <c r="M2174" s="4">
        <v>2169</v>
      </c>
    </row>
    <row r="2175" spans="1:13" x14ac:dyDescent="0.25">
      <c r="A2175" s="4" t="s">
        <v>1893</v>
      </c>
      <c r="B2175" s="4" t="s">
        <v>1402</v>
      </c>
      <c r="C2175" s="9" t="s">
        <v>50</v>
      </c>
      <c r="D2175" s="10">
        <v>76</v>
      </c>
      <c r="E2175" s="11" t="s">
        <v>51</v>
      </c>
      <c r="F2175" s="10">
        <v>8150</v>
      </c>
      <c r="G2175" s="10">
        <v>0</v>
      </c>
      <c r="H2175" s="10">
        <f t="shared" si="33"/>
        <v>8150</v>
      </c>
      <c r="I2175" s="10"/>
      <c r="J2175" s="10"/>
      <c r="K2175" s="10"/>
      <c r="L2175" s="4" t="s">
        <v>52</v>
      </c>
      <c r="M2175" s="4">
        <v>2170</v>
      </c>
    </row>
    <row r="2176" spans="1:13" x14ac:dyDescent="0.25">
      <c r="A2176" s="4" t="s">
        <v>1893</v>
      </c>
      <c r="B2176" s="4" t="s">
        <v>1720</v>
      </c>
      <c r="C2176" s="9" t="s">
        <v>50</v>
      </c>
      <c r="D2176" s="10">
        <v>180</v>
      </c>
      <c r="E2176" s="11" t="s">
        <v>51</v>
      </c>
      <c r="F2176" s="10">
        <v>1350</v>
      </c>
      <c r="G2176" s="10">
        <v>0</v>
      </c>
      <c r="H2176" s="10">
        <f t="shared" si="33"/>
        <v>1350</v>
      </c>
      <c r="I2176" s="10"/>
      <c r="J2176" s="10"/>
      <c r="K2176" s="10"/>
      <c r="L2176" s="4" t="s">
        <v>52</v>
      </c>
      <c r="M2176" s="4">
        <v>2171</v>
      </c>
    </row>
    <row r="2177" spans="1:13" x14ac:dyDescent="0.25">
      <c r="A2177" s="4" t="s">
        <v>1894</v>
      </c>
      <c r="B2177" s="4" t="s">
        <v>1895</v>
      </c>
      <c r="C2177" s="9" t="s">
        <v>50</v>
      </c>
      <c r="D2177" s="10">
        <v>48</v>
      </c>
      <c r="E2177" s="11" t="s">
        <v>51</v>
      </c>
      <c r="F2177" s="10">
        <v>4416</v>
      </c>
      <c r="G2177" s="10">
        <v>0</v>
      </c>
      <c r="H2177" s="10">
        <f t="shared" si="33"/>
        <v>4416</v>
      </c>
      <c r="I2177" s="10"/>
      <c r="J2177" s="10"/>
      <c r="K2177" s="10"/>
      <c r="L2177" s="4" t="s">
        <v>52</v>
      </c>
      <c r="M2177" s="4">
        <v>2172</v>
      </c>
    </row>
    <row r="2178" spans="1:13" x14ac:dyDescent="0.25">
      <c r="A2178" s="4" t="s">
        <v>1894</v>
      </c>
      <c r="B2178" s="4" t="s">
        <v>1874</v>
      </c>
      <c r="C2178" s="9" t="s">
        <v>50</v>
      </c>
      <c r="D2178" s="10">
        <v>40</v>
      </c>
      <c r="E2178" s="11" t="s">
        <v>51</v>
      </c>
      <c r="F2178" s="10">
        <v>4409.8</v>
      </c>
      <c r="G2178" s="10">
        <v>0</v>
      </c>
      <c r="H2178" s="10">
        <f t="shared" si="33"/>
        <v>4409.8</v>
      </c>
      <c r="I2178" s="10"/>
      <c r="J2178" s="10"/>
      <c r="K2178" s="10"/>
      <c r="L2178" s="4" t="s">
        <v>52</v>
      </c>
      <c r="M2178" s="4">
        <v>2173</v>
      </c>
    </row>
    <row r="2179" spans="1:13" x14ac:dyDescent="0.25">
      <c r="A2179" s="4" t="s">
        <v>1894</v>
      </c>
      <c r="B2179" s="4" t="s">
        <v>1881</v>
      </c>
      <c r="C2179" s="4" t="s">
        <v>68</v>
      </c>
      <c r="D2179" s="10">
        <v>24</v>
      </c>
      <c r="E2179" s="11" t="s">
        <v>51</v>
      </c>
      <c r="F2179" s="10">
        <v>2208</v>
      </c>
      <c r="G2179" s="10">
        <v>0</v>
      </c>
      <c r="H2179" s="10">
        <f t="shared" si="33"/>
        <v>2208</v>
      </c>
      <c r="I2179" s="10"/>
      <c r="J2179" s="10"/>
      <c r="K2179" s="10"/>
      <c r="L2179" s="4" t="s">
        <v>69</v>
      </c>
      <c r="M2179" s="4">
        <v>2174</v>
      </c>
    </row>
    <row r="2180" spans="1:13" x14ac:dyDescent="0.25">
      <c r="A2180" s="4" t="s">
        <v>1894</v>
      </c>
      <c r="B2180" s="4" t="s">
        <v>1882</v>
      </c>
      <c r="C2180" s="4" t="s">
        <v>68</v>
      </c>
      <c r="D2180" s="10">
        <v>24</v>
      </c>
      <c r="E2180" s="11" t="s">
        <v>51</v>
      </c>
      <c r="F2180" s="10">
        <v>2208</v>
      </c>
      <c r="G2180" s="10">
        <v>0</v>
      </c>
      <c r="H2180" s="10">
        <f t="shared" si="33"/>
        <v>2208</v>
      </c>
      <c r="I2180" s="10"/>
      <c r="J2180" s="10"/>
      <c r="K2180" s="10"/>
      <c r="L2180" s="4" t="s">
        <v>69</v>
      </c>
      <c r="M2180" s="4">
        <v>2175</v>
      </c>
    </row>
    <row r="2181" spans="1:13" x14ac:dyDescent="0.25">
      <c r="A2181" s="4" t="s">
        <v>1894</v>
      </c>
      <c r="B2181" s="4" t="s">
        <v>1896</v>
      </c>
      <c r="C2181" s="4" t="s">
        <v>68</v>
      </c>
      <c r="D2181" s="10">
        <v>16</v>
      </c>
      <c r="E2181" s="11" t="s">
        <v>51</v>
      </c>
      <c r="F2181" s="10">
        <v>2568</v>
      </c>
      <c r="G2181" s="10">
        <v>0</v>
      </c>
      <c r="H2181" s="10">
        <f t="shared" si="33"/>
        <v>2568</v>
      </c>
      <c r="I2181" s="10"/>
      <c r="J2181" s="10"/>
      <c r="K2181" s="10"/>
      <c r="L2181" s="4" t="s">
        <v>69</v>
      </c>
      <c r="M2181" s="4">
        <v>2176</v>
      </c>
    </row>
    <row r="2182" spans="1:13" x14ac:dyDescent="0.25">
      <c r="A2182" s="4" t="s">
        <v>1897</v>
      </c>
      <c r="B2182" s="4" t="s">
        <v>1898</v>
      </c>
      <c r="C2182" s="4" t="s">
        <v>68</v>
      </c>
      <c r="D2182" s="10">
        <v>32</v>
      </c>
      <c r="E2182" s="11" t="s">
        <v>51</v>
      </c>
      <c r="F2182" s="10">
        <v>1552</v>
      </c>
      <c r="G2182" s="10">
        <v>0</v>
      </c>
      <c r="H2182" s="10">
        <f t="shared" ref="H2182:H2245" si="34">F2182-G2182</f>
        <v>1552</v>
      </c>
      <c r="I2182" s="10"/>
      <c r="J2182" s="10"/>
      <c r="K2182" s="10"/>
      <c r="L2182" s="4" t="s">
        <v>69</v>
      </c>
      <c r="M2182" s="4">
        <v>2177</v>
      </c>
    </row>
    <row r="2183" spans="1:13" x14ac:dyDescent="0.25">
      <c r="A2183" s="4" t="s">
        <v>1899</v>
      </c>
      <c r="B2183" s="4" t="s">
        <v>1900</v>
      </c>
      <c r="C2183" s="4" t="s">
        <v>68</v>
      </c>
      <c r="D2183" s="10">
        <v>174</v>
      </c>
      <c r="E2183" s="11" t="s">
        <v>51</v>
      </c>
      <c r="F2183" s="10">
        <v>1120</v>
      </c>
      <c r="G2183" s="10">
        <v>0</v>
      </c>
      <c r="H2183" s="10">
        <f t="shared" si="34"/>
        <v>1120</v>
      </c>
      <c r="I2183" s="10"/>
      <c r="J2183" s="10"/>
      <c r="K2183" s="10"/>
      <c r="L2183" s="4" t="s">
        <v>69</v>
      </c>
      <c r="M2183" s="4">
        <v>2178</v>
      </c>
    </row>
    <row r="2184" spans="1:13" x14ac:dyDescent="0.25">
      <c r="A2184" s="4" t="s">
        <v>1901</v>
      </c>
      <c r="B2184" s="4" t="s">
        <v>1895</v>
      </c>
      <c r="C2184" s="9" t="s">
        <v>50</v>
      </c>
      <c r="D2184" s="10">
        <v>40</v>
      </c>
      <c r="E2184" s="11" t="s">
        <v>51</v>
      </c>
      <c r="F2184" s="10">
        <v>3680</v>
      </c>
      <c r="G2184" s="10">
        <v>0</v>
      </c>
      <c r="H2184" s="10">
        <f t="shared" si="34"/>
        <v>3680</v>
      </c>
      <c r="I2184" s="10"/>
      <c r="J2184" s="10"/>
      <c r="K2184" s="10"/>
      <c r="L2184" s="4" t="s">
        <v>52</v>
      </c>
      <c r="M2184" s="4">
        <v>2179</v>
      </c>
    </row>
    <row r="2185" spans="1:13" x14ac:dyDescent="0.25">
      <c r="A2185" s="4" t="s">
        <v>1901</v>
      </c>
      <c r="B2185" s="4" t="s">
        <v>1874</v>
      </c>
      <c r="C2185" s="9" t="s">
        <v>50</v>
      </c>
      <c r="D2185" s="10">
        <v>40</v>
      </c>
      <c r="E2185" s="11" t="s">
        <v>51</v>
      </c>
      <c r="F2185" s="10">
        <v>2944</v>
      </c>
      <c r="G2185" s="10">
        <v>0</v>
      </c>
      <c r="H2185" s="10">
        <f t="shared" si="34"/>
        <v>2944</v>
      </c>
      <c r="I2185" s="10"/>
      <c r="J2185" s="10"/>
      <c r="K2185" s="10"/>
      <c r="L2185" s="4" t="s">
        <v>52</v>
      </c>
      <c r="M2185" s="4">
        <v>2180</v>
      </c>
    </row>
    <row r="2186" spans="1:13" x14ac:dyDescent="0.25">
      <c r="A2186" s="4" t="s">
        <v>1901</v>
      </c>
      <c r="B2186" s="4" t="s">
        <v>1875</v>
      </c>
      <c r="C2186" s="9" t="s">
        <v>50</v>
      </c>
      <c r="D2186" s="10">
        <v>32</v>
      </c>
      <c r="E2186" s="11" t="s">
        <v>51</v>
      </c>
      <c r="F2186" s="10">
        <v>2576</v>
      </c>
      <c r="G2186" s="10">
        <v>0</v>
      </c>
      <c r="H2186" s="10">
        <f t="shared" si="34"/>
        <v>2576</v>
      </c>
      <c r="I2186" s="10"/>
      <c r="J2186" s="10"/>
      <c r="K2186" s="10"/>
      <c r="L2186" s="4" t="s">
        <v>52</v>
      </c>
      <c r="M2186" s="4">
        <v>2181</v>
      </c>
    </row>
    <row r="2187" spans="1:13" x14ac:dyDescent="0.25">
      <c r="A2187" s="4" t="s">
        <v>1901</v>
      </c>
      <c r="B2187" s="4" t="s">
        <v>1876</v>
      </c>
      <c r="C2187" s="9" t="s">
        <v>50</v>
      </c>
      <c r="D2187" s="10">
        <v>8</v>
      </c>
      <c r="E2187" s="11" t="s">
        <v>51</v>
      </c>
      <c r="F2187" s="10">
        <v>368</v>
      </c>
      <c r="G2187" s="10">
        <v>0</v>
      </c>
      <c r="H2187" s="10">
        <f t="shared" si="34"/>
        <v>368</v>
      </c>
      <c r="I2187" s="10"/>
      <c r="J2187" s="10"/>
      <c r="K2187" s="10"/>
      <c r="L2187" s="4" t="s">
        <v>52</v>
      </c>
      <c r="M2187" s="4">
        <v>2182</v>
      </c>
    </row>
    <row r="2188" spans="1:13" x14ac:dyDescent="0.25">
      <c r="A2188" s="4" t="s">
        <v>1901</v>
      </c>
      <c r="B2188" s="4" t="s">
        <v>1877</v>
      </c>
      <c r="C2188" s="9" t="s">
        <v>50</v>
      </c>
      <c r="D2188" s="10">
        <v>28</v>
      </c>
      <c r="E2188" s="11" t="s">
        <v>51</v>
      </c>
      <c r="F2188" s="10">
        <v>2392</v>
      </c>
      <c r="G2188" s="10">
        <v>0</v>
      </c>
      <c r="H2188" s="10">
        <f t="shared" si="34"/>
        <v>2392</v>
      </c>
      <c r="I2188" s="10"/>
      <c r="J2188" s="10"/>
      <c r="K2188" s="10"/>
      <c r="L2188" s="4" t="s">
        <v>52</v>
      </c>
      <c r="M2188" s="4">
        <v>2183</v>
      </c>
    </row>
    <row r="2189" spans="1:13" x14ac:dyDescent="0.25">
      <c r="A2189" s="4" t="s">
        <v>1901</v>
      </c>
      <c r="B2189" s="4" t="s">
        <v>1896</v>
      </c>
      <c r="C2189" s="4" t="s">
        <v>68</v>
      </c>
      <c r="D2189" s="10">
        <v>172</v>
      </c>
      <c r="E2189" s="11" t="s">
        <v>51</v>
      </c>
      <c r="F2189" s="10">
        <v>2500</v>
      </c>
      <c r="G2189" s="10">
        <v>0</v>
      </c>
      <c r="H2189" s="10">
        <f t="shared" si="34"/>
        <v>2500</v>
      </c>
      <c r="I2189" s="10"/>
      <c r="J2189" s="10"/>
      <c r="K2189" s="10"/>
      <c r="L2189" s="4" t="s">
        <v>69</v>
      </c>
      <c r="M2189" s="4">
        <v>2184</v>
      </c>
    </row>
    <row r="2190" spans="1:13" x14ac:dyDescent="0.25">
      <c r="A2190" s="4" t="s">
        <v>1902</v>
      </c>
      <c r="B2190" s="4" t="s">
        <v>1895</v>
      </c>
      <c r="C2190" s="9" t="s">
        <v>50</v>
      </c>
      <c r="D2190" s="10">
        <v>58</v>
      </c>
      <c r="E2190" s="11" t="s">
        <v>51</v>
      </c>
      <c r="F2190" s="10">
        <v>5336</v>
      </c>
      <c r="G2190" s="10">
        <v>0</v>
      </c>
      <c r="H2190" s="10">
        <f t="shared" si="34"/>
        <v>5336</v>
      </c>
      <c r="I2190" s="10"/>
      <c r="J2190" s="10"/>
      <c r="K2190" s="10"/>
      <c r="L2190" s="4" t="s">
        <v>52</v>
      </c>
      <c r="M2190" s="4">
        <v>2185</v>
      </c>
    </row>
    <row r="2191" spans="1:13" x14ac:dyDescent="0.25">
      <c r="A2191" s="4" t="s">
        <v>1902</v>
      </c>
      <c r="B2191" s="4" t="s">
        <v>1874</v>
      </c>
      <c r="C2191" s="9" t="s">
        <v>50</v>
      </c>
      <c r="D2191" s="10">
        <v>20</v>
      </c>
      <c r="E2191" s="11" t="s">
        <v>51</v>
      </c>
      <c r="F2191" s="10">
        <v>2296.3000000000002</v>
      </c>
      <c r="G2191" s="10">
        <v>0</v>
      </c>
      <c r="H2191" s="10">
        <f t="shared" si="34"/>
        <v>2296.3000000000002</v>
      </c>
      <c r="I2191" s="10"/>
      <c r="J2191" s="10"/>
      <c r="K2191" s="10"/>
      <c r="L2191" s="4" t="s">
        <v>52</v>
      </c>
      <c r="M2191" s="4">
        <v>2186</v>
      </c>
    </row>
    <row r="2192" spans="1:13" x14ac:dyDescent="0.25">
      <c r="A2192" s="4" t="s">
        <v>1902</v>
      </c>
      <c r="B2192" s="4" t="s">
        <v>1881</v>
      </c>
      <c r="C2192" s="4" t="s">
        <v>68</v>
      </c>
      <c r="D2192" s="10">
        <v>20</v>
      </c>
      <c r="E2192" s="11" t="s">
        <v>51</v>
      </c>
      <c r="F2192" s="10">
        <v>1840</v>
      </c>
      <c r="G2192" s="10">
        <v>0</v>
      </c>
      <c r="H2192" s="10">
        <f t="shared" si="34"/>
        <v>1840</v>
      </c>
      <c r="I2192" s="10"/>
      <c r="J2192" s="10"/>
      <c r="K2192" s="10"/>
      <c r="L2192" s="4" t="s">
        <v>69</v>
      </c>
      <c r="M2192" s="4">
        <v>2187</v>
      </c>
    </row>
    <row r="2193" spans="1:13" x14ac:dyDescent="0.25">
      <c r="A2193" s="4" t="s">
        <v>1902</v>
      </c>
      <c r="B2193" s="4" t="s">
        <v>1882</v>
      </c>
      <c r="C2193" s="4" t="s">
        <v>68</v>
      </c>
      <c r="D2193" s="10">
        <v>24</v>
      </c>
      <c r="E2193" s="11" t="s">
        <v>51</v>
      </c>
      <c r="F2193" s="10">
        <v>2208</v>
      </c>
      <c r="G2193" s="10">
        <v>0</v>
      </c>
      <c r="H2193" s="10">
        <f t="shared" si="34"/>
        <v>2208</v>
      </c>
      <c r="I2193" s="10"/>
      <c r="J2193" s="10"/>
      <c r="K2193" s="10"/>
      <c r="L2193" s="4" t="s">
        <v>69</v>
      </c>
      <c r="M2193" s="4">
        <v>2188</v>
      </c>
    </row>
    <row r="2194" spans="1:13" x14ac:dyDescent="0.25">
      <c r="A2194" s="4" t="s">
        <v>1903</v>
      </c>
      <c r="B2194" s="4" t="s">
        <v>248</v>
      </c>
      <c r="C2194" s="4" t="s">
        <v>68</v>
      </c>
      <c r="D2194" s="10">
        <v>210</v>
      </c>
      <c r="E2194" s="11" t="s">
        <v>51</v>
      </c>
      <c r="F2194" s="10">
        <v>2000</v>
      </c>
      <c r="G2194" s="10">
        <v>0</v>
      </c>
      <c r="H2194" s="10">
        <f t="shared" si="34"/>
        <v>2000</v>
      </c>
      <c r="I2194" s="10"/>
      <c r="J2194" s="10"/>
      <c r="K2194" s="10"/>
      <c r="L2194" s="4" t="s">
        <v>69</v>
      </c>
      <c r="M2194" s="4">
        <v>2189</v>
      </c>
    </row>
    <row r="2195" spans="1:13" x14ac:dyDescent="0.25">
      <c r="A2195" s="4" t="s">
        <v>1904</v>
      </c>
      <c r="B2195" s="4" t="s">
        <v>1895</v>
      </c>
      <c r="C2195" s="9" t="s">
        <v>50</v>
      </c>
      <c r="D2195" s="10">
        <v>54</v>
      </c>
      <c r="E2195" s="11" t="s">
        <v>51</v>
      </c>
      <c r="F2195" s="10">
        <v>4968</v>
      </c>
      <c r="G2195" s="10">
        <v>0</v>
      </c>
      <c r="H2195" s="10">
        <f t="shared" si="34"/>
        <v>4968</v>
      </c>
      <c r="I2195" s="10"/>
      <c r="J2195" s="10"/>
      <c r="K2195" s="10"/>
      <c r="L2195" s="4" t="s">
        <v>52</v>
      </c>
      <c r="M2195" s="4">
        <v>2190</v>
      </c>
    </row>
    <row r="2196" spans="1:13" x14ac:dyDescent="0.25">
      <c r="A2196" s="4" t="s">
        <v>1904</v>
      </c>
      <c r="B2196" s="4" t="s">
        <v>1874</v>
      </c>
      <c r="C2196" s="9" t="s">
        <v>50</v>
      </c>
      <c r="D2196" s="10">
        <v>24</v>
      </c>
      <c r="E2196" s="11" t="s">
        <v>51</v>
      </c>
      <c r="F2196" s="10">
        <v>2484</v>
      </c>
      <c r="G2196" s="10">
        <v>0</v>
      </c>
      <c r="H2196" s="10">
        <f t="shared" si="34"/>
        <v>2484</v>
      </c>
      <c r="I2196" s="10"/>
      <c r="J2196" s="10"/>
      <c r="K2196" s="10"/>
      <c r="L2196" s="4" t="s">
        <v>52</v>
      </c>
      <c r="M2196" s="4">
        <v>2191</v>
      </c>
    </row>
    <row r="2197" spans="1:13" x14ac:dyDescent="0.25">
      <c r="A2197" s="4" t="s">
        <v>1904</v>
      </c>
      <c r="B2197" s="4" t="s">
        <v>1881</v>
      </c>
      <c r="C2197" s="4" t="s">
        <v>68</v>
      </c>
      <c r="D2197" s="10">
        <v>44</v>
      </c>
      <c r="E2197" s="11" t="s">
        <v>51</v>
      </c>
      <c r="F2197" s="10">
        <v>4048</v>
      </c>
      <c r="G2197" s="10">
        <v>0</v>
      </c>
      <c r="H2197" s="10">
        <f t="shared" si="34"/>
        <v>4048</v>
      </c>
      <c r="I2197" s="10"/>
      <c r="J2197" s="10"/>
      <c r="K2197" s="10"/>
      <c r="L2197" s="4" t="s">
        <v>69</v>
      </c>
      <c r="M2197" s="4">
        <v>2192</v>
      </c>
    </row>
    <row r="2198" spans="1:13" x14ac:dyDescent="0.25">
      <c r="A2198" s="4" t="s">
        <v>1904</v>
      </c>
      <c r="B2198" s="4" t="s">
        <v>1882</v>
      </c>
      <c r="C2198" s="4" t="s">
        <v>68</v>
      </c>
      <c r="D2198" s="10">
        <v>44</v>
      </c>
      <c r="E2198" s="11" t="s">
        <v>51</v>
      </c>
      <c r="F2198" s="10">
        <v>4048</v>
      </c>
      <c r="G2198" s="10">
        <v>0</v>
      </c>
      <c r="H2198" s="10">
        <f t="shared" si="34"/>
        <v>4048</v>
      </c>
      <c r="I2198" s="10"/>
      <c r="J2198" s="10"/>
      <c r="K2198" s="10"/>
      <c r="L2198" s="4" t="s">
        <v>69</v>
      </c>
      <c r="M2198" s="4">
        <v>2193</v>
      </c>
    </row>
    <row r="2199" spans="1:13" x14ac:dyDescent="0.25">
      <c r="A2199" s="4" t="s">
        <v>1904</v>
      </c>
      <c r="B2199" s="4" t="s">
        <v>425</v>
      </c>
      <c r="C2199" s="4" t="s">
        <v>68</v>
      </c>
      <c r="D2199" s="10">
        <v>120</v>
      </c>
      <c r="E2199" s="11" t="s">
        <v>51</v>
      </c>
      <c r="F2199" s="10">
        <v>4224</v>
      </c>
      <c r="G2199" s="10">
        <v>0</v>
      </c>
      <c r="H2199" s="10">
        <f t="shared" si="34"/>
        <v>4224</v>
      </c>
      <c r="I2199" s="10"/>
      <c r="J2199" s="10"/>
      <c r="K2199" s="10"/>
      <c r="L2199" s="4" t="s">
        <v>69</v>
      </c>
      <c r="M2199" s="4">
        <v>2194</v>
      </c>
    </row>
    <row r="2200" spans="1:13" x14ac:dyDescent="0.25">
      <c r="A2200" s="4" t="s">
        <v>1905</v>
      </c>
      <c r="B2200" s="4" t="s">
        <v>1895</v>
      </c>
      <c r="C2200" s="9" t="s">
        <v>50</v>
      </c>
      <c r="D2200" s="10">
        <v>24</v>
      </c>
      <c r="E2200" s="11" t="s">
        <v>51</v>
      </c>
      <c r="F2200" s="10">
        <v>2208</v>
      </c>
      <c r="G2200" s="10">
        <v>0</v>
      </c>
      <c r="H2200" s="10">
        <f t="shared" si="34"/>
        <v>2208</v>
      </c>
      <c r="I2200" s="10"/>
      <c r="J2200" s="10"/>
      <c r="K2200" s="10"/>
      <c r="L2200" s="4" t="s">
        <v>52</v>
      </c>
      <c r="M2200" s="4">
        <v>2195</v>
      </c>
    </row>
    <row r="2201" spans="1:13" x14ac:dyDescent="0.25">
      <c r="A2201" s="4" t="s">
        <v>1905</v>
      </c>
      <c r="B2201" s="4" t="s">
        <v>1874</v>
      </c>
      <c r="C2201" s="9" t="s">
        <v>50</v>
      </c>
      <c r="D2201" s="10">
        <v>20</v>
      </c>
      <c r="E2201" s="11" t="s">
        <v>51</v>
      </c>
      <c r="F2201" s="10">
        <v>2058.6</v>
      </c>
      <c r="G2201" s="10">
        <v>0</v>
      </c>
      <c r="H2201" s="10">
        <f t="shared" si="34"/>
        <v>2058.6</v>
      </c>
      <c r="I2201" s="10"/>
      <c r="J2201" s="10"/>
      <c r="K2201" s="10"/>
      <c r="L2201" s="4" t="s">
        <v>52</v>
      </c>
      <c r="M2201" s="4">
        <v>2196</v>
      </c>
    </row>
    <row r="2202" spans="1:13" x14ac:dyDescent="0.25">
      <c r="A2202" s="4" t="s">
        <v>1905</v>
      </c>
      <c r="B2202" s="4" t="s">
        <v>1881</v>
      </c>
      <c r="C2202" s="4" t="s">
        <v>68</v>
      </c>
      <c r="D2202" s="10">
        <v>20</v>
      </c>
      <c r="E2202" s="11" t="s">
        <v>51</v>
      </c>
      <c r="F2202" s="10">
        <v>1840</v>
      </c>
      <c r="G2202" s="10">
        <v>0</v>
      </c>
      <c r="H2202" s="10">
        <f t="shared" si="34"/>
        <v>1840</v>
      </c>
      <c r="I2202" s="10"/>
      <c r="J2202" s="10"/>
      <c r="K2202" s="10"/>
      <c r="L2202" s="4" t="s">
        <v>69</v>
      </c>
      <c r="M2202" s="4">
        <v>2197</v>
      </c>
    </row>
    <row r="2203" spans="1:13" x14ac:dyDescent="0.25">
      <c r="A2203" s="4" t="s">
        <v>1905</v>
      </c>
      <c r="B2203" s="4" t="s">
        <v>1882</v>
      </c>
      <c r="C2203" s="4" t="s">
        <v>68</v>
      </c>
      <c r="D2203" s="10">
        <v>28</v>
      </c>
      <c r="E2203" s="11" t="s">
        <v>51</v>
      </c>
      <c r="F2203" s="10">
        <v>2576</v>
      </c>
      <c r="G2203" s="10">
        <v>0</v>
      </c>
      <c r="H2203" s="10">
        <f t="shared" si="34"/>
        <v>2576</v>
      </c>
      <c r="I2203" s="10"/>
      <c r="J2203" s="10"/>
      <c r="K2203" s="10"/>
      <c r="L2203" s="4" t="s">
        <v>69</v>
      </c>
      <c r="M2203" s="4">
        <v>2198</v>
      </c>
    </row>
    <row r="2204" spans="1:13" x14ac:dyDescent="0.25">
      <c r="A2204" s="4" t="s">
        <v>1905</v>
      </c>
      <c r="B2204" s="4" t="s">
        <v>1857</v>
      </c>
      <c r="C2204" s="4" t="s">
        <v>68</v>
      </c>
      <c r="D2204" s="10">
        <v>182</v>
      </c>
      <c r="E2204" s="11" t="s">
        <v>51</v>
      </c>
      <c r="F2204" s="10">
        <v>2688</v>
      </c>
      <c r="G2204" s="10">
        <v>0</v>
      </c>
      <c r="H2204" s="10">
        <f t="shared" si="34"/>
        <v>2688</v>
      </c>
      <c r="I2204" s="10"/>
      <c r="J2204" s="10"/>
      <c r="K2204" s="10"/>
      <c r="L2204" s="4" t="s">
        <v>69</v>
      </c>
      <c r="M2204" s="4">
        <v>2199</v>
      </c>
    </row>
    <row r="2205" spans="1:13" x14ac:dyDescent="0.25">
      <c r="A2205" s="4" t="s">
        <v>1906</v>
      </c>
      <c r="B2205" s="4" t="s">
        <v>1881</v>
      </c>
      <c r="C2205" s="4" t="s">
        <v>68</v>
      </c>
      <c r="D2205" s="10">
        <v>28</v>
      </c>
      <c r="E2205" s="11" t="s">
        <v>51</v>
      </c>
      <c r="F2205" s="10">
        <v>2576</v>
      </c>
      <c r="G2205" s="10">
        <v>0</v>
      </c>
      <c r="H2205" s="10">
        <f t="shared" si="34"/>
        <v>2576</v>
      </c>
      <c r="I2205" s="10"/>
      <c r="J2205" s="10"/>
      <c r="K2205" s="10"/>
      <c r="L2205" s="4" t="s">
        <v>69</v>
      </c>
      <c r="M2205" s="4">
        <v>2200</v>
      </c>
    </row>
    <row r="2206" spans="1:13" x14ac:dyDescent="0.25">
      <c r="A2206" s="4" t="s">
        <v>1906</v>
      </c>
      <c r="B2206" s="4" t="s">
        <v>1874</v>
      </c>
      <c r="C2206" s="9" t="s">
        <v>50</v>
      </c>
      <c r="D2206" s="10">
        <v>28</v>
      </c>
      <c r="E2206" s="11" t="s">
        <v>51</v>
      </c>
      <c r="F2206" s="10">
        <v>2728.2</v>
      </c>
      <c r="G2206" s="10">
        <v>0</v>
      </c>
      <c r="H2206" s="10">
        <f t="shared" si="34"/>
        <v>2728.2</v>
      </c>
      <c r="I2206" s="10"/>
      <c r="J2206" s="10"/>
      <c r="K2206" s="10"/>
      <c r="L2206" s="4" t="s">
        <v>52</v>
      </c>
      <c r="M2206" s="4">
        <v>2201</v>
      </c>
    </row>
    <row r="2207" spans="1:13" x14ac:dyDescent="0.25">
      <c r="A2207" s="4" t="s">
        <v>1906</v>
      </c>
      <c r="B2207" s="4" t="s">
        <v>1873</v>
      </c>
      <c r="C2207" s="9" t="s">
        <v>50</v>
      </c>
      <c r="D2207" s="10">
        <v>54</v>
      </c>
      <c r="E2207" s="11" t="s">
        <v>51</v>
      </c>
      <c r="F2207" s="10">
        <v>4968</v>
      </c>
      <c r="G2207" s="10">
        <v>0</v>
      </c>
      <c r="H2207" s="10">
        <f t="shared" si="34"/>
        <v>4968</v>
      </c>
      <c r="I2207" s="10"/>
      <c r="J2207" s="10"/>
      <c r="K2207" s="10"/>
      <c r="L2207" s="4" t="s">
        <v>52</v>
      </c>
      <c r="M2207" s="4">
        <v>2202</v>
      </c>
    </row>
    <row r="2208" spans="1:13" x14ac:dyDescent="0.25">
      <c r="A2208" s="4" t="s">
        <v>1906</v>
      </c>
      <c r="B2208" s="4" t="s">
        <v>1882</v>
      </c>
      <c r="C2208" s="4" t="s">
        <v>68</v>
      </c>
      <c r="D2208" s="10">
        <v>36</v>
      </c>
      <c r="E2208" s="11" t="s">
        <v>51</v>
      </c>
      <c r="F2208" s="10">
        <v>3312</v>
      </c>
      <c r="G2208" s="10">
        <v>0</v>
      </c>
      <c r="H2208" s="10">
        <f t="shared" si="34"/>
        <v>3312</v>
      </c>
      <c r="I2208" s="10"/>
      <c r="J2208" s="10"/>
      <c r="K2208" s="10"/>
      <c r="L2208" s="4" t="s">
        <v>69</v>
      </c>
      <c r="M2208" s="4">
        <v>2203</v>
      </c>
    </row>
    <row r="2209" spans="1:13" x14ac:dyDescent="0.25">
      <c r="A2209" s="4" t="s">
        <v>1906</v>
      </c>
      <c r="B2209" s="4" t="s">
        <v>1896</v>
      </c>
      <c r="C2209" s="4" t="s">
        <v>68</v>
      </c>
      <c r="D2209" s="10">
        <v>120</v>
      </c>
      <c r="E2209" s="11" t="s">
        <v>51</v>
      </c>
      <c r="F2209" s="10">
        <v>3456</v>
      </c>
      <c r="G2209" s="10">
        <v>0</v>
      </c>
      <c r="H2209" s="10">
        <f t="shared" si="34"/>
        <v>3456</v>
      </c>
      <c r="I2209" s="10"/>
      <c r="J2209" s="10"/>
      <c r="K2209" s="10"/>
      <c r="L2209" s="4" t="s">
        <v>69</v>
      </c>
      <c r="M2209" s="4">
        <v>2204</v>
      </c>
    </row>
    <row r="2210" spans="1:13" x14ac:dyDescent="0.25">
      <c r="A2210" s="4" t="s">
        <v>1907</v>
      </c>
      <c r="B2210" s="4" t="s">
        <v>1881</v>
      </c>
      <c r="C2210" s="4" t="s">
        <v>68</v>
      </c>
      <c r="D2210" s="10">
        <v>20</v>
      </c>
      <c r="E2210" s="11" t="s">
        <v>51</v>
      </c>
      <c r="F2210" s="10">
        <v>1840</v>
      </c>
      <c r="G2210" s="10">
        <v>0</v>
      </c>
      <c r="H2210" s="10">
        <f t="shared" si="34"/>
        <v>1840</v>
      </c>
      <c r="I2210" s="10"/>
      <c r="J2210" s="10"/>
      <c r="K2210" s="10"/>
      <c r="L2210" s="4" t="s">
        <v>69</v>
      </c>
      <c r="M2210" s="4">
        <v>2205</v>
      </c>
    </row>
    <row r="2211" spans="1:13" x14ac:dyDescent="0.25">
      <c r="A2211" s="4" t="s">
        <v>1907</v>
      </c>
      <c r="B2211" s="4" t="s">
        <v>1874</v>
      </c>
      <c r="C2211" s="9" t="s">
        <v>50</v>
      </c>
      <c r="D2211" s="10">
        <v>20</v>
      </c>
      <c r="E2211" s="11" t="s">
        <v>51</v>
      </c>
      <c r="F2211" s="10">
        <v>2000.3</v>
      </c>
      <c r="G2211" s="10">
        <v>0</v>
      </c>
      <c r="H2211" s="10">
        <f t="shared" si="34"/>
        <v>2000.3</v>
      </c>
      <c r="I2211" s="10"/>
      <c r="J2211" s="10"/>
      <c r="K2211" s="10"/>
      <c r="L2211" s="4" t="s">
        <v>52</v>
      </c>
      <c r="M2211" s="4">
        <v>2206</v>
      </c>
    </row>
    <row r="2212" spans="1:13" x14ac:dyDescent="0.25">
      <c r="A2212" s="4" t="s">
        <v>1907</v>
      </c>
      <c r="B2212" s="4" t="s">
        <v>1873</v>
      </c>
      <c r="C2212" s="9" t="s">
        <v>50</v>
      </c>
      <c r="D2212" s="10">
        <v>24</v>
      </c>
      <c r="E2212" s="11" t="s">
        <v>51</v>
      </c>
      <c r="F2212" s="10">
        <v>2208</v>
      </c>
      <c r="G2212" s="10">
        <v>0</v>
      </c>
      <c r="H2212" s="10">
        <f t="shared" si="34"/>
        <v>2208</v>
      </c>
      <c r="I2212" s="10"/>
      <c r="J2212" s="10"/>
      <c r="K2212" s="10"/>
      <c r="L2212" s="4" t="s">
        <v>52</v>
      </c>
      <c r="M2212" s="4">
        <v>2207</v>
      </c>
    </row>
    <row r="2213" spans="1:13" x14ac:dyDescent="0.25">
      <c r="A2213" s="4" t="s">
        <v>1907</v>
      </c>
      <c r="B2213" s="4" t="s">
        <v>1882</v>
      </c>
      <c r="C2213" s="4" t="s">
        <v>68</v>
      </c>
      <c r="D2213" s="10">
        <v>28</v>
      </c>
      <c r="E2213" s="11" t="s">
        <v>51</v>
      </c>
      <c r="F2213" s="10">
        <v>2576</v>
      </c>
      <c r="G2213" s="10">
        <v>0</v>
      </c>
      <c r="H2213" s="10">
        <f t="shared" si="34"/>
        <v>2576</v>
      </c>
      <c r="I2213" s="10"/>
      <c r="J2213" s="10"/>
      <c r="K2213" s="10"/>
      <c r="L2213" s="4" t="s">
        <v>69</v>
      </c>
      <c r="M2213" s="4">
        <v>2208</v>
      </c>
    </row>
    <row r="2214" spans="1:13" x14ac:dyDescent="0.25">
      <c r="A2214" s="4" t="s">
        <v>1907</v>
      </c>
      <c r="B2214" s="4" t="s">
        <v>1896</v>
      </c>
      <c r="C2214" s="4" t="s">
        <v>68</v>
      </c>
      <c r="D2214" s="10">
        <v>128</v>
      </c>
      <c r="E2214" s="11" t="s">
        <v>51</v>
      </c>
      <c r="F2214" s="10">
        <v>2688</v>
      </c>
      <c r="G2214" s="10">
        <v>0</v>
      </c>
      <c r="H2214" s="10">
        <f t="shared" si="34"/>
        <v>2688</v>
      </c>
      <c r="I2214" s="10"/>
      <c r="J2214" s="10"/>
      <c r="K2214" s="10"/>
      <c r="L2214" s="4" t="s">
        <v>69</v>
      </c>
      <c r="M2214" s="4">
        <v>2209</v>
      </c>
    </row>
    <row r="2215" spans="1:13" x14ac:dyDescent="0.25">
      <c r="A2215" s="4" t="s">
        <v>1908</v>
      </c>
      <c r="B2215" s="4" t="s">
        <v>1881</v>
      </c>
      <c r="C2215" s="4" t="s">
        <v>68</v>
      </c>
      <c r="D2215" s="10">
        <v>20</v>
      </c>
      <c r="E2215" s="11" t="s">
        <v>51</v>
      </c>
      <c r="F2215" s="10">
        <v>1840</v>
      </c>
      <c r="G2215" s="10">
        <v>0</v>
      </c>
      <c r="H2215" s="10">
        <f t="shared" si="34"/>
        <v>1840</v>
      </c>
      <c r="I2215" s="10"/>
      <c r="J2215" s="10"/>
      <c r="K2215" s="10"/>
      <c r="L2215" s="4" t="s">
        <v>69</v>
      </c>
      <c r="M2215" s="4">
        <v>2210</v>
      </c>
    </row>
    <row r="2216" spans="1:13" x14ac:dyDescent="0.25">
      <c r="A2216" s="4" t="s">
        <v>1908</v>
      </c>
      <c r="B2216" s="4" t="s">
        <v>1874</v>
      </c>
      <c r="C2216" s="9" t="s">
        <v>50</v>
      </c>
      <c r="D2216" s="10">
        <v>20</v>
      </c>
      <c r="E2216" s="11" t="s">
        <v>51</v>
      </c>
      <c r="F2216" s="10">
        <v>1946.8</v>
      </c>
      <c r="G2216" s="10">
        <v>0</v>
      </c>
      <c r="H2216" s="10">
        <f t="shared" si="34"/>
        <v>1946.8</v>
      </c>
      <c r="I2216" s="10"/>
      <c r="J2216" s="10"/>
      <c r="K2216" s="10"/>
      <c r="L2216" s="4" t="s">
        <v>52</v>
      </c>
      <c r="M2216" s="4">
        <v>2211</v>
      </c>
    </row>
    <row r="2217" spans="1:13" x14ac:dyDescent="0.25">
      <c r="A2217" s="4" t="s">
        <v>1908</v>
      </c>
      <c r="B2217" s="4" t="s">
        <v>1873</v>
      </c>
      <c r="C2217" s="9" t="s">
        <v>50</v>
      </c>
      <c r="D2217" s="10">
        <v>48</v>
      </c>
      <c r="E2217" s="11" t="s">
        <v>51</v>
      </c>
      <c r="F2217" s="10">
        <v>4416</v>
      </c>
      <c r="G2217" s="10">
        <v>0</v>
      </c>
      <c r="H2217" s="10">
        <f t="shared" si="34"/>
        <v>4416</v>
      </c>
      <c r="I2217" s="10"/>
      <c r="J2217" s="10"/>
      <c r="K2217" s="10"/>
      <c r="L2217" s="4" t="s">
        <v>52</v>
      </c>
      <c r="M2217" s="4">
        <v>2212</v>
      </c>
    </row>
    <row r="2218" spans="1:13" x14ac:dyDescent="0.25">
      <c r="A2218" s="4" t="s">
        <v>1908</v>
      </c>
      <c r="B2218" s="4" t="s">
        <v>1882</v>
      </c>
      <c r="C2218" s="4" t="s">
        <v>68</v>
      </c>
      <c r="D2218" s="10">
        <v>20</v>
      </c>
      <c r="E2218" s="11" t="s">
        <v>51</v>
      </c>
      <c r="F2218" s="10">
        <v>1840</v>
      </c>
      <c r="G2218" s="10">
        <v>0</v>
      </c>
      <c r="H2218" s="10">
        <f t="shared" si="34"/>
        <v>1840</v>
      </c>
      <c r="I2218" s="10"/>
      <c r="J2218" s="10"/>
      <c r="K2218" s="10"/>
      <c r="L2218" s="4" t="s">
        <v>69</v>
      </c>
      <c r="M2218" s="4">
        <v>2213</v>
      </c>
    </row>
    <row r="2219" spans="1:13" x14ac:dyDescent="0.25">
      <c r="A2219" s="4" t="s">
        <v>1908</v>
      </c>
      <c r="B2219" s="4" t="s">
        <v>1896</v>
      </c>
      <c r="C2219" s="4" t="s">
        <v>68</v>
      </c>
      <c r="D2219" s="10">
        <v>120</v>
      </c>
      <c r="E2219" s="11" t="s">
        <v>51</v>
      </c>
      <c r="F2219" s="10">
        <v>1920</v>
      </c>
      <c r="G2219" s="10">
        <v>0</v>
      </c>
      <c r="H2219" s="10">
        <f t="shared" si="34"/>
        <v>1920</v>
      </c>
      <c r="I2219" s="10"/>
      <c r="J2219" s="10"/>
      <c r="K2219" s="10"/>
      <c r="L2219" s="4" t="s">
        <v>69</v>
      </c>
      <c r="M2219" s="4">
        <v>2214</v>
      </c>
    </row>
    <row r="2220" spans="1:13" x14ac:dyDescent="0.25">
      <c r="A2220" s="4" t="s">
        <v>1909</v>
      </c>
      <c r="B2220" s="4" t="s">
        <v>1881</v>
      </c>
      <c r="C2220" s="4" t="s">
        <v>68</v>
      </c>
      <c r="D2220" s="10">
        <v>20</v>
      </c>
      <c r="E2220" s="11" t="s">
        <v>51</v>
      </c>
      <c r="F2220" s="10">
        <v>1840</v>
      </c>
      <c r="G2220" s="10">
        <v>0</v>
      </c>
      <c r="H2220" s="10">
        <f t="shared" si="34"/>
        <v>1840</v>
      </c>
      <c r="I2220" s="10"/>
      <c r="J2220" s="10"/>
      <c r="K2220" s="10"/>
      <c r="L2220" s="4" t="s">
        <v>69</v>
      </c>
      <c r="M2220" s="4">
        <v>2215</v>
      </c>
    </row>
    <row r="2221" spans="1:13" x14ac:dyDescent="0.25">
      <c r="A2221" s="4" t="s">
        <v>1909</v>
      </c>
      <c r="B2221" s="4" t="s">
        <v>1874</v>
      </c>
      <c r="C2221" s="9" t="s">
        <v>50</v>
      </c>
      <c r="D2221" s="10">
        <v>20</v>
      </c>
      <c r="E2221" s="11" t="s">
        <v>51</v>
      </c>
      <c r="F2221" s="10">
        <v>2245.5</v>
      </c>
      <c r="G2221" s="10">
        <v>0</v>
      </c>
      <c r="H2221" s="10">
        <f t="shared" si="34"/>
        <v>2245.5</v>
      </c>
      <c r="I2221" s="10"/>
      <c r="J2221" s="10"/>
      <c r="K2221" s="10"/>
      <c r="L2221" s="4" t="s">
        <v>52</v>
      </c>
      <c r="M2221" s="4">
        <v>2216</v>
      </c>
    </row>
    <row r="2222" spans="1:13" x14ac:dyDescent="0.25">
      <c r="A2222" s="4" t="s">
        <v>1909</v>
      </c>
      <c r="B2222" s="4" t="s">
        <v>1873</v>
      </c>
      <c r="C2222" s="9" t="s">
        <v>50</v>
      </c>
      <c r="D2222" s="10">
        <v>24</v>
      </c>
      <c r="E2222" s="11" t="s">
        <v>51</v>
      </c>
      <c r="F2222" s="10">
        <v>2208</v>
      </c>
      <c r="G2222" s="10">
        <v>0</v>
      </c>
      <c r="H2222" s="10">
        <f t="shared" si="34"/>
        <v>2208</v>
      </c>
      <c r="I2222" s="10"/>
      <c r="J2222" s="10"/>
      <c r="K2222" s="10"/>
      <c r="L2222" s="4" t="s">
        <v>52</v>
      </c>
      <c r="M2222" s="4">
        <v>2217</v>
      </c>
    </row>
    <row r="2223" spans="1:13" x14ac:dyDescent="0.25">
      <c r="A2223" s="4" t="s">
        <v>1909</v>
      </c>
      <c r="B2223" s="4" t="s">
        <v>1882</v>
      </c>
      <c r="C2223" s="4" t="s">
        <v>68</v>
      </c>
      <c r="D2223" s="10">
        <v>28</v>
      </c>
      <c r="E2223" s="11" t="s">
        <v>51</v>
      </c>
      <c r="F2223" s="10">
        <v>2576</v>
      </c>
      <c r="G2223" s="10">
        <v>0</v>
      </c>
      <c r="H2223" s="10">
        <f t="shared" si="34"/>
        <v>2576</v>
      </c>
      <c r="I2223" s="10"/>
      <c r="J2223" s="10"/>
      <c r="K2223" s="10"/>
      <c r="L2223" s="4" t="s">
        <v>69</v>
      </c>
      <c r="M2223" s="4">
        <v>2218</v>
      </c>
    </row>
    <row r="2224" spans="1:13" x14ac:dyDescent="0.25">
      <c r="A2224" s="4" t="s">
        <v>1909</v>
      </c>
      <c r="B2224" s="4" t="s">
        <v>1896</v>
      </c>
      <c r="C2224" s="4" t="s">
        <v>68</v>
      </c>
      <c r="D2224" s="10">
        <v>138</v>
      </c>
      <c r="E2224" s="11" t="s">
        <v>51</v>
      </c>
      <c r="F2224" s="10">
        <v>3456</v>
      </c>
      <c r="G2224" s="10">
        <v>0</v>
      </c>
      <c r="H2224" s="10">
        <f t="shared" si="34"/>
        <v>3456</v>
      </c>
      <c r="I2224" s="10"/>
      <c r="J2224" s="10"/>
      <c r="K2224" s="10"/>
      <c r="L2224" s="4" t="s">
        <v>69</v>
      </c>
      <c r="M2224" s="4">
        <v>2219</v>
      </c>
    </row>
    <row r="2225" spans="1:13" x14ac:dyDescent="0.25">
      <c r="A2225" s="4" t="s">
        <v>1910</v>
      </c>
      <c r="B2225" s="4" t="s">
        <v>1881</v>
      </c>
      <c r="C2225" s="4" t="s">
        <v>68</v>
      </c>
      <c r="D2225" s="10">
        <v>20</v>
      </c>
      <c r="E2225" s="11" t="s">
        <v>51</v>
      </c>
      <c r="F2225" s="10">
        <v>1840</v>
      </c>
      <c r="G2225" s="10">
        <v>0</v>
      </c>
      <c r="H2225" s="10">
        <f t="shared" si="34"/>
        <v>1840</v>
      </c>
      <c r="I2225" s="10"/>
      <c r="J2225" s="10"/>
      <c r="K2225" s="10"/>
      <c r="L2225" s="4" t="s">
        <v>69</v>
      </c>
      <c r="M2225" s="4">
        <v>2220</v>
      </c>
    </row>
    <row r="2226" spans="1:13" x14ac:dyDescent="0.25">
      <c r="A2226" s="4" t="s">
        <v>1910</v>
      </c>
      <c r="B2226" s="4" t="s">
        <v>1874</v>
      </c>
      <c r="C2226" s="9" t="s">
        <v>50</v>
      </c>
      <c r="D2226" s="10">
        <v>20</v>
      </c>
      <c r="E2226" s="11" t="s">
        <v>51</v>
      </c>
      <c r="F2226" s="10">
        <v>2082.1</v>
      </c>
      <c r="G2226" s="10">
        <v>0</v>
      </c>
      <c r="H2226" s="10">
        <f t="shared" si="34"/>
        <v>2082.1</v>
      </c>
      <c r="I2226" s="10"/>
      <c r="J2226" s="10"/>
      <c r="K2226" s="10"/>
      <c r="L2226" s="4" t="s">
        <v>52</v>
      </c>
      <c r="M2226" s="4">
        <v>2221</v>
      </c>
    </row>
    <row r="2227" spans="1:13" x14ac:dyDescent="0.25">
      <c r="A2227" s="4" t="s">
        <v>1910</v>
      </c>
      <c r="B2227" s="4" t="s">
        <v>1873</v>
      </c>
      <c r="C2227" s="9" t="s">
        <v>50</v>
      </c>
      <c r="D2227" s="10">
        <v>58</v>
      </c>
      <c r="E2227" s="11" t="s">
        <v>51</v>
      </c>
      <c r="F2227" s="10">
        <v>5336</v>
      </c>
      <c r="G2227" s="10">
        <v>0</v>
      </c>
      <c r="H2227" s="10">
        <f t="shared" si="34"/>
        <v>5336</v>
      </c>
      <c r="I2227" s="10"/>
      <c r="J2227" s="10"/>
      <c r="K2227" s="10"/>
      <c r="L2227" s="4" t="s">
        <v>52</v>
      </c>
      <c r="M2227" s="4">
        <v>2222</v>
      </c>
    </row>
    <row r="2228" spans="1:13" x14ac:dyDescent="0.25">
      <c r="A2228" s="4" t="s">
        <v>1910</v>
      </c>
      <c r="B2228" s="4" t="s">
        <v>1882</v>
      </c>
      <c r="C2228" s="4" t="s">
        <v>68</v>
      </c>
      <c r="D2228" s="10">
        <v>20</v>
      </c>
      <c r="E2228" s="11" t="s">
        <v>51</v>
      </c>
      <c r="F2228" s="10">
        <v>1840</v>
      </c>
      <c r="G2228" s="10">
        <v>0</v>
      </c>
      <c r="H2228" s="10">
        <f t="shared" si="34"/>
        <v>1840</v>
      </c>
      <c r="I2228" s="10"/>
      <c r="J2228" s="10"/>
      <c r="K2228" s="10"/>
      <c r="L2228" s="4" t="s">
        <v>69</v>
      </c>
      <c r="M2228" s="4">
        <v>2223</v>
      </c>
    </row>
    <row r="2229" spans="1:13" x14ac:dyDescent="0.25">
      <c r="A2229" s="4" t="s">
        <v>1910</v>
      </c>
      <c r="B2229" s="4" t="s">
        <v>1896</v>
      </c>
      <c r="C2229" s="4" t="s">
        <v>68</v>
      </c>
      <c r="D2229" s="10">
        <v>32</v>
      </c>
      <c r="E2229" s="11" t="s">
        <v>51</v>
      </c>
      <c r="F2229" s="10">
        <v>1920</v>
      </c>
      <c r="G2229" s="10">
        <v>0</v>
      </c>
      <c r="H2229" s="10">
        <f t="shared" si="34"/>
        <v>1920</v>
      </c>
      <c r="I2229" s="10"/>
      <c r="J2229" s="10"/>
      <c r="K2229" s="10"/>
      <c r="L2229" s="4" t="s">
        <v>69</v>
      </c>
      <c r="M2229" s="4">
        <v>2224</v>
      </c>
    </row>
    <row r="2230" spans="1:13" x14ac:dyDescent="0.25">
      <c r="A2230" s="4" t="s">
        <v>1911</v>
      </c>
      <c r="B2230" s="4" t="s">
        <v>1873</v>
      </c>
      <c r="C2230" s="9" t="s">
        <v>50</v>
      </c>
      <c r="D2230" s="10">
        <v>32</v>
      </c>
      <c r="E2230" s="11" t="s">
        <v>51</v>
      </c>
      <c r="F2230" s="10">
        <v>2944</v>
      </c>
      <c r="G2230" s="10">
        <v>0</v>
      </c>
      <c r="H2230" s="10">
        <f t="shared" si="34"/>
        <v>2944</v>
      </c>
      <c r="I2230" s="10"/>
      <c r="J2230" s="10"/>
      <c r="K2230" s="10"/>
      <c r="L2230" s="4" t="s">
        <v>52</v>
      </c>
      <c r="M2230" s="4">
        <v>2225</v>
      </c>
    </row>
    <row r="2231" spans="1:13" x14ac:dyDescent="0.25">
      <c r="A2231" s="4" t="s">
        <v>1911</v>
      </c>
      <c r="B2231" s="4" t="s">
        <v>1912</v>
      </c>
      <c r="C2231" s="9" t="s">
        <v>50</v>
      </c>
      <c r="D2231" s="10">
        <v>78</v>
      </c>
      <c r="E2231" s="11" t="s">
        <v>51</v>
      </c>
      <c r="F2231" s="10"/>
      <c r="G2231" s="10">
        <v>0</v>
      </c>
      <c r="H2231" s="10">
        <f t="shared" si="34"/>
        <v>0</v>
      </c>
      <c r="I2231" s="10"/>
      <c r="J2231" s="10"/>
      <c r="K2231" s="10"/>
      <c r="L2231" s="4" t="s">
        <v>52</v>
      </c>
      <c r="M2231" s="4">
        <v>2226</v>
      </c>
    </row>
    <row r="2232" spans="1:13" x14ac:dyDescent="0.25">
      <c r="A2232" s="4" t="s">
        <v>1913</v>
      </c>
      <c r="B2232" s="4" t="s">
        <v>1881</v>
      </c>
      <c r="C2232" s="4" t="s">
        <v>68</v>
      </c>
      <c r="D2232" s="10">
        <v>16</v>
      </c>
      <c r="E2232" s="11" t="s">
        <v>51</v>
      </c>
      <c r="F2232" s="10">
        <v>1288</v>
      </c>
      <c r="G2232" s="10">
        <v>0</v>
      </c>
      <c r="H2232" s="10">
        <f t="shared" si="34"/>
        <v>1288</v>
      </c>
      <c r="I2232" s="10"/>
      <c r="J2232" s="10"/>
      <c r="K2232" s="10"/>
      <c r="L2232" s="4" t="s">
        <v>69</v>
      </c>
      <c r="M2232" s="4">
        <v>2227</v>
      </c>
    </row>
    <row r="2233" spans="1:13" x14ac:dyDescent="0.25">
      <c r="A2233" s="4" t="s">
        <v>1913</v>
      </c>
      <c r="B2233" s="4" t="s">
        <v>1874</v>
      </c>
      <c r="C2233" s="9" t="s">
        <v>50</v>
      </c>
      <c r="D2233" s="10">
        <v>16</v>
      </c>
      <c r="E2233" s="11" t="s">
        <v>51</v>
      </c>
      <c r="F2233" s="10">
        <v>1288</v>
      </c>
      <c r="G2233" s="10">
        <v>0</v>
      </c>
      <c r="H2233" s="10">
        <f t="shared" si="34"/>
        <v>1288</v>
      </c>
      <c r="I2233" s="10"/>
      <c r="J2233" s="10"/>
      <c r="K2233" s="10"/>
      <c r="L2233" s="4" t="s">
        <v>52</v>
      </c>
      <c r="M2233" s="4">
        <v>2228</v>
      </c>
    </row>
    <row r="2234" spans="1:13" x14ac:dyDescent="0.25">
      <c r="A2234" s="4" t="s">
        <v>1913</v>
      </c>
      <c r="B2234" s="4" t="s">
        <v>1873</v>
      </c>
      <c r="C2234" s="9" t="s">
        <v>50</v>
      </c>
      <c r="D2234" s="10">
        <v>12</v>
      </c>
      <c r="E2234" s="11" t="s">
        <v>51</v>
      </c>
      <c r="F2234" s="10">
        <v>1104</v>
      </c>
      <c r="G2234" s="10">
        <v>0</v>
      </c>
      <c r="H2234" s="10">
        <f t="shared" si="34"/>
        <v>1104</v>
      </c>
      <c r="I2234" s="10"/>
      <c r="J2234" s="10"/>
      <c r="K2234" s="10"/>
      <c r="L2234" s="4" t="s">
        <v>52</v>
      </c>
      <c r="M2234" s="4">
        <v>2229</v>
      </c>
    </row>
    <row r="2235" spans="1:13" x14ac:dyDescent="0.25">
      <c r="A2235" s="4" t="s">
        <v>1913</v>
      </c>
      <c r="B2235" s="4" t="s">
        <v>1876</v>
      </c>
      <c r="C2235" s="9" t="s">
        <v>50</v>
      </c>
      <c r="D2235" s="10">
        <v>4</v>
      </c>
      <c r="E2235" s="11" t="s">
        <v>51</v>
      </c>
      <c r="F2235" s="10">
        <v>184</v>
      </c>
      <c r="G2235" s="10">
        <v>0</v>
      </c>
      <c r="H2235" s="10">
        <f t="shared" si="34"/>
        <v>184</v>
      </c>
      <c r="I2235" s="10"/>
      <c r="J2235" s="10"/>
      <c r="K2235" s="10"/>
      <c r="L2235" s="4" t="s">
        <v>52</v>
      </c>
      <c r="M2235" s="4">
        <v>2230</v>
      </c>
    </row>
    <row r="2236" spans="1:13" x14ac:dyDescent="0.25">
      <c r="A2236" s="4" t="s">
        <v>1913</v>
      </c>
      <c r="B2236" s="4" t="s">
        <v>1882</v>
      </c>
      <c r="C2236" s="4" t="s">
        <v>68</v>
      </c>
      <c r="D2236" s="10">
        <v>16</v>
      </c>
      <c r="E2236" s="11" t="s">
        <v>51</v>
      </c>
      <c r="F2236" s="10">
        <v>1288</v>
      </c>
      <c r="G2236" s="10">
        <v>0</v>
      </c>
      <c r="H2236" s="10">
        <f t="shared" si="34"/>
        <v>1288</v>
      </c>
      <c r="I2236" s="10"/>
      <c r="J2236" s="10"/>
      <c r="K2236" s="10"/>
      <c r="L2236" s="4" t="s">
        <v>69</v>
      </c>
      <c r="M2236" s="4">
        <v>2231</v>
      </c>
    </row>
    <row r="2237" spans="1:13" x14ac:dyDescent="0.25">
      <c r="A2237" s="4" t="s">
        <v>1913</v>
      </c>
      <c r="B2237" s="4" t="s">
        <v>1896</v>
      </c>
      <c r="C2237" s="4" t="s">
        <v>68</v>
      </c>
      <c r="D2237" s="10">
        <v>92</v>
      </c>
      <c r="E2237" s="11" t="s">
        <v>51</v>
      </c>
      <c r="F2237" s="10">
        <v>1348</v>
      </c>
      <c r="G2237" s="10">
        <v>0</v>
      </c>
      <c r="H2237" s="10">
        <f t="shared" si="34"/>
        <v>1348</v>
      </c>
      <c r="I2237" s="10"/>
      <c r="J2237" s="10"/>
      <c r="K2237" s="10"/>
      <c r="L2237" s="4" t="s">
        <v>69</v>
      </c>
      <c r="M2237" s="4">
        <v>2232</v>
      </c>
    </row>
    <row r="2238" spans="1:13" x14ac:dyDescent="0.25">
      <c r="A2238" s="4" t="s">
        <v>1914</v>
      </c>
      <c r="B2238" s="4" t="s">
        <v>1895</v>
      </c>
      <c r="C2238" s="9" t="s">
        <v>50</v>
      </c>
      <c r="D2238" s="10">
        <v>12</v>
      </c>
      <c r="E2238" s="11" t="s">
        <v>51</v>
      </c>
      <c r="F2238" s="10">
        <v>1104</v>
      </c>
      <c r="G2238" s="10">
        <v>0</v>
      </c>
      <c r="H2238" s="10">
        <f t="shared" si="34"/>
        <v>1104</v>
      </c>
      <c r="I2238" s="10"/>
      <c r="J2238" s="10"/>
      <c r="K2238" s="10"/>
      <c r="L2238" s="4" t="s">
        <v>52</v>
      </c>
      <c r="M2238" s="4">
        <v>2233</v>
      </c>
    </row>
    <row r="2239" spans="1:13" x14ac:dyDescent="0.25">
      <c r="A2239" s="4" t="s">
        <v>1914</v>
      </c>
      <c r="B2239" s="4" t="s">
        <v>1874</v>
      </c>
      <c r="C2239" s="9" t="s">
        <v>50</v>
      </c>
      <c r="D2239" s="10">
        <v>16</v>
      </c>
      <c r="E2239" s="11" t="s">
        <v>51</v>
      </c>
      <c r="F2239" s="10">
        <v>1288</v>
      </c>
      <c r="G2239" s="10">
        <v>0</v>
      </c>
      <c r="H2239" s="10">
        <f t="shared" si="34"/>
        <v>1288</v>
      </c>
      <c r="I2239" s="10"/>
      <c r="J2239" s="10"/>
      <c r="K2239" s="10"/>
      <c r="L2239" s="4" t="s">
        <v>52</v>
      </c>
      <c r="M2239" s="4">
        <v>2234</v>
      </c>
    </row>
    <row r="2240" spans="1:13" x14ac:dyDescent="0.25">
      <c r="A2240" s="4" t="s">
        <v>1914</v>
      </c>
      <c r="B2240" s="4" t="s">
        <v>1881</v>
      </c>
      <c r="C2240" s="4" t="s">
        <v>68</v>
      </c>
      <c r="D2240" s="10">
        <v>16</v>
      </c>
      <c r="E2240" s="11" t="s">
        <v>51</v>
      </c>
      <c r="F2240" s="10">
        <v>1288</v>
      </c>
      <c r="G2240" s="10">
        <v>0</v>
      </c>
      <c r="H2240" s="10">
        <f t="shared" si="34"/>
        <v>1288</v>
      </c>
      <c r="I2240" s="10"/>
      <c r="J2240" s="10"/>
      <c r="K2240" s="10"/>
      <c r="L2240" s="4" t="s">
        <v>69</v>
      </c>
      <c r="M2240" s="4">
        <v>2235</v>
      </c>
    </row>
    <row r="2241" spans="1:13" x14ac:dyDescent="0.25">
      <c r="A2241" s="4" t="s">
        <v>1914</v>
      </c>
      <c r="B2241" s="4" t="s">
        <v>1876</v>
      </c>
      <c r="C2241" s="9" t="s">
        <v>50</v>
      </c>
      <c r="D2241" s="10">
        <v>4</v>
      </c>
      <c r="E2241" s="11" t="s">
        <v>51</v>
      </c>
      <c r="F2241" s="10">
        <v>184</v>
      </c>
      <c r="G2241" s="10">
        <v>0</v>
      </c>
      <c r="H2241" s="10">
        <f t="shared" si="34"/>
        <v>184</v>
      </c>
      <c r="I2241" s="10"/>
      <c r="J2241" s="10"/>
      <c r="K2241" s="10"/>
      <c r="L2241" s="4" t="s">
        <v>52</v>
      </c>
      <c r="M2241" s="4">
        <v>2236</v>
      </c>
    </row>
    <row r="2242" spans="1:13" x14ac:dyDescent="0.25">
      <c r="A2242" s="4" t="s">
        <v>1914</v>
      </c>
      <c r="B2242" s="4" t="s">
        <v>1882</v>
      </c>
      <c r="C2242" s="4" t="s">
        <v>68</v>
      </c>
      <c r="D2242" s="10">
        <v>16</v>
      </c>
      <c r="E2242" s="11" t="s">
        <v>51</v>
      </c>
      <c r="F2242" s="10">
        <v>1288</v>
      </c>
      <c r="G2242" s="10">
        <v>0</v>
      </c>
      <c r="H2242" s="10">
        <f t="shared" si="34"/>
        <v>1288</v>
      </c>
      <c r="I2242" s="10"/>
      <c r="J2242" s="10"/>
      <c r="K2242" s="10"/>
      <c r="L2242" s="4" t="s">
        <v>69</v>
      </c>
      <c r="M2242" s="4">
        <v>2237</v>
      </c>
    </row>
    <row r="2243" spans="1:13" x14ac:dyDescent="0.25">
      <c r="A2243" s="4" t="s">
        <v>1914</v>
      </c>
      <c r="B2243" s="4" t="s">
        <v>1896</v>
      </c>
      <c r="C2243" s="4" t="s">
        <v>68</v>
      </c>
      <c r="D2243" s="10">
        <v>92</v>
      </c>
      <c r="E2243" s="11" t="s">
        <v>51</v>
      </c>
      <c r="F2243" s="10">
        <v>1348</v>
      </c>
      <c r="G2243" s="10">
        <v>0</v>
      </c>
      <c r="H2243" s="10">
        <f t="shared" si="34"/>
        <v>1348</v>
      </c>
      <c r="I2243" s="10"/>
      <c r="J2243" s="10"/>
      <c r="K2243" s="10"/>
      <c r="L2243" s="4" t="s">
        <v>69</v>
      </c>
      <c r="M2243" s="4">
        <v>2238</v>
      </c>
    </row>
    <row r="2244" spans="1:13" x14ac:dyDescent="0.25">
      <c r="A2244" s="4" t="s">
        <v>1915</v>
      </c>
      <c r="B2244" s="4" t="s">
        <v>1895</v>
      </c>
      <c r="C2244" s="9" t="s">
        <v>50</v>
      </c>
      <c r="D2244" s="10">
        <v>12</v>
      </c>
      <c r="E2244" s="11" t="s">
        <v>51</v>
      </c>
      <c r="F2244" s="10">
        <v>1104</v>
      </c>
      <c r="G2244" s="10">
        <v>0</v>
      </c>
      <c r="H2244" s="10">
        <f t="shared" si="34"/>
        <v>1104</v>
      </c>
      <c r="I2244" s="10"/>
      <c r="J2244" s="10"/>
      <c r="K2244" s="10"/>
      <c r="L2244" s="4" t="s">
        <v>52</v>
      </c>
      <c r="M2244" s="4">
        <v>2239</v>
      </c>
    </row>
    <row r="2245" spans="1:13" x14ac:dyDescent="0.25">
      <c r="A2245" s="4" t="s">
        <v>1915</v>
      </c>
      <c r="B2245" s="4" t="s">
        <v>1874</v>
      </c>
      <c r="C2245" s="9" t="s">
        <v>50</v>
      </c>
      <c r="D2245" s="10">
        <v>16</v>
      </c>
      <c r="E2245" s="11" t="s">
        <v>51</v>
      </c>
      <c r="F2245" s="10">
        <v>1288</v>
      </c>
      <c r="G2245" s="10">
        <v>0</v>
      </c>
      <c r="H2245" s="10">
        <f t="shared" si="34"/>
        <v>1288</v>
      </c>
      <c r="I2245" s="10"/>
      <c r="J2245" s="10"/>
      <c r="K2245" s="10"/>
      <c r="L2245" s="4" t="s">
        <v>52</v>
      </c>
      <c r="M2245" s="4">
        <v>2240</v>
      </c>
    </row>
    <row r="2246" spans="1:13" x14ac:dyDescent="0.25">
      <c r="A2246" s="4" t="s">
        <v>1915</v>
      </c>
      <c r="B2246" s="4" t="s">
        <v>1881</v>
      </c>
      <c r="C2246" s="4" t="s">
        <v>68</v>
      </c>
      <c r="D2246" s="10">
        <v>16</v>
      </c>
      <c r="E2246" s="11" t="s">
        <v>51</v>
      </c>
      <c r="F2246" s="10">
        <v>1288</v>
      </c>
      <c r="G2246" s="10">
        <v>0</v>
      </c>
      <c r="H2246" s="10">
        <f t="shared" ref="H2246:H2309" si="35">F2246-G2246</f>
        <v>1288</v>
      </c>
      <c r="I2246" s="10"/>
      <c r="J2246" s="10"/>
      <c r="K2246" s="10"/>
      <c r="L2246" s="4" t="s">
        <v>69</v>
      </c>
      <c r="M2246" s="4">
        <v>2241</v>
      </c>
    </row>
    <row r="2247" spans="1:13" x14ac:dyDescent="0.25">
      <c r="A2247" s="4" t="s">
        <v>1915</v>
      </c>
      <c r="B2247" s="4" t="s">
        <v>1876</v>
      </c>
      <c r="C2247" s="9" t="s">
        <v>50</v>
      </c>
      <c r="D2247" s="10">
        <v>4</v>
      </c>
      <c r="E2247" s="11" t="s">
        <v>51</v>
      </c>
      <c r="F2247" s="10">
        <v>184</v>
      </c>
      <c r="G2247" s="10">
        <v>0</v>
      </c>
      <c r="H2247" s="10">
        <f t="shared" si="35"/>
        <v>184</v>
      </c>
      <c r="I2247" s="10"/>
      <c r="J2247" s="10"/>
      <c r="K2247" s="10"/>
      <c r="L2247" s="4" t="s">
        <v>52</v>
      </c>
      <c r="M2247" s="4">
        <v>2242</v>
      </c>
    </row>
    <row r="2248" spans="1:13" x14ac:dyDescent="0.25">
      <c r="A2248" s="4" t="s">
        <v>1915</v>
      </c>
      <c r="B2248" s="4" t="s">
        <v>1882</v>
      </c>
      <c r="C2248" s="4" t="s">
        <v>68</v>
      </c>
      <c r="D2248" s="10">
        <v>16</v>
      </c>
      <c r="E2248" s="11" t="s">
        <v>51</v>
      </c>
      <c r="F2248" s="10">
        <v>1288</v>
      </c>
      <c r="G2248" s="10">
        <v>0</v>
      </c>
      <c r="H2248" s="10">
        <f t="shared" si="35"/>
        <v>1288</v>
      </c>
      <c r="I2248" s="10"/>
      <c r="J2248" s="10"/>
      <c r="K2248" s="10"/>
      <c r="L2248" s="4" t="s">
        <v>69</v>
      </c>
      <c r="M2248" s="4">
        <v>2243</v>
      </c>
    </row>
    <row r="2249" spans="1:13" x14ac:dyDescent="0.25">
      <c r="A2249" s="4" t="s">
        <v>1915</v>
      </c>
      <c r="B2249" s="4" t="s">
        <v>1896</v>
      </c>
      <c r="C2249" s="4" t="s">
        <v>68</v>
      </c>
      <c r="D2249" s="10">
        <v>90</v>
      </c>
      <c r="E2249" s="11" t="s">
        <v>51</v>
      </c>
      <c r="F2249" s="10">
        <v>1348</v>
      </c>
      <c r="G2249" s="10">
        <v>0</v>
      </c>
      <c r="H2249" s="10">
        <f t="shared" si="35"/>
        <v>1348</v>
      </c>
      <c r="I2249" s="10"/>
      <c r="J2249" s="10"/>
      <c r="K2249" s="10"/>
      <c r="L2249" s="4" t="s">
        <v>69</v>
      </c>
      <c r="M2249" s="4">
        <v>2244</v>
      </c>
    </row>
    <row r="2250" spans="1:13" x14ac:dyDescent="0.25">
      <c r="A2250" s="4" t="s">
        <v>1916</v>
      </c>
      <c r="B2250" s="4" t="s">
        <v>1881</v>
      </c>
      <c r="C2250" s="4" t="s">
        <v>68</v>
      </c>
      <c r="D2250" s="10">
        <v>16</v>
      </c>
      <c r="E2250" s="11" t="s">
        <v>51</v>
      </c>
      <c r="F2250" s="10">
        <v>1472</v>
      </c>
      <c r="G2250" s="10">
        <v>0</v>
      </c>
      <c r="H2250" s="10">
        <f t="shared" si="35"/>
        <v>1472</v>
      </c>
      <c r="I2250" s="10"/>
      <c r="J2250" s="10"/>
      <c r="K2250" s="10"/>
      <c r="L2250" s="4" t="s">
        <v>69</v>
      </c>
      <c r="M2250" s="4">
        <v>2245</v>
      </c>
    </row>
    <row r="2251" spans="1:13" x14ac:dyDescent="0.25">
      <c r="A2251" s="4" t="s">
        <v>1916</v>
      </c>
      <c r="B2251" s="4" t="s">
        <v>1874</v>
      </c>
      <c r="C2251" s="9" t="s">
        <v>50</v>
      </c>
      <c r="D2251" s="10">
        <v>16</v>
      </c>
      <c r="E2251" s="11" t="s">
        <v>51</v>
      </c>
      <c r="F2251" s="10">
        <v>1518</v>
      </c>
      <c r="G2251" s="10">
        <v>0</v>
      </c>
      <c r="H2251" s="10">
        <f t="shared" si="35"/>
        <v>1518</v>
      </c>
      <c r="I2251" s="10"/>
      <c r="J2251" s="10"/>
      <c r="K2251" s="10"/>
      <c r="L2251" s="4" t="s">
        <v>52</v>
      </c>
      <c r="M2251" s="4">
        <v>2246</v>
      </c>
    </row>
    <row r="2252" spans="1:13" x14ac:dyDescent="0.25">
      <c r="A2252" s="4" t="s">
        <v>1916</v>
      </c>
      <c r="B2252" s="4" t="s">
        <v>1873</v>
      </c>
      <c r="C2252" s="9" t="s">
        <v>50</v>
      </c>
      <c r="D2252" s="10">
        <v>12</v>
      </c>
      <c r="E2252" s="11" t="s">
        <v>51</v>
      </c>
      <c r="F2252" s="10">
        <v>1104</v>
      </c>
      <c r="G2252" s="10">
        <v>0</v>
      </c>
      <c r="H2252" s="10">
        <f t="shared" si="35"/>
        <v>1104</v>
      </c>
      <c r="I2252" s="10"/>
      <c r="J2252" s="10"/>
      <c r="K2252" s="10"/>
      <c r="L2252" s="4" t="s">
        <v>52</v>
      </c>
      <c r="M2252" s="4">
        <v>2247</v>
      </c>
    </row>
    <row r="2253" spans="1:13" x14ac:dyDescent="0.25">
      <c r="A2253" s="4" t="s">
        <v>1916</v>
      </c>
      <c r="B2253" s="4" t="s">
        <v>1882</v>
      </c>
      <c r="C2253" s="4" t="s">
        <v>68</v>
      </c>
      <c r="D2253" s="10">
        <v>16</v>
      </c>
      <c r="E2253" s="11" t="s">
        <v>51</v>
      </c>
      <c r="F2253" s="10">
        <v>1472</v>
      </c>
      <c r="G2253" s="10">
        <v>0</v>
      </c>
      <c r="H2253" s="10">
        <f t="shared" si="35"/>
        <v>1472</v>
      </c>
      <c r="I2253" s="10"/>
      <c r="J2253" s="10"/>
      <c r="K2253" s="10"/>
      <c r="L2253" s="4" t="s">
        <v>69</v>
      </c>
      <c r="M2253" s="4">
        <v>2248</v>
      </c>
    </row>
    <row r="2254" spans="1:13" x14ac:dyDescent="0.25">
      <c r="A2254" s="4" t="s">
        <v>1916</v>
      </c>
      <c r="B2254" s="4" t="s">
        <v>1896</v>
      </c>
      <c r="C2254" s="4" t="s">
        <v>68</v>
      </c>
      <c r="D2254" s="10">
        <v>76</v>
      </c>
      <c r="E2254" s="11" t="s">
        <v>51</v>
      </c>
      <c r="F2254" s="10">
        <v>1536</v>
      </c>
      <c r="G2254" s="10">
        <v>0</v>
      </c>
      <c r="H2254" s="10">
        <f t="shared" si="35"/>
        <v>1536</v>
      </c>
      <c r="I2254" s="10"/>
      <c r="J2254" s="10"/>
      <c r="K2254" s="10"/>
      <c r="L2254" s="4" t="s">
        <v>69</v>
      </c>
      <c r="M2254" s="4">
        <v>2249</v>
      </c>
    </row>
    <row r="2255" spans="1:13" x14ac:dyDescent="0.25">
      <c r="A2255" s="4" t="s">
        <v>1917</v>
      </c>
      <c r="B2255" s="4" t="s">
        <v>1881</v>
      </c>
      <c r="C2255" s="4" t="s">
        <v>68</v>
      </c>
      <c r="D2255" s="10">
        <v>16</v>
      </c>
      <c r="E2255" s="11" t="s">
        <v>51</v>
      </c>
      <c r="F2255" s="10">
        <v>1472</v>
      </c>
      <c r="G2255" s="10">
        <v>0</v>
      </c>
      <c r="H2255" s="10">
        <f t="shared" si="35"/>
        <v>1472</v>
      </c>
      <c r="I2255" s="10"/>
      <c r="J2255" s="10"/>
      <c r="K2255" s="10"/>
      <c r="L2255" s="4" t="s">
        <v>69</v>
      </c>
      <c r="M2255" s="4">
        <v>2250</v>
      </c>
    </row>
    <row r="2256" spans="1:13" x14ac:dyDescent="0.25">
      <c r="A2256" s="4" t="s">
        <v>1917</v>
      </c>
      <c r="B2256" s="4" t="s">
        <v>1874</v>
      </c>
      <c r="C2256" s="9" t="s">
        <v>50</v>
      </c>
      <c r="D2256" s="10">
        <v>16</v>
      </c>
      <c r="E2256" s="11" t="s">
        <v>51</v>
      </c>
      <c r="F2256" s="10">
        <v>1679</v>
      </c>
      <c r="G2256" s="10">
        <v>0</v>
      </c>
      <c r="H2256" s="10">
        <f t="shared" si="35"/>
        <v>1679</v>
      </c>
      <c r="I2256" s="10"/>
      <c r="J2256" s="10"/>
      <c r="K2256" s="10"/>
      <c r="L2256" s="4" t="s">
        <v>52</v>
      </c>
      <c r="M2256" s="4">
        <v>2251</v>
      </c>
    </row>
    <row r="2257" spans="1:13" x14ac:dyDescent="0.25">
      <c r="A2257" s="4" t="s">
        <v>1917</v>
      </c>
      <c r="B2257" s="4" t="s">
        <v>1873</v>
      </c>
      <c r="C2257" s="9" t="s">
        <v>50</v>
      </c>
      <c r="D2257" s="10">
        <v>12</v>
      </c>
      <c r="E2257" s="11" t="s">
        <v>51</v>
      </c>
      <c r="F2257" s="10">
        <v>1104</v>
      </c>
      <c r="G2257" s="10">
        <v>0</v>
      </c>
      <c r="H2257" s="10">
        <f t="shared" si="35"/>
        <v>1104</v>
      </c>
      <c r="I2257" s="10"/>
      <c r="J2257" s="10"/>
      <c r="K2257" s="10"/>
      <c r="L2257" s="4" t="s">
        <v>52</v>
      </c>
      <c r="M2257" s="4">
        <v>2252</v>
      </c>
    </row>
    <row r="2258" spans="1:13" x14ac:dyDescent="0.25">
      <c r="A2258" s="4" t="s">
        <v>1917</v>
      </c>
      <c r="B2258" s="4" t="s">
        <v>1882</v>
      </c>
      <c r="C2258" s="4" t="s">
        <v>68</v>
      </c>
      <c r="D2258" s="10">
        <v>16</v>
      </c>
      <c r="E2258" s="11" t="s">
        <v>51</v>
      </c>
      <c r="F2258" s="10">
        <v>1472</v>
      </c>
      <c r="G2258" s="10">
        <v>0</v>
      </c>
      <c r="H2258" s="10">
        <f t="shared" si="35"/>
        <v>1472</v>
      </c>
      <c r="I2258" s="10"/>
      <c r="J2258" s="10"/>
      <c r="K2258" s="10"/>
      <c r="L2258" s="4" t="s">
        <v>69</v>
      </c>
      <c r="M2258" s="4">
        <v>2253</v>
      </c>
    </row>
    <row r="2259" spans="1:13" x14ac:dyDescent="0.25">
      <c r="A2259" s="4" t="s">
        <v>1917</v>
      </c>
      <c r="B2259" s="4" t="s">
        <v>1896</v>
      </c>
      <c r="C2259" s="4" t="s">
        <v>68</v>
      </c>
      <c r="D2259" s="10">
        <v>12</v>
      </c>
      <c r="E2259" s="11" t="s">
        <v>51</v>
      </c>
      <c r="F2259" s="10">
        <v>1536</v>
      </c>
      <c r="G2259" s="10">
        <v>0</v>
      </c>
      <c r="H2259" s="10">
        <f t="shared" si="35"/>
        <v>1536</v>
      </c>
      <c r="I2259" s="10"/>
      <c r="J2259" s="10"/>
      <c r="K2259" s="10"/>
      <c r="L2259" s="4" t="s">
        <v>69</v>
      </c>
      <c r="M2259" s="4">
        <v>2254</v>
      </c>
    </row>
    <row r="2260" spans="1:13" x14ac:dyDescent="0.25">
      <c r="A2260" s="4" t="s">
        <v>1918</v>
      </c>
      <c r="B2260" s="4" t="s">
        <v>1873</v>
      </c>
      <c r="C2260" s="9" t="s">
        <v>50</v>
      </c>
      <c r="D2260" s="10">
        <v>12</v>
      </c>
      <c r="E2260" s="11" t="s">
        <v>51</v>
      </c>
      <c r="F2260" s="10">
        <v>1104</v>
      </c>
      <c r="G2260" s="10">
        <v>0</v>
      </c>
      <c r="H2260" s="10">
        <f t="shared" si="35"/>
        <v>1104</v>
      </c>
      <c r="I2260" s="10"/>
      <c r="J2260" s="10"/>
      <c r="K2260" s="10"/>
      <c r="L2260" s="4" t="s">
        <v>52</v>
      </c>
      <c r="M2260" s="4">
        <v>2255</v>
      </c>
    </row>
    <row r="2261" spans="1:13" x14ac:dyDescent="0.25">
      <c r="A2261" s="4" t="s">
        <v>1918</v>
      </c>
      <c r="B2261" s="4" t="s">
        <v>1912</v>
      </c>
      <c r="C2261" s="9" t="s">
        <v>50</v>
      </c>
      <c r="D2261" s="10">
        <v>60</v>
      </c>
      <c r="E2261" s="11" t="s">
        <v>51</v>
      </c>
      <c r="F2261" s="10"/>
      <c r="G2261" s="10">
        <v>0</v>
      </c>
      <c r="H2261" s="10">
        <f t="shared" si="35"/>
        <v>0</v>
      </c>
      <c r="I2261" s="10"/>
      <c r="J2261" s="10"/>
      <c r="K2261" s="10"/>
      <c r="L2261" s="4" t="s">
        <v>52</v>
      </c>
      <c r="M2261" s="4">
        <v>2256</v>
      </c>
    </row>
    <row r="2262" spans="1:13" x14ac:dyDescent="0.25">
      <c r="A2262" s="4" t="s">
        <v>1919</v>
      </c>
      <c r="B2262" s="4" t="s">
        <v>1875</v>
      </c>
      <c r="C2262" s="9" t="s">
        <v>50</v>
      </c>
      <c r="D2262" s="10">
        <v>12</v>
      </c>
      <c r="E2262" s="11" t="s">
        <v>51</v>
      </c>
      <c r="F2262" s="10">
        <v>1104</v>
      </c>
      <c r="G2262" s="10">
        <v>0</v>
      </c>
      <c r="H2262" s="10">
        <f t="shared" si="35"/>
        <v>1104</v>
      </c>
      <c r="I2262" s="10"/>
      <c r="J2262" s="10"/>
      <c r="K2262" s="10"/>
      <c r="L2262" s="4" t="s">
        <v>52</v>
      </c>
      <c r="M2262" s="4">
        <v>2257</v>
      </c>
    </row>
    <row r="2263" spans="1:13" x14ac:dyDescent="0.25">
      <c r="A2263" s="4" t="s">
        <v>1919</v>
      </c>
      <c r="B2263" s="4" t="s">
        <v>1874</v>
      </c>
      <c r="C2263" s="9" t="s">
        <v>50</v>
      </c>
      <c r="D2263" s="10">
        <v>12</v>
      </c>
      <c r="E2263" s="11" t="s">
        <v>51</v>
      </c>
      <c r="F2263" s="10">
        <v>1265</v>
      </c>
      <c r="G2263" s="10">
        <v>0</v>
      </c>
      <c r="H2263" s="10">
        <f t="shared" si="35"/>
        <v>1265</v>
      </c>
      <c r="I2263" s="10"/>
      <c r="J2263" s="10"/>
      <c r="K2263" s="10"/>
      <c r="L2263" s="4" t="s">
        <v>52</v>
      </c>
      <c r="M2263" s="4">
        <v>2258</v>
      </c>
    </row>
    <row r="2264" spans="1:13" x14ac:dyDescent="0.25">
      <c r="A2264" s="4" t="s">
        <v>1919</v>
      </c>
      <c r="B2264" s="4" t="s">
        <v>1873</v>
      </c>
      <c r="C2264" s="9" t="s">
        <v>50</v>
      </c>
      <c r="D2264" s="10">
        <v>12</v>
      </c>
      <c r="E2264" s="11" t="s">
        <v>51</v>
      </c>
      <c r="F2264" s="10">
        <v>1104</v>
      </c>
      <c r="G2264" s="10">
        <v>0</v>
      </c>
      <c r="H2264" s="10">
        <f t="shared" si="35"/>
        <v>1104</v>
      </c>
      <c r="I2264" s="10"/>
      <c r="J2264" s="10"/>
      <c r="K2264" s="10"/>
      <c r="L2264" s="4" t="s">
        <v>52</v>
      </c>
      <c r="M2264" s="4">
        <v>2259</v>
      </c>
    </row>
    <row r="2265" spans="1:13" x14ac:dyDescent="0.25">
      <c r="A2265" s="4" t="s">
        <v>1919</v>
      </c>
      <c r="B2265" s="4" t="s">
        <v>1877</v>
      </c>
      <c r="C2265" s="9" t="s">
        <v>50</v>
      </c>
      <c r="D2265" s="10">
        <v>12</v>
      </c>
      <c r="E2265" s="11" t="s">
        <v>51</v>
      </c>
      <c r="F2265" s="10">
        <v>1104</v>
      </c>
      <c r="G2265" s="10">
        <v>0</v>
      </c>
      <c r="H2265" s="10">
        <f t="shared" si="35"/>
        <v>1104</v>
      </c>
      <c r="I2265" s="10"/>
      <c r="J2265" s="10"/>
      <c r="K2265" s="10"/>
      <c r="L2265" s="4" t="s">
        <v>52</v>
      </c>
      <c r="M2265" s="4">
        <v>2260</v>
      </c>
    </row>
    <row r="2266" spans="1:13" x14ac:dyDescent="0.25">
      <c r="A2266" s="4" t="s">
        <v>1919</v>
      </c>
      <c r="B2266" s="4" t="s">
        <v>1896</v>
      </c>
      <c r="C2266" s="4" t="s">
        <v>68</v>
      </c>
      <c r="D2266" s="10">
        <v>12</v>
      </c>
      <c r="E2266" s="11" t="s">
        <v>51</v>
      </c>
      <c r="F2266" s="10">
        <v>1152</v>
      </c>
      <c r="G2266" s="10">
        <v>0</v>
      </c>
      <c r="H2266" s="10">
        <f t="shared" si="35"/>
        <v>1152</v>
      </c>
      <c r="I2266" s="10"/>
      <c r="J2266" s="10"/>
      <c r="K2266" s="10"/>
      <c r="L2266" s="4" t="s">
        <v>69</v>
      </c>
      <c r="M2266" s="4">
        <v>2261</v>
      </c>
    </row>
    <row r="2267" spans="1:13" x14ac:dyDescent="0.25">
      <c r="A2267" s="4" t="s">
        <v>1920</v>
      </c>
      <c r="B2267" s="4" t="s">
        <v>1873</v>
      </c>
      <c r="C2267" s="9" t="s">
        <v>50</v>
      </c>
      <c r="D2267" s="10">
        <v>12</v>
      </c>
      <c r="E2267" s="11" t="s">
        <v>51</v>
      </c>
      <c r="F2267" s="10">
        <v>1104</v>
      </c>
      <c r="G2267" s="10">
        <v>0</v>
      </c>
      <c r="H2267" s="10">
        <f t="shared" si="35"/>
        <v>1104</v>
      </c>
      <c r="I2267" s="10"/>
      <c r="J2267" s="10"/>
      <c r="K2267" s="10"/>
      <c r="L2267" s="4" t="s">
        <v>52</v>
      </c>
      <c r="M2267" s="4">
        <v>2262</v>
      </c>
    </row>
    <row r="2268" spans="1:13" x14ac:dyDescent="0.25">
      <c r="A2268" s="4" t="s">
        <v>1920</v>
      </c>
      <c r="B2268" s="4" t="s">
        <v>1912</v>
      </c>
      <c r="C2268" s="9" t="s">
        <v>50</v>
      </c>
      <c r="D2268" s="10">
        <v>12</v>
      </c>
      <c r="E2268" s="11" t="s">
        <v>51</v>
      </c>
      <c r="F2268" s="10"/>
      <c r="G2268" s="10">
        <v>0</v>
      </c>
      <c r="H2268" s="10">
        <f t="shared" si="35"/>
        <v>0</v>
      </c>
      <c r="I2268" s="10"/>
      <c r="J2268" s="10"/>
      <c r="K2268" s="10"/>
      <c r="L2268" s="4" t="s">
        <v>52</v>
      </c>
      <c r="M2268" s="4">
        <v>2263</v>
      </c>
    </row>
    <row r="2269" spans="1:13" x14ac:dyDescent="0.25">
      <c r="A2269" s="4" t="s">
        <v>1921</v>
      </c>
      <c r="B2269" s="4" t="s">
        <v>1873</v>
      </c>
      <c r="C2269" s="9" t="s">
        <v>50</v>
      </c>
      <c r="D2269" s="10">
        <v>12</v>
      </c>
      <c r="E2269" s="11" t="s">
        <v>51</v>
      </c>
      <c r="F2269" s="10">
        <v>1104</v>
      </c>
      <c r="G2269" s="10">
        <v>0</v>
      </c>
      <c r="H2269" s="10">
        <f t="shared" si="35"/>
        <v>1104</v>
      </c>
      <c r="I2269" s="10"/>
      <c r="J2269" s="10"/>
      <c r="K2269" s="10"/>
      <c r="L2269" s="4" t="s">
        <v>52</v>
      </c>
      <c r="M2269" s="4">
        <v>2264</v>
      </c>
    </row>
    <row r="2270" spans="1:13" x14ac:dyDescent="0.25">
      <c r="A2270" s="4" t="s">
        <v>1921</v>
      </c>
      <c r="B2270" s="4" t="s">
        <v>1912</v>
      </c>
      <c r="C2270" s="9" t="s">
        <v>50</v>
      </c>
      <c r="D2270" s="10">
        <v>12</v>
      </c>
      <c r="E2270" s="11" t="s">
        <v>51</v>
      </c>
      <c r="F2270" s="10"/>
      <c r="G2270" s="10">
        <v>0</v>
      </c>
      <c r="H2270" s="10">
        <f t="shared" si="35"/>
        <v>0</v>
      </c>
      <c r="I2270" s="10"/>
      <c r="J2270" s="10"/>
      <c r="K2270" s="10"/>
      <c r="L2270" s="4" t="s">
        <v>52</v>
      </c>
      <c r="M2270" s="4">
        <v>2265</v>
      </c>
    </row>
    <row r="2271" spans="1:13" x14ac:dyDescent="0.25">
      <c r="A2271" s="4" t="s">
        <v>1922</v>
      </c>
      <c r="B2271" s="4" t="s">
        <v>1873</v>
      </c>
      <c r="C2271" s="9" t="s">
        <v>50</v>
      </c>
      <c r="D2271" s="10">
        <v>12</v>
      </c>
      <c r="E2271" s="11" t="s">
        <v>51</v>
      </c>
      <c r="F2271" s="10">
        <v>1104</v>
      </c>
      <c r="G2271" s="10">
        <v>0</v>
      </c>
      <c r="H2271" s="10">
        <f t="shared" si="35"/>
        <v>1104</v>
      </c>
      <c r="I2271" s="10"/>
      <c r="J2271" s="10"/>
      <c r="K2271" s="10"/>
      <c r="L2271" s="4" t="s">
        <v>52</v>
      </c>
      <c r="M2271" s="4">
        <v>2266</v>
      </c>
    </row>
    <row r="2272" spans="1:13" x14ac:dyDescent="0.25">
      <c r="A2272" s="4" t="s">
        <v>1922</v>
      </c>
      <c r="B2272" s="4" t="s">
        <v>1912</v>
      </c>
      <c r="C2272" s="9" t="s">
        <v>50</v>
      </c>
      <c r="D2272" s="10">
        <v>76</v>
      </c>
      <c r="E2272" s="11" t="s">
        <v>51</v>
      </c>
      <c r="F2272" s="10"/>
      <c r="G2272" s="10">
        <v>0</v>
      </c>
      <c r="H2272" s="10">
        <f t="shared" si="35"/>
        <v>0</v>
      </c>
      <c r="I2272" s="10"/>
      <c r="J2272" s="10"/>
      <c r="K2272" s="10"/>
      <c r="L2272" s="4" t="s">
        <v>52</v>
      </c>
      <c r="M2272" s="4">
        <v>2267</v>
      </c>
    </row>
    <row r="2273" spans="1:13" x14ac:dyDescent="0.25">
      <c r="A2273" s="4" t="s">
        <v>1923</v>
      </c>
      <c r="B2273" s="4" t="s">
        <v>1875</v>
      </c>
      <c r="C2273" s="9" t="s">
        <v>50</v>
      </c>
      <c r="D2273" s="10">
        <v>16</v>
      </c>
      <c r="E2273" s="11" t="s">
        <v>51</v>
      </c>
      <c r="F2273" s="10">
        <v>1472</v>
      </c>
      <c r="G2273" s="10">
        <v>0</v>
      </c>
      <c r="H2273" s="10">
        <f t="shared" si="35"/>
        <v>1472</v>
      </c>
      <c r="I2273" s="10"/>
      <c r="J2273" s="10"/>
      <c r="K2273" s="10"/>
      <c r="L2273" s="4" t="s">
        <v>52</v>
      </c>
      <c r="M2273" s="4">
        <v>2268</v>
      </c>
    </row>
    <row r="2274" spans="1:13" x14ac:dyDescent="0.25">
      <c r="A2274" s="4" t="s">
        <v>1923</v>
      </c>
      <c r="B2274" s="4" t="s">
        <v>1874</v>
      </c>
      <c r="C2274" s="9" t="s">
        <v>50</v>
      </c>
      <c r="D2274" s="10">
        <v>16</v>
      </c>
      <c r="E2274" s="11" t="s">
        <v>51</v>
      </c>
      <c r="F2274" s="10">
        <v>1472</v>
      </c>
      <c r="G2274" s="10">
        <v>0</v>
      </c>
      <c r="H2274" s="10">
        <f t="shared" si="35"/>
        <v>1472</v>
      </c>
      <c r="I2274" s="10"/>
      <c r="J2274" s="10"/>
      <c r="K2274" s="10"/>
      <c r="L2274" s="4" t="s">
        <v>52</v>
      </c>
      <c r="M2274" s="4">
        <v>2269</v>
      </c>
    </row>
    <row r="2275" spans="1:13" x14ac:dyDescent="0.25">
      <c r="A2275" s="4" t="s">
        <v>1923</v>
      </c>
      <c r="B2275" s="4" t="s">
        <v>1873</v>
      </c>
      <c r="C2275" s="9" t="s">
        <v>50</v>
      </c>
      <c r="D2275" s="10">
        <v>12</v>
      </c>
      <c r="E2275" s="11" t="s">
        <v>51</v>
      </c>
      <c r="F2275" s="10">
        <v>1104</v>
      </c>
      <c r="G2275" s="10">
        <v>0</v>
      </c>
      <c r="H2275" s="10">
        <f t="shared" si="35"/>
        <v>1104</v>
      </c>
      <c r="I2275" s="10"/>
      <c r="J2275" s="10"/>
      <c r="K2275" s="10"/>
      <c r="L2275" s="4" t="s">
        <v>52</v>
      </c>
      <c r="M2275" s="4">
        <v>2270</v>
      </c>
    </row>
    <row r="2276" spans="1:13" x14ac:dyDescent="0.25">
      <c r="A2276" s="4" t="s">
        <v>1923</v>
      </c>
      <c r="B2276" s="4" t="s">
        <v>1877</v>
      </c>
      <c r="C2276" s="9" t="s">
        <v>50</v>
      </c>
      <c r="D2276" s="10">
        <v>16</v>
      </c>
      <c r="E2276" s="11" t="s">
        <v>51</v>
      </c>
      <c r="F2276" s="10">
        <v>1472</v>
      </c>
      <c r="G2276" s="10">
        <v>0</v>
      </c>
      <c r="H2276" s="10">
        <f t="shared" si="35"/>
        <v>1472</v>
      </c>
      <c r="I2276" s="10"/>
      <c r="J2276" s="10"/>
      <c r="K2276" s="10"/>
      <c r="L2276" s="4" t="s">
        <v>52</v>
      </c>
      <c r="M2276" s="4">
        <v>2271</v>
      </c>
    </row>
    <row r="2277" spans="1:13" x14ac:dyDescent="0.25">
      <c r="A2277" s="4" t="s">
        <v>1923</v>
      </c>
      <c r="B2277" s="4" t="s">
        <v>425</v>
      </c>
      <c r="C2277" s="4" t="s">
        <v>68</v>
      </c>
      <c r="D2277" s="10">
        <v>72</v>
      </c>
      <c r="E2277" s="11" t="s">
        <v>51</v>
      </c>
      <c r="F2277" s="10">
        <v>1536</v>
      </c>
      <c r="G2277" s="10">
        <v>0</v>
      </c>
      <c r="H2277" s="10">
        <f t="shared" si="35"/>
        <v>1536</v>
      </c>
      <c r="I2277" s="10"/>
      <c r="J2277" s="10"/>
      <c r="K2277" s="10"/>
      <c r="L2277" s="4" t="s">
        <v>69</v>
      </c>
      <c r="M2277" s="4">
        <v>2272</v>
      </c>
    </row>
    <row r="2278" spans="1:13" x14ac:dyDescent="0.25">
      <c r="A2278" s="4" t="s">
        <v>1924</v>
      </c>
      <c r="B2278" s="4" t="s">
        <v>1877</v>
      </c>
      <c r="C2278" s="9" t="s">
        <v>50</v>
      </c>
      <c r="D2278" s="10">
        <v>16</v>
      </c>
      <c r="E2278" s="11" t="s">
        <v>51</v>
      </c>
      <c r="F2278" s="10">
        <v>1472</v>
      </c>
      <c r="G2278" s="10">
        <v>0</v>
      </c>
      <c r="H2278" s="10">
        <f t="shared" si="35"/>
        <v>1472</v>
      </c>
      <c r="I2278" s="10"/>
      <c r="J2278" s="10"/>
      <c r="K2278" s="10"/>
      <c r="L2278" s="4" t="s">
        <v>52</v>
      </c>
      <c r="M2278" s="4">
        <v>2273</v>
      </c>
    </row>
    <row r="2279" spans="1:13" x14ac:dyDescent="0.25">
      <c r="A2279" s="4" t="s">
        <v>1924</v>
      </c>
      <c r="B2279" s="4" t="s">
        <v>1875</v>
      </c>
      <c r="C2279" s="9" t="s">
        <v>50</v>
      </c>
      <c r="D2279" s="10">
        <v>12</v>
      </c>
      <c r="E2279" s="11" t="s">
        <v>51</v>
      </c>
      <c r="F2279" s="10">
        <v>1472</v>
      </c>
      <c r="G2279" s="10">
        <v>0</v>
      </c>
      <c r="H2279" s="10">
        <f t="shared" si="35"/>
        <v>1472</v>
      </c>
      <c r="I2279" s="10"/>
      <c r="J2279" s="10"/>
      <c r="K2279" s="10"/>
      <c r="L2279" s="4" t="s">
        <v>52</v>
      </c>
      <c r="M2279" s="4">
        <v>2274</v>
      </c>
    </row>
    <row r="2280" spans="1:13" x14ac:dyDescent="0.25">
      <c r="A2280" s="4" t="s">
        <v>1924</v>
      </c>
      <c r="B2280" s="4" t="s">
        <v>1874</v>
      </c>
      <c r="C2280" s="9" t="s">
        <v>50</v>
      </c>
      <c r="D2280" s="10">
        <v>16</v>
      </c>
      <c r="E2280" s="11" t="s">
        <v>51</v>
      </c>
      <c r="F2280" s="10">
        <v>1472</v>
      </c>
      <c r="G2280" s="10">
        <v>0</v>
      </c>
      <c r="H2280" s="10">
        <f t="shared" si="35"/>
        <v>1472</v>
      </c>
      <c r="I2280" s="10"/>
      <c r="J2280" s="10"/>
      <c r="K2280" s="10"/>
      <c r="L2280" s="4" t="s">
        <v>52</v>
      </c>
      <c r="M2280" s="4">
        <v>2275</v>
      </c>
    </row>
    <row r="2281" spans="1:13" x14ac:dyDescent="0.25">
      <c r="A2281" s="4" t="s">
        <v>1924</v>
      </c>
      <c r="B2281" s="4" t="s">
        <v>1873</v>
      </c>
      <c r="C2281" s="9" t="s">
        <v>50</v>
      </c>
      <c r="D2281" s="10">
        <v>12</v>
      </c>
      <c r="E2281" s="11" t="s">
        <v>51</v>
      </c>
      <c r="F2281" s="10">
        <v>1104</v>
      </c>
      <c r="G2281" s="10">
        <v>0</v>
      </c>
      <c r="H2281" s="10">
        <f t="shared" si="35"/>
        <v>1104</v>
      </c>
      <c r="I2281" s="10"/>
      <c r="J2281" s="10"/>
      <c r="K2281" s="10"/>
      <c r="L2281" s="4" t="s">
        <v>52</v>
      </c>
      <c r="M2281" s="4">
        <v>2276</v>
      </c>
    </row>
    <row r="2282" spans="1:13" x14ac:dyDescent="0.25">
      <c r="A2282" s="4" t="s">
        <v>1924</v>
      </c>
      <c r="B2282" s="4" t="s">
        <v>1896</v>
      </c>
      <c r="C2282" s="4" t="s">
        <v>68</v>
      </c>
      <c r="D2282" s="10">
        <v>64</v>
      </c>
      <c r="E2282" s="11" t="s">
        <v>51</v>
      </c>
      <c r="F2282" s="10">
        <v>1536</v>
      </c>
      <c r="G2282" s="10">
        <v>0</v>
      </c>
      <c r="H2282" s="10">
        <f t="shared" si="35"/>
        <v>1536</v>
      </c>
      <c r="I2282" s="10"/>
      <c r="J2282" s="10"/>
      <c r="K2282" s="10"/>
      <c r="L2282" s="4" t="s">
        <v>69</v>
      </c>
      <c r="M2282" s="4">
        <v>2277</v>
      </c>
    </row>
    <row r="2283" spans="1:13" x14ac:dyDescent="0.25">
      <c r="A2283" s="4" t="s">
        <v>1925</v>
      </c>
      <c r="B2283" s="4" t="s">
        <v>1875</v>
      </c>
      <c r="C2283" s="9" t="s">
        <v>50</v>
      </c>
      <c r="D2283" s="10">
        <v>12</v>
      </c>
      <c r="E2283" s="11" t="s">
        <v>51</v>
      </c>
      <c r="F2283" s="10">
        <v>1104</v>
      </c>
      <c r="G2283" s="10">
        <v>0</v>
      </c>
      <c r="H2283" s="10">
        <f t="shared" si="35"/>
        <v>1104</v>
      </c>
      <c r="I2283" s="10"/>
      <c r="J2283" s="10"/>
      <c r="K2283" s="10"/>
      <c r="L2283" s="4" t="s">
        <v>52</v>
      </c>
      <c r="M2283" s="4">
        <v>2278</v>
      </c>
    </row>
    <row r="2284" spans="1:13" x14ac:dyDescent="0.25">
      <c r="A2284" s="4" t="s">
        <v>1925</v>
      </c>
      <c r="B2284" s="4" t="s">
        <v>1874</v>
      </c>
      <c r="C2284" s="9" t="s">
        <v>50</v>
      </c>
      <c r="D2284" s="10">
        <v>16</v>
      </c>
      <c r="E2284" s="11" t="s">
        <v>51</v>
      </c>
      <c r="F2284" s="10">
        <v>1472</v>
      </c>
      <c r="G2284" s="10">
        <v>0</v>
      </c>
      <c r="H2284" s="10">
        <f t="shared" si="35"/>
        <v>1472</v>
      </c>
      <c r="I2284" s="10"/>
      <c r="J2284" s="10"/>
      <c r="K2284" s="10"/>
      <c r="L2284" s="4" t="s">
        <v>52</v>
      </c>
      <c r="M2284" s="4">
        <v>2279</v>
      </c>
    </row>
    <row r="2285" spans="1:13" x14ac:dyDescent="0.25">
      <c r="A2285" s="4" t="s">
        <v>1925</v>
      </c>
      <c r="B2285" s="4" t="s">
        <v>1873</v>
      </c>
      <c r="C2285" s="9" t="s">
        <v>50</v>
      </c>
      <c r="D2285" s="10">
        <v>12</v>
      </c>
      <c r="E2285" s="11" t="s">
        <v>51</v>
      </c>
      <c r="F2285" s="10">
        <v>1288</v>
      </c>
      <c r="G2285" s="10">
        <v>0</v>
      </c>
      <c r="H2285" s="10">
        <f t="shared" si="35"/>
        <v>1288</v>
      </c>
      <c r="I2285" s="10"/>
      <c r="J2285" s="10"/>
      <c r="K2285" s="10"/>
      <c r="L2285" s="4" t="s">
        <v>52</v>
      </c>
      <c r="M2285" s="4">
        <v>2280</v>
      </c>
    </row>
    <row r="2286" spans="1:13" x14ac:dyDescent="0.25">
      <c r="A2286" s="4" t="s">
        <v>1925</v>
      </c>
      <c r="B2286" s="4" t="s">
        <v>1877</v>
      </c>
      <c r="C2286" s="9" t="s">
        <v>50</v>
      </c>
      <c r="D2286" s="10">
        <v>12</v>
      </c>
      <c r="E2286" s="11" t="s">
        <v>51</v>
      </c>
      <c r="F2286" s="10">
        <v>1104</v>
      </c>
      <c r="G2286" s="10">
        <v>0</v>
      </c>
      <c r="H2286" s="10">
        <f t="shared" si="35"/>
        <v>1104</v>
      </c>
      <c r="I2286" s="10"/>
      <c r="J2286" s="10"/>
      <c r="K2286" s="10"/>
      <c r="L2286" s="4" t="s">
        <v>52</v>
      </c>
      <c r="M2286" s="4">
        <v>2281</v>
      </c>
    </row>
    <row r="2287" spans="1:13" x14ac:dyDescent="0.25">
      <c r="A2287" s="4" t="s">
        <v>1925</v>
      </c>
      <c r="B2287" s="4" t="s">
        <v>1896</v>
      </c>
      <c r="C2287" s="4" t="s">
        <v>68</v>
      </c>
      <c r="D2287" s="10">
        <v>72</v>
      </c>
      <c r="E2287" s="11" t="s">
        <v>51</v>
      </c>
      <c r="F2287" s="10">
        <v>1152</v>
      </c>
      <c r="G2287" s="10">
        <v>0</v>
      </c>
      <c r="H2287" s="10">
        <f t="shared" si="35"/>
        <v>1152</v>
      </c>
      <c r="I2287" s="10"/>
      <c r="J2287" s="10"/>
      <c r="K2287" s="10"/>
      <c r="L2287" s="4" t="s">
        <v>69</v>
      </c>
      <c r="M2287" s="4">
        <v>2282</v>
      </c>
    </row>
    <row r="2288" spans="1:13" x14ac:dyDescent="0.25">
      <c r="A2288" s="4" t="s">
        <v>1926</v>
      </c>
      <c r="B2288" s="4" t="s">
        <v>1877</v>
      </c>
      <c r="C2288" s="9" t="s">
        <v>50</v>
      </c>
      <c r="D2288" s="10">
        <v>16</v>
      </c>
      <c r="E2288" s="11" t="s">
        <v>51</v>
      </c>
      <c r="F2288" s="10">
        <v>1472</v>
      </c>
      <c r="G2288" s="10">
        <v>0</v>
      </c>
      <c r="H2288" s="10">
        <f t="shared" si="35"/>
        <v>1472</v>
      </c>
      <c r="I2288" s="10"/>
      <c r="J2288" s="10"/>
      <c r="K2288" s="10"/>
      <c r="L2288" s="4" t="s">
        <v>52</v>
      </c>
      <c r="M2288" s="4">
        <v>2283</v>
      </c>
    </row>
    <row r="2289" spans="1:13" x14ac:dyDescent="0.25">
      <c r="A2289" s="4" t="s">
        <v>1926</v>
      </c>
      <c r="B2289" s="4" t="s">
        <v>1875</v>
      </c>
      <c r="C2289" s="9" t="s">
        <v>50</v>
      </c>
      <c r="D2289" s="10">
        <v>12</v>
      </c>
      <c r="E2289" s="11" t="s">
        <v>51</v>
      </c>
      <c r="F2289" s="10">
        <v>1104</v>
      </c>
      <c r="G2289" s="10">
        <v>0</v>
      </c>
      <c r="H2289" s="10">
        <f t="shared" si="35"/>
        <v>1104</v>
      </c>
      <c r="I2289" s="10"/>
      <c r="J2289" s="10"/>
      <c r="K2289" s="10"/>
      <c r="L2289" s="4" t="s">
        <v>52</v>
      </c>
      <c r="M2289" s="4">
        <v>2284</v>
      </c>
    </row>
    <row r="2290" spans="1:13" x14ac:dyDescent="0.25">
      <c r="A2290" s="4" t="s">
        <v>1926</v>
      </c>
      <c r="B2290" s="4" t="s">
        <v>1874</v>
      </c>
      <c r="C2290" s="9" t="s">
        <v>50</v>
      </c>
      <c r="D2290" s="10">
        <v>16</v>
      </c>
      <c r="E2290" s="11" t="s">
        <v>51</v>
      </c>
      <c r="F2290" s="10">
        <v>2298</v>
      </c>
      <c r="G2290" s="10">
        <v>0</v>
      </c>
      <c r="H2290" s="10">
        <f t="shared" si="35"/>
        <v>2298</v>
      </c>
      <c r="I2290" s="10"/>
      <c r="J2290" s="10"/>
      <c r="K2290" s="10"/>
      <c r="L2290" s="4" t="s">
        <v>52</v>
      </c>
      <c r="M2290" s="4">
        <v>2285</v>
      </c>
    </row>
    <row r="2291" spans="1:13" x14ac:dyDescent="0.25">
      <c r="A2291" s="4" t="s">
        <v>1926</v>
      </c>
      <c r="B2291" s="4" t="s">
        <v>1873</v>
      </c>
      <c r="C2291" s="9" t="s">
        <v>50</v>
      </c>
      <c r="D2291" s="10">
        <v>12</v>
      </c>
      <c r="E2291" s="11" t="s">
        <v>51</v>
      </c>
      <c r="F2291" s="10">
        <v>1104</v>
      </c>
      <c r="G2291" s="10">
        <v>0</v>
      </c>
      <c r="H2291" s="10">
        <f t="shared" si="35"/>
        <v>1104</v>
      </c>
      <c r="I2291" s="10"/>
      <c r="J2291" s="10"/>
      <c r="K2291" s="10"/>
      <c r="L2291" s="4" t="s">
        <v>52</v>
      </c>
      <c r="M2291" s="4">
        <v>2286</v>
      </c>
    </row>
    <row r="2292" spans="1:13" x14ac:dyDescent="0.25">
      <c r="A2292" s="4" t="s">
        <v>1926</v>
      </c>
      <c r="B2292" s="4" t="s">
        <v>1896</v>
      </c>
      <c r="C2292" s="4" t="s">
        <v>68</v>
      </c>
      <c r="D2292" s="10">
        <v>56</v>
      </c>
      <c r="E2292" s="11" t="s">
        <v>51</v>
      </c>
      <c r="F2292" s="10">
        <v>1536</v>
      </c>
      <c r="G2292" s="10">
        <v>0</v>
      </c>
      <c r="H2292" s="10">
        <f t="shared" si="35"/>
        <v>1536</v>
      </c>
      <c r="I2292" s="10"/>
      <c r="J2292" s="10"/>
      <c r="K2292" s="10"/>
      <c r="L2292" s="4" t="s">
        <v>69</v>
      </c>
      <c r="M2292" s="4">
        <v>2287</v>
      </c>
    </row>
    <row r="2293" spans="1:13" x14ac:dyDescent="0.25">
      <c r="A2293" s="4" t="s">
        <v>1927</v>
      </c>
      <c r="B2293" s="4" t="s">
        <v>1877</v>
      </c>
      <c r="C2293" s="9" t="s">
        <v>50</v>
      </c>
      <c r="D2293" s="10"/>
      <c r="E2293" s="11" t="s">
        <v>51</v>
      </c>
      <c r="F2293" s="10">
        <v>1472</v>
      </c>
      <c r="G2293" s="10">
        <v>0</v>
      </c>
      <c r="H2293" s="10">
        <f t="shared" si="35"/>
        <v>1472</v>
      </c>
      <c r="I2293" s="10"/>
      <c r="J2293" s="10"/>
      <c r="K2293" s="10"/>
      <c r="L2293" s="4" t="s">
        <v>52</v>
      </c>
      <c r="M2293" s="4">
        <v>2288</v>
      </c>
    </row>
    <row r="2294" spans="1:13" x14ac:dyDescent="0.25">
      <c r="A2294" s="4" t="s">
        <v>1927</v>
      </c>
      <c r="B2294" s="4" t="s">
        <v>1875</v>
      </c>
      <c r="C2294" s="9" t="s">
        <v>50</v>
      </c>
      <c r="D2294" s="10">
        <v>12</v>
      </c>
      <c r="E2294" s="11" t="s">
        <v>51</v>
      </c>
      <c r="F2294" s="10">
        <v>1104</v>
      </c>
      <c r="G2294" s="10">
        <v>0</v>
      </c>
      <c r="H2294" s="10">
        <f t="shared" si="35"/>
        <v>1104</v>
      </c>
      <c r="I2294" s="10"/>
      <c r="J2294" s="10"/>
      <c r="K2294" s="10"/>
      <c r="L2294" s="4" t="s">
        <v>52</v>
      </c>
      <c r="M2294" s="4">
        <v>2289</v>
      </c>
    </row>
    <row r="2295" spans="1:13" x14ac:dyDescent="0.25">
      <c r="A2295" s="4" t="s">
        <v>1927</v>
      </c>
      <c r="B2295" s="4" t="s">
        <v>1874</v>
      </c>
      <c r="C2295" s="9" t="s">
        <v>50</v>
      </c>
      <c r="D2295" s="10">
        <v>16</v>
      </c>
      <c r="E2295" s="11" t="s">
        <v>51</v>
      </c>
      <c r="F2295" s="10">
        <v>2392</v>
      </c>
      <c r="G2295" s="10">
        <v>0</v>
      </c>
      <c r="H2295" s="10">
        <f t="shared" si="35"/>
        <v>2392</v>
      </c>
      <c r="I2295" s="10"/>
      <c r="J2295" s="10"/>
      <c r="K2295" s="10"/>
      <c r="L2295" s="4" t="s">
        <v>52</v>
      </c>
      <c r="M2295" s="4">
        <v>2290</v>
      </c>
    </row>
    <row r="2296" spans="1:13" x14ac:dyDescent="0.25">
      <c r="A2296" s="4" t="s">
        <v>1927</v>
      </c>
      <c r="B2296" s="4" t="s">
        <v>1873</v>
      </c>
      <c r="C2296" s="9" t="s">
        <v>50</v>
      </c>
      <c r="D2296" s="10">
        <v>12</v>
      </c>
      <c r="E2296" s="11" t="s">
        <v>51</v>
      </c>
      <c r="F2296" s="10">
        <v>1104</v>
      </c>
      <c r="G2296" s="10">
        <v>0</v>
      </c>
      <c r="H2296" s="10">
        <f t="shared" si="35"/>
        <v>1104</v>
      </c>
      <c r="I2296" s="10"/>
      <c r="J2296" s="10"/>
      <c r="K2296" s="10"/>
      <c r="L2296" s="4" t="s">
        <v>52</v>
      </c>
      <c r="M2296" s="4">
        <v>2291</v>
      </c>
    </row>
    <row r="2297" spans="1:13" x14ac:dyDescent="0.25">
      <c r="A2297" s="4" t="s">
        <v>1927</v>
      </c>
      <c r="B2297" s="4" t="s">
        <v>425</v>
      </c>
      <c r="C2297" s="4" t="s">
        <v>68</v>
      </c>
      <c r="D2297" s="10">
        <v>48</v>
      </c>
      <c r="E2297" s="11" t="s">
        <v>51</v>
      </c>
      <c r="F2297" s="10">
        <v>1536</v>
      </c>
      <c r="G2297" s="10">
        <v>0</v>
      </c>
      <c r="H2297" s="10">
        <f t="shared" si="35"/>
        <v>1536</v>
      </c>
      <c r="I2297" s="10"/>
      <c r="J2297" s="10"/>
      <c r="K2297" s="10"/>
      <c r="L2297" s="4" t="s">
        <v>69</v>
      </c>
      <c r="M2297" s="4">
        <v>2292</v>
      </c>
    </row>
    <row r="2298" spans="1:13" x14ac:dyDescent="0.25">
      <c r="A2298" s="4" t="s">
        <v>1928</v>
      </c>
      <c r="B2298" s="4" t="s">
        <v>1873</v>
      </c>
      <c r="C2298" s="9" t="s">
        <v>50</v>
      </c>
      <c r="D2298" s="10">
        <v>12</v>
      </c>
      <c r="E2298" s="11" t="s">
        <v>51</v>
      </c>
      <c r="F2298" s="10">
        <v>1104</v>
      </c>
      <c r="G2298" s="10">
        <v>0</v>
      </c>
      <c r="H2298" s="10">
        <f t="shared" si="35"/>
        <v>1104</v>
      </c>
      <c r="I2298" s="10"/>
      <c r="J2298" s="10"/>
      <c r="K2298" s="10"/>
      <c r="L2298" s="4" t="s">
        <v>52</v>
      </c>
      <c r="M2298" s="4">
        <v>2293</v>
      </c>
    </row>
    <row r="2299" spans="1:13" x14ac:dyDescent="0.25">
      <c r="A2299" s="4" t="s">
        <v>1928</v>
      </c>
      <c r="B2299" s="4" t="s">
        <v>1874</v>
      </c>
      <c r="C2299" s="9" t="s">
        <v>50</v>
      </c>
      <c r="D2299" s="10">
        <v>16</v>
      </c>
      <c r="E2299" s="11" t="s">
        <v>51</v>
      </c>
      <c r="F2299" s="10">
        <v>1973.2</v>
      </c>
      <c r="G2299" s="10">
        <v>0</v>
      </c>
      <c r="H2299" s="10">
        <f t="shared" si="35"/>
        <v>1973.2</v>
      </c>
      <c r="I2299" s="10"/>
      <c r="J2299" s="10"/>
      <c r="K2299" s="10"/>
      <c r="L2299" s="4" t="s">
        <v>52</v>
      </c>
      <c r="M2299" s="4">
        <v>2294</v>
      </c>
    </row>
    <row r="2300" spans="1:13" x14ac:dyDescent="0.25">
      <c r="A2300" s="4" t="s">
        <v>1928</v>
      </c>
      <c r="B2300" s="4" t="s">
        <v>1875</v>
      </c>
      <c r="C2300" s="9" t="s">
        <v>50</v>
      </c>
      <c r="D2300" s="10"/>
      <c r="E2300" s="11" t="s">
        <v>51</v>
      </c>
      <c r="F2300" s="10"/>
      <c r="G2300" s="10">
        <v>0</v>
      </c>
      <c r="H2300" s="10">
        <f t="shared" si="35"/>
        <v>0</v>
      </c>
      <c r="I2300" s="10"/>
      <c r="J2300" s="10"/>
      <c r="K2300" s="10"/>
      <c r="L2300" s="4" t="s">
        <v>52</v>
      </c>
      <c r="M2300" s="4">
        <v>2295</v>
      </c>
    </row>
    <row r="2301" spans="1:13" x14ac:dyDescent="0.25">
      <c r="A2301" s="4" t="s">
        <v>1928</v>
      </c>
      <c r="B2301" s="4" t="s">
        <v>1912</v>
      </c>
      <c r="C2301" s="9" t="s">
        <v>50</v>
      </c>
      <c r="D2301" s="10"/>
      <c r="E2301" s="11" t="s">
        <v>51</v>
      </c>
      <c r="F2301" s="10"/>
      <c r="G2301" s="10">
        <v>0</v>
      </c>
      <c r="H2301" s="10">
        <f t="shared" si="35"/>
        <v>0</v>
      </c>
      <c r="I2301" s="10"/>
      <c r="J2301" s="10"/>
      <c r="K2301" s="10"/>
      <c r="L2301" s="4" t="s">
        <v>52</v>
      </c>
      <c r="M2301" s="4">
        <v>2296</v>
      </c>
    </row>
    <row r="2302" spans="1:13" x14ac:dyDescent="0.25">
      <c r="A2302" s="4" t="s">
        <v>1928</v>
      </c>
      <c r="B2302" s="4" t="s">
        <v>425</v>
      </c>
      <c r="C2302" s="4" t="s">
        <v>68</v>
      </c>
      <c r="D2302" s="10">
        <v>48</v>
      </c>
      <c r="E2302" s="11" t="s">
        <v>51</v>
      </c>
      <c r="F2302" s="10"/>
      <c r="G2302" s="10">
        <v>0</v>
      </c>
      <c r="H2302" s="10">
        <f t="shared" si="35"/>
        <v>0</v>
      </c>
      <c r="I2302" s="10"/>
      <c r="J2302" s="10"/>
      <c r="K2302" s="10"/>
      <c r="L2302" s="4" t="s">
        <v>69</v>
      </c>
      <c r="M2302" s="4">
        <v>2297</v>
      </c>
    </row>
    <row r="2303" spans="1:13" x14ac:dyDescent="0.25">
      <c r="A2303" s="4" t="s">
        <v>1929</v>
      </c>
      <c r="B2303" s="4" t="s">
        <v>1930</v>
      </c>
      <c r="C2303" s="4" t="s">
        <v>68</v>
      </c>
      <c r="D2303" s="10">
        <v>12</v>
      </c>
      <c r="E2303" s="11" t="s">
        <v>51</v>
      </c>
      <c r="F2303" s="10">
        <v>1104</v>
      </c>
      <c r="G2303" s="10">
        <v>0</v>
      </c>
      <c r="H2303" s="10">
        <f t="shared" si="35"/>
        <v>1104</v>
      </c>
      <c r="I2303" s="10"/>
      <c r="J2303" s="10"/>
      <c r="K2303" s="10"/>
      <c r="L2303" s="4" t="s">
        <v>69</v>
      </c>
      <c r="M2303" s="4">
        <v>2298</v>
      </c>
    </row>
    <row r="2304" spans="1:13" x14ac:dyDescent="0.25">
      <c r="A2304" s="4" t="s">
        <v>1929</v>
      </c>
      <c r="B2304" s="4" t="s">
        <v>1931</v>
      </c>
      <c r="C2304" s="4" t="s">
        <v>68</v>
      </c>
      <c r="D2304" s="10">
        <v>16</v>
      </c>
      <c r="E2304" s="11" t="s">
        <v>51</v>
      </c>
      <c r="F2304" s="10">
        <v>1614.8</v>
      </c>
      <c r="G2304" s="10">
        <v>0</v>
      </c>
      <c r="H2304" s="10">
        <f t="shared" si="35"/>
        <v>1614.8</v>
      </c>
      <c r="I2304" s="10"/>
      <c r="J2304" s="10"/>
      <c r="K2304" s="10"/>
      <c r="L2304" s="4" t="s">
        <v>69</v>
      </c>
      <c r="M2304" s="4">
        <v>2299</v>
      </c>
    </row>
    <row r="2305" spans="1:13" x14ac:dyDescent="0.25">
      <c r="A2305" s="4" t="s">
        <v>1929</v>
      </c>
      <c r="B2305" s="4" t="s">
        <v>1932</v>
      </c>
      <c r="C2305" s="4" t="s">
        <v>68</v>
      </c>
      <c r="D2305" s="10"/>
      <c r="E2305" s="11" t="s">
        <v>51</v>
      </c>
      <c r="F2305" s="10"/>
      <c r="G2305" s="10">
        <v>0</v>
      </c>
      <c r="H2305" s="10">
        <f t="shared" si="35"/>
        <v>0</v>
      </c>
      <c r="I2305" s="10"/>
      <c r="J2305" s="10"/>
      <c r="K2305" s="10"/>
      <c r="L2305" s="4" t="s">
        <v>69</v>
      </c>
      <c r="M2305" s="4">
        <v>2300</v>
      </c>
    </row>
    <row r="2306" spans="1:13" x14ac:dyDescent="0.25">
      <c r="A2306" s="4" t="s">
        <v>1929</v>
      </c>
      <c r="B2306" s="4" t="s">
        <v>1933</v>
      </c>
      <c r="C2306" s="4" t="s">
        <v>68</v>
      </c>
      <c r="D2306" s="10"/>
      <c r="E2306" s="11" t="s">
        <v>51</v>
      </c>
      <c r="F2306" s="10"/>
      <c r="G2306" s="10">
        <v>0</v>
      </c>
      <c r="H2306" s="10">
        <f t="shared" si="35"/>
        <v>0</v>
      </c>
      <c r="I2306" s="10"/>
      <c r="J2306" s="10"/>
      <c r="K2306" s="10"/>
      <c r="L2306" s="4" t="s">
        <v>69</v>
      </c>
      <c r="M2306" s="4">
        <v>2301</v>
      </c>
    </row>
    <row r="2307" spans="1:13" x14ac:dyDescent="0.25">
      <c r="A2307" s="4" t="s">
        <v>1929</v>
      </c>
      <c r="B2307" s="4" t="s">
        <v>425</v>
      </c>
      <c r="C2307" s="4" t="s">
        <v>68</v>
      </c>
      <c r="D2307" s="10">
        <v>16</v>
      </c>
      <c r="E2307" s="11" t="s">
        <v>51</v>
      </c>
      <c r="F2307" s="10"/>
      <c r="G2307" s="10">
        <v>0</v>
      </c>
      <c r="H2307" s="10">
        <f t="shared" si="35"/>
        <v>0</v>
      </c>
      <c r="I2307" s="10"/>
      <c r="J2307" s="10"/>
      <c r="K2307" s="10"/>
      <c r="L2307" s="4" t="s">
        <v>69</v>
      </c>
      <c r="M2307" s="4">
        <v>2302</v>
      </c>
    </row>
    <row r="2308" spans="1:13" x14ac:dyDescent="0.25">
      <c r="A2308" s="4" t="s">
        <v>1934</v>
      </c>
      <c r="B2308" s="4" t="s">
        <v>117</v>
      </c>
      <c r="C2308" s="9" t="s">
        <v>50</v>
      </c>
      <c r="D2308" s="10">
        <v>64</v>
      </c>
      <c r="E2308" s="11" t="s">
        <v>51</v>
      </c>
      <c r="F2308" s="10">
        <v>1750</v>
      </c>
      <c r="G2308" s="10">
        <v>0</v>
      </c>
      <c r="H2308" s="10">
        <f t="shared" si="35"/>
        <v>1750</v>
      </c>
      <c r="I2308" s="10"/>
      <c r="J2308" s="10"/>
      <c r="K2308" s="10"/>
      <c r="L2308" s="4" t="s">
        <v>52</v>
      </c>
      <c r="M2308" s="4">
        <v>2303</v>
      </c>
    </row>
    <row r="2309" spans="1:13" x14ac:dyDescent="0.25">
      <c r="A2309" s="4" t="s">
        <v>1935</v>
      </c>
      <c r="B2309" s="4" t="s">
        <v>1936</v>
      </c>
      <c r="C2309" s="4" t="s">
        <v>68</v>
      </c>
      <c r="D2309" s="10">
        <v>16</v>
      </c>
      <c r="E2309" s="11" t="s">
        <v>51</v>
      </c>
      <c r="F2309" s="10">
        <v>1472</v>
      </c>
      <c r="G2309" s="10">
        <v>0</v>
      </c>
      <c r="H2309" s="10">
        <f t="shared" si="35"/>
        <v>1472</v>
      </c>
      <c r="I2309" s="10"/>
      <c r="J2309" s="10"/>
      <c r="K2309" s="10"/>
      <c r="L2309" s="4" t="s">
        <v>69</v>
      </c>
      <c r="M2309" s="4">
        <v>2304</v>
      </c>
    </row>
    <row r="2310" spans="1:13" x14ac:dyDescent="0.25">
      <c r="A2310" s="4" t="s">
        <v>1935</v>
      </c>
      <c r="B2310" s="4" t="s">
        <v>1937</v>
      </c>
      <c r="C2310" s="4" t="s">
        <v>68</v>
      </c>
      <c r="D2310" s="10">
        <v>16</v>
      </c>
      <c r="E2310" s="11" t="s">
        <v>51</v>
      </c>
      <c r="F2310" s="10">
        <v>1472</v>
      </c>
      <c r="G2310" s="10">
        <v>0</v>
      </c>
      <c r="H2310" s="10">
        <f t="shared" ref="H2310:H2373" si="36">F2310-G2310</f>
        <v>1472</v>
      </c>
      <c r="I2310" s="10"/>
      <c r="J2310" s="10"/>
      <c r="K2310" s="10"/>
      <c r="L2310" s="4" t="s">
        <v>69</v>
      </c>
      <c r="M2310" s="4">
        <v>2305</v>
      </c>
    </row>
    <row r="2311" spans="1:13" x14ac:dyDescent="0.25">
      <c r="A2311" s="4" t="s">
        <v>1935</v>
      </c>
      <c r="B2311" s="4" t="s">
        <v>1938</v>
      </c>
      <c r="C2311" s="4" t="s">
        <v>68</v>
      </c>
      <c r="D2311" s="10"/>
      <c r="E2311" s="11" t="s">
        <v>51</v>
      </c>
      <c r="F2311" s="10">
        <v>1472</v>
      </c>
      <c r="G2311" s="10">
        <v>0</v>
      </c>
      <c r="H2311" s="10">
        <f t="shared" si="36"/>
        <v>1472</v>
      </c>
      <c r="I2311" s="10"/>
      <c r="J2311" s="10"/>
      <c r="K2311" s="10"/>
      <c r="L2311" s="4" t="s">
        <v>69</v>
      </c>
      <c r="M2311" s="4">
        <v>2306</v>
      </c>
    </row>
    <row r="2312" spans="1:13" x14ac:dyDescent="0.25">
      <c r="A2312" s="4" t="s">
        <v>1935</v>
      </c>
      <c r="B2312" s="4" t="s">
        <v>1896</v>
      </c>
      <c r="C2312" s="4" t="s">
        <v>68</v>
      </c>
      <c r="D2312" s="10">
        <v>32</v>
      </c>
      <c r="E2312" s="11" t="s">
        <v>51</v>
      </c>
      <c r="F2312" s="10">
        <v>1536</v>
      </c>
      <c r="G2312" s="10">
        <v>0</v>
      </c>
      <c r="H2312" s="10">
        <f t="shared" si="36"/>
        <v>1536</v>
      </c>
      <c r="I2312" s="10"/>
      <c r="J2312" s="10"/>
      <c r="K2312" s="10"/>
      <c r="L2312" s="4" t="s">
        <v>69</v>
      </c>
      <c r="M2312" s="4">
        <v>2307</v>
      </c>
    </row>
    <row r="2313" spans="1:13" x14ac:dyDescent="0.25">
      <c r="A2313" s="4" t="s">
        <v>1939</v>
      </c>
      <c r="B2313" s="4" t="s">
        <v>1936</v>
      </c>
      <c r="C2313" s="4" t="s">
        <v>68</v>
      </c>
      <c r="D2313" s="10">
        <v>16</v>
      </c>
      <c r="E2313" s="11" t="s">
        <v>51</v>
      </c>
      <c r="F2313" s="10">
        <v>1472</v>
      </c>
      <c r="G2313" s="10">
        <v>0</v>
      </c>
      <c r="H2313" s="10">
        <f t="shared" si="36"/>
        <v>1472</v>
      </c>
      <c r="I2313" s="10"/>
      <c r="J2313" s="10"/>
      <c r="K2313" s="10"/>
      <c r="L2313" s="4" t="s">
        <v>69</v>
      </c>
      <c r="M2313" s="4">
        <v>2308</v>
      </c>
    </row>
    <row r="2314" spans="1:13" x14ac:dyDescent="0.25">
      <c r="A2314" s="4" t="s">
        <v>1939</v>
      </c>
      <c r="B2314" s="4" t="s">
        <v>1938</v>
      </c>
      <c r="C2314" s="4" t="s">
        <v>68</v>
      </c>
      <c r="D2314" s="10"/>
      <c r="E2314" s="11" t="s">
        <v>51</v>
      </c>
      <c r="F2314" s="10"/>
      <c r="G2314" s="10">
        <v>0</v>
      </c>
      <c r="H2314" s="10">
        <f t="shared" si="36"/>
        <v>0</v>
      </c>
      <c r="I2314" s="10"/>
      <c r="J2314" s="10"/>
      <c r="K2314" s="10"/>
      <c r="L2314" s="4" t="s">
        <v>69</v>
      </c>
      <c r="M2314" s="4">
        <v>2309</v>
      </c>
    </row>
    <row r="2315" spans="1:13" x14ac:dyDescent="0.25">
      <c r="A2315" s="4" t="s">
        <v>1939</v>
      </c>
      <c r="B2315" s="4" t="s">
        <v>1896</v>
      </c>
      <c r="C2315" s="4" t="s">
        <v>68</v>
      </c>
      <c r="D2315" s="10">
        <v>56</v>
      </c>
      <c r="E2315" s="11" t="s">
        <v>51</v>
      </c>
      <c r="F2315" s="10">
        <v>1536</v>
      </c>
      <c r="G2315" s="10">
        <v>0</v>
      </c>
      <c r="H2315" s="10">
        <f t="shared" si="36"/>
        <v>1536</v>
      </c>
      <c r="I2315" s="10"/>
      <c r="J2315" s="10"/>
      <c r="K2315" s="10"/>
      <c r="L2315" s="4" t="s">
        <v>69</v>
      </c>
      <c r="M2315" s="4">
        <v>2310</v>
      </c>
    </row>
    <row r="2316" spans="1:13" x14ac:dyDescent="0.25">
      <c r="A2316" s="4" t="s">
        <v>1940</v>
      </c>
      <c r="B2316" s="4" t="s">
        <v>1936</v>
      </c>
      <c r="C2316" s="4" t="s">
        <v>68</v>
      </c>
      <c r="D2316" s="10">
        <v>16</v>
      </c>
      <c r="E2316" s="11" t="s">
        <v>51</v>
      </c>
      <c r="F2316" s="10">
        <v>1472</v>
      </c>
      <c r="G2316" s="10">
        <v>0</v>
      </c>
      <c r="H2316" s="10">
        <f t="shared" si="36"/>
        <v>1472</v>
      </c>
      <c r="I2316" s="10"/>
      <c r="J2316" s="10"/>
      <c r="K2316" s="10"/>
      <c r="L2316" s="4" t="s">
        <v>69</v>
      </c>
      <c r="M2316" s="4">
        <v>2311</v>
      </c>
    </row>
    <row r="2317" spans="1:13" x14ac:dyDescent="0.25">
      <c r="A2317" s="4" t="s">
        <v>1940</v>
      </c>
      <c r="B2317" s="4" t="s">
        <v>1938</v>
      </c>
      <c r="C2317" s="4" t="s">
        <v>68</v>
      </c>
      <c r="D2317" s="10">
        <v>16</v>
      </c>
      <c r="E2317" s="11" t="s">
        <v>51</v>
      </c>
      <c r="F2317" s="10">
        <v>1472</v>
      </c>
      <c r="G2317" s="10">
        <v>0</v>
      </c>
      <c r="H2317" s="10">
        <f t="shared" si="36"/>
        <v>1472</v>
      </c>
      <c r="I2317" s="10"/>
      <c r="J2317" s="10"/>
      <c r="K2317" s="10"/>
      <c r="L2317" s="4" t="s">
        <v>69</v>
      </c>
      <c r="M2317" s="4">
        <v>2312</v>
      </c>
    </row>
    <row r="2318" spans="1:13" x14ac:dyDescent="0.25">
      <c r="A2318" s="4" t="s">
        <v>1940</v>
      </c>
      <c r="B2318" s="4" t="s">
        <v>1896</v>
      </c>
      <c r="C2318" s="4" t="s">
        <v>68</v>
      </c>
      <c r="D2318" s="10">
        <v>16</v>
      </c>
      <c r="E2318" s="11" t="s">
        <v>51</v>
      </c>
      <c r="F2318" s="10">
        <v>1536</v>
      </c>
      <c r="G2318" s="10">
        <v>0</v>
      </c>
      <c r="H2318" s="10">
        <f t="shared" si="36"/>
        <v>1536</v>
      </c>
      <c r="I2318" s="10"/>
      <c r="J2318" s="10"/>
      <c r="K2318" s="10"/>
      <c r="L2318" s="4" t="s">
        <v>69</v>
      </c>
      <c r="M2318" s="4">
        <v>2313</v>
      </c>
    </row>
    <row r="2319" spans="1:13" x14ac:dyDescent="0.25">
      <c r="A2319" s="4" t="s">
        <v>1941</v>
      </c>
      <c r="B2319" s="4" t="s">
        <v>1896</v>
      </c>
      <c r="C2319" s="4" t="s">
        <v>68</v>
      </c>
      <c r="D2319" s="10">
        <v>122</v>
      </c>
      <c r="E2319" s="11" t="s">
        <v>51</v>
      </c>
      <c r="F2319" s="10">
        <v>1536</v>
      </c>
      <c r="G2319" s="10">
        <v>0</v>
      </c>
      <c r="H2319" s="10">
        <f t="shared" si="36"/>
        <v>1536</v>
      </c>
      <c r="I2319" s="10"/>
      <c r="J2319" s="10"/>
      <c r="K2319" s="10"/>
      <c r="L2319" s="4" t="s">
        <v>69</v>
      </c>
      <c r="M2319" s="4">
        <v>2314</v>
      </c>
    </row>
    <row r="2320" spans="1:13" x14ac:dyDescent="0.25">
      <c r="A2320" s="4" t="s">
        <v>1942</v>
      </c>
      <c r="B2320" s="4" t="s">
        <v>1943</v>
      </c>
      <c r="C2320" s="4" t="s">
        <v>68</v>
      </c>
      <c r="D2320" s="10">
        <v>48</v>
      </c>
      <c r="E2320" s="11" t="s">
        <v>51</v>
      </c>
      <c r="F2320" s="10">
        <v>5280</v>
      </c>
      <c r="G2320" s="10">
        <v>0</v>
      </c>
      <c r="H2320" s="10">
        <f t="shared" si="36"/>
        <v>5280</v>
      </c>
      <c r="I2320" s="10"/>
      <c r="J2320" s="10"/>
      <c r="K2320" s="10"/>
      <c r="L2320" s="4" t="s">
        <v>69</v>
      </c>
      <c r="M2320" s="4">
        <v>2315</v>
      </c>
    </row>
    <row r="2321" spans="1:13" x14ac:dyDescent="0.25">
      <c r="A2321" s="4" t="s">
        <v>1942</v>
      </c>
      <c r="B2321" s="4" t="s">
        <v>1944</v>
      </c>
      <c r="C2321" s="4" t="s">
        <v>68</v>
      </c>
      <c r="D2321" s="10">
        <v>24</v>
      </c>
      <c r="E2321" s="11" t="s">
        <v>51</v>
      </c>
      <c r="F2321" s="10">
        <v>1680</v>
      </c>
      <c r="G2321" s="10">
        <v>0</v>
      </c>
      <c r="H2321" s="10">
        <f t="shared" si="36"/>
        <v>1680</v>
      </c>
      <c r="I2321" s="10"/>
      <c r="J2321" s="10"/>
      <c r="K2321" s="10"/>
      <c r="L2321" s="4" t="s">
        <v>69</v>
      </c>
      <c r="M2321" s="4">
        <v>2316</v>
      </c>
    </row>
    <row r="2322" spans="1:13" x14ac:dyDescent="0.25">
      <c r="A2322" s="4" t="s">
        <v>1942</v>
      </c>
      <c r="B2322" s="4" t="s">
        <v>1945</v>
      </c>
      <c r="C2322" s="4" t="s">
        <v>68</v>
      </c>
      <c r="D2322" s="10">
        <v>8</v>
      </c>
      <c r="E2322" s="11" t="s">
        <v>51</v>
      </c>
      <c r="F2322" s="10">
        <v>560</v>
      </c>
      <c r="G2322" s="10">
        <v>0</v>
      </c>
      <c r="H2322" s="10">
        <f t="shared" si="36"/>
        <v>560</v>
      </c>
      <c r="I2322" s="10"/>
      <c r="J2322" s="10"/>
      <c r="K2322" s="10"/>
      <c r="L2322" s="4" t="s">
        <v>69</v>
      </c>
      <c r="M2322" s="4">
        <v>2317</v>
      </c>
    </row>
    <row r="2323" spans="1:13" x14ac:dyDescent="0.25">
      <c r="A2323" s="4" t="s">
        <v>1942</v>
      </c>
      <c r="B2323" s="4" t="s">
        <v>1946</v>
      </c>
      <c r="C2323" s="4" t="s">
        <v>68</v>
      </c>
      <c r="D2323" s="10">
        <v>10</v>
      </c>
      <c r="E2323" s="11" t="s">
        <v>51</v>
      </c>
      <c r="F2323" s="10">
        <v>700</v>
      </c>
      <c r="G2323" s="10">
        <v>0</v>
      </c>
      <c r="H2323" s="10">
        <f t="shared" si="36"/>
        <v>700</v>
      </c>
      <c r="I2323" s="10"/>
      <c r="J2323" s="10"/>
      <c r="K2323" s="10"/>
      <c r="L2323" s="4" t="s">
        <v>69</v>
      </c>
      <c r="M2323" s="4">
        <v>2318</v>
      </c>
    </row>
    <row r="2324" spans="1:13" x14ac:dyDescent="0.25">
      <c r="A2324" s="4" t="s">
        <v>1942</v>
      </c>
      <c r="B2324" s="4" t="s">
        <v>1766</v>
      </c>
      <c r="C2324" s="4" t="s">
        <v>65</v>
      </c>
      <c r="D2324" s="10">
        <v>88</v>
      </c>
      <c r="E2324" s="12" t="s">
        <v>66</v>
      </c>
      <c r="F2324" s="10">
        <v>2500</v>
      </c>
      <c r="G2324" s="10">
        <v>0</v>
      </c>
      <c r="H2324" s="10">
        <f t="shared" si="36"/>
        <v>2500</v>
      </c>
      <c r="I2324" s="10">
        <v>78.125</v>
      </c>
      <c r="J2324" s="10">
        <v>78.125</v>
      </c>
      <c r="K2324" s="10">
        <v>78.125</v>
      </c>
      <c r="L2324" s="4"/>
      <c r="M2324" s="4">
        <v>2319</v>
      </c>
    </row>
    <row r="2325" spans="1:13" x14ac:dyDescent="0.25">
      <c r="A2325" s="4" t="s">
        <v>1947</v>
      </c>
      <c r="B2325" s="4" t="s">
        <v>1948</v>
      </c>
      <c r="C2325" s="4" t="s">
        <v>68</v>
      </c>
      <c r="D2325" s="10">
        <v>16</v>
      </c>
      <c r="E2325" s="11" t="s">
        <v>51</v>
      </c>
      <c r="F2325" s="10">
        <v>1536</v>
      </c>
      <c r="G2325" s="10">
        <v>0</v>
      </c>
      <c r="H2325" s="10">
        <f t="shared" si="36"/>
        <v>1536</v>
      </c>
      <c r="I2325" s="10"/>
      <c r="J2325" s="10"/>
      <c r="K2325" s="10"/>
      <c r="L2325" s="4" t="s">
        <v>69</v>
      </c>
      <c r="M2325" s="4">
        <v>2320</v>
      </c>
    </row>
    <row r="2326" spans="1:13" x14ac:dyDescent="0.25">
      <c r="A2326" s="4" t="s">
        <v>1947</v>
      </c>
      <c r="B2326" s="4" t="s">
        <v>1949</v>
      </c>
      <c r="C2326" s="4" t="s">
        <v>68</v>
      </c>
      <c r="D2326" s="10">
        <v>56</v>
      </c>
      <c r="E2326" s="11" t="s">
        <v>51</v>
      </c>
      <c r="F2326" s="10">
        <v>3840</v>
      </c>
      <c r="G2326" s="10">
        <v>0</v>
      </c>
      <c r="H2326" s="10">
        <f t="shared" si="36"/>
        <v>3840</v>
      </c>
      <c r="I2326" s="10"/>
      <c r="J2326" s="10"/>
      <c r="K2326" s="10"/>
      <c r="L2326" s="4" t="s">
        <v>69</v>
      </c>
      <c r="M2326" s="4">
        <v>2321</v>
      </c>
    </row>
    <row r="2327" spans="1:13" x14ac:dyDescent="0.25">
      <c r="A2327" s="4" t="s">
        <v>1950</v>
      </c>
      <c r="B2327" s="4" t="s">
        <v>1951</v>
      </c>
      <c r="C2327" s="4" t="s">
        <v>68</v>
      </c>
      <c r="D2327" s="10">
        <v>44</v>
      </c>
      <c r="E2327" s="11" t="s">
        <v>51</v>
      </c>
      <c r="F2327" s="10">
        <v>1536</v>
      </c>
      <c r="G2327" s="10">
        <v>0</v>
      </c>
      <c r="H2327" s="10">
        <f t="shared" si="36"/>
        <v>1536</v>
      </c>
      <c r="I2327" s="10"/>
      <c r="J2327" s="10"/>
      <c r="K2327" s="10"/>
      <c r="L2327" s="4" t="s">
        <v>69</v>
      </c>
      <c r="M2327" s="4">
        <v>2322</v>
      </c>
    </row>
    <row r="2328" spans="1:13" x14ac:dyDescent="0.25">
      <c r="A2328" s="4" t="s">
        <v>1952</v>
      </c>
      <c r="B2328" s="4" t="s">
        <v>1953</v>
      </c>
      <c r="C2328" s="4" t="s">
        <v>65</v>
      </c>
      <c r="D2328" s="10">
        <v>831.5</v>
      </c>
      <c r="E2328" s="12" t="s">
        <v>66</v>
      </c>
      <c r="F2328" s="10">
        <v>2250</v>
      </c>
      <c r="G2328" s="10">
        <v>0</v>
      </c>
      <c r="H2328" s="10">
        <f t="shared" si="36"/>
        <v>2250</v>
      </c>
      <c r="I2328" s="10">
        <v>80.357142857142861</v>
      </c>
      <c r="J2328" s="10">
        <v>80.357142857142861</v>
      </c>
      <c r="K2328" s="10">
        <v>80.357142857142861</v>
      </c>
      <c r="L2328" s="4"/>
      <c r="M2328" s="4">
        <v>2323</v>
      </c>
    </row>
    <row r="2329" spans="1:13" x14ac:dyDescent="0.25">
      <c r="A2329" s="4" t="s">
        <v>1954</v>
      </c>
      <c r="B2329" s="4" t="s">
        <v>88</v>
      </c>
      <c r="C2329" s="9" t="s">
        <v>50</v>
      </c>
      <c r="D2329" s="10">
        <v>214</v>
      </c>
      <c r="E2329" s="11" t="s">
        <v>51</v>
      </c>
      <c r="F2329" s="10">
        <v>24167</v>
      </c>
      <c r="G2329" s="10">
        <v>0</v>
      </c>
      <c r="H2329" s="10">
        <f t="shared" si="36"/>
        <v>24167</v>
      </c>
      <c r="I2329" s="10"/>
      <c r="J2329" s="10"/>
      <c r="K2329" s="10"/>
      <c r="L2329" s="4" t="s">
        <v>52</v>
      </c>
      <c r="M2329" s="4">
        <v>2324</v>
      </c>
    </row>
    <row r="2330" spans="1:13" x14ac:dyDescent="0.25">
      <c r="A2330" s="4" t="s">
        <v>1954</v>
      </c>
      <c r="B2330" s="4" t="s">
        <v>137</v>
      </c>
      <c r="C2330" s="9" t="s">
        <v>50</v>
      </c>
      <c r="D2330" s="10">
        <v>129.5</v>
      </c>
      <c r="E2330" s="11" t="s">
        <v>51</v>
      </c>
      <c r="F2330" s="10">
        <v>14602</v>
      </c>
      <c r="G2330" s="10">
        <v>0</v>
      </c>
      <c r="H2330" s="10">
        <f t="shared" si="36"/>
        <v>14602</v>
      </c>
      <c r="I2330" s="10"/>
      <c r="J2330" s="10"/>
      <c r="K2330" s="10"/>
      <c r="L2330" s="4" t="s">
        <v>52</v>
      </c>
      <c r="M2330" s="4">
        <v>2325</v>
      </c>
    </row>
    <row r="2331" spans="1:13" x14ac:dyDescent="0.25">
      <c r="A2331" s="4" t="s">
        <v>1954</v>
      </c>
      <c r="B2331" s="4" t="s">
        <v>106</v>
      </c>
      <c r="C2331" s="9" t="s">
        <v>50</v>
      </c>
      <c r="D2331" s="10">
        <v>201</v>
      </c>
      <c r="E2331" s="11" t="s">
        <v>51</v>
      </c>
      <c r="F2331" s="10">
        <v>22658</v>
      </c>
      <c r="G2331" s="10">
        <v>0</v>
      </c>
      <c r="H2331" s="10">
        <f t="shared" si="36"/>
        <v>22658</v>
      </c>
      <c r="I2331" s="10"/>
      <c r="J2331" s="10"/>
      <c r="K2331" s="10"/>
      <c r="L2331" s="4" t="s">
        <v>52</v>
      </c>
      <c r="M2331" s="4">
        <v>2326</v>
      </c>
    </row>
    <row r="2332" spans="1:13" x14ac:dyDescent="0.25">
      <c r="A2332" s="4" t="s">
        <v>1954</v>
      </c>
      <c r="B2332" s="4" t="s">
        <v>107</v>
      </c>
      <c r="C2332" s="9" t="s">
        <v>50</v>
      </c>
      <c r="D2332" s="10">
        <v>326.75</v>
      </c>
      <c r="E2332" s="11" t="s">
        <v>51</v>
      </c>
      <c r="F2332" s="10">
        <v>29900</v>
      </c>
      <c r="G2332" s="10">
        <v>0</v>
      </c>
      <c r="H2332" s="10">
        <f t="shared" si="36"/>
        <v>29900</v>
      </c>
      <c r="I2332" s="10"/>
      <c r="J2332" s="10"/>
      <c r="K2332" s="10"/>
      <c r="L2332" s="4" t="s">
        <v>52</v>
      </c>
      <c r="M2332" s="4">
        <v>2327</v>
      </c>
    </row>
    <row r="2333" spans="1:13" x14ac:dyDescent="0.25">
      <c r="A2333" s="4" t="s">
        <v>1955</v>
      </c>
      <c r="B2333" s="4" t="s">
        <v>118</v>
      </c>
      <c r="C2333" s="9" t="s">
        <v>50</v>
      </c>
      <c r="D2333" s="10">
        <v>92.75</v>
      </c>
      <c r="E2333" s="11" t="s">
        <v>51</v>
      </c>
      <c r="F2333" s="10">
        <v>5647.4</v>
      </c>
      <c r="G2333" s="10">
        <v>0</v>
      </c>
      <c r="H2333" s="10">
        <f t="shared" si="36"/>
        <v>5647.4</v>
      </c>
      <c r="I2333" s="10"/>
      <c r="J2333" s="10"/>
      <c r="K2333" s="10"/>
      <c r="L2333" s="4" t="s">
        <v>52</v>
      </c>
      <c r="M2333" s="4">
        <v>2328</v>
      </c>
    </row>
    <row r="2334" spans="1:13" x14ac:dyDescent="0.25">
      <c r="A2334" s="4" t="s">
        <v>1956</v>
      </c>
      <c r="B2334" s="4" t="s">
        <v>1957</v>
      </c>
      <c r="C2334" s="4" t="s">
        <v>65</v>
      </c>
      <c r="D2334" s="10">
        <v>120</v>
      </c>
      <c r="E2334" s="12" t="s">
        <v>66</v>
      </c>
      <c r="F2334" s="10">
        <v>1450</v>
      </c>
      <c r="G2334" s="10">
        <v>0</v>
      </c>
      <c r="H2334" s="10">
        <f t="shared" si="36"/>
        <v>1450</v>
      </c>
      <c r="I2334" s="10">
        <v>58</v>
      </c>
      <c r="J2334" s="10">
        <v>58</v>
      </c>
      <c r="K2334" s="10">
        <v>58</v>
      </c>
      <c r="L2334" s="4"/>
      <c r="M2334" s="4">
        <v>2329</v>
      </c>
    </row>
    <row r="2335" spans="1:13" x14ac:dyDescent="0.25">
      <c r="A2335" s="4" t="s">
        <v>1958</v>
      </c>
      <c r="B2335" s="4" t="s">
        <v>1315</v>
      </c>
      <c r="C2335" s="4" t="s">
        <v>65</v>
      </c>
      <c r="D2335" s="10">
        <v>25</v>
      </c>
      <c r="E2335" s="12" t="s">
        <v>66</v>
      </c>
      <c r="F2335" s="10">
        <v>2550</v>
      </c>
      <c r="G2335" s="10">
        <v>0</v>
      </c>
      <c r="H2335" s="10">
        <f t="shared" si="36"/>
        <v>2550</v>
      </c>
      <c r="I2335" s="10">
        <v>102</v>
      </c>
      <c r="J2335" s="10">
        <v>102</v>
      </c>
      <c r="K2335" s="10">
        <v>102</v>
      </c>
      <c r="L2335" s="4"/>
      <c r="M2335" s="4">
        <v>2330</v>
      </c>
    </row>
    <row r="2336" spans="1:13" x14ac:dyDescent="0.25">
      <c r="A2336" s="4" t="s">
        <v>1958</v>
      </c>
      <c r="B2336" s="4" t="s">
        <v>1959</v>
      </c>
      <c r="C2336" s="4" t="s">
        <v>68</v>
      </c>
      <c r="D2336" s="10">
        <v>20</v>
      </c>
      <c r="E2336" s="11" t="s">
        <v>51</v>
      </c>
      <c r="F2336" s="10">
        <v>1500</v>
      </c>
      <c r="G2336" s="10">
        <v>0</v>
      </c>
      <c r="H2336" s="10">
        <f t="shared" si="36"/>
        <v>1500</v>
      </c>
      <c r="I2336" s="10"/>
      <c r="J2336" s="10"/>
      <c r="K2336" s="10"/>
      <c r="L2336" s="4" t="s">
        <v>69</v>
      </c>
      <c r="M2336" s="4">
        <v>2331</v>
      </c>
    </row>
    <row r="2337" spans="1:13" x14ac:dyDescent="0.25">
      <c r="A2337" s="4" t="s">
        <v>1958</v>
      </c>
      <c r="B2337" s="4" t="s">
        <v>1960</v>
      </c>
      <c r="C2337" s="4" t="s">
        <v>68</v>
      </c>
      <c r="D2337" s="10">
        <v>40</v>
      </c>
      <c r="E2337" s="11" t="s">
        <v>51</v>
      </c>
      <c r="F2337" s="10">
        <v>3800</v>
      </c>
      <c r="G2337" s="10">
        <v>0</v>
      </c>
      <c r="H2337" s="10">
        <f t="shared" si="36"/>
        <v>3800</v>
      </c>
      <c r="I2337" s="10"/>
      <c r="J2337" s="10"/>
      <c r="K2337" s="10"/>
      <c r="L2337" s="4" t="s">
        <v>69</v>
      </c>
      <c r="M2337" s="4">
        <v>2332</v>
      </c>
    </row>
    <row r="2338" spans="1:13" x14ac:dyDescent="0.25">
      <c r="A2338" s="4" t="s">
        <v>1958</v>
      </c>
      <c r="B2338" s="4" t="s">
        <v>1961</v>
      </c>
      <c r="C2338" s="4" t="s">
        <v>65</v>
      </c>
      <c r="D2338" s="10">
        <v>5</v>
      </c>
      <c r="E2338" s="12" t="s">
        <v>66</v>
      </c>
      <c r="F2338" s="10">
        <v>350</v>
      </c>
      <c r="G2338" s="10">
        <v>0</v>
      </c>
      <c r="H2338" s="10">
        <f t="shared" si="36"/>
        <v>350</v>
      </c>
      <c r="I2338" s="10">
        <v>70</v>
      </c>
      <c r="J2338" s="10">
        <v>70</v>
      </c>
      <c r="K2338" s="10">
        <v>70</v>
      </c>
      <c r="L2338" s="4"/>
      <c r="M2338" s="4">
        <v>2333</v>
      </c>
    </row>
    <row r="2339" spans="1:13" x14ac:dyDescent="0.25">
      <c r="A2339" s="4" t="s">
        <v>1958</v>
      </c>
      <c r="B2339" s="4" t="s">
        <v>1962</v>
      </c>
      <c r="C2339" s="4" t="s">
        <v>65</v>
      </c>
      <c r="D2339" s="10">
        <v>32</v>
      </c>
      <c r="E2339" s="12" t="s">
        <v>66</v>
      </c>
      <c r="F2339" s="10">
        <v>350</v>
      </c>
      <c r="G2339" s="10">
        <v>0</v>
      </c>
      <c r="H2339" s="10">
        <f t="shared" si="36"/>
        <v>350</v>
      </c>
      <c r="I2339" s="10">
        <v>70</v>
      </c>
      <c r="J2339" s="10">
        <v>70</v>
      </c>
      <c r="K2339" s="10">
        <v>70</v>
      </c>
      <c r="L2339" s="4"/>
      <c r="M2339" s="4">
        <v>2334</v>
      </c>
    </row>
    <row r="2340" spans="1:13" x14ac:dyDescent="0.25">
      <c r="A2340" s="4" t="s">
        <v>1963</v>
      </c>
      <c r="B2340" s="4" t="s">
        <v>1964</v>
      </c>
      <c r="C2340" s="4" t="s">
        <v>68</v>
      </c>
      <c r="D2340" s="10">
        <v>40</v>
      </c>
      <c r="E2340" s="11" t="s">
        <v>51</v>
      </c>
      <c r="F2340" s="10">
        <v>4000</v>
      </c>
      <c r="G2340" s="10">
        <v>0</v>
      </c>
      <c r="H2340" s="10">
        <f t="shared" si="36"/>
        <v>4000</v>
      </c>
      <c r="I2340" s="10"/>
      <c r="J2340" s="10"/>
      <c r="K2340" s="10"/>
      <c r="L2340" s="4" t="s">
        <v>69</v>
      </c>
      <c r="M2340" s="4">
        <v>2335</v>
      </c>
    </row>
    <row r="2341" spans="1:13" x14ac:dyDescent="0.25">
      <c r="A2341" s="4" t="s">
        <v>1965</v>
      </c>
      <c r="B2341" s="4" t="s">
        <v>270</v>
      </c>
      <c r="C2341" s="9" t="s">
        <v>50</v>
      </c>
      <c r="D2341" s="10">
        <v>1</v>
      </c>
      <c r="E2341" s="11" t="s">
        <v>51</v>
      </c>
      <c r="F2341" s="10">
        <v>42.27</v>
      </c>
      <c r="G2341" s="10">
        <v>0</v>
      </c>
      <c r="H2341" s="10">
        <f t="shared" si="36"/>
        <v>42.27</v>
      </c>
      <c r="I2341" s="10"/>
      <c r="J2341" s="10"/>
      <c r="K2341" s="10"/>
      <c r="L2341" s="4" t="s">
        <v>52</v>
      </c>
      <c r="M2341" s="4">
        <v>2336</v>
      </c>
    </row>
    <row r="2342" spans="1:13" x14ac:dyDescent="0.25">
      <c r="A2342" s="4" t="s">
        <v>1965</v>
      </c>
      <c r="B2342" s="4" t="s">
        <v>136</v>
      </c>
      <c r="C2342" s="9" t="s">
        <v>50</v>
      </c>
      <c r="D2342" s="10">
        <v>8</v>
      </c>
      <c r="E2342" s="11" t="s">
        <v>51</v>
      </c>
      <c r="F2342" s="10">
        <v>801.46</v>
      </c>
      <c r="G2342" s="10">
        <v>0</v>
      </c>
      <c r="H2342" s="10">
        <f t="shared" si="36"/>
        <v>801.46</v>
      </c>
      <c r="I2342" s="10"/>
      <c r="J2342" s="10"/>
      <c r="K2342" s="10"/>
      <c r="L2342" s="4" t="s">
        <v>52</v>
      </c>
      <c r="M2342" s="4">
        <v>2337</v>
      </c>
    </row>
    <row r="2343" spans="1:13" x14ac:dyDescent="0.25">
      <c r="A2343" s="4" t="s">
        <v>1965</v>
      </c>
      <c r="B2343" s="4" t="s">
        <v>82</v>
      </c>
      <c r="C2343" s="9" t="s">
        <v>50</v>
      </c>
      <c r="D2343" s="10">
        <v>14</v>
      </c>
      <c r="E2343" s="11" t="s">
        <v>51</v>
      </c>
      <c r="F2343" s="10">
        <v>1402.65</v>
      </c>
      <c r="G2343" s="10">
        <v>0</v>
      </c>
      <c r="H2343" s="10">
        <f t="shared" si="36"/>
        <v>1402.65</v>
      </c>
      <c r="I2343" s="10"/>
      <c r="J2343" s="10"/>
      <c r="K2343" s="10"/>
      <c r="L2343" s="4" t="s">
        <v>52</v>
      </c>
      <c r="M2343" s="4">
        <v>2338</v>
      </c>
    </row>
    <row r="2344" spans="1:13" x14ac:dyDescent="0.25">
      <c r="A2344" s="4" t="s">
        <v>1965</v>
      </c>
      <c r="B2344" s="4" t="s">
        <v>88</v>
      </c>
      <c r="C2344" s="9" t="s">
        <v>50</v>
      </c>
      <c r="D2344" s="10">
        <v>16</v>
      </c>
      <c r="E2344" s="11" t="s">
        <v>51</v>
      </c>
      <c r="F2344" s="10">
        <v>1603.31</v>
      </c>
      <c r="G2344" s="10">
        <v>0</v>
      </c>
      <c r="H2344" s="10">
        <f t="shared" si="36"/>
        <v>1603.31</v>
      </c>
      <c r="I2344" s="10"/>
      <c r="J2344" s="10"/>
      <c r="K2344" s="10"/>
      <c r="L2344" s="4" t="s">
        <v>52</v>
      </c>
      <c r="M2344" s="4">
        <v>2339</v>
      </c>
    </row>
    <row r="2345" spans="1:13" x14ac:dyDescent="0.25">
      <c r="A2345" s="4" t="s">
        <v>1965</v>
      </c>
      <c r="B2345" s="4" t="s">
        <v>137</v>
      </c>
      <c r="C2345" s="9" t="s">
        <v>50</v>
      </c>
      <c r="D2345" s="10">
        <v>51</v>
      </c>
      <c r="E2345" s="11" t="s">
        <v>51</v>
      </c>
      <c r="F2345" s="10">
        <v>100.33</v>
      </c>
      <c r="G2345" s="10">
        <v>0</v>
      </c>
      <c r="H2345" s="10">
        <f t="shared" si="36"/>
        <v>100.33</v>
      </c>
      <c r="I2345" s="10"/>
      <c r="J2345" s="10"/>
      <c r="K2345" s="10"/>
      <c r="L2345" s="4" t="s">
        <v>52</v>
      </c>
      <c r="M2345" s="4">
        <v>2340</v>
      </c>
    </row>
    <row r="2346" spans="1:13" x14ac:dyDescent="0.25">
      <c r="A2346" s="4" t="s">
        <v>1966</v>
      </c>
      <c r="B2346" s="4" t="s">
        <v>470</v>
      </c>
      <c r="C2346" s="4" t="s">
        <v>68</v>
      </c>
      <c r="D2346" s="10">
        <v>20</v>
      </c>
      <c r="E2346" s="11" t="s">
        <v>51</v>
      </c>
      <c r="F2346" s="10">
        <v>2400</v>
      </c>
      <c r="G2346" s="10">
        <v>0</v>
      </c>
      <c r="H2346" s="10">
        <f t="shared" si="36"/>
        <v>2400</v>
      </c>
      <c r="I2346" s="10"/>
      <c r="J2346" s="10"/>
      <c r="K2346" s="10"/>
      <c r="L2346" s="4" t="s">
        <v>69</v>
      </c>
      <c r="M2346" s="4">
        <v>2341</v>
      </c>
    </row>
    <row r="2347" spans="1:13" x14ac:dyDescent="0.25">
      <c r="A2347" s="4" t="s">
        <v>1966</v>
      </c>
      <c r="B2347" s="4" t="s">
        <v>1967</v>
      </c>
      <c r="C2347" s="4" t="s">
        <v>65</v>
      </c>
      <c r="D2347" s="10">
        <v>8</v>
      </c>
      <c r="E2347" s="12" t="s">
        <v>66</v>
      </c>
      <c r="F2347" s="10">
        <v>4150</v>
      </c>
      <c r="G2347" s="10">
        <v>0</v>
      </c>
      <c r="H2347" s="10">
        <f t="shared" si="36"/>
        <v>4150</v>
      </c>
      <c r="I2347" s="10">
        <v>138.33333333333329</v>
      </c>
      <c r="J2347" s="10">
        <v>138.33333333333329</v>
      </c>
      <c r="K2347" s="10">
        <v>138.33333333333329</v>
      </c>
      <c r="L2347" s="4"/>
      <c r="M2347" s="4">
        <v>2342</v>
      </c>
    </row>
    <row r="2348" spans="1:13" x14ac:dyDescent="0.25">
      <c r="A2348" s="4" t="s">
        <v>1968</v>
      </c>
      <c r="B2348" s="4" t="s">
        <v>1969</v>
      </c>
      <c r="C2348" s="4" t="s">
        <v>65</v>
      </c>
      <c r="D2348" s="10">
        <v>16.5</v>
      </c>
      <c r="E2348" s="12" t="s">
        <v>66</v>
      </c>
      <c r="F2348" s="10">
        <v>960</v>
      </c>
      <c r="G2348" s="10">
        <v>0</v>
      </c>
      <c r="H2348" s="10">
        <f t="shared" si="36"/>
        <v>960</v>
      </c>
      <c r="I2348" s="10">
        <v>120</v>
      </c>
      <c r="J2348" s="10">
        <v>120</v>
      </c>
      <c r="K2348" s="10">
        <v>120</v>
      </c>
      <c r="L2348" s="4"/>
      <c r="M2348" s="4">
        <v>2343</v>
      </c>
    </row>
    <row r="2349" spans="1:13" x14ac:dyDescent="0.25">
      <c r="A2349" s="4" t="s">
        <v>1970</v>
      </c>
      <c r="B2349" s="4" t="s">
        <v>1971</v>
      </c>
      <c r="C2349" s="4" t="s">
        <v>65</v>
      </c>
      <c r="D2349" s="10">
        <v>29.5</v>
      </c>
      <c r="E2349" s="12" t="s">
        <v>66</v>
      </c>
      <c r="F2349" s="10">
        <v>1950</v>
      </c>
      <c r="G2349" s="10">
        <v>0</v>
      </c>
      <c r="H2349" s="10">
        <f t="shared" si="36"/>
        <v>1950</v>
      </c>
      <c r="I2349" s="10">
        <v>118.1818181818182</v>
      </c>
      <c r="J2349" s="10">
        <v>118.1818181818182</v>
      </c>
      <c r="K2349" s="10">
        <v>118.1818181818182</v>
      </c>
      <c r="L2349" s="4"/>
      <c r="M2349" s="4">
        <v>2344</v>
      </c>
    </row>
    <row r="2350" spans="1:13" x14ac:dyDescent="0.25">
      <c r="A2350" s="4" t="s">
        <v>1972</v>
      </c>
      <c r="B2350" s="4" t="s">
        <v>1315</v>
      </c>
      <c r="C2350" s="4" t="s">
        <v>65</v>
      </c>
      <c r="D2350" s="10">
        <v>116</v>
      </c>
      <c r="E2350" s="12" t="s">
        <v>66</v>
      </c>
      <c r="F2350" s="10">
        <v>1400</v>
      </c>
      <c r="G2350" s="10">
        <v>0</v>
      </c>
      <c r="H2350" s="10">
        <f t="shared" si="36"/>
        <v>1400</v>
      </c>
      <c r="I2350" s="10">
        <v>107.69230769230769</v>
      </c>
      <c r="J2350" s="10">
        <v>107.69230769230769</v>
      </c>
      <c r="K2350" s="10">
        <v>107.69230769230769</v>
      </c>
      <c r="L2350" s="4"/>
      <c r="M2350" s="4">
        <v>2345</v>
      </c>
    </row>
    <row r="2351" spans="1:13" x14ac:dyDescent="0.25">
      <c r="A2351" s="4" t="s">
        <v>1973</v>
      </c>
      <c r="B2351" s="4" t="s">
        <v>119</v>
      </c>
      <c r="C2351" s="9" t="s">
        <v>50</v>
      </c>
      <c r="D2351" s="10">
        <v>57</v>
      </c>
      <c r="E2351" s="11" t="s">
        <v>51</v>
      </c>
      <c r="F2351" s="10">
        <v>3500</v>
      </c>
      <c r="G2351" s="10">
        <v>0</v>
      </c>
      <c r="H2351" s="10">
        <f t="shared" si="36"/>
        <v>3500</v>
      </c>
      <c r="I2351" s="10"/>
      <c r="J2351" s="10"/>
      <c r="K2351" s="10"/>
      <c r="L2351" s="4" t="s">
        <v>52</v>
      </c>
      <c r="M2351" s="4">
        <v>2346</v>
      </c>
    </row>
    <row r="2352" spans="1:13" x14ac:dyDescent="0.25">
      <c r="A2352" s="4" t="s">
        <v>1973</v>
      </c>
      <c r="B2352" s="4" t="s">
        <v>118</v>
      </c>
      <c r="C2352" s="9" t="s">
        <v>50</v>
      </c>
      <c r="D2352" s="10">
        <v>150</v>
      </c>
      <c r="E2352" s="11" t="s">
        <v>51</v>
      </c>
      <c r="F2352" s="10">
        <v>2800</v>
      </c>
      <c r="G2352" s="10">
        <v>0</v>
      </c>
      <c r="H2352" s="10">
        <f t="shared" si="36"/>
        <v>2800</v>
      </c>
      <c r="I2352" s="10"/>
      <c r="J2352" s="10"/>
      <c r="K2352" s="10"/>
      <c r="L2352" s="4" t="s">
        <v>52</v>
      </c>
      <c r="M2352" s="4">
        <v>2347</v>
      </c>
    </row>
    <row r="2353" spans="1:13" x14ac:dyDescent="0.25">
      <c r="A2353" s="4" t="s">
        <v>1974</v>
      </c>
      <c r="B2353" s="4" t="s">
        <v>1975</v>
      </c>
      <c r="C2353" s="4" t="s">
        <v>65</v>
      </c>
      <c r="D2353" s="10">
        <v>44</v>
      </c>
      <c r="E2353" s="12" t="s">
        <v>66</v>
      </c>
      <c r="F2353" s="10">
        <v>4500</v>
      </c>
      <c r="G2353" s="10">
        <v>0</v>
      </c>
      <c r="H2353" s="10">
        <f t="shared" si="36"/>
        <v>4500</v>
      </c>
      <c r="I2353" s="10">
        <v>102.27272727272729</v>
      </c>
      <c r="J2353" s="10">
        <v>102.27272727272729</v>
      </c>
      <c r="K2353" s="10">
        <v>102.27272727272729</v>
      </c>
      <c r="L2353" s="4"/>
      <c r="M2353" s="4">
        <v>2348</v>
      </c>
    </row>
    <row r="2354" spans="1:13" x14ac:dyDescent="0.25">
      <c r="A2354" s="4" t="s">
        <v>1974</v>
      </c>
      <c r="B2354" s="4" t="s">
        <v>615</v>
      </c>
      <c r="C2354" s="4" t="s">
        <v>68</v>
      </c>
      <c r="D2354" s="10">
        <v>30</v>
      </c>
      <c r="E2354" s="11" t="s">
        <v>51</v>
      </c>
      <c r="F2354" s="10">
        <v>3600</v>
      </c>
      <c r="G2354" s="10">
        <v>0</v>
      </c>
      <c r="H2354" s="10">
        <f t="shared" si="36"/>
        <v>3600</v>
      </c>
      <c r="I2354" s="10"/>
      <c r="J2354" s="10"/>
      <c r="K2354" s="10"/>
      <c r="L2354" s="4" t="s">
        <v>69</v>
      </c>
      <c r="M2354" s="4">
        <v>2349</v>
      </c>
    </row>
    <row r="2355" spans="1:13" x14ac:dyDescent="0.25">
      <c r="A2355" s="4" t="s">
        <v>1974</v>
      </c>
      <c r="B2355" s="4" t="s">
        <v>1976</v>
      </c>
      <c r="C2355" s="4" t="s">
        <v>65</v>
      </c>
      <c r="D2355" s="10">
        <v>93</v>
      </c>
      <c r="E2355" s="12" t="s">
        <v>66</v>
      </c>
      <c r="F2355" s="10">
        <v>4000</v>
      </c>
      <c r="G2355" s="10">
        <v>0</v>
      </c>
      <c r="H2355" s="10">
        <f t="shared" si="36"/>
        <v>4000</v>
      </c>
      <c r="I2355" s="10">
        <v>133.33333333333329</v>
      </c>
      <c r="J2355" s="10">
        <v>133.33333333333329</v>
      </c>
      <c r="K2355" s="10">
        <v>133.33333333333329</v>
      </c>
      <c r="L2355" s="4"/>
      <c r="M2355" s="4">
        <v>2350</v>
      </c>
    </row>
    <row r="2356" spans="1:13" x14ac:dyDescent="0.25">
      <c r="A2356" s="4" t="s">
        <v>1977</v>
      </c>
      <c r="B2356" s="4" t="s">
        <v>1978</v>
      </c>
      <c r="C2356" s="4" t="s">
        <v>65</v>
      </c>
      <c r="D2356" s="10">
        <v>35</v>
      </c>
      <c r="E2356" s="12" t="s">
        <v>66</v>
      </c>
      <c r="F2356" s="10">
        <v>2750</v>
      </c>
      <c r="G2356" s="10">
        <v>0</v>
      </c>
      <c r="H2356" s="10">
        <f t="shared" si="36"/>
        <v>2750</v>
      </c>
      <c r="I2356" s="10">
        <v>78.571428571428569</v>
      </c>
      <c r="J2356" s="10">
        <v>78.571428571428569</v>
      </c>
      <c r="K2356" s="10">
        <v>78.571428571428569</v>
      </c>
      <c r="L2356" s="4"/>
      <c r="M2356" s="4">
        <v>2351</v>
      </c>
    </row>
    <row r="2357" spans="1:13" x14ac:dyDescent="0.25">
      <c r="A2357" s="4" t="s">
        <v>1977</v>
      </c>
      <c r="B2357" s="4" t="s">
        <v>1979</v>
      </c>
      <c r="C2357" s="4" t="s">
        <v>65</v>
      </c>
      <c r="D2357" s="10">
        <v>16</v>
      </c>
      <c r="E2357" s="12" t="s">
        <v>66</v>
      </c>
      <c r="F2357" s="10">
        <v>2250</v>
      </c>
      <c r="G2357" s="10">
        <v>0</v>
      </c>
      <c r="H2357" s="10">
        <f t="shared" si="36"/>
        <v>2250</v>
      </c>
      <c r="I2357" s="10">
        <v>140.625</v>
      </c>
      <c r="J2357" s="10">
        <v>140.625</v>
      </c>
      <c r="K2357" s="10">
        <v>140.625</v>
      </c>
      <c r="L2357" s="4"/>
      <c r="M2357" s="4">
        <v>2352</v>
      </c>
    </row>
    <row r="2358" spans="1:13" x14ac:dyDescent="0.25">
      <c r="A2358" s="4" t="s">
        <v>1977</v>
      </c>
      <c r="B2358" s="4" t="s">
        <v>1980</v>
      </c>
      <c r="C2358" s="9" t="s">
        <v>50</v>
      </c>
      <c r="D2358" s="10">
        <v>2</v>
      </c>
      <c r="E2358" s="11" t="s">
        <v>51</v>
      </c>
      <c r="F2358" s="10">
        <v>480</v>
      </c>
      <c r="G2358" s="10">
        <v>0</v>
      </c>
      <c r="H2358" s="10">
        <f t="shared" si="36"/>
        <v>480</v>
      </c>
      <c r="I2358" s="10"/>
      <c r="J2358" s="10"/>
      <c r="K2358" s="10"/>
      <c r="L2358" s="4" t="s">
        <v>52</v>
      </c>
      <c r="M2358" s="4">
        <v>2353</v>
      </c>
    </row>
    <row r="2359" spans="1:13" x14ac:dyDescent="0.25">
      <c r="A2359" s="4" t="s">
        <v>1981</v>
      </c>
      <c r="B2359" s="4" t="s">
        <v>1982</v>
      </c>
      <c r="C2359" s="4" t="s">
        <v>68</v>
      </c>
      <c r="D2359" s="10">
        <v>164</v>
      </c>
      <c r="E2359" s="11" t="s">
        <v>51</v>
      </c>
      <c r="F2359" s="10">
        <v>120</v>
      </c>
      <c r="G2359" s="10">
        <v>0</v>
      </c>
      <c r="H2359" s="10">
        <f t="shared" si="36"/>
        <v>120</v>
      </c>
      <c r="I2359" s="10"/>
      <c r="J2359" s="10"/>
      <c r="K2359" s="10"/>
      <c r="L2359" s="4" t="s">
        <v>69</v>
      </c>
      <c r="M2359" s="4">
        <v>2354</v>
      </c>
    </row>
    <row r="2360" spans="1:13" x14ac:dyDescent="0.25">
      <c r="A2360" s="4" t="s">
        <v>1983</v>
      </c>
      <c r="B2360" s="4" t="s">
        <v>1984</v>
      </c>
      <c r="C2360" s="9" t="s">
        <v>50</v>
      </c>
      <c r="D2360" s="10">
        <v>54</v>
      </c>
      <c r="E2360" s="11" t="s">
        <v>51</v>
      </c>
      <c r="F2360" s="10">
        <v>4600</v>
      </c>
      <c r="G2360" s="10">
        <v>0</v>
      </c>
      <c r="H2360" s="10">
        <f t="shared" si="36"/>
        <v>4600</v>
      </c>
      <c r="I2360" s="10"/>
      <c r="J2360" s="10"/>
      <c r="K2360" s="10"/>
      <c r="L2360" s="4" t="s">
        <v>52</v>
      </c>
      <c r="M2360" s="4">
        <v>2355</v>
      </c>
    </row>
    <row r="2361" spans="1:13" x14ac:dyDescent="0.25">
      <c r="A2361" s="4" t="s">
        <v>1983</v>
      </c>
      <c r="B2361" s="4" t="s">
        <v>421</v>
      </c>
      <c r="C2361" s="9" t="s">
        <v>50</v>
      </c>
      <c r="D2361" s="10">
        <v>30</v>
      </c>
      <c r="E2361" s="11" t="s">
        <v>51</v>
      </c>
      <c r="F2361" s="10">
        <v>2850</v>
      </c>
      <c r="G2361" s="10">
        <v>0</v>
      </c>
      <c r="H2361" s="10">
        <f t="shared" si="36"/>
        <v>2850</v>
      </c>
      <c r="I2361" s="10"/>
      <c r="J2361" s="10"/>
      <c r="K2361" s="10"/>
      <c r="L2361" s="4" t="s">
        <v>52</v>
      </c>
      <c r="M2361" s="4">
        <v>2356</v>
      </c>
    </row>
    <row r="2362" spans="1:13" x14ac:dyDescent="0.25">
      <c r="A2362" s="4" t="s">
        <v>1983</v>
      </c>
      <c r="B2362" s="4" t="s">
        <v>118</v>
      </c>
      <c r="C2362" s="9" t="s">
        <v>50</v>
      </c>
      <c r="D2362" s="10">
        <v>33</v>
      </c>
      <c r="E2362" s="11" t="s">
        <v>51</v>
      </c>
      <c r="F2362" s="10">
        <v>2000</v>
      </c>
      <c r="G2362" s="10">
        <v>0</v>
      </c>
      <c r="H2362" s="10">
        <f t="shared" si="36"/>
        <v>2000</v>
      </c>
      <c r="I2362" s="10"/>
      <c r="J2362" s="10"/>
      <c r="K2362" s="10"/>
      <c r="L2362" s="4" t="s">
        <v>52</v>
      </c>
      <c r="M2362" s="4">
        <v>2357</v>
      </c>
    </row>
    <row r="2363" spans="1:13" x14ac:dyDescent="0.25">
      <c r="A2363" s="4" t="s">
        <v>1983</v>
      </c>
      <c r="B2363" s="4" t="s">
        <v>119</v>
      </c>
      <c r="C2363" s="9" t="s">
        <v>50</v>
      </c>
      <c r="D2363" s="10">
        <v>940.5</v>
      </c>
      <c r="E2363" s="11" t="s">
        <v>51</v>
      </c>
      <c r="F2363" s="10">
        <v>2750</v>
      </c>
      <c r="G2363" s="10">
        <v>0</v>
      </c>
      <c r="H2363" s="10">
        <f t="shared" si="36"/>
        <v>2750</v>
      </c>
      <c r="I2363" s="10"/>
      <c r="J2363" s="10"/>
      <c r="K2363" s="10"/>
      <c r="L2363" s="4" t="s">
        <v>52</v>
      </c>
      <c r="M2363" s="4">
        <v>2358</v>
      </c>
    </row>
    <row r="2364" spans="1:13" x14ac:dyDescent="0.25">
      <c r="A2364" s="4" t="s">
        <v>1985</v>
      </c>
      <c r="B2364" s="4" t="s">
        <v>1986</v>
      </c>
      <c r="C2364" s="9" t="s">
        <v>50</v>
      </c>
      <c r="D2364" s="10">
        <v>105</v>
      </c>
      <c r="E2364" s="11" t="s">
        <v>51</v>
      </c>
      <c r="F2364" s="10">
        <v>23500</v>
      </c>
      <c r="G2364" s="10">
        <v>0</v>
      </c>
      <c r="H2364" s="10">
        <f t="shared" si="36"/>
        <v>23500</v>
      </c>
      <c r="I2364" s="10"/>
      <c r="J2364" s="10"/>
      <c r="K2364" s="10"/>
      <c r="L2364" s="4" t="s">
        <v>52</v>
      </c>
      <c r="M2364" s="4">
        <v>2359</v>
      </c>
    </row>
    <row r="2365" spans="1:13" x14ac:dyDescent="0.25">
      <c r="A2365" s="4" t="s">
        <v>1985</v>
      </c>
      <c r="B2365" s="4" t="s">
        <v>1987</v>
      </c>
      <c r="C2365" s="9" t="s">
        <v>50</v>
      </c>
      <c r="D2365" s="10">
        <v>137</v>
      </c>
      <c r="E2365" s="11" t="s">
        <v>51</v>
      </c>
      <c r="F2365" s="10">
        <v>24500</v>
      </c>
      <c r="G2365" s="10">
        <v>0</v>
      </c>
      <c r="H2365" s="10">
        <f t="shared" si="36"/>
        <v>24500</v>
      </c>
      <c r="I2365" s="10"/>
      <c r="J2365" s="10"/>
      <c r="K2365" s="10"/>
      <c r="L2365" s="4" t="s">
        <v>52</v>
      </c>
      <c r="M2365" s="4">
        <v>2360</v>
      </c>
    </row>
    <row r="2366" spans="1:13" x14ac:dyDescent="0.25">
      <c r="A2366" s="4" t="s">
        <v>1985</v>
      </c>
      <c r="B2366" s="4" t="s">
        <v>1988</v>
      </c>
      <c r="C2366" s="9" t="s">
        <v>50</v>
      </c>
      <c r="D2366" s="10">
        <v>166.5</v>
      </c>
      <c r="E2366" s="11" t="s">
        <v>51</v>
      </c>
      <c r="F2366" s="10">
        <v>29700</v>
      </c>
      <c r="G2366" s="10">
        <v>0</v>
      </c>
      <c r="H2366" s="10">
        <f t="shared" si="36"/>
        <v>29700</v>
      </c>
      <c r="I2366" s="10"/>
      <c r="J2366" s="10"/>
      <c r="K2366" s="10"/>
      <c r="L2366" s="4" t="s">
        <v>52</v>
      </c>
      <c r="M2366" s="4">
        <v>2361</v>
      </c>
    </row>
    <row r="2367" spans="1:13" x14ac:dyDescent="0.25">
      <c r="A2367" s="4" t="s">
        <v>1985</v>
      </c>
      <c r="B2367" s="4" t="s">
        <v>1989</v>
      </c>
      <c r="C2367" s="9" t="s">
        <v>50</v>
      </c>
      <c r="D2367" s="10">
        <v>88.5</v>
      </c>
      <c r="E2367" s="11" t="s">
        <v>51</v>
      </c>
      <c r="F2367" s="10">
        <v>17900</v>
      </c>
      <c r="G2367" s="10">
        <v>0</v>
      </c>
      <c r="H2367" s="10">
        <f t="shared" si="36"/>
        <v>17900</v>
      </c>
      <c r="I2367" s="10"/>
      <c r="J2367" s="10"/>
      <c r="K2367" s="10"/>
      <c r="L2367" s="4" t="s">
        <v>52</v>
      </c>
      <c r="M2367" s="4">
        <v>2362</v>
      </c>
    </row>
    <row r="2368" spans="1:13" x14ac:dyDescent="0.25">
      <c r="A2368" s="4" t="s">
        <v>1985</v>
      </c>
      <c r="B2368" s="4" t="s">
        <v>1990</v>
      </c>
      <c r="C2368" s="9" t="s">
        <v>50</v>
      </c>
      <c r="D2368" s="10">
        <v>101.5</v>
      </c>
      <c r="E2368" s="11" t="s">
        <v>51</v>
      </c>
      <c r="F2368" s="10">
        <v>10800</v>
      </c>
      <c r="G2368" s="10">
        <v>0</v>
      </c>
      <c r="H2368" s="10">
        <f t="shared" si="36"/>
        <v>10800</v>
      </c>
      <c r="I2368" s="10"/>
      <c r="J2368" s="10"/>
      <c r="K2368" s="10"/>
      <c r="L2368" s="4" t="s">
        <v>52</v>
      </c>
      <c r="M2368" s="4">
        <v>2363</v>
      </c>
    </row>
    <row r="2369" spans="1:13" x14ac:dyDescent="0.25">
      <c r="A2369" s="4" t="s">
        <v>1985</v>
      </c>
      <c r="B2369" s="4" t="s">
        <v>1991</v>
      </c>
      <c r="C2369" s="9" t="s">
        <v>50</v>
      </c>
      <c r="D2369" s="10">
        <v>30</v>
      </c>
      <c r="E2369" s="11" t="s">
        <v>51</v>
      </c>
      <c r="F2369" s="10">
        <v>2850</v>
      </c>
      <c r="G2369" s="10">
        <v>0</v>
      </c>
      <c r="H2369" s="10">
        <f t="shared" si="36"/>
        <v>2850</v>
      </c>
      <c r="I2369" s="10"/>
      <c r="J2369" s="10"/>
      <c r="K2369" s="10"/>
      <c r="L2369" s="4" t="s">
        <v>52</v>
      </c>
      <c r="M2369" s="4">
        <v>2364</v>
      </c>
    </row>
    <row r="2370" spans="1:13" x14ac:dyDescent="0.25">
      <c r="A2370" s="4" t="s">
        <v>1985</v>
      </c>
      <c r="B2370" s="4" t="s">
        <v>1992</v>
      </c>
      <c r="C2370" s="9" t="s">
        <v>50</v>
      </c>
      <c r="D2370" s="10">
        <v>113</v>
      </c>
      <c r="E2370" s="11" t="s">
        <v>51</v>
      </c>
      <c r="F2370" s="10">
        <v>10750</v>
      </c>
      <c r="G2370" s="10">
        <v>0</v>
      </c>
      <c r="H2370" s="10">
        <f t="shared" si="36"/>
        <v>10750</v>
      </c>
      <c r="I2370" s="10"/>
      <c r="J2370" s="10"/>
      <c r="K2370" s="10"/>
      <c r="L2370" s="4" t="s">
        <v>52</v>
      </c>
      <c r="M2370" s="4">
        <v>2365</v>
      </c>
    </row>
    <row r="2371" spans="1:13" x14ac:dyDescent="0.25">
      <c r="A2371" s="4" t="s">
        <v>1985</v>
      </c>
      <c r="B2371" s="4" t="s">
        <v>1993</v>
      </c>
      <c r="C2371" s="9" t="s">
        <v>50</v>
      </c>
      <c r="D2371" s="10">
        <v>40</v>
      </c>
      <c r="E2371" s="11" t="s">
        <v>51</v>
      </c>
      <c r="F2371" s="10">
        <v>3800</v>
      </c>
      <c r="G2371" s="10">
        <v>0</v>
      </c>
      <c r="H2371" s="10">
        <f t="shared" si="36"/>
        <v>3800</v>
      </c>
      <c r="I2371" s="10"/>
      <c r="J2371" s="10"/>
      <c r="K2371" s="10"/>
      <c r="L2371" s="4" t="s">
        <v>52</v>
      </c>
      <c r="M2371" s="4">
        <v>2366</v>
      </c>
    </row>
    <row r="2372" spans="1:13" x14ac:dyDescent="0.25">
      <c r="A2372" s="4" t="s">
        <v>1985</v>
      </c>
      <c r="B2372" s="4" t="s">
        <v>1994</v>
      </c>
      <c r="C2372" s="9" t="s">
        <v>50</v>
      </c>
      <c r="D2372" s="10">
        <v>34</v>
      </c>
      <c r="E2372" s="11" t="s">
        <v>51</v>
      </c>
      <c r="F2372" s="10">
        <v>3250</v>
      </c>
      <c r="G2372" s="10">
        <v>0</v>
      </c>
      <c r="H2372" s="10">
        <f t="shared" si="36"/>
        <v>3250</v>
      </c>
      <c r="I2372" s="10"/>
      <c r="J2372" s="10"/>
      <c r="K2372" s="10"/>
      <c r="L2372" s="4" t="s">
        <v>52</v>
      </c>
      <c r="M2372" s="4">
        <v>2367</v>
      </c>
    </row>
    <row r="2373" spans="1:13" x14ac:dyDescent="0.25">
      <c r="A2373" s="4" t="s">
        <v>1985</v>
      </c>
      <c r="B2373" s="4" t="s">
        <v>1995</v>
      </c>
      <c r="C2373" s="9" t="s">
        <v>50</v>
      </c>
      <c r="D2373" s="10">
        <v>40</v>
      </c>
      <c r="E2373" s="11" t="s">
        <v>51</v>
      </c>
      <c r="F2373" s="10">
        <v>3800</v>
      </c>
      <c r="G2373" s="10">
        <v>0</v>
      </c>
      <c r="H2373" s="10">
        <f t="shared" si="36"/>
        <v>3800</v>
      </c>
      <c r="I2373" s="10"/>
      <c r="J2373" s="10"/>
      <c r="K2373" s="10"/>
      <c r="L2373" s="4" t="s">
        <v>52</v>
      </c>
      <c r="M2373" s="4">
        <v>2368</v>
      </c>
    </row>
    <row r="2374" spans="1:13" x14ac:dyDescent="0.25">
      <c r="A2374" s="4" t="s">
        <v>1985</v>
      </c>
      <c r="B2374" s="4" t="s">
        <v>1996</v>
      </c>
      <c r="C2374" s="9" t="s">
        <v>50</v>
      </c>
      <c r="D2374" s="10">
        <v>2615</v>
      </c>
      <c r="E2374" s="11" t="s">
        <v>51</v>
      </c>
      <c r="F2374" s="10">
        <v>3800</v>
      </c>
      <c r="G2374" s="10">
        <v>0</v>
      </c>
      <c r="H2374" s="10">
        <f t="shared" ref="H2374:H2437" si="37">F2374-G2374</f>
        <v>3800</v>
      </c>
      <c r="I2374" s="10"/>
      <c r="J2374" s="10"/>
      <c r="K2374" s="10"/>
      <c r="L2374" s="4" t="s">
        <v>52</v>
      </c>
      <c r="M2374" s="4">
        <v>2369</v>
      </c>
    </row>
    <row r="2375" spans="1:13" x14ac:dyDescent="0.25">
      <c r="A2375" s="4" t="s">
        <v>1997</v>
      </c>
      <c r="B2375" s="4" t="s">
        <v>1987</v>
      </c>
      <c r="C2375" s="9" t="s">
        <v>50</v>
      </c>
      <c r="D2375" s="10">
        <v>315</v>
      </c>
      <c r="E2375" s="11" t="s">
        <v>51</v>
      </c>
      <c r="F2375" s="10">
        <v>29988.080000000002</v>
      </c>
      <c r="G2375" s="10">
        <v>0</v>
      </c>
      <c r="H2375" s="10">
        <f t="shared" si="37"/>
        <v>29988.080000000002</v>
      </c>
      <c r="I2375" s="10"/>
      <c r="J2375" s="10"/>
      <c r="K2375" s="10"/>
      <c r="L2375" s="4" t="s">
        <v>52</v>
      </c>
      <c r="M2375" s="4">
        <v>2370</v>
      </c>
    </row>
    <row r="2376" spans="1:13" x14ac:dyDescent="0.25">
      <c r="A2376" s="4" t="s">
        <v>1997</v>
      </c>
      <c r="B2376" s="4" t="s">
        <v>1988</v>
      </c>
      <c r="C2376" s="9" t="s">
        <v>50</v>
      </c>
      <c r="D2376" s="10">
        <v>759</v>
      </c>
      <c r="E2376" s="11" t="s">
        <v>51</v>
      </c>
      <c r="F2376" s="10">
        <v>58101.9</v>
      </c>
      <c r="G2376" s="10">
        <v>0</v>
      </c>
      <c r="H2376" s="10">
        <f t="shared" si="37"/>
        <v>58101.9</v>
      </c>
      <c r="I2376" s="10"/>
      <c r="J2376" s="10"/>
      <c r="K2376" s="10"/>
      <c r="L2376" s="4" t="s">
        <v>52</v>
      </c>
      <c r="M2376" s="4">
        <v>2371</v>
      </c>
    </row>
    <row r="2377" spans="1:13" x14ac:dyDescent="0.25">
      <c r="A2377" s="4" t="s">
        <v>1997</v>
      </c>
      <c r="B2377" s="4" t="s">
        <v>1998</v>
      </c>
      <c r="C2377" s="4" t="s">
        <v>68</v>
      </c>
      <c r="D2377" s="10">
        <v>78</v>
      </c>
      <c r="E2377" s="11" t="s">
        <v>51</v>
      </c>
      <c r="F2377" s="10">
        <v>7497.02</v>
      </c>
      <c r="G2377" s="10">
        <v>0</v>
      </c>
      <c r="H2377" s="10">
        <f t="shared" si="37"/>
        <v>7497.02</v>
      </c>
      <c r="I2377" s="10"/>
      <c r="J2377" s="10"/>
      <c r="K2377" s="10"/>
      <c r="L2377" s="4" t="s">
        <v>69</v>
      </c>
      <c r="M2377" s="4">
        <v>2372</v>
      </c>
    </row>
    <row r="2378" spans="1:13" x14ac:dyDescent="0.25">
      <c r="A2378" s="4" t="s">
        <v>1997</v>
      </c>
      <c r="B2378" s="4" t="s">
        <v>1999</v>
      </c>
      <c r="C2378" s="9" t="s">
        <v>50</v>
      </c>
      <c r="D2378" s="10">
        <v>1077</v>
      </c>
      <c r="E2378" s="11" t="s">
        <v>51</v>
      </c>
      <c r="F2378" s="10">
        <v>82467.22</v>
      </c>
      <c r="G2378" s="10">
        <v>0</v>
      </c>
      <c r="H2378" s="10">
        <f t="shared" si="37"/>
        <v>82467.22</v>
      </c>
      <c r="I2378" s="10"/>
      <c r="J2378" s="10"/>
      <c r="K2378" s="10"/>
      <c r="L2378" s="4" t="s">
        <v>52</v>
      </c>
      <c r="M2378" s="4">
        <v>2373</v>
      </c>
    </row>
    <row r="2379" spans="1:13" x14ac:dyDescent="0.25">
      <c r="A2379" s="4" t="s">
        <v>1997</v>
      </c>
      <c r="B2379" s="4" t="s">
        <v>2000</v>
      </c>
      <c r="C2379" s="9" t="s">
        <v>50</v>
      </c>
      <c r="D2379" s="10"/>
      <c r="E2379" s="11" t="s">
        <v>51</v>
      </c>
      <c r="F2379" s="10"/>
      <c r="G2379" s="10">
        <v>0</v>
      </c>
      <c r="H2379" s="10">
        <f t="shared" si="37"/>
        <v>0</v>
      </c>
      <c r="I2379" s="10"/>
      <c r="J2379" s="10"/>
      <c r="K2379" s="10"/>
      <c r="L2379" s="4" t="s">
        <v>52</v>
      </c>
      <c r="M2379" s="4">
        <v>2374</v>
      </c>
    </row>
    <row r="2380" spans="1:13" x14ac:dyDescent="0.25">
      <c r="A2380" s="4" t="s">
        <v>1997</v>
      </c>
      <c r="B2380" s="4" t="s">
        <v>2001</v>
      </c>
      <c r="C2380" s="9" t="s">
        <v>50</v>
      </c>
      <c r="D2380" s="10"/>
      <c r="E2380" s="11" t="s">
        <v>51</v>
      </c>
      <c r="F2380" s="10"/>
      <c r="G2380" s="10">
        <v>0</v>
      </c>
      <c r="H2380" s="10">
        <f t="shared" si="37"/>
        <v>0</v>
      </c>
      <c r="I2380" s="10"/>
      <c r="J2380" s="10"/>
      <c r="K2380" s="10"/>
      <c r="L2380" s="4" t="s">
        <v>52</v>
      </c>
      <c r="M2380" s="4">
        <v>2375</v>
      </c>
    </row>
    <row r="2381" spans="1:13" x14ac:dyDescent="0.25">
      <c r="A2381" s="4" t="s">
        <v>1997</v>
      </c>
      <c r="B2381" s="4" t="s">
        <v>2002</v>
      </c>
      <c r="C2381" s="9" t="s">
        <v>50</v>
      </c>
      <c r="D2381" s="10"/>
      <c r="E2381" s="11" t="s">
        <v>51</v>
      </c>
      <c r="F2381" s="10"/>
      <c r="G2381" s="10">
        <v>0</v>
      </c>
      <c r="H2381" s="10">
        <f t="shared" si="37"/>
        <v>0</v>
      </c>
      <c r="I2381" s="10"/>
      <c r="J2381" s="10"/>
      <c r="K2381" s="10"/>
      <c r="L2381" s="4" t="s">
        <v>52</v>
      </c>
      <c r="M2381" s="4">
        <v>2376</v>
      </c>
    </row>
    <row r="2382" spans="1:13" x14ac:dyDescent="0.25">
      <c r="A2382" s="4" t="s">
        <v>1997</v>
      </c>
      <c r="B2382" s="4" t="s">
        <v>2003</v>
      </c>
      <c r="C2382" s="9" t="s">
        <v>50</v>
      </c>
      <c r="D2382" s="10">
        <v>607</v>
      </c>
      <c r="E2382" s="11" t="s">
        <v>51</v>
      </c>
      <c r="F2382" s="10">
        <v>25593.45</v>
      </c>
      <c r="G2382" s="10">
        <v>0</v>
      </c>
      <c r="H2382" s="10">
        <f t="shared" si="37"/>
        <v>25593.45</v>
      </c>
      <c r="I2382" s="10"/>
      <c r="J2382" s="10"/>
      <c r="K2382" s="10"/>
      <c r="L2382" s="4" t="s">
        <v>52</v>
      </c>
      <c r="M2382" s="4">
        <v>2377</v>
      </c>
    </row>
    <row r="2383" spans="1:13" x14ac:dyDescent="0.25">
      <c r="A2383" s="4" t="s">
        <v>2004</v>
      </c>
      <c r="B2383" s="4" t="s">
        <v>2005</v>
      </c>
      <c r="C2383" s="4" t="s">
        <v>65</v>
      </c>
      <c r="D2383" s="10">
        <v>22</v>
      </c>
      <c r="E2383" s="12" t="s">
        <v>66</v>
      </c>
      <c r="F2383" s="10">
        <v>2532.1999999999998</v>
      </c>
      <c r="G2383" s="10">
        <v>0</v>
      </c>
      <c r="H2383" s="10">
        <f t="shared" si="37"/>
        <v>2532.1999999999998</v>
      </c>
      <c r="I2383" s="10">
        <v>115.1</v>
      </c>
      <c r="J2383" s="10">
        <v>115.1</v>
      </c>
      <c r="K2383" s="10">
        <v>115.1</v>
      </c>
      <c r="L2383" s="4"/>
      <c r="M2383" s="4">
        <v>2378</v>
      </c>
    </row>
    <row r="2384" spans="1:13" x14ac:dyDescent="0.25">
      <c r="A2384" s="4" t="s">
        <v>2004</v>
      </c>
      <c r="B2384" s="4" t="s">
        <v>2006</v>
      </c>
      <c r="C2384" s="4" t="s">
        <v>65</v>
      </c>
      <c r="D2384" s="10">
        <v>49</v>
      </c>
      <c r="E2384" s="12" t="s">
        <v>66</v>
      </c>
      <c r="F2384" s="10">
        <v>4906.1499999999996</v>
      </c>
      <c r="G2384" s="10">
        <v>0</v>
      </c>
      <c r="H2384" s="10">
        <f t="shared" si="37"/>
        <v>4906.1499999999996</v>
      </c>
      <c r="I2384" s="10">
        <v>100.12551020408161</v>
      </c>
      <c r="J2384" s="10">
        <v>100.12551020408161</v>
      </c>
      <c r="K2384" s="10">
        <v>100.12551020408161</v>
      </c>
      <c r="L2384" s="4"/>
      <c r="M2384" s="4">
        <v>2379</v>
      </c>
    </row>
    <row r="2385" spans="1:13" x14ac:dyDescent="0.25">
      <c r="A2385" s="4" t="s">
        <v>2004</v>
      </c>
      <c r="B2385" s="4" t="s">
        <v>2007</v>
      </c>
      <c r="C2385" s="4" t="s">
        <v>65</v>
      </c>
      <c r="D2385" s="10">
        <v>70</v>
      </c>
      <c r="E2385" s="12" t="s">
        <v>66</v>
      </c>
      <c r="F2385" s="10">
        <v>6963.56</v>
      </c>
      <c r="G2385" s="10">
        <v>0</v>
      </c>
      <c r="H2385" s="10">
        <f t="shared" si="37"/>
        <v>6963.56</v>
      </c>
      <c r="I2385" s="10">
        <v>99.479428571428571</v>
      </c>
      <c r="J2385" s="10">
        <v>99.479428571428571</v>
      </c>
      <c r="K2385" s="10">
        <v>99.479428571428571</v>
      </c>
      <c r="L2385" s="4"/>
      <c r="M2385" s="4">
        <v>2380</v>
      </c>
    </row>
    <row r="2386" spans="1:13" x14ac:dyDescent="0.25">
      <c r="A2386" s="4" t="s">
        <v>2004</v>
      </c>
      <c r="B2386" s="4" t="s">
        <v>2008</v>
      </c>
      <c r="C2386" s="4" t="s">
        <v>65</v>
      </c>
      <c r="D2386" s="10">
        <v>18</v>
      </c>
      <c r="E2386" s="12" t="s">
        <v>66</v>
      </c>
      <c r="F2386" s="10">
        <v>2136.5500000000002</v>
      </c>
      <c r="G2386" s="10">
        <v>0</v>
      </c>
      <c r="H2386" s="10">
        <f t="shared" si="37"/>
        <v>2136.5500000000002</v>
      </c>
      <c r="I2386" s="10">
        <v>118.69722222222219</v>
      </c>
      <c r="J2386" s="10">
        <v>118.69722222222219</v>
      </c>
      <c r="K2386" s="10">
        <v>118.69722222222219</v>
      </c>
      <c r="L2386" s="4"/>
      <c r="M2386" s="4">
        <v>2381</v>
      </c>
    </row>
    <row r="2387" spans="1:13" x14ac:dyDescent="0.25">
      <c r="A2387" s="4" t="s">
        <v>2004</v>
      </c>
      <c r="B2387" s="4" t="s">
        <v>2009</v>
      </c>
      <c r="C2387" s="4" t="s">
        <v>65</v>
      </c>
      <c r="D2387" s="10">
        <v>8</v>
      </c>
      <c r="E2387" s="12" t="s">
        <v>66</v>
      </c>
      <c r="F2387" s="10">
        <v>949.58</v>
      </c>
      <c r="G2387" s="10">
        <v>0</v>
      </c>
      <c r="H2387" s="10">
        <f t="shared" si="37"/>
        <v>949.58</v>
      </c>
      <c r="I2387" s="10">
        <v>118.69750000000001</v>
      </c>
      <c r="J2387" s="10">
        <v>118.69750000000001</v>
      </c>
      <c r="K2387" s="10">
        <v>118.69750000000001</v>
      </c>
      <c r="L2387" s="4"/>
      <c r="M2387" s="4">
        <v>2382</v>
      </c>
    </row>
    <row r="2388" spans="1:13" x14ac:dyDescent="0.25">
      <c r="A2388" s="4" t="s">
        <v>2004</v>
      </c>
      <c r="B2388" s="4" t="s">
        <v>2010</v>
      </c>
      <c r="C2388" s="4" t="s">
        <v>65</v>
      </c>
      <c r="D2388" s="10">
        <v>150</v>
      </c>
      <c r="E2388" s="12" t="s">
        <v>66</v>
      </c>
      <c r="F2388" s="10">
        <v>10920.13</v>
      </c>
      <c r="G2388" s="10">
        <v>0</v>
      </c>
      <c r="H2388" s="10">
        <f t="shared" si="37"/>
        <v>10920.13</v>
      </c>
      <c r="I2388" s="10">
        <v>116.1715957446808</v>
      </c>
      <c r="J2388" s="10">
        <v>116.1715957446808</v>
      </c>
      <c r="K2388" s="10">
        <v>116.1715957446808</v>
      </c>
      <c r="L2388" s="4"/>
      <c r="M2388" s="4">
        <v>2383</v>
      </c>
    </row>
    <row r="2389" spans="1:13" x14ac:dyDescent="0.25">
      <c r="A2389" s="4" t="s">
        <v>2011</v>
      </c>
      <c r="B2389" s="4" t="s">
        <v>2012</v>
      </c>
      <c r="C2389" s="9" t="s">
        <v>50</v>
      </c>
      <c r="D2389" s="10">
        <v>415.5</v>
      </c>
      <c r="E2389" s="11" t="s">
        <v>51</v>
      </c>
      <c r="F2389" s="10">
        <v>7500</v>
      </c>
      <c r="G2389" s="10">
        <v>0</v>
      </c>
      <c r="H2389" s="10">
        <f t="shared" si="37"/>
        <v>7500</v>
      </c>
      <c r="I2389" s="10"/>
      <c r="J2389" s="10"/>
      <c r="K2389" s="10"/>
      <c r="L2389" s="4" t="s">
        <v>52</v>
      </c>
      <c r="M2389" s="4">
        <v>2384</v>
      </c>
    </row>
    <row r="2390" spans="1:13" x14ac:dyDescent="0.25">
      <c r="A2390" s="4" t="s">
        <v>2013</v>
      </c>
      <c r="B2390" s="4" t="s">
        <v>2014</v>
      </c>
      <c r="C2390" s="9" t="s">
        <v>50</v>
      </c>
      <c r="D2390" s="10">
        <v>649.5</v>
      </c>
      <c r="E2390" s="11" t="s">
        <v>51</v>
      </c>
      <c r="F2390" s="10">
        <v>28150</v>
      </c>
      <c r="G2390" s="10">
        <v>0</v>
      </c>
      <c r="H2390" s="10">
        <f t="shared" si="37"/>
        <v>28150</v>
      </c>
      <c r="I2390" s="10"/>
      <c r="J2390" s="10"/>
      <c r="K2390" s="10"/>
      <c r="L2390" s="4" t="s">
        <v>52</v>
      </c>
      <c r="M2390" s="4">
        <v>2385</v>
      </c>
    </row>
    <row r="2391" spans="1:13" x14ac:dyDescent="0.25">
      <c r="A2391" s="4" t="s">
        <v>2015</v>
      </c>
      <c r="B2391" s="4" t="s">
        <v>2016</v>
      </c>
      <c r="C2391" s="9" t="s">
        <v>50</v>
      </c>
      <c r="D2391" s="10">
        <v>580</v>
      </c>
      <c r="E2391" s="11" t="s">
        <v>51</v>
      </c>
      <c r="F2391" s="10">
        <v>36480</v>
      </c>
      <c r="G2391" s="10">
        <v>0</v>
      </c>
      <c r="H2391" s="10">
        <f t="shared" si="37"/>
        <v>36480</v>
      </c>
      <c r="I2391" s="10"/>
      <c r="J2391" s="10"/>
      <c r="K2391" s="10"/>
      <c r="L2391" s="4" t="s">
        <v>52</v>
      </c>
      <c r="M2391" s="4">
        <v>2386</v>
      </c>
    </row>
    <row r="2392" spans="1:13" x14ac:dyDescent="0.25">
      <c r="A2392" s="4" t="s">
        <v>2017</v>
      </c>
      <c r="B2392" s="4" t="s">
        <v>2018</v>
      </c>
      <c r="C2392" s="4" t="s">
        <v>65</v>
      </c>
      <c r="D2392" s="10"/>
      <c r="E2392" s="11" t="s">
        <v>51</v>
      </c>
      <c r="F2392" s="10"/>
      <c r="G2392" s="10">
        <v>0</v>
      </c>
      <c r="H2392" s="10">
        <f t="shared" si="37"/>
        <v>0</v>
      </c>
      <c r="I2392" s="10"/>
      <c r="J2392" s="10"/>
      <c r="K2392" s="10"/>
      <c r="L2392" s="4" t="s">
        <v>69</v>
      </c>
      <c r="M2392" s="4">
        <v>2387</v>
      </c>
    </row>
    <row r="2393" spans="1:13" x14ac:dyDescent="0.25">
      <c r="A2393" s="4" t="s">
        <v>2017</v>
      </c>
      <c r="B2393" s="4" t="s">
        <v>2019</v>
      </c>
      <c r="C2393" s="4" t="s">
        <v>65</v>
      </c>
      <c r="D2393" s="10">
        <v>116</v>
      </c>
      <c r="E2393" s="12" t="s">
        <v>66</v>
      </c>
      <c r="F2393" s="10">
        <v>7900</v>
      </c>
      <c r="G2393" s="10">
        <v>0</v>
      </c>
      <c r="H2393" s="10">
        <f t="shared" si="37"/>
        <v>7900</v>
      </c>
      <c r="I2393" s="10">
        <v>68.103448275862064</v>
      </c>
      <c r="J2393" s="10">
        <v>68.103448275862064</v>
      </c>
      <c r="K2393" s="10">
        <v>68.103448275862064</v>
      </c>
      <c r="L2393" s="4"/>
      <c r="M2393" s="4">
        <v>2388</v>
      </c>
    </row>
    <row r="2394" spans="1:13" x14ac:dyDescent="0.25">
      <c r="A2394" s="4" t="s">
        <v>2017</v>
      </c>
      <c r="B2394" s="4" t="s">
        <v>2020</v>
      </c>
      <c r="C2394" s="4" t="s">
        <v>65</v>
      </c>
      <c r="D2394" s="10">
        <v>100</v>
      </c>
      <c r="E2394" s="12" t="s">
        <v>66</v>
      </c>
      <c r="F2394" s="10">
        <v>6250</v>
      </c>
      <c r="G2394" s="10">
        <v>0</v>
      </c>
      <c r="H2394" s="10">
        <f t="shared" si="37"/>
        <v>6250</v>
      </c>
      <c r="I2394" s="10">
        <v>78.125</v>
      </c>
      <c r="J2394" s="10">
        <v>78.125</v>
      </c>
      <c r="K2394" s="10">
        <v>78.125</v>
      </c>
      <c r="L2394" s="4"/>
      <c r="M2394" s="4">
        <v>2389</v>
      </c>
    </row>
    <row r="2395" spans="1:13" x14ac:dyDescent="0.25">
      <c r="A2395" s="4" t="s">
        <v>2021</v>
      </c>
      <c r="B2395" s="4" t="s">
        <v>2022</v>
      </c>
      <c r="C2395" s="9" t="s">
        <v>50</v>
      </c>
      <c r="D2395" s="10">
        <v>80</v>
      </c>
      <c r="E2395" s="11" t="s">
        <v>51</v>
      </c>
      <c r="F2395" s="10">
        <v>2300</v>
      </c>
      <c r="G2395" s="10">
        <v>0</v>
      </c>
      <c r="H2395" s="10">
        <f t="shared" si="37"/>
        <v>2300</v>
      </c>
      <c r="I2395" s="10"/>
      <c r="J2395" s="10"/>
      <c r="K2395" s="10"/>
      <c r="L2395" s="4" t="s">
        <v>52</v>
      </c>
      <c r="M2395" s="4">
        <v>2390</v>
      </c>
    </row>
    <row r="2396" spans="1:13" x14ac:dyDescent="0.25">
      <c r="A2396" s="4" t="s">
        <v>2023</v>
      </c>
      <c r="B2396" s="4" t="s">
        <v>2024</v>
      </c>
      <c r="C2396" s="4" t="s">
        <v>68</v>
      </c>
      <c r="D2396" s="10">
        <v>100</v>
      </c>
      <c r="E2396" s="11" t="s">
        <v>51</v>
      </c>
      <c r="F2396" s="10">
        <v>6900</v>
      </c>
      <c r="G2396" s="10">
        <v>0</v>
      </c>
      <c r="H2396" s="10">
        <f t="shared" si="37"/>
        <v>6900</v>
      </c>
      <c r="I2396" s="10"/>
      <c r="J2396" s="10"/>
      <c r="K2396" s="10"/>
      <c r="L2396" s="4" t="s">
        <v>69</v>
      </c>
      <c r="M2396" s="4">
        <v>2391</v>
      </c>
    </row>
    <row r="2397" spans="1:13" x14ac:dyDescent="0.25">
      <c r="A2397" s="4" t="s">
        <v>2025</v>
      </c>
      <c r="B2397" s="4" t="s">
        <v>2026</v>
      </c>
      <c r="C2397" s="4" t="s">
        <v>65</v>
      </c>
      <c r="D2397" s="10">
        <v>136</v>
      </c>
      <c r="E2397" s="12" t="s">
        <v>66</v>
      </c>
      <c r="F2397" s="10">
        <v>5500</v>
      </c>
      <c r="G2397" s="10">
        <v>0</v>
      </c>
      <c r="H2397" s="10">
        <f t="shared" si="37"/>
        <v>5500</v>
      </c>
      <c r="I2397" s="10">
        <v>137.5</v>
      </c>
      <c r="J2397" s="10">
        <v>137.5</v>
      </c>
      <c r="K2397" s="10">
        <v>137.5</v>
      </c>
      <c r="L2397" s="4"/>
      <c r="M2397" s="4">
        <v>2392</v>
      </c>
    </row>
    <row r="2398" spans="1:13" x14ac:dyDescent="0.25">
      <c r="A2398" s="4" t="s">
        <v>2027</v>
      </c>
      <c r="B2398" s="4" t="s">
        <v>2028</v>
      </c>
      <c r="C2398" s="4" t="s">
        <v>68</v>
      </c>
      <c r="D2398" s="10">
        <v>48</v>
      </c>
      <c r="E2398" s="11" t="s">
        <v>51</v>
      </c>
      <c r="F2398" s="10">
        <v>4560</v>
      </c>
      <c r="G2398" s="10">
        <v>0</v>
      </c>
      <c r="H2398" s="10">
        <f t="shared" si="37"/>
        <v>4560</v>
      </c>
      <c r="I2398" s="10"/>
      <c r="J2398" s="10"/>
      <c r="K2398" s="10"/>
      <c r="L2398" s="4" t="s">
        <v>69</v>
      </c>
      <c r="M2398" s="4">
        <v>2393</v>
      </c>
    </row>
    <row r="2399" spans="1:13" x14ac:dyDescent="0.25">
      <c r="A2399" s="4" t="s">
        <v>2027</v>
      </c>
      <c r="B2399" s="4" t="s">
        <v>2029</v>
      </c>
      <c r="C2399" s="4" t="s">
        <v>68</v>
      </c>
      <c r="D2399" s="10">
        <v>92</v>
      </c>
      <c r="E2399" s="11" t="s">
        <v>51</v>
      </c>
      <c r="F2399" s="10">
        <v>4560</v>
      </c>
      <c r="G2399" s="10">
        <v>0</v>
      </c>
      <c r="H2399" s="10">
        <f t="shared" si="37"/>
        <v>4560</v>
      </c>
      <c r="I2399" s="10"/>
      <c r="J2399" s="10"/>
      <c r="K2399" s="10"/>
      <c r="L2399" s="4" t="s">
        <v>69</v>
      </c>
      <c r="M2399" s="4">
        <v>2394</v>
      </c>
    </row>
    <row r="2400" spans="1:13" x14ac:dyDescent="0.25">
      <c r="A2400" s="4" t="s">
        <v>2030</v>
      </c>
      <c r="B2400" s="4" t="s">
        <v>136</v>
      </c>
      <c r="C2400" s="9" t="s">
        <v>50</v>
      </c>
      <c r="D2400" s="10">
        <v>8</v>
      </c>
      <c r="E2400" s="11" t="s">
        <v>51</v>
      </c>
      <c r="F2400" s="10">
        <v>490.86</v>
      </c>
      <c r="G2400" s="10">
        <v>0</v>
      </c>
      <c r="H2400" s="10">
        <f t="shared" si="37"/>
        <v>490.86</v>
      </c>
      <c r="I2400" s="10"/>
      <c r="J2400" s="10"/>
      <c r="K2400" s="10"/>
      <c r="L2400" s="4" t="s">
        <v>52</v>
      </c>
      <c r="M2400" s="4">
        <v>2395</v>
      </c>
    </row>
    <row r="2401" spans="1:13" x14ac:dyDescent="0.25">
      <c r="A2401" s="4" t="s">
        <v>2030</v>
      </c>
      <c r="B2401" s="4" t="s">
        <v>128</v>
      </c>
      <c r="C2401" s="9" t="s">
        <v>50</v>
      </c>
      <c r="D2401" s="10">
        <v>111</v>
      </c>
      <c r="E2401" s="11" t="s">
        <v>51</v>
      </c>
      <c r="F2401" s="10">
        <v>2209.14</v>
      </c>
      <c r="G2401" s="10">
        <v>0</v>
      </c>
      <c r="H2401" s="10">
        <f t="shared" si="37"/>
        <v>2209.14</v>
      </c>
      <c r="I2401" s="10"/>
      <c r="J2401" s="10"/>
      <c r="K2401" s="10"/>
      <c r="L2401" s="4" t="s">
        <v>52</v>
      </c>
      <c r="M2401" s="4">
        <v>2396</v>
      </c>
    </row>
    <row r="2402" spans="1:13" x14ac:dyDescent="0.25">
      <c r="A2402" s="4" t="s">
        <v>2031</v>
      </c>
      <c r="B2402" s="4" t="s">
        <v>2032</v>
      </c>
      <c r="C2402" s="4" t="s">
        <v>65</v>
      </c>
      <c r="D2402" s="10">
        <v>189</v>
      </c>
      <c r="E2402" s="12" t="s">
        <v>66</v>
      </c>
      <c r="F2402" s="10">
        <v>9000</v>
      </c>
      <c r="G2402" s="10">
        <v>0</v>
      </c>
      <c r="H2402" s="10">
        <f t="shared" si="37"/>
        <v>9000</v>
      </c>
      <c r="I2402" s="10">
        <v>120</v>
      </c>
      <c r="J2402" s="10">
        <v>120</v>
      </c>
      <c r="K2402" s="10">
        <v>120</v>
      </c>
      <c r="L2402" s="4"/>
      <c r="M2402" s="4">
        <v>2397</v>
      </c>
    </row>
    <row r="2403" spans="1:13" x14ac:dyDescent="0.25">
      <c r="A2403" s="4" t="s">
        <v>2033</v>
      </c>
      <c r="B2403" s="4" t="s">
        <v>2034</v>
      </c>
      <c r="C2403" s="9" t="s">
        <v>50</v>
      </c>
      <c r="D2403" s="10">
        <v>34</v>
      </c>
      <c r="E2403" s="11" t="s">
        <v>51</v>
      </c>
      <c r="F2403" s="10">
        <v>3150</v>
      </c>
      <c r="G2403" s="10">
        <v>0</v>
      </c>
      <c r="H2403" s="10">
        <f t="shared" si="37"/>
        <v>3150</v>
      </c>
      <c r="I2403" s="10"/>
      <c r="J2403" s="10"/>
      <c r="K2403" s="10"/>
      <c r="L2403" s="4" t="s">
        <v>52</v>
      </c>
      <c r="M2403" s="4">
        <v>2398</v>
      </c>
    </row>
    <row r="2404" spans="1:13" x14ac:dyDescent="0.25">
      <c r="A2404" s="4" t="s">
        <v>2033</v>
      </c>
      <c r="B2404" s="4" t="s">
        <v>2035</v>
      </c>
      <c r="C2404" s="9" t="s">
        <v>50</v>
      </c>
      <c r="D2404" s="10">
        <v>40</v>
      </c>
      <c r="E2404" s="11" t="s">
        <v>51</v>
      </c>
      <c r="F2404" s="10">
        <v>3800</v>
      </c>
      <c r="G2404" s="10">
        <v>0</v>
      </c>
      <c r="H2404" s="10">
        <f t="shared" si="37"/>
        <v>3800</v>
      </c>
      <c r="I2404" s="10"/>
      <c r="J2404" s="10"/>
      <c r="K2404" s="10"/>
      <c r="L2404" s="4" t="s">
        <v>52</v>
      </c>
      <c r="M2404" s="4">
        <v>2399</v>
      </c>
    </row>
    <row r="2405" spans="1:13" x14ac:dyDescent="0.25">
      <c r="A2405" s="4" t="s">
        <v>2033</v>
      </c>
      <c r="B2405" s="4" t="s">
        <v>2036</v>
      </c>
      <c r="C2405" s="9" t="s">
        <v>50</v>
      </c>
      <c r="D2405" s="10">
        <v>14</v>
      </c>
      <c r="E2405" s="11" t="s">
        <v>51</v>
      </c>
      <c r="F2405" s="10">
        <v>850</v>
      </c>
      <c r="G2405" s="10">
        <v>0</v>
      </c>
      <c r="H2405" s="10">
        <f t="shared" si="37"/>
        <v>850</v>
      </c>
      <c r="I2405" s="10"/>
      <c r="J2405" s="10"/>
      <c r="K2405" s="10"/>
      <c r="L2405" s="4" t="s">
        <v>52</v>
      </c>
      <c r="M2405" s="4">
        <v>2400</v>
      </c>
    </row>
    <row r="2406" spans="1:13" x14ac:dyDescent="0.25">
      <c r="A2406" s="4" t="s">
        <v>2033</v>
      </c>
      <c r="B2406" s="4" t="s">
        <v>2037</v>
      </c>
      <c r="C2406" s="9" t="s">
        <v>50</v>
      </c>
      <c r="D2406" s="10">
        <v>10</v>
      </c>
      <c r="E2406" s="11" t="s">
        <v>51</v>
      </c>
      <c r="F2406" s="10">
        <v>650</v>
      </c>
      <c r="G2406" s="10">
        <v>0</v>
      </c>
      <c r="H2406" s="10">
        <f t="shared" si="37"/>
        <v>650</v>
      </c>
      <c r="I2406" s="10"/>
      <c r="J2406" s="10"/>
      <c r="K2406" s="10"/>
      <c r="L2406" s="4" t="s">
        <v>52</v>
      </c>
      <c r="M2406" s="4">
        <v>2401</v>
      </c>
    </row>
    <row r="2407" spans="1:13" x14ac:dyDescent="0.25">
      <c r="A2407" s="4" t="s">
        <v>2033</v>
      </c>
      <c r="B2407" s="4" t="s">
        <v>2038</v>
      </c>
      <c r="C2407" s="9" t="s">
        <v>50</v>
      </c>
      <c r="D2407" s="10">
        <v>151</v>
      </c>
      <c r="E2407" s="11" t="s">
        <v>51</v>
      </c>
      <c r="F2407" s="10">
        <v>1200</v>
      </c>
      <c r="G2407" s="10">
        <v>0</v>
      </c>
      <c r="H2407" s="10">
        <f t="shared" si="37"/>
        <v>1200</v>
      </c>
      <c r="I2407" s="10"/>
      <c r="J2407" s="10"/>
      <c r="K2407" s="10"/>
      <c r="L2407" s="4" t="s">
        <v>52</v>
      </c>
      <c r="M2407" s="4">
        <v>2402</v>
      </c>
    </row>
    <row r="2408" spans="1:13" x14ac:dyDescent="0.25">
      <c r="A2408" s="4" t="s">
        <v>2039</v>
      </c>
      <c r="B2408" s="4" t="s">
        <v>136</v>
      </c>
      <c r="C2408" s="9" t="s">
        <v>50</v>
      </c>
      <c r="D2408" s="10">
        <v>4</v>
      </c>
      <c r="E2408" s="11" t="s">
        <v>51</v>
      </c>
      <c r="F2408" s="10">
        <v>416.34</v>
      </c>
      <c r="G2408" s="10">
        <v>0</v>
      </c>
      <c r="H2408" s="10">
        <f t="shared" si="37"/>
        <v>416.34</v>
      </c>
      <c r="I2408" s="10"/>
      <c r="J2408" s="10"/>
      <c r="K2408" s="10"/>
      <c r="L2408" s="4" t="s">
        <v>52</v>
      </c>
      <c r="M2408" s="4">
        <v>2403</v>
      </c>
    </row>
    <row r="2409" spans="1:13" x14ac:dyDescent="0.25">
      <c r="A2409" s="4" t="s">
        <v>2039</v>
      </c>
      <c r="B2409" s="4" t="s">
        <v>106</v>
      </c>
      <c r="C2409" s="9" t="s">
        <v>50</v>
      </c>
      <c r="D2409" s="10">
        <v>8</v>
      </c>
      <c r="E2409" s="11" t="s">
        <v>51</v>
      </c>
      <c r="F2409" s="10">
        <v>830.11</v>
      </c>
      <c r="G2409" s="10">
        <v>0</v>
      </c>
      <c r="H2409" s="10">
        <f t="shared" si="37"/>
        <v>830.11</v>
      </c>
      <c r="I2409" s="10"/>
      <c r="J2409" s="10"/>
      <c r="K2409" s="10"/>
      <c r="L2409" s="4" t="s">
        <v>52</v>
      </c>
      <c r="M2409" s="4">
        <v>2404</v>
      </c>
    </row>
    <row r="2410" spans="1:13" x14ac:dyDescent="0.25">
      <c r="A2410" s="4" t="s">
        <v>2039</v>
      </c>
      <c r="B2410" s="4" t="s">
        <v>272</v>
      </c>
      <c r="C2410" s="9" t="s">
        <v>50</v>
      </c>
      <c r="D2410" s="10">
        <v>12</v>
      </c>
      <c r="E2410" s="11" t="s">
        <v>51</v>
      </c>
      <c r="F2410" s="10">
        <v>1246.45</v>
      </c>
      <c r="G2410" s="10">
        <v>0</v>
      </c>
      <c r="H2410" s="10">
        <f t="shared" si="37"/>
        <v>1246.45</v>
      </c>
      <c r="I2410" s="10"/>
      <c r="J2410" s="10"/>
      <c r="K2410" s="10"/>
      <c r="L2410" s="4" t="s">
        <v>52</v>
      </c>
      <c r="M2410" s="4">
        <v>2405</v>
      </c>
    </row>
    <row r="2411" spans="1:13" x14ac:dyDescent="0.25">
      <c r="A2411" s="4" t="s">
        <v>2039</v>
      </c>
      <c r="B2411" s="4" t="s">
        <v>107</v>
      </c>
      <c r="C2411" s="9" t="s">
        <v>50</v>
      </c>
      <c r="D2411" s="10">
        <v>56</v>
      </c>
      <c r="E2411" s="11" t="s">
        <v>51</v>
      </c>
      <c r="F2411" s="10">
        <v>5814.63</v>
      </c>
      <c r="G2411" s="10">
        <v>0</v>
      </c>
      <c r="H2411" s="10">
        <f t="shared" si="37"/>
        <v>5814.63</v>
      </c>
      <c r="I2411" s="10"/>
      <c r="J2411" s="10"/>
      <c r="K2411" s="10"/>
      <c r="L2411" s="4" t="s">
        <v>52</v>
      </c>
      <c r="M2411" s="4">
        <v>2406</v>
      </c>
    </row>
    <row r="2412" spans="1:13" x14ac:dyDescent="0.25">
      <c r="A2412" s="4" t="s">
        <v>2039</v>
      </c>
      <c r="B2412" s="4" t="s">
        <v>128</v>
      </c>
      <c r="C2412" s="9" t="s">
        <v>50</v>
      </c>
      <c r="D2412" s="10">
        <v>296</v>
      </c>
      <c r="E2412" s="11" t="s">
        <v>51</v>
      </c>
      <c r="F2412" s="10">
        <v>4542.4799999999996</v>
      </c>
      <c r="G2412" s="10">
        <v>0</v>
      </c>
      <c r="H2412" s="10">
        <f t="shared" si="37"/>
        <v>4542.4799999999996</v>
      </c>
      <c r="I2412" s="10"/>
      <c r="J2412" s="10"/>
      <c r="K2412" s="10"/>
      <c r="L2412" s="4" t="s">
        <v>52</v>
      </c>
      <c r="M2412" s="4">
        <v>2407</v>
      </c>
    </row>
    <row r="2413" spans="1:13" x14ac:dyDescent="0.25">
      <c r="A2413" s="4" t="s">
        <v>2040</v>
      </c>
      <c r="B2413" s="4" t="s">
        <v>2041</v>
      </c>
      <c r="C2413" s="4" t="s">
        <v>65</v>
      </c>
      <c r="D2413" s="10">
        <v>70</v>
      </c>
      <c r="E2413" s="12" t="s">
        <v>66</v>
      </c>
      <c r="F2413" s="10">
        <v>6750</v>
      </c>
      <c r="G2413" s="10">
        <v>0</v>
      </c>
      <c r="H2413" s="10">
        <f t="shared" si="37"/>
        <v>6750</v>
      </c>
      <c r="I2413" s="10">
        <v>96.428571428571431</v>
      </c>
      <c r="J2413" s="10">
        <v>96.428571428571431</v>
      </c>
      <c r="K2413" s="10">
        <v>96.428571428571431</v>
      </c>
      <c r="L2413" s="4"/>
      <c r="M2413" s="4">
        <v>2408</v>
      </c>
    </row>
    <row r="2414" spans="1:13" x14ac:dyDescent="0.25">
      <c r="A2414" s="4" t="s">
        <v>2040</v>
      </c>
      <c r="B2414" s="4" t="s">
        <v>2042</v>
      </c>
      <c r="C2414" s="4" t="s">
        <v>65</v>
      </c>
      <c r="D2414" s="10">
        <v>24</v>
      </c>
      <c r="E2414" s="12" t="s">
        <v>66</v>
      </c>
      <c r="F2414" s="10">
        <v>3250</v>
      </c>
      <c r="G2414" s="10">
        <v>0</v>
      </c>
      <c r="H2414" s="10">
        <f t="shared" si="37"/>
        <v>3250</v>
      </c>
      <c r="I2414" s="10">
        <v>135.41666666666671</v>
      </c>
      <c r="J2414" s="10">
        <v>135.41666666666671</v>
      </c>
      <c r="K2414" s="10">
        <v>135.41666666666671</v>
      </c>
      <c r="L2414" s="4"/>
      <c r="M2414" s="4">
        <v>2409</v>
      </c>
    </row>
    <row r="2415" spans="1:13" x14ac:dyDescent="0.25">
      <c r="A2415" s="4" t="s">
        <v>2040</v>
      </c>
      <c r="B2415" s="4" t="s">
        <v>2043</v>
      </c>
      <c r="C2415" s="4" t="s">
        <v>65</v>
      </c>
      <c r="D2415" s="10">
        <v>65</v>
      </c>
      <c r="E2415" s="12" t="s">
        <v>66</v>
      </c>
      <c r="F2415" s="10">
        <v>4250</v>
      </c>
      <c r="G2415" s="10">
        <v>0</v>
      </c>
      <c r="H2415" s="10">
        <f t="shared" si="37"/>
        <v>4250</v>
      </c>
      <c r="I2415" s="10">
        <v>65.384615384615387</v>
      </c>
      <c r="J2415" s="10">
        <v>65.384615384615387</v>
      </c>
      <c r="K2415" s="10">
        <v>65.384615384615387</v>
      </c>
      <c r="L2415" s="4"/>
      <c r="M2415" s="4">
        <v>2410</v>
      </c>
    </row>
    <row r="2416" spans="1:13" x14ac:dyDescent="0.25">
      <c r="A2416" s="4" t="s">
        <v>2040</v>
      </c>
      <c r="B2416" s="4" t="s">
        <v>2044</v>
      </c>
      <c r="C2416" s="4" t="s">
        <v>65</v>
      </c>
      <c r="D2416" s="10">
        <v>75</v>
      </c>
      <c r="E2416" s="12" t="s">
        <v>66</v>
      </c>
      <c r="F2416" s="10">
        <v>4950</v>
      </c>
      <c r="G2416" s="10">
        <v>0</v>
      </c>
      <c r="H2416" s="10">
        <f t="shared" si="37"/>
        <v>4950</v>
      </c>
      <c r="I2416" s="10">
        <v>66</v>
      </c>
      <c r="J2416" s="10">
        <v>66</v>
      </c>
      <c r="K2416" s="10">
        <v>66</v>
      </c>
      <c r="L2416" s="4"/>
      <c r="M2416" s="4">
        <v>2411</v>
      </c>
    </row>
    <row r="2417" spans="1:13" x14ac:dyDescent="0.25">
      <c r="A2417" s="4" t="s">
        <v>2040</v>
      </c>
      <c r="B2417" s="4" t="s">
        <v>2045</v>
      </c>
      <c r="C2417" s="4" t="s">
        <v>65</v>
      </c>
      <c r="D2417" s="10">
        <v>204</v>
      </c>
      <c r="E2417" s="12" t="s">
        <v>66</v>
      </c>
      <c r="F2417" s="10">
        <v>500</v>
      </c>
      <c r="G2417" s="10">
        <v>0</v>
      </c>
      <c r="H2417" s="10">
        <f t="shared" si="37"/>
        <v>500</v>
      </c>
      <c r="I2417" s="10">
        <v>71.428571428571431</v>
      </c>
      <c r="J2417" s="10">
        <v>71.428571428571431</v>
      </c>
      <c r="K2417" s="10">
        <v>71.428571428571431</v>
      </c>
      <c r="L2417" s="4"/>
      <c r="M2417" s="4">
        <v>2412</v>
      </c>
    </row>
    <row r="2418" spans="1:13" x14ac:dyDescent="0.25">
      <c r="A2418" s="4" t="s">
        <v>2046</v>
      </c>
      <c r="B2418" s="4" t="s">
        <v>2047</v>
      </c>
      <c r="C2418" s="9" t="s">
        <v>50</v>
      </c>
      <c r="D2418" s="10">
        <v>40</v>
      </c>
      <c r="E2418" s="11" t="s">
        <v>51</v>
      </c>
      <c r="F2418" s="10">
        <v>3800</v>
      </c>
      <c r="G2418" s="10">
        <v>0</v>
      </c>
      <c r="H2418" s="10">
        <f t="shared" si="37"/>
        <v>3800</v>
      </c>
      <c r="I2418" s="10"/>
      <c r="J2418" s="10"/>
      <c r="K2418" s="10"/>
      <c r="L2418" s="4" t="s">
        <v>52</v>
      </c>
      <c r="M2418" s="4">
        <v>2413</v>
      </c>
    </row>
    <row r="2419" spans="1:13" x14ac:dyDescent="0.25">
      <c r="A2419" s="4" t="s">
        <v>2046</v>
      </c>
      <c r="B2419" s="4" t="s">
        <v>1402</v>
      </c>
      <c r="C2419" s="9" t="s">
        <v>50</v>
      </c>
      <c r="D2419" s="10">
        <v>91</v>
      </c>
      <c r="E2419" s="11" t="s">
        <v>51</v>
      </c>
      <c r="F2419" s="10">
        <v>8500</v>
      </c>
      <c r="G2419" s="10">
        <v>0</v>
      </c>
      <c r="H2419" s="10">
        <f t="shared" si="37"/>
        <v>8500</v>
      </c>
      <c r="I2419" s="10"/>
      <c r="J2419" s="10"/>
      <c r="K2419" s="10"/>
      <c r="L2419" s="4" t="s">
        <v>52</v>
      </c>
      <c r="M2419" s="4">
        <v>2414</v>
      </c>
    </row>
    <row r="2420" spans="1:13" x14ac:dyDescent="0.25">
      <c r="A2420" s="4" t="s">
        <v>2046</v>
      </c>
      <c r="B2420" s="4" t="s">
        <v>421</v>
      </c>
      <c r="C2420" s="9" t="s">
        <v>50</v>
      </c>
      <c r="D2420" s="10">
        <v>141</v>
      </c>
      <c r="E2420" s="11" t="s">
        <v>51</v>
      </c>
      <c r="F2420" s="10">
        <v>6270</v>
      </c>
      <c r="G2420" s="10">
        <v>0</v>
      </c>
      <c r="H2420" s="10">
        <f t="shared" si="37"/>
        <v>6270</v>
      </c>
      <c r="I2420" s="10"/>
      <c r="J2420" s="10"/>
      <c r="K2420" s="10"/>
      <c r="L2420" s="4" t="s">
        <v>52</v>
      </c>
      <c r="M2420" s="4">
        <v>2415</v>
      </c>
    </row>
    <row r="2421" spans="1:13" x14ac:dyDescent="0.25">
      <c r="A2421" s="4" t="s">
        <v>2048</v>
      </c>
      <c r="B2421" s="4" t="s">
        <v>1637</v>
      </c>
      <c r="C2421" s="4" t="s">
        <v>65</v>
      </c>
      <c r="D2421" s="10">
        <v>38</v>
      </c>
      <c r="E2421" s="12" t="s">
        <v>66</v>
      </c>
      <c r="F2421" s="10">
        <v>3950</v>
      </c>
      <c r="G2421" s="10">
        <v>0</v>
      </c>
      <c r="H2421" s="10">
        <f t="shared" si="37"/>
        <v>3950</v>
      </c>
      <c r="I2421" s="10">
        <v>103.9473684210526</v>
      </c>
      <c r="J2421" s="10">
        <v>103.9473684210526</v>
      </c>
      <c r="K2421" s="10">
        <v>103.9473684210526</v>
      </c>
      <c r="L2421" s="4"/>
      <c r="M2421" s="4">
        <v>2416</v>
      </c>
    </row>
    <row r="2422" spans="1:13" x14ac:dyDescent="0.25">
      <c r="A2422" s="4" t="s">
        <v>2048</v>
      </c>
      <c r="B2422" s="4" t="s">
        <v>764</v>
      </c>
      <c r="C2422" s="4" t="s">
        <v>68</v>
      </c>
      <c r="D2422" s="10">
        <v>25</v>
      </c>
      <c r="E2422" s="11" t="s">
        <v>51</v>
      </c>
      <c r="F2422" s="10">
        <v>2375</v>
      </c>
      <c r="G2422" s="10">
        <v>0</v>
      </c>
      <c r="H2422" s="10">
        <f t="shared" si="37"/>
        <v>2375</v>
      </c>
      <c r="I2422" s="10"/>
      <c r="J2422" s="10"/>
      <c r="K2422" s="10"/>
      <c r="L2422" s="4" t="s">
        <v>69</v>
      </c>
      <c r="M2422" s="4">
        <v>2417</v>
      </c>
    </row>
    <row r="2423" spans="1:13" x14ac:dyDescent="0.25">
      <c r="A2423" s="4" t="s">
        <v>2048</v>
      </c>
      <c r="B2423" s="4" t="s">
        <v>2049</v>
      </c>
      <c r="C2423" s="4" t="s">
        <v>65</v>
      </c>
      <c r="D2423" s="10">
        <v>12</v>
      </c>
      <c r="E2423" s="12" t="s">
        <v>66</v>
      </c>
      <c r="F2423" s="10">
        <v>1140</v>
      </c>
      <c r="G2423" s="10">
        <v>0</v>
      </c>
      <c r="H2423" s="10">
        <f t="shared" si="37"/>
        <v>1140</v>
      </c>
      <c r="I2423" s="10">
        <v>95</v>
      </c>
      <c r="J2423" s="10">
        <v>95</v>
      </c>
      <c r="K2423" s="10">
        <v>95</v>
      </c>
      <c r="L2423" s="4"/>
      <c r="M2423" s="4">
        <v>2418</v>
      </c>
    </row>
    <row r="2424" spans="1:13" x14ac:dyDescent="0.25">
      <c r="A2424" s="4" t="s">
        <v>2050</v>
      </c>
      <c r="B2424" s="4" t="s">
        <v>404</v>
      </c>
      <c r="C2424" s="9" t="s">
        <v>50</v>
      </c>
      <c r="D2424" s="10"/>
      <c r="E2424" s="11" t="s">
        <v>51</v>
      </c>
      <c r="F2424" s="10"/>
      <c r="G2424" s="10">
        <v>0</v>
      </c>
      <c r="H2424" s="10">
        <f t="shared" si="37"/>
        <v>0</v>
      </c>
      <c r="I2424" s="10"/>
      <c r="J2424" s="10"/>
      <c r="K2424" s="10"/>
      <c r="L2424" s="4" t="s">
        <v>52</v>
      </c>
      <c r="M2424" s="4">
        <v>2419</v>
      </c>
    </row>
    <row r="2425" spans="1:13" x14ac:dyDescent="0.25">
      <c r="A2425" s="4" t="s">
        <v>2050</v>
      </c>
      <c r="B2425" s="4" t="s">
        <v>270</v>
      </c>
      <c r="C2425" s="9" t="s">
        <v>50</v>
      </c>
      <c r="D2425" s="10">
        <v>19</v>
      </c>
      <c r="E2425" s="11" t="s">
        <v>51</v>
      </c>
      <c r="F2425" s="10"/>
      <c r="G2425" s="10">
        <v>0</v>
      </c>
      <c r="H2425" s="10">
        <f t="shared" si="37"/>
        <v>0</v>
      </c>
      <c r="I2425" s="10"/>
      <c r="J2425" s="10"/>
      <c r="K2425" s="10"/>
      <c r="L2425" s="4" t="s">
        <v>52</v>
      </c>
      <c r="M2425" s="4">
        <v>2420</v>
      </c>
    </row>
    <row r="2426" spans="1:13" x14ac:dyDescent="0.25">
      <c r="A2426" s="4" t="s">
        <v>2051</v>
      </c>
      <c r="B2426" s="4" t="s">
        <v>2052</v>
      </c>
      <c r="C2426" s="4" t="s">
        <v>65</v>
      </c>
      <c r="D2426" s="10">
        <v>50</v>
      </c>
      <c r="E2426" s="12" t="s">
        <v>66</v>
      </c>
      <c r="F2426" s="10">
        <v>2250</v>
      </c>
      <c r="G2426" s="10">
        <v>0</v>
      </c>
      <c r="H2426" s="10">
        <f t="shared" si="37"/>
        <v>2250</v>
      </c>
      <c r="I2426" s="10">
        <v>118.4210526315789</v>
      </c>
      <c r="J2426" s="10">
        <v>118.4210526315789</v>
      </c>
      <c r="K2426" s="10">
        <v>118.4210526315789</v>
      </c>
      <c r="L2426" s="4"/>
      <c r="M2426" s="4">
        <v>2421</v>
      </c>
    </row>
    <row r="2427" spans="1:13" x14ac:dyDescent="0.25">
      <c r="A2427" s="4" t="s">
        <v>2053</v>
      </c>
      <c r="B2427" s="4" t="s">
        <v>1637</v>
      </c>
      <c r="C2427" s="4" t="s">
        <v>65</v>
      </c>
      <c r="D2427" s="10">
        <v>15</v>
      </c>
      <c r="E2427" s="12" t="s">
        <v>66</v>
      </c>
      <c r="F2427" s="10">
        <v>1700</v>
      </c>
      <c r="G2427" s="10">
        <v>0</v>
      </c>
      <c r="H2427" s="10">
        <f t="shared" si="37"/>
        <v>1700</v>
      </c>
      <c r="I2427" s="10">
        <v>113.3333333333333</v>
      </c>
      <c r="J2427" s="10">
        <v>113.3333333333333</v>
      </c>
      <c r="K2427" s="10">
        <v>113.3333333333333</v>
      </c>
      <c r="L2427" s="4"/>
      <c r="M2427" s="4">
        <v>2422</v>
      </c>
    </row>
    <row r="2428" spans="1:13" x14ac:dyDescent="0.25">
      <c r="A2428" s="4" t="s">
        <v>2053</v>
      </c>
      <c r="B2428" s="4" t="s">
        <v>2054</v>
      </c>
      <c r="C2428" s="4" t="s">
        <v>68</v>
      </c>
      <c r="D2428" s="10">
        <v>92</v>
      </c>
      <c r="E2428" s="11" t="s">
        <v>51</v>
      </c>
      <c r="F2428" s="10">
        <v>1760</v>
      </c>
      <c r="G2428" s="10">
        <v>0</v>
      </c>
      <c r="H2428" s="10">
        <f t="shared" si="37"/>
        <v>1760</v>
      </c>
      <c r="I2428" s="10"/>
      <c r="J2428" s="10"/>
      <c r="K2428" s="10"/>
      <c r="L2428" s="4" t="s">
        <v>69</v>
      </c>
      <c r="M2428" s="4">
        <v>2423</v>
      </c>
    </row>
    <row r="2429" spans="1:13" x14ac:dyDescent="0.25">
      <c r="A2429" s="4" t="s">
        <v>2055</v>
      </c>
      <c r="B2429" s="4" t="s">
        <v>2056</v>
      </c>
      <c r="C2429" s="4" t="s">
        <v>68</v>
      </c>
      <c r="D2429" s="10">
        <v>15</v>
      </c>
      <c r="E2429" s="11" t="s">
        <v>51</v>
      </c>
      <c r="F2429" s="10">
        <v>1650</v>
      </c>
      <c r="G2429" s="10">
        <v>0</v>
      </c>
      <c r="H2429" s="10">
        <f t="shared" si="37"/>
        <v>1650</v>
      </c>
      <c r="I2429" s="10"/>
      <c r="J2429" s="10"/>
      <c r="K2429" s="10"/>
      <c r="L2429" s="4" t="s">
        <v>69</v>
      </c>
      <c r="M2429" s="4">
        <v>2424</v>
      </c>
    </row>
    <row r="2430" spans="1:13" x14ac:dyDescent="0.25">
      <c r="A2430" s="4" t="s">
        <v>2055</v>
      </c>
      <c r="B2430" s="4" t="s">
        <v>2057</v>
      </c>
      <c r="C2430" s="4" t="s">
        <v>68</v>
      </c>
      <c r="D2430" s="10">
        <v>15</v>
      </c>
      <c r="E2430" s="11" t="s">
        <v>51</v>
      </c>
      <c r="F2430" s="10">
        <v>1650</v>
      </c>
      <c r="G2430" s="10">
        <v>0</v>
      </c>
      <c r="H2430" s="10">
        <f t="shared" si="37"/>
        <v>1650</v>
      </c>
      <c r="I2430" s="10"/>
      <c r="J2430" s="10"/>
      <c r="K2430" s="10"/>
      <c r="L2430" s="4" t="s">
        <v>69</v>
      </c>
      <c r="M2430" s="4">
        <v>2425</v>
      </c>
    </row>
    <row r="2431" spans="1:13" x14ac:dyDescent="0.25">
      <c r="A2431" s="4" t="s">
        <v>2055</v>
      </c>
      <c r="B2431" s="4" t="s">
        <v>2058</v>
      </c>
      <c r="C2431" s="4" t="s">
        <v>65</v>
      </c>
      <c r="D2431" s="10">
        <v>18</v>
      </c>
      <c r="E2431" s="12" t="s">
        <v>66</v>
      </c>
      <c r="F2431" s="10">
        <v>2000</v>
      </c>
      <c r="G2431" s="10">
        <v>0</v>
      </c>
      <c r="H2431" s="10">
        <f t="shared" si="37"/>
        <v>2000</v>
      </c>
      <c r="I2431" s="10">
        <v>111.1111111111111</v>
      </c>
      <c r="J2431" s="10">
        <v>111.1111111111111</v>
      </c>
      <c r="K2431" s="10">
        <v>111.1111111111111</v>
      </c>
      <c r="L2431" s="4"/>
      <c r="M2431" s="4">
        <v>2426</v>
      </c>
    </row>
    <row r="2432" spans="1:13" x14ac:dyDescent="0.25">
      <c r="A2432" s="4" t="s">
        <v>2055</v>
      </c>
      <c r="B2432" s="4" t="s">
        <v>2059</v>
      </c>
      <c r="C2432" s="4" t="s">
        <v>65</v>
      </c>
      <c r="D2432" s="10">
        <v>50</v>
      </c>
      <c r="E2432" s="12" t="s">
        <v>66</v>
      </c>
      <c r="F2432" s="10">
        <v>3100</v>
      </c>
      <c r="G2432" s="10">
        <v>0</v>
      </c>
      <c r="H2432" s="10">
        <f t="shared" si="37"/>
        <v>3100</v>
      </c>
      <c r="I2432" s="10">
        <v>110.71428571428569</v>
      </c>
      <c r="J2432" s="10">
        <v>110.71428571428569</v>
      </c>
      <c r="K2432" s="10">
        <v>110.71428571428569</v>
      </c>
      <c r="L2432" s="4"/>
      <c r="M2432" s="4">
        <v>2427</v>
      </c>
    </row>
    <row r="2433" spans="1:13" x14ac:dyDescent="0.25">
      <c r="A2433" s="4" t="s">
        <v>2060</v>
      </c>
      <c r="B2433" s="4" t="s">
        <v>2061</v>
      </c>
      <c r="C2433" s="4" t="s">
        <v>65</v>
      </c>
      <c r="D2433" s="10">
        <v>11.5</v>
      </c>
      <c r="E2433" s="12" t="s">
        <v>66</v>
      </c>
      <c r="F2433" s="10">
        <v>850</v>
      </c>
      <c r="G2433" s="10">
        <v>0</v>
      </c>
      <c r="H2433" s="10">
        <f t="shared" si="37"/>
        <v>850</v>
      </c>
      <c r="I2433" s="10">
        <v>73.913043478260875</v>
      </c>
      <c r="J2433" s="10">
        <v>73.913043478260875</v>
      </c>
      <c r="K2433" s="10">
        <v>73.913043478260875</v>
      </c>
      <c r="L2433" s="4"/>
      <c r="M2433" s="4">
        <v>2428</v>
      </c>
    </row>
    <row r="2434" spans="1:13" x14ac:dyDescent="0.25">
      <c r="A2434" s="4" t="s">
        <v>2060</v>
      </c>
      <c r="B2434" s="4" t="s">
        <v>2062</v>
      </c>
      <c r="C2434" s="4" t="s">
        <v>65</v>
      </c>
      <c r="D2434" s="10">
        <v>26.5</v>
      </c>
      <c r="E2434" s="12" t="s">
        <v>66</v>
      </c>
      <c r="F2434" s="10">
        <v>850</v>
      </c>
      <c r="G2434" s="10">
        <v>0</v>
      </c>
      <c r="H2434" s="10">
        <f t="shared" si="37"/>
        <v>850</v>
      </c>
      <c r="I2434" s="10">
        <v>80.952380952380949</v>
      </c>
      <c r="J2434" s="10">
        <v>80.952380952380949</v>
      </c>
      <c r="K2434" s="10">
        <v>80.952380952380949</v>
      </c>
      <c r="L2434" s="4"/>
      <c r="M2434" s="4">
        <v>2429</v>
      </c>
    </row>
    <row r="2435" spans="1:13" x14ac:dyDescent="0.25">
      <c r="A2435" s="4" t="s">
        <v>2063</v>
      </c>
      <c r="B2435" s="4" t="s">
        <v>82</v>
      </c>
      <c r="C2435" s="9" t="s">
        <v>50</v>
      </c>
      <c r="D2435" s="10">
        <v>66</v>
      </c>
      <c r="E2435" s="11" t="s">
        <v>51</v>
      </c>
      <c r="F2435" s="10">
        <v>3687.5</v>
      </c>
      <c r="G2435" s="10">
        <v>0</v>
      </c>
      <c r="H2435" s="10">
        <f t="shared" si="37"/>
        <v>3687.5</v>
      </c>
      <c r="I2435" s="10"/>
      <c r="J2435" s="10"/>
      <c r="K2435" s="10"/>
      <c r="L2435" s="4" t="s">
        <v>52</v>
      </c>
      <c r="M2435" s="4">
        <v>2430</v>
      </c>
    </row>
    <row r="2436" spans="1:13" x14ac:dyDescent="0.25">
      <c r="A2436" s="4" t="s">
        <v>2064</v>
      </c>
      <c r="B2436" s="4" t="s">
        <v>82</v>
      </c>
      <c r="C2436" s="9" t="s">
        <v>50</v>
      </c>
      <c r="D2436" s="10">
        <v>100</v>
      </c>
      <c r="E2436" s="11" t="s">
        <v>51</v>
      </c>
      <c r="F2436" s="10">
        <v>4750</v>
      </c>
      <c r="G2436" s="10">
        <v>0</v>
      </c>
      <c r="H2436" s="10">
        <f t="shared" si="37"/>
        <v>4750</v>
      </c>
      <c r="I2436" s="10"/>
      <c r="J2436" s="10"/>
      <c r="K2436" s="10"/>
      <c r="L2436" s="4" t="s">
        <v>52</v>
      </c>
      <c r="M2436" s="4">
        <v>2431</v>
      </c>
    </row>
    <row r="2437" spans="1:13" x14ac:dyDescent="0.25">
      <c r="A2437" s="4" t="s">
        <v>2065</v>
      </c>
      <c r="B2437" s="4" t="s">
        <v>2066</v>
      </c>
      <c r="C2437" s="4" t="s">
        <v>68</v>
      </c>
      <c r="D2437" s="10">
        <v>100</v>
      </c>
      <c r="E2437" s="11" t="s">
        <v>51</v>
      </c>
      <c r="F2437" s="10">
        <v>6562.5</v>
      </c>
      <c r="G2437" s="10">
        <v>0</v>
      </c>
      <c r="H2437" s="10">
        <f t="shared" si="37"/>
        <v>6562.5</v>
      </c>
      <c r="I2437" s="10"/>
      <c r="J2437" s="10"/>
      <c r="K2437" s="10"/>
      <c r="L2437" s="4" t="s">
        <v>69</v>
      </c>
      <c r="M2437" s="4">
        <v>2432</v>
      </c>
    </row>
    <row r="2438" spans="1:13" x14ac:dyDescent="0.25">
      <c r="A2438" s="4" t="s">
        <v>2067</v>
      </c>
      <c r="B2438" s="4" t="s">
        <v>82</v>
      </c>
      <c r="C2438" s="9" t="s">
        <v>50</v>
      </c>
      <c r="D2438" s="10">
        <v>100</v>
      </c>
      <c r="E2438" s="11" t="s">
        <v>51</v>
      </c>
      <c r="F2438" s="10">
        <v>4750</v>
      </c>
      <c r="G2438" s="10">
        <v>0</v>
      </c>
      <c r="H2438" s="10">
        <f t="shared" ref="H2438:H2501" si="38">F2438-G2438</f>
        <v>4750</v>
      </c>
      <c r="I2438" s="10"/>
      <c r="J2438" s="10"/>
      <c r="K2438" s="10"/>
      <c r="L2438" s="4" t="s">
        <v>52</v>
      </c>
      <c r="M2438" s="4">
        <v>2433</v>
      </c>
    </row>
    <row r="2439" spans="1:13" x14ac:dyDescent="0.25">
      <c r="A2439" s="4" t="s">
        <v>2068</v>
      </c>
      <c r="B2439" s="4" t="s">
        <v>621</v>
      </c>
      <c r="C2439" s="4" t="s">
        <v>68</v>
      </c>
      <c r="D2439" s="10">
        <v>100</v>
      </c>
      <c r="E2439" s="11" t="s">
        <v>51</v>
      </c>
      <c r="F2439" s="10">
        <v>6562.5</v>
      </c>
      <c r="G2439" s="10">
        <v>0</v>
      </c>
      <c r="H2439" s="10">
        <f t="shared" si="38"/>
        <v>6562.5</v>
      </c>
      <c r="I2439" s="10"/>
      <c r="J2439" s="10"/>
      <c r="K2439" s="10"/>
      <c r="L2439" s="4" t="s">
        <v>69</v>
      </c>
      <c r="M2439" s="4">
        <v>2434</v>
      </c>
    </row>
    <row r="2440" spans="1:13" x14ac:dyDescent="0.25">
      <c r="A2440" s="4" t="s">
        <v>2069</v>
      </c>
      <c r="B2440" s="4" t="s">
        <v>82</v>
      </c>
      <c r="C2440" s="9" t="s">
        <v>50</v>
      </c>
      <c r="D2440" s="10">
        <v>100</v>
      </c>
      <c r="E2440" s="11" t="s">
        <v>51</v>
      </c>
      <c r="F2440" s="10">
        <v>4750</v>
      </c>
      <c r="G2440" s="10">
        <v>0</v>
      </c>
      <c r="H2440" s="10">
        <f t="shared" si="38"/>
        <v>4750</v>
      </c>
      <c r="I2440" s="10"/>
      <c r="J2440" s="10"/>
      <c r="K2440" s="10"/>
      <c r="L2440" s="4" t="s">
        <v>52</v>
      </c>
      <c r="M2440" s="4">
        <v>2435</v>
      </c>
    </row>
    <row r="2441" spans="1:13" x14ac:dyDescent="0.25">
      <c r="A2441" s="4" t="s">
        <v>2070</v>
      </c>
      <c r="B2441" s="4" t="s">
        <v>621</v>
      </c>
      <c r="C2441" s="4" t="s">
        <v>68</v>
      </c>
      <c r="D2441" s="10">
        <v>100</v>
      </c>
      <c r="E2441" s="11" t="s">
        <v>51</v>
      </c>
      <c r="F2441" s="10">
        <v>6562.5</v>
      </c>
      <c r="G2441" s="10">
        <v>0</v>
      </c>
      <c r="H2441" s="10">
        <f t="shared" si="38"/>
        <v>6562.5</v>
      </c>
      <c r="I2441" s="10"/>
      <c r="J2441" s="10"/>
      <c r="K2441" s="10"/>
      <c r="L2441" s="4" t="s">
        <v>69</v>
      </c>
      <c r="M2441" s="4">
        <v>2436</v>
      </c>
    </row>
    <row r="2442" spans="1:13" x14ac:dyDescent="0.25">
      <c r="A2442" s="4" t="s">
        <v>2071</v>
      </c>
      <c r="B2442" s="4" t="s">
        <v>82</v>
      </c>
      <c r="C2442" s="9" t="s">
        <v>50</v>
      </c>
      <c r="D2442" s="10">
        <v>100</v>
      </c>
      <c r="E2442" s="11" t="s">
        <v>51</v>
      </c>
      <c r="F2442" s="10">
        <v>4750</v>
      </c>
      <c r="G2442" s="10">
        <v>0</v>
      </c>
      <c r="H2442" s="10">
        <f t="shared" si="38"/>
        <v>4750</v>
      </c>
      <c r="I2442" s="10"/>
      <c r="J2442" s="10"/>
      <c r="K2442" s="10"/>
      <c r="L2442" s="4" t="s">
        <v>52</v>
      </c>
      <c r="M2442" s="4">
        <v>2437</v>
      </c>
    </row>
    <row r="2443" spans="1:13" x14ac:dyDescent="0.25">
      <c r="A2443" s="4" t="s">
        <v>2072</v>
      </c>
      <c r="B2443" s="4" t="s">
        <v>82</v>
      </c>
      <c r="C2443" s="9" t="s">
        <v>50</v>
      </c>
      <c r="D2443" s="10">
        <v>360</v>
      </c>
      <c r="E2443" s="11" t="s">
        <v>51</v>
      </c>
      <c r="F2443" s="10">
        <v>4750</v>
      </c>
      <c r="G2443" s="10">
        <v>0</v>
      </c>
      <c r="H2443" s="10">
        <f t="shared" si="38"/>
        <v>4750</v>
      </c>
      <c r="I2443" s="10"/>
      <c r="J2443" s="10"/>
      <c r="K2443" s="10"/>
      <c r="L2443" s="4" t="s">
        <v>52</v>
      </c>
      <c r="M2443" s="4">
        <v>2438</v>
      </c>
    </row>
    <row r="2444" spans="1:13" x14ac:dyDescent="0.25">
      <c r="A2444" s="4" t="s">
        <v>2073</v>
      </c>
      <c r="B2444" s="4" t="s">
        <v>2074</v>
      </c>
      <c r="C2444" s="9" t="s">
        <v>50</v>
      </c>
      <c r="D2444" s="10">
        <v>260</v>
      </c>
      <c r="E2444" s="11" t="s">
        <v>51</v>
      </c>
      <c r="F2444" s="10">
        <v>24700</v>
      </c>
      <c r="G2444" s="10">
        <v>0</v>
      </c>
      <c r="H2444" s="10">
        <f t="shared" si="38"/>
        <v>24700</v>
      </c>
      <c r="I2444" s="10"/>
      <c r="J2444" s="10"/>
      <c r="K2444" s="10"/>
      <c r="L2444" s="4" t="s">
        <v>52</v>
      </c>
      <c r="M2444" s="4">
        <v>2439</v>
      </c>
    </row>
    <row r="2445" spans="1:13" x14ac:dyDescent="0.25">
      <c r="A2445" s="4" t="s">
        <v>2073</v>
      </c>
      <c r="B2445" s="4" t="s">
        <v>2075</v>
      </c>
      <c r="C2445" s="9" t="s">
        <v>50</v>
      </c>
      <c r="D2445" s="10">
        <v>546.01</v>
      </c>
      <c r="E2445" s="11" t="s">
        <v>51</v>
      </c>
      <c r="F2445" s="10">
        <v>2500</v>
      </c>
      <c r="G2445" s="10">
        <v>0</v>
      </c>
      <c r="H2445" s="10">
        <f t="shared" si="38"/>
        <v>2500</v>
      </c>
      <c r="I2445" s="10"/>
      <c r="J2445" s="10"/>
      <c r="K2445" s="10"/>
      <c r="L2445" s="4" t="s">
        <v>52</v>
      </c>
      <c r="M2445" s="4">
        <v>2440</v>
      </c>
    </row>
    <row r="2446" spans="1:13" x14ac:dyDescent="0.25">
      <c r="A2446" s="4" t="s">
        <v>2076</v>
      </c>
      <c r="B2446" s="4" t="s">
        <v>2077</v>
      </c>
      <c r="C2446" s="9" t="s">
        <v>50</v>
      </c>
      <c r="D2446" s="10">
        <v>496.01</v>
      </c>
      <c r="E2446" s="11" t="s">
        <v>51</v>
      </c>
      <c r="F2446" s="10">
        <v>39600</v>
      </c>
      <c r="G2446" s="10">
        <v>0</v>
      </c>
      <c r="H2446" s="10">
        <f t="shared" si="38"/>
        <v>39600</v>
      </c>
      <c r="I2446" s="10"/>
      <c r="J2446" s="10"/>
      <c r="K2446" s="10"/>
      <c r="L2446" s="4" t="s">
        <v>52</v>
      </c>
      <c r="M2446" s="4">
        <v>2441</v>
      </c>
    </row>
    <row r="2447" spans="1:13" x14ac:dyDescent="0.25">
      <c r="A2447" s="4" t="s">
        <v>2076</v>
      </c>
      <c r="B2447" s="4" t="s">
        <v>2078</v>
      </c>
      <c r="C2447" s="4" t="s">
        <v>68</v>
      </c>
      <c r="D2447" s="10">
        <v>42</v>
      </c>
      <c r="E2447" s="11" t="s">
        <v>51</v>
      </c>
      <c r="F2447" s="10"/>
      <c r="G2447" s="10">
        <v>0</v>
      </c>
      <c r="H2447" s="10">
        <f t="shared" si="38"/>
        <v>0</v>
      </c>
      <c r="I2447" s="10"/>
      <c r="J2447" s="10"/>
      <c r="K2447" s="10"/>
      <c r="L2447" s="4" t="s">
        <v>69</v>
      </c>
      <c r="M2447" s="4">
        <v>2442</v>
      </c>
    </row>
    <row r="2448" spans="1:13" x14ac:dyDescent="0.25">
      <c r="A2448" s="4" t="s">
        <v>2079</v>
      </c>
      <c r="B2448" s="4" t="s">
        <v>118</v>
      </c>
      <c r="C2448" s="9" t="s">
        <v>50</v>
      </c>
      <c r="D2448" s="10">
        <v>100</v>
      </c>
      <c r="E2448" s="11" t="s">
        <v>51</v>
      </c>
      <c r="F2448" s="10">
        <v>3795</v>
      </c>
      <c r="G2448" s="10">
        <v>0</v>
      </c>
      <c r="H2448" s="10">
        <f t="shared" si="38"/>
        <v>3795</v>
      </c>
      <c r="I2448" s="10"/>
      <c r="J2448" s="10"/>
      <c r="K2448" s="10"/>
      <c r="L2448" s="4" t="s">
        <v>52</v>
      </c>
      <c r="M2448" s="4">
        <v>2443</v>
      </c>
    </row>
    <row r="2449" spans="1:13" x14ac:dyDescent="0.25">
      <c r="A2449" s="4" t="s">
        <v>2080</v>
      </c>
      <c r="B2449" s="4" t="s">
        <v>1654</v>
      </c>
      <c r="C2449" s="4" t="s">
        <v>68</v>
      </c>
      <c r="D2449" s="10">
        <v>52</v>
      </c>
      <c r="E2449" s="11" t="s">
        <v>51</v>
      </c>
      <c r="F2449" s="10">
        <v>4120</v>
      </c>
      <c r="G2449" s="10">
        <v>0</v>
      </c>
      <c r="H2449" s="10">
        <f t="shared" si="38"/>
        <v>4120</v>
      </c>
      <c r="I2449" s="10"/>
      <c r="J2449" s="10"/>
      <c r="K2449" s="10"/>
      <c r="L2449" s="4" t="s">
        <v>69</v>
      </c>
      <c r="M2449" s="4">
        <v>2444</v>
      </c>
    </row>
    <row r="2450" spans="1:13" x14ac:dyDescent="0.25">
      <c r="A2450" s="4" t="s">
        <v>2080</v>
      </c>
      <c r="B2450" s="4" t="s">
        <v>118</v>
      </c>
      <c r="C2450" s="9" t="s">
        <v>50</v>
      </c>
      <c r="D2450" s="10">
        <v>6</v>
      </c>
      <c r="E2450" s="11" t="s">
        <v>51</v>
      </c>
      <c r="F2450" s="10">
        <v>400</v>
      </c>
      <c r="G2450" s="10">
        <v>0</v>
      </c>
      <c r="H2450" s="10">
        <f t="shared" si="38"/>
        <v>400</v>
      </c>
      <c r="I2450" s="10"/>
      <c r="J2450" s="10"/>
      <c r="K2450" s="10"/>
      <c r="L2450" s="4" t="s">
        <v>52</v>
      </c>
      <c r="M2450" s="4">
        <v>2445</v>
      </c>
    </row>
    <row r="2451" spans="1:13" x14ac:dyDescent="0.25">
      <c r="A2451" s="4" t="s">
        <v>2081</v>
      </c>
      <c r="B2451" s="4" t="s">
        <v>2077</v>
      </c>
      <c r="C2451" s="9" t="s">
        <v>50</v>
      </c>
      <c r="D2451" s="10">
        <v>40</v>
      </c>
      <c r="E2451" s="11" t="s">
        <v>51</v>
      </c>
      <c r="F2451" s="10"/>
      <c r="G2451" s="10">
        <v>0</v>
      </c>
      <c r="H2451" s="10">
        <f t="shared" si="38"/>
        <v>0</v>
      </c>
      <c r="I2451" s="10"/>
      <c r="J2451" s="10"/>
      <c r="K2451" s="10"/>
      <c r="L2451" s="4" t="s">
        <v>52</v>
      </c>
      <c r="M2451" s="4">
        <v>2446</v>
      </c>
    </row>
    <row r="2452" spans="1:13" x14ac:dyDescent="0.25">
      <c r="A2452" s="4" t="s">
        <v>2082</v>
      </c>
      <c r="B2452" s="4" t="s">
        <v>2083</v>
      </c>
      <c r="C2452" s="4" t="s">
        <v>65</v>
      </c>
      <c r="D2452" s="10">
        <v>36</v>
      </c>
      <c r="E2452" s="12" t="s">
        <v>66</v>
      </c>
      <c r="F2452" s="10">
        <v>4850</v>
      </c>
      <c r="G2452" s="10">
        <v>0</v>
      </c>
      <c r="H2452" s="10">
        <f t="shared" si="38"/>
        <v>4850</v>
      </c>
      <c r="I2452" s="10">
        <v>134.7222222222222</v>
      </c>
      <c r="J2452" s="10">
        <v>134.7222222222222</v>
      </c>
      <c r="K2452" s="10">
        <v>134.7222222222222</v>
      </c>
      <c r="L2452" s="4"/>
      <c r="M2452" s="4">
        <v>2447</v>
      </c>
    </row>
    <row r="2453" spans="1:13" x14ac:dyDescent="0.25">
      <c r="A2453" s="4" t="s">
        <v>2082</v>
      </c>
      <c r="B2453" s="4" t="s">
        <v>2084</v>
      </c>
      <c r="C2453" s="4" t="s">
        <v>65</v>
      </c>
      <c r="D2453" s="10">
        <v>79</v>
      </c>
      <c r="E2453" s="12" t="s">
        <v>66</v>
      </c>
      <c r="F2453" s="10">
        <v>350</v>
      </c>
      <c r="G2453" s="10">
        <v>0</v>
      </c>
      <c r="H2453" s="10">
        <f t="shared" si="38"/>
        <v>350</v>
      </c>
      <c r="I2453" s="10">
        <v>87.5</v>
      </c>
      <c r="J2453" s="10">
        <v>87.5</v>
      </c>
      <c r="K2453" s="10">
        <v>87.5</v>
      </c>
      <c r="L2453" s="4"/>
      <c r="M2453" s="4">
        <v>2448</v>
      </c>
    </row>
    <row r="2454" spans="1:13" x14ac:dyDescent="0.25">
      <c r="A2454" s="4" t="s">
        <v>2085</v>
      </c>
      <c r="B2454" s="4" t="s">
        <v>421</v>
      </c>
      <c r="C2454" s="9" t="s">
        <v>50</v>
      </c>
      <c r="D2454" s="10">
        <v>262</v>
      </c>
      <c r="E2454" s="11" t="s">
        <v>51</v>
      </c>
      <c r="F2454" s="10">
        <v>7315</v>
      </c>
      <c r="G2454" s="10">
        <v>0</v>
      </c>
      <c r="H2454" s="10">
        <f t="shared" si="38"/>
        <v>7315</v>
      </c>
      <c r="I2454" s="10"/>
      <c r="J2454" s="10"/>
      <c r="K2454" s="10"/>
      <c r="L2454" s="4" t="s">
        <v>52</v>
      </c>
      <c r="M2454" s="4">
        <v>2449</v>
      </c>
    </row>
    <row r="2455" spans="1:13" x14ac:dyDescent="0.25">
      <c r="A2455" s="4" t="s">
        <v>2086</v>
      </c>
      <c r="B2455" s="4" t="s">
        <v>2087</v>
      </c>
      <c r="C2455" s="9" t="s">
        <v>50</v>
      </c>
      <c r="D2455" s="10">
        <v>12</v>
      </c>
      <c r="E2455" s="11" t="s">
        <v>51</v>
      </c>
      <c r="F2455" s="10">
        <v>1140</v>
      </c>
      <c r="G2455" s="10">
        <v>0</v>
      </c>
      <c r="H2455" s="10">
        <f t="shared" si="38"/>
        <v>1140</v>
      </c>
      <c r="I2455" s="10"/>
      <c r="J2455" s="10"/>
      <c r="K2455" s="10"/>
      <c r="L2455" s="4" t="s">
        <v>52</v>
      </c>
      <c r="M2455" s="4">
        <v>2450</v>
      </c>
    </row>
    <row r="2456" spans="1:13" x14ac:dyDescent="0.25">
      <c r="A2456" s="4" t="s">
        <v>2086</v>
      </c>
      <c r="B2456" s="4" t="s">
        <v>2088</v>
      </c>
      <c r="C2456" s="9" t="s">
        <v>50</v>
      </c>
      <c r="D2456" s="10">
        <v>33</v>
      </c>
      <c r="E2456" s="11" t="s">
        <v>51</v>
      </c>
      <c r="F2456" s="10">
        <v>2350</v>
      </c>
      <c r="G2456" s="10">
        <v>0</v>
      </c>
      <c r="H2456" s="10">
        <f t="shared" si="38"/>
        <v>2350</v>
      </c>
      <c r="I2456" s="10"/>
      <c r="J2456" s="10"/>
      <c r="K2456" s="10"/>
      <c r="L2456" s="4" t="s">
        <v>52</v>
      </c>
      <c r="M2456" s="4">
        <v>2451</v>
      </c>
    </row>
    <row r="2457" spans="1:13" x14ac:dyDescent="0.25">
      <c r="A2457" s="4" t="s">
        <v>2086</v>
      </c>
      <c r="B2457" s="4" t="s">
        <v>421</v>
      </c>
      <c r="C2457" s="9" t="s">
        <v>50</v>
      </c>
      <c r="D2457" s="10">
        <v>66</v>
      </c>
      <c r="E2457" s="11" t="s">
        <v>51</v>
      </c>
      <c r="F2457" s="10">
        <v>6270</v>
      </c>
      <c r="G2457" s="10">
        <v>0</v>
      </c>
      <c r="H2457" s="10">
        <f t="shared" si="38"/>
        <v>6270</v>
      </c>
      <c r="I2457" s="10"/>
      <c r="J2457" s="10"/>
      <c r="K2457" s="10"/>
      <c r="L2457" s="4" t="s">
        <v>52</v>
      </c>
      <c r="M2457" s="4">
        <v>2452</v>
      </c>
    </row>
    <row r="2458" spans="1:13" x14ac:dyDescent="0.25">
      <c r="A2458" s="4" t="s">
        <v>2086</v>
      </c>
      <c r="B2458" s="4" t="s">
        <v>2089</v>
      </c>
      <c r="C2458" s="9" t="s">
        <v>50</v>
      </c>
      <c r="D2458" s="10">
        <v>10</v>
      </c>
      <c r="E2458" s="11" t="s">
        <v>51</v>
      </c>
      <c r="F2458" s="10">
        <v>550</v>
      </c>
      <c r="G2458" s="10">
        <v>0</v>
      </c>
      <c r="H2458" s="10">
        <f t="shared" si="38"/>
        <v>550</v>
      </c>
      <c r="I2458" s="10"/>
      <c r="J2458" s="10"/>
      <c r="K2458" s="10"/>
      <c r="L2458" s="4" t="s">
        <v>52</v>
      </c>
      <c r="M2458" s="4">
        <v>2453</v>
      </c>
    </row>
    <row r="2459" spans="1:13" x14ac:dyDescent="0.25">
      <c r="A2459" s="4" t="s">
        <v>2086</v>
      </c>
      <c r="B2459" s="4" t="s">
        <v>119</v>
      </c>
      <c r="C2459" s="9" t="s">
        <v>50</v>
      </c>
      <c r="D2459" s="10">
        <v>32</v>
      </c>
      <c r="E2459" s="11" t="s">
        <v>51</v>
      </c>
      <c r="F2459" s="10">
        <v>1950</v>
      </c>
      <c r="G2459" s="10">
        <v>0</v>
      </c>
      <c r="H2459" s="10">
        <f t="shared" si="38"/>
        <v>1950</v>
      </c>
      <c r="I2459" s="10"/>
      <c r="J2459" s="10"/>
      <c r="K2459" s="10"/>
      <c r="L2459" s="4" t="s">
        <v>52</v>
      </c>
      <c r="M2459" s="4">
        <v>2454</v>
      </c>
    </row>
    <row r="2460" spans="1:13" x14ac:dyDescent="0.25">
      <c r="A2460" s="4" t="s">
        <v>2086</v>
      </c>
      <c r="B2460" s="4" t="s">
        <v>118</v>
      </c>
      <c r="C2460" s="9" t="s">
        <v>50</v>
      </c>
      <c r="D2460" s="10">
        <v>89</v>
      </c>
      <c r="E2460" s="11" t="s">
        <v>51</v>
      </c>
      <c r="F2460" s="10">
        <v>2100</v>
      </c>
      <c r="G2460" s="10">
        <v>0</v>
      </c>
      <c r="H2460" s="10">
        <f t="shared" si="38"/>
        <v>2100</v>
      </c>
      <c r="I2460" s="10"/>
      <c r="J2460" s="10"/>
      <c r="K2460" s="10"/>
      <c r="L2460" s="4" t="s">
        <v>52</v>
      </c>
      <c r="M2460" s="4">
        <v>2455</v>
      </c>
    </row>
    <row r="2461" spans="1:13" x14ac:dyDescent="0.25">
      <c r="A2461" s="4" t="s">
        <v>2090</v>
      </c>
      <c r="B2461" s="4" t="s">
        <v>1567</v>
      </c>
      <c r="C2461" s="4" t="s">
        <v>68</v>
      </c>
      <c r="D2461" s="10">
        <v>55</v>
      </c>
      <c r="E2461" s="11" t="s">
        <v>51</v>
      </c>
      <c r="F2461" s="10"/>
      <c r="G2461" s="10">
        <v>0</v>
      </c>
      <c r="H2461" s="10">
        <f t="shared" si="38"/>
        <v>0</v>
      </c>
      <c r="I2461" s="10"/>
      <c r="J2461" s="10"/>
      <c r="K2461" s="10"/>
      <c r="L2461" s="4" t="s">
        <v>69</v>
      </c>
      <c r="M2461" s="4">
        <v>2456</v>
      </c>
    </row>
    <row r="2462" spans="1:13" x14ac:dyDescent="0.25">
      <c r="A2462" s="4" t="s">
        <v>2090</v>
      </c>
      <c r="B2462" s="4" t="s">
        <v>1967</v>
      </c>
      <c r="C2462" s="4" t="s">
        <v>65</v>
      </c>
      <c r="D2462" s="10">
        <v>36</v>
      </c>
      <c r="E2462" s="11" t="s">
        <v>51</v>
      </c>
      <c r="F2462" s="10"/>
      <c r="G2462" s="10">
        <v>0</v>
      </c>
      <c r="H2462" s="10">
        <f t="shared" si="38"/>
        <v>0</v>
      </c>
      <c r="I2462" s="10"/>
      <c r="J2462" s="10"/>
      <c r="K2462" s="10"/>
      <c r="L2462" s="4" t="s">
        <v>69</v>
      </c>
      <c r="M2462" s="4">
        <v>2457</v>
      </c>
    </row>
    <row r="2463" spans="1:13" x14ac:dyDescent="0.25">
      <c r="A2463" s="4" t="s">
        <v>2091</v>
      </c>
      <c r="B2463" s="4" t="s">
        <v>2092</v>
      </c>
      <c r="C2463" s="4" t="s">
        <v>65</v>
      </c>
      <c r="D2463" s="10">
        <v>12</v>
      </c>
      <c r="E2463" s="12" t="s">
        <v>66</v>
      </c>
      <c r="F2463" s="10">
        <v>1400</v>
      </c>
      <c r="G2463" s="10">
        <v>0</v>
      </c>
      <c r="H2463" s="10">
        <f t="shared" si="38"/>
        <v>1400</v>
      </c>
      <c r="I2463" s="10">
        <v>116.6666666666667</v>
      </c>
      <c r="J2463" s="10">
        <v>116.6666666666667</v>
      </c>
      <c r="K2463" s="10">
        <v>116.6666666666667</v>
      </c>
      <c r="L2463" s="4"/>
      <c r="M2463" s="4">
        <v>2458</v>
      </c>
    </row>
    <row r="2464" spans="1:13" x14ac:dyDescent="0.25">
      <c r="A2464" s="4" t="s">
        <v>2091</v>
      </c>
      <c r="B2464" s="4" t="s">
        <v>2093</v>
      </c>
      <c r="C2464" s="4" t="s">
        <v>68</v>
      </c>
      <c r="D2464" s="10">
        <v>321</v>
      </c>
      <c r="E2464" s="11" t="s">
        <v>51</v>
      </c>
      <c r="F2464" s="10">
        <v>2420.16</v>
      </c>
      <c r="G2464" s="10">
        <v>0</v>
      </c>
      <c r="H2464" s="10">
        <f t="shared" si="38"/>
        <v>2420.16</v>
      </c>
      <c r="I2464" s="10"/>
      <c r="J2464" s="10"/>
      <c r="K2464" s="10"/>
      <c r="L2464" s="4" t="s">
        <v>69</v>
      </c>
      <c r="M2464" s="4">
        <v>2459</v>
      </c>
    </row>
    <row r="2465" spans="1:13" x14ac:dyDescent="0.25">
      <c r="A2465" s="4" t="s">
        <v>2094</v>
      </c>
      <c r="B2465" s="4" t="s">
        <v>136</v>
      </c>
      <c r="C2465" s="9" t="s">
        <v>50</v>
      </c>
      <c r="D2465" s="10">
        <v>1.5</v>
      </c>
      <c r="E2465" s="11" t="s">
        <v>51</v>
      </c>
      <c r="F2465" s="10">
        <v>200</v>
      </c>
      <c r="G2465" s="10">
        <v>0</v>
      </c>
      <c r="H2465" s="10">
        <f t="shared" si="38"/>
        <v>200</v>
      </c>
      <c r="I2465" s="10"/>
      <c r="J2465" s="10"/>
      <c r="K2465" s="10"/>
      <c r="L2465" s="4" t="s">
        <v>52</v>
      </c>
      <c r="M2465" s="4">
        <v>2460</v>
      </c>
    </row>
    <row r="2466" spans="1:13" x14ac:dyDescent="0.25">
      <c r="A2466" s="4" t="s">
        <v>2094</v>
      </c>
      <c r="B2466" s="4" t="s">
        <v>82</v>
      </c>
      <c r="C2466" s="9" t="s">
        <v>50</v>
      </c>
      <c r="D2466" s="10">
        <v>29.5</v>
      </c>
      <c r="E2466" s="11" t="s">
        <v>51</v>
      </c>
      <c r="F2466" s="10">
        <v>3300</v>
      </c>
      <c r="G2466" s="10">
        <v>0</v>
      </c>
      <c r="H2466" s="10">
        <f t="shared" si="38"/>
        <v>3300</v>
      </c>
      <c r="I2466" s="10"/>
      <c r="J2466" s="10"/>
      <c r="K2466" s="10"/>
      <c r="L2466" s="4" t="s">
        <v>52</v>
      </c>
      <c r="M2466" s="4">
        <v>2461</v>
      </c>
    </row>
    <row r="2467" spans="1:13" x14ac:dyDescent="0.25">
      <c r="A2467" s="4" t="s">
        <v>2094</v>
      </c>
      <c r="B2467" s="4" t="s">
        <v>88</v>
      </c>
      <c r="C2467" s="9" t="s">
        <v>50</v>
      </c>
      <c r="D2467" s="10">
        <v>37.5</v>
      </c>
      <c r="E2467" s="11" t="s">
        <v>51</v>
      </c>
      <c r="F2467" s="10">
        <v>4200</v>
      </c>
      <c r="G2467" s="10">
        <v>0</v>
      </c>
      <c r="H2467" s="10">
        <f t="shared" si="38"/>
        <v>4200</v>
      </c>
      <c r="I2467" s="10"/>
      <c r="J2467" s="10"/>
      <c r="K2467" s="10"/>
      <c r="L2467" s="4" t="s">
        <v>52</v>
      </c>
      <c r="M2467" s="4">
        <v>2462</v>
      </c>
    </row>
    <row r="2468" spans="1:13" x14ac:dyDescent="0.25">
      <c r="A2468" s="4" t="s">
        <v>2094</v>
      </c>
      <c r="B2468" s="4" t="s">
        <v>137</v>
      </c>
      <c r="C2468" s="9" t="s">
        <v>50</v>
      </c>
      <c r="D2468" s="10">
        <v>29.5</v>
      </c>
      <c r="E2468" s="11" t="s">
        <v>51</v>
      </c>
      <c r="F2468" s="10">
        <v>3300</v>
      </c>
      <c r="G2468" s="10">
        <v>0</v>
      </c>
      <c r="H2468" s="10">
        <f t="shared" si="38"/>
        <v>3300</v>
      </c>
      <c r="I2468" s="10"/>
      <c r="J2468" s="10"/>
      <c r="K2468" s="10"/>
      <c r="L2468" s="4" t="s">
        <v>52</v>
      </c>
      <c r="M2468" s="4">
        <v>2463</v>
      </c>
    </row>
    <row r="2469" spans="1:13" x14ac:dyDescent="0.25">
      <c r="A2469" s="4" t="s">
        <v>2094</v>
      </c>
      <c r="B2469" s="4" t="s">
        <v>106</v>
      </c>
      <c r="C2469" s="9" t="s">
        <v>50</v>
      </c>
      <c r="D2469" s="10">
        <v>43.5</v>
      </c>
      <c r="E2469" s="11" t="s">
        <v>51</v>
      </c>
      <c r="F2469" s="10">
        <v>4760</v>
      </c>
      <c r="G2469" s="10">
        <v>0</v>
      </c>
      <c r="H2469" s="10">
        <f t="shared" si="38"/>
        <v>4760</v>
      </c>
      <c r="I2469" s="10"/>
      <c r="J2469" s="10"/>
      <c r="K2469" s="10"/>
      <c r="L2469" s="4" t="s">
        <v>52</v>
      </c>
      <c r="M2469" s="4">
        <v>2464</v>
      </c>
    </row>
    <row r="2470" spans="1:13" x14ac:dyDescent="0.25">
      <c r="A2470" s="4" t="s">
        <v>2094</v>
      </c>
      <c r="B2470" s="4" t="s">
        <v>2095</v>
      </c>
      <c r="C2470" s="9" t="s">
        <v>50</v>
      </c>
      <c r="D2470" s="10">
        <v>103.5</v>
      </c>
      <c r="E2470" s="11" t="s">
        <v>51</v>
      </c>
      <c r="F2470" s="10">
        <v>11500</v>
      </c>
      <c r="G2470" s="10">
        <v>0</v>
      </c>
      <c r="H2470" s="10">
        <f t="shared" si="38"/>
        <v>11500</v>
      </c>
      <c r="I2470" s="10"/>
      <c r="J2470" s="10"/>
      <c r="K2470" s="10"/>
      <c r="L2470" s="4" t="s">
        <v>52</v>
      </c>
      <c r="M2470" s="4">
        <v>2465</v>
      </c>
    </row>
    <row r="2471" spans="1:13" x14ac:dyDescent="0.25">
      <c r="A2471" s="4" t="s">
        <v>2094</v>
      </c>
      <c r="B2471" s="4" t="s">
        <v>2096</v>
      </c>
      <c r="C2471" s="9" t="s">
        <v>50</v>
      </c>
      <c r="D2471" s="10">
        <v>8</v>
      </c>
      <c r="E2471" s="11" t="s">
        <v>51</v>
      </c>
      <c r="F2471" s="10">
        <v>760</v>
      </c>
      <c r="G2471" s="10">
        <v>0</v>
      </c>
      <c r="H2471" s="10">
        <f t="shared" si="38"/>
        <v>760</v>
      </c>
      <c r="I2471" s="10"/>
      <c r="J2471" s="10"/>
      <c r="K2471" s="10"/>
      <c r="L2471" s="4" t="s">
        <v>52</v>
      </c>
      <c r="M2471" s="4">
        <v>2466</v>
      </c>
    </row>
    <row r="2472" spans="1:13" x14ac:dyDescent="0.25">
      <c r="A2472" s="4" t="s">
        <v>2094</v>
      </c>
      <c r="B2472" s="4" t="s">
        <v>2097</v>
      </c>
      <c r="C2472" s="9" t="s">
        <v>50</v>
      </c>
      <c r="D2472" s="10">
        <v>40</v>
      </c>
      <c r="E2472" s="11" t="s">
        <v>51</v>
      </c>
      <c r="F2472" s="10">
        <v>3800</v>
      </c>
      <c r="G2472" s="10">
        <v>0</v>
      </c>
      <c r="H2472" s="10">
        <f t="shared" si="38"/>
        <v>3800</v>
      </c>
      <c r="I2472" s="10"/>
      <c r="J2472" s="10"/>
      <c r="K2472" s="10"/>
      <c r="L2472" s="4" t="s">
        <v>52</v>
      </c>
      <c r="M2472" s="4">
        <v>2467</v>
      </c>
    </row>
    <row r="2473" spans="1:13" x14ac:dyDescent="0.25">
      <c r="A2473" s="4" t="s">
        <v>2094</v>
      </c>
      <c r="B2473" s="4" t="s">
        <v>2098</v>
      </c>
      <c r="C2473" s="4" t="s">
        <v>65</v>
      </c>
      <c r="D2473" s="10">
        <v>16</v>
      </c>
      <c r="E2473" s="12" t="s">
        <v>66</v>
      </c>
      <c r="F2473" s="10">
        <v>1900</v>
      </c>
      <c r="G2473" s="10">
        <v>0</v>
      </c>
      <c r="H2473" s="10">
        <f t="shared" si="38"/>
        <v>1900</v>
      </c>
      <c r="I2473" s="10">
        <v>118.75</v>
      </c>
      <c r="J2473" s="10">
        <v>118.75</v>
      </c>
      <c r="K2473" s="10">
        <v>118.75</v>
      </c>
      <c r="L2473" s="4"/>
      <c r="M2473" s="4">
        <v>2468</v>
      </c>
    </row>
    <row r="2474" spans="1:13" x14ac:dyDescent="0.25">
      <c r="A2474" s="4" t="s">
        <v>2094</v>
      </c>
      <c r="B2474" s="4" t="s">
        <v>2099</v>
      </c>
      <c r="C2474" s="4" t="s">
        <v>65</v>
      </c>
      <c r="D2474" s="10">
        <v>32</v>
      </c>
      <c r="E2474" s="12" t="s">
        <v>66</v>
      </c>
      <c r="F2474" s="10">
        <v>1300</v>
      </c>
      <c r="G2474" s="10">
        <v>0</v>
      </c>
      <c r="H2474" s="10">
        <f t="shared" si="38"/>
        <v>1300</v>
      </c>
      <c r="I2474" s="10">
        <v>108.3333333333333</v>
      </c>
      <c r="J2474" s="10">
        <v>108.3333333333333</v>
      </c>
      <c r="K2474" s="10">
        <v>108.3333333333333</v>
      </c>
      <c r="L2474" s="4"/>
      <c r="M2474" s="4">
        <v>2469</v>
      </c>
    </row>
    <row r="2475" spans="1:13" x14ac:dyDescent="0.25">
      <c r="A2475" s="4" t="s">
        <v>2100</v>
      </c>
      <c r="B2475" s="4" t="s">
        <v>2101</v>
      </c>
      <c r="C2475" s="4" t="s">
        <v>68</v>
      </c>
      <c r="D2475" s="10">
        <v>6</v>
      </c>
      <c r="E2475" s="11" t="s">
        <v>51</v>
      </c>
      <c r="F2475" s="10">
        <v>1860</v>
      </c>
      <c r="G2475" s="10">
        <v>0</v>
      </c>
      <c r="H2475" s="10">
        <f t="shared" si="38"/>
        <v>1860</v>
      </c>
      <c r="I2475" s="10"/>
      <c r="J2475" s="10"/>
      <c r="K2475" s="10"/>
      <c r="L2475" s="4" t="s">
        <v>69</v>
      </c>
      <c r="M2475" s="4">
        <v>2470</v>
      </c>
    </row>
    <row r="2476" spans="1:13" x14ac:dyDescent="0.25">
      <c r="A2476" s="4" t="s">
        <v>2100</v>
      </c>
      <c r="B2476" s="4" t="s">
        <v>2102</v>
      </c>
      <c r="C2476" s="4" t="s">
        <v>68</v>
      </c>
      <c r="D2476" s="10">
        <v>31</v>
      </c>
      <c r="E2476" s="11" t="s">
        <v>51</v>
      </c>
      <c r="F2476" s="10"/>
      <c r="G2476" s="10">
        <v>0</v>
      </c>
      <c r="H2476" s="10">
        <f t="shared" si="38"/>
        <v>0</v>
      </c>
      <c r="I2476" s="10"/>
      <c r="J2476" s="10"/>
      <c r="K2476" s="10"/>
      <c r="L2476" s="4" t="s">
        <v>69</v>
      </c>
      <c r="M2476" s="4">
        <v>2471</v>
      </c>
    </row>
    <row r="2477" spans="1:13" x14ac:dyDescent="0.25">
      <c r="A2477" s="4" t="s">
        <v>2103</v>
      </c>
      <c r="B2477" s="4" t="s">
        <v>1315</v>
      </c>
      <c r="C2477" s="4" t="s">
        <v>65</v>
      </c>
      <c r="D2477" s="10">
        <v>28</v>
      </c>
      <c r="E2477" s="12" t="s">
        <v>66</v>
      </c>
      <c r="F2477" s="10">
        <v>1300</v>
      </c>
      <c r="G2477" s="10">
        <v>0</v>
      </c>
      <c r="H2477" s="10">
        <f t="shared" si="38"/>
        <v>1300</v>
      </c>
      <c r="I2477" s="10">
        <v>76.470588235294116</v>
      </c>
      <c r="J2477" s="10">
        <v>76.470588235294116</v>
      </c>
      <c r="K2477" s="10">
        <v>76.470588235294116</v>
      </c>
      <c r="L2477" s="4"/>
      <c r="M2477" s="4">
        <v>2472</v>
      </c>
    </row>
    <row r="2478" spans="1:13" x14ac:dyDescent="0.25">
      <c r="A2478" s="4" t="s">
        <v>2104</v>
      </c>
      <c r="B2478" s="4" t="s">
        <v>1637</v>
      </c>
      <c r="C2478" s="4" t="s">
        <v>65</v>
      </c>
      <c r="D2478" s="10">
        <v>11</v>
      </c>
      <c r="E2478" s="12" t="s">
        <v>66</v>
      </c>
      <c r="F2478" s="10">
        <v>1300</v>
      </c>
      <c r="G2478" s="10">
        <v>0</v>
      </c>
      <c r="H2478" s="10">
        <f t="shared" si="38"/>
        <v>1300</v>
      </c>
      <c r="I2478" s="10">
        <v>118.1818181818182</v>
      </c>
      <c r="J2478" s="10">
        <v>118.1818181818182</v>
      </c>
      <c r="K2478" s="10">
        <v>118.1818181818182</v>
      </c>
      <c r="L2478" s="4"/>
      <c r="M2478" s="4">
        <v>2473</v>
      </c>
    </row>
    <row r="2479" spans="1:13" x14ac:dyDescent="0.25">
      <c r="A2479" s="4" t="s">
        <v>2105</v>
      </c>
      <c r="B2479" s="4" t="s">
        <v>2106</v>
      </c>
      <c r="C2479" s="4" t="s">
        <v>65</v>
      </c>
      <c r="D2479" s="10">
        <v>115.99</v>
      </c>
      <c r="E2479" s="11" t="s">
        <v>51</v>
      </c>
      <c r="F2479" s="10">
        <v>925</v>
      </c>
      <c r="G2479" s="10">
        <v>0</v>
      </c>
      <c r="H2479" s="10">
        <f t="shared" si="38"/>
        <v>925</v>
      </c>
      <c r="I2479" s="10"/>
      <c r="J2479" s="10"/>
      <c r="K2479" s="10"/>
      <c r="L2479" s="4" t="s">
        <v>69</v>
      </c>
      <c r="M2479" s="4">
        <v>2474</v>
      </c>
    </row>
    <row r="2480" spans="1:13" x14ac:dyDescent="0.25">
      <c r="A2480" s="4" t="s">
        <v>2107</v>
      </c>
      <c r="B2480" s="4" t="s">
        <v>2108</v>
      </c>
      <c r="C2480" s="9" t="s">
        <v>50</v>
      </c>
      <c r="D2480" s="10">
        <v>162</v>
      </c>
      <c r="E2480" s="11" t="s">
        <v>51</v>
      </c>
      <c r="F2480" s="10">
        <v>9860</v>
      </c>
      <c r="G2480" s="10">
        <v>0</v>
      </c>
      <c r="H2480" s="10">
        <f t="shared" si="38"/>
        <v>9860</v>
      </c>
      <c r="I2480" s="10"/>
      <c r="J2480" s="10"/>
      <c r="K2480" s="10"/>
      <c r="L2480" s="4" t="s">
        <v>52</v>
      </c>
      <c r="M2480" s="4">
        <v>2475</v>
      </c>
    </row>
    <row r="2481" spans="1:13" x14ac:dyDescent="0.25">
      <c r="A2481" s="4" t="s">
        <v>2109</v>
      </c>
      <c r="B2481" s="4" t="s">
        <v>88</v>
      </c>
      <c r="C2481" s="9" t="s">
        <v>50</v>
      </c>
      <c r="D2481" s="10">
        <v>61</v>
      </c>
      <c r="E2481" s="11" t="s">
        <v>51</v>
      </c>
      <c r="F2481" s="10">
        <v>3910</v>
      </c>
      <c r="G2481" s="10">
        <v>0</v>
      </c>
      <c r="H2481" s="10">
        <f t="shared" si="38"/>
        <v>3910</v>
      </c>
      <c r="I2481" s="10"/>
      <c r="J2481" s="10"/>
      <c r="K2481" s="10"/>
      <c r="L2481" s="4" t="s">
        <v>52</v>
      </c>
      <c r="M2481" s="4">
        <v>2476</v>
      </c>
    </row>
    <row r="2482" spans="1:13" x14ac:dyDescent="0.25">
      <c r="A2482" s="4" t="s">
        <v>2110</v>
      </c>
      <c r="B2482" s="4" t="s">
        <v>2111</v>
      </c>
      <c r="C2482" s="4" t="s">
        <v>65</v>
      </c>
      <c r="D2482" s="10">
        <v>15</v>
      </c>
      <c r="E2482" s="12" t="s">
        <v>66</v>
      </c>
      <c r="F2482" s="10">
        <v>1000</v>
      </c>
      <c r="G2482" s="10">
        <v>0</v>
      </c>
      <c r="H2482" s="10">
        <f t="shared" si="38"/>
        <v>1000</v>
      </c>
      <c r="I2482" s="10">
        <v>66.666666666666671</v>
      </c>
      <c r="J2482" s="10">
        <v>66.666666666666671</v>
      </c>
      <c r="K2482" s="10">
        <v>66.666666666666671</v>
      </c>
      <c r="L2482" s="4"/>
      <c r="M2482" s="4">
        <v>2477</v>
      </c>
    </row>
    <row r="2483" spans="1:13" x14ac:dyDescent="0.25">
      <c r="A2483" s="4" t="s">
        <v>2110</v>
      </c>
      <c r="B2483" s="4" t="s">
        <v>2112</v>
      </c>
      <c r="C2483" s="4" t="s">
        <v>65</v>
      </c>
      <c r="D2483" s="10">
        <v>24</v>
      </c>
      <c r="E2483" s="11" t="s">
        <v>51</v>
      </c>
      <c r="F2483" s="10"/>
      <c r="G2483" s="10">
        <v>0</v>
      </c>
      <c r="H2483" s="10">
        <f t="shared" si="38"/>
        <v>0</v>
      </c>
      <c r="I2483" s="10"/>
      <c r="J2483" s="10"/>
      <c r="K2483" s="10"/>
      <c r="L2483" s="4" t="s">
        <v>69</v>
      </c>
      <c r="M2483" s="4">
        <v>2478</v>
      </c>
    </row>
    <row r="2484" spans="1:13" x14ac:dyDescent="0.25">
      <c r="A2484" s="4" t="s">
        <v>2113</v>
      </c>
      <c r="B2484" s="4" t="s">
        <v>2114</v>
      </c>
      <c r="C2484" s="9" t="s">
        <v>50</v>
      </c>
      <c r="D2484" s="10">
        <v>24</v>
      </c>
      <c r="E2484" s="11" t="s">
        <v>51</v>
      </c>
      <c r="F2484" s="10">
        <v>2550</v>
      </c>
      <c r="G2484" s="10">
        <v>0</v>
      </c>
      <c r="H2484" s="10">
        <f t="shared" si="38"/>
        <v>2550</v>
      </c>
      <c r="I2484" s="10"/>
      <c r="J2484" s="10"/>
      <c r="K2484" s="10"/>
      <c r="L2484" s="4" t="s">
        <v>52</v>
      </c>
      <c r="M2484" s="4">
        <v>2479</v>
      </c>
    </row>
    <row r="2485" spans="1:13" x14ac:dyDescent="0.25">
      <c r="A2485" s="4" t="s">
        <v>2115</v>
      </c>
      <c r="B2485" s="4" t="s">
        <v>136</v>
      </c>
      <c r="C2485" s="9" t="s">
        <v>50</v>
      </c>
      <c r="D2485" s="10"/>
      <c r="E2485" s="11" t="s">
        <v>51</v>
      </c>
      <c r="F2485" s="10"/>
      <c r="G2485" s="10">
        <v>0</v>
      </c>
      <c r="H2485" s="10">
        <f t="shared" si="38"/>
        <v>0</v>
      </c>
      <c r="I2485" s="10"/>
      <c r="J2485" s="10"/>
      <c r="K2485" s="10"/>
      <c r="L2485" s="4" t="s">
        <v>52</v>
      </c>
      <c r="M2485" s="4">
        <v>2480</v>
      </c>
    </row>
    <row r="2486" spans="1:13" x14ac:dyDescent="0.25">
      <c r="A2486" s="4" t="s">
        <v>2115</v>
      </c>
      <c r="B2486" s="4" t="s">
        <v>88</v>
      </c>
      <c r="C2486" s="9" t="s">
        <v>50</v>
      </c>
      <c r="D2486" s="10"/>
      <c r="E2486" s="11" t="s">
        <v>51</v>
      </c>
      <c r="F2486" s="10"/>
      <c r="G2486" s="10">
        <v>0</v>
      </c>
      <c r="H2486" s="10">
        <f t="shared" si="38"/>
        <v>0</v>
      </c>
      <c r="I2486" s="10"/>
      <c r="J2486" s="10"/>
      <c r="K2486" s="10"/>
      <c r="L2486" s="4" t="s">
        <v>52</v>
      </c>
      <c r="M2486" s="4">
        <v>2481</v>
      </c>
    </row>
    <row r="2487" spans="1:13" x14ac:dyDescent="0.25">
      <c r="A2487" s="4" t="s">
        <v>2115</v>
      </c>
      <c r="B2487" s="4" t="s">
        <v>128</v>
      </c>
      <c r="C2487" s="9" t="s">
        <v>50</v>
      </c>
      <c r="D2487" s="10">
        <v>17</v>
      </c>
      <c r="E2487" s="11" t="s">
        <v>51</v>
      </c>
      <c r="F2487" s="10"/>
      <c r="G2487" s="10">
        <v>0</v>
      </c>
      <c r="H2487" s="10">
        <f t="shared" si="38"/>
        <v>0</v>
      </c>
      <c r="I2487" s="10"/>
      <c r="J2487" s="10"/>
      <c r="K2487" s="10"/>
      <c r="L2487" s="4" t="s">
        <v>52</v>
      </c>
      <c r="M2487" s="4">
        <v>2482</v>
      </c>
    </row>
    <row r="2488" spans="1:13" x14ac:dyDescent="0.25">
      <c r="A2488" s="4" t="s">
        <v>2116</v>
      </c>
      <c r="B2488" s="4" t="s">
        <v>2117</v>
      </c>
      <c r="C2488" s="4" t="s">
        <v>65</v>
      </c>
      <c r="D2488" s="10">
        <v>95</v>
      </c>
      <c r="E2488" s="12" t="s">
        <v>66</v>
      </c>
      <c r="F2488" s="10">
        <v>1900</v>
      </c>
      <c r="G2488" s="10">
        <v>0</v>
      </c>
      <c r="H2488" s="10">
        <f t="shared" si="38"/>
        <v>1900</v>
      </c>
      <c r="I2488" s="10">
        <v>111.7647058823529</v>
      </c>
      <c r="J2488" s="10">
        <v>111.7647058823529</v>
      </c>
      <c r="K2488" s="10">
        <v>111.7647058823529</v>
      </c>
      <c r="L2488" s="4"/>
      <c r="M2488" s="4">
        <v>2483</v>
      </c>
    </row>
    <row r="2489" spans="1:13" x14ac:dyDescent="0.25">
      <c r="A2489" s="4" t="s">
        <v>2118</v>
      </c>
      <c r="B2489" s="4" t="s">
        <v>136</v>
      </c>
      <c r="C2489" s="9" t="s">
        <v>50</v>
      </c>
      <c r="D2489" s="10">
        <v>28</v>
      </c>
      <c r="E2489" s="11" t="s">
        <v>51</v>
      </c>
      <c r="F2489" s="10">
        <v>3061.5</v>
      </c>
      <c r="G2489" s="10">
        <v>0</v>
      </c>
      <c r="H2489" s="10">
        <f t="shared" si="38"/>
        <v>3061.5</v>
      </c>
      <c r="I2489" s="10"/>
      <c r="J2489" s="10"/>
      <c r="K2489" s="10"/>
      <c r="L2489" s="4" t="s">
        <v>52</v>
      </c>
      <c r="M2489" s="4">
        <v>2484</v>
      </c>
    </row>
    <row r="2490" spans="1:13" x14ac:dyDescent="0.25">
      <c r="A2490" s="4" t="s">
        <v>2118</v>
      </c>
      <c r="B2490" s="4" t="s">
        <v>82</v>
      </c>
      <c r="C2490" s="9" t="s">
        <v>50</v>
      </c>
      <c r="D2490" s="10">
        <v>10</v>
      </c>
      <c r="E2490" s="11" t="s">
        <v>51</v>
      </c>
      <c r="F2490" s="10">
        <v>1093.5</v>
      </c>
      <c r="G2490" s="10">
        <v>0</v>
      </c>
      <c r="H2490" s="10">
        <f t="shared" si="38"/>
        <v>1093.5</v>
      </c>
      <c r="I2490" s="10"/>
      <c r="J2490" s="10"/>
      <c r="K2490" s="10"/>
      <c r="L2490" s="4" t="s">
        <v>52</v>
      </c>
      <c r="M2490" s="4">
        <v>2485</v>
      </c>
    </row>
    <row r="2491" spans="1:13" x14ac:dyDescent="0.25">
      <c r="A2491" s="4" t="s">
        <v>2118</v>
      </c>
      <c r="B2491" s="4" t="s">
        <v>88</v>
      </c>
      <c r="C2491" s="9" t="s">
        <v>50</v>
      </c>
      <c r="D2491" s="10">
        <v>16</v>
      </c>
      <c r="E2491" s="11" t="s">
        <v>51</v>
      </c>
      <c r="F2491" s="10">
        <v>1749.77</v>
      </c>
      <c r="G2491" s="10">
        <v>0</v>
      </c>
      <c r="H2491" s="10">
        <f t="shared" si="38"/>
        <v>1749.77</v>
      </c>
      <c r="I2491" s="10"/>
      <c r="J2491" s="10"/>
      <c r="K2491" s="10"/>
      <c r="L2491" s="4" t="s">
        <v>52</v>
      </c>
      <c r="M2491" s="4">
        <v>2486</v>
      </c>
    </row>
    <row r="2492" spans="1:13" x14ac:dyDescent="0.25">
      <c r="A2492" s="4" t="s">
        <v>2118</v>
      </c>
      <c r="B2492" s="4" t="s">
        <v>137</v>
      </c>
      <c r="C2492" s="9" t="s">
        <v>50</v>
      </c>
      <c r="D2492" s="10">
        <v>264</v>
      </c>
      <c r="E2492" s="11" t="s">
        <v>51</v>
      </c>
      <c r="F2492" s="10">
        <v>1945.23</v>
      </c>
      <c r="G2492" s="10">
        <v>0</v>
      </c>
      <c r="H2492" s="10">
        <f t="shared" si="38"/>
        <v>1945.23</v>
      </c>
      <c r="I2492" s="10"/>
      <c r="J2492" s="10"/>
      <c r="K2492" s="10"/>
      <c r="L2492" s="4" t="s">
        <v>52</v>
      </c>
      <c r="M2492" s="4">
        <v>2487</v>
      </c>
    </row>
    <row r="2493" spans="1:13" x14ac:dyDescent="0.25">
      <c r="A2493" s="4" t="s">
        <v>2119</v>
      </c>
      <c r="B2493" s="4" t="s">
        <v>2120</v>
      </c>
      <c r="C2493" s="4" t="s">
        <v>68</v>
      </c>
      <c r="D2493" s="10">
        <v>40</v>
      </c>
      <c r="E2493" s="11" t="s">
        <v>51</v>
      </c>
      <c r="F2493" s="10"/>
      <c r="G2493" s="10">
        <v>0</v>
      </c>
      <c r="H2493" s="10">
        <f t="shared" si="38"/>
        <v>0</v>
      </c>
      <c r="I2493" s="10"/>
      <c r="J2493" s="10"/>
      <c r="K2493" s="10"/>
      <c r="L2493" s="4" t="s">
        <v>69</v>
      </c>
      <c r="M2493" s="4">
        <v>2488</v>
      </c>
    </row>
    <row r="2494" spans="1:13" x14ac:dyDescent="0.25">
      <c r="A2494" s="4" t="s">
        <v>2119</v>
      </c>
      <c r="B2494" s="4" t="s">
        <v>2121</v>
      </c>
      <c r="C2494" s="4" t="s">
        <v>68</v>
      </c>
      <c r="D2494" s="10">
        <v>40</v>
      </c>
      <c r="E2494" s="11" t="s">
        <v>51</v>
      </c>
      <c r="F2494" s="10">
        <v>3800</v>
      </c>
      <c r="G2494" s="10">
        <v>0</v>
      </c>
      <c r="H2494" s="10">
        <f t="shared" si="38"/>
        <v>3800</v>
      </c>
      <c r="I2494" s="10"/>
      <c r="J2494" s="10"/>
      <c r="K2494" s="10"/>
      <c r="L2494" s="4" t="s">
        <v>69</v>
      </c>
      <c r="M2494" s="4">
        <v>2489</v>
      </c>
    </row>
    <row r="2495" spans="1:13" x14ac:dyDescent="0.25">
      <c r="A2495" s="4" t="s">
        <v>2119</v>
      </c>
      <c r="B2495" s="4" t="s">
        <v>2122</v>
      </c>
      <c r="C2495" s="4" t="s">
        <v>68</v>
      </c>
      <c r="D2495" s="10">
        <v>40</v>
      </c>
      <c r="E2495" s="11" t="s">
        <v>51</v>
      </c>
      <c r="F2495" s="10">
        <v>3800</v>
      </c>
      <c r="G2495" s="10">
        <v>0</v>
      </c>
      <c r="H2495" s="10">
        <f t="shared" si="38"/>
        <v>3800</v>
      </c>
      <c r="I2495" s="10"/>
      <c r="J2495" s="10"/>
      <c r="K2495" s="10"/>
      <c r="L2495" s="4" t="s">
        <v>69</v>
      </c>
      <c r="M2495" s="4">
        <v>2490</v>
      </c>
    </row>
    <row r="2496" spans="1:13" x14ac:dyDescent="0.25">
      <c r="A2496" s="4" t="s">
        <v>2119</v>
      </c>
      <c r="B2496" s="4" t="s">
        <v>2123</v>
      </c>
      <c r="C2496" s="4" t="s">
        <v>68</v>
      </c>
      <c r="D2496" s="10">
        <v>40</v>
      </c>
      <c r="E2496" s="11" t="s">
        <v>51</v>
      </c>
      <c r="F2496" s="10">
        <v>3800</v>
      </c>
      <c r="G2496" s="10">
        <v>0</v>
      </c>
      <c r="H2496" s="10">
        <f t="shared" si="38"/>
        <v>3800</v>
      </c>
      <c r="I2496" s="10"/>
      <c r="J2496" s="10"/>
      <c r="K2496" s="10"/>
      <c r="L2496" s="4" t="s">
        <v>69</v>
      </c>
      <c r="M2496" s="4">
        <v>2491</v>
      </c>
    </row>
    <row r="2497" spans="1:13" x14ac:dyDescent="0.25">
      <c r="A2497" s="4" t="s">
        <v>2119</v>
      </c>
      <c r="B2497" s="4" t="s">
        <v>2124</v>
      </c>
      <c r="C2497" s="4" t="s">
        <v>68</v>
      </c>
      <c r="D2497" s="10">
        <v>40</v>
      </c>
      <c r="E2497" s="11" t="s">
        <v>51</v>
      </c>
      <c r="F2497" s="10">
        <v>3800</v>
      </c>
      <c r="G2497" s="10">
        <v>0</v>
      </c>
      <c r="H2497" s="10">
        <f t="shared" si="38"/>
        <v>3800</v>
      </c>
      <c r="I2497" s="10"/>
      <c r="J2497" s="10"/>
      <c r="K2497" s="10"/>
      <c r="L2497" s="4" t="s">
        <v>69</v>
      </c>
      <c r="M2497" s="4">
        <v>2492</v>
      </c>
    </row>
    <row r="2498" spans="1:13" x14ac:dyDescent="0.25">
      <c r="A2498" s="4" t="s">
        <v>2119</v>
      </c>
      <c r="B2498" s="4" t="s">
        <v>2125</v>
      </c>
      <c r="C2498" s="4" t="s">
        <v>68</v>
      </c>
      <c r="D2498" s="10">
        <v>96</v>
      </c>
      <c r="E2498" s="11" t="s">
        <v>51</v>
      </c>
      <c r="F2498" s="10"/>
      <c r="G2498" s="10">
        <v>0</v>
      </c>
      <c r="H2498" s="10">
        <f t="shared" si="38"/>
        <v>0</v>
      </c>
      <c r="I2498" s="10"/>
      <c r="J2498" s="10"/>
      <c r="K2498" s="10"/>
      <c r="L2498" s="4" t="s">
        <v>69</v>
      </c>
      <c r="M2498" s="4">
        <v>2493</v>
      </c>
    </row>
    <row r="2499" spans="1:13" x14ac:dyDescent="0.25">
      <c r="A2499" s="4" t="s">
        <v>2126</v>
      </c>
      <c r="B2499" s="4" t="s">
        <v>2127</v>
      </c>
      <c r="C2499" s="4" t="s">
        <v>68</v>
      </c>
      <c r="D2499" s="10">
        <v>839</v>
      </c>
      <c r="E2499" s="11" t="s">
        <v>51</v>
      </c>
      <c r="F2499" s="10">
        <v>12480</v>
      </c>
      <c r="G2499" s="10">
        <v>0</v>
      </c>
      <c r="H2499" s="10">
        <f t="shared" si="38"/>
        <v>12480</v>
      </c>
      <c r="I2499" s="10"/>
      <c r="J2499" s="10"/>
      <c r="K2499" s="10"/>
      <c r="L2499" s="4" t="s">
        <v>69</v>
      </c>
      <c r="M2499" s="4">
        <v>2494</v>
      </c>
    </row>
    <row r="2500" spans="1:13" x14ac:dyDescent="0.25">
      <c r="A2500" s="4" t="s">
        <v>2128</v>
      </c>
      <c r="B2500" s="4" t="s">
        <v>2129</v>
      </c>
      <c r="C2500" s="4" t="s">
        <v>65</v>
      </c>
      <c r="D2500" s="10">
        <v>57</v>
      </c>
      <c r="E2500" s="12" t="s">
        <v>66</v>
      </c>
      <c r="F2500" s="10">
        <v>8500</v>
      </c>
      <c r="G2500" s="10">
        <v>0</v>
      </c>
      <c r="H2500" s="10">
        <f t="shared" si="38"/>
        <v>8500</v>
      </c>
      <c r="I2500" s="10">
        <v>149.12280701754389</v>
      </c>
      <c r="J2500" s="10">
        <v>149.12280701754389</v>
      </c>
      <c r="K2500" s="10">
        <v>149.12280701754389</v>
      </c>
      <c r="L2500" s="4"/>
      <c r="M2500" s="4">
        <v>2495</v>
      </c>
    </row>
    <row r="2501" spans="1:13" x14ac:dyDescent="0.25">
      <c r="A2501" s="4" t="s">
        <v>2128</v>
      </c>
      <c r="B2501" s="4" t="s">
        <v>2130</v>
      </c>
      <c r="C2501" s="4" t="s">
        <v>68</v>
      </c>
      <c r="D2501" s="10">
        <v>11</v>
      </c>
      <c r="E2501" s="11" t="s">
        <v>51</v>
      </c>
      <c r="F2501" s="10">
        <v>1265</v>
      </c>
      <c r="G2501" s="10">
        <v>0</v>
      </c>
      <c r="H2501" s="10">
        <f t="shared" si="38"/>
        <v>1265</v>
      </c>
      <c r="I2501" s="10"/>
      <c r="J2501" s="10"/>
      <c r="K2501" s="10"/>
      <c r="L2501" s="4" t="s">
        <v>69</v>
      </c>
      <c r="M2501" s="4">
        <v>2496</v>
      </c>
    </row>
    <row r="2502" spans="1:13" x14ac:dyDescent="0.25">
      <c r="A2502" s="4" t="s">
        <v>2128</v>
      </c>
      <c r="B2502" s="4" t="s">
        <v>2131</v>
      </c>
      <c r="C2502" s="4" t="s">
        <v>65</v>
      </c>
      <c r="D2502" s="10">
        <v>396</v>
      </c>
      <c r="E2502" s="12" t="s">
        <v>66</v>
      </c>
      <c r="F2502" s="10">
        <v>56400</v>
      </c>
      <c r="G2502" s="10">
        <v>0</v>
      </c>
      <c r="H2502" s="10">
        <f t="shared" ref="H2502:H2565" si="39">F2502-G2502</f>
        <v>56400</v>
      </c>
      <c r="I2502" s="10">
        <v>142.42424242424241</v>
      </c>
      <c r="J2502" s="10">
        <v>142.42424242424241</v>
      </c>
      <c r="K2502" s="10">
        <v>142.42424242424241</v>
      </c>
      <c r="L2502" s="4"/>
      <c r="M2502" s="4">
        <v>2497</v>
      </c>
    </row>
    <row r="2503" spans="1:13" x14ac:dyDescent="0.25">
      <c r="A2503" s="4" t="s">
        <v>2128</v>
      </c>
      <c r="B2503" s="4" t="s">
        <v>2132</v>
      </c>
      <c r="C2503" s="4" t="s">
        <v>65</v>
      </c>
      <c r="D2503" s="10">
        <v>44</v>
      </c>
      <c r="E2503" s="12" t="s">
        <v>66</v>
      </c>
      <c r="F2503" s="10">
        <v>5750</v>
      </c>
      <c r="G2503" s="10">
        <v>0</v>
      </c>
      <c r="H2503" s="10">
        <f t="shared" si="39"/>
        <v>5750</v>
      </c>
      <c r="I2503" s="10">
        <v>130.68181818181819</v>
      </c>
      <c r="J2503" s="10">
        <v>130.68181818181819</v>
      </c>
      <c r="K2503" s="10">
        <v>130.68181818181819</v>
      </c>
      <c r="L2503" s="4"/>
      <c r="M2503" s="4">
        <v>2498</v>
      </c>
    </row>
    <row r="2504" spans="1:13" x14ac:dyDescent="0.25">
      <c r="A2504" s="4" t="s">
        <v>2128</v>
      </c>
      <c r="B2504" s="4" t="s">
        <v>2044</v>
      </c>
      <c r="C2504" s="4" t="s">
        <v>65</v>
      </c>
      <c r="D2504" s="10">
        <v>160</v>
      </c>
      <c r="E2504" s="12" t="s">
        <v>66</v>
      </c>
      <c r="F2504" s="10">
        <v>14200</v>
      </c>
      <c r="G2504" s="10">
        <v>0</v>
      </c>
      <c r="H2504" s="10">
        <f t="shared" si="39"/>
        <v>14200</v>
      </c>
      <c r="I2504" s="10">
        <v>88.75</v>
      </c>
      <c r="J2504" s="10">
        <v>88.75</v>
      </c>
      <c r="K2504" s="10">
        <v>88.75</v>
      </c>
      <c r="L2504" s="4"/>
      <c r="M2504" s="4">
        <v>2499</v>
      </c>
    </row>
    <row r="2505" spans="1:13" x14ac:dyDescent="0.25">
      <c r="A2505" s="4" t="s">
        <v>2128</v>
      </c>
      <c r="B2505" s="4" t="s">
        <v>2133</v>
      </c>
      <c r="C2505" s="4" t="s">
        <v>68</v>
      </c>
      <c r="D2505" s="10">
        <v>136</v>
      </c>
      <c r="E2505" s="11" t="s">
        <v>51</v>
      </c>
      <c r="F2505" s="10">
        <v>6037.5</v>
      </c>
      <c r="G2505" s="10">
        <v>0</v>
      </c>
      <c r="H2505" s="10">
        <f t="shared" si="39"/>
        <v>6037.5</v>
      </c>
      <c r="I2505" s="10"/>
      <c r="J2505" s="10"/>
      <c r="K2505" s="10"/>
      <c r="L2505" s="4" t="s">
        <v>69</v>
      </c>
      <c r="M2505" s="4">
        <v>2500</v>
      </c>
    </row>
    <row r="2506" spans="1:13" x14ac:dyDescent="0.25">
      <c r="A2506" s="4" t="s">
        <v>2134</v>
      </c>
      <c r="B2506" s="4" t="s">
        <v>2135</v>
      </c>
      <c r="C2506" s="4" t="s">
        <v>65</v>
      </c>
      <c r="D2506" s="10">
        <v>1328.5</v>
      </c>
      <c r="E2506" s="12" t="s">
        <v>66</v>
      </c>
      <c r="F2506" s="10">
        <v>9500</v>
      </c>
      <c r="G2506" s="10">
        <v>0</v>
      </c>
      <c r="H2506" s="10">
        <f t="shared" si="39"/>
        <v>9500</v>
      </c>
      <c r="I2506" s="10">
        <v>155.73770491803279</v>
      </c>
      <c r="J2506" s="10">
        <v>155.73770491803279</v>
      </c>
      <c r="K2506" s="10">
        <v>155.73770491803279</v>
      </c>
      <c r="L2506" s="4"/>
      <c r="M2506" s="4">
        <v>2501</v>
      </c>
    </row>
    <row r="2507" spans="1:13" x14ac:dyDescent="0.25">
      <c r="A2507" s="4" t="s">
        <v>2136</v>
      </c>
      <c r="B2507" s="4" t="s">
        <v>2137</v>
      </c>
      <c r="C2507" s="4" t="s">
        <v>68</v>
      </c>
      <c r="D2507" s="10">
        <v>617.5</v>
      </c>
      <c r="E2507" s="11" t="s">
        <v>51</v>
      </c>
      <c r="F2507" s="10">
        <v>74100</v>
      </c>
      <c r="G2507" s="10">
        <v>0</v>
      </c>
      <c r="H2507" s="10">
        <f t="shared" si="39"/>
        <v>74100</v>
      </c>
      <c r="I2507" s="10"/>
      <c r="J2507" s="10"/>
      <c r="K2507" s="10"/>
      <c r="L2507" s="4" t="s">
        <v>69</v>
      </c>
      <c r="M2507" s="4">
        <v>2502</v>
      </c>
    </row>
    <row r="2508" spans="1:13" x14ac:dyDescent="0.25">
      <c r="A2508" s="4" t="s">
        <v>2136</v>
      </c>
      <c r="B2508" s="4" t="s">
        <v>2138</v>
      </c>
      <c r="C2508" s="4" t="s">
        <v>68</v>
      </c>
      <c r="D2508" s="10">
        <v>500</v>
      </c>
      <c r="E2508" s="11" t="s">
        <v>51</v>
      </c>
      <c r="F2508" s="10">
        <v>60000</v>
      </c>
      <c r="G2508" s="10">
        <v>0</v>
      </c>
      <c r="H2508" s="10">
        <f t="shared" si="39"/>
        <v>60000</v>
      </c>
      <c r="I2508" s="10"/>
      <c r="J2508" s="10"/>
      <c r="K2508" s="10"/>
      <c r="L2508" s="4" t="s">
        <v>69</v>
      </c>
      <c r="M2508" s="4">
        <v>2503</v>
      </c>
    </row>
    <row r="2509" spans="1:13" x14ac:dyDescent="0.25">
      <c r="A2509" s="4" t="s">
        <v>2136</v>
      </c>
      <c r="B2509" s="4" t="s">
        <v>752</v>
      </c>
      <c r="C2509" s="4" t="s">
        <v>68</v>
      </c>
      <c r="D2509" s="10">
        <v>75</v>
      </c>
      <c r="E2509" s="11" t="s">
        <v>51</v>
      </c>
      <c r="F2509" s="10">
        <v>6750</v>
      </c>
      <c r="G2509" s="10">
        <v>0</v>
      </c>
      <c r="H2509" s="10">
        <f t="shared" si="39"/>
        <v>6750</v>
      </c>
      <c r="I2509" s="10"/>
      <c r="J2509" s="10"/>
      <c r="K2509" s="10"/>
      <c r="L2509" s="4" t="s">
        <v>69</v>
      </c>
      <c r="M2509" s="4">
        <v>2504</v>
      </c>
    </row>
    <row r="2510" spans="1:13" x14ac:dyDescent="0.25">
      <c r="A2510" s="4" t="s">
        <v>2136</v>
      </c>
      <c r="B2510" s="4" t="s">
        <v>753</v>
      </c>
      <c r="C2510" s="4" t="s">
        <v>68</v>
      </c>
      <c r="D2510" s="10">
        <v>139</v>
      </c>
      <c r="E2510" s="11" t="s">
        <v>51</v>
      </c>
      <c r="F2510" s="10">
        <v>6750</v>
      </c>
      <c r="G2510" s="10">
        <v>0</v>
      </c>
      <c r="H2510" s="10">
        <f t="shared" si="39"/>
        <v>6750</v>
      </c>
      <c r="I2510" s="10"/>
      <c r="J2510" s="10"/>
      <c r="K2510" s="10"/>
      <c r="L2510" s="4" t="s">
        <v>69</v>
      </c>
      <c r="M2510" s="4">
        <v>2505</v>
      </c>
    </row>
    <row r="2511" spans="1:13" x14ac:dyDescent="0.25">
      <c r="A2511" s="4" t="s">
        <v>2139</v>
      </c>
      <c r="B2511" s="4" t="s">
        <v>2140</v>
      </c>
      <c r="C2511" s="4" t="s">
        <v>68</v>
      </c>
      <c r="D2511" s="10">
        <v>16</v>
      </c>
      <c r="E2511" s="11" t="s">
        <v>51</v>
      </c>
      <c r="F2511" s="10">
        <v>1920</v>
      </c>
      <c r="G2511" s="10">
        <v>0</v>
      </c>
      <c r="H2511" s="10">
        <f t="shared" si="39"/>
        <v>1920</v>
      </c>
      <c r="I2511" s="10"/>
      <c r="J2511" s="10"/>
      <c r="K2511" s="10"/>
      <c r="L2511" s="4" t="s">
        <v>69</v>
      </c>
      <c r="M2511" s="4">
        <v>2506</v>
      </c>
    </row>
    <row r="2512" spans="1:13" x14ac:dyDescent="0.25">
      <c r="A2512" s="4" t="s">
        <v>2139</v>
      </c>
      <c r="B2512" s="4" t="s">
        <v>2141</v>
      </c>
      <c r="C2512" s="4" t="s">
        <v>68</v>
      </c>
      <c r="D2512" s="10">
        <v>16</v>
      </c>
      <c r="E2512" s="11" t="s">
        <v>51</v>
      </c>
      <c r="F2512" s="10">
        <v>1920</v>
      </c>
      <c r="G2512" s="10">
        <v>0</v>
      </c>
      <c r="H2512" s="10">
        <f t="shared" si="39"/>
        <v>1920</v>
      </c>
      <c r="I2512" s="10"/>
      <c r="J2512" s="10"/>
      <c r="K2512" s="10"/>
      <c r="L2512" s="4" t="s">
        <v>69</v>
      </c>
      <c r="M2512" s="4">
        <v>2507</v>
      </c>
    </row>
    <row r="2513" spans="1:13" x14ac:dyDescent="0.25">
      <c r="A2513" s="4" t="s">
        <v>2139</v>
      </c>
      <c r="B2513" s="4" t="s">
        <v>2142</v>
      </c>
      <c r="C2513" s="4" t="s">
        <v>68</v>
      </c>
      <c r="D2513" s="10">
        <v>16</v>
      </c>
      <c r="E2513" s="11" t="s">
        <v>51</v>
      </c>
      <c r="F2513" s="10">
        <v>1920</v>
      </c>
      <c r="G2513" s="10">
        <v>0</v>
      </c>
      <c r="H2513" s="10">
        <f t="shared" si="39"/>
        <v>1920</v>
      </c>
      <c r="I2513" s="10"/>
      <c r="J2513" s="10"/>
      <c r="K2513" s="10"/>
      <c r="L2513" s="4" t="s">
        <v>69</v>
      </c>
      <c r="M2513" s="4">
        <v>2508</v>
      </c>
    </row>
    <row r="2514" spans="1:13" x14ac:dyDescent="0.25">
      <c r="A2514" s="4" t="s">
        <v>2139</v>
      </c>
      <c r="B2514" s="4" t="s">
        <v>2143</v>
      </c>
      <c r="C2514" s="4" t="s">
        <v>68</v>
      </c>
      <c r="D2514" s="10">
        <v>78</v>
      </c>
      <c r="E2514" s="11" t="s">
        <v>51</v>
      </c>
      <c r="F2514" s="10">
        <v>1920</v>
      </c>
      <c r="G2514" s="10">
        <v>0</v>
      </c>
      <c r="H2514" s="10">
        <f t="shared" si="39"/>
        <v>1920</v>
      </c>
      <c r="I2514" s="10"/>
      <c r="J2514" s="10"/>
      <c r="K2514" s="10"/>
      <c r="L2514" s="4" t="s">
        <v>69</v>
      </c>
      <c r="M2514" s="4">
        <v>2509</v>
      </c>
    </row>
    <row r="2515" spans="1:13" x14ac:dyDescent="0.25">
      <c r="A2515" s="4" t="s">
        <v>2144</v>
      </c>
      <c r="B2515" s="4" t="s">
        <v>2145</v>
      </c>
      <c r="C2515" s="4" t="s">
        <v>65</v>
      </c>
      <c r="D2515" s="10">
        <v>204</v>
      </c>
      <c r="E2515" s="12" t="s">
        <v>66</v>
      </c>
      <c r="F2515" s="10">
        <v>9650</v>
      </c>
      <c r="G2515" s="10">
        <v>0</v>
      </c>
      <c r="H2515" s="10">
        <f t="shared" si="39"/>
        <v>9650</v>
      </c>
      <c r="I2515" s="10">
        <v>155.64516129032259</v>
      </c>
      <c r="J2515" s="10">
        <v>155.64516129032259</v>
      </c>
      <c r="K2515" s="10">
        <v>155.64516129032259</v>
      </c>
      <c r="L2515" s="4"/>
      <c r="M2515" s="4">
        <v>2510</v>
      </c>
    </row>
    <row r="2516" spans="1:13" x14ac:dyDescent="0.25">
      <c r="A2516" s="4" t="s">
        <v>2146</v>
      </c>
      <c r="B2516" s="4" t="s">
        <v>2147</v>
      </c>
      <c r="C2516" s="4" t="s">
        <v>65</v>
      </c>
      <c r="D2516" s="10">
        <v>19</v>
      </c>
      <c r="E2516" s="12" t="s">
        <v>66</v>
      </c>
      <c r="F2516" s="10">
        <v>2800</v>
      </c>
      <c r="G2516" s="10">
        <v>0</v>
      </c>
      <c r="H2516" s="10">
        <f t="shared" si="39"/>
        <v>2800</v>
      </c>
      <c r="I2516" s="10">
        <v>147.36842105263159</v>
      </c>
      <c r="J2516" s="10">
        <v>147.36842105263159</v>
      </c>
      <c r="K2516" s="10">
        <v>147.36842105263159</v>
      </c>
      <c r="L2516" s="4"/>
      <c r="M2516" s="4">
        <v>2511</v>
      </c>
    </row>
    <row r="2517" spans="1:13" x14ac:dyDescent="0.25">
      <c r="A2517" s="4" t="s">
        <v>2146</v>
      </c>
      <c r="B2517" s="4" t="s">
        <v>2148</v>
      </c>
      <c r="C2517" s="4" t="s">
        <v>65</v>
      </c>
      <c r="D2517" s="10">
        <v>28</v>
      </c>
      <c r="E2517" s="12" t="s">
        <v>66</v>
      </c>
      <c r="F2517" s="10">
        <v>4200</v>
      </c>
      <c r="G2517" s="10">
        <v>0</v>
      </c>
      <c r="H2517" s="10">
        <f t="shared" si="39"/>
        <v>4200</v>
      </c>
      <c r="I2517" s="10">
        <v>150</v>
      </c>
      <c r="J2517" s="10">
        <v>150</v>
      </c>
      <c r="K2517" s="10">
        <v>150</v>
      </c>
      <c r="L2517" s="4"/>
      <c r="M2517" s="4">
        <v>2512</v>
      </c>
    </row>
    <row r="2518" spans="1:13" x14ac:dyDescent="0.25">
      <c r="A2518" s="4" t="s">
        <v>2146</v>
      </c>
      <c r="B2518" s="4" t="s">
        <v>2149</v>
      </c>
      <c r="C2518" s="4" t="s">
        <v>65</v>
      </c>
      <c r="D2518" s="10">
        <v>166</v>
      </c>
      <c r="E2518" s="12" t="s">
        <v>66</v>
      </c>
      <c r="F2518" s="10">
        <v>11350</v>
      </c>
      <c r="G2518" s="10">
        <v>0</v>
      </c>
      <c r="H2518" s="10">
        <f t="shared" si="39"/>
        <v>11350</v>
      </c>
      <c r="I2518" s="10">
        <v>119.4736842105263</v>
      </c>
      <c r="J2518" s="10">
        <v>119.4736842105263</v>
      </c>
      <c r="K2518" s="10">
        <v>119.4736842105263</v>
      </c>
      <c r="L2518" s="4"/>
      <c r="M2518" s="4">
        <v>2513</v>
      </c>
    </row>
    <row r="2519" spans="1:13" x14ac:dyDescent="0.25">
      <c r="A2519" s="4" t="s">
        <v>2150</v>
      </c>
      <c r="B2519" s="4" t="s">
        <v>2151</v>
      </c>
      <c r="C2519" s="4" t="s">
        <v>68</v>
      </c>
      <c r="D2519" s="10">
        <v>16</v>
      </c>
      <c r="E2519" s="11" t="s">
        <v>51</v>
      </c>
      <c r="F2519" s="10">
        <v>1920</v>
      </c>
      <c r="G2519" s="10">
        <v>0</v>
      </c>
      <c r="H2519" s="10">
        <f t="shared" si="39"/>
        <v>1920</v>
      </c>
      <c r="I2519" s="10"/>
      <c r="J2519" s="10"/>
      <c r="K2519" s="10"/>
      <c r="L2519" s="4" t="s">
        <v>69</v>
      </c>
      <c r="M2519" s="4">
        <v>2514</v>
      </c>
    </row>
    <row r="2520" spans="1:13" x14ac:dyDescent="0.25">
      <c r="A2520" s="4" t="s">
        <v>2150</v>
      </c>
      <c r="B2520" s="4" t="s">
        <v>2152</v>
      </c>
      <c r="C2520" s="4" t="s">
        <v>65</v>
      </c>
      <c r="D2520" s="10">
        <v>16</v>
      </c>
      <c r="E2520" s="12" t="s">
        <v>66</v>
      </c>
      <c r="F2520" s="10">
        <v>2250</v>
      </c>
      <c r="G2520" s="10">
        <v>0</v>
      </c>
      <c r="H2520" s="10">
        <f t="shared" si="39"/>
        <v>2250</v>
      </c>
      <c r="I2520" s="10">
        <v>140.625</v>
      </c>
      <c r="J2520" s="10">
        <v>140.625</v>
      </c>
      <c r="K2520" s="10">
        <v>140.625</v>
      </c>
      <c r="L2520" s="4"/>
      <c r="M2520" s="4">
        <v>2515</v>
      </c>
    </row>
    <row r="2521" spans="1:13" x14ac:dyDescent="0.25">
      <c r="A2521" s="4" t="s">
        <v>2150</v>
      </c>
      <c r="B2521" s="4" t="s">
        <v>2153</v>
      </c>
      <c r="C2521" s="9" t="s">
        <v>50</v>
      </c>
      <c r="D2521" s="10">
        <v>20</v>
      </c>
      <c r="E2521" s="11" t="s">
        <v>51</v>
      </c>
      <c r="F2521" s="10">
        <v>2450</v>
      </c>
      <c r="G2521" s="10">
        <v>0</v>
      </c>
      <c r="H2521" s="10">
        <f t="shared" si="39"/>
        <v>2450</v>
      </c>
      <c r="I2521" s="10"/>
      <c r="J2521" s="10"/>
      <c r="K2521" s="10"/>
      <c r="L2521" s="4" t="s">
        <v>52</v>
      </c>
      <c r="M2521" s="4">
        <v>2516</v>
      </c>
    </row>
    <row r="2522" spans="1:13" x14ac:dyDescent="0.25">
      <c r="A2522" s="4" t="s">
        <v>2150</v>
      </c>
      <c r="B2522" s="4" t="s">
        <v>2154</v>
      </c>
      <c r="C2522" s="4" t="s">
        <v>65</v>
      </c>
      <c r="D2522" s="10">
        <v>11</v>
      </c>
      <c r="E2522" s="12" t="s">
        <v>66</v>
      </c>
      <c r="F2522" s="10">
        <v>950</v>
      </c>
      <c r="G2522" s="10">
        <v>0</v>
      </c>
      <c r="H2522" s="10">
        <f t="shared" si="39"/>
        <v>950</v>
      </c>
      <c r="I2522" s="10">
        <v>86.36363636363636</v>
      </c>
      <c r="J2522" s="10">
        <v>86.36363636363636</v>
      </c>
      <c r="K2522" s="10">
        <v>86.36363636363636</v>
      </c>
      <c r="L2522" s="4"/>
      <c r="M2522" s="4">
        <v>2517</v>
      </c>
    </row>
    <row r="2523" spans="1:13" x14ac:dyDescent="0.25">
      <c r="A2523" s="4" t="s">
        <v>2150</v>
      </c>
      <c r="B2523" s="4" t="s">
        <v>2155</v>
      </c>
      <c r="C2523" s="4" t="s">
        <v>65</v>
      </c>
      <c r="D2523" s="10">
        <v>93</v>
      </c>
      <c r="E2523" s="12" t="s">
        <v>66</v>
      </c>
      <c r="F2523" s="10">
        <v>960</v>
      </c>
      <c r="G2523" s="10">
        <v>0</v>
      </c>
      <c r="H2523" s="10">
        <f t="shared" si="39"/>
        <v>960</v>
      </c>
      <c r="I2523" s="10">
        <v>120</v>
      </c>
      <c r="J2523" s="10">
        <v>120</v>
      </c>
      <c r="K2523" s="10">
        <v>120</v>
      </c>
      <c r="L2523" s="4"/>
      <c r="M2523" s="4">
        <v>2518</v>
      </c>
    </row>
    <row r="2524" spans="1:13" x14ac:dyDescent="0.25">
      <c r="A2524" s="4" t="s">
        <v>2156</v>
      </c>
      <c r="B2524" s="4" t="s">
        <v>2157</v>
      </c>
      <c r="C2524" s="4" t="s">
        <v>65</v>
      </c>
      <c r="D2524" s="10">
        <v>131</v>
      </c>
      <c r="E2524" s="12" t="s">
        <v>66</v>
      </c>
      <c r="F2524" s="10">
        <v>12500</v>
      </c>
      <c r="G2524" s="10">
        <v>0</v>
      </c>
      <c r="H2524" s="10">
        <f t="shared" si="39"/>
        <v>12500</v>
      </c>
      <c r="I2524" s="10">
        <v>147.0588235294118</v>
      </c>
      <c r="J2524" s="10">
        <v>147.0588235294118</v>
      </c>
      <c r="K2524" s="10">
        <v>147.0588235294118</v>
      </c>
      <c r="L2524" s="4"/>
      <c r="M2524" s="4">
        <v>2519</v>
      </c>
    </row>
    <row r="2525" spans="1:13" x14ac:dyDescent="0.25">
      <c r="A2525" s="4" t="s">
        <v>2158</v>
      </c>
      <c r="B2525" s="4" t="s">
        <v>2159</v>
      </c>
      <c r="C2525" s="4" t="s">
        <v>65</v>
      </c>
      <c r="D2525" s="10">
        <v>107</v>
      </c>
      <c r="E2525" s="12" t="s">
        <v>66</v>
      </c>
      <c r="F2525" s="10">
        <v>5900</v>
      </c>
      <c r="G2525" s="10">
        <v>0</v>
      </c>
      <c r="H2525" s="10">
        <f t="shared" si="39"/>
        <v>5900</v>
      </c>
      <c r="I2525" s="10">
        <v>128.2608695652174</v>
      </c>
      <c r="J2525" s="10">
        <v>128.2608695652174</v>
      </c>
      <c r="K2525" s="10">
        <v>128.2608695652174</v>
      </c>
      <c r="L2525" s="4"/>
      <c r="M2525" s="4">
        <v>2520</v>
      </c>
    </row>
    <row r="2526" spans="1:13" x14ac:dyDescent="0.25">
      <c r="A2526" s="4" t="s">
        <v>2160</v>
      </c>
      <c r="B2526" s="4" t="s">
        <v>2161</v>
      </c>
      <c r="C2526" s="4" t="s">
        <v>65</v>
      </c>
      <c r="D2526" s="10">
        <v>241</v>
      </c>
      <c r="E2526" s="12" t="s">
        <v>66</v>
      </c>
      <c r="F2526" s="10">
        <v>8950</v>
      </c>
      <c r="G2526" s="10">
        <v>0</v>
      </c>
      <c r="H2526" s="10">
        <f t="shared" si="39"/>
        <v>8950</v>
      </c>
      <c r="I2526" s="10">
        <v>146.72131147540981</v>
      </c>
      <c r="J2526" s="10">
        <v>146.72131147540981</v>
      </c>
      <c r="K2526" s="10">
        <v>146.72131147540981</v>
      </c>
      <c r="L2526" s="4"/>
      <c r="M2526" s="4">
        <v>2521</v>
      </c>
    </row>
    <row r="2527" spans="1:13" x14ac:dyDescent="0.25">
      <c r="A2527" s="4" t="s">
        <v>2162</v>
      </c>
      <c r="B2527" s="4" t="s">
        <v>537</v>
      </c>
      <c r="C2527" s="4" t="s">
        <v>68</v>
      </c>
      <c r="D2527" s="10">
        <v>20</v>
      </c>
      <c r="E2527" s="12" t="s">
        <v>66</v>
      </c>
      <c r="F2527" s="10">
        <v>2800</v>
      </c>
      <c r="G2527" s="10">
        <v>0</v>
      </c>
      <c r="H2527" s="10">
        <f t="shared" si="39"/>
        <v>2800</v>
      </c>
      <c r="I2527" s="10">
        <v>140</v>
      </c>
      <c r="J2527" s="10">
        <v>140</v>
      </c>
      <c r="K2527" s="10">
        <v>140</v>
      </c>
      <c r="L2527" s="4"/>
      <c r="M2527" s="4">
        <v>2522</v>
      </c>
    </row>
    <row r="2528" spans="1:13" x14ac:dyDescent="0.25">
      <c r="A2528" s="4" t="s">
        <v>2162</v>
      </c>
      <c r="B2528" s="4" t="s">
        <v>2163</v>
      </c>
      <c r="C2528" s="4" t="s">
        <v>68</v>
      </c>
      <c r="D2528" s="10">
        <v>366</v>
      </c>
      <c r="E2528" s="11" t="s">
        <v>51</v>
      </c>
      <c r="F2528" s="10">
        <v>25200</v>
      </c>
      <c r="G2528" s="10">
        <v>0</v>
      </c>
      <c r="H2528" s="10">
        <f t="shared" si="39"/>
        <v>25200</v>
      </c>
      <c r="I2528" s="10"/>
      <c r="J2528" s="10"/>
      <c r="K2528" s="10"/>
      <c r="L2528" s="4" t="s">
        <v>69</v>
      </c>
      <c r="M2528" s="4">
        <v>2523</v>
      </c>
    </row>
    <row r="2529" spans="1:13" x14ac:dyDescent="0.25">
      <c r="A2529" s="4" t="s">
        <v>2164</v>
      </c>
      <c r="B2529" s="4" t="s">
        <v>2165</v>
      </c>
      <c r="C2529" s="4" t="s">
        <v>68</v>
      </c>
      <c r="D2529" s="10">
        <v>24</v>
      </c>
      <c r="E2529" s="11" t="s">
        <v>51</v>
      </c>
      <c r="F2529" s="10">
        <v>3600</v>
      </c>
      <c r="G2529" s="10">
        <v>0</v>
      </c>
      <c r="H2529" s="10">
        <f t="shared" si="39"/>
        <v>3600</v>
      </c>
      <c r="I2529" s="10"/>
      <c r="J2529" s="10"/>
      <c r="K2529" s="10"/>
      <c r="L2529" s="4" t="s">
        <v>69</v>
      </c>
      <c r="M2529" s="4">
        <v>2524</v>
      </c>
    </row>
    <row r="2530" spans="1:13" x14ac:dyDescent="0.25">
      <c r="A2530" s="4" t="s">
        <v>2164</v>
      </c>
      <c r="B2530" s="4" t="s">
        <v>2166</v>
      </c>
      <c r="C2530" s="4" t="s">
        <v>65</v>
      </c>
      <c r="D2530" s="10">
        <v>40</v>
      </c>
      <c r="E2530" s="12" t="s">
        <v>66</v>
      </c>
      <c r="F2530" s="10">
        <v>6900</v>
      </c>
      <c r="G2530" s="10">
        <v>0</v>
      </c>
      <c r="H2530" s="10">
        <f t="shared" si="39"/>
        <v>6900</v>
      </c>
      <c r="I2530" s="10">
        <v>172.5</v>
      </c>
      <c r="J2530" s="10">
        <v>172.5</v>
      </c>
      <c r="K2530" s="10">
        <v>172.5</v>
      </c>
      <c r="L2530" s="4"/>
      <c r="M2530" s="4">
        <v>2525</v>
      </c>
    </row>
    <row r="2531" spans="1:13" x14ac:dyDescent="0.25">
      <c r="A2531" s="4" t="s">
        <v>2164</v>
      </c>
      <c r="B2531" s="4" t="s">
        <v>2167</v>
      </c>
      <c r="C2531" s="4" t="s">
        <v>65</v>
      </c>
      <c r="D2531" s="10">
        <v>492</v>
      </c>
      <c r="E2531" s="12" t="s">
        <v>66</v>
      </c>
      <c r="F2531" s="10">
        <v>13100</v>
      </c>
      <c r="G2531" s="10">
        <v>0</v>
      </c>
      <c r="H2531" s="10">
        <f t="shared" si="39"/>
        <v>13100</v>
      </c>
      <c r="I2531" s="10">
        <v>107.3770491803279</v>
      </c>
      <c r="J2531" s="10">
        <v>107.3770491803279</v>
      </c>
      <c r="K2531" s="10">
        <v>107.3770491803279</v>
      </c>
      <c r="L2531" s="4"/>
      <c r="M2531" s="4">
        <v>2526</v>
      </c>
    </row>
    <row r="2532" spans="1:13" x14ac:dyDescent="0.25">
      <c r="A2532" s="4" t="s">
        <v>2168</v>
      </c>
      <c r="B2532" s="4" t="s">
        <v>537</v>
      </c>
      <c r="C2532" s="4" t="s">
        <v>68</v>
      </c>
      <c r="D2532" s="10">
        <v>20</v>
      </c>
      <c r="E2532" s="12" t="s">
        <v>66</v>
      </c>
      <c r="F2532" s="10">
        <v>2800</v>
      </c>
      <c r="G2532" s="10">
        <v>0</v>
      </c>
      <c r="H2532" s="10">
        <f t="shared" si="39"/>
        <v>2800</v>
      </c>
      <c r="I2532" s="10">
        <v>140</v>
      </c>
      <c r="J2532" s="10">
        <v>140</v>
      </c>
      <c r="K2532" s="10">
        <v>140</v>
      </c>
      <c r="L2532" s="4"/>
      <c r="M2532" s="4">
        <v>2527</v>
      </c>
    </row>
    <row r="2533" spans="1:13" x14ac:dyDescent="0.25">
      <c r="A2533" s="4" t="s">
        <v>2168</v>
      </c>
      <c r="B2533" s="4" t="s">
        <v>2169</v>
      </c>
      <c r="C2533" s="4" t="s">
        <v>68</v>
      </c>
      <c r="D2533" s="10">
        <v>330</v>
      </c>
      <c r="E2533" s="11" t="s">
        <v>51</v>
      </c>
      <c r="F2533" s="10">
        <v>46200</v>
      </c>
      <c r="G2533" s="10">
        <v>0</v>
      </c>
      <c r="H2533" s="10">
        <f t="shared" si="39"/>
        <v>46200</v>
      </c>
      <c r="I2533" s="10"/>
      <c r="J2533" s="10"/>
      <c r="K2533" s="10"/>
      <c r="L2533" s="4" t="s">
        <v>69</v>
      </c>
      <c r="M2533" s="4">
        <v>2528</v>
      </c>
    </row>
    <row r="2534" spans="1:13" x14ac:dyDescent="0.25">
      <c r="A2534" s="4" t="s">
        <v>2168</v>
      </c>
      <c r="B2534" s="4" t="s">
        <v>2170</v>
      </c>
      <c r="C2534" s="4" t="s">
        <v>68</v>
      </c>
      <c r="D2534" s="10">
        <v>1147</v>
      </c>
      <c r="E2534" s="11" t="s">
        <v>51</v>
      </c>
      <c r="F2534" s="10">
        <v>5600</v>
      </c>
      <c r="G2534" s="10">
        <v>0</v>
      </c>
      <c r="H2534" s="10">
        <f t="shared" si="39"/>
        <v>5600</v>
      </c>
      <c r="I2534" s="10"/>
      <c r="J2534" s="10"/>
      <c r="K2534" s="10"/>
      <c r="L2534" s="4" t="s">
        <v>69</v>
      </c>
      <c r="M2534" s="4">
        <v>2529</v>
      </c>
    </row>
    <row r="2535" spans="1:13" x14ac:dyDescent="0.25">
      <c r="A2535" s="4" t="s">
        <v>2171</v>
      </c>
      <c r="B2535" s="4" t="s">
        <v>2172</v>
      </c>
      <c r="C2535" s="4" t="s">
        <v>68</v>
      </c>
      <c r="D2535" s="10">
        <v>60</v>
      </c>
      <c r="E2535" s="11" t="s">
        <v>51</v>
      </c>
      <c r="F2535" s="10">
        <v>8400</v>
      </c>
      <c r="G2535" s="10">
        <v>0</v>
      </c>
      <c r="H2535" s="10">
        <f t="shared" si="39"/>
        <v>8400</v>
      </c>
      <c r="I2535" s="10"/>
      <c r="J2535" s="10"/>
      <c r="K2535" s="10"/>
      <c r="L2535" s="4" t="s">
        <v>69</v>
      </c>
      <c r="M2535" s="4">
        <v>2530</v>
      </c>
    </row>
    <row r="2536" spans="1:13" x14ac:dyDescent="0.25">
      <c r="A2536" s="4" t="s">
        <v>2171</v>
      </c>
      <c r="B2536" s="4" t="s">
        <v>537</v>
      </c>
      <c r="C2536" s="4" t="s">
        <v>68</v>
      </c>
      <c r="D2536" s="10">
        <v>20</v>
      </c>
      <c r="E2536" s="12" t="s">
        <v>66</v>
      </c>
      <c r="F2536" s="10">
        <v>2800</v>
      </c>
      <c r="G2536" s="10">
        <v>0</v>
      </c>
      <c r="H2536" s="10">
        <f t="shared" si="39"/>
        <v>2800</v>
      </c>
      <c r="I2536" s="10">
        <v>140</v>
      </c>
      <c r="J2536" s="10">
        <v>140</v>
      </c>
      <c r="K2536" s="10">
        <v>140</v>
      </c>
      <c r="L2536" s="4"/>
      <c r="M2536" s="4">
        <v>2531</v>
      </c>
    </row>
    <row r="2537" spans="1:13" x14ac:dyDescent="0.25">
      <c r="A2537" s="4" t="s">
        <v>2171</v>
      </c>
      <c r="B2537" s="4" t="s">
        <v>2173</v>
      </c>
      <c r="C2537" s="4" t="s">
        <v>68</v>
      </c>
      <c r="D2537" s="10">
        <v>330</v>
      </c>
      <c r="E2537" s="11" t="s">
        <v>51</v>
      </c>
      <c r="F2537" s="10">
        <v>46200</v>
      </c>
      <c r="G2537" s="10">
        <v>0</v>
      </c>
      <c r="H2537" s="10">
        <f t="shared" si="39"/>
        <v>46200</v>
      </c>
      <c r="I2537" s="10"/>
      <c r="J2537" s="10"/>
      <c r="K2537" s="10"/>
      <c r="L2537" s="4" t="s">
        <v>69</v>
      </c>
      <c r="M2537" s="4">
        <v>2532</v>
      </c>
    </row>
    <row r="2538" spans="1:13" x14ac:dyDescent="0.25">
      <c r="A2538" s="4" t="s">
        <v>2171</v>
      </c>
      <c r="B2538" s="4" t="s">
        <v>2174</v>
      </c>
      <c r="C2538" s="4" t="s">
        <v>65</v>
      </c>
      <c r="D2538" s="10">
        <v>60</v>
      </c>
      <c r="E2538" s="12" t="s">
        <v>66</v>
      </c>
      <c r="F2538" s="10">
        <v>9700</v>
      </c>
      <c r="G2538" s="10">
        <v>0</v>
      </c>
      <c r="H2538" s="10">
        <f t="shared" si="39"/>
        <v>9700</v>
      </c>
      <c r="I2538" s="10">
        <v>161.66666666666671</v>
      </c>
      <c r="J2538" s="10">
        <v>161.66666666666671</v>
      </c>
      <c r="K2538" s="10">
        <v>161.66666666666671</v>
      </c>
      <c r="L2538" s="4"/>
      <c r="M2538" s="4">
        <v>2533</v>
      </c>
    </row>
    <row r="2539" spans="1:13" x14ac:dyDescent="0.25">
      <c r="A2539" s="4" t="s">
        <v>2171</v>
      </c>
      <c r="B2539" s="4" t="s">
        <v>2175</v>
      </c>
      <c r="C2539" s="4" t="s">
        <v>68</v>
      </c>
      <c r="D2539" s="10">
        <v>480</v>
      </c>
      <c r="E2539" s="11" t="s">
        <v>51</v>
      </c>
      <c r="F2539" s="10">
        <v>67200</v>
      </c>
      <c r="G2539" s="10">
        <v>0</v>
      </c>
      <c r="H2539" s="10">
        <f t="shared" si="39"/>
        <v>67200</v>
      </c>
      <c r="I2539" s="10"/>
      <c r="J2539" s="10"/>
      <c r="K2539" s="10"/>
      <c r="L2539" s="4" t="s">
        <v>69</v>
      </c>
      <c r="M2539" s="4">
        <v>2534</v>
      </c>
    </row>
    <row r="2540" spans="1:13" x14ac:dyDescent="0.25">
      <c r="A2540" s="4" t="s">
        <v>2171</v>
      </c>
      <c r="B2540" s="4" t="s">
        <v>2176</v>
      </c>
      <c r="C2540" s="4" t="s">
        <v>65</v>
      </c>
      <c r="D2540" s="10">
        <v>77</v>
      </c>
      <c r="E2540" s="12" t="s">
        <v>66</v>
      </c>
      <c r="F2540" s="10">
        <v>9450</v>
      </c>
      <c r="G2540" s="10">
        <v>0</v>
      </c>
      <c r="H2540" s="10">
        <f t="shared" si="39"/>
        <v>9450</v>
      </c>
      <c r="I2540" s="10">
        <v>122.72727272727271</v>
      </c>
      <c r="J2540" s="10">
        <v>122.72727272727271</v>
      </c>
      <c r="K2540" s="10">
        <v>122.72727272727271</v>
      </c>
      <c r="L2540" s="4"/>
      <c r="M2540" s="4">
        <v>2535</v>
      </c>
    </row>
    <row r="2541" spans="1:13" x14ac:dyDescent="0.25">
      <c r="A2541" s="4" t="s">
        <v>2171</v>
      </c>
      <c r="B2541" s="4" t="s">
        <v>2177</v>
      </c>
      <c r="C2541" s="4" t="s">
        <v>68</v>
      </c>
      <c r="D2541" s="10">
        <v>40</v>
      </c>
      <c r="E2541" s="11" t="s">
        <v>51</v>
      </c>
      <c r="F2541" s="10">
        <v>3600</v>
      </c>
      <c r="G2541" s="10">
        <v>0</v>
      </c>
      <c r="H2541" s="10">
        <f t="shared" si="39"/>
        <v>3600</v>
      </c>
      <c r="I2541" s="10"/>
      <c r="J2541" s="10"/>
      <c r="K2541" s="10"/>
      <c r="L2541" s="4" t="s">
        <v>69</v>
      </c>
      <c r="M2541" s="4">
        <v>2536</v>
      </c>
    </row>
    <row r="2542" spans="1:13" x14ac:dyDescent="0.25">
      <c r="A2542" s="4" t="s">
        <v>2171</v>
      </c>
      <c r="B2542" s="4" t="s">
        <v>2178</v>
      </c>
      <c r="C2542" s="4" t="s">
        <v>68</v>
      </c>
      <c r="D2542" s="10">
        <v>145</v>
      </c>
      <c r="E2542" s="11" t="s">
        <v>51</v>
      </c>
      <c r="F2542" s="10">
        <v>5400</v>
      </c>
      <c r="G2542" s="10">
        <v>0</v>
      </c>
      <c r="H2542" s="10">
        <f t="shared" si="39"/>
        <v>5400</v>
      </c>
      <c r="I2542" s="10"/>
      <c r="J2542" s="10"/>
      <c r="K2542" s="10"/>
      <c r="L2542" s="4" t="s">
        <v>69</v>
      </c>
      <c r="M2542" s="4">
        <v>2537</v>
      </c>
    </row>
    <row r="2543" spans="1:13" x14ac:dyDescent="0.25">
      <c r="A2543" s="4" t="s">
        <v>2179</v>
      </c>
      <c r="B2543" s="4" t="s">
        <v>2180</v>
      </c>
      <c r="C2543" s="4" t="s">
        <v>65</v>
      </c>
      <c r="D2543" s="10">
        <v>40</v>
      </c>
      <c r="E2543" s="12" t="s">
        <v>66</v>
      </c>
      <c r="F2543" s="10">
        <v>3500</v>
      </c>
      <c r="G2543" s="10">
        <v>0</v>
      </c>
      <c r="H2543" s="10">
        <f t="shared" si="39"/>
        <v>3500</v>
      </c>
      <c r="I2543" s="10">
        <v>87.5</v>
      </c>
      <c r="J2543" s="10">
        <v>87.5</v>
      </c>
      <c r="K2543" s="10">
        <v>87.5</v>
      </c>
      <c r="L2543" s="4"/>
      <c r="M2543" s="4">
        <v>2538</v>
      </c>
    </row>
    <row r="2544" spans="1:13" x14ac:dyDescent="0.25">
      <c r="A2544" s="4" t="s">
        <v>2179</v>
      </c>
      <c r="B2544" s="4" t="s">
        <v>1179</v>
      </c>
      <c r="C2544" s="4" t="s">
        <v>65</v>
      </c>
      <c r="D2544" s="10">
        <v>144</v>
      </c>
      <c r="E2544" s="12" t="s">
        <v>66</v>
      </c>
      <c r="F2544" s="10">
        <v>4000</v>
      </c>
      <c r="G2544" s="10">
        <v>0</v>
      </c>
      <c r="H2544" s="10">
        <f t="shared" si="39"/>
        <v>4000</v>
      </c>
      <c r="I2544" s="10">
        <v>88.888888888888886</v>
      </c>
      <c r="J2544" s="10">
        <v>88.888888888888886</v>
      </c>
      <c r="K2544" s="10">
        <v>88.888888888888886</v>
      </c>
      <c r="L2544" s="4"/>
      <c r="M2544" s="4">
        <v>2539</v>
      </c>
    </row>
    <row r="2545" spans="1:13" x14ac:dyDescent="0.25">
      <c r="A2545" s="4" t="s">
        <v>2181</v>
      </c>
      <c r="B2545" s="4" t="s">
        <v>82</v>
      </c>
      <c r="C2545" s="9" t="s">
        <v>50</v>
      </c>
      <c r="D2545" s="10">
        <v>224</v>
      </c>
      <c r="E2545" s="11" t="s">
        <v>51</v>
      </c>
      <c r="F2545" s="10">
        <v>9405</v>
      </c>
      <c r="G2545" s="10">
        <v>0</v>
      </c>
      <c r="H2545" s="10">
        <f t="shared" si="39"/>
        <v>9405</v>
      </c>
      <c r="I2545" s="10"/>
      <c r="J2545" s="10"/>
      <c r="K2545" s="10"/>
      <c r="L2545" s="4" t="s">
        <v>52</v>
      </c>
      <c r="M2545" s="4">
        <v>2540</v>
      </c>
    </row>
    <row r="2546" spans="1:13" x14ac:dyDescent="0.25">
      <c r="A2546" s="4" t="s">
        <v>2182</v>
      </c>
      <c r="B2546" s="4" t="s">
        <v>2183</v>
      </c>
      <c r="C2546" s="4" t="s">
        <v>65</v>
      </c>
      <c r="D2546" s="10">
        <v>40</v>
      </c>
      <c r="E2546" s="12" t="s">
        <v>66</v>
      </c>
      <c r="F2546" s="10">
        <v>4200</v>
      </c>
      <c r="G2546" s="10">
        <v>0</v>
      </c>
      <c r="H2546" s="10">
        <f t="shared" si="39"/>
        <v>4200</v>
      </c>
      <c r="I2546" s="10">
        <v>105</v>
      </c>
      <c r="J2546" s="10">
        <v>105</v>
      </c>
      <c r="K2546" s="10">
        <v>105</v>
      </c>
      <c r="L2546" s="4"/>
      <c r="M2546" s="4">
        <v>2541</v>
      </c>
    </row>
    <row r="2547" spans="1:13" x14ac:dyDescent="0.25">
      <c r="A2547" s="4" t="s">
        <v>2182</v>
      </c>
      <c r="B2547" s="4" t="s">
        <v>2184</v>
      </c>
      <c r="C2547" s="4" t="s">
        <v>68</v>
      </c>
      <c r="D2547" s="10">
        <v>55</v>
      </c>
      <c r="E2547" s="11" t="s">
        <v>51</v>
      </c>
      <c r="F2547" s="10">
        <v>5225</v>
      </c>
      <c r="G2547" s="10">
        <v>0</v>
      </c>
      <c r="H2547" s="10">
        <f t="shared" si="39"/>
        <v>5225</v>
      </c>
      <c r="I2547" s="10"/>
      <c r="J2547" s="10"/>
      <c r="K2547" s="10"/>
      <c r="L2547" s="4" t="s">
        <v>69</v>
      </c>
      <c r="M2547" s="4">
        <v>2542</v>
      </c>
    </row>
    <row r="2548" spans="1:13" x14ac:dyDescent="0.25">
      <c r="A2548" s="4" t="s">
        <v>2182</v>
      </c>
      <c r="B2548" s="4" t="s">
        <v>2185</v>
      </c>
      <c r="C2548" s="4" t="s">
        <v>65</v>
      </c>
      <c r="D2548" s="10">
        <v>50</v>
      </c>
      <c r="E2548" s="12" t="s">
        <v>66</v>
      </c>
      <c r="F2548" s="10">
        <v>3000</v>
      </c>
      <c r="G2548" s="10">
        <v>0</v>
      </c>
      <c r="H2548" s="10">
        <f t="shared" si="39"/>
        <v>3000</v>
      </c>
      <c r="I2548" s="10">
        <v>100</v>
      </c>
      <c r="J2548" s="10">
        <v>100</v>
      </c>
      <c r="K2548" s="10">
        <v>100</v>
      </c>
      <c r="L2548" s="4"/>
      <c r="M2548" s="4">
        <v>2543</v>
      </c>
    </row>
    <row r="2549" spans="1:13" x14ac:dyDescent="0.25">
      <c r="A2549" s="4" t="s">
        <v>2186</v>
      </c>
      <c r="B2549" s="4" t="s">
        <v>470</v>
      </c>
      <c r="C2549" s="4" t="s">
        <v>68</v>
      </c>
      <c r="D2549" s="10">
        <v>114</v>
      </c>
      <c r="E2549" s="11" t="s">
        <v>51</v>
      </c>
      <c r="F2549" s="10"/>
      <c r="G2549" s="10">
        <v>0</v>
      </c>
      <c r="H2549" s="10">
        <f t="shared" si="39"/>
        <v>0</v>
      </c>
      <c r="I2549" s="10"/>
      <c r="J2549" s="10"/>
      <c r="K2549" s="10"/>
      <c r="L2549" s="4" t="s">
        <v>69</v>
      </c>
      <c r="M2549" s="4">
        <v>2544</v>
      </c>
    </row>
    <row r="2550" spans="1:13" x14ac:dyDescent="0.25">
      <c r="A2550" s="4" t="s">
        <v>2187</v>
      </c>
      <c r="B2550" s="4" t="s">
        <v>2188</v>
      </c>
      <c r="C2550" s="9" t="s">
        <v>50</v>
      </c>
      <c r="D2550" s="10">
        <v>171</v>
      </c>
      <c r="E2550" s="11" t="s">
        <v>51</v>
      </c>
      <c r="F2550" s="10">
        <v>11800</v>
      </c>
      <c r="G2550" s="10">
        <v>0</v>
      </c>
      <c r="H2550" s="10">
        <f t="shared" si="39"/>
        <v>11800</v>
      </c>
      <c r="I2550" s="10"/>
      <c r="J2550" s="10"/>
      <c r="K2550" s="10"/>
      <c r="L2550" s="4" t="s">
        <v>52</v>
      </c>
      <c r="M2550" s="4">
        <v>2545</v>
      </c>
    </row>
    <row r="2551" spans="1:13" x14ac:dyDescent="0.25">
      <c r="A2551" s="4" t="s">
        <v>2189</v>
      </c>
      <c r="B2551" s="4" t="s">
        <v>2190</v>
      </c>
      <c r="C2551" s="9" t="s">
        <v>50</v>
      </c>
      <c r="D2551" s="10">
        <v>47</v>
      </c>
      <c r="E2551" s="11" t="s">
        <v>51</v>
      </c>
      <c r="F2551" s="10">
        <v>4700</v>
      </c>
      <c r="G2551" s="10">
        <v>0</v>
      </c>
      <c r="H2551" s="10">
        <f t="shared" si="39"/>
        <v>4700</v>
      </c>
      <c r="I2551" s="10"/>
      <c r="J2551" s="10"/>
      <c r="K2551" s="10"/>
      <c r="L2551" s="4" t="s">
        <v>52</v>
      </c>
      <c r="M2551" s="4">
        <v>2546</v>
      </c>
    </row>
    <row r="2552" spans="1:13" x14ac:dyDescent="0.25">
      <c r="A2552" s="4" t="s">
        <v>2189</v>
      </c>
      <c r="B2552" s="4" t="s">
        <v>2191</v>
      </c>
      <c r="C2552" s="9" t="s">
        <v>50</v>
      </c>
      <c r="D2552" s="10">
        <v>159</v>
      </c>
      <c r="E2552" s="11" t="s">
        <v>51</v>
      </c>
      <c r="F2552" s="10">
        <v>700</v>
      </c>
      <c r="G2552" s="10">
        <v>0</v>
      </c>
      <c r="H2552" s="10">
        <f t="shared" si="39"/>
        <v>700</v>
      </c>
      <c r="I2552" s="10"/>
      <c r="J2552" s="10"/>
      <c r="K2552" s="10"/>
      <c r="L2552" s="4" t="s">
        <v>52</v>
      </c>
      <c r="M2552" s="4">
        <v>2547</v>
      </c>
    </row>
    <row r="2553" spans="1:13" x14ac:dyDescent="0.25">
      <c r="A2553" s="4" t="s">
        <v>2192</v>
      </c>
      <c r="B2553" s="4" t="s">
        <v>2193</v>
      </c>
      <c r="C2553" s="9" t="s">
        <v>50</v>
      </c>
      <c r="D2553" s="10">
        <v>126</v>
      </c>
      <c r="E2553" s="11" t="s">
        <v>51</v>
      </c>
      <c r="F2553" s="10">
        <v>13300</v>
      </c>
      <c r="G2553" s="10">
        <v>0</v>
      </c>
      <c r="H2553" s="10">
        <f t="shared" si="39"/>
        <v>13300</v>
      </c>
      <c r="I2553" s="10"/>
      <c r="J2553" s="10"/>
      <c r="K2553" s="10"/>
      <c r="L2553" s="4" t="s">
        <v>52</v>
      </c>
      <c r="M2553" s="4">
        <v>2548</v>
      </c>
    </row>
    <row r="2554" spans="1:13" x14ac:dyDescent="0.25">
      <c r="A2554" s="4" t="s">
        <v>2192</v>
      </c>
      <c r="B2554" s="4" t="s">
        <v>2191</v>
      </c>
      <c r="C2554" s="9" t="s">
        <v>50</v>
      </c>
      <c r="D2554" s="10">
        <v>169</v>
      </c>
      <c r="E2554" s="11" t="s">
        <v>51</v>
      </c>
      <c r="F2554" s="10">
        <v>1500</v>
      </c>
      <c r="G2554" s="10">
        <v>0</v>
      </c>
      <c r="H2554" s="10">
        <f t="shared" si="39"/>
        <v>1500</v>
      </c>
      <c r="I2554" s="10"/>
      <c r="J2554" s="10"/>
      <c r="K2554" s="10"/>
      <c r="L2554" s="4" t="s">
        <v>52</v>
      </c>
      <c r="M2554" s="4">
        <v>2549</v>
      </c>
    </row>
    <row r="2555" spans="1:13" x14ac:dyDescent="0.25">
      <c r="A2555" s="4" t="s">
        <v>2194</v>
      </c>
      <c r="B2555" s="4" t="s">
        <v>2195</v>
      </c>
      <c r="C2555" s="9" t="s">
        <v>50</v>
      </c>
      <c r="D2555" s="10">
        <v>126</v>
      </c>
      <c r="E2555" s="11" t="s">
        <v>51</v>
      </c>
      <c r="F2555" s="10">
        <v>13300</v>
      </c>
      <c r="G2555" s="10">
        <v>0</v>
      </c>
      <c r="H2555" s="10">
        <f t="shared" si="39"/>
        <v>13300</v>
      </c>
      <c r="I2555" s="10"/>
      <c r="J2555" s="10"/>
      <c r="K2555" s="10"/>
      <c r="L2555" s="4" t="s">
        <v>52</v>
      </c>
      <c r="M2555" s="4">
        <v>2550</v>
      </c>
    </row>
    <row r="2556" spans="1:13" x14ac:dyDescent="0.25">
      <c r="A2556" s="4" t="s">
        <v>2194</v>
      </c>
      <c r="B2556" s="4" t="s">
        <v>2191</v>
      </c>
      <c r="C2556" s="9" t="s">
        <v>50</v>
      </c>
      <c r="D2556" s="10">
        <v>41</v>
      </c>
      <c r="E2556" s="11" t="s">
        <v>51</v>
      </c>
      <c r="F2556" s="10">
        <v>1350</v>
      </c>
      <c r="G2556" s="10">
        <v>0</v>
      </c>
      <c r="H2556" s="10">
        <f t="shared" si="39"/>
        <v>1350</v>
      </c>
      <c r="I2556" s="10"/>
      <c r="J2556" s="10"/>
      <c r="K2556" s="10"/>
      <c r="L2556" s="4" t="s">
        <v>52</v>
      </c>
      <c r="M2556" s="4">
        <v>2551</v>
      </c>
    </row>
    <row r="2557" spans="1:13" x14ac:dyDescent="0.25">
      <c r="A2557" s="4" t="s">
        <v>2196</v>
      </c>
      <c r="B2557" s="4" t="s">
        <v>2191</v>
      </c>
      <c r="C2557" s="9" t="s">
        <v>50</v>
      </c>
      <c r="D2557" s="10">
        <v>61</v>
      </c>
      <c r="E2557" s="11" t="s">
        <v>51</v>
      </c>
      <c r="F2557" s="10">
        <v>1400</v>
      </c>
      <c r="G2557" s="10">
        <v>0</v>
      </c>
      <c r="H2557" s="10">
        <f t="shared" si="39"/>
        <v>1400</v>
      </c>
      <c r="I2557" s="10"/>
      <c r="J2557" s="10"/>
      <c r="K2557" s="10"/>
      <c r="L2557" s="4" t="s">
        <v>52</v>
      </c>
      <c r="M2557" s="4">
        <v>2552</v>
      </c>
    </row>
    <row r="2558" spans="1:13" x14ac:dyDescent="0.25">
      <c r="A2558" s="4" t="s">
        <v>2197</v>
      </c>
      <c r="B2558" s="4" t="s">
        <v>451</v>
      </c>
      <c r="C2558" s="4" t="s">
        <v>68</v>
      </c>
      <c r="D2558" s="10">
        <v>259</v>
      </c>
      <c r="E2558" s="11" t="s">
        <v>51</v>
      </c>
      <c r="F2558" s="10">
        <v>4400</v>
      </c>
      <c r="G2558" s="10">
        <v>0</v>
      </c>
      <c r="H2558" s="10">
        <f t="shared" si="39"/>
        <v>4400</v>
      </c>
      <c r="I2558" s="10"/>
      <c r="J2558" s="10"/>
      <c r="K2558" s="10"/>
      <c r="L2558" s="4" t="s">
        <v>69</v>
      </c>
      <c r="M2558" s="4">
        <v>2553</v>
      </c>
    </row>
    <row r="2559" spans="1:13" x14ac:dyDescent="0.25">
      <c r="A2559" s="4" t="s">
        <v>2198</v>
      </c>
      <c r="B2559" s="4" t="s">
        <v>2199</v>
      </c>
      <c r="C2559" s="4" t="s">
        <v>65</v>
      </c>
      <c r="D2559" s="10">
        <v>13</v>
      </c>
      <c r="E2559" s="12" t="s">
        <v>66</v>
      </c>
      <c r="F2559" s="10">
        <v>1900</v>
      </c>
      <c r="G2559" s="10">
        <v>0</v>
      </c>
      <c r="H2559" s="10">
        <f t="shared" si="39"/>
        <v>1900</v>
      </c>
      <c r="I2559" s="10">
        <v>146.15384615384619</v>
      </c>
      <c r="J2559" s="10">
        <v>146.15384615384619</v>
      </c>
      <c r="K2559" s="10">
        <v>146.15384615384619</v>
      </c>
      <c r="L2559" s="4"/>
      <c r="M2559" s="4">
        <v>2554</v>
      </c>
    </row>
    <row r="2560" spans="1:13" x14ac:dyDescent="0.25">
      <c r="A2560" s="4" t="s">
        <v>2198</v>
      </c>
      <c r="B2560" s="4" t="s">
        <v>2200</v>
      </c>
      <c r="C2560" s="9" t="s">
        <v>50</v>
      </c>
      <c r="D2560" s="10">
        <v>123.5</v>
      </c>
      <c r="E2560" s="11" t="s">
        <v>51</v>
      </c>
      <c r="F2560" s="10">
        <v>9860</v>
      </c>
      <c r="G2560" s="10">
        <v>0</v>
      </c>
      <c r="H2560" s="10">
        <f t="shared" si="39"/>
        <v>9860</v>
      </c>
      <c r="I2560" s="10"/>
      <c r="J2560" s="10"/>
      <c r="K2560" s="10"/>
      <c r="L2560" s="4" t="s">
        <v>52</v>
      </c>
      <c r="M2560" s="4">
        <v>2555</v>
      </c>
    </row>
    <row r="2561" spans="1:13" x14ac:dyDescent="0.25">
      <c r="A2561" s="4" t="s">
        <v>2198</v>
      </c>
      <c r="B2561" s="4" t="s">
        <v>2201</v>
      </c>
      <c r="C2561" s="9" t="s">
        <v>50</v>
      </c>
      <c r="D2561" s="10">
        <v>16</v>
      </c>
      <c r="E2561" s="11" t="s">
        <v>51</v>
      </c>
      <c r="F2561" s="10">
        <v>2000</v>
      </c>
      <c r="G2561" s="10">
        <v>0</v>
      </c>
      <c r="H2561" s="10">
        <f t="shared" si="39"/>
        <v>2000</v>
      </c>
      <c r="I2561" s="10"/>
      <c r="J2561" s="10"/>
      <c r="K2561" s="10"/>
      <c r="L2561" s="4" t="s">
        <v>52</v>
      </c>
      <c r="M2561" s="4">
        <v>2556</v>
      </c>
    </row>
    <row r="2562" spans="1:13" x14ac:dyDescent="0.25">
      <c r="A2562" s="4" t="s">
        <v>2198</v>
      </c>
      <c r="B2562" s="4" t="s">
        <v>2202</v>
      </c>
      <c r="C2562" s="9" t="s">
        <v>50</v>
      </c>
      <c r="D2562" s="10">
        <v>15.5</v>
      </c>
      <c r="E2562" s="11" t="s">
        <v>51</v>
      </c>
      <c r="F2562" s="10">
        <v>1920</v>
      </c>
      <c r="G2562" s="10">
        <v>0</v>
      </c>
      <c r="H2562" s="10">
        <f t="shared" si="39"/>
        <v>1920</v>
      </c>
      <c r="I2562" s="10"/>
      <c r="J2562" s="10"/>
      <c r="K2562" s="10"/>
      <c r="L2562" s="4" t="s">
        <v>52</v>
      </c>
      <c r="M2562" s="4">
        <v>2557</v>
      </c>
    </row>
    <row r="2563" spans="1:13" x14ac:dyDescent="0.25">
      <c r="A2563" s="4" t="s">
        <v>2198</v>
      </c>
      <c r="B2563" s="4" t="s">
        <v>2203</v>
      </c>
      <c r="C2563" s="9" t="s">
        <v>50</v>
      </c>
      <c r="D2563" s="10">
        <v>16</v>
      </c>
      <c r="E2563" s="11" t="s">
        <v>51</v>
      </c>
      <c r="F2563" s="10">
        <v>2000</v>
      </c>
      <c r="G2563" s="10">
        <v>0</v>
      </c>
      <c r="H2563" s="10">
        <f t="shared" si="39"/>
        <v>2000</v>
      </c>
      <c r="I2563" s="10"/>
      <c r="J2563" s="10"/>
      <c r="K2563" s="10"/>
      <c r="L2563" s="4" t="s">
        <v>52</v>
      </c>
      <c r="M2563" s="4">
        <v>2558</v>
      </c>
    </row>
    <row r="2564" spans="1:13" x14ac:dyDescent="0.25">
      <c r="A2564" s="4" t="s">
        <v>2198</v>
      </c>
      <c r="B2564" s="4" t="s">
        <v>2204</v>
      </c>
      <c r="C2564" s="4" t="s">
        <v>68</v>
      </c>
      <c r="D2564" s="10">
        <v>35</v>
      </c>
      <c r="E2564" s="11" t="s">
        <v>51</v>
      </c>
      <c r="F2564" s="10">
        <v>3600</v>
      </c>
      <c r="G2564" s="10">
        <v>0</v>
      </c>
      <c r="H2564" s="10">
        <f t="shared" si="39"/>
        <v>3600</v>
      </c>
      <c r="I2564" s="10"/>
      <c r="J2564" s="10"/>
      <c r="K2564" s="10"/>
      <c r="L2564" s="4" t="s">
        <v>69</v>
      </c>
      <c r="M2564" s="4">
        <v>2559</v>
      </c>
    </row>
    <row r="2565" spans="1:13" x14ac:dyDescent="0.25">
      <c r="A2565" s="4" t="s">
        <v>2205</v>
      </c>
      <c r="B2565" s="4" t="s">
        <v>2206</v>
      </c>
      <c r="C2565" s="4" t="s">
        <v>65</v>
      </c>
      <c r="D2565" s="10">
        <v>263</v>
      </c>
      <c r="E2565" s="11" t="s">
        <v>51</v>
      </c>
      <c r="F2565" s="10">
        <v>3800</v>
      </c>
      <c r="G2565" s="10">
        <v>0</v>
      </c>
      <c r="H2565" s="10">
        <f t="shared" si="39"/>
        <v>3800</v>
      </c>
      <c r="I2565" s="10"/>
      <c r="J2565" s="10"/>
      <c r="K2565" s="10"/>
      <c r="L2565" s="4" t="s">
        <v>69</v>
      </c>
      <c r="M2565" s="4">
        <v>2560</v>
      </c>
    </row>
    <row r="2566" spans="1:13" x14ac:dyDescent="0.25">
      <c r="A2566" s="4" t="s">
        <v>2207</v>
      </c>
      <c r="B2566" s="4" t="s">
        <v>2208</v>
      </c>
      <c r="C2566" s="9" t="s">
        <v>50</v>
      </c>
      <c r="D2566" s="10">
        <v>2</v>
      </c>
      <c r="E2566" s="11" t="s">
        <v>51</v>
      </c>
      <c r="F2566" s="10">
        <v>341.32</v>
      </c>
      <c r="G2566" s="10">
        <v>0</v>
      </c>
      <c r="H2566" s="10">
        <f t="shared" ref="H2566:H2629" si="40">F2566-G2566</f>
        <v>341.32</v>
      </c>
      <c r="I2566" s="10"/>
      <c r="J2566" s="10"/>
      <c r="K2566" s="10"/>
      <c r="L2566" s="4" t="s">
        <v>52</v>
      </c>
      <c r="M2566" s="4">
        <v>2561</v>
      </c>
    </row>
    <row r="2567" spans="1:13" x14ac:dyDescent="0.25">
      <c r="A2567" s="4" t="s">
        <v>2207</v>
      </c>
      <c r="B2567" s="4" t="s">
        <v>2209</v>
      </c>
      <c r="C2567" s="9" t="s">
        <v>50</v>
      </c>
      <c r="D2567" s="10">
        <v>45</v>
      </c>
      <c r="E2567" s="11" t="s">
        <v>51</v>
      </c>
      <c r="F2567" s="10">
        <v>5607.4</v>
      </c>
      <c r="G2567" s="10">
        <v>0</v>
      </c>
      <c r="H2567" s="10">
        <f t="shared" si="40"/>
        <v>5607.4</v>
      </c>
      <c r="I2567" s="10"/>
      <c r="J2567" s="10"/>
      <c r="K2567" s="10"/>
      <c r="L2567" s="4" t="s">
        <v>52</v>
      </c>
      <c r="M2567" s="4">
        <v>2562</v>
      </c>
    </row>
    <row r="2568" spans="1:13" x14ac:dyDescent="0.25">
      <c r="A2568" s="4" t="s">
        <v>2207</v>
      </c>
      <c r="B2568" s="4" t="s">
        <v>2210</v>
      </c>
      <c r="C2568" s="9" t="s">
        <v>50</v>
      </c>
      <c r="D2568" s="10">
        <v>58</v>
      </c>
      <c r="E2568" s="11" t="s">
        <v>51</v>
      </c>
      <c r="F2568" s="10">
        <v>7118.96</v>
      </c>
      <c r="G2568" s="10">
        <v>0</v>
      </c>
      <c r="H2568" s="10">
        <f t="shared" si="40"/>
        <v>7118.96</v>
      </c>
      <c r="I2568" s="10"/>
      <c r="J2568" s="10"/>
      <c r="K2568" s="10"/>
      <c r="L2568" s="4" t="s">
        <v>52</v>
      </c>
      <c r="M2568" s="4">
        <v>2563</v>
      </c>
    </row>
    <row r="2569" spans="1:13" x14ac:dyDescent="0.25">
      <c r="A2569" s="4" t="s">
        <v>2207</v>
      </c>
      <c r="B2569" s="4" t="s">
        <v>2211</v>
      </c>
      <c r="C2569" s="9" t="s">
        <v>50</v>
      </c>
      <c r="D2569" s="10">
        <v>56</v>
      </c>
      <c r="E2569" s="11" t="s">
        <v>51</v>
      </c>
      <c r="F2569" s="10">
        <v>5607.4</v>
      </c>
      <c r="G2569" s="10">
        <v>0</v>
      </c>
      <c r="H2569" s="10">
        <f t="shared" si="40"/>
        <v>5607.4</v>
      </c>
      <c r="I2569" s="10"/>
      <c r="J2569" s="10"/>
      <c r="K2569" s="10"/>
      <c r="L2569" s="4" t="s">
        <v>52</v>
      </c>
      <c r="M2569" s="4">
        <v>2564</v>
      </c>
    </row>
    <row r="2570" spans="1:13" x14ac:dyDescent="0.25">
      <c r="A2570" s="4" t="s">
        <v>2207</v>
      </c>
      <c r="B2570" s="4" t="s">
        <v>2212</v>
      </c>
      <c r="C2570" s="9" t="s">
        <v>50</v>
      </c>
      <c r="D2570" s="10">
        <v>88</v>
      </c>
      <c r="E2570" s="11" t="s">
        <v>51</v>
      </c>
      <c r="F2570" s="10">
        <v>10824.72</v>
      </c>
      <c r="G2570" s="10">
        <v>0</v>
      </c>
      <c r="H2570" s="10">
        <f t="shared" si="40"/>
        <v>10824.72</v>
      </c>
      <c r="I2570" s="10"/>
      <c r="J2570" s="10"/>
      <c r="K2570" s="10"/>
      <c r="L2570" s="4" t="s">
        <v>52</v>
      </c>
      <c r="M2570" s="4">
        <v>2565</v>
      </c>
    </row>
    <row r="2571" spans="1:13" x14ac:dyDescent="0.25">
      <c r="A2571" s="4" t="s">
        <v>2207</v>
      </c>
      <c r="B2571" s="4" t="s">
        <v>2213</v>
      </c>
      <c r="C2571" s="9" t="s">
        <v>50</v>
      </c>
      <c r="D2571" s="10">
        <v>7</v>
      </c>
      <c r="E2571" s="11" t="s">
        <v>51</v>
      </c>
      <c r="F2571" s="10">
        <v>877.68</v>
      </c>
      <c r="G2571" s="10">
        <v>0</v>
      </c>
      <c r="H2571" s="10">
        <f t="shared" si="40"/>
        <v>877.68</v>
      </c>
      <c r="I2571" s="10"/>
      <c r="J2571" s="10"/>
      <c r="K2571" s="10"/>
      <c r="L2571" s="4" t="s">
        <v>52</v>
      </c>
      <c r="M2571" s="4">
        <v>2566</v>
      </c>
    </row>
    <row r="2572" spans="1:13" x14ac:dyDescent="0.25">
      <c r="A2572" s="4" t="s">
        <v>2207</v>
      </c>
      <c r="B2572" s="4" t="s">
        <v>2214</v>
      </c>
      <c r="C2572" s="9" t="s">
        <v>50</v>
      </c>
      <c r="D2572" s="10">
        <v>7</v>
      </c>
      <c r="E2572" s="11" t="s">
        <v>51</v>
      </c>
      <c r="F2572" s="10">
        <v>877.68</v>
      </c>
      <c r="G2572" s="10">
        <v>0</v>
      </c>
      <c r="H2572" s="10">
        <f t="shared" si="40"/>
        <v>877.68</v>
      </c>
      <c r="I2572" s="10"/>
      <c r="J2572" s="10"/>
      <c r="K2572" s="10"/>
      <c r="L2572" s="4" t="s">
        <v>52</v>
      </c>
      <c r="M2572" s="4">
        <v>2567</v>
      </c>
    </row>
    <row r="2573" spans="1:13" x14ac:dyDescent="0.25">
      <c r="A2573" s="4" t="s">
        <v>2207</v>
      </c>
      <c r="B2573" s="4" t="s">
        <v>2215</v>
      </c>
      <c r="C2573" s="4" t="s">
        <v>65</v>
      </c>
      <c r="D2573" s="10"/>
      <c r="E2573" s="11" t="s">
        <v>51</v>
      </c>
      <c r="F2573" s="10"/>
      <c r="G2573" s="10">
        <v>0</v>
      </c>
      <c r="H2573" s="10">
        <f t="shared" si="40"/>
        <v>0</v>
      </c>
      <c r="I2573" s="10"/>
      <c r="J2573" s="10"/>
      <c r="K2573" s="10"/>
      <c r="L2573" s="4" t="s">
        <v>69</v>
      </c>
      <c r="M2573" s="4">
        <v>2568</v>
      </c>
    </row>
    <row r="2574" spans="1:13" x14ac:dyDescent="0.25">
      <c r="A2574" s="4" t="s">
        <v>2207</v>
      </c>
      <c r="B2574" s="4" t="s">
        <v>2216</v>
      </c>
      <c r="C2574" s="9" t="s">
        <v>50</v>
      </c>
      <c r="D2574" s="10">
        <v>48</v>
      </c>
      <c r="E2574" s="11" t="s">
        <v>51</v>
      </c>
      <c r="F2574" s="10"/>
      <c r="G2574" s="10">
        <v>0</v>
      </c>
      <c r="H2574" s="10">
        <f t="shared" si="40"/>
        <v>0</v>
      </c>
      <c r="I2574" s="10"/>
      <c r="J2574" s="10"/>
      <c r="K2574" s="10"/>
      <c r="L2574" s="4" t="s">
        <v>52</v>
      </c>
      <c r="M2574" s="4">
        <v>2569</v>
      </c>
    </row>
    <row r="2575" spans="1:13" x14ac:dyDescent="0.25">
      <c r="A2575" s="4" t="s">
        <v>2217</v>
      </c>
      <c r="B2575" s="4" t="s">
        <v>2218</v>
      </c>
      <c r="C2575" s="9" t="s">
        <v>50</v>
      </c>
      <c r="D2575" s="10">
        <v>24</v>
      </c>
      <c r="E2575" s="11" t="s">
        <v>51</v>
      </c>
      <c r="F2575" s="10">
        <v>2280</v>
      </c>
      <c r="G2575" s="10">
        <v>0</v>
      </c>
      <c r="H2575" s="10">
        <f t="shared" si="40"/>
        <v>2280</v>
      </c>
      <c r="I2575" s="10"/>
      <c r="J2575" s="10"/>
      <c r="K2575" s="10"/>
      <c r="L2575" s="4" t="s">
        <v>52</v>
      </c>
      <c r="M2575" s="4">
        <v>2570</v>
      </c>
    </row>
    <row r="2576" spans="1:13" x14ac:dyDescent="0.25">
      <c r="A2576" s="4" t="s">
        <v>2217</v>
      </c>
      <c r="B2576" s="4" t="s">
        <v>2219</v>
      </c>
      <c r="C2576" s="9" t="s">
        <v>50</v>
      </c>
      <c r="D2576" s="10">
        <v>112</v>
      </c>
      <c r="E2576" s="11" t="s">
        <v>51</v>
      </c>
      <c r="F2576" s="10">
        <v>2520</v>
      </c>
      <c r="G2576" s="10">
        <v>0</v>
      </c>
      <c r="H2576" s="10">
        <f t="shared" si="40"/>
        <v>2520</v>
      </c>
      <c r="I2576" s="10"/>
      <c r="J2576" s="10"/>
      <c r="K2576" s="10"/>
      <c r="L2576" s="4" t="s">
        <v>52</v>
      </c>
      <c r="M2576" s="4">
        <v>2571</v>
      </c>
    </row>
    <row r="2577" spans="1:13" x14ac:dyDescent="0.25">
      <c r="A2577" s="4" t="s">
        <v>2220</v>
      </c>
      <c r="B2577" s="4" t="s">
        <v>136</v>
      </c>
      <c r="C2577" s="9" t="s">
        <v>50</v>
      </c>
      <c r="D2577" s="10">
        <v>13</v>
      </c>
      <c r="E2577" s="11" t="s">
        <v>51</v>
      </c>
      <c r="F2577" s="10">
        <v>1100</v>
      </c>
      <c r="G2577" s="10">
        <v>0</v>
      </c>
      <c r="H2577" s="10">
        <f t="shared" si="40"/>
        <v>1100</v>
      </c>
      <c r="I2577" s="10"/>
      <c r="J2577" s="10"/>
      <c r="K2577" s="10"/>
      <c r="L2577" s="4" t="s">
        <v>52</v>
      </c>
      <c r="M2577" s="4">
        <v>2572</v>
      </c>
    </row>
    <row r="2578" spans="1:13" x14ac:dyDescent="0.25">
      <c r="A2578" s="4" t="s">
        <v>2220</v>
      </c>
      <c r="B2578" s="4" t="s">
        <v>82</v>
      </c>
      <c r="C2578" s="9" t="s">
        <v>50</v>
      </c>
      <c r="D2578" s="10">
        <v>75</v>
      </c>
      <c r="E2578" s="11" t="s">
        <v>51</v>
      </c>
      <c r="F2578" s="10">
        <v>2500</v>
      </c>
      <c r="G2578" s="10">
        <v>0</v>
      </c>
      <c r="H2578" s="10">
        <f t="shared" si="40"/>
        <v>2500</v>
      </c>
      <c r="I2578" s="10"/>
      <c r="J2578" s="10"/>
      <c r="K2578" s="10"/>
      <c r="L2578" s="4" t="s">
        <v>52</v>
      </c>
      <c r="M2578" s="4">
        <v>2573</v>
      </c>
    </row>
    <row r="2579" spans="1:13" x14ac:dyDescent="0.25">
      <c r="A2579" s="4" t="s">
        <v>2220</v>
      </c>
      <c r="B2579" s="4" t="s">
        <v>2221</v>
      </c>
      <c r="C2579" s="9" t="s">
        <v>50</v>
      </c>
      <c r="D2579" s="10">
        <v>21</v>
      </c>
      <c r="E2579" s="11" t="s">
        <v>51</v>
      </c>
      <c r="F2579" s="10">
        <v>1700</v>
      </c>
      <c r="G2579" s="10">
        <v>0</v>
      </c>
      <c r="H2579" s="10">
        <f t="shared" si="40"/>
        <v>1700</v>
      </c>
      <c r="I2579" s="10"/>
      <c r="J2579" s="10"/>
      <c r="K2579" s="10"/>
      <c r="L2579" s="4" t="s">
        <v>52</v>
      </c>
      <c r="M2579" s="4">
        <v>2574</v>
      </c>
    </row>
    <row r="2580" spans="1:13" x14ac:dyDescent="0.25">
      <c r="A2580" s="4" t="s">
        <v>2220</v>
      </c>
      <c r="B2580" s="4" t="s">
        <v>2222</v>
      </c>
      <c r="C2580" s="9" t="s">
        <v>50</v>
      </c>
      <c r="D2580" s="10">
        <v>13</v>
      </c>
      <c r="E2580" s="11" t="s">
        <v>51</v>
      </c>
      <c r="F2580" s="10">
        <v>1000</v>
      </c>
      <c r="G2580" s="10">
        <v>0</v>
      </c>
      <c r="H2580" s="10">
        <f t="shared" si="40"/>
        <v>1000</v>
      </c>
      <c r="I2580" s="10"/>
      <c r="J2580" s="10"/>
      <c r="K2580" s="10"/>
      <c r="L2580" s="4" t="s">
        <v>52</v>
      </c>
      <c r="M2580" s="4">
        <v>2575</v>
      </c>
    </row>
    <row r="2581" spans="1:13" x14ac:dyDescent="0.25">
      <c r="A2581" s="4" t="s">
        <v>2220</v>
      </c>
      <c r="B2581" s="4" t="s">
        <v>2223</v>
      </c>
      <c r="C2581" s="9" t="s">
        <v>50</v>
      </c>
      <c r="D2581" s="10">
        <v>14.5</v>
      </c>
      <c r="E2581" s="11" t="s">
        <v>51</v>
      </c>
      <c r="F2581" s="10">
        <v>1200</v>
      </c>
      <c r="G2581" s="10">
        <v>0</v>
      </c>
      <c r="H2581" s="10">
        <f t="shared" si="40"/>
        <v>1200</v>
      </c>
      <c r="I2581" s="10"/>
      <c r="J2581" s="10"/>
      <c r="K2581" s="10"/>
      <c r="L2581" s="4" t="s">
        <v>52</v>
      </c>
      <c r="M2581" s="4">
        <v>2576</v>
      </c>
    </row>
    <row r="2582" spans="1:13" x14ac:dyDescent="0.25">
      <c r="A2582" s="4" t="s">
        <v>2220</v>
      </c>
      <c r="B2582" s="4" t="s">
        <v>2224</v>
      </c>
      <c r="C2582" s="9" t="s">
        <v>50</v>
      </c>
      <c r="D2582" s="10">
        <v>12</v>
      </c>
      <c r="E2582" s="11" t="s">
        <v>51</v>
      </c>
      <c r="F2582" s="10"/>
      <c r="G2582" s="10">
        <v>0</v>
      </c>
      <c r="H2582" s="10">
        <f t="shared" si="40"/>
        <v>0</v>
      </c>
      <c r="I2582" s="10"/>
      <c r="J2582" s="10"/>
      <c r="K2582" s="10"/>
      <c r="L2582" s="4" t="s">
        <v>52</v>
      </c>
      <c r="M2582" s="4">
        <v>2577</v>
      </c>
    </row>
    <row r="2583" spans="1:13" x14ac:dyDescent="0.25">
      <c r="A2583" s="4" t="s">
        <v>2225</v>
      </c>
      <c r="B2583" s="4" t="s">
        <v>136</v>
      </c>
      <c r="C2583" s="9" t="s">
        <v>50</v>
      </c>
      <c r="D2583" s="10">
        <v>2.5</v>
      </c>
      <c r="E2583" s="11" t="s">
        <v>51</v>
      </c>
      <c r="F2583" s="10">
        <v>250</v>
      </c>
      <c r="G2583" s="10">
        <v>0</v>
      </c>
      <c r="H2583" s="10">
        <f t="shared" si="40"/>
        <v>250</v>
      </c>
      <c r="I2583" s="10"/>
      <c r="J2583" s="10"/>
      <c r="K2583" s="10"/>
      <c r="L2583" s="4" t="s">
        <v>52</v>
      </c>
      <c r="M2583" s="4">
        <v>2578</v>
      </c>
    </row>
    <row r="2584" spans="1:13" x14ac:dyDescent="0.25">
      <c r="A2584" s="4" t="s">
        <v>2225</v>
      </c>
      <c r="B2584" s="4" t="s">
        <v>82</v>
      </c>
      <c r="C2584" s="9" t="s">
        <v>50</v>
      </c>
      <c r="D2584" s="10">
        <v>9.5</v>
      </c>
      <c r="E2584" s="11" t="s">
        <v>51</v>
      </c>
      <c r="F2584" s="10">
        <v>300</v>
      </c>
      <c r="G2584" s="10">
        <v>0</v>
      </c>
      <c r="H2584" s="10">
        <f t="shared" si="40"/>
        <v>300</v>
      </c>
      <c r="I2584" s="10"/>
      <c r="J2584" s="10"/>
      <c r="K2584" s="10"/>
      <c r="L2584" s="4" t="s">
        <v>52</v>
      </c>
      <c r="M2584" s="4">
        <v>2579</v>
      </c>
    </row>
    <row r="2585" spans="1:13" x14ac:dyDescent="0.25">
      <c r="A2585" s="4" t="s">
        <v>2225</v>
      </c>
      <c r="B2585" s="4" t="s">
        <v>2221</v>
      </c>
      <c r="C2585" s="9" t="s">
        <v>50</v>
      </c>
      <c r="D2585" s="10">
        <v>2.5</v>
      </c>
      <c r="E2585" s="11" t="s">
        <v>51</v>
      </c>
      <c r="F2585" s="10">
        <v>200</v>
      </c>
      <c r="G2585" s="10">
        <v>0</v>
      </c>
      <c r="H2585" s="10">
        <f t="shared" si="40"/>
        <v>200</v>
      </c>
      <c r="I2585" s="10"/>
      <c r="J2585" s="10"/>
      <c r="K2585" s="10"/>
      <c r="L2585" s="4" t="s">
        <v>52</v>
      </c>
      <c r="M2585" s="4">
        <v>2580</v>
      </c>
    </row>
    <row r="2586" spans="1:13" x14ac:dyDescent="0.25">
      <c r="A2586" s="4" t="s">
        <v>2225</v>
      </c>
      <c r="B2586" s="4" t="s">
        <v>2222</v>
      </c>
      <c r="C2586" s="9" t="s">
        <v>50</v>
      </c>
      <c r="D2586" s="10">
        <v>2.5</v>
      </c>
      <c r="E2586" s="11" t="s">
        <v>51</v>
      </c>
      <c r="F2586" s="10">
        <v>200</v>
      </c>
      <c r="G2586" s="10">
        <v>0</v>
      </c>
      <c r="H2586" s="10">
        <f t="shared" si="40"/>
        <v>200</v>
      </c>
      <c r="I2586" s="10"/>
      <c r="J2586" s="10"/>
      <c r="K2586" s="10"/>
      <c r="L2586" s="4" t="s">
        <v>52</v>
      </c>
      <c r="M2586" s="4">
        <v>2581</v>
      </c>
    </row>
    <row r="2587" spans="1:13" x14ac:dyDescent="0.25">
      <c r="A2587" s="4" t="s">
        <v>2225</v>
      </c>
      <c r="B2587" s="4" t="s">
        <v>2223</v>
      </c>
      <c r="C2587" s="9" t="s">
        <v>50</v>
      </c>
      <c r="D2587" s="10">
        <v>2.5</v>
      </c>
      <c r="E2587" s="11" t="s">
        <v>51</v>
      </c>
      <c r="F2587" s="10">
        <v>250</v>
      </c>
      <c r="G2587" s="10">
        <v>0</v>
      </c>
      <c r="H2587" s="10">
        <f t="shared" si="40"/>
        <v>250</v>
      </c>
      <c r="I2587" s="10"/>
      <c r="J2587" s="10"/>
      <c r="K2587" s="10"/>
      <c r="L2587" s="4" t="s">
        <v>52</v>
      </c>
      <c r="M2587" s="4">
        <v>2582</v>
      </c>
    </row>
    <row r="2588" spans="1:13" x14ac:dyDescent="0.25">
      <c r="A2588" s="4" t="s">
        <v>2225</v>
      </c>
      <c r="B2588" s="4" t="s">
        <v>2224</v>
      </c>
      <c r="C2588" s="9" t="s">
        <v>50</v>
      </c>
      <c r="D2588" s="10">
        <v>15</v>
      </c>
      <c r="E2588" s="11" t="s">
        <v>51</v>
      </c>
      <c r="F2588" s="10"/>
      <c r="G2588" s="10">
        <v>0</v>
      </c>
      <c r="H2588" s="10">
        <f t="shared" si="40"/>
        <v>0</v>
      </c>
      <c r="I2588" s="10"/>
      <c r="J2588" s="10"/>
      <c r="K2588" s="10"/>
      <c r="L2588" s="4" t="s">
        <v>52</v>
      </c>
      <c r="M2588" s="4">
        <v>2583</v>
      </c>
    </row>
    <row r="2589" spans="1:13" x14ac:dyDescent="0.25">
      <c r="A2589" s="4" t="s">
        <v>2226</v>
      </c>
      <c r="B2589" s="4" t="s">
        <v>1170</v>
      </c>
      <c r="C2589" s="9" t="s">
        <v>50</v>
      </c>
      <c r="D2589" s="10">
        <v>18.5</v>
      </c>
      <c r="E2589" s="11" t="s">
        <v>51</v>
      </c>
      <c r="F2589" s="10">
        <v>1425</v>
      </c>
      <c r="G2589" s="10">
        <v>0</v>
      </c>
      <c r="H2589" s="10">
        <f t="shared" si="40"/>
        <v>1425</v>
      </c>
      <c r="I2589" s="10"/>
      <c r="J2589" s="10"/>
      <c r="K2589" s="10"/>
      <c r="L2589" s="4" t="s">
        <v>52</v>
      </c>
      <c r="M2589" s="4">
        <v>2584</v>
      </c>
    </row>
    <row r="2590" spans="1:13" x14ac:dyDescent="0.25">
      <c r="A2590" s="4" t="s">
        <v>2227</v>
      </c>
      <c r="B2590" s="4" t="s">
        <v>1170</v>
      </c>
      <c r="C2590" s="9" t="s">
        <v>50</v>
      </c>
      <c r="D2590" s="10">
        <v>83.5</v>
      </c>
      <c r="E2590" s="11" t="s">
        <v>51</v>
      </c>
      <c r="F2590" s="10">
        <v>400</v>
      </c>
      <c r="G2590" s="10">
        <v>0</v>
      </c>
      <c r="H2590" s="10">
        <f t="shared" si="40"/>
        <v>400</v>
      </c>
      <c r="I2590" s="10"/>
      <c r="J2590" s="10"/>
      <c r="K2590" s="10"/>
      <c r="L2590" s="4" t="s">
        <v>52</v>
      </c>
      <c r="M2590" s="4">
        <v>2585</v>
      </c>
    </row>
    <row r="2591" spans="1:13" x14ac:dyDescent="0.25">
      <c r="A2591" s="4" t="s">
        <v>2228</v>
      </c>
      <c r="B2591" s="4" t="s">
        <v>2229</v>
      </c>
      <c r="C2591" s="4" t="s">
        <v>65</v>
      </c>
      <c r="D2591" s="10">
        <v>21</v>
      </c>
      <c r="E2591" s="12" t="s">
        <v>66</v>
      </c>
      <c r="F2591" s="10">
        <v>2500</v>
      </c>
      <c r="G2591" s="10">
        <v>0</v>
      </c>
      <c r="H2591" s="10">
        <f t="shared" si="40"/>
        <v>2500</v>
      </c>
      <c r="I2591" s="10">
        <v>119.04761904761909</v>
      </c>
      <c r="J2591" s="10">
        <v>119.04761904761909</v>
      </c>
      <c r="K2591" s="10">
        <v>119.04761904761909</v>
      </c>
      <c r="L2591" s="4"/>
      <c r="M2591" s="4">
        <v>2586</v>
      </c>
    </row>
    <row r="2592" spans="1:13" x14ac:dyDescent="0.25">
      <c r="A2592" s="4" t="s">
        <v>2228</v>
      </c>
      <c r="B2592" s="4" t="s">
        <v>2230</v>
      </c>
      <c r="C2592" s="4" t="s">
        <v>68</v>
      </c>
      <c r="D2592" s="10">
        <v>36</v>
      </c>
      <c r="E2592" s="11" t="s">
        <v>51</v>
      </c>
      <c r="F2592" s="10">
        <v>2750</v>
      </c>
      <c r="G2592" s="10">
        <v>0</v>
      </c>
      <c r="H2592" s="10">
        <f t="shared" si="40"/>
        <v>2750</v>
      </c>
      <c r="I2592" s="10"/>
      <c r="J2592" s="10"/>
      <c r="K2592" s="10"/>
      <c r="L2592" s="4" t="s">
        <v>69</v>
      </c>
      <c r="M2592" s="4">
        <v>2587</v>
      </c>
    </row>
    <row r="2593" spans="1:13" x14ac:dyDescent="0.25">
      <c r="A2593" s="4" t="s">
        <v>2228</v>
      </c>
      <c r="B2593" s="4" t="s">
        <v>2231</v>
      </c>
      <c r="C2593" s="4" t="s">
        <v>65</v>
      </c>
      <c r="D2593" s="10">
        <v>143</v>
      </c>
      <c r="E2593" s="12" t="s">
        <v>66</v>
      </c>
      <c r="F2593" s="10">
        <v>2700</v>
      </c>
      <c r="G2593" s="10">
        <v>0</v>
      </c>
      <c r="H2593" s="10">
        <f t="shared" si="40"/>
        <v>2700</v>
      </c>
      <c r="I2593" s="10">
        <v>117.39130434782609</v>
      </c>
      <c r="J2593" s="10">
        <v>117.39130434782609</v>
      </c>
      <c r="K2593" s="10">
        <v>117.39130434782609</v>
      </c>
      <c r="L2593" s="4"/>
      <c r="M2593" s="4">
        <v>2588</v>
      </c>
    </row>
    <row r="2594" spans="1:13" x14ac:dyDescent="0.25">
      <c r="A2594" s="4" t="s">
        <v>2232</v>
      </c>
      <c r="B2594" s="4" t="s">
        <v>1442</v>
      </c>
      <c r="C2594" s="9" t="s">
        <v>50</v>
      </c>
      <c r="D2594" s="10">
        <v>40</v>
      </c>
      <c r="E2594" s="11" t="s">
        <v>51</v>
      </c>
      <c r="F2594" s="10">
        <v>4200</v>
      </c>
      <c r="G2594" s="10">
        <v>0</v>
      </c>
      <c r="H2594" s="10">
        <f t="shared" si="40"/>
        <v>4200</v>
      </c>
      <c r="I2594" s="10"/>
      <c r="J2594" s="10"/>
      <c r="K2594" s="10"/>
      <c r="L2594" s="4" t="s">
        <v>52</v>
      </c>
      <c r="M2594" s="4">
        <v>2589</v>
      </c>
    </row>
    <row r="2595" spans="1:13" x14ac:dyDescent="0.25">
      <c r="A2595" s="4" t="s">
        <v>2232</v>
      </c>
      <c r="B2595" s="4" t="s">
        <v>2233</v>
      </c>
      <c r="C2595" s="9" t="s">
        <v>50</v>
      </c>
      <c r="D2595" s="10">
        <v>40</v>
      </c>
      <c r="E2595" s="11" t="s">
        <v>51</v>
      </c>
      <c r="F2595" s="10">
        <v>2450</v>
      </c>
      <c r="G2595" s="10">
        <v>0</v>
      </c>
      <c r="H2595" s="10">
        <f t="shared" si="40"/>
        <v>2450</v>
      </c>
      <c r="I2595" s="10"/>
      <c r="J2595" s="10"/>
      <c r="K2595" s="10"/>
      <c r="L2595" s="4" t="s">
        <v>52</v>
      </c>
      <c r="M2595" s="4">
        <v>2590</v>
      </c>
    </row>
    <row r="2596" spans="1:13" x14ac:dyDescent="0.25">
      <c r="A2596" s="4" t="s">
        <v>2232</v>
      </c>
      <c r="B2596" s="4" t="s">
        <v>421</v>
      </c>
      <c r="C2596" s="9" t="s">
        <v>50</v>
      </c>
      <c r="D2596" s="10">
        <v>56</v>
      </c>
      <c r="E2596" s="11" t="s">
        <v>51</v>
      </c>
      <c r="F2596" s="10">
        <v>3800</v>
      </c>
      <c r="G2596" s="10">
        <v>0</v>
      </c>
      <c r="H2596" s="10">
        <f t="shared" si="40"/>
        <v>3800</v>
      </c>
      <c r="I2596" s="10"/>
      <c r="J2596" s="10"/>
      <c r="K2596" s="10"/>
      <c r="L2596" s="4" t="s">
        <v>52</v>
      </c>
      <c r="M2596" s="4">
        <v>2591</v>
      </c>
    </row>
    <row r="2597" spans="1:13" x14ac:dyDescent="0.25">
      <c r="A2597" s="4" t="s">
        <v>2234</v>
      </c>
      <c r="B2597" s="4" t="s">
        <v>470</v>
      </c>
      <c r="C2597" s="4" t="s">
        <v>68</v>
      </c>
      <c r="D2597" s="10">
        <v>342</v>
      </c>
      <c r="E2597" s="11" t="s">
        <v>51</v>
      </c>
      <c r="F2597" s="10">
        <v>1760</v>
      </c>
      <c r="G2597" s="10">
        <v>0</v>
      </c>
      <c r="H2597" s="10">
        <f t="shared" si="40"/>
        <v>1760</v>
      </c>
      <c r="I2597" s="10"/>
      <c r="J2597" s="10"/>
      <c r="K2597" s="10"/>
      <c r="L2597" s="4" t="s">
        <v>69</v>
      </c>
      <c r="M2597" s="4">
        <v>2592</v>
      </c>
    </row>
    <row r="2598" spans="1:13" x14ac:dyDescent="0.25">
      <c r="A2598" s="4" t="s">
        <v>2235</v>
      </c>
      <c r="B2598" s="4" t="s">
        <v>2236</v>
      </c>
      <c r="C2598" s="9" t="s">
        <v>50</v>
      </c>
      <c r="D2598" s="10">
        <v>40</v>
      </c>
      <c r="E2598" s="11" t="s">
        <v>51</v>
      </c>
      <c r="F2598" s="10">
        <v>3800</v>
      </c>
      <c r="G2598" s="10">
        <v>0</v>
      </c>
      <c r="H2598" s="10">
        <f t="shared" si="40"/>
        <v>3800</v>
      </c>
      <c r="I2598" s="10"/>
      <c r="J2598" s="10"/>
      <c r="K2598" s="10"/>
      <c r="L2598" s="4" t="s">
        <v>52</v>
      </c>
      <c r="M2598" s="4">
        <v>2593</v>
      </c>
    </row>
    <row r="2599" spans="1:13" x14ac:dyDescent="0.25">
      <c r="A2599" s="4" t="s">
        <v>2235</v>
      </c>
      <c r="B2599" s="4" t="s">
        <v>2237</v>
      </c>
      <c r="C2599" s="9" t="s">
        <v>50</v>
      </c>
      <c r="D2599" s="10">
        <v>91</v>
      </c>
      <c r="E2599" s="11" t="s">
        <v>51</v>
      </c>
      <c r="F2599" s="10">
        <v>8500</v>
      </c>
      <c r="G2599" s="10">
        <v>0</v>
      </c>
      <c r="H2599" s="10">
        <f t="shared" si="40"/>
        <v>8500</v>
      </c>
      <c r="I2599" s="10"/>
      <c r="J2599" s="10"/>
      <c r="K2599" s="10"/>
      <c r="L2599" s="4" t="s">
        <v>52</v>
      </c>
      <c r="M2599" s="4">
        <v>2594</v>
      </c>
    </row>
    <row r="2600" spans="1:13" x14ac:dyDescent="0.25">
      <c r="A2600" s="4" t="s">
        <v>2235</v>
      </c>
      <c r="B2600" s="4" t="s">
        <v>421</v>
      </c>
      <c r="C2600" s="9" t="s">
        <v>50</v>
      </c>
      <c r="D2600" s="10">
        <v>66</v>
      </c>
      <c r="E2600" s="11" t="s">
        <v>51</v>
      </c>
      <c r="F2600" s="10">
        <v>6270</v>
      </c>
      <c r="G2600" s="10">
        <v>0</v>
      </c>
      <c r="H2600" s="10">
        <f t="shared" si="40"/>
        <v>6270</v>
      </c>
      <c r="I2600" s="10"/>
      <c r="J2600" s="10"/>
      <c r="K2600" s="10"/>
      <c r="L2600" s="4" t="s">
        <v>52</v>
      </c>
      <c r="M2600" s="4">
        <v>2595</v>
      </c>
    </row>
    <row r="2601" spans="1:13" x14ac:dyDescent="0.25">
      <c r="A2601" s="4" t="s">
        <v>2235</v>
      </c>
      <c r="B2601" s="4" t="s">
        <v>2238</v>
      </c>
      <c r="C2601" s="9" t="s">
        <v>50</v>
      </c>
      <c r="D2601" s="10">
        <v>15</v>
      </c>
      <c r="E2601" s="11" t="s">
        <v>51</v>
      </c>
      <c r="F2601" s="10">
        <v>1550</v>
      </c>
      <c r="G2601" s="10">
        <v>0</v>
      </c>
      <c r="H2601" s="10">
        <f t="shared" si="40"/>
        <v>1550</v>
      </c>
      <c r="I2601" s="10"/>
      <c r="J2601" s="10"/>
      <c r="K2601" s="10"/>
      <c r="L2601" s="4" t="s">
        <v>52</v>
      </c>
      <c r="M2601" s="4">
        <v>2596</v>
      </c>
    </row>
    <row r="2602" spans="1:13" x14ac:dyDescent="0.25">
      <c r="A2602" s="4" t="s">
        <v>2235</v>
      </c>
      <c r="B2602" s="4" t="s">
        <v>2239</v>
      </c>
      <c r="C2602" s="9" t="s">
        <v>50</v>
      </c>
      <c r="D2602" s="10">
        <v>70</v>
      </c>
      <c r="E2602" s="11" t="s">
        <v>51</v>
      </c>
      <c r="F2602" s="10">
        <v>4450</v>
      </c>
      <c r="G2602" s="10">
        <v>0</v>
      </c>
      <c r="H2602" s="10">
        <f t="shared" si="40"/>
        <v>4450</v>
      </c>
      <c r="I2602" s="10"/>
      <c r="J2602" s="10"/>
      <c r="K2602" s="10"/>
      <c r="L2602" s="4" t="s">
        <v>52</v>
      </c>
      <c r="M2602" s="4">
        <v>2597</v>
      </c>
    </row>
    <row r="2603" spans="1:13" x14ac:dyDescent="0.25">
      <c r="A2603" s="4" t="s">
        <v>2235</v>
      </c>
      <c r="B2603" s="4" t="s">
        <v>2240</v>
      </c>
      <c r="C2603" s="9" t="s">
        <v>50</v>
      </c>
      <c r="D2603" s="10">
        <v>87</v>
      </c>
      <c r="E2603" s="11" t="s">
        <v>51</v>
      </c>
      <c r="F2603" s="10">
        <v>3800</v>
      </c>
      <c r="G2603" s="10">
        <v>0</v>
      </c>
      <c r="H2603" s="10">
        <f t="shared" si="40"/>
        <v>3800</v>
      </c>
      <c r="I2603" s="10"/>
      <c r="J2603" s="10"/>
      <c r="K2603" s="10"/>
      <c r="L2603" s="4" t="s">
        <v>52</v>
      </c>
      <c r="M2603" s="4">
        <v>2598</v>
      </c>
    </row>
    <row r="2604" spans="1:13" x14ac:dyDescent="0.25">
      <c r="A2604" s="4" t="s">
        <v>2241</v>
      </c>
      <c r="B2604" s="4" t="s">
        <v>2188</v>
      </c>
      <c r="C2604" s="9" t="s">
        <v>50</v>
      </c>
      <c r="D2604" s="10">
        <v>23</v>
      </c>
      <c r="E2604" s="11" t="s">
        <v>51</v>
      </c>
      <c r="F2604" s="10">
        <v>2450</v>
      </c>
      <c r="G2604" s="10">
        <v>0</v>
      </c>
      <c r="H2604" s="10">
        <f t="shared" si="40"/>
        <v>2450</v>
      </c>
      <c r="I2604" s="10"/>
      <c r="J2604" s="10"/>
      <c r="K2604" s="10"/>
      <c r="L2604" s="4" t="s">
        <v>52</v>
      </c>
      <c r="M2604" s="4">
        <v>2599</v>
      </c>
    </row>
    <row r="2605" spans="1:13" x14ac:dyDescent="0.25">
      <c r="A2605" s="4" t="s">
        <v>2241</v>
      </c>
      <c r="B2605" s="4" t="s">
        <v>2242</v>
      </c>
      <c r="C2605" s="9" t="s">
        <v>50</v>
      </c>
      <c r="D2605" s="10">
        <v>54</v>
      </c>
      <c r="E2605" s="11" t="s">
        <v>51</v>
      </c>
      <c r="F2605" s="10">
        <v>450</v>
      </c>
      <c r="G2605" s="10">
        <v>0</v>
      </c>
      <c r="H2605" s="10">
        <f t="shared" si="40"/>
        <v>450</v>
      </c>
      <c r="I2605" s="10"/>
      <c r="J2605" s="10"/>
      <c r="K2605" s="10"/>
      <c r="L2605" s="4" t="s">
        <v>52</v>
      </c>
      <c r="M2605" s="4">
        <v>2600</v>
      </c>
    </row>
    <row r="2606" spans="1:13" x14ac:dyDescent="0.25">
      <c r="A2606" s="4" t="s">
        <v>2243</v>
      </c>
      <c r="B2606" s="4" t="s">
        <v>2244</v>
      </c>
      <c r="C2606" s="9" t="s">
        <v>50</v>
      </c>
      <c r="D2606" s="10">
        <v>87</v>
      </c>
      <c r="E2606" s="11" t="s">
        <v>51</v>
      </c>
      <c r="F2606" s="10">
        <v>4500</v>
      </c>
      <c r="G2606" s="10">
        <v>0</v>
      </c>
      <c r="H2606" s="10">
        <f t="shared" si="40"/>
        <v>4500</v>
      </c>
      <c r="I2606" s="10"/>
      <c r="J2606" s="10"/>
      <c r="K2606" s="10"/>
      <c r="L2606" s="4" t="s">
        <v>52</v>
      </c>
      <c r="M2606" s="4">
        <v>2601</v>
      </c>
    </row>
    <row r="2607" spans="1:13" x14ac:dyDescent="0.25">
      <c r="A2607" s="4" t="s">
        <v>2245</v>
      </c>
      <c r="B2607" s="4" t="s">
        <v>2246</v>
      </c>
      <c r="C2607" s="4" t="s">
        <v>65</v>
      </c>
      <c r="D2607" s="10">
        <v>76</v>
      </c>
      <c r="E2607" s="12" t="s">
        <v>66</v>
      </c>
      <c r="F2607" s="10">
        <v>4750</v>
      </c>
      <c r="G2607" s="10">
        <v>0</v>
      </c>
      <c r="H2607" s="10">
        <f t="shared" si="40"/>
        <v>4750</v>
      </c>
      <c r="I2607" s="10">
        <v>128.37837837837839</v>
      </c>
      <c r="J2607" s="10">
        <v>128.37837837837839</v>
      </c>
      <c r="K2607" s="10">
        <v>128.37837837837839</v>
      </c>
      <c r="L2607" s="4"/>
      <c r="M2607" s="4">
        <v>2602</v>
      </c>
    </row>
    <row r="2608" spans="1:13" x14ac:dyDescent="0.25">
      <c r="A2608" s="4" t="s">
        <v>2247</v>
      </c>
      <c r="B2608" s="4" t="s">
        <v>2248</v>
      </c>
      <c r="C2608" s="4" t="s">
        <v>65</v>
      </c>
      <c r="D2608" s="10">
        <v>105</v>
      </c>
      <c r="E2608" s="12" t="s">
        <v>66</v>
      </c>
      <c r="F2608" s="10">
        <v>4850</v>
      </c>
      <c r="G2608" s="10">
        <v>0</v>
      </c>
      <c r="H2608" s="10">
        <f t="shared" si="40"/>
        <v>4850</v>
      </c>
      <c r="I2608" s="10">
        <v>124.35897435897439</v>
      </c>
      <c r="J2608" s="10">
        <v>124.35897435897439</v>
      </c>
      <c r="K2608" s="10">
        <v>124.35897435897439</v>
      </c>
      <c r="L2608" s="4"/>
      <c r="M2608" s="4">
        <v>2603</v>
      </c>
    </row>
    <row r="2609" spans="1:13" x14ac:dyDescent="0.25">
      <c r="A2609" s="4" t="s">
        <v>2249</v>
      </c>
      <c r="B2609" s="4" t="s">
        <v>2250</v>
      </c>
      <c r="C2609" s="4" t="s">
        <v>68</v>
      </c>
      <c r="D2609" s="10">
        <v>133</v>
      </c>
      <c r="E2609" s="11" t="s">
        <v>51</v>
      </c>
      <c r="F2609" s="10">
        <v>6270</v>
      </c>
      <c r="G2609" s="10">
        <v>0</v>
      </c>
      <c r="H2609" s="10">
        <f t="shared" si="40"/>
        <v>6270</v>
      </c>
      <c r="I2609" s="10"/>
      <c r="J2609" s="10"/>
      <c r="K2609" s="10"/>
      <c r="L2609" s="4" t="s">
        <v>69</v>
      </c>
      <c r="M2609" s="4">
        <v>2604</v>
      </c>
    </row>
    <row r="2610" spans="1:13" x14ac:dyDescent="0.25">
      <c r="A2610" s="4" t="s">
        <v>2251</v>
      </c>
      <c r="B2610" s="4" t="s">
        <v>2252</v>
      </c>
      <c r="C2610" s="4" t="s">
        <v>65</v>
      </c>
      <c r="D2610" s="10">
        <v>24</v>
      </c>
      <c r="E2610" s="12" t="s">
        <v>66</v>
      </c>
      <c r="F2610" s="10">
        <v>2500</v>
      </c>
      <c r="G2610" s="10">
        <v>0</v>
      </c>
      <c r="H2610" s="10">
        <f t="shared" si="40"/>
        <v>2500</v>
      </c>
      <c r="I2610" s="10">
        <v>104.1666666666667</v>
      </c>
      <c r="J2610" s="10">
        <v>104.1666666666667</v>
      </c>
      <c r="K2610" s="10">
        <v>104.1666666666667</v>
      </c>
      <c r="L2610" s="4"/>
      <c r="M2610" s="4">
        <v>2605</v>
      </c>
    </row>
    <row r="2611" spans="1:13" x14ac:dyDescent="0.25">
      <c r="A2611" s="4" t="s">
        <v>2251</v>
      </c>
      <c r="B2611" s="4" t="s">
        <v>2253</v>
      </c>
      <c r="C2611" s="4" t="s">
        <v>65</v>
      </c>
      <c r="D2611" s="10">
        <v>35</v>
      </c>
      <c r="E2611" s="12" t="s">
        <v>66</v>
      </c>
      <c r="F2611" s="10">
        <v>4000</v>
      </c>
      <c r="G2611" s="10">
        <v>0</v>
      </c>
      <c r="H2611" s="10">
        <f t="shared" si="40"/>
        <v>4000</v>
      </c>
      <c r="I2611" s="10">
        <v>114.28571428571431</v>
      </c>
      <c r="J2611" s="10">
        <v>114.28571428571431</v>
      </c>
      <c r="K2611" s="10">
        <v>114.28571428571431</v>
      </c>
      <c r="L2611" s="4"/>
      <c r="M2611" s="4">
        <v>2606</v>
      </c>
    </row>
    <row r="2612" spans="1:13" x14ac:dyDescent="0.25">
      <c r="A2612" s="4" t="s">
        <v>2251</v>
      </c>
      <c r="B2612" s="4" t="s">
        <v>2254</v>
      </c>
      <c r="C2612" s="4" t="s">
        <v>65</v>
      </c>
      <c r="D2612" s="10">
        <v>40</v>
      </c>
      <c r="E2612" s="12" t="s">
        <v>66</v>
      </c>
      <c r="F2612" s="10">
        <v>850</v>
      </c>
      <c r="G2612" s="10">
        <v>0</v>
      </c>
      <c r="H2612" s="10">
        <f t="shared" si="40"/>
        <v>850</v>
      </c>
      <c r="I2612" s="10">
        <v>106.25</v>
      </c>
      <c r="J2612" s="10">
        <v>106.25</v>
      </c>
      <c r="K2612" s="10">
        <v>106.25</v>
      </c>
      <c r="L2612" s="4"/>
      <c r="M2612" s="4">
        <v>2607</v>
      </c>
    </row>
    <row r="2613" spans="1:13" x14ac:dyDescent="0.25">
      <c r="A2613" s="4" t="s">
        <v>2255</v>
      </c>
      <c r="B2613" s="4" t="s">
        <v>2256</v>
      </c>
      <c r="C2613" s="4" t="s">
        <v>68</v>
      </c>
      <c r="D2613" s="10">
        <v>84</v>
      </c>
      <c r="E2613" s="11" t="s">
        <v>51</v>
      </c>
      <c r="F2613" s="10">
        <v>3360</v>
      </c>
      <c r="G2613" s="10">
        <v>0</v>
      </c>
      <c r="H2613" s="10">
        <f t="shared" si="40"/>
        <v>3360</v>
      </c>
      <c r="I2613" s="10"/>
      <c r="J2613" s="10"/>
      <c r="K2613" s="10"/>
      <c r="L2613" s="4" t="s">
        <v>69</v>
      </c>
      <c r="M2613" s="4">
        <v>2608</v>
      </c>
    </row>
    <row r="2614" spans="1:13" x14ac:dyDescent="0.25">
      <c r="A2614" s="4" t="s">
        <v>2257</v>
      </c>
      <c r="B2614" s="4" t="s">
        <v>537</v>
      </c>
      <c r="C2614" s="4" t="s">
        <v>68</v>
      </c>
      <c r="D2614" s="10">
        <v>4</v>
      </c>
      <c r="E2614" s="12" t="s">
        <v>66</v>
      </c>
      <c r="F2614" s="10">
        <v>420</v>
      </c>
      <c r="G2614" s="10">
        <v>0</v>
      </c>
      <c r="H2614" s="10">
        <f t="shared" si="40"/>
        <v>420</v>
      </c>
      <c r="I2614" s="10">
        <v>105</v>
      </c>
      <c r="J2614" s="10">
        <v>105</v>
      </c>
      <c r="K2614" s="10">
        <v>105</v>
      </c>
      <c r="L2614" s="4"/>
      <c r="M2614" s="4">
        <v>2609</v>
      </c>
    </row>
    <row r="2615" spans="1:13" x14ac:dyDescent="0.25">
      <c r="A2615" s="4" t="s">
        <v>2257</v>
      </c>
      <c r="B2615" s="4" t="s">
        <v>2258</v>
      </c>
      <c r="C2615" s="4" t="s">
        <v>68</v>
      </c>
      <c r="D2615" s="10">
        <v>22</v>
      </c>
      <c r="E2615" s="11" t="s">
        <v>51</v>
      </c>
      <c r="F2615" s="10">
        <v>2310</v>
      </c>
      <c r="G2615" s="10">
        <v>0</v>
      </c>
      <c r="H2615" s="10">
        <f t="shared" si="40"/>
        <v>2310</v>
      </c>
      <c r="I2615" s="10"/>
      <c r="J2615" s="10"/>
      <c r="K2615" s="10"/>
      <c r="L2615" s="4" t="s">
        <v>69</v>
      </c>
      <c r="M2615" s="4">
        <v>2610</v>
      </c>
    </row>
    <row r="2616" spans="1:13" x14ac:dyDescent="0.25">
      <c r="A2616" s="4" t="s">
        <v>2257</v>
      </c>
      <c r="B2616" s="4" t="s">
        <v>2259</v>
      </c>
      <c r="C2616" s="4" t="s">
        <v>68</v>
      </c>
      <c r="D2616" s="10">
        <v>50</v>
      </c>
      <c r="E2616" s="11" t="s">
        <v>51</v>
      </c>
      <c r="F2616" s="10">
        <v>3150</v>
      </c>
      <c r="G2616" s="10">
        <v>0</v>
      </c>
      <c r="H2616" s="10">
        <f t="shared" si="40"/>
        <v>3150</v>
      </c>
      <c r="I2616" s="10"/>
      <c r="J2616" s="10"/>
      <c r="K2616" s="10"/>
      <c r="L2616" s="4" t="s">
        <v>69</v>
      </c>
      <c r="M2616" s="4">
        <v>2611</v>
      </c>
    </row>
    <row r="2617" spans="1:13" x14ac:dyDescent="0.25">
      <c r="A2617" s="4" t="s">
        <v>2260</v>
      </c>
      <c r="B2617" s="4" t="s">
        <v>2261</v>
      </c>
      <c r="C2617" s="4" t="s">
        <v>68</v>
      </c>
      <c r="D2617" s="10">
        <v>40</v>
      </c>
      <c r="E2617" s="11" t="s">
        <v>51</v>
      </c>
      <c r="F2617" s="10">
        <v>2100</v>
      </c>
      <c r="G2617" s="10">
        <v>0</v>
      </c>
      <c r="H2617" s="10">
        <f t="shared" si="40"/>
        <v>2100</v>
      </c>
      <c r="I2617" s="10"/>
      <c r="J2617" s="10"/>
      <c r="K2617" s="10"/>
      <c r="L2617" s="4" t="s">
        <v>69</v>
      </c>
      <c r="M2617" s="4">
        <v>2612</v>
      </c>
    </row>
    <row r="2618" spans="1:13" x14ac:dyDescent="0.25">
      <c r="A2618" s="4" t="s">
        <v>2262</v>
      </c>
      <c r="B2618" s="4" t="s">
        <v>2263</v>
      </c>
      <c r="C2618" s="4" t="s">
        <v>68</v>
      </c>
      <c r="D2618" s="10">
        <v>40</v>
      </c>
      <c r="E2618" s="11" t="s">
        <v>51</v>
      </c>
      <c r="F2618" s="10">
        <v>2100</v>
      </c>
      <c r="G2618" s="10">
        <v>0</v>
      </c>
      <c r="H2618" s="10">
        <f t="shared" si="40"/>
        <v>2100</v>
      </c>
      <c r="I2618" s="10"/>
      <c r="J2618" s="10"/>
      <c r="K2618" s="10"/>
      <c r="L2618" s="4" t="s">
        <v>69</v>
      </c>
      <c r="M2618" s="4">
        <v>2613</v>
      </c>
    </row>
    <row r="2619" spans="1:13" x14ac:dyDescent="0.25">
      <c r="A2619" s="4" t="s">
        <v>2264</v>
      </c>
      <c r="B2619" s="4" t="s">
        <v>2265</v>
      </c>
      <c r="C2619" s="4" t="s">
        <v>68</v>
      </c>
      <c r="D2619" s="10">
        <v>37</v>
      </c>
      <c r="E2619" s="11" t="s">
        <v>51</v>
      </c>
      <c r="F2619" s="10">
        <v>2100</v>
      </c>
      <c r="G2619" s="10">
        <v>0</v>
      </c>
      <c r="H2619" s="10">
        <f t="shared" si="40"/>
        <v>2100</v>
      </c>
      <c r="I2619" s="10"/>
      <c r="J2619" s="10"/>
      <c r="K2619" s="10"/>
      <c r="L2619" s="4" t="s">
        <v>69</v>
      </c>
      <c r="M2619" s="4">
        <v>2614</v>
      </c>
    </row>
    <row r="2620" spans="1:13" x14ac:dyDescent="0.25">
      <c r="A2620" s="4" t="s">
        <v>2266</v>
      </c>
      <c r="B2620" s="4" t="s">
        <v>2267</v>
      </c>
      <c r="C2620" s="4" t="s">
        <v>65</v>
      </c>
      <c r="D2620" s="10">
        <v>37</v>
      </c>
      <c r="E2620" s="12" t="s">
        <v>66</v>
      </c>
      <c r="F2620" s="10">
        <v>2500</v>
      </c>
      <c r="G2620" s="10">
        <v>0</v>
      </c>
      <c r="H2620" s="10">
        <f t="shared" si="40"/>
        <v>2500</v>
      </c>
      <c r="I2620" s="10">
        <v>147.0588235294118</v>
      </c>
      <c r="J2620" s="10">
        <v>147.0588235294118</v>
      </c>
      <c r="K2620" s="10">
        <v>147.0588235294118</v>
      </c>
      <c r="L2620" s="4"/>
      <c r="M2620" s="4">
        <v>2615</v>
      </c>
    </row>
    <row r="2621" spans="1:13" x14ac:dyDescent="0.25">
      <c r="A2621" s="4" t="s">
        <v>2268</v>
      </c>
      <c r="B2621" s="4" t="s">
        <v>2269</v>
      </c>
      <c r="C2621" s="4" t="s">
        <v>65</v>
      </c>
      <c r="D2621" s="10">
        <v>106</v>
      </c>
      <c r="E2621" s="12" t="s">
        <v>66</v>
      </c>
      <c r="F2621" s="10">
        <v>2500</v>
      </c>
      <c r="G2621" s="10">
        <v>0</v>
      </c>
      <c r="H2621" s="10">
        <f t="shared" si="40"/>
        <v>2500</v>
      </c>
      <c r="I2621" s="10">
        <v>125</v>
      </c>
      <c r="J2621" s="10">
        <v>125</v>
      </c>
      <c r="K2621" s="10">
        <v>125</v>
      </c>
      <c r="L2621" s="4"/>
      <c r="M2621" s="4">
        <v>2616</v>
      </c>
    </row>
    <row r="2622" spans="1:13" x14ac:dyDescent="0.25">
      <c r="A2622" s="4" t="s">
        <v>2270</v>
      </c>
      <c r="B2622" s="4" t="s">
        <v>2271</v>
      </c>
      <c r="C2622" s="4" t="s">
        <v>68</v>
      </c>
      <c r="D2622" s="10">
        <v>48</v>
      </c>
      <c r="E2622" s="11" t="s">
        <v>51</v>
      </c>
      <c r="F2622" s="10">
        <v>5040</v>
      </c>
      <c r="G2622" s="10">
        <v>0</v>
      </c>
      <c r="H2622" s="10">
        <f t="shared" si="40"/>
        <v>5040</v>
      </c>
      <c r="I2622" s="10"/>
      <c r="J2622" s="10"/>
      <c r="K2622" s="10"/>
      <c r="L2622" s="4" t="s">
        <v>69</v>
      </c>
      <c r="M2622" s="4">
        <v>2617</v>
      </c>
    </row>
    <row r="2623" spans="1:13" x14ac:dyDescent="0.25">
      <c r="A2623" s="4" t="s">
        <v>2270</v>
      </c>
      <c r="B2623" s="4" t="s">
        <v>2272</v>
      </c>
      <c r="C2623" s="4" t="s">
        <v>65</v>
      </c>
      <c r="D2623" s="10">
        <v>19</v>
      </c>
      <c r="E2623" s="12" t="s">
        <v>66</v>
      </c>
      <c r="F2623" s="10">
        <v>2400</v>
      </c>
      <c r="G2623" s="10">
        <v>0</v>
      </c>
      <c r="H2623" s="10">
        <f t="shared" si="40"/>
        <v>2400</v>
      </c>
      <c r="I2623" s="10">
        <v>126.31578947368421</v>
      </c>
      <c r="J2623" s="10">
        <v>126.31578947368421</v>
      </c>
      <c r="K2623" s="10">
        <v>126.31578947368421</v>
      </c>
      <c r="L2623" s="4"/>
      <c r="M2623" s="4">
        <v>2618</v>
      </c>
    </row>
    <row r="2624" spans="1:13" x14ac:dyDescent="0.25">
      <c r="A2624" s="4" t="s">
        <v>2270</v>
      </c>
      <c r="B2624" s="4" t="s">
        <v>2273</v>
      </c>
      <c r="C2624" s="4" t="s">
        <v>65</v>
      </c>
      <c r="D2624" s="10">
        <v>27.5</v>
      </c>
      <c r="E2624" s="12" t="s">
        <v>66</v>
      </c>
      <c r="F2624" s="10">
        <v>2400</v>
      </c>
      <c r="G2624" s="10">
        <v>0</v>
      </c>
      <c r="H2624" s="10">
        <f t="shared" si="40"/>
        <v>2400</v>
      </c>
      <c r="I2624" s="10">
        <v>126.31578947368421</v>
      </c>
      <c r="J2624" s="10">
        <v>126.31578947368421</v>
      </c>
      <c r="K2624" s="10">
        <v>126.31578947368421</v>
      </c>
      <c r="L2624" s="4"/>
      <c r="M2624" s="4">
        <v>2619</v>
      </c>
    </row>
    <row r="2625" spans="1:13" x14ac:dyDescent="0.25">
      <c r="A2625" s="4" t="s">
        <v>2274</v>
      </c>
      <c r="B2625" s="4" t="s">
        <v>2275</v>
      </c>
      <c r="C2625" s="9" t="s">
        <v>50</v>
      </c>
      <c r="D2625" s="10">
        <v>38.5</v>
      </c>
      <c r="E2625" s="11" t="s">
        <v>51</v>
      </c>
      <c r="F2625" s="10">
        <v>1150</v>
      </c>
      <c r="G2625" s="10">
        <v>0</v>
      </c>
      <c r="H2625" s="10">
        <f t="shared" si="40"/>
        <v>1150</v>
      </c>
      <c r="I2625" s="10"/>
      <c r="J2625" s="10"/>
      <c r="K2625" s="10"/>
      <c r="L2625" s="4" t="s">
        <v>52</v>
      </c>
      <c r="M2625" s="4">
        <v>2620</v>
      </c>
    </row>
    <row r="2626" spans="1:13" x14ac:dyDescent="0.25">
      <c r="A2626" s="4" t="s">
        <v>2276</v>
      </c>
      <c r="B2626" s="4" t="s">
        <v>2277</v>
      </c>
      <c r="C2626" s="4" t="s">
        <v>68</v>
      </c>
      <c r="D2626" s="10">
        <v>81</v>
      </c>
      <c r="E2626" s="11" t="s">
        <v>51</v>
      </c>
      <c r="F2626" s="10">
        <v>3300</v>
      </c>
      <c r="G2626" s="10">
        <v>0</v>
      </c>
      <c r="H2626" s="10">
        <f t="shared" si="40"/>
        <v>3300</v>
      </c>
      <c r="I2626" s="10"/>
      <c r="J2626" s="10"/>
      <c r="K2626" s="10"/>
      <c r="L2626" s="4" t="s">
        <v>69</v>
      </c>
      <c r="M2626" s="4">
        <v>2621</v>
      </c>
    </row>
    <row r="2627" spans="1:13" x14ac:dyDescent="0.25">
      <c r="A2627" s="4" t="s">
        <v>2278</v>
      </c>
      <c r="B2627" s="4" t="s">
        <v>2279</v>
      </c>
      <c r="C2627" s="4" t="s">
        <v>65</v>
      </c>
      <c r="D2627" s="10">
        <v>25</v>
      </c>
      <c r="E2627" s="12" t="s">
        <v>66</v>
      </c>
      <c r="F2627" s="10">
        <v>2950</v>
      </c>
      <c r="G2627" s="10">
        <v>0</v>
      </c>
      <c r="H2627" s="10">
        <f t="shared" si="40"/>
        <v>2950</v>
      </c>
      <c r="I2627" s="10">
        <v>118</v>
      </c>
      <c r="J2627" s="10">
        <v>118</v>
      </c>
      <c r="K2627" s="10">
        <v>118</v>
      </c>
      <c r="L2627" s="4"/>
      <c r="M2627" s="4">
        <v>2622</v>
      </c>
    </row>
    <row r="2628" spans="1:13" x14ac:dyDescent="0.25">
      <c r="A2628" s="4" t="s">
        <v>2278</v>
      </c>
      <c r="B2628" s="4" t="s">
        <v>2280</v>
      </c>
      <c r="C2628" s="4" t="s">
        <v>68</v>
      </c>
      <c r="D2628" s="10">
        <v>20</v>
      </c>
      <c r="E2628" s="11" t="s">
        <v>51</v>
      </c>
      <c r="F2628" s="10">
        <v>2400</v>
      </c>
      <c r="G2628" s="10">
        <v>0</v>
      </c>
      <c r="H2628" s="10">
        <f t="shared" si="40"/>
        <v>2400</v>
      </c>
      <c r="I2628" s="10"/>
      <c r="J2628" s="10"/>
      <c r="K2628" s="10"/>
      <c r="L2628" s="4" t="s">
        <v>69</v>
      </c>
      <c r="M2628" s="4">
        <v>2623</v>
      </c>
    </row>
    <row r="2629" spans="1:13" x14ac:dyDescent="0.25">
      <c r="A2629" s="4" t="s">
        <v>2278</v>
      </c>
      <c r="B2629" s="4" t="s">
        <v>2281</v>
      </c>
      <c r="C2629" s="4" t="s">
        <v>68</v>
      </c>
      <c r="D2629" s="10">
        <v>110</v>
      </c>
      <c r="E2629" s="11" t="s">
        <v>51</v>
      </c>
      <c r="F2629" s="10">
        <v>720</v>
      </c>
      <c r="G2629" s="10">
        <v>0</v>
      </c>
      <c r="H2629" s="10">
        <f t="shared" si="40"/>
        <v>720</v>
      </c>
      <c r="I2629" s="10"/>
      <c r="J2629" s="10"/>
      <c r="K2629" s="10"/>
      <c r="L2629" s="4" t="s">
        <v>69</v>
      </c>
      <c r="M2629" s="4">
        <v>2624</v>
      </c>
    </row>
    <row r="2630" spans="1:13" x14ac:dyDescent="0.25">
      <c r="A2630" s="4" t="s">
        <v>2282</v>
      </c>
      <c r="B2630" s="4" t="s">
        <v>2283</v>
      </c>
      <c r="C2630" s="9" t="s">
        <v>50</v>
      </c>
      <c r="D2630" s="10">
        <v>60</v>
      </c>
      <c r="E2630" s="11" t="s">
        <v>51</v>
      </c>
      <c r="F2630" s="10">
        <v>5400</v>
      </c>
      <c r="G2630" s="10">
        <v>0</v>
      </c>
      <c r="H2630" s="10">
        <f t="shared" ref="H2630:H2693" si="41">F2630-G2630</f>
        <v>5400</v>
      </c>
      <c r="I2630" s="10"/>
      <c r="J2630" s="10"/>
      <c r="K2630" s="10"/>
      <c r="L2630" s="4" t="s">
        <v>52</v>
      </c>
      <c r="M2630" s="4">
        <v>2625</v>
      </c>
    </row>
    <row r="2631" spans="1:13" x14ac:dyDescent="0.25">
      <c r="A2631" s="4" t="s">
        <v>2282</v>
      </c>
      <c r="B2631" s="4" t="s">
        <v>2284</v>
      </c>
      <c r="C2631" s="9" t="s">
        <v>50</v>
      </c>
      <c r="D2631" s="10">
        <v>20</v>
      </c>
      <c r="E2631" s="11" t="s">
        <v>51</v>
      </c>
      <c r="F2631" s="10">
        <v>1250</v>
      </c>
      <c r="G2631" s="10">
        <v>0</v>
      </c>
      <c r="H2631" s="10">
        <f t="shared" si="41"/>
        <v>1250</v>
      </c>
      <c r="I2631" s="10"/>
      <c r="J2631" s="10"/>
      <c r="K2631" s="10"/>
      <c r="L2631" s="4" t="s">
        <v>52</v>
      </c>
      <c r="M2631" s="4">
        <v>2626</v>
      </c>
    </row>
    <row r="2632" spans="1:13" x14ac:dyDescent="0.25">
      <c r="A2632" s="4" t="s">
        <v>2282</v>
      </c>
      <c r="B2632" s="4" t="s">
        <v>2285</v>
      </c>
      <c r="C2632" s="9" t="s">
        <v>50</v>
      </c>
      <c r="D2632" s="10">
        <v>59</v>
      </c>
      <c r="E2632" s="11" t="s">
        <v>51</v>
      </c>
      <c r="F2632" s="10">
        <v>1500</v>
      </c>
      <c r="G2632" s="10">
        <v>0</v>
      </c>
      <c r="H2632" s="10">
        <f t="shared" si="41"/>
        <v>1500</v>
      </c>
      <c r="I2632" s="10"/>
      <c r="J2632" s="10"/>
      <c r="K2632" s="10"/>
      <c r="L2632" s="4" t="s">
        <v>52</v>
      </c>
      <c r="M2632" s="4">
        <v>2627</v>
      </c>
    </row>
    <row r="2633" spans="1:13" x14ac:dyDescent="0.25">
      <c r="A2633" s="4" t="s">
        <v>2286</v>
      </c>
      <c r="B2633" s="4" t="s">
        <v>362</v>
      </c>
      <c r="C2633" s="9" t="s">
        <v>50</v>
      </c>
      <c r="D2633" s="10">
        <v>115</v>
      </c>
      <c r="E2633" s="11" t="s">
        <v>51</v>
      </c>
      <c r="F2633" s="10">
        <v>3325</v>
      </c>
      <c r="G2633" s="10">
        <v>0</v>
      </c>
      <c r="H2633" s="10">
        <f t="shared" si="41"/>
        <v>3325</v>
      </c>
      <c r="I2633" s="10"/>
      <c r="J2633" s="10"/>
      <c r="K2633" s="10"/>
      <c r="L2633" s="4" t="s">
        <v>52</v>
      </c>
      <c r="M2633" s="4">
        <v>2628</v>
      </c>
    </row>
    <row r="2634" spans="1:13" x14ac:dyDescent="0.25">
      <c r="A2634" s="4" t="s">
        <v>2287</v>
      </c>
      <c r="B2634" s="4" t="s">
        <v>1442</v>
      </c>
      <c r="C2634" s="9" t="s">
        <v>50</v>
      </c>
      <c r="D2634" s="10">
        <v>30</v>
      </c>
      <c r="E2634" s="11" t="s">
        <v>51</v>
      </c>
      <c r="F2634" s="10">
        <v>3000</v>
      </c>
      <c r="G2634" s="10">
        <v>0</v>
      </c>
      <c r="H2634" s="10">
        <f t="shared" si="41"/>
        <v>3000</v>
      </c>
      <c r="I2634" s="10"/>
      <c r="J2634" s="10"/>
      <c r="K2634" s="10"/>
      <c r="L2634" s="4" t="s">
        <v>52</v>
      </c>
      <c r="M2634" s="4">
        <v>2629</v>
      </c>
    </row>
    <row r="2635" spans="1:13" x14ac:dyDescent="0.25">
      <c r="A2635" s="4" t="s">
        <v>2287</v>
      </c>
      <c r="B2635" s="4" t="s">
        <v>421</v>
      </c>
      <c r="C2635" s="9" t="s">
        <v>50</v>
      </c>
      <c r="D2635" s="10">
        <v>30</v>
      </c>
      <c r="E2635" s="11" t="s">
        <v>51</v>
      </c>
      <c r="F2635" s="10">
        <v>2700</v>
      </c>
      <c r="G2635" s="10">
        <v>0</v>
      </c>
      <c r="H2635" s="10">
        <f t="shared" si="41"/>
        <v>2700</v>
      </c>
      <c r="I2635" s="10"/>
      <c r="J2635" s="10"/>
      <c r="K2635" s="10"/>
      <c r="L2635" s="4" t="s">
        <v>52</v>
      </c>
      <c r="M2635" s="4">
        <v>2630</v>
      </c>
    </row>
    <row r="2636" spans="1:13" x14ac:dyDescent="0.25">
      <c r="A2636" s="4" t="s">
        <v>2287</v>
      </c>
      <c r="B2636" s="4" t="s">
        <v>2288</v>
      </c>
      <c r="C2636" s="9" t="s">
        <v>50</v>
      </c>
      <c r="D2636" s="10">
        <v>34</v>
      </c>
      <c r="E2636" s="11" t="s">
        <v>51</v>
      </c>
      <c r="F2636" s="10">
        <v>1000</v>
      </c>
      <c r="G2636" s="10">
        <v>0</v>
      </c>
      <c r="H2636" s="10">
        <f t="shared" si="41"/>
        <v>1000</v>
      </c>
      <c r="I2636" s="10"/>
      <c r="J2636" s="10"/>
      <c r="K2636" s="10"/>
      <c r="L2636" s="4" t="s">
        <v>52</v>
      </c>
      <c r="M2636" s="4">
        <v>2631</v>
      </c>
    </row>
    <row r="2637" spans="1:13" x14ac:dyDescent="0.25">
      <c r="A2637" s="4" t="s">
        <v>2289</v>
      </c>
      <c r="B2637" s="4" t="s">
        <v>958</v>
      </c>
      <c r="C2637" s="9" t="s">
        <v>50</v>
      </c>
      <c r="D2637" s="10">
        <v>14</v>
      </c>
      <c r="E2637" s="11" t="s">
        <v>51</v>
      </c>
      <c r="F2637" s="10">
        <v>1200</v>
      </c>
      <c r="G2637" s="10">
        <v>0</v>
      </c>
      <c r="H2637" s="10">
        <f t="shared" si="41"/>
        <v>1200</v>
      </c>
      <c r="I2637" s="10"/>
      <c r="J2637" s="10"/>
      <c r="K2637" s="10"/>
      <c r="L2637" s="4" t="s">
        <v>52</v>
      </c>
      <c r="M2637" s="4">
        <v>2632</v>
      </c>
    </row>
    <row r="2638" spans="1:13" x14ac:dyDescent="0.25">
      <c r="A2638" s="4" t="s">
        <v>2289</v>
      </c>
      <c r="B2638" s="4" t="s">
        <v>2290</v>
      </c>
      <c r="C2638" s="4" t="s">
        <v>68</v>
      </c>
      <c r="D2638" s="10">
        <v>330</v>
      </c>
      <c r="E2638" s="11" t="s">
        <v>51</v>
      </c>
      <c r="F2638" s="10"/>
      <c r="G2638" s="10">
        <v>0</v>
      </c>
      <c r="H2638" s="10">
        <f t="shared" si="41"/>
        <v>0</v>
      </c>
      <c r="I2638" s="10"/>
      <c r="J2638" s="10"/>
      <c r="K2638" s="10"/>
      <c r="L2638" s="4" t="s">
        <v>69</v>
      </c>
      <c r="M2638" s="4">
        <v>2633</v>
      </c>
    </row>
    <row r="2639" spans="1:13" x14ac:dyDescent="0.25">
      <c r="A2639" s="4" t="s">
        <v>2291</v>
      </c>
      <c r="B2639" s="4" t="s">
        <v>2292</v>
      </c>
      <c r="C2639" s="9" t="s">
        <v>50</v>
      </c>
      <c r="D2639" s="10">
        <v>38</v>
      </c>
      <c r="E2639" s="11" t="s">
        <v>51</v>
      </c>
      <c r="F2639" s="10">
        <v>4180</v>
      </c>
      <c r="G2639" s="10">
        <v>0</v>
      </c>
      <c r="H2639" s="10">
        <f t="shared" si="41"/>
        <v>4180</v>
      </c>
      <c r="I2639" s="10"/>
      <c r="J2639" s="10"/>
      <c r="K2639" s="10"/>
      <c r="L2639" s="4" t="s">
        <v>52</v>
      </c>
      <c r="M2639" s="4">
        <v>2634</v>
      </c>
    </row>
    <row r="2640" spans="1:13" x14ac:dyDescent="0.25">
      <c r="A2640" s="4" t="s">
        <v>2291</v>
      </c>
      <c r="B2640" s="4" t="s">
        <v>2293</v>
      </c>
      <c r="C2640" s="9" t="s">
        <v>50</v>
      </c>
      <c r="D2640" s="10">
        <v>26</v>
      </c>
      <c r="E2640" s="11" t="s">
        <v>51</v>
      </c>
      <c r="F2640" s="10">
        <v>2470</v>
      </c>
      <c r="G2640" s="10">
        <v>0</v>
      </c>
      <c r="H2640" s="10">
        <f t="shared" si="41"/>
        <v>2470</v>
      </c>
      <c r="I2640" s="10"/>
      <c r="J2640" s="10"/>
      <c r="K2640" s="10"/>
      <c r="L2640" s="4" t="s">
        <v>52</v>
      </c>
      <c r="M2640" s="4">
        <v>2635</v>
      </c>
    </row>
    <row r="2641" spans="1:13" x14ac:dyDescent="0.25">
      <c r="A2641" s="4" t="s">
        <v>2291</v>
      </c>
      <c r="B2641" s="4" t="s">
        <v>1402</v>
      </c>
      <c r="C2641" s="9" t="s">
        <v>50</v>
      </c>
      <c r="D2641" s="10">
        <v>79</v>
      </c>
      <c r="E2641" s="11" t="s">
        <v>51</v>
      </c>
      <c r="F2641" s="10">
        <v>6900</v>
      </c>
      <c r="G2641" s="10">
        <v>0</v>
      </c>
      <c r="H2641" s="10">
        <f t="shared" si="41"/>
        <v>6900</v>
      </c>
      <c r="I2641" s="10"/>
      <c r="J2641" s="10"/>
      <c r="K2641" s="10"/>
      <c r="L2641" s="4" t="s">
        <v>52</v>
      </c>
      <c r="M2641" s="4">
        <v>2636</v>
      </c>
    </row>
    <row r="2642" spans="1:13" x14ac:dyDescent="0.25">
      <c r="A2642" s="4" t="s">
        <v>2291</v>
      </c>
      <c r="B2642" s="4" t="s">
        <v>421</v>
      </c>
      <c r="C2642" s="9" t="s">
        <v>50</v>
      </c>
      <c r="D2642" s="10">
        <v>70</v>
      </c>
      <c r="E2642" s="11" t="s">
        <v>51</v>
      </c>
      <c r="F2642" s="10">
        <v>6650</v>
      </c>
      <c r="G2642" s="10">
        <v>0</v>
      </c>
      <c r="H2642" s="10">
        <f t="shared" si="41"/>
        <v>6650</v>
      </c>
      <c r="I2642" s="10"/>
      <c r="J2642" s="10"/>
      <c r="K2642" s="10"/>
      <c r="L2642" s="4" t="s">
        <v>52</v>
      </c>
      <c r="M2642" s="4">
        <v>2637</v>
      </c>
    </row>
    <row r="2643" spans="1:13" x14ac:dyDescent="0.25">
      <c r="A2643" s="4" t="s">
        <v>2291</v>
      </c>
      <c r="B2643" s="4" t="s">
        <v>118</v>
      </c>
      <c r="C2643" s="9" t="s">
        <v>50</v>
      </c>
      <c r="D2643" s="10">
        <v>58</v>
      </c>
      <c r="E2643" s="11" t="s">
        <v>51</v>
      </c>
      <c r="F2643" s="10">
        <v>3550</v>
      </c>
      <c r="G2643" s="10">
        <v>0</v>
      </c>
      <c r="H2643" s="10">
        <f t="shared" si="41"/>
        <v>3550</v>
      </c>
      <c r="I2643" s="10"/>
      <c r="J2643" s="10"/>
      <c r="K2643" s="10"/>
      <c r="L2643" s="4" t="s">
        <v>52</v>
      </c>
      <c r="M2643" s="4">
        <v>2638</v>
      </c>
    </row>
    <row r="2644" spans="1:13" x14ac:dyDescent="0.25">
      <c r="A2644" s="4" t="s">
        <v>2291</v>
      </c>
      <c r="B2644" s="4" t="s">
        <v>119</v>
      </c>
      <c r="C2644" s="9" t="s">
        <v>50</v>
      </c>
      <c r="D2644" s="10">
        <v>51</v>
      </c>
      <c r="E2644" s="11" t="s">
        <v>51</v>
      </c>
      <c r="F2644" s="10">
        <v>3100</v>
      </c>
      <c r="G2644" s="10">
        <v>0</v>
      </c>
      <c r="H2644" s="10">
        <f t="shared" si="41"/>
        <v>3100</v>
      </c>
      <c r="I2644" s="10"/>
      <c r="J2644" s="10"/>
      <c r="K2644" s="10"/>
      <c r="L2644" s="4" t="s">
        <v>52</v>
      </c>
      <c r="M2644" s="4">
        <v>2639</v>
      </c>
    </row>
    <row r="2645" spans="1:13" x14ac:dyDescent="0.25">
      <c r="A2645" s="4" t="s">
        <v>2291</v>
      </c>
      <c r="B2645" s="4" t="s">
        <v>2294</v>
      </c>
      <c r="C2645" s="9" t="s">
        <v>50</v>
      </c>
      <c r="D2645" s="10">
        <v>46</v>
      </c>
      <c r="E2645" s="11" t="s">
        <v>51</v>
      </c>
      <c r="F2645" s="10">
        <v>850</v>
      </c>
      <c r="G2645" s="10">
        <v>0</v>
      </c>
      <c r="H2645" s="10">
        <f t="shared" si="41"/>
        <v>850</v>
      </c>
      <c r="I2645" s="10"/>
      <c r="J2645" s="10"/>
      <c r="K2645" s="10"/>
      <c r="L2645" s="4" t="s">
        <v>52</v>
      </c>
      <c r="M2645" s="4">
        <v>2640</v>
      </c>
    </row>
    <row r="2646" spans="1:13" x14ac:dyDescent="0.25">
      <c r="A2646" s="4" t="s">
        <v>2295</v>
      </c>
      <c r="B2646" s="4" t="s">
        <v>2292</v>
      </c>
      <c r="C2646" s="9" t="s">
        <v>50</v>
      </c>
      <c r="D2646" s="10">
        <v>78</v>
      </c>
      <c r="E2646" s="11" t="s">
        <v>51</v>
      </c>
      <c r="F2646" s="10">
        <v>4180</v>
      </c>
      <c r="G2646" s="10">
        <v>0</v>
      </c>
      <c r="H2646" s="10">
        <f t="shared" si="41"/>
        <v>4180</v>
      </c>
      <c r="I2646" s="10"/>
      <c r="J2646" s="10"/>
      <c r="K2646" s="10"/>
      <c r="L2646" s="4" t="s">
        <v>52</v>
      </c>
      <c r="M2646" s="4">
        <v>2641</v>
      </c>
    </row>
    <row r="2647" spans="1:13" x14ac:dyDescent="0.25">
      <c r="A2647" s="4" t="s">
        <v>2296</v>
      </c>
      <c r="B2647" s="4" t="s">
        <v>2297</v>
      </c>
      <c r="C2647" s="4" t="s">
        <v>68</v>
      </c>
      <c r="D2647" s="10">
        <v>10</v>
      </c>
      <c r="E2647" s="11" t="s">
        <v>51</v>
      </c>
      <c r="F2647" s="10">
        <v>700</v>
      </c>
      <c r="G2647" s="10">
        <v>0</v>
      </c>
      <c r="H2647" s="10">
        <f t="shared" si="41"/>
        <v>700</v>
      </c>
      <c r="I2647" s="10"/>
      <c r="J2647" s="10"/>
      <c r="K2647" s="10"/>
      <c r="L2647" s="4" t="s">
        <v>69</v>
      </c>
      <c r="M2647" s="4">
        <v>2642</v>
      </c>
    </row>
    <row r="2648" spans="1:13" x14ac:dyDescent="0.25">
      <c r="A2648" s="4" t="s">
        <v>2296</v>
      </c>
      <c r="B2648" s="4" t="s">
        <v>2298</v>
      </c>
      <c r="C2648" s="4" t="s">
        <v>68</v>
      </c>
      <c r="D2648" s="10">
        <v>24</v>
      </c>
      <c r="E2648" s="11" t="s">
        <v>51</v>
      </c>
      <c r="F2648" s="10">
        <v>2100</v>
      </c>
      <c r="G2648" s="10">
        <v>0</v>
      </c>
      <c r="H2648" s="10">
        <f t="shared" si="41"/>
        <v>2100</v>
      </c>
      <c r="I2648" s="10"/>
      <c r="J2648" s="10"/>
      <c r="K2648" s="10"/>
      <c r="L2648" s="4" t="s">
        <v>69</v>
      </c>
      <c r="M2648" s="4">
        <v>2643</v>
      </c>
    </row>
    <row r="2649" spans="1:13" x14ac:dyDescent="0.25">
      <c r="A2649" s="4" t="s">
        <v>2299</v>
      </c>
      <c r="B2649" s="4" t="s">
        <v>2300</v>
      </c>
      <c r="C2649" s="4" t="s">
        <v>68</v>
      </c>
      <c r="D2649" s="10">
        <v>56</v>
      </c>
      <c r="E2649" s="11" t="s">
        <v>51</v>
      </c>
      <c r="F2649" s="10">
        <v>2640</v>
      </c>
      <c r="G2649" s="10">
        <v>0</v>
      </c>
      <c r="H2649" s="10">
        <f t="shared" si="41"/>
        <v>2640</v>
      </c>
      <c r="I2649" s="10"/>
      <c r="J2649" s="10"/>
      <c r="K2649" s="10"/>
      <c r="L2649" s="4" t="s">
        <v>69</v>
      </c>
      <c r="M2649" s="4">
        <v>2644</v>
      </c>
    </row>
    <row r="2650" spans="1:13" x14ac:dyDescent="0.25">
      <c r="A2650" s="4" t="s">
        <v>2301</v>
      </c>
      <c r="B2650" s="4" t="s">
        <v>2302</v>
      </c>
      <c r="C2650" s="9" t="s">
        <v>50</v>
      </c>
      <c r="D2650" s="10">
        <v>43</v>
      </c>
      <c r="E2650" s="11" t="s">
        <v>51</v>
      </c>
      <c r="F2650" s="10">
        <v>3500</v>
      </c>
      <c r="G2650" s="10">
        <v>0</v>
      </c>
      <c r="H2650" s="10">
        <f t="shared" si="41"/>
        <v>3500</v>
      </c>
      <c r="I2650" s="10"/>
      <c r="J2650" s="10"/>
      <c r="K2650" s="10"/>
      <c r="L2650" s="4" t="s">
        <v>52</v>
      </c>
      <c r="M2650" s="4">
        <v>2645</v>
      </c>
    </row>
    <row r="2651" spans="1:13" x14ac:dyDescent="0.25">
      <c r="A2651" s="4" t="s">
        <v>2303</v>
      </c>
      <c r="B2651" s="4" t="s">
        <v>2304</v>
      </c>
      <c r="C2651" s="4" t="s">
        <v>65</v>
      </c>
      <c r="D2651" s="10">
        <v>16</v>
      </c>
      <c r="E2651" s="12" t="s">
        <v>66</v>
      </c>
      <c r="F2651" s="10">
        <v>900</v>
      </c>
      <c r="G2651" s="10">
        <v>0</v>
      </c>
      <c r="H2651" s="10">
        <f t="shared" si="41"/>
        <v>900</v>
      </c>
      <c r="I2651" s="10">
        <v>81.818181818181813</v>
      </c>
      <c r="J2651" s="10">
        <v>81.818181818181813</v>
      </c>
      <c r="K2651" s="10">
        <v>81.818181818181813</v>
      </c>
      <c r="L2651" s="4"/>
      <c r="M2651" s="4">
        <v>2646</v>
      </c>
    </row>
    <row r="2652" spans="1:13" x14ac:dyDescent="0.25">
      <c r="A2652" s="4" t="s">
        <v>2305</v>
      </c>
      <c r="B2652" s="4" t="s">
        <v>2306</v>
      </c>
      <c r="C2652" s="4" t="s">
        <v>68</v>
      </c>
      <c r="D2652" s="10">
        <v>32</v>
      </c>
      <c r="E2652" s="11" t="s">
        <v>51</v>
      </c>
      <c r="F2652" s="10">
        <v>1840</v>
      </c>
      <c r="G2652" s="10">
        <v>0</v>
      </c>
      <c r="H2652" s="10">
        <f t="shared" si="41"/>
        <v>1840</v>
      </c>
      <c r="I2652" s="10"/>
      <c r="J2652" s="10"/>
      <c r="K2652" s="10"/>
      <c r="L2652" s="4" t="s">
        <v>69</v>
      </c>
      <c r="M2652" s="4">
        <v>2647</v>
      </c>
    </row>
    <row r="2653" spans="1:13" x14ac:dyDescent="0.25">
      <c r="A2653" s="4" t="s">
        <v>2307</v>
      </c>
      <c r="B2653" s="4" t="s">
        <v>2306</v>
      </c>
      <c r="C2653" s="4" t="s">
        <v>68</v>
      </c>
      <c r="D2653" s="10">
        <v>149.75</v>
      </c>
      <c r="E2653" s="11" t="s">
        <v>51</v>
      </c>
      <c r="F2653" s="10">
        <v>1840</v>
      </c>
      <c r="G2653" s="10">
        <v>0</v>
      </c>
      <c r="H2653" s="10">
        <f t="shared" si="41"/>
        <v>1840</v>
      </c>
      <c r="I2653" s="10"/>
      <c r="J2653" s="10"/>
      <c r="K2653" s="10"/>
      <c r="L2653" s="4" t="s">
        <v>69</v>
      </c>
      <c r="M2653" s="4">
        <v>2648</v>
      </c>
    </row>
    <row r="2654" spans="1:13" x14ac:dyDescent="0.25">
      <c r="A2654" s="4" t="s">
        <v>2308</v>
      </c>
      <c r="B2654" s="4" t="s">
        <v>2309</v>
      </c>
      <c r="C2654" s="9" t="s">
        <v>50</v>
      </c>
      <c r="D2654" s="10">
        <v>65</v>
      </c>
      <c r="E2654" s="11" t="s">
        <v>51</v>
      </c>
      <c r="F2654" s="10">
        <v>6175</v>
      </c>
      <c r="G2654" s="10">
        <v>0</v>
      </c>
      <c r="H2654" s="10">
        <f t="shared" si="41"/>
        <v>6175</v>
      </c>
      <c r="I2654" s="10"/>
      <c r="J2654" s="10"/>
      <c r="K2654" s="10"/>
      <c r="L2654" s="4" t="s">
        <v>52</v>
      </c>
      <c r="M2654" s="4">
        <v>2649</v>
      </c>
    </row>
    <row r="2655" spans="1:13" x14ac:dyDescent="0.25">
      <c r="A2655" s="4" t="s">
        <v>2308</v>
      </c>
      <c r="B2655" s="4" t="s">
        <v>1984</v>
      </c>
      <c r="C2655" s="9" t="s">
        <v>50</v>
      </c>
      <c r="D2655" s="10">
        <v>33.75</v>
      </c>
      <c r="E2655" s="11" t="s">
        <v>51</v>
      </c>
      <c r="F2655" s="10">
        <v>3150</v>
      </c>
      <c r="G2655" s="10">
        <v>0</v>
      </c>
      <c r="H2655" s="10">
        <f t="shared" si="41"/>
        <v>3150</v>
      </c>
      <c r="I2655" s="10"/>
      <c r="J2655" s="10"/>
      <c r="K2655" s="10"/>
      <c r="L2655" s="4" t="s">
        <v>52</v>
      </c>
      <c r="M2655" s="4">
        <v>2650</v>
      </c>
    </row>
    <row r="2656" spans="1:13" x14ac:dyDescent="0.25">
      <c r="A2656" s="4" t="s">
        <v>2308</v>
      </c>
      <c r="B2656" s="4" t="s">
        <v>421</v>
      </c>
      <c r="C2656" s="9" t="s">
        <v>50</v>
      </c>
      <c r="D2656" s="10">
        <v>99</v>
      </c>
      <c r="E2656" s="11" t="s">
        <v>51</v>
      </c>
      <c r="F2656" s="10">
        <v>3325</v>
      </c>
      <c r="G2656" s="10">
        <v>0</v>
      </c>
      <c r="H2656" s="10">
        <f t="shared" si="41"/>
        <v>3325</v>
      </c>
      <c r="I2656" s="10"/>
      <c r="J2656" s="10"/>
      <c r="K2656" s="10"/>
      <c r="L2656" s="4" t="s">
        <v>52</v>
      </c>
      <c r="M2656" s="4">
        <v>2651</v>
      </c>
    </row>
    <row r="2657" spans="1:13" x14ac:dyDescent="0.25">
      <c r="A2657" s="4" t="s">
        <v>2310</v>
      </c>
      <c r="B2657" s="4" t="s">
        <v>2311</v>
      </c>
      <c r="C2657" s="4" t="s">
        <v>68</v>
      </c>
      <c r="D2657" s="10">
        <v>9</v>
      </c>
      <c r="E2657" s="11" t="s">
        <v>51</v>
      </c>
      <c r="F2657" s="10"/>
      <c r="G2657" s="10">
        <v>0</v>
      </c>
      <c r="H2657" s="10">
        <f t="shared" si="41"/>
        <v>0</v>
      </c>
      <c r="I2657" s="10"/>
      <c r="J2657" s="10"/>
      <c r="K2657" s="10"/>
      <c r="L2657" s="4" t="s">
        <v>69</v>
      </c>
      <c r="M2657" s="4">
        <v>2652</v>
      </c>
    </row>
    <row r="2658" spans="1:13" x14ac:dyDescent="0.25">
      <c r="A2658" s="4" t="s">
        <v>2310</v>
      </c>
      <c r="B2658" s="4" t="s">
        <v>2312</v>
      </c>
      <c r="C2658" s="4" t="s">
        <v>68</v>
      </c>
      <c r="D2658" s="10">
        <v>40</v>
      </c>
      <c r="E2658" s="11" t="s">
        <v>51</v>
      </c>
      <c r="F2658" s="10"/>
      <c r="G2658" s="10">
        <v>0</v>
      </c>
      <c r="H2658" s="10">
        <f t="shared" si="41"/>
        <v>0</v>
      </c>
      <c r="I2658" s="10"/>
      <c r="J2658" s="10"/>
      <c r="K2658" s="10"/>
      <c r="L2658" s="4" t="s">
        <v>69</v>
      </c>
      <c r="M2658" s="4">
        <v>2653</v>
      </c>
    </row>
    <row r="2659" spans="1:13" x14ac:dyDescent="0.25">
      <c r="A2659" s="4" t="s">
        <v>2310</v>
      </c>
      <c r="B2659" s="4" t="s">
        <v>2313</v>
      </c>
      <c r="C2659" s="4" t="s">
        <v>68</v>
      </c>
      <c r="D2659" s="10">
        <v>113</v>
      </c>
      <c r="E2659" s="11" t="s">
        <v>51</v>
      </c>
      <c r="F2659" s="10"/>
      <c r="G2659" s="10">
        <v>0</v>
      </c>
      <c r="H2659" s="10">
        <f t="shared" si="41"/>
        <v>0</v>
      </c>
      <c r="I2659" s="10"/>
      <c r="J2659" s="10"/>
      <c r="K2659" s="10"/>
      <c r="L2659" s="4" t="s">
        <v>69</v>
      </c>
      <c r="M2659" s="4">
        <v>2654</v>
      </c>
    </row>
    <row r="2660" spans="1:13" x14ac:dyDescent="0.25">
      <c r="A2660" s="4" t="s">
        <v>2314</v>
      </c>
      <c r="B2660" s="4" t="s">
        <v>2315</v>
      </c>
      <c r="C2660" s="4" t="s">
        <v>68</v>
      </c>
      <c r="D2660" s="10">
        <v>50</v>
      </c>
      <c r="E2660" s="11" t="s">
        <v>51</v>
      </c>
      <c r="F2660" s="10">
        <v>6056.46</v>
      </c>
      <c r="G2660" s="10">
        <v>0</v>
      </c>
      <c r="H2660" s="10">
        <f t="shared" si="41"/>
        <v>6056.46</v>
      </c>
      <c r="I2660" s="10"/>
      <c r="J2660" s="10"/>
      <c r="K2660" s="10"/>
      <c r="L2660" s="4" t="s">
        <v>69</v>
      </c>
      <c r="M2660" s="4">
        <v>2655</v>
      </c>
    </row>
    <row r="2661" spans="1:13" x14ac:dyDescent="0.25">
      <c r="A2661" s="4" t="s">
        <v>2314</v>
      </c>
      <c r="B2661" s="4" t="s">
        <v>2316</v>
      </c>
      <c r="C2661" s="4" t="s">
        <v>68</v>
      </c>
      <c r="D2661" s="10">
        <v>16</v>
      </c>
      <c r="E2661" s="11" t="s">
        <v>51</v>
      </c>
      <c r="F2661" s="10">
        <v>3411.71</v>
      </c>
      <c r="G2661" s="10">
        <v>0</v>
      </c>
      <c r="H2661" s="10">
        <f t="shared" si="41"/>
        <v>3411.71</v>
      </c>
      <c r="I2661" s="10"/>
      <c r="J2661" s="10"/>
      <c r="K2661" s="10"/>
      <c r="L2661" s="4" t="s">
        <v>69</v>
      </c>
      <c r="M2661" s="4">
        <v>2656</v>
      </c>
    </row>
    <row r="2662" spans="1:13" x14ac:dyDescent="0.25">
      <c r="A2662" s="4" t="s">
        <v>2314</v>
      </c>
      <c r="B2662" s="4" t="s">
        <v>2317</v>
      </c>
      <c r="C2662" s="4" t="s">
        <v>68</v>
      </c>
      <c r="D2662" s="10">
        <v>61</v>
      </c>
      <c r="E2662" s="11" t="s">
        <v>51</v>
      </c>
      <c r="F2662" s="10">
        <v>4428.9399999999996</v>
      </c>
      <c r="G2662" s="10">
        <v>0</v>
      </c>
      <c r="H2662" s="10">
        <f t="shared" si="41"/>
        <v>4428.9399999999996</v>
      </c>
      <c r="I2662" s="10"/>
      <c r="J2662" s="10"/>
      <c r="K2662" s="10"/>
      <c r="L2662" s="4" t="s">
        <v>69</v>
      </c>
      <c r="M2662" s="4">
        <v>2657</v>
      </c>
    </row>
    <row r="2663" spans="1:13" x14ac:dyDescent="0.25">
      <c r="A2663" s="4" t="s">
        <v>2318</v>
      </c>
      <c r="B2663" s="4" t="s">
        <v>451</v>
      </c>
      <c r="C2663" s="4" t="s">
        <v>68</v>
      </c>
      <c r="D2663" s="10">
        <v>53</v>
      </c>
      <c r="E2663" s="11" t="s">
        <v>51</v>
      </c>
      <c r="F2663" s="10">
        <v>6833.75</v>
      </c>
      <c r="G2663" s="10">
        <v>0</v>
      </c>
      <c r="H2663" s="10">
        <f t="shared" si="41"/>
        <v>6833.75</v>
      </c>
      <c r="I2663" s="10"/>
      <c r="J2663" s="10"/>
      <c r="K2663" s="10"/>
      <c r="L2663" s="4" t="s">
        <v>69</v>
      </c>
      <c r="M2663" s="4">
        <v>2658</v>
      </c>
    </row>
    <row r="2664" spans="1:13" x14ac:dyDescent="0.25">
      <c r="A2664" s="4" t="s">
        <v>2318</v>
      </c>
      <c r="B2664" s="4" t="s">
        <v>2319</v>
      </c>
      <c r="C2664" s="4" t="s">
        <v>68</v>
      </c>
      <c r="D2664" s="10">
        <v>40</v>
      </c>
      <c r="E2664" s="11" t="s">
        <v>51</v>
      </c>
      <c r="F2664" s="10">
        <v>880</v>
      </c>
      <c r="G2664" s="10">
        <v>0</v>
      </c>
      <c r="H2664" s="10">
        <f t="shared" si="41"/>
        <v>880</v>
      </c>
      <c r="I2664" s="10"/>
      <c r="J2664" s="10"/>
      <c r="K2664" s="10"/>
      <c r="L2664" s="4" t="s">
        <v>69</v>
      </c>
      <c r="M2664" s="4">
        <v>2659</v>
      </c>
    </row>
    <row r="2665" spans="1:13" x14ac:dyDescent="0.25">
      <c r="A2665" s="4" t="s">
        <v>2320</v>
      </c>
      <c r="B2665" s="4" t="s">
        <v>2321</v>
      </c>
      <c r="C2665" s="9" t="s">
        <v>50</v>
      </c>
      <c r="D2665" s="10">
        <v>20</v>
      </c>
      <c r="E2665" s="11" t="s">
        <v>51</v>
      </c>
      <c r="F2665" s="10">
        <v>1747.8</v>
      </c>
      <c r="G2665" s="10">
        <v>0</v>
      </c>
      <c r="H2665" s="10">
        <f t="shared" si="41"/>
        <v>1747.8</v>
      </c>
      <c r="I2665" s="10"/>
      <c r="J2665" s="10"/>
      <c r="K2665" s="10"/>
      <c r="L2665" s="4" t="s">
        <v>52</v>
      </c>
      <c r="M2665" s="4">
        <v>2660</v>
      </c>
    </row>
    <row r="2666" spans="1:13" x14ac:dyDescent="0.25">
      <c r="A2666" s="4" t="s">
        <v>2320</v>
      </c>
      <c r="B2666" s="4" t="s">
        <v>2322</v>
      </c>
      <c r="C2666" s="9" t="s">
        <v>50</v>
      </c>
      <c r="D2666" s="10">
        <v>82</v>
      </c>
      <c r="E2666" s="11" t="s">
        <v>51</v>
      </c>
      <c r="F2666" s="10">
        <v>1747.8</v>
      </c>
      <c r="G2666" s="10">
        <v>0</v>
      </c>
      <c r="H2666" s="10">
        <f t="shared" si="41"/>
        <v>1747.8</v>
      </c>
      <c r="I2666" s="10"/>
      <c r="J2666" s="10"/>
      <c r="K2666" s="10"/>
      <c r="L2666" s="4" t="s">
        <v>52</v>
      </c>
      <c r="M2666" s="4">
        <v>2661</v>
      </c>
    </row>
    <row r="2667" spans="1:13" x14ac:dyDescent="0.25">
      <c r="A2667" s="4" t="s">
        <v>2323</v>
      </c>
      <c r="B2667" s="4" t="s">
        <v>2324</v>
      </c>
      <c r="C2667" s="4" t="s">
        <v>68</v>
      </c>
      <c r="D2667" s="10">
        <v>16</v>
      </c>
      <c r="E2667" s="11" t="s">
        <v>51</v>
      </c>
      <c r="F2667" s="10">
        <v>1520</v>
      </c>
      <c r="G2667" s="10">
        <v>0</v>
      </c>
      <c r="H2667" s="10">
        <f t="shared" si="41"/>
        <v>1520</v>
      </c>
      <c r="I2667" s="10"/>
      <c r="J2667" s="10"/>
      <c r="K2667" s="10"/>
      <c r="L2667" s="4" t="s">
        <v>69</v>
      </c>
      <c r="M2667" s="4">
        <v>2662</v>
      </c>
    </row>
    <row r="2668" spans="1:13" x14ac:dyDescent="0.25">
      <c r="A2668" s="4" t="s">
        <v>2323</v>
      </c>
      <c r="B2668" s="4" t="s">
        <v>2325</v>
      </c>
      <c r="C2668" s="4" t="s">
        <v>65</v>
      </c>
      <c r="D2668" s="10">
        <v>76</v>
      </c>
      <c r="E2668" s="12" t="s">
        <v>66</v>
      </c>
      <c r="F2668" s="10">
        <v>4300</v>
      </c>
      <c r="G2668" s="10">
        <v>0</v>
      </c>
      <c r="H2668" s="10">
        <f t="shared" si="41"/>
        <v>4300</v>
      </c>
      <c r="I2668" s="10">
        <v>93.478260869565219</v>
      </c>
      <c r="J2668" s="10">
        <v>93.478260869565219</v>
      </c>
      <c r="K2668" s="10">
        <v>93.478260869565219</v>
      </c>
      <c r="L2668" s="4"/>
      <c r="M2668" s="4">
        <v>2663</v>
      </c>
    </row>
    <row r="2669" spans="1:13" x14ac:dyDescent="0.25">
      <c r="A2669" s="4" t="s">
        <v>2326</v>
      </c>
      <c r="B2669" s="4" t="s">
        <v>425</v>
      </c>
      <c r="C2669" s="4" t="s">
        <v>68</v>
      </c>
      <c r="D2669" s="10">
        <v>70</v>
      </c>
      <c r="E2669" s="11" t="s">
        <v>51</v>
      </c>
      <c r="F2669" s="10">
        <v>3450</v>
      </c>
      <c r="G2669" s="10">
        <v>0</v>
      </c>
      <c r="H2669" s="10">
        <f t="shared" si="41"/>
        <v>3450</v>
      </c>
      <c r="I2669" s="10"/>
      <c r="J2669" s="10"/>
      <c r="K2669" s="10"/>
      <c r="L2669" s="4" t="s">
        <v>69</v>
      </c>
      <c r="M2669" s="4">
        <v>2664</v>
      </c>
    </row>
    <row r="2670" spans="1:13" x14ac:dyDescent="0.25">
      <c r="A2670" s="4" t="s">
        <v>2327</v>
      </c>
      <c r="B2670" s="4" t="s">
        <v>425</v>
      </c>
      <c r="C2670" s="4" t="s">
        <v>68</v>
      </c>
      <c r="D2670" s="10">
        <v>501</v>
      </c>
      <c r="E2670" s="11" t="s">
        <v>51</v>
      </c>
      <c r="F2670" s="10">
        <v>4600</v>
      </c>
      <c r="G2670" s="10">
        <v>0</v>
      </c>
      <c r="H2670" s="10">
        <f t="shared" si="41"/>
        <v>4600</v>
      </c>
      <c r="I2670" s="10"/>
      <c r="J2670" s="10"/>
      <c r="K2670" s="10"/>
      <c r="L2670" s="4" t="s">
        <v>69</v>
      </c>
      <c r="M2670" s="4">
        <v>2665</v>
      </c>
    </row>
    <row r="2671" spans="1:13" x14ac:dyDescent="0.25">
      <c r="A2671" s="4" t="s">
        <v>2328</v>
      </c>
      <c r="B2671" s="4" t="s">
        <v>2329</v>
      </c>
      <c r="C2671" s="9" t="s">
        <v>50</v>
      </c>
      <c r="D2671" s="10">
        <v>3</v>
      </c>
      <c r="E2671" s="11" t="s">
        <v>51</v>
      </c>
      <c r="F2671" s="10">
        <v>250</v>
      </c>
      <c r="G2671" s="10">
        <v>0</v>
      </c>
      <c r="H2671" s="10">
        <f t="shared" si="41"/>
        <v>250</v>
      </c>
      <c r="I2671" s="10"/>
      <c r="J2671" s="10"/>
      <c r="K2671" s="10"/>
      <c r="L2671" s="4" t="s">
        <v>52</v>
      </c>
      <c r="M2671" s="4">
        <v>2666</v>
      </c>
    </row>
    <row r="2672" spans="1:13" x14ac:dyDescent="0.25">
      <c r="A2672" s="4" t="s">
        <v>2328</v>
      </c>
      <c r="B2672" s="4" t="s">
        <v>2330</v>
      </c>
      <c r="C2672" s="9" t="s">
        <v>50</v>
      </c>
      <c r="D2672" s="10">
        <v>36</v>
      </c>
      <c r="E2672" s="11" t="s">
        <v>51</v>
      </c>
      <c r="F2672" s="10">
        <v>3850</v>
      </c>
      <c r="G2672" s="10">
        <v>0</v>
      </c>
      <c r="H2672" s="10">
        <f t="shared" si="41"/>
        <v>3850</v>
      </c>
      <c r="I2672" s="10"/>
      <c r="J2672" s="10"/>
      <c r="K2672" s="10"/>
      <c r="L2672" s="4" t="s">
        <v>52</v>
      </c>
      <c r="M2672" s="4">
        <v>2667</v>
      </c>
    </row>
    <row r="2673" spans="1:13" x14ac:dyDescent="0.25">
      <c r="A2673" s="4" t="s">
        <v>2328</v>
      </c>
      <c r="B2673" s="4" t="s">
        <v>2331</v>
      </c>
      <c r="C2673" s="9" t="s">
        <v>50</v>
      </c>
      <c r="D2673" s="10">
        <v>46.5</v>
      </c>
      <c r="E2673" s="11" t="s">
        <v>51</v>
      </c>
      <c r="F2673" s="10">
        <v>4950</v>
      </c>
      <c r="G2673" s="10">
        <v>0</v>
      </c>
      <c r="H2673" s="10">
        <f t="shared" si="41"/>
        <v>4950</v>
      </c>
      <c r="I2673" s="10"/>
      <c r="J2673" s="10"/>
      <c r="K2673" s="10"/>
      <c r="L2673" s="4" t="s">
        <v>52</v>
      </c>
      <c r="M2673" s="4">
        <v>2668</v>
      </c>
    </row>
    <row r="2674" spans="1:13" x14ac:dyDescent="0.25">
      <c r="A2674" s="4" t="s">
        <v>2328</v>
      </c>
      <c r="B2674" s="4" t="s">
        <v>2332</v>
      </c>
      <c r="C2674" s="9" t="s">
        <v>50</v>
      </c>
      <c r="D2674" s="10">
        <v>50.5</v>
      </c>
      <c r="E2674" s="11" t="s">
        <v>51</v>
      </c>
      <c r="F2674" s="10">
        <v>3750</v>
      </c>
      <c r="G2674" s="10">
        <v>0</v>
      </c>
      <c r="H2674" s="10">
        <f t="shared" si="41"/>
        <v>3750</v>
      </c>
      <c r="I2674" s="10"/>
      <c r="J2674" s="10"/>
      <c r="K2674" s="10"/>
      <c r="L2674" s="4" t="s">
        <v>52</v>
      </c>
      <c r="M2674" s="4">
        <v>2669</v>
      </c>
    </row>
    <row r="2675" spans="1:13" x14ac:dyDescent="0.25">
      <c r="A2675" s="4" t="s">
        <v>2328</v>
      </c>
      <c r="B2675" s="4" t="s">
        <v>2333</v>
      </c>
      <c r="C2675" s="9" t="s">
        <v>50</v>
      </c>
      <c r="D2675" s="10">
        <v>55</v>
      </c>
      <c r="E2675" s="11" t="s">
        <v>51</v>
      </c>
      <c r="F2675" s="10">
        <v>6000</v>
      </c>
      <c r="G2675" s="10">
        <v>0</v>
      </c>
      <c r="H2675" s="10">
        <f t="shared" si="41"/>
        <v>6000</v>
      </c>
      <c r="I2675" s="10"/>
      <c r="J2675" s="10"/>
      <c r="K2675" s="10"/>
      <c r="L2675" s="4" t="s">
        <v>52</v>
      </c>
      <c r="M2675" s="4">
        <v>2670</v>
      </c>
    </row>
    <row r="2676" spans="1:13" x14ac:dyDescent="0.25">
      <c r="A2676" s="4" t="s">
        <v>2328</v>
      </c>
      <c r="B2676" s="4" t="s">
        <v>2334</v>
      </c>
      <c r="C2676" s="9" t="s">
        <v>50</v>
      </c>
      <c r="D2676" s="10">
        <v>94</v>
      </c>
      <c r="E2676" s="11" t="s">
        <v>51</v>
      </c>
      <c r="F2676" s="10">
        <v>10200</v>
      </c>
      <c r="G2676" s="10">
        <v>0</v>
      </c>
      <c r="H2676" s="10">
        <f t="shared" si="41"/>
        <v>10200</v>
      </c>
      <c r="I2676" s="10"/>
      <c r="J2676" s="10"/>
      <c r="K2676" s="10"/>
      <c r="L2676" s="4" t="s">
        <v>52</v>
      </c>
      <c r="M2676" s="4">
        <v>2671</v>
      </c>
    </row>
    <row r="2677" spans="1:13" x14ac:dyDescent="0.25">
      <c r="A2677" s="4" t="s">
        <v>2328</v>
      </c>
      <c r="B2677" s="4" t="s">
        <v>2335</v>
      </c>
      <c r="C2677" s="4" t="s">
        <v>68</v>
      </c>
      <c r="D2677" s="10">
        <v>100</v>
      </c>
      <c r="E2677" s="11" t="s">
        <v>51</v>
      </c>
      <c r="F2677" s="10">
        <v>9500</v>
      </c>
      <c r="G2677" s="10">
        <v>0</v>
      </c>
      <c r="H2677" s="10">
        <f t="shared" si="41"/>
        <v>9500</v>
      </c>
      <c r="I2677" s="10"/>
      <c r="J2677" s="10"/>
      <c r="K2677" s="10"/>
      <c r="L2677" s="4" t="s">
        <v>69</v>
      </c>
      <c r="M2677" s="4">
        <v>2672</v>
      </c>
    </row>
    <row r="2678" spans="1:13" x14ac:dyDescent="0.25">
      <c r="A2678" s="4" t="s">
        <v>2328</v>
      </c>
      <c r="B2678" s="4" t="s">
        <v>118</v>
      </c>
      <c r="C2678" s="9" t="s">
        <v>50</v>
      </c>
      <c r="D2678" s="10">
        <v>28</v>
      </c>
      <c r="E2678" s="11" t="s">
        <v>51</v>
      </c>
      <c r="F2678" s="10">
        <v>1700</v>
      </c>
      <c r="G2678" s="10">
        <v>0</v>
      </c>
      <c r="H2678" s="10">
        <f t="shared" si="41"/>
        <v>1700</v>
      </c>
      <c r="I2678" s="10"/>
      <c r="J2678" s="10"/>
      <c r="K2678" s="10"/>
      <c r="L2678" s="4" t="s">
        <v>52</v>
      </c>
      <c r="M2678" s="4">
        <v>2673</v>
      </c>
    </row>
    <row r="2679" spans="1:13" x14ac:dyDescent="0.25">
      <c r="A2679" s="4" t="s">
        <v>2328</v>
      </c>
      <c r="B2679" s="4" t="s">
        <v>119</v>
      </c>
      <c r="C2679" s="9" t="s">
        <v>50</v>
      </c>
      <c r="D2679" s="10">
        <v>34</v>
      </c>
      <c r="E2679" s="11" t="s">
        <v>51</v>
      </c>
      <c r="F2679" s="10">
        <v>2100</v>
      </c>
      <c r="G2679" s="10">
        <v>0</v>
      </c>
      <c r="H2679" s="10">
        <f t="shared" si="41"/>
        <v>2100</v>
      </c>
      <c r="I2679" s="10"/>
      <c r="J2679" s="10"/>
      <c r="K2679" s="10"/>
      <c r="L2679" s="4" t="s">
        <v>52</v>
      </c>
      <c r="M2679" s="4">
        <v>2674</v>
      </c>
    </row>
    <row r="2680" spans="1:13" x14ac:dyDescent="0.25">
      <c r="A2680" s="4" t="s">
        <v>2328</v>
      </c>
      <c r="B2680" s="4" t="s">
        <v>117</v>
      </c>
      <c r="C2680" s="9" t="s">
        <v>50</v>
      </c>
      <c r="D2680" s="10">
        <v>11</v>
      </c>
      <c r="E2680" s="11" t="s">
        <v>51</v>
      </c>
      <c r="F2680" s="10">
        <v>1200</v>
      </c>
      <c r="G2680" s="10">
        <v>0</v>
      </c>
      <c r="H2680" s="10">
        <f t="shared" si="41"/>
        <v>1200</v>
      </c>
      <c r="I2680" s="10"/>
      <c r="J2680" s="10"/>
      <c r="K2680" s="10"/>
      <c r="L2680" s="4" t="s">
        <v>52</v>
      </c>
      <c r="M2680" s="4">
        <v>2675</v>
      </c>
    </row>
    <row r="2681" spans="1:13" x14ac:dyDescent="0.25">
      <c r="A2681" s="4" t="s">
        <v>2328</v>
      </c>
      <c r="B2681" s="4" t="s">
        <v>2336</v>
      </c>
      <c r="C2681" s="9" t="s">
        <v>50</v>
      </c>
      <c r="D2681" s="10">
        <v>53</v>
      </c>
      <c r="E2681" s="11" t="s">
        <v>51</v>
      </c>
      <c r="F2681" s="10">
        <v>285</v>
      </c>
      <c r="G2681" s="10">
        <v>0</v>
      </c>
      <c r="H2681" s="10">
        <f t="shared" si="41"/>
        <v>285</v>
      </c>
      <c r="I2681" s="10"/>
      <c r="J2681" s="10"/>
      <c r="K2681" s="10"/>
      <c r="L2681" s="4" t="s">
        <v>52</v>
      </c>
      <c r="M2681" s="4">
        <v>2676</v>
      </c>
    </row>
    <row r="2682" spans="1:13" x14ac:dyDescent="0.25">
      <c r="A2682" s="4" t="s">
        <v>2337</v>
      </c>
      <c r="B2682" s="4" t="s">
        <v>2338</v>
      </c>
      <c r="C2682" s="4" t="s">
        <v>65</v>
      </c>
      <c r="D2682" s="10">
        <v>90</v>
      </c>
      <c r="E2682" s="12" t="s">
        <v>66</v>
      </c>
      <c r="F2682" s="10">
        <v>5428.3</v>
      </c>
      <c r="G2682" s="10">
        <v>0</v>
      </c>
      <c r="H2682" s="10">
        <f t="shared" si="41"/>
        <v>5428.3</v>
      </c>
      <c r="I2682" s="10">
        <v>108.566</v>
      </c>
      <c r="J2682" s="10">
        <v>108.566</v>
      </c>
      <c r="K2682" s="10">
        <v>108.566</v>
      </c>
      <c r="L2682" s="4"/>
      <c r="M2682" s="4">
        <v>2677</v>
      </c>
    </row>
    <row r="2683" spans="1:13" x14ac:dyDescent="0.25">
      <c r="A2683" s="4" t="s">
        <v>2339</v>
      </c>
      <c r="B2683" s="4" t="s">
        <v>2340</v>
      </c>
      <c r="C2683" s="9" t="s">
        <v>50</v>
      </c>
      <c r="D2683" s="10">
        <v>141</v>
      </c>
      <c r="E2683" s="11" t="s">
        <v>51</v>
      </c>
      <c r="F2683" s="10">
        <v>3800</v>
      </c>
      <c r="G2683" s="10">
        <v>0</v>
      </c>
      <c r="H2683" s="10">
        <f t="shared" si="41"/>
        <v>3800</v>
      </c>
      <c r="I2683" s="10"/>
      <c r="J2683" s="10"/>
      <c r="K2683" s="10"/>
      <c r="L2683" s="4" t="s">
        <v>52</v>
      </c>
      <c r="M2683" s="4">
        <v>2678</v>
      </c>
    </row>
    <row r="2684" spans="1:13" x14ac:dyDescent="0.25">
      <c r="A2684" s="4" t="s">
        <v>2341</v>
      </c>
      <c r="B2684" s="4" t="s">
        <v>2342</v>
      </c>
      <c r="C2684" s="4" t="s">
        <v>68</v>
      </c>
      <c r="D2684" s="10">
        <v>100</v>
      </c>
      <c r="E2684" s="11" t="s">
        <v>51</v>
      </c>
      <c r="F2684" s="10">
        <v>12500</v>
      </c>
      <c r="G2684" s="10">
        <v>0</v>
      </c>
      <c r="H2684" s="10">
        <f t="shared" si="41"/>
        <v>12500</v>
      </c>
      <c r="I2684" s="10"/>
      <c r="J2684" s="10"/>
      <c r="K2684" s="10"/>
      <c r="L2684" s="4" t="s">
        <v>69</v>
      </c>
      <c r="M2684" s="4">
        <v>2679</v>
      </c>
    </row>
    <row r="2685" spans="1:13" x14ac:dyDescent="0.25">
      <c r="A2685" s="4" t="s">
        <v>2341</v>
      </c>
      <c r="B2685" s="4" t="s">
        <v>2343</v>
      </c>
      <c r="C2685" s="4" t="s">
        <v>65</v>
      </c>
      <c r="D2685" s="10">
        <v>27</v>
      </c>
      <c r="E2685" s="12" t="s">
        <v>66</v>
      </c>
      <c r="F2685" s="10">
        <v>100</v>
      </c>
      <c r="G2685" s="10">
        <v>0</v>
      </c>
      <c r="H2685" s="10">
        <f t="shared" si="41"/>
        <v>100</v>
      </c>
      <c r="I2685" s="10">
        <v>100</v>
      </c>
      <c r="J2685" s="10">
        <v>100</v>
      </c>
      <c r="K2685" s="10">
        <v>100</v>
      </c>
      <c r="L2685" s="4"/>
      <c r="M2685" s="4">
        <v>2680</v>
      </c>
    </row>
    <row r="2686" spans="1:13" x14ac:dyDescent="0.25">
      <c r="A2686" s="4" t="s">
        <v>2344</v>
      </c>
      <c r="B2686" s="4" t="s">
        <v>119</v>
      </c>
      <c r="C2686" s="9" t="s">
        <v>50</v>
      </c>
      <c r="D2686" s="10">
        <v>102</v>
      </c>
      <c r="E2686" s="11" t="s">
        <v>51</v>
      </c>
      <c r="F2686" s="10">
        <v>1650</v>
      </c>
      <c r="G2686" s="10">
        <v>0</v>
      </c>
      <c r="H2686" s="10">
        <f t="shared" si="41"/>
        <v>1650</v>
      </c>
      <c r="I2686" s="10"/>
      <c r="J2686" s="10"/>
      <c r="K2686" s="10"/>
      <c r="L2686" s="4" t="s">
        <v>52</v>
      </c>
      <c r="M2686" s="4">
        <v>2681</v>
      </c>
    </row>
    <row r="2687" spans="1:13" x14ac:dyDescent="0.25">
      <c r="A2687" s="4" t="s">
        <v>2345</v>
      </c>
      <c r="B2687" s="4" t="s">
        <v>2346</v>
      </c>
      <c r="C2687" s="4" t="s">
        <v>65</v>
      </c>
      <c r="D2687" s="10">
        <v>65</v>
      </c>
      <c r="E2687" s="12" t="s">
        <v>66</v>
      </c>
      <c r="F2687" s="10">
        <v>5700</v>
      </c>
      <c r="G2687" s="10">
        <v>0</v>
      </c>
      <c r="H2687" s="10">
        <f t="shared" si="41"/>
        <v>5700</v>
      </c>
      <c r="I2687" s="10">
        <v>87.692307692307693</v>
      </c>
      <c r="J2687" s="10">
        <v>87.692307692307693</v>
      </c>
      <c r="K2687" s="10">
        <v>87.692307692307693</v>
      </c>
      <c r="L2687" s="4"/>
      <c r="M2687" s="4">
        <v>2682</v>
      </c>
    </row>
    <row r="2688" spans="1:13" x14ac:dyDescent="0.25">
      <c r="A2688" s="4" t="s">
        <v>2345</v>
      </c>
      <c r="B2688" s="4" t="s">
        <v>800</v>
      </c>
      <c r="C2688" s="4" t="s">
        <v>65</v>
      </c>
      <c r="D2688" s="10">
        <v>46</v>
      </c>
      <c r="E2688" s="12" t="s">
        <v>66</v>
      </c>
      <c r="F2688" s="10">
        <v>900</v>
      </c>
      <c r="G2688" s="10">
        <v>0</v>
      </c>
      <c r="H2688" s="10">
        <f t="shared" si="41"/>
        <v>900</v>
      </c>
      <c r="I2688" s="10">
        <v>90</v>
      </c>
      <c r="J2688" s="10">
        <v>90</v>
      </c>
      <c r="K2688" s="10">
        <v>90</v>
      </c>
      <c r="L2688" s="4"/>
      <c r="M2688" s="4">
        <v>2683</v>
      </c>
    </row>
    <row r="2689" spans="1:13" x14ac:dyDescent="0.25">
      <c r="A2689" s="4" t="s">
        <v>2347</v>
      </c>
      <c r="B2689" s="4" t="s">
        <v>498</v>
      </c>
      <c r="C2689" s="9" t="s">
        <v>50</v>
      </c>
      <c r="D2689" s="10">
        <v>96</v>
      </c>
      <c r="E2689" s="11" t="s">
        <v>51</v>
      </c>
      <c r="F2689" s="10">
        <v>3420</v>
      </c>
      <c r="G2689" s="10">
        <v>0</v>
      </c>
      <c r="H2689" s="10">
        <f t="shared" si="41"/>
        <v>3420</v>
      </c>
      <c r="I2689" s="10"/>
      <c r="J2689" s="10"/>
      <c r="K2689" s="10"/>
      <c r="L2689" s="4" t="s">
        <v>52</v>
      </c>
      <c r="M2689" s="4">
        <v>2684</v>
      </c>
    </row>
    <row r="2690" spans="1:13" x14ac:dyDescent="0.25">
      <c r="A2690" s="4" t="s">
        <v>2348</v>
      </c>
      <c r="B2690" s="4" t="s">
        <v>2349</v>
      </c>
      <c r="C2690" s="9" t="s">
        <v>50</v>
      </c>
      <c r="D2690" s="10">
        <v>170</v>
      </c>
      <c r="E2690" s="11" t="s">
        <v>51</v>
      </c>
      <c r="F2690" s="10">
        <v>5700</v>
      </c>
      <c r="G2690" s="10">
        <v>0</v>
      </c>
      <c r="H2690" s="10">
        <f t="shared" si="41"/>
        <v>5700</v>
      </c>
      <c r="I2690" s="10"/>
      <c r="J2690" s="10"/>
      <c r="K2690" s="10"/>
      <c r="L2690" s="4" t="s">
        <v>52</v>
      </c>
      <c r="M2690" s="4">
        <v>2685</v>
      </c>
    </row>
    <row r="2691" spans="1:13" x14ac:dyDescent="0.25">
      <c r="A2691" s="4" t="s">
        <v>2350</v>
      </c>
      <c r="B2691" s="4" t="s">
        <v>2351</v>
      </c>
      <c r="C2691" s="9" t="s">
        <v>50</v>
      </c>
      <c r="D2691" s="10">
        <v>373</v>
      </c>
      <c r="E2691" s="11" t="s">
        <v>51</v>
      </c>
      <c r="F2691" s="10">
        <v>10450</v>
      </c>
      <c r="G2691" s="10">
        <v>0</v>
      </c>
      <c r="H2691" s="10">
        <f t="shared" si="41"/>
        <v>10450</v>
      </c>
      <c r="I2691" s="10"/>
      <c r="J2691" s="10"/>
      <c r="K2691" s="10"/>
      <c r="L2691" s="4" t="s">
        <v>52</v>
      </c>
      <c r="M2691" s="4">
        <v>2686</v>
      </c>
    </row>
    <row r="2692" spans="1:13" x14ac:dyDescent="0.25">
      <c r="A2692" s="4" t="s">
        <v>2352</v>
      </c>
      <c r="B2692" s="4" t="s">
        <v>2353</v>
      </c>
      <c r="C2692" s="9" t="s">
        <v>50</v>
      </c>
      <c r="D2692" s="10">
        <v>14.5</v>
      </c>
      <c r="E2692" s="11" t="s">
        <v>51</v>
      </c>
      <c r="F2692" s="10">
        <v>1350</v>
      </c>
      <c r="G2692" s="10">
        <v>0</v>
      </c>
      <c r="H2692" s="10">
        <f t="shared" si="41"/>
        <v>1350</v>
      </c>
      <c r="I2692" s="10"/>
      <c r="J2692" s="10"/>
      <c r="K2692" s="10"/>
      <c r="L2692" s="4" t="s">
        <v>52</v>
      </c>
      <c r="M2692" s="4">
        <v>2687</v>
      </c>
    </row>
    <row r="2693" spans="1:13" x14ac:dyDescent="0.25">
      <c r="A2693" s="4" t="s">
        <v>2352</v>
      </c>
      <c r="B2693" s="4" t="s">
        <v>2354</v>
      </c>
      <c r="C2693" s="9" t="s">
        <v>50</v>
      </c>
      <c r="D2693" s="10">
        <v>44</v>
      </c>
      <c r="E2693" s="11" t="s">
        <v>51</v>
      </c>
      <c r="F2693" s="10">
        <v>4000</v>
      </c>
      <c r="G2693" s="10">
        <v>0</v>
      </c>
      <c r="H2693" s="10">
        <f t="shared" si="41"/>
        <v>4000</v>
      </c>
      <c r="I2693" s="10"/>
      <c r="J2693" s="10"/>
      <c r="K2693" s="10"/>
      <c r="L2693" s="4" t="s">
        <v>52</v>
      </c>
      <c r="M2693" s="4">
        <v>2688</v>
      </c>
    </row>
    <row r="2694" spans="1:13" x14ac:dyDescent="0.25">
      <c r="A2694" s="4" t="s">
        <v>2352</v>
      </c>
      <c r="B2694" s="4" t="s">
        <v>2355</v>
      </c>
      <c r="C2694" s="9" t="s">
        <v>50</v>
      </c>
      <c r="D2694" s="10">
        <v>33</v>
      </c>
      <c r="E2694" s="11" t="s">
        <v>51</v>
      </c>
      <c r="F2694" s="10">
        <v>3000</v>
      </c>
      <c r="G2694" s="10">
        <v>0</v>
      </c>
      <c r="H2694" s="10">
        <f t="shared" ref="H2694:H2757" si="42">F2694-G2694</f>
        <v>3000</v>
      </c>
      <c r="I2694" s="10"/>
      <c r="J2694" s="10"/>
      <c r="K2694" s="10"/>
      <c r="L2694" s="4" t="s">
        <v>52</v>
      </c>
      <c r="M2694" s="4">
        <v>2689</v>
      </c>
    </row>
    <row r="2695" spans="1:13" x14ac:dyDescent="0.25">
      <c r="A2695" s="4" t="s">
        <v>2352</v>
      </c>
      <c r="B2695" s="4" t="s">
        <v>2356</v>
      </c>
      <c r="C2695" s="9" t="s">
        <v>50</v>
      </c>
      <c r="D2695" s="10">
        <v>22.5</v>
      </c>
      <c r="E2695" s="11" t="s">
        <v>51</v>
      </c>
      <c r="F2695" s="10">
        <v>2050</v>
      </c>
      <c r="G2695" s="10">
        <v>0</v>
      </c>
      <c r="H2695" s="10">
        <f t="shared" si="42"/>
        <v>2050</v>
      </c>
      <c r="I2695" s="10"/>
      <c r="J2695" s="10"/>
      <c r="K2695" s="10"/>
      <c r="L2695" s="4" t="s">
        <v>52</v>
      </c>
      <c r="M2695" s="4">
        <v>2690</v>
      </c>
    </row>
    <row r="2696" spans="1:13" x14ac:dyDescent="0.25">
      <c r="A2696" s="4" t="s">
        <v>2352</v>
      </c>
      <c r="B2696" s="4" t="s">
        <v>2357</v>
      </c>
      <c r="C2696" s="9" t="s">
        <v>50</v>
      </c>
      <c r="D2696" s="10">
        <v>44.5</v>
      </c>
      <c r="E2696" s="11" t="s">
        <v>51</v>
      </c>
      <c r="F2696" s="10">
        <v>4050</v>
      </c>
      <c r="G2696" s="10">
        <v>0</v>
      </c>
      <c r="H2696" s="10">
        <f t="shared" si="42"/>
        <v>4050</v>
      </c>
      <c r="I2696" s="10"/>
      <c r="J2696" s="10"/>
      <c r="K2696" s="10"/>
      <c r="L2696" s="4" t="s">
        <v>52</v>
      </c>
      <c r="M2696" s="4">
        <v>2691</v>
      </c>
    </row>
    <row r="2697" spans="1:13" x14ac:dyDescent="0.25">
      <c r="A2697" s="4" t="s">
        <v>2352</v>
      </c>
      <c r="B2697" s="4" t="s">
        <v>2358</v>
      </c>
      <c r="C2697" s="9" t="s">
        <v>50</v>
      </c>
      <c r="D2697" s="10">
        <v>7</v>
      </c>
      <c r="E2697" s="11" t="s">
        <v>51</v>
      </c>
      <c r="F2697" s="10">
        <v>650</v>
      </c>
      <c r="G2697" s="10">
        <v>0</v>
      </c>
      <c r="H2697" s="10">
        <f t="shared" si="42"/>
        <v>650</v>
      </c>
      <c r="I2697" s="10"/>
      <c r="J2697" s="10"/>
      <c r="K2697" s="10"/>
      <c r="L2697" s="4" t="s">
        <v>52</v>
      </c>
      <c r="M2697" s="4">
        <v>2692</v>
      </c>
    </row>
    <row r="2698" spans="1:13" x14ac:dyDescent="0.25">
      <c r="A2698" s="4" t="s">
        <v>2352</v>
      </c>
      <c r="B2698" s="4" t="s">
        <v>2359</v>
      </c>
      <c r="C2698" s="9" t="s">
        <v>50</v>
      </c>
      <c r="D2698" s="10">
        <v>7.5</v>
      </c>
      <c r="E2698" s="11" t="s">
        <v>51</v>
      </c>
      <c r="F2698" s="10">
        <v>700</v>
      </c>
      <c r="G2698" s="10">
        <v>0</v>
      </c>
      <c r="H2698" s="10">
        <f t="shared" si="42"/>
        <v>700</v>
      </c>
      <c r="I2698" s="10"/>
      <c r="J2698" s="10"/>
      <c r="K2698" s="10"/>
      <c r="L2698" s="4" t="s">
        <v>52</v>
      </c>
      <c r="M2698" s="4">
        <v>2693</v>
      </c>
    </row>
    <row r="2699" spans="1:13" x14ac:dyDescent="0.25">
      <c r="A2699" s="4" t="s">
        <v>2352</v>
      </c>
      <c r="B2699" s="4" t="s">
        <v>2360</v>
      </c>
      <c r="C2699" s="9" t="s">
        <v>50</v>
      </c>
      <c r="D2699" s="10">
        <v>50.5</v>
      </c>
      <c r="E2699" s="11" t="s">
        <v>51</v>
      </c>
      <c r="F2699" s="10">
        <v>4600</v>
      </c>
      <c r="G2699" s="10">
        <v>0</v>
      </c>
      <c r="H2699" s="10">
        <f t="shared" si="42"/>
        <v>4600</v>
      </c>
      <c r="I2699" s="10"/>
      <c r="J2699" s="10"/>
      <c r="K2699" s="10"/>
      <c r="L2699" s="4" t="s">
        <v>52</v>
      </c>
      <c r="M2699" s="4">
        <v>2694</v>
      </c>
    </row>
    <row r="2700" spans="1:13" x14ac:dyDescent="0.25">
      <c r="A2700" s="4" t="s">
        <v>2352</v>
      </c>
      <c r="B2700" s="4" t="s">
        <v>2361</v>
      </c>
      <c r="C2700" s="9" t="s">
        <v>50</v>
      </c>
      <c r="D2700" s="10">
        <v>79.5</v>
      </c>
      <c r="E2700" s="11" t="s">
        <v>51</v>
      </c>
      <c r="F2700" s="10">
        <v>3600</v>
      </c>
      <c r="G2700" s="10">
        <v>0</v>
      </c>
      <c r="H2700" s="10">
        <f t="shared" si="42"/>
        <v>3600</v>
      </c>
      <c r="I2700" s="10"/>
      <c r="J2700" s="10"/>
      <c r="K2700" s="10"/>
      <c r="L2700" s="4" t="s">
        <v>52</v>
      </c>
      <c r="M2700" s="4">
        <v>2695</v>
      </c>
    </row>
    <row r="2701" spans="1:13" x14ac:dyDescent="0.25">
      <c r="A2701" s="4" t="s">
        <v>2362</v>
      </c>
      <c r="B2701" s="4" t="s">
        <v>88</v>
      </c>
      <c r="C2701" s="9" t="s">
        <v>50</v>
      </c>
      <c r="D2701" s="10">
        <v>440</v>
      </c>
      <c r="E2701" s="11" t="s">
        <v>51</v>
      </c>
      <c r="F2701" s="10">
        <v>3600</v>
      </c>
      <c r="G2701" s="10">
        <v>0</v>
      </c>
      <c r="H2701" s="10">
        <f t="shared" si="42"/>
        <v>3600</v>
      </c>
      <c r="I2701" s="10"/>
      <c r="J2701" s="10"/>
      <c r="K2701" s="10"/>
      <c r="L2701" s="4" t="s">
        <v>52</v>
      </c>
      <c r="M2701" s="4">
        <v>2696</v>
      </c>
    </row>
    <row r="2702" spans="1:13" x14ac:dyDescent="0.25">
      <c r="A2702" s="4" t="s">
        <v>2363</v>
      </c>
      <c r="B2702" s="4" t="s">
        <v>2364</v>
      </c>
      <c r="C2702" s="9" t="s">
        <v>50</v>
      </c>
      <c r="D2702" s="10">
        <v>80</v>
      </c>
      <c r="E2702" s="11" t="s">
        <v>51</v>
      </c>
      <c r="F2702" s="10">
        <v>4750</v>
      </c>
      <c r="G2702" s="10">
        <v>0</v>
      </c>
      <c r="H2702" s="10">
        <f t="shared" si="42"/>
        <v>4750</v>
      </c>
      <c r="I2702" s="10"/>
      <c r="J2702" s="10"/>
      <c r="K2702" s="10"/>
      <c r="L2702" s="4" t="s">
        <v>52</v>
      </c>
      <c r="M2702" s="4">
        <v>2697</v>
      </c>
    </row>
    <row r="2703" spans="1:13" x14ac:dyDescent="0.25">
      <c r="A2703" s="4" t="s">
        <v>2363</v>
      </c>
      <c r="B2703" s="4" t="s">
        <v>2365</v>
      </c>
      <c r="C2703" s="9" t="s">
        <v>50</v>
      </c>
      <c r="D2703" s="10">
        <v>120</v>
      </c>
      <c r="E2703" s="11" t="s">
        <v>51</v>
      </c>
      <c r="F2703" s="10">
        <v>14250</v>
      </c>
      <c r="G2703" s="10">
        <v>0</v>
      </c>
      <c r="H2703" s="10">
        <f t="shared" si="42"/>
        <v>14250</v>
      </c>
      <c r="I2703" s="10"/>
      <c r="J2703" s="10"/>
      <c r="K2703" s="10"/>
      <c r="L2703" s="4" t="s">
        <v>52</v>
      </c>
      <c r="M2703" s="4">
        <v>2698</v>
      </c>
    </row>
    <row r="2704" spans="1:13" x14ac:dyDescent="0.25">
      <c r="A2704" s="4" t="s">
        <v>2363</v>
      </c>
      <c r="B2704" s="4" t="s">
        <v>2366</v>
      </c>
      <c r="C2704" s="9" t="s">
        <v>50</v>
      </c>
      <c r="D2704" s="10">
        <v>80</v>
      </c>
      <c r="E2704" s="11" t="s">
        <v>51</v>
      </c>
      <c r="F2704" s="10">
        <v>4750</v>
      </c>
      <c r="G2704" s="10">
        <v>0</v>
      </c>
      <c r="H2704" s="10">
        <f t="shared" si="42"/>
        <v>4750</v>
      </c>
      <c r="I2704" s="10"/>
      <c r="J2704" s="10"/>
      <c r="K2704" s="10"/>
      <c r="L2704" s="4" t="s">
        <v>52</v>
      </c>
      <c r="M2704" s="4">
        <v>2699</v>
      </c>
    </row>
    <row r="2705" spans="1:13" x14ac:dyDescent="0.25">
      <c r="A2705" s="4" t="s">
        <v>2363</v>
      </c>
      <c r="B2705" s="4" t="s">
        <v>2367</v>
      </c>
      <c r="C2705" s="9" t="s">
        <v>50</v>
      </c>
      <c r="D2705" s="10">
        <v>453</v>
      </c>
      <c r="E2705" s="11" t="s">
        <v>51</v>
      </c>
      <c r="F2705" s="10">
        <v>14250</v>
      </c>
      <c r="G2705" s="10">
        <v>0</v>
      </c>
      <c r="H2705" s="10">
        <f t="shared" si="42"/>
        <v>14250</v>
      </c>
      <c r="I2705" s="10"/>
      <c r="J2705" s="10"/>
      <c r="K2705" s="10"/>
      <c r="L2705" s="4" t="s">
        <v>52</v>
      </c>
      <c r="M2705" s="4">
        <v>2700</v>
      </c>
    </row>
    <row r="2706" spans="1:13" x14ac:dyDescent="0.25">
      <c r="A2706" s="4" t="s">
        <v>2368</v>
      </c>
      <c r="B2706" s="4" t="s">
        <v>136</v>
      </c>
      <c r="C2706" s="9" t="s">
        <v>50</v>
      </c>
      <c r="D2706" s="10">
        <v>1.5</v>
      </c>
      <c r="E2706" s="11" t="s">
        <v>51</v>
      </c>
      <c r="F2706" s="10">
        <v>200</v>
      </c>
      <c r="G2706" s="10">
        <v>0</v>
      </c>
      <c r="H2706" s="10">
        <f t="shared" si="42"/>
        <v>200</v>
      </c>
      <c r="I2706" s="10"/>
      <c r="J2706" s="10"/>
      <c r="K2706" s="10"/>
      <c r="L2706" s="4" t="s">
        <v>52</v>
      </c>
      <c r="M2706" s="4">
        <v>2701</v>
      </c>
    </row>
    <row r="2707" spans="1:13" x14ac:dyDescent="0.25">
      <c r="A2707" s="4" t="s">
        <v>2368</v>
      </c>
      <c r="B2707" s="4" t="s">
        <v>82</v>
      </c>
      <c r="C2707" s="9" t="s">
        <v>50</v>
      </c>
      <c r="D2707" s="10">
        <v>40.5</v>
      </c>
      <c r="E2707" s="11" t="s">
        <v>51</v>
      </c>
      <c r="F2707" s="10">
        <v>4300</v>
      </c>
      <c r="G2707" s="10">
        <v>0</v>
      </c>
      <c r="H2707" s="10">
        <f t="shared" si="42"/>
        <v>4300</v>
      </c>
      <c r="I2707" s="10"/>
      <c r="J2707" s="10"/>
      <c r="K2707" s="10"/>
      <c r="L2707" s="4" t="s">
        <v>52</v>
      </c>
      <c r="M2707" s="4">
        <v>2702</v>
      </c>
    </row>
    <row r="2708" spans="1:13" x14ac:dyDescent="0.25">
      <c r="A2708" s="4" t="s">
        <v>2368</v>
      </c>
      <c r="B2708" s="4" t="s">
        <v>2369</v>
      </c>
      <c r="C2708" s="9" t="s">
        <v>50</v>
      </c>
      <c r="D2708" s="10">
        <v>8</v>
      </c>
      <c r="E2708" s="11" t="s">
        <v>51</v>
      </c>
      <c r="F2708" s="10">
        <v>760</v>
      </c>
      <c r="G2708" s="10">
        <v>0</v>
      </c>
      <c r="H2708" s="10">
        <f t="shared" si="42"/>
        <v>760</v>
      </c>
      <c r="I2708" s="10"/>
      <c r="J2708" s="10"/>
      <c r="K2708" s="10"/>
      <c r="L2708" s="4" t="s">
        <v>52</v>
      </c>
      <c r="M2708" s="4">
        <v>2703</v>
      </c>
    </row>
    <row r="2709" spans="1:13" x14ac:dyDescent="0.25">
      <c r="A2709" s="4" t="s">
        <v>2368</v>
      </c>
      <c r="B2709" s="4" t="s">
        <v>88</v>
      </c>
      <c r="C2709" s="9" t="s">
        <v>50</v>
      </c>
      <c r="D2709" s="10">
        <v>59.5</v>
      </c>
      <c r="E2709" s="11" t="s">
        <v>51</v>
      </c>
      <c r="F2709" s="10">
        <v>6300</v>
      </c>
      <c r="G2709" s="10">
        <v>0</v>
      </c>
      <c r="H2709" s="10">
        <f t="shared" si="42"/>
        <v>6300</v>
      </c>
      <c r="I2709" s="10"/>
      <c r="J2709" s="10"/>
      <c r="K2709" s="10"/>
      <c r="L2709" s="4" t="s">
        <v>52</v>
      </c>
      <c r="M2709" s="4">
        <v>2704</v>
      </c>
    </row>
    <row r="2710" spans="1:13" x14ac:dyDescent="0.25">
      <c r="A2710" s="4" t="s">
        <v>2368</v>
      </c>
      <c r="B2710" s="4" t="s">
        <v>137</v>
      </c>
      <c r="C2710" s="9" t="s">
        <v>50</v>
      </c>
      <c r="D2710" s="10">
        <v>61.5</v>
      </c>
      <c r="E2710" s="11" t="s">
        <v>51</v>
      </c>
      <c r="F2710" s="10">
        <v>4800</v>
      </c>
      <c r="G2710" s="10">
        <v>0</v>
      </c>
      <c r="H2710" s="10">
        <f t="shared" si="42"/>
        <v>4800</v>
      </c>
      <c r="I2710" s="10"/>
      <c r="J2710" s="10"/>
      <c r="K2710" s="10"/>
      <c r="L2710" s="4" t="s">
        <v>52</v>
      </c>
      <c r="M2710" s="4">
        <v>2705</v>
      </c>
    </row>
    <row r="2711" spans="1:13" x14ac:dyDescent="0.25">
      <c r="A2711" s="4" t="s">
        <v>2368</v>
      </c>
      <c r="B2711" s="4" t="s">
        <v>2370</v>
      </c>
      <c r="C2711" s="9" t="s">
        <v>50</v>
      </c>
      <c r="D2711" s="10">
        <v>344</v>
      </c>
      <c r="E2711" s="11" t="s">
        <v>51</v>
      </c>
      <c r="F2711" s="10">
        <v>15400</v>
      </c>
      <c r="G2711" s="10">
        <v>0</v>
      </c>
      <c r="H2711" s="10">
        <f t="shared" si="42"/>
        <v>15400</v>
      </c>
      <c r="I2711" s="10"/>
      <c r="J2711" s="10"/>
      <c r="K2711" s="10"/>
      <c r="L2711" s="4" t="s">
        <v>52</v>
      </c>
      <c r="M2711" s="4">
        <v>2706</v>
      </c>
    </row>
    <row r="2712" spans="1:13" x14ac:dyDescent="0.25">
      <c r="A2712" s="4" t="s">
        <v>2371</v>
      </c>
      <c r="B2712" s="4" t="s">
        <v>2372</v>
      </c>
      <c r="C2712" s="9" t="s">
        <v>50</v>
      </c>
      <c r="D2712" s="10">
        <v>120</v>
      </c>
      <c r="E2712" s="11" t="s">
        <v>51</v>
      </c>
      <c r="F2712" s="10">
        <v>12550</v>
      </c>
      <c r="G2712" s="10">
        <v>0</v>
      </c>
      <c r="H2712" s="10">
        <f t="shared" si="42"/>
        <v>12550</v>
      </c>
      <c r="I2712" s="10"/>
      <c r="J2712" s="10"/>
      <c r="K2712" s="10"/>
      <c r="L2712" s="4" t="s">
        <v>52</v>
      </c>
      <c r="M2712" s="4">
        <v>2707</v>
      </c>
    </row>
    <row r="2713" spans="1:13" x14ac:dyDescent="0.25">
      <c r="A2713" s="4" t="s">
        <v>2371</v>
      </c>
      <c r="B2713" s="4" t="s">
        <v>2373</v>
      </c>
      <c r="C2713" s="9" t="s">
        <v>50</v>
      </c>
      <c r="D2713" s="10">
        <v>30</v>
      </c>
      <c r="E2713" s="11" t="s">
        <v>51</v>
      </c>
      <c r="F2713" s="10">
        <v>2850</v>
      </c>
      <c r="G2713" s="10">
        <v>0</v>
      </c>
      <c r="H2713" s="10">
        <f t="shared" si="42"/>
        <v>2850</v>
      </c>
      <c r="I2713" s="10"/>
      <c r="J2713" s="10"/>
      <c r="K2713" s="10"/>
      <c r="L2713" s="4" t="s">
        <v>52</v>
      </c>
      <c r="M2713" s="4">
        <v>2708</v>
      </c>
    </row>
    <row r="2714" spans="1:13" x14ac:dyDescent="0.25">
      <c r="A2714" s="4" t="s">
        <v>2371</v>
      </c>
      <c r="B2714" s="4" t="s">
        <v>2374</v>
      </c>
      <c r="C2714" s="9" t="s">
        <v>50</v>
      </c>
      <c r="D2714" s="10">
        <v>60</v>
      </c>
      <c r="E2714" s="11" t="s">
        <v>51</v>
      </c>
      <c r="F2714" s="10">
        <v>3350</v>
      </c>
      <c r="G2714" s="10">
        <v>0</v>
      </c>
      <c r="H2714" s="10">
        <f t="shared" si="42"/>
        <v>3350</v>
      </c>
      <c r="I2714" s="10"/>
      <c r="J2714" s="10"/>
      <c r="K2714" s="10"/>
      <c r="L2714" s="4" t="s">
        <v>52</v>
      </c>
      <c r="M2714" s="4">
        <v>2709</v>
      </c>
    </row>
    <row r="2715" spans="1:13" x14ac:dyDescent="0.25">
      <c r="A2715" s="4" t="s">
        <v>2375</v>
      </c>
      <c r="B2715" s="4" t="s">
        <v>362</v>
      </c>
      <c r="C2715" s="9" t="s">
        <v>50</v>
      </c>
      <c r="D2715" s="10">
        <v>68</v>
      </c>
      <c r="E2715" s="11" t="s">
        <v>51</v>
      </c>
      <c r="F2715" s="10">
        <v>2660</v>
      </c>
      <c r="G2715" s="10">
        <v>0</v>
      </c>
      <c r="H2715" s="10">
        <f t="shared" si="42"/>
        <v>2660</v>
      </c>
      <c r="I2715" s="10"/>
      <c r="J2715" s="10"/>
      <c r="K2715" s="10"/>
      <c r="L2715" s="4" t="s">
        <v>52</v>
      </c>
      <c r="M2715" s="4">
        <v>2710</v>
      </c>
    </row>
    <row r="2716" spans="1:13" x14ac:dyDescent="0.25">
      <c r="A2716" s="4" t="s">
        <v>2376</v>
      </c>
      <c r="B2716" s="4" t="s">
        <v>2377</v>
      </c>
      <c r="C2716" s="4" t="s">
        <v>68</v>
      </c>
      <c r="D2716" s="10">
        <v>132</v>
      </c>
      <c r="E2716" s="12" t="s">
        <v>66</v>
      </c>
      <c r="F2716" s="10">
        <v>11460</v>
      </c>
      <c r="G2716" s="10">
        <v>0</v>
      </c>
      <c r="H2716" s="10">
        <f t="shared" si="42"/>
        <v>11460</v>
      </c>
      <c r="I2716" s="10">
        <v>86.818181818181813</v>
      </c>
      <c r="J2716" s="10">
        <v>86.818181818181813</v>
      </c>
      <c r="K2716" s="10">
        <v>86.818181818181813</v>
      </c>
      <c r="L2716" s="4"/>
      <c r="M2716" s="4">
        <v>2711</v>
      </c>
    </row>
    <row r="2717" spans="1:13" x14ac:dyDescent="0.25">
      <c r="A2717" s="4" t="s">
        <v>2376</v>
      </c>
      <c r="B2717" s="4" t="s">
        <v>2378</v>
      </c>
      <c r="C2717" s="4" t="s">
        <v>68</v>
      </c>
      <c r="D2717" s="10">
        <v>484</v>
      </c>
      <c r="E2717" s="11" t="s">
        <v>51</v>
      </c>
      <c r="F2717" s="10">
        <v>4800</v>
      </c>
      <c r="G2717" s="10">
        <v>0</v>
      </c>
      <c r="H2717" s="10">
        <f t="shared" si="42"/>
        <v>4800</v>
      </c>
      <c r="I2717" s="10"/>
      <c r="J2717" s="10"/>
      <c r="K2717" s="10"/>
      <c r="L2717" s="4" t="s">
        <v>69</v>
      </c>
      <c r="M2717" s="4">
        <v>2712</v>
      </c>
    </row>
    <row r="2718" spans="1:13" x14ac:dyDescent="0.25">
      <c r="A2718" s="4" t="s">
        <v>2379</v>
      </c>
      <c r="B2718" s="4" t="s">
        <v>2380</v>
      </c>
      <c r="C2718" s="9" t="s">
        <v>50</v>
      </c>
      <c r="D2718" s="10">
        <v>120</v>
      </c>
      <c r="E2718" s="11" t="s">
        <v>51</v>
      </c>
      <c r="F2718" s="10">
        <v>10800</v>
      </c>
      <c r="G2718" s="10">
        <v>0</v>
      </c>
      <c r="H2718" s="10">
        <f t="shared" si="42"/>
        <v>10800</v>
      </c>
      <c r="I2718" s="10"/>
      <c r="J2718" s="10"/>
      <c r="K2718" s="10"/>
      <c r="L2718" s="4" t="s">
        <v>52</v>
      </c>
      <c r="M2718" s="4">
        <v>2713</v>
      </c>
    </row>
    <row r="2719" spans="1:13" x14ac:dyDescent="0.25">
      <c r="A2719" s="4" t="s">
        <v>2379</v>
      </c>
      <c r="B2719" s="4" t="s">
        <v>2381</v>
      </c>
      <c r="C2719" s="9" t="s">
        <v>50</v>
      </c>
      <c r="D2719" s="10">
        <v>12</v>
      </c>
      <c r="E2719" s="11" t="s">
        <v>51</v>
      </c>
      <c r="F2719" s="10">
        <v>750</v>
      </c>
      <c r="G2719" s="10">
        <v>0</v>
      </c>
      <c r="H2719" s="10">
        <f t="shared" si="42"/>
        <v>750</v>
      </c>
      <c r="I2719" s="10"/>
      <c r="J2719" s="10"/>
      <c r="K2719" s="10"/>
      <c r="L2719" s="4" t="s">
        <v>52</v>
      </c>
      <c r="M2719" s="4">
        <v>2714</v>
      </c>
    </row>
    <row r="2720" spans="1:13" x14ac:dyDescent="0.25">
      <c r="A2720" s="4" t="s">
        <v>2379</v>
      </c>
      <c r="B2720" s="4" t="s">
        <v>2382</v>
      </c>
      <c r="C2720" s="9" t="s">
        <v>50</v>
      </c>
      <c r="D2720" s="10">
        <v>8</v>
      </c>
      <c r="E2720" s="11" t="s">
        <v>51</v>
      </c>
      <c r="F2720" s="10">
        <v>720</v>
      </c>
      <c r="G2720" s="10">
        <v>0</v>
      </c>
      <c r="H2720" s="10">
        <f t="shared" si="42"/>
        <v>720</v>
      </c>
      <c r="I2720" s="10"/>
      <c r="J2720" s="10"/>
      <c r="K2720" s="10"/>
      <c r="L2720" s="4" t="s">
        <v>52</v>
      </c>
      <c r="M2720" s="4">
        <v>2715</v>
      </c>
    </row>
    <row r="2721" spans="1:13" x14ac:dyDescent="0.25">
      <c r="A2721" s="4" t="s">
        <v>2379</v>
      </c>
      <c r="B2721" s="4" t="s">
        <v>2383</v>
      </c>
      <c r="C2721" s="9" t="s">
        <v>50</v>
      </c>
      <c r="D2721" s="10">
        <v>32</v>
      </c>
      <c r="E2721" s="11" t="s">
        <v>51</v>
      </c>
      <c r="F2721" s="10">
        <v>2880</v>
      </c>
      <c r="G2721" s="10">
        <v>0</v>
      </c>
      <c r="H2721" s="10">
        <f t="shared" si="42"/>
        <v>2880</v>
      </c>
      <c r="I2721" s="10"/>
      <c r="J2721" s="10"/>
      <c r="K2721" s="10"/>
      <c r="L2721" s="4" t="s">
        <v>52</v>
      </c>
      <c r="M2721" s="4">
        <v>2716</v>
      </c>
    </row>
    <row r="2722" spans="1:13" x14ac:dyDescent="0.25">
      <c r="A2722" s="4" t="s">
        <v>2379</v>
      </c>
      <c r="B2722" s="4" t="s">
        <v>2384</v>
      </c>
      <c r="C2722" s="9" t="s">
        <v>50</v>
      </c>
      <c r="D2722" s="10">
        <v>64</v>
      </c>
      <c r="E2722" s="11" t="s">
        <v>51</v>
      </c>
      <c r="F2722" s="10">
        <v>5760</v>
      </c>
      <c r="G2722" s="10">
        <v>0</v>
      </c>
      <c r="H2722" s="10">
        <f t="shared" si="42"/>
        <v>5760</v>
      </c>
      <c r="I2722" s="10"/>
      <c r="J2722" s="10"/>
      <c r="K2722" s="10"/>
      <c r="L2722" s="4" t="s">
        <v>52</v>
      </c>
      <c r="M2722" s="4">
        <v>2717</v>
      </c>
    </row>
    <row r="2723" spans="1:13" x14ac:dyDescent="0.25">
      <c r="A2723" s="4" t="s">
        <v>2379</v>
      </c>
      <c r="B2723" s="4" t="s">
        <v>2385</v>
      </c>
      <c r="C2723" s="9" t="s">
        <v>50</v>
      </c>
      <c r="D2723" s="10">
        <v>40</v>
      </c>
      <c r="E2723" s="11" t="s">
        <v>51</v>
      </c>
      <c r="F2723" s="10">
        <v>2200</v>
      </c>
      <c r="G2723" s="10">
        <v>0</v>
      </c>
      <c r="H2723" s="10">
        <f t="shared" si="42"/>
        <v>2200</v>
      </c>
      <c r="I2723" s="10"/>
      <c r="J2723" s="10"/>
      <c r="K2723" s="10"/>
      <c r="L2723" s="4" t="s">
        <v>52</v>
      </c>
      <c r="M2723" s="4">
        <v>2718</v>
      </c>
    </row>
    <row r="2724" spans="1:13" x14ac:dyDescent="0.25">
      <c r="A2724" s="4" t="s">
        <v>2379</v>
      </c>
      <c r="B2724" s="4" t="s">
        <v>2386</v>
      </c>
      <c r="C2724" s="9" t="s">
        <v>50</v>
      </c>
      <c r="D2724" s="10">
        <v>36</v>
      </c>
      <c r="E2724" s="11" t="s">
        <v>51</v>
      </c>
      <c r="F2724" s="10">
        <v>3240</v>
      </c>
      <c r="G2724" s="10">
        <v>0</v>
      </c>
      <c r="H2724" s="10">
        <f t="shared" si="42"/>
        <v>3240</v>
      </c>
      <c r="I2724" s="10"/>
      <c r="J2724" s="10"/>
      <c r="K2724" s="10"/>
      <c r="L2724" s="4" t="s">
        <v>52</v>
      </c>
      <c r="M2724" s="4">
        <v>2719</v>
      </c>
    </row>
    <row r="2725" spans="1:13" x14ac:dyDescent="0.25">
      <c r="A2725" s="4" t="s">
        <v>2387</v>
      </c>
      <c r="B2725" s="4" t="s">
        <v>2388</v>
      </c>
      <c r="C2725" s="4" t="s">
        <v>65</v>
      </c>
      <c r="D2725" s="10">
        <v>100</v>
      </c>
      <c r="E2725" s="12" t="s">
        <v>66</v>
      </c>
      <c r="F2725" s="10">
        <v>11900</v>
      </c>
      <c r="G2725" s="10">
        <v>0</v>
      </c>
      <c r="H2725" s="10">
        <f t="shared" si="42"/>
        <v>11900</v>
      </c>
      <c r="I2725" s="10">
        <v>119</v>
      </c>
      <c r="J2725" s="10">
        <v>119</v>
      </c>
      <c r="K2725" s="10">
        <v>119</v>
      </c>
      <c r="L2725" s="4"/>
      <c r="M2725" s="4">
        <v>2720</v>
      </c>
    </row>
    <row r="2726" spans="1:13" x14ac:dyDescent="0.25">
      <c r="A2726" s="4" t="s">
        <v>2387</v>
      </c>
      <c r="B2726" s="4" t="s">
        <v>2389</v>
      </c>
      <c r="C2726" s="4" t="s">
        <v>68</v>
      </c>
      <c r="D2726" s="10">
        <v>74</v>
      </c>
      <c r="E2726" s="11" t="s">
        <v>51</v>
      </c>
      <c r="F2726" s="10">
        <v>6000</v>
      </c>
      <c r="G2726" s="10">
        <v>0</v>
      </c>
      <c r="H2726" s="10">
        <f t="shared" si="42"/>
        <v>6000</v>
      </c>
      <c r="I2726" s="10"/>
      <c r="J2726" s="10"/>
      <c r="K2726" s="10"/>
      <c r="L2726" s="4" t="s">
        <v>69</v>
      </c>
      <c r="M2726" s="4">
        <v>2721</v>
      </c>
    </row>
    <row r="2727" spans="1:13" x14ac:dyDescent="0.25">
      <c r="A2727" s="4" t="s">
        <v>2390</v>
      </c>
      <c r="B2727" s="4" t="s">
        <v>2391</v>
      </c>
      <c r="C2727" s="4" t="s">
        <v>68</v>
      </c>
      <c r="D2727" s="10">
        <v>44</v>
      </c>
      <c r="E2727" s="11" t="s">
        <v>51</v>
      </c>
      <c r="F2727" s="10">
        <v>2040</v>
      </c>
      <c r="G2727" s="10">
        <v>0</v>
      </c>
      <c r="H2727" s="10">
        <f t="shared" si="42"/>
        <v>2040</v>
      </c>
      <c r="I2727" s="10"/>
      <c r="J2727" s="10"/>
      <c r="K2727" s="10"/>
      <c r="L2727" s="4" t="s">
        <v>69</v>
      </c>
      <c r="M2727" s="4">
        <v>2722</v>
      </c>
    </row>
    <row r="2728" spans="1:13" x14ac:dyDescent="0.25">
      <c r="A2728" s="4" t="s">
        <v>2392</v>
      </c>
      <c r="B2728" s="4" t="s">
        <v>118</v>
      </c>
      <c r="C2728" s="9" t="s">
        <v>50</v>
      </c>
      <c r="D2728" s="10">
        <v>39</v>
      </c>
      <c r="E2728" s="11" t="s">
        <v>51</v>
      </c>
      <c r="F2728" s="10">
        <v>1200</v>
      </c>
      <c r="G2728" s="10">
        <v>0</v>
      </c>
      <c r="H2728" s="10">
        <f t="shared" si="42"/>
        <v>1200</v>
      </c>
      <c r="I2728" s="10"/>
      <c r="J2728" s="10"/>
      <c r="K2728" s="10"/>
      <c r="L2728" s="4" t="s">
        <v>52</v>
      </c>
      <c r="M2728" s="4">
        <v>2723</v>
      </c>
    </row>
    <row r="2729" spans="1:13" x14ac:dyDescent="0.25">
      <c r="A2729" s="4" t="s">
        <v>2393</v>
      </c>
      <c r="B2729" s="4" t="s">
        <v>2394</v>
      </c>
      <c r="C2729" s="9" t="s">
        <v>50</v>
      </c>
      <c r="D2729" s="10">
        <v>251</v>
      </c>
      <c r="E2729" s="11" t="s">
        <v>51</v>
      </c>
      <c r="F2729" s="10">
        <v>1420</v>
      </c>
      <c r="G2729" s="10">
        <v>0</v>
      </c>
      <c r="H2729" s="10">
        <f t="shared" si="42"/>
        <v>1420</v>
      </c>
      <c r="I2729" s="10"/>
      <c r="J2729" s="10"/>
      <c r="K2729" s="10"/>
      <c r="L2729" s="4" t="s">
        <v>52</v>
      </c>
      <c r="M2729" s="4">
        <v>2724</v>
      </c>
    </row>
    <row r="2730" spans="1:13" x14ac:dyDescent="0.25">
      <c r="A2730" s="4" t="s">
        <v>2395</v>
      </c>
      <c r="B2730" s="4" t="s">
        <v>1986</v>
      </c>
      <c r="C2730" s="9" t="s">
        <v>50</v>
      </c>
      <c r="D2730" s="10">
        <v>1</v>
      </c>
      <c r="E2730" s="11" t="s">
        <v>51</v>
      </c>
      <c r="F2730" s="10">
        <v>146.30000000000001</v>
      </c>
      <c r="G2730" s="10">
        <v>0</v>
      </c>
      <c r="H2730" s="10">
        <f t="shared" si="42"/>
        <v>146.30000000000001</v>
      </c>
      <c r="I2730" s="10"/>
      <c r="J2730" s="10"/>
      <c r="K2730" s="10"/>
      <c r="L2730" s="4" t="s">
        <v>52</v>
      </c>
      <c r="M2730" s="4">
        <v>2725</v>
      </c>
    </row>
    <row r="2731" spans="1:13" x14ac:dyDescent="0.25">
      <c r="A2731" s="4" t="s">
        <v>2395</v>
      </c>
      <c r="B2731" s="4" t="s">
        <v>1987</v>
      </c>
      <c r="C2731" s="9" t="s">
        <v>50</v>
      </c>
      <c r="D2731" s="10">
        <v>28</v>
      </c>
      <c r="E2731" s="11" t="s">
        <v>51</v>
      </c>
      <c r="F2731" s="10">
        <v>2844.3</v>
      </c>
      <c r="G2731" s="10">
        <v>0</v>
      </c>
      <c r="H2731" s="10">
        <f t="shared" si="42"/>
        <v>2844.3</v>
      </c>
      <c r="I2731" s="10"/>
      <c r="J2731" s="10"/>
      <c r="K2731" s="10"/>
      <c r="L2731" s="4" t="s">
        <v>52</v>
      </c>
      <c r="M2731" s="4">
        <v>2726</v>
      </c>
    </row>
    <row r="2732" spans="1:13" x14ac:dyDescent="0.25">
      <c r="A2732" s="4" t="s">
        <v>2395</v>
      </c>
      <c r="B2732" s="4" t="s">
        <v>1988</v>
      </c>
      <c r="C2732" s="9" t="s">
        <v>50</v>
      </c>
      <c r="D2732" s="10">
        <v>36</v>
      </c>
      <c r="E2732" s="11" t="s">
        <v>51</v>
      </c>
      <c r="F2732" s="10">
        <v>3617.6</v>
      </c>
      <c r="G2732" s="10">
        <v>0</v>
      </c>
      <c r="H2732" s="10">
        <f t="shared" si="42"/>
        <v>3617.6</v>
      </c>
      <c r="I2732" s="10"/>
      <c r="J2732" s="10"/>
      <c r="K2732" s="10"/>
      <c r="L2732" s="4" t="s">
        <v>52</v>
      </c>
      <c r="M2732" s="4">
        <v>2727</v>
      </c>
    </row>
    <row r="2733" spans="1:13" x14ac:dyDescent="0.25">
      <c r="A2733" s="4" t="s">
        <v>2395</v>
      </c>
      <c r="B2733" s="4" t="s">
        <v>1989</v>
      </c>
      <c r="C2733" s="9" t="s">
        <v>50</v>
      </c>
      <c r="D2733" s="10">
        <v>28</v>
      </c>
      <c r="E2733" s="11" t="s">
        <v>51</v>
      </c>
      <c r="F2733" s="10">
        <v>2844.3</v>
      </c>
      <c r="G2733" s="10">
        <v>0</v>
      </c>
      <c r="H2733" s="10">
        <f t="shared" si="42"/>
        <v>2844.3</v>
      </c>
      <c r="I2733" s="10"/>
      <c r="J2733" s="10"/>
      <c r="K2733" s="10"/>
      <c r="L2733" s="4" t="s">
        <v>52</v>
      </c>
      <c r="M2733" s="4">
        <v>2728</v>
      </c>
    </row>
    <row r="2734" spans="1:13" x14ac:dyDescent="0.25">
      <c r="A2734" s="4" t="s">
        <v>2395</v>
      </c>
      <c r="B2734" s="4" t="s">
        <v>1999</v>
      </c>
      <c r="C2734" s="9" t="s">
        <v>50</v>
      </c>
      <c r="D2734" s="10">
        <v>34</v>
      </c>
      <c r="E2734" s="11" t="s">
        <v>51</v>
      </c>
      <c r="F2734" s="10">
        <v>3423.8</v>
      </c>
      <c r="G2734" s="10">
        <v>0</v>
      </c>
      <c r="H2734" s="10">
        <f t="shared" si="42"/>
        <v>3423.8</v>
      </c>
      <c r="I2734" s="10"/>
      <c r="J2734" s="10"/>
      <c r="K2734" s="10"/>
      <c r="L2734" s="4" t="s">
        <v>52</v>
      </c>
      <c r="M2734" s="4">
        <v>2729</v>
      </c>
    </row>
    <row r="2735" spans="1:13" x14ac:dyDescent="0.25">
      <c r="A2735" s="4" t="s">
        <v>2395</v>
      </c>
      <c r="B2735" s="4" t="s">
        <v>2002</v>
      </c>
      <c r="C2735" s="9" t="s">
        <v>50</v>
      </c>
      <c r="D2735" s="10">
        <v>61</v>
      </c>
      <c r="E2735" s="11" t="s">
        <v>51</v>
      </c>
      <c r="F2735" s="10">
        <v>6123.7</v>
      </c>
      <c r="G2735" s="10">
        <v>0</v>
      </c>
      <c r="H2735" s="10">
        <f t="shared" si="42"/>
        <v>6123.7</v>
      </c>
      <c r="I2735" s="10"/>
      <c r="J2735" s="10"/>
      <c r="K2735" s="10"/>
      <c r="L2735" s="4" t="s">
        <v>52</v>
      </c>
      <c r="M2735" s="4">
        <v>2730</v>
      </c>
    </row>
    <row r="2736" spans="1:13" x14ac:dyDescent="0.25">
      <c r="A2736" s="4" t="s">
        <v>2395</v>
      </c>
      <c r="B2736" s="4" t="s">
        <v>2396</v>
      </c>
      <c r="C2736" s="9" t="s">
        <v>50</v>
      </c>
      <c r="D2736" s="10">
        <v>100.5</v>
      </c>
      <c r="E2736" s="11" t="s">
        <v>51</v>
      </c>
      <c r="F2736" s="10">
        <v>2800</v>
      </c>
      <c r="G2736" s="10">
        <v>0</v>
      </c>
      <c r="H2736" s="10">
        <f t="shared" si="42"/>
        <v>2800</v>
      </c>
      <c r="I2736" s="10"/>
      <c r="J2736" s="10"/>
      <c r="K2736" s="10"/>
      <c r="L2736" s="4" t="s">
        <v>52</v>
      </c>
      <c r="M2736" s="4">
        <v>2731</v>
      </c>
    </row>
    <row r="2737" spans="1:13" x14ac:dyDescent="0.25">
      <c r="A2737" s="4" t="s">
        <v>2397</v>
      </c>
      <c r="B2737" s="4" t="s">
        <v>2398</v>
      </c>
      <c r="C2737" s="9" t="s">
        <v>50</v>
      </c>
      <c r="D2737" s="10">
        <v>13</v>
      </c>
      <c r="E2737" s="11" t="s">
        <v>51</v>
      </c>
      <c r="F2737" s="10">
        <v>1400</v>
      </c>
      <c r="G2737" s="10">
        <v>0</v>
      </c>
      <c r="H2737" s="10">
        <f t="shared" si="42"/>
        <v>1400</v>
      </c>
      <c r="I2737" s="10"/>
      <c r="J2737" s="10"/>
      <c r="K2737" s="10"/>
      <c r="L2737" s="4" t="s">
        <v>52</v>
      </c>
      <c r="M2737" s="4">
        <v>2732</v>
      </c>
    </row>
    <row r="2738" spans="1:13" x14ac:dyDescent="0.25">
      <c r="A2738" s="4" t="s">
        <v>2397</v>
      </c>
      <c r="B2738" s="4" t="s">
        <v>2399</v>
      </c>
      <c r="C2738" s="4" t="s">
        <v>65</v>
      </c>
      <c r="D2738" s="10">
        <v>43.5</v>
      </c>
      <c r="E2738" s="12" t="s">
        <v>66</v>
      </c>
      <c r="F2738" s="10">
        <v>5550</v>
      </c>
      <c r="G2738" s="10">
        <v>0</v>
      </c>
      <c r="H2738" s="10">
        <f t="shared" si="42"/>
        <v>5550</v>
      </c>
      <c r="I2738" s="10">
        <v>127.5862068965517</v>
      </c>
      <c r="J2738" s="10">
        <v>127.5862068965517</v>
      </c>
      <c r="K2738" s="10">
        <v>127.5862068965517</v>
      </c>
      <c r="L2738" s="4"/>
      <c r="M2738" s="4">
        <v>2733</v>
      </c>
    </row>
    <row r="2739" spans="1:13" x14ac:dyDescent="0.25">
      <c r="A2739" s="4" t="s">
        <v>2397</v>
      </c>
      <c r="B2739" s="4" t="s">
        <v>2400</v>
      </c>
      <c r="C2739" s="4" t="s">
        <v>65</v>
      </c>
      <c r="D2739" s="10">
        <v>40.25</v>
      </c>
      <c r="E2739" s="11" t="s">
        <v>51</v>
      </c>
      <c r="F2739" s="10"/>
      <c r="G2739" s="10">
        <v>0</v>
      </c>
      <c r="H2739" s="10">
        <f t="shared" si="42"/>
        <v>0</v>
      </c>
      <c r="I2739" s="10"/>
      <c r="J2739" s="10"/>
      <c r="K2739" s="10"/>
      <c r="L2739" s="4" t="s">
        <v>69</v>
      </c>
      <c r="M2739" s="4">
        <v>2734</v>
      </c>
    </row>
    <row r="2740" spans="1:13" x14ac:dyDescent="0.25">
      <c r="A2740" s="4" t="s">
        <v>2401</v>
      </c>
      <c r="B2740" s="4" t="s">
        <v>2402</v>
      </c>
      <c r="C2740" s="9" t="s">
        <v>50</v>
      </c>
      <c r="D2740" s="10">
        <v>0.75</v>
      </c>
      <c r="E2740" s="11" t="s">
        <v>51</v>
      </c>
      <c r="F2740" s="10">
        <v>70</v>
      </c>
      <c r="G2740" s="10">
        <v>0</v>
      </c>
      <c r="H2740" s="10">
        <f t="shared" si="42"/>
        <v>70</v>
      </c>
      <c r="I2740" s="10"/>
      <c r="J2740" s="10"/>
      <c r="K2740" s="10"/>
      <c r="L2740" s="4" t="s">
        <v>52</v>
      </c>
      <c r="M2740" s="4">
        <v>2735</v>
      </c>
    </row>
    <row r="2741" spans="1:13" x14ac:dyDescent="0.25">
      <c r="A2741" s="4" t="s">
        <v>2401</v>
      </c>
      <c r="B2741" s="4" t="s">
        <v>2403</v>
      </c>
      <c r="C2741" s="9" t="s">
        <v>50</v>
      </c>
      <c r="D2741" s="10">
        <v>1</v>
      </c>
      <c r="E2741" s="11" t="s">
        <v>51</v>
      </c>
      <c r="F2741" s="10">
        <v>100</v>
      </c>
      <c r="G2741" s="10">
        <v>0</v>
      </c>
      <c r="H2741" s="10">
        <f t="shared" si="42"/>
        <v>100</v>
      </c>
      <c r="I2741" s="10"/>
      <c r="J2741" s="10"/>
      <c r="K2741" s="10"/>
      <c r="L2741" s="4" t="s">
        <v>52</v>
      </c>
      <c r="M2741" s="4">
        <v>2736</v>
      </c>
    </row>
    <row r="2742" spans="1:13" x14ac:dyDescent="0.25">
      <c r="A2742" s="4" t="s">
        <v>2401</v>
      </c>
      <c r="B2742" s="4" t="s">
        <v>2404</v>
      </c>
      <c r="C2742" s="9" t="s">
        <v>50</v>
      </c>
      <c r="D2742" s="10">
        <v>32</v>
      </c>
      <c r="E2742" s="11" t="s">
        <v>51</v>
      </c>
      <c r="F2742" s="10">
        <v>2500</v>
      </c>
      <c r="G2742" s="10">
        <v>0</v>
      </c>
      <c r="H2742" s="10">
        <f t="shared" si="42"/>
        <v>2500</v>
      </c>
      <c r="I2742" s="10"/>
      <c r="J2742" s="10"/>
      <c r="K2742" s="10"/>
      <c r="L2742" s="4" t="s">
        <v>52</v>
      </c>
      <c r="M2742" s="4">
        <v>2737</v>
      </c>
    </row>
    <row r="2743" spans="1:13" x14ac:dyDescent="0.25">
      <c r="A2743" s="4" t="s">
        <v>2401</v>
      </c>
      <c r="B2743" s="4" t="s">
        <v>2405</v>
      </c>
      <c r="C2743" s="9" t="s">
        <v>50</v>
      </c>
      <c r="D2743" s="10">
        <v>268.5</v>
      </c>
      <c r="E2743" s="11" t="s">
        <v>51</v>
      </c>
      <c r="F2743" s="10">
        <v>500</v>
      </c>
      <c r="G2743" s="10">
        <v>0</v>
      </c>
      <c r="H2743" s="10">
        <f t="shared" si="42"/>
        <v>500</v>
      </c>
      <c r="I2743" s="10"/>
      <c r="J2743" s="10"/>
      <c r="K2743" s="10"/>
      <c r="L2743" s="4" t="s">
        <v>52</v>
      </c>
      <c r="M2743" s="4">
        <v>2738</v>
      </c>
    </row>
    <row r="2744" spans="1:13" x14ac:dyDescent="0.25">
      <c r="A2744" s="4" t="s">
        <v>2406</v>
      </c>
      <c r="B2744" s="4" t="s">
        <v>2407</v>
      </c>
      <c r="C2744" s="9" t="s">
        <v>50</v>
      </c>
      <c r="D2744" s="10"/>
      <c r="E2744" s="11" t="s">
        <v>51</v>
      </c>
      <c r="F2744" s="10"/>
      <c r="G2744" s="10">
        <v>0</v>
      </c>
      <c r="H2744" s="10">
        <f t="shared" si="42"/>
        <v>0</v>
      </c>
      <c r="I2744" s="10"/>
      <c r="J2744" s="10"/>
      <c r="K2744" s="10"/>
      <c r="L2744" s="4" t="s">
        <v>52</v>
      </c>
      <c r="M2744" s="4">
        <v>2739</v>
      </c>
    </row>
    <row r="2745" spans="1:13" x14ac:dyDescent="0.25">
      <c r="A2745" s="4" t="s">
        <v>2406</v>
      </c>
      <c r="B2745" s="4" t="s">
        <v>2408</v>
      </c>
      <c r="C2745" s="4" t="s">
        <v>65</v>
      </c>
      <c r="D2745" s="10">
        <v>10</v>
      </c>
      <c r="E2745" s="12" t="s">
        <v>66</v>
      </c>
      <c r="F2745" s="10">
        <v>800</v>
      </c>
      <c r="G2745" s="10">
        <v>0</v>
      </c>
      <c r="H2745" s="10">
        <f t="shared" si="42"/>
        <v>800</v>
      </c>
      <c r="I2745" s="10">
        <v>80</v>
      </c>
      <c r="J2745" s="10">
        <v>80</v>
      </c>
      <c r="K2745" s="10">
        <v>80</v>
      </c>
      <c r="L2745" s="4"/>
      <c r="M2745" s="4">
        <v>2740</v>
      </c>
    </row>
    <row r="2746" spans="1:13" x14ac:dyDescent="0.25">
      <c r="A2746" s="4" t="s">
        <v>2406</v>
      </c>
      <c r="B2746" s="4" t="s">
        <v>2409</v>
      </c>
      <c r="C2746" s="4" t="s">
        <v>65</v>
      </c>
      <c r="D2746" s="10">
        <v>1.5</v>
      </c>
      <c r="E2746" s="12" t="s">
        <v>66</v>
      </c>
      <c r="F2746" s="10">
        <v>150</v>
      </c>
      <c r="G2746" s="10">
        <v>0</v>
      </c>
      <c r="H2746" s="10">
        <f t="shared" si="42"/>
        <v>150</v>
      </c>
      <c r="I2746" s="10">
        <v>100</v>
      </c>
      <c r="J2746" s="10">
        <v>100</v>
      </c>
      <c r="K2746" s="10">
        <v>100</v>
      </c>
      <c r="L2746" s="4"/>
      <c r="M2746" s="4">
        <v>2741</v>
      </c>
    </row>
    <row r="2747" spans="1:13" x14ac:dyDescent="0.25">
      <c r="A2747" s="4" t="s">
        <v>2406</v>
      </c>
      <c r="B2747" s="4" t="s">
        <v>2410</v>
      </c>
      <c r="C2747" s="4" t="s">
        <v>65</v>
      </c>
      <c r="D2747" s="10">
        <v>44</v>
      </c>
      <c r="E2747" s="12" t="s">
        <v>66</v>
      </c>
      <c r="F2747" s="10">
        <v>3450</v>
      </c>
      <c r="G2747" s="10">
        <v>0</v>
      </c>
      <c r="H2747" s="10">
        <f t="shared" si="42"/>
        <v>3450</v>
      </c>
      <c r="I2747" s="10">
        <v>78.409090909090907</v>
      </c>
      <c r="J2747" s="10">
        <v>78.409090909090907</v>
      </c>
      <c r="K2747" s="10">
        <v>78.409090909090907</v>
      </c>
      <c r="L2747" s="4"/>
      <c r="M2747" s="4">
        <v>2742</v>
      </c>
    </row>
    <row r="2748" spans="1:13" x14ac:dyDescent="0.25">
      <c r="A2748" s="4" t="s">
        <v>2406</v>
      </c>
      <c r="B2748" s="4" t="s">
        <v>2411</v>
      </c>
      <c r="C2748" s="9" t="s">
        <v>50</v>
      </c>
      <c r="D2748" s="10">
        <v>7</v>
      </c>
      <c r="E2748" s="11" t="s">
        <v>51</v>
      </c>
      <c r="F2748" s="10">
        <v>620</v>
      </c>
      <c r="G2748" s="10">
        <v>0</v>
      </c>
      <c r="H2748" s="10">
        <f t="shared" si="42"/>
        <v>620</v>
      </c>
      <c r="I2748" s="10"/>
      <c r="J2748" s="10"/>
      <c r="K2748" s="10"/>
      <c r="L2748" s="4" t="s">
        <v>52</v>
      </c>
      <c r="M2748" s="4">
        <v>2743</v>
      </c>
    </row>
    <row r="2749" spans="1:13" x14ac:dyDescent="0.25">
      <c r="A2749" s="4" t="s">
        <v>2406</v>
      </c>
      <c r="B2749" s="4" t="s">
        <v>2412</v>
      </c>
      <c r="C2749" s="9" t="s">
        <v>50</v>
      </c>
      <c r="D2749" s="10"/>
      <c r="E2749" s="11" t="s">
        <v>51</v>
      </c>
      <c r="F2749" s="10"/>
      <c r="G2749" s="10">
        <v>0</v>
      </c>
      <c r="H2749" s="10">
        <f t="shared" si="42"/>
        <v>0</v>
      </c>
      <c r="I2749" s="10"/>
      <c r="J2749" s="10"/>
      <c r="K2749" s="10"/>
      <c r="L2749" s="4" t="s">
        <v>52</v>
      </c>
      <c r="M2749" s="4">
        <v>2744</v>
      </c>
    </row>
    <row r="2750" spans="1:13" x14ac:dyDescent="0.25">
      <c r="A2750" s="4" t="s">
        <v>2406</v>
      </c>
      <c r="B2750" s="4" t="s">
        <v>2331</v>
      </c>
      <c r="C2750" s="9" t="s">
        <v>50</v>
      </c>
      <c r="D2750" s="10">
        <v>36</v>
      </c>
      <c r="E2750" s="11" t="s">
        <v>51</v>
      </c>
      <c r="F2750" s="10">
        <v>2800</v>
      </c>
      <c r="G2750" s="10">
        <v>0</v>
      </c>
      <c r="H2750" s="10">
        <f t="shared" si="42"/>
        <v>2800</v>
      </c>
      <c r="I2750" s="10"/>
      <c r="J2750" s="10"/>
      <c r="K2750" s="10"/>
      <c r="L2750" s="4" t="s">
        <v>52</v>
      </c>
      <c r="M2750" s="4">
        <v>2745</v>
      </c>
    </row>
    <row r="2751" spans="1:13" x14ac:dyDescent="0.25">
      <c r="A2751" s="4" t="s">
        <v>2406</v>
      </c>
      <c r="B2751" s="4" t="s">
        <v>2413</v>
      </c>
      <c r="C2751" s="9" t="s">
        <v>50</v>
      </c>
      <c r="D2751" s="10">
        <v>3.5</v>
      </c>
      <c r="E2751" s="11" t="s">
        <v>51</v>
      </c>
      <c r="F2751" s="10">
        <v>300</v>
      </c>
      <c r="G2751" s="10">
        <v>0</v>
      </c>
      <c r="H2751" s="10">
        <f t="shared" si="42"/>
        <v>300</v>
      </c>
      <c r="I2751" s="10"/>
      <c r="J2751" s="10"/>
      <c r="K2751" s="10"/>
      <c r="L2751" s="4" t="s">
        <v>52</v>
      </c>
      <c r="M2751" s="4">
        <v>2746</v>
      </c>
    </row>
    <row r="2752" spans="1:13" x14ac:dyDescent="0.25">
      <c r="A2752" s="4" t="s">
        <v>2406</v>
      </c>
      <c r="B2752" s="4" t="s">
        <v>2332</v>
      </c>
      <c r="C2752" s="9" t="s">
        <v>50</v>
      </c>
      <c r="D2752" s="10">
        <v>51</v>
      </c>
      <c r="E2752" s="11" t="s">
        <v>51</v>
      </c>
      <c r="F2752" s="10">
        <v>4000</v>
      </c>
      <c r="G2752" s="10">
        <v>0</v>
      </c>
      <c r="H2752" s="10">
        <f t="shared" si="42"/>
        <v>4000</v>
      </c>
      <c r="I2752" s="10"/>
      <c r="J2752" s="10"/>
      <c r="K2752" s="10"/>
      <c r="L2752" s="4" t="s">
        <v>52</v>
      </c>
      <c r="M2752" s="4">
        <v>2747</v>
      </c>
    </row>
    <row r="2753" spans="1:13" x14ac:dyDescent="0.25">
      <c r="A2753" s="4" t="s">
        <v>2406</v>
      </c>
      <c r="B2753" s="4" t="s">
        <v>2414</v>
      </c>
      <c r="C2753" s="9" t="s">
        <v>50</v>
      </c>
      <c r="D2753" s="10">
        <v>182</v>
      </c>
      <c r="E2753" s="11" t="s">
        <v>51</v>
      </c>
      <c r="F2753" s="10">
        <v>1450</v>
      </c>
      <c r="G2753" s="10">
        <v>0</v>
      </c>
      <c r="H2753" s="10">
        <f t="shared" si="42"/>
        <v>1450</v>
      </c>
      <c r="I2753" s="10"/>
      <c r="J2753" s="10"/>
      <c r="K2753" s="10"/>
      <c r="L2753" s="4" t="s">
        <v>52</v>
      </c>
      <c r="M2753" s="4">
        <v>2748</v>
      </c>
    </row>
    <row r="2754" spans="1:13" x14ac:dyDescent="0.25">
      <c r="A2754" s="4" t="s">
        <v>2406</v>
      </c>
      <c r="B2754" s="4" t="s">
        <v>2415</v>
      </c>
      <c r="C2754" s="9" t="s">
        <v>50</v>
      </c>
      <c r="D2754" s="10">
        <v>50</v>
      </c>
      <c r="E2754" s="11" t="s">
        <v>51</v>
      </c>
      <c r="F2754" s="10">
        <v>3900</v>
      </c>
      <c r="G2754" s="10">
        <v>0</v>
      </c>
      <c r="H2754" s="10">
        <f t="shared" si="42"/>
        <v>3900</v>
      </c>
      <c r="I2754" s="10"/>
      <c r="J2754" s="10"/>
      <c r="K2754" s="10"/>
      <c r="L2754" s="4" t="s">
        <v>52</v>
      </c>
      <c r="M2754" s="4">
        <v>2749</v>
      </c>
    </row>
    <row r="2755" spans="1:13" x14ac:dyDescent="0.25">
      <c r="A2755" s="4" t="s">
        <v>2406</v>
      </c>
      <c r="B2755" s="4" t="s">
        <v>2416</v>
      </c>
      <c r="C2755" s="9" t="s">
        <v>50</v>
      </c>
      <c r="D2755" s="10">
        <v>2</v>
      </c>
      <c r="E2755" s="11" t="s">
        <v>51</v>
      </c>
      <c r="F2755" s="10">
        <v>250</v>
      </c>
      <c r="G2755" s="10">
        <v>0</v>
      </c>
      <c r="H2755" s="10">
        <f t="shared" si="42"/>
        <v>250</v>
      </c>
      <c r="I2755" s="10"/>
      <c r="J2755" s="10"/>
      <c r="K2755" s="10"/>
      <c r="L2755" s="4" t="s">
        <v>52</v>
      </c>
      <c r="M2755" s="4">
        <v>2750</v>
      </c>
    </row>
    <row r="2756" spans="1:13" x14ac:dyDescent="0.25">
      <c r="A2756" s="4" t="s">
        <v>2406</v>
      </c>
      <c r="B2756" s="4" t="s">
        <v>2417</v>
      </c>
      <c r="C2756" s="9" t="s">
        <v>50</v>
      </c>
      <c r="D2756" s="10">
        <v>18</v>
      </c>
      <c r="E2756" s="11" t="s">
        <v>51</v>
      </c>
      <c r="F2756" s="10">
        <v>1450</v>
      </c>
      <c r="G2756" s="10">
        <v>0</v>
      </c>
      <c r="H2756" s="10">
        <f t="shared" si="42"/>
        <v>1450</v>
      </c>
      <c r="I2756" s="10"/>
      <c r="J2756" s="10"/>
      <c r="K2756" s="10"/>
      <c r="L2756" s="4" t="s">
        <v>52</v>
      </c>
      <c r="M2756" s="4">
        <v>2751</v>
      </c>
    </row>
    <row r="2757" spans="1:13" x14ac:dyDescent="0.25">
      <c r="A2757" s="4" t="s">
        <v>2406</v>
      </c>
      <c r="B2757" s="4" t="s">
        <v>2418</v>
      </c>
      <c r="C2757" s="9" t="s">
        <v>50</v>
      </c>
      <c r="D2757" s="10">
        <v>15</v>
      </c>
      <c r="E2757" s="11" t="s">
        <v>51</v>
      </c>
      <c r="F2757" s="10">
        <v>950</v>
      </c>
      <c r="G2757" s="10">
        <v>0</v>
      </c>
      <c r="H2757" s="10">
        <f t="shared" si="42"/>
        <v>950</v>
      </c>
      <c r="I2757" s="10"/>
      <c r="J2757" s="10"/>
      <c r="K2757" s="10"/>
      <c r="L2757" s="4" t="s">
        <v>52</v>
      </c>
      <c r="M2757" s="4">
        <v>2752</v>
      </c>
    </row>
    <row r="2758" spans="1:13" x14ac:dyDescent="0.25">
      <c r="A2758" s="4" t="s">
        <v>2406</v>
      </c>
      <c r="B2758" s="4" t="s">
        <v>2419</v>
      </c>
      <c r="C2758" s="9" t="s">
        <v>50</v>
      </c>
      <c r="D2758" s="10">
        <v>10</v>
      </c>
      <c r="E2758" s="11" t="s">
        <v>51</v>
      </c>
      <c r="F2758" s="10">
        <v>800</v>
      </c>
      <c r="G2758" s="10">
        <v>0</v>
      </c>
      <c r="H2758" s="10">
        <f t="shared" ref="H2758:H2821" si="43">F2758-G2758</f>
        <v>800</v>
      </c>
      <c r="I2758" s="10"/>
      <c r="J2758" s="10"/>
      <c r="K2758" s="10"/>
      <c r="L2758" s="4" t="s">
        <v>52</v>
      </c>
      <c r="M2758" s="4">
        <v>2753</v>
      </c>
    </row>
    <row r="2759" spans="1:13" x14ac:dyDescent="0.25">
      <c r="A2759" s="4" t="s">
        <v>2406</v>
      </c>
      <c r="B2759" s="4" t="s">
        <v>2420</v>
      </c>
      <c r="C2759" s="9" t="s">
        <v>50</v>
      </c>
      <c r="D2759" s="10">
        <v>2.5</v>
      </c>
      <c r="E2759" s="11" t="s">
        <v>51</v>
      </c>
      <c r="F2759" s="10">
        <v>450</v>
      </c>
      <c r="G2759" s="10">
        <v>0</v>
      </c>
      <c r="H2759" s="10">
        <f t="shared" si="43"/>
        <v>450</v>
      </c>
      <c r="I2759" s="10"/>
      <c r="J2759" s="10"/>
      <c r="K2759" s="10"/>
      <c r="L2759" s="4" t="s">
        <v>52</v>
      </c>
      <c r="M2759" s="4">
        <v>2754</v>
      </c>
    </row>
    <row r="2760" spans="1:13" x14ac:dyDescent="0.25">
      <c r="A2760" s="4" t="s">
        <v>2406</v>
      </c>
      <c r="B2760" s="4" t="s">
        <v>2421</v>
      </c>
      <c r="C2760" s="9" t="s">
        <v>50</v>
      </c>
      <c r="D2760" s="10">
        <v>2</v>
      </c>
      <c r="E2760" s="11" t="s">
        <v>51</v>
      </c>
      <c r="F2760" s="10">
        <v>200</v>
      </c>
      <c r="G2760" s="10">
        <v>0</v>
      </c>
      <c r="H2760" s="10">
        <f t="shared" si="43"/>
        <v>200</v>
      </c>
      <c r="I2760" s="10"/>
      <c r="J2760" s="10"/>
      <c r="K2760" s="10"/>
      <c r="L2760" s="4" t="s">
        <v>52</v>
      </c>
      <c r="M2760" s="4">
        <v>2755</v>
      </c>
    </row>
    <row r="2761" spans="1:13" x14ac:dyDescent="0.25">
      <c r="A2761" s="4" t="s">
        <v>2406</v>
      </c>
      <c r="B2761" s="4" t="s">
        <v>2422</v>
      </c>
      <c r="C2761" s="9" t="s">
        <v>50</v>
      </c>
      <c r="D2761" s="10">
        <v>0.5</v>
      </c>
      <c r="E2761" s="11" t="s">
        <v>51</v>
      </c>
      <c r="F2761" s="10">
        <v>50</v>
      </c>
      <c r="G2761" s="10">
        <v>0</v>
      </c>
      <c r="H2761" s="10">
        <f t="shared" si="43"/>
        <v>50</v>
      </c>
      <c r="I2761" s="10"/>
      <c r="J2761" s="10"/>
      <c r="K2761" s="10"/>
      <c r="L2761" s="4" t="s">
        <v>52</v>
      </c>
      <c r="M2761" s="4">
        <v>2756</v>
      </c>
    </row>
    <row r="2762" spans="1:13" x14ac:dyDescent="0.25">
      <c r="A2762" s="4" t="s">
        <v>2423</v>
      </c>
      <c r="B2762" s="4" t="s">
        <v>136</v>
      </c>
      <c r="C2762" s="9" t="s">
        <v>50</v>
      </c>
      <c r="D2762" s="10">
        <v>773.5</v>
      </c>
      <c r="E2762" s="11" t="s">
        <v>51</v>
      </c>
      <c r="F2762" s="10"/>
      <c r="G2762" s="10">
        <v>0</v>
      </c>
      <c r="H2762" s="10">
        <f t="shared" si="43"/>
        <v>0</v>
      </c>
      <c r="I2762" s="10"/>
      <c r="J2762" s="10"/>
      <c r="K2762" s="10"/>
      <c r="L2762" s="4" t="s">
        <v>52</v>
      </c>
      <c r="M2762" s="4">
        <v>2757</v>
      </c>
    </row>
    <row r="2763" spans="1:13" x14ac:dyDescent="0.25">
      <c r="A2763" s="4" t="s">
        <v>2424</v>
      </c>
      <c r="B2763" s="4" t="s">
        <v>2425</v>
      </c>
      <c r="C2763" s="9" t="s">
        <v>50</v>
      </c>
      <c r="D2763" s="10">
        <v>70</v>
      </c>
      <c r="E2763" s="11" t="s">
        <v>51</v>
      </c>
      <c r="F2763" s="10">
        <v>7550</v>
      </c>
      <c r="G2763" s="10">
        <v>0</v>
      </c>
      <c r="H2763" s="10">
        <f t="shared" si="43"/>
        <v>7550</v>
      </c>
      <c r="I2763" s="10"/>
      <c r="J2763" s="10"/>
      <c r="K2763" s="10"/>
      <c r="L2763" s="4" t="s">
        <v>52</v>
      </c>
      <c r="M2763" s="4">
        <v>2758</v>
      </c>
    </row>
    <row r="2764" spans="1:13" x14ac:dyDescent="0.25">
      <c r="A2764" s="4" t="s">
        <v>2424</v>
      </c>
      <c r="B2764" s="4" t="s">
        <v>2426</v>
      </c>
      <c r="C2764" s="9" t="s">
        <v>50</v>
      </c>
      <c r="D2764" s="10">
        <v>542.5</v>
      </c>
      <c r="E2764" s="11" t="s">
        <v>51</v>
      </c>
      <c r="F2764" s="10">
        <v>51250</v>
      </c>
      <c r="G2764" s="10">
        <v>0</v>
      </c>
      <c r="H2764" s="10">
        <f t="shared" si="43"/>
        <v>51250</v>
      </c>
      <c r="I2764" s="10"/>
      <c r="J2764" s="10"/>
      <c r="K2764" s="10"/>
      <c r="L2764" s="4" t="s">
        <v>52</v>
      </c>
      <c r="M2764" s="4">
        <v>2759</v>
      </c>
    </row>
    <row r="2765" spans="1:13" x14ac:dyDescent="0.25">
      <c r="A2765" s="4" t="s">
        <v>2424</v>
      </c>
      <c r="B2765" s="4" t="s">
        <v>2427</v>
      </c>
      <c r="C2765" s="9" t="s">
        <v>50</v>
      </c>
      <c r="D2765" s="10">
        <v>25</v>
      </c>
      <c r="E2765" s="11" t="s">
        <v>51</v>
      </c>
      <c r="F2765" s="10">
        <v>2125</v>
      </c>
      <c r="G2765" s="10">
        <v>0</v>
      </c>
      <c r="H2765" s="10">
        <f t="shared" si="43"/>
        <v>2125</v>
      </c>
      <c r="I2765" s="10"/>
      <c r="J2765" s="10"/>
      <c r="K2765" s="10"/>
      <c r="L2765" s="4" t="s">
        <v>52</v>
      </c>
      <c r="M2765" s="4">
        <v>2760</v>
      </c>
    </row>
    <row r="2766" spans="1:13" x14ac:dyDescent="0.25">
      <c r="A2766" s="4" t="s">
        <v>2424</v>
      </c>
      <c r="B2766" s="4" t="s">
        <v>2428</v>
      </c>
      <c r="C2766" s="9" t="s">
        <v>50</v>
      </c>
      <c r="D2766" s="10">
        <v>96</v>
      </c>
      <c r="E2766" s="11" t="s">
        <v>51</v>
      </c>
      <c r="F2766" s="10">
        <v>11500</v>
      </c>
      <c r="G2766" s="10">
        <v>0</v>
      </c>
      <c r="H2766" s="10">
        <f t="shared" si="43"/>
        <v>11500</v>
      </c>
      <c r="I2766" s="10"/>
      <c r="J2766" s="10"/>
      <c r="K2766" s="10"/>
      <c r="L2766" s="4" t="s">
        <v>52</v>
      </c>
      <c r="M2766" s="4">
        <v>2761</v>
      </c>
    </row>
    <row r="2767" spans="1:13" x14ac:dyDescent="0.25">
      <c r="A2767" s="4" t="s">
        <v>2424</v>
      </c>
      <c r="B2767" s="4" t="s">
        <v>2429</v>
      </c>
      <c r="C2767" s="9" t="s">
        <v>50</v>
      </c>
      <c r="D2767" s="10">
        <v>472</v>
      </c>
      <c r="E2767" s="11" t="s">
        <v>51</v>
      </c>
      <c r="F2767" s="10">
        <v>3800</v>
      </c>
      <c r="G2767" s="10">
        <v>0</v>
      </c>
      <c r="H2767" s="10">
        <f t="shared" si="43"/>
        <v>3800</v>
      </c>
      <c r="I2767" s="10"/>
      <c r="J2767" s="10"/>
      <c r="K2767" s="10"/>
      <c r="L2767" s="4" t="s">
        <v>52</v>
      </c>
      <c r="M2767" s="4">
        <v>2762</v>
      </c>
    </row>
    <row r="2768" spans="1:13" x14ac:dyDescent="0.25">
      <c r="A2768" s="4" t="s">
        <v>2430</v>
      </c>
      <c r="B2768" s="4" t="s">
        <v>2431</v>
      </c>
      <c r="C2768" s="9" t="s">
        <v>50</v>
      </c>
      <c r="D2768" s="10">
        <v>112</v>
      </c>
      <c r="E2768" s="11" t="s">
        <v>51</v>
      </c>
      <c r="F2768" s="10">
        <v>10640</v>
      </c>
      <c r="G2768" s="10">
        <v>0</v>
      </c>
      <c r="H2768" s="10">
        <f t="shared" si="43"/>
        <v>10640</v>
      </c>
      <c r="I2768" s="10"/>
      <c r="J2768" s="10"/>
      <c r="K2768" s="10"/>
      <c r="L2768" s="4" t="s">
        <v>52</v>
      </c>
      <c r="M2768" s="4">
        <v>2763</v>
      </c>
    </row>
    <row r="2769" spans="1:13" x14ac:dyDescent="0.25">
      <c r="A2769" s="4" t="s">
        <v>2430</v>
      </c>
      <c r="B2769" s="4" t="s">
        <v>2432</v>
      </c>
      <c r="C2769" s="9" t="s">
        <v>50</v>
      </c>
      <c r="D2769" s="10">
        <v>40</v>
      </c>
      <c r="E2769" s="11" t="s">
        <v>51</v>
      </c>
      <c r="F2769" s="10">
        <v>3800</v>
      </c>
      <c r="G2769" s="10">
        <v>0</v>
      </c>
      <c r="H2769" s="10">
        <f t="shared" si="43"/>
        <v>3800</v>
      </c>
      <c r="I2769" s="10"/>
      <c r="J2769" s="10"/>
      <c r="K2769" s="10"/>
      <c r="L2769" s="4" t="s">
        <v>52</v>
      </c>
      <c r="M2769" s="4">
        <v>2764</v>
      </c>
    </row>
    <row r="2770" spans="1:13" x14ac:dyDescent="0.25">
      <c r="A2770" s="4" t="s">
        <v>2430</v>
      </c>
      <c r="B2770" s="4" t="s">
        <v>2433</v>
      </c>
      <c r="C2770" s="9" t="s">
        <v>50</v>
      </c>
      <c r="D2770" s="10">
        <v>216</v>
      </c>
      <c r="E2770" s="11" t="s">
        <v>51</v>
      </c>
      <c r="F2770" s="10">
        <v>20520</v>
      </c>
      <c r="G2770" s="10">
        <v>0</v>
      </c>
      <c r="H2770" s="10">
        <f t="shared" si="43"/>
        <v>20520</v>
      </c>
      <c r="I2770" s="10"/>
      <c r="J2770" s="10"/>
      <c r="K2770" s="10"/>
      <c r="L2770" s="4" t="s">
        <v>52</v>
      </c>
      <c r="M2770" s="4">
        <v>2765</v>
      </c>
    </row>
    <row r="2771" spans="1:13" x14ac:dyDescent="0.25">
      <c r="A2771" s="4" t="s">
        <v>2430</v>
      </c>
      <c r="B2771" s="4" t="s">
        <v>2434</v>
      </c>
      <c r="C2771" s="9" t="s">
        <v>50</v>
      </c>
      <c r="D2771" s="10">
        <v>64</v>
      </c>
      <c r="E2771" s="11" t="s">
        <v>51</v>
      </c>
      <c r="F2771" s="10">
        <v>6080</v>
      </c>
      <c r="G2771" s="10">
        <v>0</v>
      </c>
      <c r="H2771" s="10">
        <f t="shared" si="43"/>
        <v>6080</v>
      </c>
      <c r="I2771" s="10"/>
      <c r="J2771" s="10"/>
      <c r="K2771" s="10"/>
      <c r="L2771" s="4" t="s">
        <v>52</v>
      </c>
      <c r="M2771" s="4">
        <v>2766</v>
      </c>
    </row>
    <row r="2772" spans="1:13" x14ac:dyDescent="0.25">
      <c r="A2772" s="4" t="s">
        <v>2430</v>
      </c>
      <c r="B2772" s="4" t="s">
        <v>2435</v>
      </c>
      <c r="C2772" s="4" t="s">
        <v>68</v>
      </c>
      <c r="D2772" s="10">
        <v>36</v>
      </c>
      <c r="E2772" s="11" t="s">
        <v>51</v>
      </c>
      <c r="F2772" s="10"/>
      <c r="G2772" s="10">
        <v>0</v>
      </c>
      <c r="H2772" s="10">
        <f t="shared" si="43"/>
        <v>0</v>
      </c>
      <c r="I2772" s="10"/>
      <c r="J2772" s="10"/>
      <c r="K2772" s="10"/>
      <c r="L2772" s="4" t="s">
        <v>69</v>
      </c>
      <c r="M2772" s="4">
        <v>2767</v>
      </c>
    </row>
    <row r="2773" spans="1:13" x14ac:dyDescent="0.25">
      <c r="A2773" s="4" t="s">
        <v>2436</v>
      </c>
      <c r="B2773" s="4" t="s">
        <v>2437</v>
      </c>
      <c r="C2773" s="9" t="s">
        <v>50</v>
      </c>
      <c r="D2773" s="10">
        <v>52</v>
      </c>
      <c r="E2773" s="11" t="s">
        <v>51</v>
      </c>
      <c r="F2773" s="10">
        <v>3600</v>
      </c>
      <c r="G2773" s="10">
        <v>0</v>
      </c>
      <c r="H2773" s="10">
        <f t="shared" si="43"/>
        <v>3600</v>
      </c>
      <c r="I2773" s="10"/>
      <c r="J2773" s="10"/>
      <c r="K2773" s="10"/>
      <c r="L2773" s="4" t="s">
        <v>52</v>
      </c>
      <c r="M2773" s="4">
        <v>2768</v>
      </c>
    </row>
    <row r="2774" spans="1:13" x14ac:dyDescent="0.25">
      <c r="A2774" s="4" t="s">
        <v>2438</v>
      </c>
      <c r="B2774" s="4" t="s">
        <v>2439</v>
      </c>
      <c r="C2774" s="4" t="s">
        <v>68</v>
      </c>
      <c r="D2774" s="10">
        <v>422</v>
      </c>
      <c r="E2774" s="11" t="s">
        <v>51</v>
      </c>
      <c r="F2774" s="10">
        <v>1120</v>
      </c>
      <c r="G2774" s="10">
        <v>0</v>
      </c>
      <c r="H2774" s="10">
        <f t="shared" si="43"/>
        <v>1120</v>
      </c>
      <c r="I2774" s="10"/>
      <c r="J2774" s="10"/>
      <c r="K2774" s="10"/>
      <c r="L2774" s="4" t="s">
        <v>69</v>
      </c>
      <c r="M2774" s="4">
        <v>2769</v>
      </c>
    </row>
    <row r="2775" spans="1:13" x14ac:dyDescent="0.25">
      <c r="A2775" s="4" t="s">
        <v>2440</v>
      </c>
      <c r="B2775" s="4" t="s">
        <v>2441</v>
      </c>
      <c r="C2775" s="4" t="s">
        <v>68</v>
      </c>
      <c r="D2775" s="10">
        <v>438</v>
      </c>
      <c r="E2775" s="11" t="s">
        <v>51</v>
      </c>
      <c r="F2775" s="10">
        <v>46690</v>
      </c>
      <c r="G2775" s="10">
        <v>0</v>
      </c>
      <c r="H2775" s="10">
        <f t="shared" si="43"/>
        <v>46690</v>
      </c>
      <c r="I2775" s="10"/>
      <c r="J2775" s="10"/>
      <c r="K2775" s="10"/>
      <c r="L2775" s="4" t="s">
        <v>69</v>
      </c>
      <c r="M2775" s="4">
        <v>2770</v>
      </c>
    </row>
    <row r="2776" spans="1:13" x14ac:dyDescent="0.25">
      <c r="A2776" s="4" t="s">
        <v>2442</v>
      </c>
      <c r="B2776" s="4" t="s">
        <v>2443</v>
      </c>
      <c r="C2776" s="4" t="s">
        <v>68</v>
      </c>
      <c r="D2776" s="10">
        <v>80</v>
      </c>
      <c r="E2776" s="11" t="s">
        <v>51</v>
      </c>
      <c r="F2776" s="10">
        <v>2600</v>
      </c>
      <c r="G2776" s="10">
        <v>0</v>
      </c>
      <c r="H2776" s="10">
        <f t="shared" si="43"/>
        <v>2600</v>
      </c>
      <c r="I2776" s="10"/>
      <c r="J2776" s="10"/>
      <c r="K2776" s="10"/>
      <c r="L2776" s="4" t="s">
        <v>69</v>
      </c>
      <c r="M2776" s="4">
        <v>2771</v>
      </c>
    </row>
    <row r="2777" spans="1:13" x14ac:dyDescent="0.25">
      <c r="A2777" s="4" t="s">
        <v>2444</v>
      </c>
      <c r="B2777" s="4" t="s">
        <v>1503</v>
      </c>
      <c r="C2777" s="4" t="s">
        <v>68</v>
      </c>
      <c r="D2777" s="10">
        <v>78</v>
      </c>
      <c r="E2777" s="11" t="s">
        <v>51</v>
      </c>
      <c r="F2777" s="10">
        <v>5520</v>
      </c>
      <c r="G2777" s="10">
        <v>0</v>
      </c>
      <c r="H2777" s="10">
        <f t="shared" si="43"/>
        <v>5520</v>
      </c>
      <c r="I2777" s="10"/>
      <c r="J2777" s="10"/>
      <c r="K2777" s="10"/>
      <c r="L2777" s="4" t="s">
        <v>69</v>
      </c>
      <c r="M2777" s="4">
        <v>2772</v>
      </c>
    </row>
    <row r="2778" spans="1:13" x14ac:dyDescent="0.25">
      <c r="A2778" s="4" t="s">
        <v>2445</v>
      </c>
      <c r="B2778" s="4" t="s">
        <v>1503</v>
      </c>
      <c r="C2778" s="4" t="s">
        <v>68</v>
      </c>
      <c r="D2778" s="10">
        <v>54</v>
      </c>
      <c r="E2778" s="11" t="s">
        <v>51</v>
      </c>
      <c r="F2778" s="10">
        <v>3450</v>
      </c>
      <c r="G2778" s="10">
        <v>0</v>
      </c>
      <c r="H2778" s="10">
        <f t="shared" si="43"/>
        <v>3450</v>
      </c>
      <c r="I2778" s="10"/>
      <c r="J2778" s="10"/>
      <c r="K2778" s="10"/>
      <c r="L2778" s="4" t="s">
        <v>69</v>
      </c>
      <c r="M2778" s="4">
        <v>2773</v>
      </c>
    </row>
    <row r="2779" spans="1:13" x14ac:dyDescent="0.25">
      <c r="A2779" s="4" t="s">
        <v>2446</v>
      </c>
      <c r="B2779" s="4" t="s">
        <v>448</v>
      </c>
      <c r="C2779" s="4" t="s">
        <v>68</v>
      </c>
      <c r="D2779" s="10">
        <v>24</v>
      </c>
      <c r="E2779" s="11" t="s">
        <v>51</v>
      </c>
      <c r="F2779" s="10">
        <v>2400</v>
      </c>
      <c r="G2779" s="10">
        <v>0</v>
      </c>
      <c r="H2779" s="10">
        <f t="shared" si="43"/>
        <v>2400</v>
      </c>
      <c r="I2779" s="10"/>
      <c r="J2779" s="10"/>
      <c r="K2779" s="10"/>
      <c r="L2779" s="4" t="s">
        <v>69</v>
      </c>
      <c r="M2779" s="4">
        <v>2774</v>
      </c>
    </row>
    <row r="2780" spans="1:13" x14ac:dyDescent="0.25">
      <c r="A2780" s="4" t="s">
        <v>2447</v>
      </c>
      <c r="B2780" s="4" t="s">
        <v>498</v>
      </c>
      <c r="C2780" s="9" t="s">
        <v>50</v>
      </c>
      <c r="D2780" s="10">
        <v>208</v>
      </c>
      <c r="E2780" s="11" t="s">
        <v>51</v>
      </c>
      <c r="F2780" s="10"/>
      <c r="G2780" s="10">
        <v>0</v>
      </c>
      <c r="H2780" s="10">
        <f t="shared" si="43"/>
        <v>0</v>
      </c>
      <c r="I2780" s="10"/>
      <c r="J2780" s="10"/>
      <c r="K2780" s="10"/>
      <c r="L2780" s="4" t="s">
        <v>52</v>
      </c>
      <c r="M2780" s="4">
        <v>2775</v>
      </c>
    </row>
    <row r="2781" spans="1:13" x14ac:dyDescent="0.25">
      <c r="A2781" s="4" t="s">
        <v>2448</v>
      </c>
      <c r="B2781" s="4" t="s">
        <v>389</v>
      </c>
      <c r="C2781" s="4" t="s">
        <v>65</v>
      </c>
      <c r="D2781" s="10">
        <v>32</v>
      </c>
      <c r="E2781" s="12" t="s">
        <v>66</v>
      </c>
      <c r="F2781" s="10">
        <v>4200</v>
      </c>
      <c r="G2781" s="10">
        <v>0</v>
      </c>
      <c r="H2781" s="10">
        <f t="shared" si="43"/>
        <v>4200</v>
      </c>
      <c r="I2781" s="10">
        <v>131.25</v>
      </c>
      <c r="J2781" s="10">
        <v>131.25</v>
      </c>
      <c r="K2781" s="10">
        <v>131.25</v>
      </c>
      <c r="L2781" s="4"/>
      <c r="M2781" s="4">
        <v>2776</v>
      </c>
    </row>
    <row r="2782" spans="1:13" x14ac:dyDescent="0.25">
      <c r="A2782" s="4" t="s">
        <v>2448</v>
      </c>
      <c r="B2782" s="4" t="s">
        <v>2449</v>
      </c>
      <c r="C2782" s="4" t="s">
        <v>65</v>
      </c>
      <c r="D2782" s="10">
        <v>25</v>
      </c>
      <c r="E2782" s="12" t="s">
        <v>66</v>
      </c>
      <c r="F2782" s="10">
        <v>2000</v>
      </c>
      <c r="G2782" s="10">
        <v>0</v>
      </c>
      <c r="H2782" s="10">
        <f t="shared" si="43"/>
        <v>2000</v>
      </c>
      <c r="I2782" s="10">
        <v>80</v>
      </c>
      <c r="J2782" s="10">
        <v>80</v>
      </c>
      <c r="K2782" s="10">
        <v>80</v>
      </c>
      <c r="L2782" s="4"/>
      <c r="M2782" s="4">
        <v>2777</v>
      </c>
    </row>
    <row r="2783" spans="1:13" x14ac:dyDescent="0.25">
      <c r="A2783" s="4" t="s">
        <v>2448</v>
      </c>
      <c r="B2783" s="4" t="s">
        <v>2450</v>
      </c>
      <c r="C2783" s="4" t="s">
        <v>65</v>
      </c>
      <c r="D2783" s="10">
        <v>42</v>
      </c>
      <c r="E2783" s="12" t="s">
        <v>66</v>
      </c>
      <c r="F2783" s="10">
        <v>3400</v>
      </c>
      <c r="G2783" s="10">
        <v>0</v>
      </c>
      <c r="H2783" s="10">
        <f t="shared" si="43"/>
        <v>3400</v>
      </c>
      <c r="I2783" s="10">
        <v>80.952380952380949</v>
      </c>
      <c r="J2783" s="10">
        <v>80.952380952380949</v>
      </c>
      <c r="K2783" s="10">
        <v>80.952380952380949</v>
      </c>
      <c r="L2783" s="4"/>
      <c r="M2783" s="4">
        <v>2778</v>
      </c>
    </row>
    <row r="2784" spans="1:13" x14ac:dyDescent="0.25">
      <c r="A2784" s="4" t="s">
        <v>2448</v>
      </c>
      <c r="B2784" s="4" t="s">
        <v>2451</v>
      </c>
      <c r="C2784" s="4" t="s">
        <v>65</v>
      </c>
      <c r="D2784" s="10">
        <v>35</v>
      </c>
      <c r="E2784" s="12" t="s">
        <v>66</v>
      </c>
      <c r="F2784" s="10">
        <v>2800</v>
      </c>
      <c r="G2784" s="10">
        <v>0</v>
      </c>
      <c r="H2784" s="10">
        <f t="shared" si="43"/>
        <v>2800</v>
      </c>
      <c r="I2784" s="10">
        <v>80</v>
      </c>
      <c r="J2784" s="10">
        <v>80</v>
      </c>
      <c r="K2784" s="10">
        <v>80</v>
      </c>
      <c r="L2784" s="4"/>
      <c r="M2784" s="4">
        <v>2779</v>
      </c>
    </row>
    <row r="2785" spans="1:13" x14ac:dyDescent="0.25">
      <c r="A2785" s="4" t="s">
        <v>2448</v>
      </c>
      <c r="B2785" s="4" t="s">
        <v>2452</v>
      </c>
      <c r="C2785" s="4" t="s">
        <v>65</v>
      </c>
      <c r="D2785" s="10">
        <v>12</v>
      </c>
      <c r="E2785" s="12" t="s">
        <v>66</v>
      </c>
      <c r="F2785" s="10">
        <v>1300</v>
      </c>
      <c r="G2785" s="10">
        <v>0</v>
      </c>
      <c r="H2785" s="10">
        <f t="shared" si="43"/>
        <v>1300</v>
      </c>
      <c r="I2785" s="10">
        <v>108.3333333333333</v>
      </c>
      <c r="J2785" s="10">
        <v>108.3333333333333</v>
      </c>
      <c r="K2785" s="10">
        <v>108.3333333333333</v>
      </c>
      <c r="L2785" s="4"/>
      <c r="M2785" s="4">
        <v>2780</v>
      </c>
    </row>
    <row r="2786" spans="1:13" x14ac:dyDescent="0.25">
      <c r="A2786" s="4" t="s">
        <v>2448</v>
      </c>
      <c r="B2786" s="4" t="s">
        <v>2453</v>
      </c>
      <c r="C2786" s="4" t="s">
        <v>68</v>
      </c>
      <c r="D2786" s="10">
        <v>78</v>
      </c>
      <c r="E2786" s="11" t="s">
        <v>51</v>
      </c>
      <c r="F2786" s="10">
        <v>1380</v>
      </c>
      <c r="G2786" s="10">
        <v>0</v>
      </c>
      <c r="H2786" s="10">
        <f t="shared" si="43"/>
        <v>1380</v>
      </c>
      <c r="I2786" s="10"/>
      <c r="J2786" s="10"/>
      <c r="K2786" s="10"/>
      <c r="L2786" s="4" t="s">
        <v>69</v>
      </c>
      <c r="M2786" s="4">
        <v>2781</v>
      </c>
    </row>
    <row r="2787" spans="1:13" x14ac:dyDescent="0.25">
      <c r="A2787" s="4" t="s">
        <v>2454</v>
      </c>
      <c r="B2787" s="4" t="s">
        <v>2455</v>
      </c>
      <c r="C2787" s="4" t="s">
        <v>65</v>
      </c>
      <c r="D2787" s="10">
        <v>50</v>
      </c>
      <c r="E2787" s="12" t="s">
        <v>66</v>
      </c>
      <c r="F2787" s="10">
        <v>5800</v>
      </c>
      <c r="G2787" s="10">
        <v>0</v>
      </c>
      <c r="H2787" s="10">
        <f t="shared" si="43"/>
        <v>5800</v>
      </c>
      <c r="I2787" s="10">
        <v>116</v>
      </c>
      <c r="J2787" s="10">
        <v>116</v>
      </c>
      <c r="K2787" s="10">
        <v>116</v>
      </c>
      <c r="L2787" s="4"/>
      <c r="M2787" s="4">
        <v>2782</v>
      </c>
    </row>
    <row r="2788" spans="1:13" x14ac:dyDescent="0.25">
      <c r="A2788" s="4" t="s">
        <v>2454</v>
      </c>
      <c r="B2788" s="4" t="s">
        <v>2456</v>
      </c>
      <c r="C2788" s="4" t="s">
        <v>65</v>
      </c>
      <c r="D2788" s="10">
        <v>50</v>
      </c>
      <c r="E2788" s="12" t="s">
        <v>66</v>
      </c>
      <c r="F2788" s="10">
        <v>1300</v>
      </c>
      <c r="G2788" s="10">
        <v>0</v>
      </c>
      <c r="H2788" s="10">
        <f t="shared" si="43"/>
        <v>1300</v>
      </c>
      <c r="I2788" s="10">
        <v>81.25</v>
      </c>
      <c r="J2788" s="10">
        <v>81.25</v>
      </c>
      <c r="K2788" s="10">
        <v>81.25</v>
      </c>
      <c r="L2788" s="4"/>
      <c r="M2788" s="4">
        <v>2783</v>
      </c>
    </row>
    <row r="2789" spans="1:13" x14ac:dyDescent="0.25">
      <c r="A2789" s="4" t="s">
        <v>2457</v>
      </c>
      <c r="B2789" s="4" t="s">
        <v>2458</v>
      </c>
      <c r="C2789" s="9" t="s">
        <v>50</v>
      </c>
      <c r="D2789" s="10">
        <v>24</v>
      </c>
      <c r="E2789" s="11" t="s">
        <v>51</v>
      </c>
      <c r="F2789" s="10">
        <v>2750</v>
      </c>
      <c r="G2789" s="10">
        <v>0</v>
      </c>
      <c r="H2789" s="10">
        <f t="shared" si="43"/>
        <v>2750</v>
      </c>
      <c r="I2789" s="10"/>
      <c r="J2789" s="10"/>
      <c r="K2789" s="10"/>
      <c r="L2789" s="4" t="s">
        <v>52</v>
      </c>
      <c r="M2789" s="4">
        <v>2784</v>
      </c>
    </row>
    <row r="2790" spans="1:13" x14ac:dyDescent="0.25">
      <c r="A2790" s="4" t="s">
        <v>2457</v>
      </c>
      <c r="B2790" s="4" t="s">
        <v>2459</v>
      </c>
      <c r="C2790" s="9" t="s">
        <v>50</v>
      </c>
      <c r="D2790" s="10">
        <v>90</v>
      </c>
      <c r="E2790" s="11" t="s">
        <v>51</v>
      </c>
      <c r="F2790" s="10">
        <v>1000</v>
      </c>
      <c r="G2790" s="10">
        <v>0</v>
      </c>
      <c r="H2790" s="10">
        <f t="shared" si="43"/>
        <v>1000</v>
      </c>
      <c r="I2790" s="10"/>
      <c r="J2790" s="10"/>
      <c r="K2790" s="10"/>
      <c r="L2790" s="4" t="s">
        <v>52</v>
      </c>
      <c r="M2790" s="4">
        <v>2785</v>
      </c>
    </row>
    <row r="2791" spans="1:13" x14ac:dyDescent="0.25">
      <c r="A2791" s="4" t="s">
        <v>2460</v>
      </c>
      <c r="B2791" s="4" t="s">
        <v>2461</v>
      </c>
      <c r="C2791" s="4" t="s">
        <v>65</v>
      </c>
      <c r="D2791" s="10">
        <v>38</v>
      </c>
      <c r="E2791" s="12" t="s">
        <v>66</v>
      </c>
      <c r="F2791" s="10">
        <v>2660</v>
      </c>
      <c r="G2791" s="10">
        <v>0</v>
      </c>
      <c r="H2791" s="10">
        <f t="shared" si="43"/>
        <v>2660</v>
      </c>
      <c r="I2791" s="10">
        <v>70</v>
      </c>
      <c r="J2791" s="10">
        <v>70</v>
      </c>
      <c r="K2791" s="10">
        <v>70</v>
      </c>
      <c r="L2791" s="4"/>
      <c r="M2791" s="4">
        <v>2786</v>
      </c>
    </row>
    <row r="2792" spans="1:13" x14ac:dyDescent="0.25">
      <c r="A2792" s="4" t="s">
        <v>2460</v>
      </c>
      <c r="B2792" s="4" t="s">
        <v>649</v>
      </c>
      <c r="C2792" s="4" t="s">
        <v>65</v>
      </c>
      <c r="D2792" s="10">
        <v>48</v>
      </c>
      <c r="E2792" s="12" t="s">
        <v>66</v>
      </c>
      <c r="F2792" s="10">
        <v>2940</v>
      </c>
      <c r="G2792" s="10">
        <v>0</v>
      </c>
      <c r="H2792" s="10">
        <f t="shared" si="43"/>
        <v>2940</v>
      </c>
      <c r="I2792" s="10">
        <v>70</v>
      </c>
      <c r="J2792" s="10">
        <v>70</v>
      </c>
      <c r="K2792" s="10">
        <v>70</v>
      </c>
      <c r="L2792" s="4"/>
      <c r="M2792" s="4">
        <v>2787</v>
      </c>
    </row>
    <row r="2793" spans="1:13" x14ac:dyDescent="0.25">
      <c r="A2793" s="4" t="s">
        <v>2462</v>
      </c>
      <c r="B2793" s="4" t="s">
        <v>2463</v>
      </c>
      <c r="C2793" s="4" t="s">
        <v>65</v>
      </c>
      <c r="D2793" s="10">
        <v>93</v>
      </c>
      <c r="E2793" s="12" t="s">
        <v>66</v>
      </c>
      <c r="F2793" s="10">
        <v>750</v>
      </c>
      <c r="G2793" s="10">
        <v>0</v>
      </c>
      <c r="H2793" s="10">
        <f t="shared" si="43"/>
        <v>750</v>
      </c>
      <c r="I2793" s="10">
        <v>125</v>
      </c>
      <c r="J2793" s="10">
        <v>125</v>
      </c>
      <c r="K2793" s="10">
        <v>125</v>
      </c>
      <c r="L2793" s="4"/>
      <c r="M2793" s="4">
        <v>2788</v>
      </c>
    </row>
    <row r="2794" spans="1:13" x14ac:dyDescent="0.25">
      <c r="A2794" s="4" t="s">
        <v>2464</v>
      </c>
      <c r="B2794" s="4" t="s">
        <v>2465</v>
      </c>
      <c r="C2794" s="4" t="s">
        <v>68</v>
      </c>
      <c r="D2794" s="10">
        <v>25</v>
      </c>
      <c r="E2794" s="11" t="s">
        <v>51</v>
      </c>
      <c r="F2794" s="10">
        <v>3000</v>
      </c>
      <c r="G2794" s="10">
        <v>0</v>
      </c>
      <c r="H2794" s="10">
        <f t="shared" si="43"/>
        <v>3000</v>
      </c>
      <c r="I2794" s="10"/>
      <c r="J2794" s="10"/>
      <c r="K2794" s="10"/>
      <c r="L2794" s="4" t="s">
        <v>69</v>
      </c>
      <c r="M2794" s="4">
        <v>2789</v>
      </c>
    </row>
    <row r="2795" spans="1:13" x14ac:dyDescent="0.25">
      <c r="A2795" s="4" t="s">
        <v>2464</v>
      </c>
      <c r="B2795" s="4" t="s">
        <v>2466</v>
      </c>
      <c r="C2795" s="4" t="s">
        <v>65</v>
      </c>
      <c r="D2795" s="10">
        <v>25</v>
      </c>
      <c r="E2795" s="12" t="s">
        <v>66</v>
      </c>
      <c r="F2795" s="10">
        <v>3500</v>
      </c>
      <c r="G2795" s="10">
        <v>0</v>
      </c>
      <c r="H2795" s="10">
        <f t="shared" si="43"/>
        <v>3500</v>
      </c>
      <c r="I2795" s="10">
        <v>140</v>
      </c>
      <c r="J2795" s="10">
        <v>140</v>
      </c>
      <c r="K2795" s="10">
        <v>140</v>
      </c>
      <c r="L2795" s="4"/>
      <c r="M2795" s="4">
        <v>2790</v>
      </c>
    </row>
    <row r="2796" spans="1:13" x14ac:dyDescent="0.25">
      <c r="A2796" s="4" t="s">
        <v>2464</v>
      </c>
      <c r="B2796" s="4" t="s">
        <v>2467</v>
      </c>
      <c r="C2796" s="4" t="s">
        <v>65</v>
      </c>
      <c r="D2796" s="10">
        <v>12</v>
      </c>
      <c r="E2796" s="12" t="s">
        <v>66</v>
      </c>
      <c r="F2796" s="10">
        <v>1100</v>
      </c>
      <c r="G2796" s="10">
        <v>0</v>
      </c>
      <c r="H2796" s="10">
        <f t="shared" si="43"/>
        <v>1100</v>
      </c>
      <c r="I2796" s="10">
        <v>91.666666666666671</v>
      </c>
      <c r="J2796" s="10">
        <v>91.666666666666671</v>
      </c>
      <c r="K2796" s="10">
        <v>91.666666666666671</v>
      </c>
      <c r="L2796" s="4"/>
      <c r="M2796" s="4">
        <v>2791</v>
      </c>
    </row>
    <row r="2797" spans="1:13" x14ac:dyDescent="0.25">
      <c r="A2797" s="4" t="s">
        <v>2464</v>
      </c>
      <c r="B2797" s="4" t="s">
        <v>2468</v>
      </c>
      <c r="C2797" s="4" t="s">
        <v>68</v>
      </c>
      <c r="D2797" s="10">
        <v>41</v>
      </c>
      <c r="E2797" s="11" t="s">
        <v>51</v>
      </c>
      <c r="F2797" s="10">
        <v>3000</v>
      </c>
      <c r="G2797" s="10">
        <v>0</v>
      </c>
      <c r="H2797" s="10">
        <f t="shared" si="43"/>
        <v>3000</v>
      </c>
      <c r="I2797" s="10"/>
      <c r="J2797" s="10"/>
      <c r="K2797" s="10"/>
      <c r="L2797" s="4" t="s">
        <v>69</v>
      </c>
      <c r="M2797" s="4">
        <v>2792</v>
      </c>
    </row>
    <row r="2798" spans="1:13" x14ac:dyDescent="0.25">
      <c r="A2798" s="4" t="s">
        <v>2469</v>
      </c>
      <c r="B2798" s="4" t="s">
        <v>2470</v>
      </c>
      <c r="C2798" s="9" t="s">
        <v>50</v>
      </c>
      <c r="D2798" s="10">
        <v>8</v>
      </c>
      <c r="E2798" s="11" t="s">
        <v>51</v>
      </c>
      <c r="F2798" s="10">
        <v>853.78</v>
      </c>
      <c r="G2798" s="10">
        <v>0</v>
      </c>
      <c r="H2798" s="10">
        <f t="shared" si="43"/>
        <v>853.78</v>
      </c>
      <c r="I2798" s="10"/>
      <c r="J2798" s="10"/>
      <c r="K2798" s="10"/>
      <c r="L2798" s="4" t="s">
        <v>52</v>
      </c>
      <c r="M2798" s="4">
        <v>2793</v>
      </c>
    </row>
    <row r="2799" spans="1:13" x14ac:dyDescent="0.25">
      <c r="A2799" s="4" t="s">
        <v>2469</v>
      </c>
      <c r="B2799" s="4" t="s">
        <v>2471</v>
      </c>
      <c r="C2799" s="9" t="s">
        <v>50</v>
      </c>
      <c r="D2799" s="10">
        <v>17</v>
      </c>
      <c r="E2799" s="11" t="s">
        <v>51</v>
      </c>
      <c r="F2799" s="10">
        <v>853.78</v>
      </c>
      <c r="G2799" s="10">
        <v>0</v>
      </c>
      <c r="H2799" s="10">
        <f t="shared" si="43"/>
        <v>853.78</v>
      </c>
      <c r="I2799" s="10"/>
      <c r="J2799" s="10"/>
      <c r="K2799" s="10"/>
      <c r="L2799" s="4" t="s">
        <v>52</v>
      </c>
      <c r="M2799" s="4">
        <v>2794</v>
      </c>
    </row>
    <row r="2800" spans="1:13" x14ac:dyDescent="0.25">
      <c r="A2800" s="4" t="s">
        <v>2472</v>
      </c>
      <c r="B2800" s="4" t="s">
        <v>2473</v>
      </c>
      <c r="C2800" s="4" t="s">
        <v>65</v>
      </c>
      <c r="D2800" s="10">
        <v>427</v>
      </c>
      <c r="E2800" s="12" t="s">
        <v>66</v>
      </c>
      <c r="F2800" s="10">
        <v>825</v>
      </c>
      <c r="G2800" s="10">
        <v>0</v>
      </c>
      <c r="H2800" s="10">
        <f t="shared" si="43"/>
        <v>825</v>
      </c>
      <c r="I2800" s="10">
        <v>91.666666666666671</v>
      </c>
      <c r="J2800" s="10">
        <v>91.666666666666671</v>
      </c>
      <c r="K2800" s="10">
        <v>91.666666666666671</v>
      </c>
      <c r="L2800" s="4"/>
      <c r="M2800" s="4">
        <v>2795</v>
      </c>
    </row>
    <row r="2801" spans="1:13" x14ac:dyDescent="0.25">
      <c r="A2801" s="4" t="s">
        <v>2474</v>
      </c>
      <c r="B2801" s="4" t="s">
        <v>2475</v>
      </c>
      <c r="C2801" s="9" t="s">
        <v>50</v>
      </c>
      <c r="D2801" s="10">
        <v>4</v>
      </c>
      <c r="E2801" s="11" t="s">
        <v>51</v>
      </c>
      <c r="F2801" s="10">
        <v>450</v>
      </c>
      <c r="G2801" s="10">
        <v>0</v>
      </c>
      <c r="H2801" s="10">
        <f t="shared" si="43"/>
        <v>450</v>
      </c>
      <c r="I2801" s="10"/>
      <c r="J2801" s="10"/>
      <c r="K2801" s="10"/>
      <c r="L2801" s="4" t="s">
        <v>52</v>
      </c>
      <c r="M2801" s="4">
        <v>2796</v>
      </c>
    </row>
    <row r="2802" spans="1:13" x14ac:dyDescent="0.25">
      <c r="A2802" s="4" t="s">
        <v>2474</v>
      </c>
      <c r="B2802" s="4" t="s">
        <v>2476</v>
      </c>
      <c r="C2802" s="9" t="s">
        <v>50</v>
      </c>
      <c r="D2802" s="10">
        <v>96</v>
      </c>
      <c r="E2802" s="11" t="s">
        <v>51</v>
      </c>
      <c r="F2802" s="10">
        <v>6270</v>
      </c>
      <c r="G2802" s="10">
        <v>0</v>
      </c>
      <c r="H2802" s="10">
        <f t="shared" si="43"/>
        <v>6270</v>
      </c>
      <c r="I2802" s="10"/>
      <c r="J2802" s="10"/>
      <c r="K2802" s="10"/>
      <c r="L2802" s="4" t="s">
        <v>52</v>
      </c>
      <c r="M2802" s="4">
        <v>2797</v>
      </c>
    </row>
    <row r="2803" spans="1:13" x14ac:dyDescent="0.25">
      <c r="A2803" s="4" t="s">
        <v>2474</v>
      </c>
      <c r="B2803" s="4" t="s">
        <v>421</v>
      </c>
      <c r="C2803" s="9" t="s">
        <v>50</v>
      </c>
      <c r="D2803" s="10">
        <v>51.5</v>
      </c>
      <c r="E2803" s="11" t="s">
        <v>51</v>
      </c>
      <c r="F2803" s="10">
        <v>4920</v>
      </c>
      <c r="G2803" s="10">
        <v>0</v>
      </c>
      <c r="H2803" s="10">
        <f t="shared" si="43"/>
        <v>4920</v>
      </c>
      <c r="I2803" s="10"/>
      <c r="J2803" s="10"/>
      <c r="K2803" s="10"/>
      <c r="L2803" s="4" t="s">
        <v>52</v>
      </c>
      <c r="M2803" s="4">
        <v>2798</v>
      </c>
    </row>
    <row r="2804" spans="1:13" x14ac:dyDescent="0.25">
      <c r="A2804" s="4" t="s">
        <v>2474</v>
      </c>
      <c r="B2804" s="4" t="s">
        <v>119</v>
      </c>
      <c r="C2804" s="9" t="s">
        <v>50</v>
      </c>
      <c r="D2804" s="10">
        <v>36.5</v>
      </c>
      <c r="E2804" s="11" t="s">
        <v>51</v>
      </c>
      <c r="F2804" s="10">
        <v>2250</v>
      </c>
      <c r="G2804" s="10">
        <v>0</v>
      </c>
      <c r="H2804" s="10">
        <f t="shared" si="43"/>
        <v>2250</v>
      </c>
      <c r="I2804" s="10"/>
      <c r="J2804" s="10"/>
      <c r="K2804" s="10"/>
      <c r="L2804" s="4" t="s">
        <v>52</v>
      </c>
      <c r="M2804" s="4">
        <v>2799</v>
      </c>
    </row>
    <row r="2805" spans="1:13" x14ac:dyDescent="0.25">
      <c r="A2805" s="4" t="s">
        <v>2474</v>
      </c>
      <c r="B2805" s="4" t="s">
        <v>2477</v>
      </c>
      <c r="C2805" s="9" t="s">
        <v>50</v>
      </c>
      <c r="D2805" s="10">
        <v>82.5</v>
      </c>
      <c r="E2805" s="11" t="s">
        <v>51</v>
      </c>
      <c r="F2805" s="10"/>
      <c r="G2805" s="10">
        <v>0</v>
      </c>
      <c r="H2805" s="10">
        <f t="shared" si="43"/>
        <v>0</v>
      </c>
      <c r="I2805" s="10"/>
      <c r="J2805" s="10"/>
      <c r="K2805" s="10"/>
      <c r="L2805" s="4" t="s">
        <v>52</v>
      </c>
      <c r="M2805" s="4">
        <v>2800</v>
      </c>
    </row>
    <row r="2806" spans="1:13" x14ac:dyDescent="0.25">
      <c r="A2806" s="4" t="s">
        <v>2474</v>
      </c>
      <c r="B2806" s="4" t="s">
        <v>2478</v>
      </c>
      <c r="C2806" s="4" t="s">
        <v>65</v>
      </c>
      <c r="D2806" s="10">
        <v>42.5</v>
      </c>
      <c r="E2806" s="12" t="s">
        <v>66</v>
      </c>
      <c r="F2806" s="10">
        <v>6400</v>
      </c>
      <c r="G2806" s="10">
        <v>0</v>
      </c>
      <c r="H2806" s="10">
        <f t="shared" si="43"/>
        <v>6400</v>
      </c>
      <c r="I2806" s="10">
        <v>150.58823529411771</v>
      </c>
      <c r="J2806" s="10">
        <v>150.58823529411771</v>
      </c>
      <c r="K2806" s="10">
        <v>150.58823529411771</v>
      </c>
      <c r="L2806" s="4"/>
      <c r="M2806" s="4">
        <v>2801</v>
      </c>
    </row>
    <row r="2807" spans="1:13" x14ac:dyDescent="0.25">
      <c r="A2807" s="4" t="s">
        <v>2474</v>
      </c>
      <c r="B2807" s="4" t="s">
        <v>2479</v>
      </c>
      <c r="C2807" s="4" t="s">
        <v>68</v>
      </c>
      <c r="D2807" s="10">
        <v>20</v>
      </c>
      <c r="E2807" s="11" t="s">
        <v>51</v>
      </c>
      <c r="F2807" s="10">
        <v>1900</v>
      </c>
      <c r="G2807" s="10">
        <v>0</v>
      </c>
      <c r="H2807" s="10">
        <f t="shared" si="43"/>
        <v>1900</v>
      </c>
      <c r="I2807" s="10"/>
      <c r="J2807" s="10"/>
      <c r="K2807" s="10"/>
      <c r="L2807" s="4" t="s">
        <v>69</v>
      </c>
      <c r="M2807" s="4">
        <v>2802</v>
      </c>
    </row>
    <row r="2808" spans="1:13" x14ac:dyDescent="0.25">
      <c r="A2808" s="4" t="s">
        <v>2474</v>
      </c>
      <c r="B2808" s="4" t="s">
        <v>2480</v>
      </c>
      <c r="C2808" s="9" t="s">
        <v>50</v>
      </c>
      <c r="D2808" s="10">
        <v>23.5</v>
      </c>
      <c r="E2808" s="11" t="s">
        <v>51</v>
      </c>
      <c r="F2808" s="10">
        <v>2500</v>
      </c>
      <c r="G2808" s="10">
        <v>0</v>
      </c>
      <c r="H2808" s="10">
        <f t="shared" si="43"/>
        <v>2500</v>
      </c>
      <c r="I2808" s="10"/>
      <c r="J2808" s="10"/>
      <c r="K2808" s="10"/>
      <c r="L2808" s="4" t="s">
        <v>52</v>
      </c>
      <c r="M2808" s="4">
        <v>2803</v>
      </c>
    </row>
    <row r="2809" spans="1:13" x14ac:dyDescent="0.25">
      <c r="A2809" s="4" t="s">
        <v>2474</v>
      </c>
      <c r="B2809" s="4" t="s">
        <v>2481</v>
      </c>
      <c r="C2809" s="9" t="s">
        <v>50</v>
      </c>
      <c r="D2809" s="10">
        <v>44</v>
      </c>
      <c r="E2809" s="11" t="s">
        <v>51</v>
      </c>
      <c r="F2809" s="10">
        <v>4180</v>
      </c>
      <c r="G2809" s="10">
        <v>0</v>
      </c>
      <c r="H2809" s="10">
        <f t="shared" si="43"/>
        <v>4180</v>
      </c>
      <c r="I2809" s="10"/>
      <c r="J2809" s="10"/>
      <c r="K2809" s="10"/>
      <c r="L2809" s="4" t="s">
        <v>52</v>
      </c>
      <c r="M2809" s="4">
        <v>2804</v>
      </c>
    </row>
    <row r="2810" spans="1:13" x14ac:dyDescent="0.25">
      <c r="A2810" s="4" t="s">
        <v>2474</v>
      </c>
      <c r="B2810" s="4" t="s">
        <v>2482</v>
      </c>
      <c r="C2810" s="9" t="s">
        <v>50</v>
      </c>
      <c r="D2810" s="10">
        <v>24</v>
      </c>
      <c r="E2810" s="11" t="s">
        <v>51</v>
      </c>
      <c r="F2810" s="10">
        <v>2700</v>
      </c>
      <c r="G2810" s="10">
        <v>0</v>
      </c>
      <c r="H2810" s="10">
        <f t="shared" si="43"/>
        <v>2700</v>
      </c>
      <c r="I2810" s="10"/>
      <c r="J2810" s="10"/>
      <c r="K2810" s="10"/>
      <c r="L2810" s="4" t="s">
        <v>52</v>
      </c>
      <c r="M2810" s="4">
        <v>2805</v>
      </c>
    </row>
    <row r="2811" spans="1:13" x14ac:dyDescent="0.25">
      <c r="A2811" s="4" t="s">
        <v>2474</v>
      </c>
      <c r="B2811" s="4" t="s">
        <v>2483</v>
      </c>
      <c r="C2811" s="4" t="s">
        <v>65</v>
      </c>
      <c r="D2811" s="10">
        <v>6</v>
      </c>
      <c r="E2811" s="12" t="s">
        <v>66</v>
      </c>
      <c r="F2811" s="10">
        <v>750</v>
      </c>
      <c r="G2811" s="10">
        <v>0</v>
      </c>
      <c r="H2811" s="10">
        <f t="shared" si="43"/>
        <v>750</v>
      </c>
      <c r="I2811" s="10">
        <v>125</v>
      </c>
      <c r="J2811" s="10">
        <v>125</v>
      </c>
      <c r="K2811" s="10">
        <v>125</v>
      </c>
      <c r="L2811" s="4"/>
      <c r="M2811" s="4">
        <v>2806</v>
      </c>
    </row>
    <row r="2812" spans="1:13" x14ac:dyDescent="0.25">
      <c r="A2812" s="4" t="s">
        <v>2474</v>
      </c>
      <c r="B2812" s="4" t="s">
        <v>2484</v>
      </c>
      <c r="C2812" s="9" t="s">
        <v>50</v>
      </c>
      <c r="D2812" s="10">
        <v>290.75</v>
      </c>
      <c r="E2812" s="11" t="s">
        <v>51</v>
      </c>
      <c r="F2812" s="10">
        <v>2750</v>
      </c>
      <c r="G2812" s="10">
        <v>0</v>
      </c>
      <c r="H2812" s="10">
        <f t="shared" si="43"/>
        <v>2750</v>
      </c>
      <c r="I2812" s="10"/>
      <c r="J2812" s="10"/>
      <c r="K2812" s="10"/>
      <c r="L2812" s="4" t="s">
        <v>52</v>
      </c>
      <c r="M2812" s="4">
        <v>2807</v>
      </c>
    </row>
    <row r="2813" spans="1:13" x14ac:dyDescent="0.25">
      <c r="A2813" s="4" t="s">
        <v>2485</v>
      </c>
      <c r="B2813" s="4" t="s">
        <v>1402</v>
      </c>
      <c r="C2813" s="9" t="s">
        <v>50</v>
      </c>
      <c r="D2813" s="10">
        <v>180.75</v>
      </c>
      <c r="E2813" s="11" t="s">
        <v>51</v>
      </c>
      <c r="F2813" s="10">
        <v>13900</v>
      </c>
      <c r="G2813" s="10">
        <v>0</v>
      </c>
      <c r="H2813" s="10">
        <f t="shared" si="43"/>
        <v>13900</v>
      </c>
      <c r="I2813" s="10"/>
      <c r="J2813" s="10"/>
      <c r="K2813" s="10"/>
      <c r="L2813" s="4" t="s">
        <v>52</v>
      </c>
      <c r="M2813" s="4">
        <v>2808</v>
      </c>
    </row>
    <row r="2814" spans="1:13" x14ac:dyDescent="0.25">
      <c r="A2814" s="4" t="s">
        <v>2485</v>
      </c>
      <c r="B2814" s="4" t="s">
        <v>2486</v>
      </c>
      <c r="C2814" s="4" t="s">
        <v>68</v>
      </c>
      <c r="D2814" s="10">
        <v>72</v>
      </c>
      <c r="E2814" s="11" t="s">
        <v>51</v>
      </c>
      <c r="F2814" s="10">
        <v>5842.5</v>
      </c>
      <c r="G2814" s="10">
        <v>0</v>
      </c>
      <c r="H2814" s="10">
        <f t="shared" si="43"/>
        <v>5842.5</v>
      </c>
      <c r="I2814" s="10"/>
      <c r="J2814" s="10"/>
      <c r="K2814" s="10"/>
      <c r="L2814" s="4" t="s">
        <v>69</v>
      </c>
      <c r="M2814" s="4">
        <v>2809</v>
      </c>
    </row>
    <row r="2815" spans="1:13" x14ac:dyDescent="0.25">
      <c r="A2815" s="4" t="s">
        <v>2487</v>
      </c>
      <c r="B2815" s="4" t="s">
        <v>2488</v>
      </c>
      <c r="C2815" s="4" t="s">
        <v>68</v>
      </c>
      <c r="D2815" s="10">
        <v>3</v>
      </c>
      <c r="E2815" s="11" t="s">
        <v>51</v>
      </c>
      <c r="F2815" s="10">
        <v>345</v>
      </c>
      <c r="G2815" s="10">
        <v>0</v>
      </c>
      <c r="H2815" s="10">
        <f t="shared" si="43"/>
        <v>345</v>
      </c>
      <c r="I2815" s="10"/>
      <c r="J2815" s="10"/>
      <c r="K2815" s="10"/>
      <c r="L2815" s="4" t="s">
        <v>69</v>
      </c>
      <c r="M2815" s="4">
        <v>2810</v>
      </c>
    </row>
    <row r="2816" spans="1:13" x14ac:dyDescent="0.25">
      <c r="A2816" s="4" t="s">
        <v>2487</v>
      </c>
      <c r="B2816" s="4" t="s">
        <v>2489</v>
      </c>
      <c r="C2816" s="4" t="s">
        <v>68</v>
      </c>
      <c r="D2816" s="10">
        <v>8</v>
      </c>
      <c r="E2816" s="11" t="s">
        <v>51</v>
      </c>
      <c r="F2816" s="10">
        <v>560</v>
      </c>
      <c r="G2816" s="10">
        <v>0</v>
      </c>
      <c r="H2816" s="10">
        <f t="shared" si="43"/>
        <v>560</v>
      </c>
      <c r="I2816" s="10"/>
      <c r="J2816" s="10"/>
      <c r="K2816" s="10"/>
      <c r="L2816" s="4" t="s">
        <v>69</v>
      </c>
      <c r="M2816" s="4">
        <v>2811</v>
      </c>
    </row>
    <row r="2817" spans="1:13" x14ac:dyDescent="0.25">
      <c r="A2817" s="4" t="s">
        <v>2487</v>
      </c>
      <c r="B2817" s="4" t="s">
        <v>2490</v>
      </c>
      <c r="C2817" s="4" t="s">
        <v>68</v>
      </c>
      <c r="D2817" s="10">
        <v>111</v>
      </c>
      <c r="E2817" s="11" t="s">
        <v>51</v>
      </c>
      <c r="F2817" s="10">
        <v>60</v>
      </c>
      <c r="G2817" s="10">
        <v>0</v>
      </c>
      <c r="H2817" s="10">
        <f t="shared" si="43"/>
        <v>60</v>
      </c>
      <c r="I2817" s="10"/>
      <c r="J2817" s="10"/>
      <c r="K2817" s="10"/>
      <c r="L2817" s="4" t="s">
        <v>69</v>
      </c>
      <c r="M2817" s="4">
        <v>2812</v>
      </c>
    </row>
    <row r="2818" spans="1:13" x14ac:dyDescent="0.25">
      <c r="A2818" s="4" t="s">
        <v>2491</v>
      </c>
      <c r="B2818" s="4" t="s">
        <v>2492</v>
      </c>
      <c r="C2818" s="4" t="s">
        <v>68</v>
      </c>
      <c r="D2818" s="10">
        <v>24</v>
      </c>
      <c r="E2818" s="11" t="s">
        <v>51</v>
      </c>
      <c r="F2818" s="10">
        <v>2640</v>
      </c>
      <c r="G2818" s="10">
        <v>0</v>
      </c>
      <c r="H2818" s="10">
        <f t="shared" si="43"/>
        <v>2640</v>
      </c>
      <c r="I2818" s="10"/>
      <c r="J2818" s="10"/>
      <c r="K2818" s="10"/>
      <c r="L2818" s="4" t="s">
        <v>69</v>
      </c>
      <c r="M2818" s="4">
        <v>2813</v>
      </c>
    </row>
    <row r="2819" spans="1:13" x14ac:dyDescent="0.25">
      <c r="A2819" s="4" t="s">
        <v>2491</v>
      </c>
      <c r="B2819" s="4" t="s">
        <v>2493</v>
      </c>
      <c r="C2819" s="4" t="s">
        <v>65</v>
      </c>
      <c r="D2819" s="10">
        <v>71</v>
      </c>
      <c r="E2819" s="12" t="s">
        <v>66</v>
      </c>
      <c r="F2819" s="10">
        <v>1850</v>
      </c>
      <c r="G2819" s="10">
        <v>0</v>
      </c>
      <c r="H2819" s="10">
        <f t="shared" si="43"/>
        <v>1850</v>
      </c>
      <c r="I2819" s="10">
        <v>26.056338028169019</v>
      </c>
      <c r="J2819" s="10">
        <v>26.056338028169019</v>
      </c>
      <c r="K2819" s="10">
        <v>26.056338028169019</v>
      </c>
      <c r="L2819" s="4"/>
      <c r="M2819" s="4">
        <v>2814</v>
      </c>
    </row>
    <row r="2820" spans="1:13" x14ac:dyDescent="0.25">
      <c r="A2820" s="4" t="s">
        <v>2491</v>
      </c>
      <c r="B2820" s="4" t="s">
        <v>2494</v>
      </c>
      <c r="C2820" s="4" t="s">
        <v>65</v>
      </c>
      <c r="D2820" s="10">
        <v>82</v>
      </c>
      <c r="E2820" s="12" t="s">
        <v>66</v>
      </c>
      <c r="F2820" s="10">
        <v>2050</v>
      </c>
      <c r="G2820" s="10">
        <v>0</v>
      </c>
      <c r="H2820" s="10">
        <f t="shared" si="43"/>
        <v>2050</v>
      </c>
      <c r="I2820" s="10">
        <v>128.125</v>
      </c>
      <c r="J2820" s="10">
        <v>128.125</v>
      </c>
      <c r="K2820" s="10">
        <v>128.125</v>
      </c>
      <c r="L2820" s="4"/>
      <c r="M2820" s="4">
        <v>2815</v>
      </c>
    </row>
    <row r="2821" spans="1:13" x14ac:dyDescent="0.25">
      <c r="A2821" s="4" t="s">
        <v>2495</v>
      </c>
      <c r="B2821" s="4" t="s">
        <v>2496</v>
      </c>
      <c r="C2821" s="4" t="s">
        <v>68</v>
      </c>
      <c r="D2821" s="10">
        <v>24</v>
      </c>
      <c r="E2821" s="11" t="s">
        <v>51</v>
      </c>
      <c r="F2821" s="10">
        <v>2760</v>
      </c>
      <c r="G2821" s="10">
        <v>0</v>
      </c>
      <c r="H2821" s="10">
        <f t="shared" si="43"/>
        <v>2760</v>
      </c>
      <c r="I2821" s="10"/>
      <c r="J2821" s="10"/>
      <c r="K2821" s="10"/>
      <c r="L2821" s="4" t="s">
        <v>69</v>
      </c>
      <c r="M2821" s="4">
        <v>2816</v>
      </c>
    </row>
    <row r="2822" spans="1:13" x14ac:dyDescent="0.25">
      <c r="A2822" s="4" t="s">
        <v>2495</v>
      </c>
      <c r="B2822" s="4" t="s">
        <v>2497</v>
      </c>
      <c r="C2822" s="4" t="s">
        <v>65</v>
      </c>
      <c r="D2822" s="10">
        <v>17</v>
      </c>
      <c r="E2822" s="12" t="s">
        <v>66</v>
      </c>
      <c r="F2822" s="10">
        <v>1900</v>
      </c>
      <c r="G2822" s="10">
        <v>0</v>
      </c>
      <c r="H2822" s="10">
        <f t="shared" ref="H2822:H2885" si="44">F2822-G2822</f>
        <v>1900</v>
      </c>
      <c r="I2822" s="10">
        <v>111.7647058823529</v>
      </c>
      <c r="J2822" s="10">
        <v>111.7647058823529</v>
      </c>
      <c r="K2822" s="10">
        <v>111.7647058823529</v>
      </c>
      <c r="L2822" s="4"/>
      <c r="M2822" s="4">
        <v>2817</v>
      </c>
    </row>
    <row r="2823" spans="1:13" x14ac:dyDescent="0.25">
      <c r="A2823" s="4" t="s">
        <v>2495</v>
      </c>
      <c r="B2823" s="4" t="s">
        <v>2498</v>
      </c>
      <c r="C2823" s="4" t="s">
        <v>65</v>
      </c>
      <c r="D2823" s="10">
        <v>16</v>
      </c>
      <c r="E2823" s="12" t="s">
        <v>66</v>
      </c>
      <c r="F2823" s="10">
        <v>2150</v>
      </c>
      <c r="G2823" s="10">
        <v>0</v>
      </c>
      <c r="H2823" s="10">
        <f t="shared" si="44"/>
        <v>2150</v>
      </c>
      <c r="I2823" s="10">
        <v>134.375</v>
      </c>
      <c r="J2823" s="10">
        <v>134.375</v>
      </c>
      <c r="K2823" s="10">
        <v>134.375</v>
      </c>
      <c r="L2823" s="4"/>
      <c r="M2823" s="4">
        <v>2818</v>
      </c>
    </row>
    <row r="2824" spans="1:13" x14ac:dyDescent="0.25">
      <c r="A2824" s="4" t="s">
        <v>2495</v>
      </c>
      <c r="B2824" s="4" t="s">
        <v>2499</v>
      </c>
      <c r="C2824" s="4" t="s">
        <v>65</v>
      </c>
      <c r="D2824" s="10">
        <v>6</v>
      </c>
      <c r="E2824" s="12" t="s">
        <v>66</v>
      </c>
      <c r="F2824" s="10">
        <v>500</v>
      </c>
      <c r="G2824" s="10">
        <v>0</v>
      </c>
      <c r="H2824" s="10">
        <f t="shared" si="44"/>
        <v>500</v>
      </c>
      <c r="I2824" s="10">
        <v>83.333333333333329</v>
      </c>
      <c r="J2824" s="10">
        <v>83.333333333333329</v>
      </c>
      <c r="K2824" s="10">
        <v>83.333333333333329</v>
      </c>
      <c r="L2824" s="4"/>
      <c r="M2824" s="4">
        <v>2819</v>
      </c>
    </row>
    <row r="2825" spans="1:13" x14ac:dyDescent="0.25">
      <c r="A2825" s="4" t="s">
        <v>2495</v>
      </c>
      <c r="B2825" s="4" t="s">
        <v>2500</v>
      </c>
      <c r="C2825" s="4" t="s">
        <v>65</v>
      </c>
      <c r="D2825" s="10">
        <v>4</v>
      </c>
      <c r="E2825" s="12" t="s">
        <v>66</v>
      </c>
      <c r="F2825" s="10">
        <v>350</v>
      </c>
      <c r="G2825" s="10">
        <v>0</v>
      </c>
      <c r="H2825" s="10">
        <f t="shared" si="44"/>
        <v>350</v>
      </c>
      <c r="I2825" s="10">
        <v>87.5</v>
      </c>
      <c r="J2825" s="10">
        <v>87.5</v>
      </c>
      <c r="K2825" s="10">
        <v>87.5</v>
      </c>
      <c r="L2825" s="4"/>
      <c r="M2825" s="4">
        <v>2820</v>
      </c>
    </row>
    <row r="2826" spans="1:13" x14ac:dyDescent="0.25">
      <c r="A2826" s="4" t="s">
        <v>2495</v>
      </c>
      <c r="B2826" s="4" t="s">
        <v>2501</v>
      </c>
      <c r="C2826" s="4" t="s">
        <v>65</v>
      </c>
      <c r="D2826" s="10">
        <v>11</v>
      </c>
      <c r="E2826" s="12" t="s">
        <v>66</v>
      </c>
      <c r="F2826" s="10">
        <v>1265</v>
      </c>
      <c r="G2826" s="10">
        <v>0</v>
      </c>
      <c r="H2826" s="10">
        <f t="shared" si="44"/>
        <v>1265</v>
      </c>
      <c r="I2826" s="10">
        <v>115</v>
      </c>
      <c r="J2826" s="10">
        <v>115</v>
      </c>
      <c r="K2826" s="10">
        <v>115</v>
      </c>
      <c r="L2826" s="4"/>
      <c r="M2826" s="4">
        <v>2821</v>
      </c>
    </row>
    <row r="2827" spans="1:13" x14ac:dyDescent="0.25">
      <c r="A2827" s="4" t="s">
        <v>2495</v>
      </c>
      <c r="B2827" s="4" t="s">
        <v>2502</v>
      </c>
      <c r="C2827" s="4" t="s">
        <v>65</v>
      </c>
      <c r="D2827" s="10">
        <v>15</v>
      </c>
      <c r="E2827" s="12" t="s">
        <v>66</v>
      </c>
      <c r="F2827" s="10">
        <v>405</v>
      </c>
      <c r="G2827" s="10">
        <v>0</v>
      </c>
      <c r="H2827" s="10">
        <f t="shared" si="44"/>
        <v>405</v>
      </c>
      <c r="I2827" s="10">
        <v>101.25</v>
      </c>
      <c r="J2827" s="10">
        <v>101.25</v>
      </c>
      <c r="K2827" s="10">
        <v>101.25</v>
      </c>
      <c r="L2827" s="4"/>
      <c r="M2827" s="4">
        <v>2822</v>
      </c>
    </row>
    <row r="2828" spans="1:13" x14ac:dyDescent="0.25">
      <c r="A2828" s="4" t="s">
        <v>2495</v>
      </c>
      <c r="B2828" s="4" t="s">
        <v>2503</v>
      </c>
      <c r="C2828" s="4" t="s">
        <v>65</v>
      </c>
      <c r="D2828" s="10">
        <v>25</v>
      </c>
      <c r="E2828" s="12" t="s">
        <v>66</v>
      </c>
      <c r="F2828" s="10">
        <v>1500</v>
      </c>
      <c r="G2828" s="10">
        <v>0</v>
      </c>
      <c r="H2828" s="10">
        <f t="shared" si="44"/>
        <v>1500</v>
      </c>
      <c r="I2828" s="10">
        <v>136.3636363636364</v>
      </c>
      <c r="J2828" s="10">
        <v>136.3636363636364</v>
      </c>
      <c r="K2828" s="10">
        <v>136.3636363636364</v>
      </c>
      <c r="L2828" s="4"/>
      <c r="M2828" s="4">
        <v>2823</v>
      </c>
    </row>
    <row r="2829" spans="1:13" x14ac:dyDescent="0.25">
      <c r="A2829" s="4" t="s">
        <v>2504</v>
      </c>
      <c r="B2829" s="4" t="s">
        <v>2505</v>
      </c>
      <c r="C2829" s="4" t="s">
        <v>65</v>
      </c>
      <c r="D2829" s="10">
        <v>24</v>
      </c>
      <c r="E2829" s="12" t="s">
        <v>66</v>
      </c>
      <c r="F2829" s="10">
        <v>950</v>
      </c>
      <c r="G2829" s="10">
        <v>0</v>
      </c>
      <c r="H2829" s="10">
        <f t="shared" si="44"/>
        <v>950</v>
      </c>
      <c r="I2829" s="10">
        <v>135.71428571428569</v>
      </c>
      <c r="J2829" s="10">
        <v>135.71428571428569</v>
      </c>
      <c r="K2829" s="10">
        <v>135.71428571428569</v>
      </c>
      <c r="L2829" s="4"/>
      <c r="M2829" s="4">
        <v>2824</v>
      </c>
    </row>
    <row r="2830" spans="1:13" x14ac:dyDescent="0.25">
      <c r="A2830" s="4" t="s">
        <v>2506</v>
      </c>
      <c r="B2830" s="4" t="s">
        <v>2507</v>
      </c>
      <c r="C2830" s="4" t="s">
        <v>65</v>
      </c>
      <c r="D2830" s="10">
        <v>9</v>
      </c>
      <c r="E2830" s="12" t="s">
        <v>66</v>
      </c>
      <c r="F2830" s="10">
        <v>620</v>
      </c>
      <c r="G2830" s="10">
        <v>0</v>
      </c>
      <c r="H2830" s="10">
        <f t="shared" si="44"/>
        <v>620</v>
      </c>
      <c r="I2830" s="10">
        <v>68.888888888888886</v>
      </c>
      <c r="J2830" s="10">
        <v>68.888888888888886</v>
      </c>
      <c r="K2830" s="10">
        <v>68.888888888888886</v>
      </c>
      <c r="L2830" s="4"/>
      <c r="M2830" s="4">
        <v>2825</v>
      </c>
    </row>
    <row r="2831" spans="1:13" x14ac:dyDescent="0.25">
      <c r="A2831" s="4" t="s">
        <v>2506</v>
      </c>
      <c r="B2831" s="4" t="s">
        <v>2508</v>
      </c>
      <c r="C2831" s="4" t="s">
        <v>65</v>
      </c>
      <c r="D2831" s="10">
        <v>418</v>
      </c>
      <c r="E2831" s="12" t="s">
        <v>66</v>
      </c>
      <c r="F2831" s="10">
        <v>560</v>
      </c>
      <c r="G2831" s="10">
        <v>0</v>
      </c>
      <c r="H2831" s="10">
        <f t="shared" si="44"/>
        <v>560</v>
      </c>
      <c r="I2831" s="10">
        <v>70</v>
      </c>
      <c r="J2831" s="10">
        <v>70</v>
      </c>
      <c r="K2831" s="10">
        <v>70</v>
      </c>
      <c r="L2831" s="4"/>
      <c r="M2831" s="4">
        <v>2826</v>
      </c>
    </row>
    <row r="2832" spans="1:13" x14ac:dyDescent="0.25">
      <c r="A2832" s="4" t="s">
        <v>2509</v>
      </c>
      <c r="B2832" s="4" t="s">
        <v>2510</v>
      </c>
      <c r="C2832" s="4" t="s">
        <v>68</v>
      </c>
      <c r="D2832" s="10">
        <v>80</v>
      </c>
      <c r="E2832" s="11" t="s">
        <v>51</v>
      </c>
      <c r="F2832" s="10">
        <v>8800</v>
      </c>
      <c r="G2832" s="10">
        <v>0</v>
      </c>
      <c r="H2832" s="10">
        <f t="shared" si="44"/>
        <v>8800</v>
      </c>
      <c r="I2832" s="10"/>
      <c r="J2832" s="10"/>
      <c r="K2832" s="10"/>
      <c r="L2832" s="4" t="s">
        <v>69</v>
      </c>
      <c r="M2832" s="4">
        <v>2827</v>
      </c>
    </row>
    <row r="2833" spans="1:13" x14ac:dyDescent="0.25">
      <c r="A2833" s="4" t="s">
        <v>2509</v>
      </c>
      <c r="B2833" s="4" t="s">
        <v>2511</v>
      </c>
      <c r="C2833" s="4" t="s">
        <v>68</v>
      </c>
      <c r="D2833" s="10">
        <v>80</v>
      </c>
      <c r="E2833" s="11" t="s">
        <v>51</v>
      </c>
      <c r="F2833" s="10">
        <v>8800</v>
      </c>
      <c r="G2833" s="10">
        <v>0</v>
      </c>
      <c r="H2833" s="10">
        <f t="shared" si="44"/>
        <v>8800</v>
      </c>
      <c r="I2833" s="10"/>
      <c r="J2833" s="10"/>
      <c r="K2833" s="10"/>
      <c r="L2833" s="4" t="s">
        <v>69</v>
      </c>
      <c r="M2833" s="4">
        <v>2828</v>
      </c>
    </row>
    <row r="2834" spans="1:13" x14ac:dyDescent="0.25">
      <c r="A2834" s="4" t="s">
        <v>2509</v>
      </c>
      <c r="B2834" s="4" t="s">
        <v>2512</v>
      </c>
      <c r="C2834" s="4" t="s">
        <v>68</v>
      </c>
      <c r="D2834" s="10">
        <v>455</v>
      </c>
      <c r="E2834" s="11" t="s">
        <v>51</v>
      </c>
      <c r="F2834" s="10">
        <v>3150</v>
      </c>
      <c r="G2834" s="10">
        <v>0</v>
      </c>
      <c r="H2834" s="10">
        <f t="shared" si="44"/>
        <v>3150</v>
      </c>
      <c r="I2834" s="10"/>
      <c r="J2834" s="10"/>
      <c r="K2834" s="10"/>
      <c r="L2834" s="4" t="s">
        <v>69</v>
      </c>
      <c r="M2834" s="4">
        <v>2829</v>
      </c>
    </row>
    <row r="2835" spans="1:13" x14ac:dyDescent="0.25">
      <c r="A2835" s="4" t="s">
        <v>2513</v>
      </c>
      <c r="B2835" s="4" t="s">
        <v>2510</v>
      </c>
      <c r="C2835" s="4" t="s">
        <v>68</v>
      </c>
      <c r="D2835" s="10">
        <v>80</v>
      </c>
      <c r="E2835" s="11" t="s">
        <v>51</v>
      </c>
      <c r="F2835" s="10">
        <v>8800</v>
      </c>
      <c r="G2835" s="10">
        <v>0</v>
      </c>
      <c r="H2835" s="10">
        <f t="shared" si="44"/>
        <v>8800</v>
      </c>
      <c r="I2835" s="10"/>
      <c r="J2835" s="10"/>
      <c r="K2835" s="10"/>
      <c r="L2835" s="4" t="s">
        <v>69</v>
      </c>
      <c r="M2835" s="4">
        <v>2830</v>
      </c>
    </row>
    <row r="2836" spans="1:13" x14ac:dyDescent="0.25">
      <c r="A2836" s="4" t="s">
        <v>2513</v>
      </c>
      <c r="B2836" s="4" t="s">
        <v>2511</v>
      </c>
      <c r="C2836" s="4" t="s">
        <v>68</v>
      </c>
      <c r="D2836" s="10">
        <v>45</v>
      </c>
      <c r="E2836" s="11" t="s">
        <v>51</v>
      </c>
      <c r="F2836" s="10">
        <v>3150</v>
      </c>
      <c r="G2836" s="10">
        <v>0</v>
      </c>
      <c r="H2836" s="10">
        <f t="shared" si="44"/>
        <v>3150</v>
      </c>
      <c r="I2836" s="10"/>
      <c r="J2836" s="10"/>
      <c r="K2836" s="10"/>
      <c r="L2836" s="4" t="s">
        <v>69</v>
      </c>
      <c r="M2836" s="4">
        <v>2831</v>
      </c>
    </row>
    <row r="2837" spans="1:13" x14ac:dyDescent="0.25">
      <c r="A2837" s="4" t="s">
        <v>2513</v>
      </c>
      <c r="B2837" s="4" t="s">
        <v>2514</v>
      </c>
      <c r="C2837" s="4" t="s">
        <v>68</v>
      </c>
      <c r="D2837" s="10">
        <v>196</v>
      </c>
      <c r="E2837" s="11" t="s">
        <v>51</v>
      </c>
      <c r="F2837" s="10">
        <v>8800</v>
      </c>
      <c r="G2837" s="10">
        <v>0</v>
      </c>
      <c r="H2837" s="10">
        <f t="shared" si="44"/>
        <v>8800</v>
      </c>
      <c r="I2837" s="10"/>
      <c r="J2837" s="10"/>
      <c r="K2837" s="10"/>
      <c r="L2837" s="4" t="s">
        <v>69</v>
      </c>
      <c r="M2837" s="4">
        <v>2832</v>
      </c>
    </row>
    <row r="2838" spans="1:13" x14ac:dyDescent="0.25">
      <c r="A2838" s="4" t="s">
        <v>2515</v>
      </c>
      <c r="B2838" s="4" t="s">
        <v>2516</v>
      </c>
      <c r="C2838" s="4" t="s">
        <v>68</v>
      </c>
      <c r="D2838" s="10">
        <v>6</v>
      </c>
      <c r="E2838" s="12" t="s">
        <v>66</v>
      </c>
      <c r="F2838" s="10">
        <v>690</v>
      </c>
      <c r="G2838" s="10">
        <v>0</v>
      </c>
      <c r="H2838" s="10">
        <f t="shared" si="44"/>
        <v>690</v>
      </c>
      <c r="I2838" s="10">
        <v>115</v>
      </c>
      <c r="J2838" s="10">
        <v>115</v>
      </c>
      <c r="K2838" s="10">
        <v>115</v>
      </c>
      <c r="L2838" s="4"/>
      <c r="M2838" s="4">
        <v>2833</v>
      </c>
    </row>
    <row r="2839" spans="1:13" x14ac:dyDescent="0.25">
      <c r="A2839" s="4" t="s">
        <v>2515</v>
      </c>
      <c r="B2839" s="4" t="s">
        <v>2510</v>
      </c>
      <c r="C2839" s="4" t="s">
        <v>68</v>
      </c>
      <c r="D2839" s="10">
        <v>56</v>
      </c>
      <c r="E2839" s="11" t="s">
        <v>51</v>
      </c>
      <c r="F2839" s="10">
        <v>6440</v>
      </c>
      <c r="G2839" s="10">
        <v>0</v>
      </c>
      <c r="H2839" s="10">
        <f t="shared" si="44"/>
        <v>6440</v>
      </c>
      <c r="I2839" s="10"/>
      <c r="J2839" s="10"/>
      <c r="K2839" s="10"/>
      <c r="L2839" s="4" t="s">
        <v>69</v>
      </c>
      <c r="M2839" s="4">
        <v>2834</v>
      </c>
    </row>
    <row r="2840" spans="1:13" x14ac:dyDescent="0.25">
      <c r="A2840" s="4" t="s">
        <v>2515</v>
      </c>
      <c r="B2840" s="4" t="s">
        <v>2517</v>
      </c>
      <c r="C2840" s="4" t="s">
        <v>68</v>
      </c>
      <c r="D2840" s="10">
        <v>5</v>
      </c>
      <c r="E2840" s="12" t="s">
        <v>66</v>
      </c>
      <c r="F2840" s="10">
        <v>550</v>
      </c>
      <c r="G2840" s="10">
        <v>0</v>
      </c>
      <c r="H2840" s="10">
        <f t="shared" si="44"/>
        <v>550</v>
      </c>
      <c r="I2840" s="10">
        <v>110</v>
      </c>
      <c r="J2840" s="10">
        <v>110</v>
      </c>
      <c r="K2840" s="10">
        <v>110</v>
      </c>
      <c r="L2840" s="4"/>
      <c r="M2840" s="4">
        <v>2835</v>
      </c>
    </row>
    <row r="2841" spans="1:13" x14ac:dyDescent="0.25">
      <c r="A2841" s="4" t="s">
        <v>2515</v>
      </c>
      <c r="B2841" s="4" t="s">
        <v>2511</v>
      </c>
      <c r="C2841" s="4" t="s">
        <v>68</v>
      </c>
      <c r="D2841" s="10">
        <v>26</v>
      </c>
      <c r="E2841" s="11" t="s">
        <v>51</v>
      </c>
      <c r="F2841" s="10">
        <v>2670</v>
      </c>
      <c r="G2841" s="10">
        <v>0</v>
      </c>
      <c r="H2841" s="10">
        <f t="shared" si="44"/>
        <v>2670</v>
      </c>
      <c r="I2841" s="10"/>
      <c r="J2841" s="10"/>
      <c r="K2841" s="10"/>
      <c r="L2841" s="4" t="s">
        <v>69</v>
      </c>
      <c r="M2841" s="4">
        <v>2836</v>
      </c>
    </row>
    <row r="2842" spans="1:13" x14ac:dyDescent="0.25">
      <c r="A2842" s="4" t="s">
        <v>2515</v>
      </c>
      <c r="B2842" s="4" t="s">
        <v>2518</v>
      </c>
      <c r="C2842" s="4" t="s">
        <v>68</v>
      </c>
      <c r="D2842" s="10">
        <v>95</v>
      </c>
      <c r="E2842" s="11" t="s">
        <v>51</v>
      </c>
      <c r="F2842" s="10">
        <v>1120</v>
      </c>
      <c r="G2842" s="10">
        <v>0</v>
      </c>
      <c r="H2842" s="10">
        <f t="shared" si="44"/>
        <v>1120</v>
      </c>
      <c r="I2842" s="10"/>
      <c r="J2842" s="10"/>
      <c r="K2842" s="10"/>
      <c r="L2842" s="4" t="s">
        <v>69</v>
      </c>
      <c r="M2842" s="4">
        <v>2837</v>
      </c>
    </row>
    <row r="2843" spans="1:13" x14ac:dyDescent="0.25">
      <c r="A2843" s="4" t="s">
        <v>2519</v>
      </c>
      <c r="B2843" s="4" t="s">
        <v>1402</v>
      </c>
      <c r="C2843" s="9" t="s">
        <v>50</v>
      </c>
      <c r="D2843" s="10">
        <v>223</v>
      </c>
      <c r="E2843" s="11" t="s">
        <v>51</v>
      </c>
      <c r="F2843" s="10">
        <v>7450</v>
      </c>
      <c r="G2843" s="10">
        <v>0</v>
      </c>
      <c r="H2843" s="10">
        <f t="shared" si="44"/>
        <v>7450</v>
      </c>
      <c r="I2843" s="10"/>
      <c r="J2843" s="10"/>
      <c r="K2843" s="10"/>
      <c r="L2843" s="4" t="s">
        <v>52</v>
      </c>
      <c r="M2843" s="4">
        <v>2838</v>
      </c>
    </row>
    <row r="2844" spans="1:13" x14ac:dyDescent="0.25">
      <c r="A2844" s="4" t="s">
        <v>2520</v>
      </c>
      <c r="B2844" s="4" t="s">
        <v>2521</v>
      </c>
      <c r="C2844" s="4" t="s">
        <v>68</v>
      </c>
      <c r="D2844" s="10">
        <v>120</v>
      </c>
      <c r="E2844" s="11" t="s">
        <v>51</v>
      </c>
      <c r="F2844" s="10">
        <v>13200</v>
      </c>
      <c r="G2844" s="10">
        <v>0</v>
      </c>
      <c r="H2844" s="10">
        <f t="shared" si="44"/>
        <v>13200</v>
      </c>
      <c r="I2844" s="10"/>
      <c r="J2844" s="10"/>
      <c r="K2844" s="10"/>
      <c r="L2844" s="4" t="s">
        <v>69</v>
      </c>
      <c r="M2844" s="4">
        <v>2839</v>
      </c>
    </row>
    <row r="2845" spans="1:13" x14ac:dyDescent="0.25">
      <c r="A2845" s="4" t="s">
        <v>2520</v>
      </c>
      <c r="B2845" s="4" t="s">
        <v>2522</v>
      </c>
      <c r="C2845" s="4" t="s">
        <v>68</v>
      </c>
      <c r="D2845" s="10">
        <v>104</v>
      </c>
      <c r="E2845" s="11" t="s">
        <v>51</v>
      </c>
      <c r="F2845" s="10">
        <v>2640</v>
      </c>
      <c r="G2845" s="10">
        <v>0</v>
      </c>
      <c r="H2845" s="10">
        <f t="shared" si="44"/>
        <v>2640</v>
      </c>
      <c r="I2845" s="10"/>
      <c r="J2845" s="10"/>
      <c r="K2845" s="10"/>
      <c r="L2845" s="4" t="s">
        <v>69</v>
      </c>
      <c r="M2845" s="4">
        <v>2840</v>
      </c>
    </row>
    <row r="2846" spans="1:13" x14ac:dyDescent="0.25">
      <c r="A2846" s="4" t="s">
        <v>2523</v>
      </c>
      <c r="B2846" s="4" t="s">
        <v>2524</v>
      </c>
      <c r="C2846" s="4" t="s">
        <v>65</v>
      </c>
      <c r="D2846" s="10"/>
      <c r="E2846" s="11" t="s">
        <v>51</v>
      </c>
      <c r="F2846" s="10">
        <v>4000</v>
      </c>
      <c r="G2846" s="10">
        <v>0</v>
      </c>
      <c r="H2846" s="10">
        <f t="shared" si="44"/>
        <v>4000</v>
      </c>
      <c r="I2846" s="10"/>
      <c r="J2846" s="10"/>
      <c r="K2846" s="10"/>
      <c r="L2846" s="4" t="s">
        <v>69</v>
      </c>
      <c r="M2846" s="4">
        <v>2841</v>
      </c>
    </row>
    <row r="2847" spans="1:13" x14ac:dyDescent="0.25">
      <c r="A2847" s="4" t="s">
        <v>2523</v>
      </c>
      <c r="B2847" s="4" t="s">
        <v>2525</v>
      </c>
      <c r="C2847" s="4" t="s">
        <v>68</v>
      </c>
      <c r="D2847" s="10">
        <v>40</v>
      </c>
      <c r="E2847" s="11" t="s">
        <v>51</v>
      </c>
      <c r="F2847" s="10">
        <v>4400</v>
      </c>
      <c r="G2847" s="10">
        <v>0</v>
      </c>
      <c r="H2847" s="10">
        <f t="shared" si="44"/>
        <v>4400</v>
      </c>
      <c r="I2847" s="10"/>
      <c r="J2847" s="10"/>
      <c r="K2847" s="10"/>
      <c r="L2847" s="4" t="s">
        <v>69</v>
      </c>
      <c r="M2847" s="4">
        <v>2842</v>
      </c>
    </row>
    <row r="2848" spans="1:13" x14ac:dyDescent="0.25">
      <c r="A2848" s="4" t="s">
        <v>2523</v>
      </c>
      <c r="B2848" s="4" t="s">
        <v>2526</v>
      </c>
      <c r="C2848" s="4" t="s">
        <v>68</v>
      </c>
      <c r="D2848" s="10">
        <v>120</v>
      </c>
      <c r="E2848" s="11" t="s">
        <v>51</v>
      </c>
      <c r="F2848" s="10">
        <v>4400</v>
      </c>
      <c r="G2848" s="10">
        <v>0</v>
      </c>
      <c r="H2848" s="10">
        <f t="shared" si="44"/>
        <v>4400</v>
      </c>
      <c r="I2848" s="10"/>
      <c r="J2848" s="10"/>
      <c r="K2848" s="10"/>
      <c r="L2848" s="4" t="s">
        <v>69</v>
      </c>
      <c r="M2848" s="4">
        <v>2843</v>
      </c>
    </row>
    <row r="2849" spans="1:13" x14ac:dyDescent="0.25">
      <c r="A2849" s="4" t="s">
        <v>2527</v>
      </c>
      <c r="B2849" s="4" t="s">
        <v>2528</v>
      </c>
      <c r="C2849" s="4" t="s">
        <v>68</v>
      </c>
      <c r="D2849" s="10">
        <v>95</v>
      </c>
      <c r="E2849" s="11" t="s">
        <v>51</v>
      </c>
      <c r="F2849" s="10">
        <v>8800</v>
      </c>
      <c r="G2849" s="10">
        <v>0</v>
      </c>
      <c r="H2849" s="10">
        <f t="shared" si="44"/>
        <v>8800</v>
      </c>
      <c r="I2849" s="10"/>
      <c r="J2849" s="10"/>
      <c r="K2849" s="10"/>
      <c r="L2849" s="4" t="s">
        <v>69</v>
      </c>
      <c r="M2849" s="4">
        <v>2844</v>
      </c>
    </row>
    <row r="2850" spans="1:13" x14ac:dyDescent="0.25">
      <c r="A2850" s="4" t="s">
        <v>2529</v>
      </c>
      <c r="B2850" s="4" t="s">
        <v>2530</v>
      </c>
      <c r="C2850" s="4" t="s">
        <v>65</v>
      </c>
      <c r="D2850" s="10">
        <v>285</v>
      </c>
      <c r="E2850" s="12" t="s">
        <v>66</v>
      </c>
      <c r="F2850" s="10">
        <v>1800</v>
      </c>
      <c r="G2850" s="10">
        <v>0</v>
      </c>
      <c r="H2850" s="10">
        <f t="shared" si="44"/>
        <v>1800</v>
      </c>
      <c r="I2850" s="10">
        <v>120</v>
      </c>
      <c r="J2850" s="10">
        <v>120</v>
      </c>
      <c r="K2850" s="10">
        <v>120</v>
      </c>
      <c r="L2850" s="4"/>
      <c r="M2850" s="4">
        <v>2845</v>
      </c>
    </row>
    <row r="2851" spans="1:13" x14ac:dyDescent="0.25">
      <c r="A2851" s="4" t="s">
        <v>2531</v>
      </c>
      <c r="B2851" s="4" t="s">
        <v>2532</v>
      </c>
      <c r="C2851" s="4" t="s">
        <v>68</v>
      </c>
      <c r="D2851" s="10">
        <v>100</v>
      </c>
      <c r="E2851" s="11" t="s">
        <v>51</v>
      </c>
      <c r="F2851" s="10">
        <v>11000</v>
      </c>
      <c r="G2851" s="10">
        <v>0</v>
      </c>
      <c r="H2851" s="10">
        <f t="shared" si="44"/>
        <v>11000</v>
      </c>
      <c r="I2851" s="10"/>
      <c r="J2851" s="10"/>
      <c r="K2851" s="10"/>
      <c r="L2851" s="4" t="s">
        <v>69</v>
      </c>
      <c r="M2851" s="4">
        <v>2846</v>
      </c>
    </row>
    <row r="2852" spans="1:13" x14ac:dyDescent="0.25">
      <c r="A2852" s="4" t="s">
        <v>2531</v>
      </c>
      <c r="B2852" s="4" t="s">
        <v>2533</v>
      </c>
      <c r="C2852" s="4" t="s">
        <v>65</v>
      </c>
      <c r="D2852" s="10">
        <v>251.5</v>
      </c>
      <c r="E2852" s="12" t="s">
        <v>66</v>
      </c>
      <c r="F2852" s="10">
        <v>18000</v>
      </c>
      <c r="G2852" s="10">
        <v>0</v>
      </c>
      <c r="H2852" s="10">
        <f t="shared" si="44"/>
        <v>18000</v>
      </c>
      <c r="I2852" s="10">
        <v>105.88235294117651</v>
      </c>
      <c r="J2852" s="10">
        <v>105.88235294117651</v>
      </c>
      <c r="K2852" s="10">
        <v>105.88235294117651</v>
      </c>
      <c r="L2852" s="4"/>
      <c r="M2852" s="4">
        <v>2847</v>
      </c>
    </row>
    <row r="2853" spans="1:13" x14ac:dyDescent="0.25">
      <c r="A2853" s="4" t="s">
        <v>2534</v>
      </c>
      <c r="B2853" s="4" t="s">
        <v>2535</v>
      </c>
      <c r="C2853" s="4" t="s">
        <v>68</v>
      </c>
      <c r="D2853" s="10">
        <v>30</v>
      </c>
      <c r="E2853" s="11" t="s">
        <v>51</v>
      </c>
      <c r="F2853" s="10">
        <v>3150</v>
      </c>
      <c r="G2853" s="10">
        <v>0</v>
      </c>
      <c r="H2853" s="10">
        <f t="shared" si="44"/>
        <v>3150</v>
      </c>
      <c r="I2853" s="10"/>
      <c r="J2853" s="10"/>
      <c r="K2853" s="10"/>
      <c r="L2853" s="4" t="s">
        <v>69</v>
      </c>
      <c r="M2853" s="4">
        <v>2848</v>
      </c>
    </row>
    <row r="2854" spans="1:13" x14ac:dyDescent="0.25">
      <c r="A2854" s="4" t="s">
        <v>2534</v>
      </c>
      <c r="B2854" s="4" t="s">
        <v>2536</v>
      </c>
      <c r="C2854" s="4" t="s">
        <v>68</v>
      </c>
      <c r="D2854" s="10">
        <v>50</v>
      </c>
      <c r="E2854" s="11" t="s">
        <v>51</v>
      </c>
      <c r="F2854" s="10">
        <v>3650</v>
      </c>
      <c r="G2854" s="10">
        <v>0</v>
      </c>
      <c r="H2854" s="10">
        <f t="shared" si="44"/>
        <v>3650</v>
      </c>
      <c r="I2854" s="10"/>
      <c r="J2854" s="10"/>
      <c r="K2854" s="10"/>
      <c r="L2854" s="4" t="s">
        <v>69</v>
      </c>
      <c r="M2854" s="4">
        <v>2849</v>
      </c>
    </row>
    <row r="2855" spans="1:13" x14ac:dyDescent="0.25">
      <c r="A2855" s="4" t="s">
        <v>2534</v>
      </c>
      <c r="B2855" s="4" t="s">
        <v>2537</v>
      </c>
      <c r="C2855" s="4" t="s">
        <v>68</v>
      </c>
      <c r="D2855" s="10">
        <v>172</v>
      </c>
      <c r="E2855" s="11" t="s">
        <v>51</v>
      </c>
      <c r="F2855" s="10">
        <v>100</v>
      </c>
      <c r="G2855" s="10">
        <v>0</v>
      </c>
      <c r="H2855" s="10">
        <f t="shared" si="44"/>
        <v>100</v>
      </c>
      <c r="I2855" s="10"/>
      <c r="J2855" s="10"/>
      <c r="K2855" s="10"/>
      <c r="L2855" s="4" t="s">
        <v>69</v>
      </c>
      <c r="M2855" s="4">
        <v>2850</v>
      </c>
    </row>
    <row r="2856" spans="1:13" x14ac:dyDescent="0.25">
      <c r="A2856" s="4" t="s">
        <v>2538</v>
      </c>
      <c r="B2856" s="4" t="s">
        <v>2539</v>
      </c>
      <c r="C2856" s="9" t="s">
        <v>50</v>
      </c>
      <c r="D2856" s="10">
        <v>20</v>
      </c>
      <c r="E2856" s="11" t="s">
        <v>51</v>
      </c>
      <c r="F2856" s="10"/>
      <c r="G2856" s="10">
        <v>0</v>
      </c>
      <c r="H2856" s="10">
        <f t="shared" si="44"/>
        <v>0</v>
      </c>
      <c r="I2856" s="10"/>
      <c r="J2856" s="10"/>
      <c r="K2856" s="10"/>
      <c r="L2856" s="4" t="s">
        <v>52</v>
      </c>
      <c r="M2856" s="4">
        <v>2851</v>
      </c>
    </row>
    <row r="2857" spans="1:13" x14ac:dyDescent="0.25">
      <c r="A2857" s="4" t="s">
        <v>2538</v>
      </c>
      <c r="B2857" s="4" t="s">
        <v>2540</v>
      </c>
      <c r="C2857" s="9" t="s">
        <v>50</v>
      </c>
      <c r="D2857" s="10">
        <v>226</v>
      </c>
      <c r="E2857" s="11" t="s">
        <v>51</v>
      </c>
      <c r="F2857" s="10"/>
      <c r="G2857" s="10">
        <v>0</v>
      </c>
      <c r="H2857" s="10">
        <f t="shared" si="44"/>
        <v>0</v>
      </c>
      <c r="I2857" s="10"/>
      <c r="J2857" s="10"/>
      <c r="K2857" s="10"/>
      <c r="L2857" s="4" t="s">
        <v>52</v>
      </c>
      <c r="M2857" s="4">
        <v>2852</v>
      </c>
    </row>
    <row r="2858" spans="1:13" x14ac:dyDescent="0.25">
      <c r="A2858" s="4" t="s">
        <v>2541</v>
      </c>
      <c r="B2858" s="4" t="s">
        <v>2539</v>
      </c>
      <c r="C2858" s="9" t="s">
        <v>50</v>
      </c>
      <c r="D2858" s="10">
        <v>24</v>
      </c>
      <c r="E2858" s="11" t="s">
        <v>51</v>
      </c>
      <c r="F2858" s="10"/>
      <c r="G2858" s="10">
        <v>0</v>
      </c>
      <c r="H2858" s="10">
        <f t="shared" si="44"/>
        <v>0</v>
      </c>
      <c r="I2858" s="10"/>
      <c r="J2858" s="10"/>
      <c r="K2858" s="10"/>
      <c r="L2858" s="4" t="s">
        <v>52</v>
      </c>
      <c r="M2858" s="4">
        <v>2853</v>
      </c>
    </row>
    <row r="2859" spans="1:13" x14ac:dyDescent="0.25">
      <c r="A2859" s="4" t="s">
        <v>2541</v>
      </c>
      <c r="B2859" s="4" t="s">
        <v>2540</v>
      </c>
      <c r="C2859" s="9" t="s">
        <v>50</v>
      </c>
      <c r="D2859" s="10">
        <v>46</v>
      </c>
      <c r="E2859" s="11" t="s">
        <v>51</v>
      </c>
      <c r="F2859" s="10"/>
      <c r="G2859" s="10">
        <v>0</v>
      </c>
      <c r="H2859" s="10">
        <f t="shared" si="44"/>
        <v>0</v>
      </c>
      <c r="I2859" s="10"/>
      <c r="J2859" s="10"/>
      <c r="K2859" s="10"/>
      <c r="L2859" s="4" t="s">
        <v>52</v>
      </c>
      <c r="M2859" s="4">
        <v>2854</v>
      </c>
    </row>
    <row r="2860" spans="1:13" x14ac:dyDescent="0.25">
      <c r="A2860" s="4" t="s">
        <v>2542</v>
      </c>
      <c r="B2860" s="4" t="s">
        <v>2543</v>
      </c>
      <c r="C2860" s="9" t="s">
        <v>50</v>
      </c>
      <c r="D2860" s="10">
        <v>30</v>
      </c>
      <c r="E2860" s="11" t="s">
        <v>51</v>
      </c>
      <c r="F2860" s="10">
        <v>2621.7</v>
      </c>
      <c r="G2860" s="10">
        <v>0</v>
      </c>
      <c r="H2860" s="10">
        <f t="shared" si="44"/>
        <v>2621.7</v>
      </c>
      <c r="I2860" s="10"/>
      <c r="J2860" s="10"/>
      <c r="K2860" s="10"/>
      <c r="L2860" s="4" t="s">
        <v>52</v>
      </c>
      <c r="M2860" s="4">
        <v>2855</v>
      </c>
    </row>
    <row r="2861" spans="1:13" x14ac:dyDescent="0.25">
      <c r="A2861" s="4" t="s">
        <v>2542</v>
      </c>
      <c r="B2861" s="4" t="s">
        <v>2544</v>
      </c>
      <c r="C2861" s="9" t="s">
        <v>50</v>
      </c>
      <c r="D2861" s="10">
        <v>92</v>
      </c>
      <c r="E2861" s="11" t="s">
        <v>51</v>
      </c>
      <c r="F2861" s="10">
        <v>1398.24</v>
      </c>
      <c r="G2861" s="10">
        <v>0</v>
      </c>
      <c r="H2861" s="10">
        <f t="shared" si="44"/>
        <v>1398.24</v>
      </c>
      <c r="I2861" s="10"/>
      <c r="J2861" s="10"/>
      <c r="K2861" s="10"/>
      <c r="L2861" s="4" t="s">
        <v>52</v>
      </c>
      <c r="M2861" s="4">
        <v>2856</v>
      </c>
    </row>
    <row r="2862" spans="1:13" x14ac:dyDescent="0.25">
      <c r="A2862" s="4" t="s">
        <v>2545</v>
      </c>
      <c r="B2862" s="4" t="s">
        <v>389</v>
      </c>
      <c r="C2862" s="4" t="s">
        <v>65</v>
      </c>
      <c r="D2862" s="10">
        <v>46</v>
      </c>
      <c r="E2862" s="12" t="s">
        <v>66</v>
      </c>
      <c r="F2862" s="10">
        <v>5500</v>
      </c>
      <c r="G2862" s="10">
        <v>0</v>
      </c>
      <c r="H2862" s="10">
        <f t="shared" si="44"/>
        <v>5500</v>
      </c>
      <c r="I2862" s="10">
        <v>119.5652173913043</v>
      </c>
      <c r="J2862" s="10">
        <v>119.5652173913043</v>
      </c>
      <c r="K2862" s="10">
        <v>119.5652173913043</v>
      </c>
      <c r="L2862" s="4"/>
      <c r="M2862" s="4">
        <v>2857</v>
      </c>
    </row>
    <row r="2863" spans="1:13" x14ac:dyDescent="0.25">
      <c r="A2863" s="4" t="s">
        <v>2545</v>
      </c>
      <c r="B2863" s="4" t="s">
        <v>311</v>
      </c>
      <c r="C2863" s="4" t="s">
        <v>68</v>
      </c>
      <c r="D2863" s="10">
        <v>418</v>
      </c>
      <c r="E2863" s="11" t="s">
        <v>51</v>
      </c>
      <c r="F2863" s="10">
        <v>3600</v>
      </c>
      <c r="G2863" s="10">
        <v>0</v>
      </c>
      <c r="H2863" s="10">
        <f t="shared" si="44"/>
        <v>3600</v>
      </c>
      <c r="I2863" s="10"/>
      <c r="J2863" s="10"/>
      <c r="K2863" s="10"/>
      <c r="L2863" s="4" t="s">
        <v>69</v>
      </c>
      <c r="M2863" s="4">
        <v>2858</v>
      </c>
    </row>
    <row r="2864" spans="1:13" x14ac:dyDescent="0.25">
      <c r="A2864" s="4" t="s">
        <v>2546</v>
      </c>
      <c r="B2864" s="4" t="s">
        <v>2547</v>
      </c>
      <c r="C2864" s="9" t="s">
        <v>50</v>
      </c>
      <c r="D2864" s="10">
        <v>251</v>
      </c>
      <c r="E2864" s="11" t="s">
        <v>51</v>
      </c>
      <c r="F2864" s="10">
        <v>24000</v>
      </c>
      <c r="G2864" s="10">
        <v>0</v>
      </c>
      <c r="H2864" s="10">
        <f t="shared" si="44"/>
        <v>24000</v>
      </c>
      <c r="I2864" s="10"/>
      <c r="J2864" s="10"/>
      <c r="K2864" s="10"/>
      <c r="L2864" s="4" t="s">
        <v>52</v>
      </c>
      <c r="M2864" s="4">
        <v>2859</v>
      </c>
    </row>
    <row r="2865" spans="1:13" x14ac:dyDescent="0.25">
      <c r="A2865" s="4" t="s">
        <v>2546</v>
      </c>
      <c r="B2865" s="4" t="s">
        <v>2548</v>
      </c>
      <c r="C2865" s="9" t="s">
        <v>50</v>
      </c>
      <c r="D2865" s="10">
        <v>16</v>
      </c>
      <c r="E2865" s="11" t="s">
        <v>51</v>
      </c>
      <c r="F2865" s="10">
        <v>1700</v>
      </c>
      <c r="G2865" s="10">
        <v>0</v>
      </c>
      <c r="H2865" s="10">
        <f t="shared" si="44"/>
        <v>1700</v>
      </c>
      <c r="I2865" s="10"/>
      <c r="J2865" s="10"/>
      <c r="K2865" s="10"/>
      <c r="L2865" s="4" t="s">
        <v>52</v>
      </c>
      <c r="M2865" s="4">
        <v>2860</v>
      </c>
    </row>
    <row r="2866" spans="1:13" x14ac:dyDescent="0.25">
      <c r="A2866" s="4" t="s">
        <v>2546</v>
      </c>
      <c r="B2866" s="4" t="s">
        <v>2549</v>
      </c>
      <c r="C2866" s="9" t="s">
        <v>50</v>
      </c>
      <c r="D2866" s="10">
        <v>16</v>
      </c>
      <c r="E2866" s="11" t="s">
        <v>51</v>
      </c>
      <c r="F2866" s="10">
        <v>1700</v>
      </c>
      <c r="G2866" s="10">
        <v>0</v>
      </c>
      <c r="H2866" s="10">
        <f t="shared" si="44"/>
        <v>1700</v>
      </c>
      <c r="I2866" s="10"/>
      <c r="J2866" s="10"/>
      <c r="K2866" s="10"/>
      <c r="L2866" s="4" t="s">
        <v>52</v>
      </c>
      <c r="M2866" s="4">
        <v>2861</v>
      </c>
    </row>
    <row r="2867" spans="1:13" x14ac:dyDescent="0.25">
      <c r="A2867" s="4" t="s">
        <v>2546</v>
      </c>
      <c r="B2867" s="4" t="s">
        <v>2550</v>
      </c>
      <c r="C2867" s="9" t="s">
        <v>50</v>
      </c>
      <c r="D2867" s="10">
        <v>15</v>
      </c>
      <c r="E2867" s="11" t="s">
        <v>51</v>
      </c>
      <c r="F2867" s="10">
        <v>1600</v>
      </c>
      <c r="G2867" s="10">
        <v>0</v>
      </c>
      <c r="H2867" s="10">
        <f t="shared" si="44"/>
        <v>1600</v>
      </c>
      <c r="I2867" s="10"/>
      <c r="J2867" s="10"/>
      <c r="K2867" s="10"/>
      <c r="L2867" s="4" t="s">
        <v>52</v>
      </c>
      <c r="M2867" s="4">
        <v>2862</v>
      </c>
    </row>
    <row r="2868" spans="1:13" x14ac:dyDescent="0.25">
      <c r="A2868" s="4" t="s">
        <v>2546</v>
      </c>
      <c r="B2868" s="4" t="s">
        <v>2551</v>
      </c>
      <c r="C2868" s="9" t="s">
        <v>50</v>
      </c>
      <c r="D2868" s="10">
        <v>398</v>
      </c>
      <c r="E2868" s="11" t="s">
        <v>51</v>
      </c>
      <c r="F2868" s="10">
        <v>9450</v>
      </c>
      <c r="G2868" s="10">
        <v>0</v>
      </c>
      <c r="H2868" s="10">
        <f t="shared" si="44"/>
        <v>9450</v>
      </c>
      <c r="I2868" s="10"/>
      <c r="J2868" s="10"/>
      <c r="K2868" s="10"/>
      <c r="L2868" s="4" t="s">
        <v>52</v>
      </c>
      <c r="M2868" s="4">
        <v>2863</v>
      </c>
    </row>
    <row r="2869" spans="1:13" x14ac:dyDescent="0.25">
      <c r="A2869" s="4" t="s">
        <v>2552</v>
      </c>
      <c r="B2869" s="4" t="s">
        <v>2553</v>
      </c>
      <c r="C2869" s="4" t="s">
        <v>65</v>
      </c>
      <c r="D2869" s="10">
        <v>60</v>
      </c>
      <c r="E2869" s="12" t="s">
        <v>66</v>
      </c>
      <c r="F2869" s="10">
        <v>6000</v>
      </c>
      <c r="G2869" s="10">
        <v>0</v>
      </c>
      <c r="H2869" s="10">
        <f t="shared" si="44"/>
        <v>6000</v>
      </c>
      <c r="I2869" s="10">
        <v>100</v>
      </c>
      <c r="J2869" s="10">
        <v>100</v>
      </c>
      <c r="K2869" s="10">
        <v>100</v>
      </c>
      <c r="L2869" s="4"/>
      <c r="M2869" s="4">
        <v>2864</v>
      </c>
    </row>
    <row r="2870" spans="1:13" x14ac:dyDescent="0.25">
      <c r="A2870" s="4" t="s">
        <v>2552</v>
      </c>
      <c r="B2870" s="4" t="s">
        <v>2554</v>
      </c>
      <c r="C2870" s="4" t="s">
        <v>65</v>
      </c>
      <c r="D2870" s="10">
        <v>50</v>
      </c>
      <c r="E2870" s="12" t="s">
        <v>66</v>
      </c>
      <c r="F2870" s="10">
        <v>5000</v>
      </c>
      <c r="G2870" s="10">
        <v>0</v>
      </c>
      <c r="H2870" s="10">
        <f t="shared" si="44"/>
        <v>5000</v>
      </c>
      <c r="I2870" s="10">
        <v>100</v>
      </c>
      <c r="J2870" s="10">
        <v>100</v>
      </c>
      <c r="K2870" s="10">
        <v>100</v>
      </c>
      <c r="L2870" s="4"/>
      <c r="M2870" s="4">
        <v>2865</v>
      </c>
    </row>
    <row r="2871" spans="1:13" x14ac:dyDescent="0.25">
      <c r="A2871" s="4" t="s">
        <v>2552</v>
      </c>
      <c r="B2871" s="4" t="s">
        <v>2555</v>
      </c>
      <c r="C2871" s="4" t="s">
        <v>65</v>
      </c>
      <c r="D2871" s="10">
        <v>30</v>
      </c>
      <c r="E2871" s="12" t="s">
        <v>66</v>
      </c>
      <c r="F2871" s="10">
        <v>3300</v>
      </c>
      <c r="G2871" s="10">
        <v>0</v>
      </c>
      <c r="H2871" s="10">
        <f t="shared" si="44"/>
        <v>3300</v>
      </c>
      <c r="I2871" s="10">
        <v>110</v>
      </c>
      <c r="J2871" s="10">
        <v>110</v>
      </c>
      <c r="K2871" s="10">
        <v>110</v>
      </c>
      <c r="L2871" s="4"/>
      <c r="M2871" s="4">
        <v>2866</v>
      </c>
    </row>
    <row r="2872" spans="1:13" x14ac:dyDescent="0.25">
      <c r="A2872" s="4" t="s">
        <v>2552</v>
      </c>
      <c r="B2872" s="4" t="s">
        <v>2556</v>
      </c>
      <c r="C2872" s="4" t="s">
        <v>68</v>
      </c>
      <c r="D2872" s="10">
        <v>55</v>
      </c>
      <c r="E2872" s="11" t="s">
        <v>51</v>
      </c>
      <c r="F2872" s="10">
        <v>5225</v>
      </c>
      <c r="G2872" s="10">
        <v>0</v>
      </c>
      <c r="H2872" s="10">
        <f t="shared" si="44"/>
        <v>5225</v>
      </c>
      <c r="I2872" s="10"/>
      <c r="J2872" s="10"/>
      <c r="K2872" s="10"/>
      <c r="L2872" s="4" t="s">
        <v>69</v>
      </c>
      <c r="M2872" s="4">
        <v>2867</v>
      </c>
    </row>
    <row r="2873" spans="1:13" x14ac:dyDescent="0.25">
      <c r="A2873" s="4" t="s">
        <v>2552</v>
      </c>
      <c r="B2873" s="4" t="s">
        <v>2557</v>
      </c>
      <c r="C2873" s="4" t="s">
        <v>68</v>
      </c>
      <c r="D2873" s="10">
        <v>45</v>
      </c>
      <c r="E2873" s="11" t="s">
        <v>51</v>
      </c>
      <c r="F2873" s="10">
        <v>4725</v>
      </c>
      <c r="G2873" s="10">
        <v>0</v>
      </c>
      <c r="H2873" s="10">
        <f t="shared" si="44"/>
        <v>4725</v>
      </c>
      <c r="I2873" s="10"/>
      <c r="J2873" s="10"/>
      <c r="K2873" s="10"/>
      <c r="L2873" s="4" t="s">
        <v>69</v>
      </c>
      <c r="M2873" s="4">
        <v>2868</v>
      </c>
    </row>
    <row r="2874" spans="1:13" x14ac:dyDescent="0.25">
      <c r="A2874" s="4" t="s">
        <v>2552</v>
      </c>
      <c r="B2874" s="4" t="s">
        <v>2558</v>
      </c>
      <c r="C2874" s="4" t="s">
        <v>65</v>
      </c>
      <c r="D2874" s="10">
        <v>693</v>
      </c>
      <c r="E2874" s="12" t="s">
        <v>66</v>
      </c>
      <c r="F2874" s="10">
        <v>6500</v>
      </c>
      <c r="G2874" s="10">
        <v>0</v>
      </c>
      <c r="H2874" s="10">
        <f t="shared" si="44"/>
        <v>6500</v>
      </c>
      <c r="I2874" s="10">
        <v>95.588235294117652</v>
      </c>
      <c r="J2874" s="10">
        <v>95.588235294117652</v>
      </c>
      <c r="K2874" s="10">
        <v>95.588235294117652</v>
      </c>
      <c r="L2874" s="4"/>
      <c r="M2874" s="4">
        <v>2869</v>
      </c>
    </row>
    <row r="2875" spans="1:13" x14ac:dyDescent="0.25">
      <c r="A2875" s="4" t="s">
        <v>2559</v>
      </c>
      <c r="B2875" s="4" t="s">
        <v>2329</v>
      </c>
      <c r="C2875" s="9" t="s">
        <v>50</v>
      </c>
      <c r="D2875" s="10">
        <v>3</v>
      </c>
      <c r="E2875" s="11" t="s">
        <v>51</v>
      </c>
      <c r="F2875" s="10">
        <v>315</v>
      </c>
      <c r="G2875" s="10">
        <v>0</v>
      </c>
      <c r="H2875" s="10">
        <f t="shared" si="44"/>
        <v>315</v>
      </c>
      <c r="I2875" s="10"/>
      <c r="J2875" s="10"/>
      <c r="K2875" s="10"/>
      <c r="L2875" s="4" t="s">
        <v>52</v>
      </c>
      <c r="M2875" s="4">
        <v>2870</v>
      </c>
    </row>
    <row r="2876" spans="1:13" x14ac:dyDescent="0.25">
      <c r="A2876" s="4" t="s">
        <v>2559</v>
      </c>
      <c r="B2876" s="4" t="s">
        <v>399</v>
      </c>
      <c r="C2876" s="9" t="s">
        <v>50</v>
      </c>
      <c r="D2876" s="10">
        <v>52</v>
      </c>
      <c r="E2876" s="11" t="s">
        <v>51</v>
      </c>
      <c r="F2876" s="10">
        <v>5500</v>
      </c>
      <c r="G2876" s="10">
        <v>0</v>
      </c>
      <c r="H2876" s="10">
        <f t="shared" si="44"/>
        <v>5500</v>
      </c>
      <c r="I2876" s="10"/>
      <c r="J2876" s="10"/>
      <c r="K2876" s="10"/>
      <c r="L2876" s="4" t="s">
        <v>52</v>
      </c>
      <c r="M2876" s="4">
        <v>2871</v>
      </c>
    </row>
    <row r="2877" spans="1:13" x14ac:dyDescent="0.25">
      <c r="A2877" s="4" t="s">
        <v>2559</v>
      </c>
      <c r="B2877" s="4" t="s">
        <v>2560</v>
      </c>
      <c r="C2877" s="9" t="s">
        <v>50</v>
      </c>
      <c r="D2877" s="10">
        <v>35</v>
      </c>
      <c r="E2877" s="11" t="s">
        <v>51</v>
      </c>
      <c r="F2877" s="10">
        <v>3870</v>
      </c>
      <c r="G2877" s="10">
        <v>0</v>
      </c>
      <c r="H2877" s="10">
        <f t="shared" si="44"/>
        <v>3870</v>
      </c>
      <c r="I2877" s="10"/>
      <c r="J2877" s="10"/>
      <c r="K2877" s="10"/>
      <c r="L2877" s="4" t="s">
        <v>52</v>
      </c>
      <c r="M2877" s="4">
        <v>2872</v>
      </c>
    </row>
    <row r="2878" spans="1:13" x14ac:dyDescent="0.25">
      <c r="A2878" s="4" t="s">
        <v>2559</v>
      </c>
      <c r="B2878" s="4" t="s">
        <v>400</v>
      </c>
      <c r="C2878" s="9" t="s">
        <v>50</v>
      </c>
      <c r="D2878" s="10">
        <v>71</v>
      </c>
      <c r="E2878" s="11" t="s">
        <v>51</v>
      </c>
      <c r="F2878" s="10">
        <v>7250</v>
      </c>
      <c r="G2878" s="10">
        <v>0</v>
      </c>
      <c r="H2878" s="10">
        <f t="shared" si="44"/>
        <v>7250</v>
      </c>
      <c r="I2878" s="10"/>
      <c r="J2878" s="10"/>
      <c r="K2878" s="10"/>
      <c r="L2878" s="4" t="s">
        <v>52</v>
      </c>
      <c r="M2878" s="4">
        <v>2873</v>
      </c>
    </row>
    <row r="2879" spans="1:13" x14ac:dyDescent="0.25">
      <c r="A2879" s="4" t="s">
        <v>2559</v>
      </c>
      <c r="B2879" s="4" t="s">
        <v>2561</v>
      </c>
      <c r="C2879" s="9" t="s">
        <v>50</v>
      </c>
      <c r="D2879" s="10">
        <v>42</v>
      </c>
      <c r="E2879" s="11" t="s">
        <v>51</v>
      </c>
      <c r="F2879" s="10">
        <v>4800</v>
      </c>
      <c r="G2879" s="10">
        <v>0</v>
      </c>
      <c r="H2879" s="10">
        <f t="shared" si="44"/>
        <v>4800</v>
      </c>
      <c r="I2879" s="10"/>
      <c r="J2879" s="10"/>
      <c r="K2879" s="10"/>
      <c r="L2879" s="4" t="s">
        <v>52</v>
      </c>
      <c r="M2879" s="4">
        <v>2874</v>
      </c>
    </row>
    <row r="2880" spans="1:13" x14ac:dyDescent="0.25">
      <c r="A2880" s="4" t="s">
        <v>2559</v>
      </c>
      <c r="B2880" s="4" t="s">
        <v>401</v>
      </c>
      <c r="C2880" s="9" t="s">
        <v>50</v>
      </c>
      <c r="D2880" s="10">
        <v>71</v>
      </c>
      <c r="E2880" s="11" t="s">
        <v>51</v>
      </c>
      <c r="F2880" s="10">
        <v>5500</v>
      </c>
      <c r="G2880" s="10">
        <v>0</v>
      </c>
      <c r="H2880" s="10">
        <f t="shared" si="44"/>
        <v>5500</v>
      </c>
      <c r="I2880" s="10"/>
      <c r="J2880" s="10"/>
      <c r="K2880" s="10"/>
      <c r="L2880" s="4" t="s">
        <v>52</v>
      </c>
      <c r="M2880" s="4">
        <v>2875</v>
      </c>
    </row>
    <row r="2881" spans="1:13" x14ac:dyDescent="0.25">
      <c r="A2881" s="4" t="s">
        <v>2559</v>
      </c>
      <c r="B2881" s="4" t="s">
        <v>2562</v>
      </c>
      <c r="C2881" s="9" t="s">
        <v>50</v>
      </c>
      <c r="D2881" s="10">
        <v>39</v>
      </c>
      <c r="E2881" s="11" t="s">
        <v>51</v>
      </c>
      <c r="F2881" s="10">
        <v>4200</v>
      </c>
      <c r="G2881" s="10">
        <v>0</v>
      </c>
      <c r="H2881" s="10">
        <f t="shared" si="44"/>
        <v>4200</v>
      </c>
      <c r="I2881" s="10"/>
      <c r="J2881" s="10"/>
      <c r="K2881" s="10"/>
      <c r="L2881" s="4" t="s">
        <v>52</v>
      </c>
      <c r="M2881" s="4">
        <v>2876</v>
      </c>
    </row>
    <row r="2882" spans="1:13" x14ac:dyDescent="0.25">
      <c r="A2882" s="4" t="s">
        <v>2559</v>
      </c>
      <c r="B2882" s="4" t="s">
        <v>2563</v>
      </c>
      <c r="C2882" s="9" t="s">
        <v>50</v>
      </c>
      <c r="D2882" s="10">
        <v>74</v>
      </c>
      <c r="E2882" s="11" t="s">
        <v>51</v>
      </c>
      <c r="F2882" s="10">
        <v>7750</v>
      </c>
      <c r="G2882" s="10">
        <v>0</v>
      </c>
      <c r="H2882" s="10">
        <f t="shared" si="44"/>
        <v>7750</v>
      </c>
      <c r="I2882" s="10"/>
      <c r="J2882" s="10"/>
      <c r="K2882" s="10"/>
      <c r="L2882" s="4" t="s">
        <v>52</v>
      </c>
      <c r="M2882" s="4">
        <v>2877</v>
      </c>
    </row>
    <row r="2883" spans="1:13" x14ac:dyDescent="0.25">
      <c r="A2883" s="4" t="s">
        <v>2559</v>
      </c>
      <c r="B2883" s="4" t="s">
        <v>2564</v>
      </c>
      <c r="C2883" s="4" t="s">
        <v>65</v>
      </c>
      <c r="D2883" s="10">
        <v>76</v>
      </c>
      <c r="E2883" s="12" t="s">
        <v>66</v>
      </c>
      <c r="F2883" s="10">
        <v>8405</v>
      </c>
      <c r="G2883" s="10">
        <v>0</v>
      </c>
      <c r="H2883" s="10">
        <f t="shared" si="44"/>
        <v>8405</v>
      </c>
      <c r="I2883" s="10">
        <v>110.5921052631579</v>
      </c>
      <c r="J2883" s="10">
        <v>110.5921052631579</v>
      </c>
      <c r="K2883" s="10">
        <v>110.5921052631579</v>
      </c>
      <c r="L2883" s="4"/>
      <c r="M2883" s="4">
        <v>2878</v>
      </c>
    </row>
    <row r="2884" spans="1:13" x14ac:dyDescent="0.25">
      <c r="A2884" s="4" t="s">
        <v>2559</v>
      </c>
      <c r="B2884" s="4" t="s">
        <v>2565</v>
      </c>
      <c r="C2884" s="9" t="s">
        <v>50</v>
      </c>
      <c r="D2884" s="10">
        <v>129</v>
      </c>
      <c r="E2884" s="11" t="s">
        <v>51</v>
      </c>
      <c r="F2884" s="10">
        <v>13500</v>
      </c>
      <c r="G2884" s="10">
        <v>0</v>
      </c>
      <c r="H2884" s="10">
        <f t="shared" si="44"/>
        <v>13500</v>
      </c>
      <c r="I2884" s="10"/>
      <c r="J2884" s="10"/>
      <c r="K2884" s="10"/>
      <c r="L2884" s="4" t="s">
        <v>52</v>
      </c>
      <c r="M2884" s="4">
        <v>2879</v>
      </c>
    </row>
    <row r="2885" spans="1:13" x14ac:dyDescent="0.25">
      <c r="A2885" s="4" t="s">
        <v>2559</v>
      </c>
      <c r="B2885" s="4" t="s">
        <v>2566</v>
      </c>
      <c r="C2885" s="9" t="s">
        <v>50</v>
      </c>
      <c r="D2885" s="10">
        <v>114.5</v>
      </c>
      <c r="E2885" s="11" t="s">
        <v>51</v>
      </c>
      <c r="F2885" s="10">
        <v>3495</v>
      </c>
      <c r="G2885" s="10">
        <v>0</v>
      </c>
      <c r="H2885" s="10">
        <f t="shared" si="44"/>
        <v>3495</v>
      </c>
      <c r="I2885" s="10"/>
      <c r="J2885" s="10"/>
      <c r="K2885" s="10"/>
      <c r="L2885" s="4" t="s">
        <v>52</v>
      </c>
      <c r="M2885" s="4">
        <v>2880</v>
      </c>
    </row>
    <row r="2886" spans="1:13" x14ac:dyDescent="0.25">
      <c r="A2886" s="4" t="s">
        <v>2567</v>
      </c>
      <c r="B2886" s="4" t="s">
        <v>2568</v>
      </c>
      <c r="C2886" s="4" t="s">
        <v>65</v>
      </c>
      <c r="D2886" s="10">
        <v>18</v>
      </c>
      <c r="E2886" s="12" t="s">
        <v>66</v>
      </c>
      <c r="F2886" s="10">
        <v>1900</v>
      </c>
      <c r="G2886" s="10">
        <v>0</v>
      </c>
      <c r="H2886" s="10">
        <f t="shared" ref="H2886:H2949" si="45">F2886-G2886</f>
        <v>1900</v>
      </c>
      <c r="I2886" s="10">
        <v>105.5555555555556</v>
      </c>
      <c r="J2886" s="10">
        <v>105.5555555555556</v>
      </c>
      <c r="K2886" s="10">
        <v>105.5555555555556</v>
      </c>
      <c r="L2886" s="4"/>
      <c r="M2886" s="4">
        <v>2881</v>
      </c>
    </row>
    <row r="2887" spans="1:13" x14ac:dyDescent="0.25">
      <c r="A2887" s="4" t="s">
        <v>2567</v>
      </c>
      <c r="B2887" s="4" t="s">
        <v>2569</v>
      </c>
      <c r="C2887" s="4" t="s">
        <v>65</v>
      </c>
      <c r="D2887" s="10">
        <v>23.5</v>
      </c>
      <c r="E2887" s="12" t="s">
        <v>66</v>
      </c>
      <c r="F2887" s="10">
        <v>2500</v>
      </c>
      <c r="G2887" s="10">
        <v>0</v>
      </c>
      <c r="H2887" s="10">
        <f t="shared" si="45"/>
        <v>2500</v>
      </c>
      <c r="I2887" s="10">
        <v>106.38297872340419</v>
      </c>
      <c r="J2887" s="10">
        <v>106.38297872340419</v>
      </c>
      <c r="K2887" s="10">
        <v>106.38297872340419</v>
      </c>
      <c r="L2887" s="4"/>
      <c r="M2887" s="4">
        <v>2882</v>
      </c>
    </row>
    <row r="2888" spans="1:13" x14ac:dyDescent="0.25">
      <c r="A2888" s="4" t="s">
        <v>2567</v>
      </c>
      <c r="B2888" s="4" t="s">
        <v>2570</v>
      </c>
      <c r="C2888" s="4" t="s">
        <v>65</v>
      </c>
      <c r="D2888" s="10">
        <v>18</v>
      </c>
      <c r="E2888" s="12" t="s">
        <v>66</v>
      </c>
      <c r="F2888" s="10">
        <v>1900</v>
      </c>
      <c r="G2888" s="10">
        <v>0</v>
      </c>
      <c r="H2888" s="10">
        <f t="shared" si="45"/>
        <v>1900</v>
      </c>
      <c r="I2888" s="10">
        <v>105.5555555555556</v>
      </c>
      <c r="J2888" s="10">
        <v>105.5555555555556</v>
      </c>
      <c r="K2888" s="10">
        <v>105.5555555555556</v>
      </c>
      <c r="L2888" s="4"/>
      <c r="M2888" s="4">
        <v>2883</v>
      </c>
    </row>
    <row r="2889" spans="1:13" x14ac:dyDescent="0.25">
      <c r="A2889" s="4" t="s">
        <v>2567</v>
      </c>
      <c r="B2889" s="4" t="s">
        <v>2571</v>
      </c>
      <c r="C2889" s="4" t="s">
        <v>65</v>
      </c>
      <c r="D2889" s="10">
        <v>198</v>
      </c>
      <c r="E2889" s="12" t="s">
        <v>66</v>
      </c>
      <c r="F2889" s="10">
        <v>2300</v>
      </c>
      <c r="G2889" s="10">
        <v>0</v>
      </c>
      <c r="H2889" s="10">
        <f t="shared" si="45"/>
        <v>2300</v>
      </c>
      <c r="I2889" s="10">
        <v>104.5454545454545</v>
      </c>
      <c r="J2889" s="10">
        <v>104.5454545454545</v>
      </c>
      <c r="K2889" s="10">
        <v>104.5454545454545</v>
      </c>
      <c r="L2889" s="4"/>
      <c r="M2889" s="4">
        <v>2884</v>
      </c>
    </row>
    <row r="2890" spans="1:13" x14ac:dyDescent="0.25">
      <c r="A2890" s="4" t="s">
        <v>2572</v>
      </c>
      <c r="B2890" s="4" t="s">
        <v>2573</v>
      </c>
      <c r="C2890" s="9" t="s">
        <v>50</v>
      </c>
      <c r="D2890" s="10">
        <v>298</v>
      </c>
      <c r="E2890" s="11" t="s">
        <v>51</v>
      </c>
      <c r="F2890" s="10">
        <v>16137.5</v>
      </c>
      <c r="G2890" s="10">
        <v>0</v>
      </c>
      <c r="H2890" s="10">
        <f t="shared" si="45"/>
        <v>16137.5</v>
      </c>
      <c r="I2890" s="10"/>
      <c r="J2890" s="10"/>
      <c r="K2890" s="10"/>
      <c r="L2890" s="4" t="s">
        <v>52</v>
      </c>
      <c r="M2890" s="4">
        <v>2885</v>
      </c>
    </row>
    <row r="2891" spans="1:13" x14ac:dyDescent="0.25">
      <c r="A2891" s="4" t="s">
        <v>2574</v>
      </c>
      <c r="B2891" s="4" t="s">
        <v>2575</v>
      </c>
      <c r="C2891" s="9" t="s">
        <v>50</v>
      </c>
      <c r="D2891" s="10">
        <v>450</v>
      </c>
      <c r="E2891" s="11" t="s">
        <v>51</v>
      </c>
      <c r="F2891" s="10">
        <v>9500</v>
      </c>
      <c r="G2891" s="10">
        <v>0</v>
      </c>
      <c r="H2891" s="10">
        <f t="shared" si="45"/>
        <v>9500</v>
      </c>
      <c r="I2891" s="10"/>
      <c r="J2891" s="10"/>
      <c r="K2891" s="10"/>
      <c r="L2891" s="4" t="s">
        <v>52</v>
      </c>
      <c r="M2891" s="4">
        <v>2886</v>
      </c>
    </row>
    <row r="2892" spans="1:13" x14ac:dyDescent="0.25">
      <c r="A2892" s="4" t="s">
        <v>2576</v>
      </c>
      <c r="B2892" s="4" t="s">
        <v>2577</v>
      </c>
      <c r="C2892" s="4" t="s">
        <v>68</v>
      </c>
      <c r="D2892" s="10">
        <v>545.5</v>
      </c>
      <c r="E2892" s="11" t="s">
        <v>51</v>
      </c>
      <c r="F2892" s="10">
        <v>33250</v>
      </c>
      <c r="G2892" s="10">
        <v>0</v>
      </c>
      <c r="H2892" s="10">
        <f t="shared" si="45"/>
        <v>33250</v>
      </c>
      <c r="I2892" s="10"/>
      <c r="J2892" s="10"/>
      <c r="K2892" s="10"/>
      <c r="L2892" s="4" t="s">
        <v>69</v>
      </c>
      <c r="M2892" s="4">
        <v>2887</v>
      </c>
    </row>
    <row r="2893" spans="1:13" x14ac:dyDescent="0.25">
      <c r="A2893" s="4" t="s">
        <v>2578</v>
      </c>
      <c r="B2893" s="4" t="s">
        <v>1986</v>
      </c>
      <c r="C2893" s="9" t="s">
        <v>50</v>
      </c>
      <c r="D2893" s="10">
        <v>2</v>
      </c>
      <c r="E2893" s="11" t="s">
        <v>51</v>
      </c>
      <c r="F2893" s="10">
        <v>150</v>
      </c>
      <c r="G2893" s="10">
        <v>0</v>
      </c>
      <c r="H2893" s="10">
        <f t="shared" si="45"/>
        <v>150</v>
      </c>
      <c r="I2893" s="10"/>
      <c r="J2893" s="10"/>
      <c r="K2893" s="10"/>
      <c r="L2893" s="4" t="s">
        <v>52</v>
      </c>
      <c r="M2893" s="4">
        <v>2888</v>
      </c>
    </row>
    <row r="2894" spans="1:13" x14ac:dyDescent="0.25">
      <c r="A2894" s="4" t="s">
        <v>2578</v>
      </c>
      <c r="B2894" s="4" t="s">
        <v>1987</v>
      </c>
      <c r="C2894" s="9" t="s">
        <v>50</v>
      </c>
      <c r="D2894" s="10">
        <v>37</v>
      </c>
      <c r="E2894" s="11" t="s">
        <v>51</v>
      </c>
      <c r="F2894" s="10">
        <v>2900</v>
      </c>
      <c r="G2894" s="10">
        <v>0</v>
      </c>
      <c r="H2894" s="10">
        <f t="shared" si="45"/>
        <v>2900</v>
      </c>
      <c r="I2894" s="10"/>
      <c r="J2894" s="10"/>
      <c r="K2894" s="10"/>
      <c r="L2894" s="4" t="s">
        <v>52</v>
      </c>
      <c r="M2894" s="4">
        <v>2889</v>
      </c>
    </row>
    <row r="2895" spans="1:13" x14ac:dyDescent="0.25">
      <c r="A2895" s="4" t="s">
        <v>2578</v>
      </c>
      <c r="B2895" s="4" t="s">
        <v>2579</v>
      </c>
      <c r="C2895" s="9" t="s">
        <v>50</v>
      </c>
      <c r="D2895" s="10">
        <v>34</v>
      </c>
      <c r="E2895" s="11" t="s">
        <v>51</v>
      </c>
      <c r="F2895" s="10">
        <v>2180</v>
      </c>
      <c r="G2895" s="10">
        <v>0</v>
      </c>
      <c r="H2895" s="10">
        <f t="shared" si="45"/>
        <v>2180</v>
      </c>
      <c r="I2895" s="10"/>
      <c r="J2895" s="10"/>
      <c r="K2895" s="10"/>
      <c r="L2895" s="4" t="s">
        <v>52</v>
      </c>
      <c r="M2895" s="4">
        <v>2890</v>
      </c>
    </row>
    <row r="2896" spans="1:13" x14ac:dyDescent="0.25">
      <c r="A2896" s="4" t="s">
        <v>2578</v>
      </c>
      <c r="B2896" s="4" t="s">
        <v>1988</v>
      </c>
      <c r="C2896" s="9" t="s">
        <v>50</v>
      </c>
      <c r="D2896" s="10">
        <v>47.5</v>
      </c>
      <c r="E2896" s="11" t="s">
        <v>51</v>
      </c>
      <c r="F2896" s="10">
        <v>3700</v>
      </c>
      <c r="G2896" s="10">
        <v>0</v>
      </c>
      <c r="H2896" s="10">
        <f t="shared" si="45"/>
        <v>3700</v>
      </c>
      <c r="I2896" s="10"/>
      <c r="J2896" s="10"/>
      <c r="K2896" s="10"/>
      <c r="L2896" s="4" t="s">
        <v>52</v>
      </c>
      <c r="M2896" s="4">
        <v>2891</v>
      </c>
    </row>
    <row r="2897" spans="1:13" x14ac:dyDescent="0.25">
      <c r="A2897" s="4" t="s">
        <v>2578</v>
      </c>
      <c r="B2897" s="4" t="s">
        <v>2580</v>
      </c>
      <c r="C2897" s="9" t="s">
        <v>50</v>
      </c>
      <c r="D2897" s="10">
        <v>16</v>
      </c>
      <c r="E2897" s="11" t="s">
        <v>51</v>
      </c>
      <c r="F2897" s="10">
        <v>1120</v>
      </c>
      <c r="G2897" s="10">
        <v>0</v>
      </c>
      <c r="H2897" s="10">
        <f t="shared" si="45"/>
        <v>1120</v>
      </c>
      <c r="I2897" s="10"/>
      <c r="J2897" s="10"/>
      <c r="K2897" s="10"/>
      <c r="L2897" s="4" t="s">
        <v>52</v>
      </c>
      <c r="M2897" s="4">
        <v>2892</v>
      </c>
    </row>
    <row r="2898" spans="1:13" x14ac:dyDescent="0.25">
      <c r="A2898" s="4" t="s">
        <v>2578</v>
      </c>
      <c r="B2898" s="4" t="s">
        <v>1989</v>
      </c>
      <c r="C2898" s="9" t="s">
        <v>50</v>
      </c>
      <c r="D2898" s="10">
        <v>37</v>
      </c>
      <c r="E2898" s="11" t="s">
        <v>51</v>
      </c>
      <c r="F2898" s="10">
        <v>2900</v>
      </c>
      <c r="G2898" s="10">
        <v>0</v>
      </c>
      <c r="H2898" s="10">
        <f t="shared" si="45"/>
        <v>2900</v>
      </c>
      <c r="I2898" s="10"/>
      <c r="J2898" s="10"/>
      <c r="K2898" s="10"/>
      <c r="L2898" s="4" t="s">
        <v>52</v>
      </c>
      <c r="M2898" s="4">
        <v>2893</v>
      </c>
    </row>
    <row r="2899" spans="1:13" x14ac:dyDescent="0.25">
      <c r="A2899" s="4" t="s">
        <v>2578</v>
      </c>
      <c r="B2899" s="4" t="s">
        <v>2581</v>
      </c>
      <c r="C2899" s="9" t="s">
        <v>50</v>
      </c>
      <c r="D2899" s="10">
        <v>62</v>
      </c>
      <c r="E2899" s="11" t="s">
        <v>51</v>
      </c>
      <c r="F2899" s="10">
        <v>2332</v>
      </c>
      <c r="G2899" s="10">
        <v>0</v>
      </c>
      <c r="H2899" s="10">
        <f t="shared" si="45"/>
        <v>2332</v>
      </c>
      <c r="I2899" s="10"/>
      <c r="J2899" s="10"/>
      <c r="K2899" s="10"/>
      <c r="L2899" s="4" t="s">
        <v>52</v>
      </c>
      <c r="M2899" s="4">
        <v>2894</v>
      </c>
    </row>
    <row r="2900" spans="1:13" x14ac:dyDescent="0.25">
      <c r="A2900" s="4" t="s">
        <v>2582</v>
      </c>
      <c r="B2900" s="4" t="s">
        <v>2583</v>
      </c>
      <c r="C2900" s="9" t="s">
        <v>50</v>
      </c>
      <c r="D2900" s="10">
        <v>20</v>
      </c>
      <c r="E2900" s="11" t="s">
        <v>51</v>
      </c>
      <c r="F2900" s="10">
        <v>1747.8</v>
      </c>
      <c r="G2900" s="10">
        <v>0</v>
      </c>
      <c r="H2900" s="10">
        <f t="shared" si="45"/>
        <v>1747.8</v>
      </c>
      <c r="I2900" s="10"/>
      <c r="J2900" s="10"/>
      <c r="K2900" s="10"/>
      <c r="L2900" s="4" t="s">
        <v>52</v>
      </c>
      <c r="M2900" s="4">
        <v>2895</v>
      </c>
    </row>
    <row r="2901" spans="1:13" x14ac:dyDescent="0.25">
      <c r="A2901" s="4" t="s">
        <v>2582</v>
      </c>
      <c r="B2901" s="4" t="s">
        <v>2584</v>
      </c>
      <c r="C2901" s="9" t="s">
        <v>50</v>
      </c>
      <c r="D2901" s="10">
        <v>44</v>
      </c>
      <c r="E2901" s="11" t="s">
        <v>51</v>
      </c>
      <c r="F2901" s="10">
        <v>1747.8</v>
      </c>
      <c r="G2901" s="10">
        <v>0</v>
      </c>
      <c r="H2901" s="10">
        <f t="shared" si="45"/>
        <v>1747.8</v>
      </c>
      <c r="I2901" s="10"/>
      <c r="J2901" s="10"/>
      <c r="K2901" s="10"/>
      <c r="L2901" s="4" t="s">
        <v>52</v>
      </c>
      <c r="M2901" s="4">
        <v>2896</v>
      </c>
    </row>
    <row r="2902" spans="1:13" x14ac:dyDescent="0.25">
      <c r="A2902" s="4" t="s">
        <v>2585</v>
      </c>
      <c r="B2902" s="4" t="s">
        <v>498</v>
      </c>
      <c r="C2902" s="9" t="s">
        <v>50</v>
      </c>
      <c r="D2902" s="10">
        <v>8</v>
      </c>
      <c r="E2902" s="11" t="s">
        <v>51</v>
      </c>
      <c r="F2902" s="10">
        <v>760</v>
      </c>
      <c r="G2902" s="10">
        <v>0</v>
      </c>
      <c r="H2902" s="10">
        <f t="shared" si="45"/>
        <v>760</v>
      </c>
      <c r="I2902" s="10"/>
      <c r="J2902" s="10"/>
      <c r="K2902" s="10"/>
      <c r="L2902" s="4" t="s">
        <v>52</v>
      </c>
      <c r="M2902" s="4">
        <v>2897</v>
      </c>
    </row>
    <row r="2903" spans="1:13" x14ac:dyDescent="0.25">
      <c r="A2903" s="4" t="s">
        <v>2585</v>
      </c>
      <c r="B2903" s="4" t="s">
        <v>2586</v>
      </c>
      <c r="C2903" s="9" t="s">
        <v>50</v>
      </c>
      <c r="D2903" s="10">
        <v>48</v>
      </c>
      <c r="E2903" s="11" t="s">
        <v>51</v>
      </c>
      <c r="F2903" s="10">
        <v>1520</v>
      </c>
      <c r="G2903" s="10">
        <v>0</v>
      </c>
      <c r="H2903" s="10">
        <f t="shared" si="45"/>
        <v>1520</v>
      </c>
      <c r="I2903" s="10"/>
      <c r="J2903" s="10"/>
      <c r="K2903" s="10"/>
      <c r="L2903" s="4" t="s">
        <v>52</v>
      </c>
      <c r="M2903" s="4">
        <v>2898</v>
      </c>
    </row>
    <row r="2904" spans="1:13" x14ac:dyDescent="0.25">
      <c r="A2904" s="4" t="s">
        <v>2587</v>
      </c>
      <c r="B2904" s="4" t="s">
        <v>2583</v>
      </c>
      <c r="C2904" s="9" t="s">
        <v>50</v>
      </c>
      <c r="D2904" s="10">
        <v>16</v>
      </c>
      <c r="E2904" s="11" t="s">
        <v>51</v>
      </c>
      <c r="F2904" s="10">
        <v>1505.92</v>
      </c>
      <c r="G2904" s="10">
        <v>0</v>
      </c>
      <c r="H2904" s="10">
        <f t="shared" si="45"/>
        <v>1505.92</v>
      </c>
      <c r="I2904" s="10"/>
      <c r="J2904" s="10"/>
      <c r="K2904" s="10"/>
      <c r="L2904" s="4" t="s">
        <v>52</v>
      </c>
      <c r="M2904" s="4">
        <v>2899</v>
      </c>
    </row>
    <row r="2905" spans="1:13" x14ac:dyDescent="0.25">
      <c r="A2905" s="4" t="s">
        <v>2587</v>
      </c>
      <c r="B2905" s="4" t="s">
        <v>2584</v>
      </c>
      <c r="C2905" s="9" t="s">
        <v>50</v>
      </c>
      <c r="D2905" s="10">
        <v>315</v>
      </c>
      <c r="E2905" s="11" t="s">
        <v>51</v>
      </c>
      <c r="F2905" s="10">
        <v>1505.92</v>
      </c>
      <c r="G2905" s="10">
        <v>0</v>
      </c>
      <c r="H2905" s="10">
        <f t="shared" si="45"/>
        <v>1505.92</v>
      </c>
      <c r="I2905" s="10"/>
      <c r="J2905" s="10"/>
      <c r="K2905" s="10"/>
      <c r="L2905" s="4" t="s">
        <v>52</v>
      </c>
      <c r="M2905" s="4">
        <v>2900</v>
      </c>
    </row>
    <row r="2906" spans="1:13" x14ac:dyDescent="0.25">
      <c r="A2906" s="4" t="s">
        <v>2588</v>
      </c>
      <c r="B2906" s="4" t="s">
        <v>2589</v>
      </c>
      <c r="C2906" s="4" t="s">
        <v>65</v>
      </c>
      <c r="D2906" s="10">
        <v>48</v>
      </c>
      <c r="E2906" s="12" t="s">
        <v>66</v>
      </c>
      <c r="F2906" s="10">
        <v>5660</v>
      </c>
      <c r="G2906" s="10">
        <v>0</v>
      </c>
      <c r="H2906" s="10">
        <f t="shared" si="45"/>
        <v>5660</v>
      </c>
      <c r="I2906" s="10">
        <v>117.9166666666667</v>
      </c>
      <c r="J2906" s="10">
        <v>117.9166666666667</v>
      </c>
      <c r="K2906" s="10">
        <v>117.9166666666667</v>
      </c>
      <c r="L2906" s="4"/>
      <c r="M2906" s="4">
        <v>2901</v>
      </c>
    </row>
    <row r="2907" spans="1:13" x14ac:dyDescent="0.25">
      <c r="A2907" s="4" t="s">
        <v>2588</v>
      </c>
      <c r="B2907" s="4" t="s">
        <v>2590</v>
      </c>
      <c r="C2907" s="4" t="s">
        <v>65</v>
      </c>
      <c r="D2907" s="10">
        <v>47.5</v>
      </c>
      <c r="E2907" s="12" t="s">
        <v>66</v>
      </c>
      <c r="F2907" s="10">
        <v>4000</v>
      </c>
      <c r="G2907" s="10">
        <v>0</v>
      </c>
      <c r="H2907" s="10">
        <f t="shared" si="45"/>
        <v>4000</v>
      </c>
      <c r="I2907" s="10">
        <v>84.21052631578948</v>
      </c>
      <c r="J2907" s="10">
        <v>84.21052631578948</v>
      </c>
      <c r="K2907" s="10">
        <v>84.21052631578948</v>
      </c>
      <c r="L2907" s="4"/>
      <c r="M2907" s="4">
        <v>2902</v>
      </c>
    </row>
    <row r="2908" spans="1:13" x14ac:dyDescent="0.25">
      <c r="A2908" s="4" t="s">
        <v>2588</v>
      </c>
      <c r="B2908" s="4" t="s">
        <v>2591</v>
      </c>
      <c r="C2908" s="4" t="s">
        <v>65</v>
      </c>
      <c r="D2908" s="10">
        <v>25.5</v>
      </c>
      <c r="E2908" s="12" t="s">
        <v>66</v>
      </c>
      <c r="F2908" s="10">
        <v>3000</v>
      </c>
      <c r="G2908" s="10">
        <v>0</v>
      </c>
      <c r="H2908" s="10">
        <f t="shared" si="45"/>
        <v>3000</v>
      </c>
      <c r="I2908" s="10">
        <v>117.64705882352941</v>
      </c>
      <c r="J2908" s="10">
        <v>117.64705882352941</v>
      </c>
      <c r="K2908" s="10">
        <v>117.64705882352941</v>
      </c>
      <c r="L2908" s="4"/>
      <c r="M2908" s="4">
        <v>2903</v>
      </c>
    </row>
    <row r="2909" spans="1:13" x14ac:dyDescent="0.25">
      <c r="A2909" s="4" t="s">
        <v>2588</v>
      </c>
      <c r="B2909" s="4" t="s">
        <v>1303</v>
      </c>
      <c r="C2909" s="4" t="s">
        <v>65</v>
      </c>
      <c r="D2909" s="10">
        <v>68</v>
      </c>
      <c r="E2909" s="12" t="s">
        <v>66</v>
      </c>
      <c r="F2909" s="10">
        <v>5000</v>
      </c>
      <c r="G2909" s="10">
        <v>0</v>
      </c>
      <c r="H2909" s="10">
        <f t="shared" si="45"/>
        <v>5000</v>
      </c>
      <c r="I2909" s="10">
        <v>73.529411764705884</v>
      </c>
      <c r="J2909" s="10">
        <v>73.529411764705884</v>
      </c>
      <c r="K2909" s="10">
        <v>73.529411764705884</v>
      </c>
      <c r="L2909" s="4"/>
      <c r="M2909" s="4">
        <v>2904</v>
      </c>
    </row>
    <row r="2910" spans="1:13" x14ac:dyDescent="0.25">
      <c r="A2910" s="4" t="s">
        <v>2588</v>
      </c>
      <c r="B2910" s="4" t="s">
        <v>2592</v>
      </c>
      <c r="C2910" s="4" t="s">
        <v>65</v>
      </c>
      <c r="D2910" s="10">
        <v>53</v>
      </c>
      <c r="E2910" s="12" t="s">
        <v>66</v>
      </c>
      <c r="F2910" s="10">
        <v>3850</v>
      </c>
      <c r="G2910" s="10">
        <v>0</v>
      </c>
      <c r="H2910" s="10">
        <f t="shared" si="45"/>
        <v>3850</v>
      </c>
      <c r="I2910" s="10">
        <v>72.64150943396227</v>
      </c>
      <c r="J2910" s="10">
        <v>72.64150943396227</v>
      </c>
      <c r="K2910" s="10">
        <v>72.64150943396227</v>
      </c>
      <c r="L2910" s="4"/>
      <c r="M2910" s="4">
        <v>2905</v>
      </c>
    </row>
    <row r="2911" spans="1:13" x14ac:dyDescent="0.25">
      <c r="A2911" s="4" t="s">
        <v>2588</v>
      </c>
      <c r="B2911" s="4" t="s">
        <v>2593</v>
      </c>
      <c r="C2911" s="9" t="s">
        <v>50</v>
      </c>
      <c r="D2911" s="10">
        <v>41</v>
      </c>
      <c r="E2911" s="11" t="s">
        <v>51</v>
      </c>
      <c r="F2911" s="10">
        <v>2975</v>
      </c>
      <c r="G2911" s="10">
        <v>0</v>
      </c>
      <c r="H2911" s="10">
        <f t="shared" si="45"/>
        <v>2975</v>
      </c>
      <c r="I2911" s="10"/>
      <c r="J2911" s="10"/>
      <c r="K2911" s="10"/>
      <c r="L2911" s="4" t="s">
        <v>52</v>
      </c>
      <c r="M2911" s="4">
        <v>2906</v>
      </c>
    </row>
    <row r="2912" spans="1:13" x14ac:dyDescent="0.25">
      <c r="A2912" s="4" t="s">
        <v>2588</v>
      </c>
      <c r="B2912" s="4" t="s">
        <v>2594</v>
      </c>
      <c r="C2912" s="9" t="s">
        <v>50</v>
      </c>
      <c r="D2912" s="10">
        <v>107</v>
      </c>
      <c r="E2912" s="11" t="s">
        <v>51</v>
      </c>
      <c r="F2912" s="10">
        <v>1850</v>
      </c>
      <c r="G2912" s="10">
        <v>0</v>
      </c>
      <c r="H2912" s="10">
        <f t="shared" si="45"/>
        <v>1850</v>
      </c>
      <c r="I2912" s="10"/>
      <c r="J2912" s="10"/>
      <c r="K2912" s="10"/>
      <c r="L2912" s="4" t="s">
        <v>52</v>
      </c>
      <c r="M2912" s="4">
        <v>2907</v>
      </c>
    </row>
    <row r="2913" spans="1:13" x14ac:dyDescent="0.25">
      <c r="A2913" s="4" t="s">
        <v>2595</v>
      </c>
      <c r="B2913" s="4" t="s">
        <v>2596</v>
      </c>
      <c r="C2913" s="4" t="s">
        <v>68</v>
      </c>
      <c r="D2913" s="10">
        <v>643</v>
      </c>
      <c r="E2913" s="11" t="s">
        <v>51</v>
      </c>
      <c r="F2913" s="10">
        <v>9700</v>
      </c>
      <c r="G2913" s="10">
        <v>0</v>
      </c>
      <c r="H2913" s="10">
        <f t="shared" si="45"/>
        <v>9700</v>
      </c>
      <c r="I2913" s="10"/>
      <c r="J2913" s="10"/>
      <c r="K2913" s="10"/>
      <c r="L2913" s="4" t="s">
        <v>69</v>
      </c>
      <c r="M2913" s="4">
        <v>2908</v>
      </c>
    </row>
    <row r="2914" spans="1:13" x14ac:dyDescent="0.25">
      <c r="A2914" s="4" t="s">
        <v>2597</v>
      </c>
      <c r="B2914" s="4" t="s">
        <v>2598</v>
      </c>
      <c r="C2914" s="4" t="s">
        <v>65</v>
      </c>
      <c r="D2914" s="10">
        <v>6.5</v>
      </c>
      <c r="E2914" s="12" t="s">
        <v>66</v>
      </c>
      <c r="F2914" s="10">
        <v>500</v>
      </c>
      <c r="G2914" s="10">
        <v>0</v>
      </c>
      <c r="H2914" s="10">
        <f t="shared" si="45"/>
        <v>500</v>
      </c>
      <c r="I2914" s="10">
        <v>76.92307692307692</v>
      </c>
      <c r="J2914" s="10">
        <v>76.92307692307692</v>
      </c>
      <c r="K2914" s="10">
        <v>76.92307692307692</v>
      </c>
      <c r="L2914" s="4"/>
      <c r="M2914" s="4">
        <v>2909</v>
      </c>
    </row>
    <row r="2915" spans="1:13" x14ac:dyDescent="0.25">
      <c r="A2915" s="4" t="s">
        <v>2597</v>
      </c>
      <c r="B2915" s="4" t="s">
        <v>2599</v>
      </c>
      <c r="C2915" s="4" t="s">
        <v>65</v>
      </c>
      <c r="D2915" s="10">
        <v>80</v>
      </c>
      <c r="E2915" s="12" t="s">
        <v>66</v>
      </c>
      <c r="F2915" s="10">
        <v>6000</v>
      </c>
      <c r="G2915" s="10">
        <v>0</v>
      </c>
      <c r="H2915" s="10">
        <f t="shared" si="45"/>
        <v>6000</v>
      </c>
      <c r="I2915" s="10">
        <v>75</v>
      </c>
      <c r="J2915" s="10">
        <v>75</v>
      </c>
      <c r="K2915" s="10">
        <v>75</v>
      </c>
      <c r="L2915" s="4"/>
      <c r="M2915" s="4">
        <v>2910</v>
      </c>
    </row>
    <row r="2916" spans="1:13" x14ac:dyDescent="0.25">
      <c r="A2916" s="4" t="s">
        <v>2597</v>
      </c>
      <c r="B2916" s="4" t="s">
        <v>2600</v>
      </c>
      <c r="C2916" s="4" t="s">
        <v>65</v>
      </c>
      <c r="D2916" s="10">
        <v>50</v>
      </c>
      <c r="E2916" s="12" t="s">
        <v>66</v>
      </c>
      <c r="F2916" s="10">
        <v>3750</v>
      </c>
      <c r="G2916" s="10">
        <v>0</v>
      </c>
      <c r="H2916" s="10">
        <f t="shared" si="45"/>
        <v>3750</v>
      </c>
      <c r="I2916" s="10">
        <v>75</v>
      </c>
      <c r="J2916" s="10">
        <v>75</v>
      </c>
      <c r="K2916" s="10">
        <v>75</v>
      </c>
      <c r="L2916" s="4"/>
      <c r="M2916" s="4">
        <v>2911</v>
      </c>
    </row>
    <row r="2917" spans="1:13" x14ac:dyDescent="0.25">
      <c r="A2917" s="4" t="s">
        <v>2597</v>
      </c>
      <c r="B2917" s="4" t="s">
        <v>2601</v>
      </c>
      <c r="C2917" s="4" t="s">
        <v>65</v>
      </c>
      <c r="D2917" s="10">
        <v>16</v>
      </c>
      <c r="E2917" s="12" t="s">
        <v>66</v>
      </c>
      <c r="F2917" s="10">
        <v>1200</v>
      </c>
      <c r="G2917" s="10">
        <v>0</v>
      </c>
      <c r="H2917" s="10">
        <f t="shared" si="45"/>
        <v>1200</v>
      </c>
      <c r="I2917" s="10">
        <v>75</v>
      </c>
      <c r="J2917" s="10">
        <v>75</v>
      </c>
      <c r="K2917" s="10">
        <v>75</v>
      </c>
      <c r="L2917" s="4"/>
      <c r="M2917" s="4">
        <v>2912</v>
      </c>
    </row>
    <row r="2918" spans="1:13" x14ac:dyDescent="0.25">
      <c r="A2918" s="4" t="s">
        <v>2597</v>
      </c>
      <c r="B2918" s="4" t="s">
        <v>2602</v>
      </c>
      <c r="C2918" s="4" t="s">
        <v>65</v>
      </c>
      <c r="D2918" s="10">
        <v>77</v>
      </c>
      <c r="E2918" s="12" t="s">
        <v>66</v>
      </c>
      <c r="F2918" s="10">
        <v>5800</v>
      </c>
      <c r="G2918" s="10">
        <v>0</v>
      </c>
      <c r="H2918" s="10">
        <f t="shared" si="45"/>
        <v>5800</v>
      </c>
      <c r="I2918" s="10">
        <v>75.324675324675326</v>
      </c>
      <c r="J2918" s="10">
        <v>75.324675324675326</v>
      </c>
      <c r="K2918" s="10">
        <v>75.324675324675326</v>
      </c>
      <c r="L2918" s="4"/>
      <c r="M2918" s="4">
        <v>2913</v>
      </c>
    </row>
    <row r="2919" spans="1:13" x14ac:dyDescent="0.25">
      <c r="A2919" s="4" t="s">
        <v>2597</v>
      </c>
      <c r="B2919" s="4" t="s">
        <v>2603</v>
      </c>
      <c r="C2919" s="4" t="s">
        <v>65</v>
      </c>
      <c r="D2919" s="10">
        <v>60.5</v>
      </c>
      <c r="E2919" s="12" t="s">
        <v>66</v>
      </c>
      <c r="F2919" s="10">
        <v>4550</v>
      </c>
      <c r="G2919" s="10">
        <v>0</v>
      </c>
      <c r="H2919" s="10">
        <f t="shared" si="45"/>
        <v>4550</v>
      </c>
      <c r="I2919" s="10">
        <v>75.206611570247929</v>
      </c>
      <c r="J2919" s="10">
        <v>75.206611570247929</v>
      </c>
      <c r="K2919" s="10">
        <v>75.206611570247929</v>
      </c>
      <c r="L2919" s="4"/>
      <c r="M2919" s="4">
        <v>2914</v>
      </c>
    </row>
    <row r="2920" spans="1:13" x14ac:dyDescent="0.25">
      <c r="A2920" s="4" t="s">
        <v>2597</v>
      </c>
      <c r="B2920" s="4" t="s">
        <v>537</v>
      </c>
      <c r="C2920" s="4" t="s">
        <v>65</v>
      </c>
      <c r="D2920" s="10">
        <v>2</v>
      </c>
      <c r="E2920" s="12" t="s">
        <v>66</v>
      </c>
      <c r="F2920" s="10">
        <v>160</v>
      </c>
      <c r="G2920" s="10">
        <v>0</v>
      </c>
      <c r="H2920" s="10">
        <f t="shared" si="45"/>
        <v>160</v>
      </c>
      <c r="I2920" s="10">
        <v>80</v>
      </c>
      <c r="J2920" s="10">
        <v>80</v>
      </c>
      <c r="K2920" s="10">
        <v>80</v>
      </c>
      <c r="L2920" s="4"/>
      <c r="M2920" s="4">
        <v>2915</v>
      </c>
    </row>
    <row r="2921" spans="1:13" x14ac:dyDescent="0.25">
      <c r="A2921" s="4" t="s">
        <v>2597</v>
      </c>
      <c r="B2921" s="4" t="s">
        <v>2604</v>
      </c>
      <c r="C2921" s="4" t="s">
        <v>65</v>
      </c>
      <c r="D2921" s="10">
        <v>73</v>
      </c>
      <c r="E2921" s="12" t="s">
        <v>66</v>
      </c>
      <c r="F2921" s="10">
        <v>5500</v>
      </c>
      <c r="G2921" s="10">
        <v>0</v>
      </c>
      <c r="H2921" s="10">
        <f t="shared" si="45"/>
        <v>5500</v>
      </c>
      <c r="I2921" s="10">
        <v>75.342465753424662</v>
      </c>
      <c r="J2921" s="10">
        <v>75.342465753424662</v>
      </c>
      <c r="K2921" s="10">
        <v>75.342465753424662</v>
      </c>
      <c r="L2921" s="4"/>
      <c r="M2921" s="4">
        <v>2916</v>
      </c>
    </row>
    <row r="2922" spans="1:13" x14ac:dyDescent="0.25">
      <c r="A2922" s="4" t="s">
        <v>2597</v>
      </c>
      <c r="B2922" s="4" t="s">
        <v>2605</v>
      </c>
      <c r="C2922" s="4" t="s">
        <v>65</v>
      </c>
      <c r="D2922" s="10">
        <v>58.5</v>
      </c>
      <c r="E2922" s="12" t="s">
        <v>66</v>
      </c>
      <c r="F2922" s="10">
        <v>4400</v>
      </c>
      <c r="G2922" s="10">
        <v>0</v>
      </c>
      <c r="H2922" s="10">
        <f t="shared" si="45"/>
        <v>4400</v>
      </c>
      <c r="I2922" s="10">
        <v>75.213675213675216</v>
      </c>
      <c r="J2922" s="10">
        <v>75.213675213675216</v>
      </c>
      <c r="K2922" s="10">
        <v>75.213675213675216</v>
      </c>
      <c r="L2922" s="4"/>
      <c r="M2922" s="4">
        <v>2917</v>
      </c>
    </row>
    <row r="2923" spans="1:13" x14ac:dyDescent="0.25">
      <c r="A2923" s="4" t="s">
        <v>2597</v>
      </c>
      <c r="B2923" s="4" t="s">
        <v>2606</v>
      </c>
      <c r="C2923" s="4" t="s">
        <v>65</v>
      </c>
      <c r="D2923" s="10">
        <v>170.5</v>
      </c>
      <c r="E2923" s="12" t="s">
        <v>66</v>
      </c>
      <c r="F2923" s="10">
        <v>9800</v>
      </c>
      <c r="G2923" s="10">
        <v>0</v>
      </c>
      <c r="H2923" s="10">
        <f t="shared" si="45"/>
        <v>9800</v>
      </c>
      <c r="I2923" s="10">
        <v>75.095785440613028</v>
      </c>
      <c r="J2923" s="10">
        <v>75.095785440613028</v>
      </c>
      <c r="K2923" s="10">
        <v>75.095785440613028</v>
      </c>
      <c r="L2923" s="4"/>
      <c r="M2923" s="4">
        <v>2918</v>
      </c>
    </row>
    <row r="2924" spans="1:13" x14ac:dyDescent="0.25">
      <c r="A2924" s="4" t="s">
        <v>2607</v>
      </c>
      <c r="B2924" s="4" t="s">
        <v>2608</v>
      </c>
      <c r="C2924" s="9" t="s">
        <v>50</v>
      </c>
      <c r="D2924" s="10">
        <v>20</v>
      </c>
      <c r="E2924" s="11" t="s">
        <v>51</v>
      </c>
      <c r="F2924" s="10">
        <v>1882.4</v>
      </c>
      <c r="G2924" s="10">
        <v>0</v>
      </c>
      <c r="H2924" s="10">
        <f t="shared" si="45"/>
        <v>1882.4</v>
      </c>
      <c r="I2924" s="10"/>
      <c r="J2924" s="10"/>
      <c r="K2924" s="10"/>
      <c r="L2924" s="4" t="s">
        <v>52</v>
      </c>
      <c r="M2924" s="4">
        <v>2919</v>
      </c>
    </row>
    <row r="2925" spans="1:13" x14ac:dyDescent="0.25">
      <c r="A2925" s="4" t="s">
        <v>2607</v>
      </c>
      <c r="B2925" s="4" t="s">
        <v>2322</v>
      </c>
      <c r="C2925" s="9" t="s">
        <v>50</v>
      </c>
      <c r="D2925" s="10">
        <v>80</v>
      </c>
      <c r="E2925" s="11" t="s">
        <v>51</v>
      </c>
      <c r="F2925" s="10">
        <v>1882.4</v>
      </c>
      <c r="G2925" s="10">
        <v>0</v>
      </c>
      <c r="H2925" s="10">
        <f t="shared" si="45"/>
        <v>1882.4</v>
      </c>
      <c r="I2925" s="10"/>
      <c r="J2925" s="10"/>
      <c r="K2925" s="10"/>
      <c r="L2925" s="4" t="s">
        <v>52</v>
      </c>
      <c r="M2925" s="4">
        <v>2920</v>
      </c>
    </row>
    <row r="2926" spans="1:13" x14ac:dyDescent="0.25">
      <c r="A2926" s="4" t="s">
        <v>2609</v>
      </c>
      <c r="B2926" s="4" t="s">
        <v>2608</v>
      </c>
      <c r="C2926" s="9" t="s">
        <v>50</v>
      </c>
      <c r="D2926" s="10">
        <v>30</v>
      </c>
      <c r="E2926" s="11" t="s">
        <v>51</v>
      </c>
      <c r="F2926" s="10">
        <v>2902.74</v>
      </c>
      <c r="G2926" s="10">
        <v>0</v>
      </c>
      <c r="H2926" s="10">
        <f t="shared" si="45"/>
        <v>2902.74</v>
      </c>
      <c r="I2926" s="10"/>
      <c r="J2926" s="10"/>
      <c r="K2926" s="10"/>
      <c r="L2926" s="4" t="s">
        <v>52</v>
      </c>
      <c r="M2926" s="4">
        <v>2921</v>
      </c>
    </row>
    <row r="2927" spans="1:13" x14ac:dyDescent="0.25">
      <c r="A2927" s="4" t="s">
        <v>2609</v>
      </c>
      <c r="B2927" s="4" t="s">
        <v>2322</v>
      </c>
      <c r="C2927" s="9" t="s">
        <v>50</v>
      </c>
      <c r="D2927" s="10">
        <v>30</v>
      </c>
      <c r="E2927" s="11" t="s">
        <v>51</v>
      </c>
      <c r="F2927" s="10">
        <v>2902.74</v>
      </c>
      <c r="G2927" s="10">
        <v>0</v>
      </c>
      <c r="H2927" s="10">
        <f t="shared" si="45"/>
        <v>2902.74</v>
      </c>
      <c r="I2927" s="10"/>
      <c r="J2927" s="10"/>
      <c r="K2927" s="10"/>
      <c r="L2927" s="4" t="s">
        <v>52</v>
      </c>
      <c r="M2927" s="4">
        <v>2922</v>
      </c>
    </row>
    <row r="2928" spans="1:13" x14ac:dyDescent="0.25">
      <c r="A2928" s="4" t="s">
        <v>2609</v>
      </c>
      <c r="B2928" s="4" t="s">
        <v>2610</v>
      </c>
      <c r="C2928" s="4" t="s">
        <v>65</v>
      </c>
      <c r="D2928" s="10">
        <v>441.5</v>
      </c>
      <c r="E2928" s="11" t="s">
        <v>51</v>
      </c>
      <c r="F2928" s="10">
        <v>1500</v>
      </c>
      <c r="G2928" s="10">
        <v>0</v>
      </c>
      <c r="H2928" s="10">
        <f t="shared" si="45"/>
        <v>1500</v>
      </c>
      <c r="I2928" s="10"/>
      <c r="J2928" s="10"/>
      <c r="K2928" s="10"/>
      <c r="L2928" s="4" t="s">
        <v>69</v>
      </c>
      <c r="M2928" s="4">
        <v>2923</v>
      </c>
    </row>
    <row r="2929" spans="1:13" x14ac:dyDescent="0.25">
      <c r="A2929" s="4" t="s">
        <v>2611</v>
      </c>
      <c r="B2929" s="4" t="s">
        <v>2612</v>
      </c>
      <c r="C2929" s="9" t="s">
        <v>50</v>
      </c>
      <c r="D2929" s="10">
        <v>16.5</v>
      </c>
      <c r="E2929" s="11" t="s">
        <v>51</v>
      </c>
      <c r="F2929" s="10">
        <v>1500</v>
      </c>
      <c r="G2929" s="10">
        <v>0</v>
      </c>
      <c r="H2929" s="10">
        <f t="shared" si="45"/>
        <v>1500</v>
      </c>
      <c r="I2929" s="10"/>
      <c r="J2929" s="10"/>
      <c r="K2929" s="10"/>
      <c r="L2929" s="4" t="s">
        <v>52</v>
      </c>
      <c r="M2929" s="4">
        <v>2924</v>
      </c>
    </row>
    <row r="2930" spans="1:13" x14ac:dyDescent="0.25">
      <c r="A2930" s="4" t="s">
        <v>2611</v>
      </c>
      <c r="B2930" s="4" t="s">
        <v>2613</v>
      </c>
      <c r="C2930" s="9" t="s">
        <v>50</v>
      </c>
      <c r="D2930" s="10"/>
      <c r="E2930" s="11" t="s">
        <v>51</v>
      </c>
      <c r="F2930" s="10"/>
      <c r="G2930" s="10">
        <v>0</v>
      </c>
      <c r="H2930" s="10">
        <f t="shared" si="45"/>
        <v>0</v>
      </c>
      <c r="I2930" s="10"/>
      <c r="J2930" s="10"/>
      <c r="K2930" s="10"/>
      <c r="L2930" s="4" t="s">
        <v>52</v>
      </c>
      <c r="M2930" s="4">
        <v>2925</v>
      </c>
    </row>
    <row r="2931" spans="1:13" x14ac:dyDescent="0.25">
      <c r="A2931" s="4" t="s">
        <v>2611</v>
      </c>
      <c r="B2931" s="4" t="s">
        <v>2614</v>
      </c>
      <c r="C2931" s="9" t="s">
        <v>50</v>
      </c>
      <c r="D2931" s="10">
        <v>48</v>
      </c>
      <c r="E2931" s="11" t="s">
        <v>51</v>
      </c>
      <c r="F2931" s="10">
        <v>4300</v>
      </c>
      <c r="G2931" s="10">
        <v>0</v>
      </c>
      <c r="H2931" s="10">
        <f t="shared" si="45"/>
        <v>4300</v>
      </c>
      <c r="I2931" s="10"/>
      <c r="J2931" s="10"/>
      <c r="K2931" s="10"/>
      <c r="L2931" s="4" t="s">
        <v>52</v>
      </c>
      <c r="M2931" s="4">
        <v>2926</v>
      </c>
    </row>
    <row r="2932" spans="1:13" x14ac:dyDescent="0.25">
      <c r="A2932" s="4" t="s">
        <v>2611</v>
      </c>
      <c r="B2932" s="4" t="s">
        <v>2615</v>
      </c>
      <c r="C2932" s="9" t="s">
        <v>50</v>
      </c>
      <c r="D2932" s="10">
        <v>105.75</v>
      </c>
      <c r="E2932" s="11" t="s">
        <v>51</v>
      </c>
      <c r="F2932" s="10">
        <v>9400</v>
      </c>
      <c r="G2932" s="10">
        <v>0</v>
      </c>
      <c r="H2932" s="10">
        <f t="shared" si="45"/>
        <v>9400</v>
      </c>
      <c r="I2932" s="10"/>
      <c r="J2932" s="10"/>
      <c r="K2932" s="10"/>
      <c r="L2932" s="4" t="s">
        <v>52</v>
      </c>
      <c r="M2932" s="4">
        <v>2927</v>
      </c>
    </row>
    <row r="2933" spans="1:13" x14ac:dyDescent="0.25">
      <c r="A2933" s="4" t="s">
        <v>2611</v>
      </c>
      <c r="B2933" s="4" t="s">
        <v>2616</v>
      </c>
      <c r="C2933" s="9" t="s">
        <v>50</v>
      </c>
      <c r="D2933" s="10">
        <v>191.25</v>
      </c>
      <c r="E2933" s="11" t="s">
        <v>51</v>
      </c>
      <c r="F2933" s="10">
        <v>17000</v>
      </c>
      <c r="G2933" s="10">
        <v>0</v>
      </c>
      <c r="H2933" s="10">
        <f t="shared" si="45"/>
        <v>17000</v>
      </c>
      <c r="I2933" s="10"/>
      <c r="J2933" s="10"/>
      <c r="K2933" s="10"/>
      <c r="L2933" s="4" t="s">
        <v>52</v>
      </c>
      <c r="M2933" s="4">
        <v>2928</v>
      </c>
    </row>
    <row r="2934" spans="1:13" x14ac:dyDescent="0.25">
      <c r="A2934" s="4" t="s">
        <v>2611</v>
      </c>
      <c r="B2934" s="4" t="s">
        <v>2617</v>
      </c>
      <c r="C2934" s="9" t="s">
        <v>50</v>
      </c>
      <c r="D2934" s="10">
        <v>145</v>
      </c>
      <c r="E2934" s="11" t="s">
        <v>51</v>
      </c>
      <c r="F2934" s="10">
        <v>5900</v>
      </c>
      <c r="G2934" s="10">
        <v>0</v>
      </c>
      <c r="H2934" s="10">
        <f t="shared" si="45"/>
        <v>5900</v>
      </c>
      <c r="I2934" s="10"/>
      <c r="J2934" s="10"/>
      <c r="K2934" s="10"/>
      <c r="L2934" s="4" t="s">
        <v>52</v>
      </c>
      <c r="M2934" s="4">
        <v>2929</v>
      </c>
    </row>
    <row r="2935" spans="1:13" x14ac:dyDescent="0.25">
      <c r="A2935" s="4" t="s">
        <v>2618</v>
      </c>
      <c r="B2935" s="4" t="s">
        <v>64</v>
      </c>
      <c r="C2935" s="4" t="s">
        <v>65</v>
      </c>
      <c r="D2935" s="10">
        <v>41</v>
      </c>
      <c r="E2935" s="12" t="s">
        <v>66</v>
      </c>
      <c r="F2935" s="10">
        <v>5250</v>
      </c>
      <c r="G2935" s="10">
        <v>0</v>
      </c>
      <c r="H2935" s="10">
        <f t="shared" si="45"/>
        <v>5250</v>
      </c>
      <c r="I2935" s="10">
        <v>80.769230769230774</v>
      </c>
      <c r="J2935" s="10">
        <v>80.769230769230774</v>
      </c>
      <c r="K2935" s="10">
        <v>80.769230769230774</v>
      </c>
      <c r="L2935" s="4"/>
      <c r="M2935" s="4">
        <v>2930</v>
      </c>
    </row>
    <row r="2936" spans="1:13" x14ac:dyDescent="0.25">
      <c r="A2936" s="4" t="s">
        <v>2619</v>
      </c>
      <c r="B2936" s="4" t="s">
        <v>634</v>
      </c>
      <c r="C2936" s="4" t="s">
        <v>65</v>
      </c>
      <c r="D2936" s="10">
        <v>35</v>
      </c>
      <c r="E2936" s="12" t="s">
        <v>66</v>
      </c>
      <c r="F2936" s="10">
        <v>4350</v>
      </c>
      <c r="G2936" s="10">
        <v>0</v>
      </c>
      <c r="H2936" s="10">
        <f t="shared" si="45"/>
        <v>4350</v>
      </c>
      <c r="I2936" s="10">
        <v>124.28571428571431</v>
      </c>
      <c r="J2936" s="10">
        <v>124.28571428571431</v>
      </c>
      <c r="K2936" s="10">
        <v>124.28571428571431</v>
      </c>
      <c r="L2936" s="4"/>
      <c r="M2936" s="4">
        <v>2931</v>
      </c>
    </row>
    <row r="2937" spans="1:13" x14ac:dyDescent="0.25">
      <c r="A2937" s="4" t="s">
        <v>2619</v>
      </c>
      <c r="B2937" s="4" t="s">
        <v>2620</v>
      </c>
      <c r="C2937" s="4" t="s">
        <v>68</v>
      </c>
      <c r="D2937" s="10">
        <v>20</v>
      </c>
      <c r="E2937" s="11" t="s">
        <v>51</v>
      </c>
      <c r="F2937" s="10">
        <v>720</v>
      </c>
      <c r="G2937" s="10">
        <v>0</v>
      </c>
      <c r="H2937" s="10">
        <f t="shared" si="45"/>
        <v>720</v>
      </c>
      <c r="I2937" s="10"/>
      <c r="J2937" s="10"/>
      <c r="K2937" s="10"/>
      <c r="L2937" s="4" t="s">
        <v>69</v>
      </c>
      <c r="M2937" s="4">
        <v>2932</v>
      </c>
    </row>
    <row r="2938" spans="1:13" x14ac:dyDescent="0.25">
      <c r="A2938" s="4" t="s">
        <v>2621</v>
      </c>
      <c r="B2938" s="4" t="s">
        <v>2622</v>
      </c>
      <c r="C2938" s="4" t="s">
        <v>68</v>
      </c>
      <c r="D2938" s="10">
        <v>206</v>
      </c>
      <c r="E2938" s="11" t="s">
        <v>51</v>
      </c>
      <c r="F2938" s="10">
        <v>2000</v>
      </c>
      <c r="G2938" s="10">
        <v>0</v>
      </c>
      <c r="H2938" s="10">
        <f t="shared" si="45"/>
        <v>2000</v>
      </c>
      <c r="I2938" s="10"/>
      <c r="J2938" s="10"/>
      <c r="K2938" s="10"/>
      <c r="L2938" s="4" t="s">
        <v>69</v>
      </c>
      <c r="M2938" s="4">
        <v>2933</v>
      </c>
    </row>
    <row r="2939" spans="1:13" x14ac:dyDescent="0.25">
      <c r="A2939" s="4" t="s">
        <v>2623</v>
      </c>
      <c r="B2939" s="4" t="s">
        <v>2624</v>
      </c>
      <c r="C2939" s="9" t="s">
        <v>50</v>
      </c>
      <c r="D2939" s="10">
        <v>76</v>
      </c>
      <c r="E2939" s="11" t="s">
        <v>51</v>
      </c>
      <c r="F2939" s="10">
        <v>11916.25</v>
      </c>
      <c r="G2939" s="10">
        <v>0</v>
      </c>
      <c r="H2939" s="10">
        <f t="shared" si="45"/>
        <v>11916.25</v>
      </c>
      <c r="I2939" s="10"/>
      <c r="J2939" s="10"/>
      <c r="K2939" s="10"/>
      <c r="L2939" s="4" t="s">
        <v>52</v>
      </c>
      <c r="M2939" s="4">
        <v>2934</v>
      </c>
    </row>
    <row r="2940" spans="1:13" x14ac:dyDescent="0.25">
      <c r="A2940" s="4" t="s">
        <v>2623</v>
      </c>
      <c r="B2940" s="4" t="s">
        <v>2332</v>
      </c>
      <c r="C2940" s="9" t="s">
        <v>50</v>
      </c>
      <c r="D2940" s="10">
        <v>22</v>
      </c>
      <c r="E2940" s="11" t="s">
        <v>51</v>
      </c>
      <c r="F2940" s="10">
        <v>2200</v>
      </c>
      <c r="G2940" s="10">
        <v>0</v>
      </c>
      <c r="H2940" s="10">
        <f t="shared" si="45"/>
        <v>2200</v>
      </c>
      <c r="I2940" s="10"/>
      <c r="J2940" s="10"/>
      <c r="K2940" s="10"/>
      <c r="L2940" s="4" t="s">
        <v>52</v>
      </c>
      <c r="M2940" s="4">
        <v>2935</v>
      </c>
    </row>
    <row r="2941" spans="1:13" x14ac:dyDescent="0.25">
      <c r="A2941" s="4" t="s">
        <v>2623</v>
      </c>
      <c r="B2941" s="4" t="s">
        <v>2625</v>
      </c>
      <c r="C2941" s="9" t="s">
        <v>50</v>
      </c>
      <c r="D2941" s="10">
        <v>32</v>
      </c>
      <c r="E2941" s="11" t="s">
        <v>51</v>
      </c>
      <c r="F2941" s="10">
        <v>3040</v>
      </c>
      <c r="G2941" s="10">
        <v>0</v>
      </c>
      <c r="H2941" s="10">
        <f t="shared" si="45"/>
        <v>3040</v>
      </c>
      <c r="I2941" s="10"/>
      <c r="J2941" s="10"/>
      <c r="K2941" s="10"/>
      <c r="L2941" s="4" t="s">
        <v>52</v>
      </c>
      <c r="M2941" s="4">
        <v>2936</v>
      </c>
    </row>
    <row r="2942" spans="1:13" x14ac:dyDescent="0.25">
      <c r="A2942" s="4" t="s">
        <v>2623</v>
      </c>
      <c r="B2942" s="4" t="s">
        <v>2626</v>
      </c>
      <c r="C2942" s="9" t="s">
        <v>50</v>
      </c>
      <c r="D2942" s="10">
        <v>97</v>
      </c>
      <c r="E2942" s="11" t="s">
        <v>51</v>
      </c>
      <c r="F2942" s="10">
        <v>5320</v>
      </c>
      <c r="G2942" s="10">
        <v>0</v>
      </c>
      <c r="H2942" s="10">
        <f t="shared" si="45"/>
        <v>5320</v>
      </c>
      <c r="I2942" s="10"/>
      <c r="J2942" s="10"/>
      <c r="K2942" s="10"/>
      <c r="L2942" s="4" t="s">
        <v>52</v>
      </c>
      <c r="M2942" s="4">
        <v>2937</v>
      </c>
    </row>
    <row r="2943" spans="1:13" x14ac:dyDescent="0.25">
      <c r="A2943" s="4" t="s">
        <v>2627</v>
      </c>
      <c r="B2943" s="4" t="s">
        <v>2628</v>
      </c>
      <c r="C2943" s="4" t="s">
        <v>65</v>
      </c>
      <c r="D2943" s="10">
        <v>17</v>
      </c>
      <c r="E2943" s="12" t="s">
        <v>66</v>
      </c>
      <c r="F2943" s="10">
        <v>1800</v>
      </c>
      <c r="G2943" s="10">
        <v>0</v>
      </c>
      <c r="H2943" s="10">
        <f t="shared" si="45"/>
        <v>1800</v>
      </c>
      <c r="I2943" s="10">
        <v>105.88235294117651</v>
      </c>
      <c r="J2943" s="10">
        <v>105.88235294117651</v>
      </c>
      <c r="K2943" s="10">
        <v>105.88235294117651</v>
      </c>
      <c r="L2943" s="4"/>
      <c r="M2943" s="4">
        <v>2938</v>
      </c>
    </row>
    <row r="2944" spans="1:13" x14ac:dyDescent="0.25">
      <c r="A2944" s="4" t="s">
        <v>2627</v>
      </c>
      <c r="B2944" s="4" t="s">
        <v>2629</v>
      </c>
      <c r="C2944" s="4" t="s">
        <v>68</v>
      </c>
      <c r="D2944" s="10">
        <v>186</v>
      </c>
      <c r="E2944" s="11" t="s">
        <v>51</v>
      </c>
      <c r="F2944" s="10">
        <v>2280</v>
      </c>
      <c r="G2944" s="10">
        <v>0</v>
      </c>
      <c r="H2944" s="10">
        <f t="shared" si="45"/>
        <v>2280</v>
      </c>
      <c r="I2944" s="10"/>
      <c r="J2944" s="10"/>
      <c r="K2944" s="10"/>
      <c r="L2944" s="4" t="s">
        <v>69</v>
      </c>
      <c r="M2944" s="4">
        <v>2939</v>
      </c>
    </row>
    <row r="2945" spans="1:13" x14ac:dyDescent="0.25">
      <c r="A2945" s="4" t="s">
        <v>2630</v>
      </c>
      <c r="B2945" s="4" t="s">
        <v>82</v>
      </c>
      <c r="C2945" s="9" t="s">
        <v>50</v>
      </c>
      <c r="D2945" s="10">
        <v>16</v>
      </c>
      <c r="E2945" s="11" t="s">
        <v>51</v>
      </c>
      <c r="F2945" s="10">
        <v>1800</v>
      </c>
      <c r="G2945" s="10">
        <v>0</v>
      </c>
      <c r="H2945" s="10">
        <f t="shared" si="45"/>
        <v>1800</v>
      </c>
      <c r="I2945" s="10"/>
      <c r="J2945" s="10"/>
      <c r="K2945" s="10"/>
      <c r="L2945" s="4" t="s">
        <v>52</v>
      </c>
      <c r="M2945" s="4">
        <v>2940</v>
      </c>
    </row>
    <row r="2946" spans="1:13" x14ac:dyDescent="0.25">
      <c r="A2946" s="4" t="s">
        <v>2630</v>
      </c>
      <c r="B2946" s="4" t="s">
        <v>88</v>
      </c>
      <c r="C2946" s="9" t="s">
        <v>50</v>
      </c>
      <c r="D2946" s="10">
        <v>28</v>
      </c>
      <c r="E2946" s="11" t="s">
        <v>51</v>
      </c>
      <c r="F2946" s="10">
        <v>2730</v>
      </c>
      <c r="G2946" s="10">
        <v>0</v>
      </c>
      <c r="H2946" s="10">
        <f t="shared" si="45"/>
        <v>2730</v>
      </c>
      <c r="I2946" s="10"/>
      <c r="J2946" s="10"/>
      <c r="K2946" s="10"/>
      <c r="L2946" s="4" t="s">
        <v>52</v>
      </c>
      <c r="M2946" s="4">
        <v>2941</v>
      </c>
    </row>
    <row r="2947" spans="1:13" x14ac:dyDescent="0.25">
      <c r="A2947" s="4" t="s">
        <v>2630</v>
      </c>
      <c r="B2947" s="4" t="s">
        <v>137</v>
      </c>
      <c r="C2947" s="9" t="s">
        <v>50</v>
      </c>
      <c r="D2947" s="10">
        <v>20</v>
      </c>
      <c r="E2947" s="11" t="s">
        <v>51</v>
      </c>
      <c r="F2947" s="10">
        <v>1800</v>
      </c>
      <c r="G2947" s="10">
        <v>0</v>
      </c>
      <c r="H2947" s="10">
        <f t="shared" si="45"/>
        <v>1800</v>
      </c>
      <c r="I2947" s="10"/>
      <c r="J2947" s="10"/>
      <c r="K2947" s="10"/>
      <c r="L2947" s="4" t="s">
        <v>52</v>
      </c>
      <c r="M2947" s="4">
        <v>2942</v>
      </c>
    </row>
    <row r="2948" spans="1:13" x14ac:dyDescent="0.25">
      <c r="A2948" s="4" t="s">
        <v>2630</v>
      </c>
      <c r="B2948" s="4" t="s">
        <v>106</v>
      </c>
      <c r="C2948" s="9" t="s">
        <v>50</v>
      </c>
      <c r="D2948" s="10">
        <v>24</v>
      </c>
      <c r="E2948" s="11" t="s">
        <v>51</v>
      </c>
      <c r="F2948" s="10">
        <v>2500</v>
      </c>
      <c r="G2948" s="10">
        <v>0</v>
      </c>
      <c r="H2948" s="10">
        <f t="shared" si="45"/>
        <v>2500</v>
      </c>
      <c r="I2948" s="10"/>
      <c r="J2948" s="10"/>
      <c r="K2948" s="10"/>
      <c r="L2948" s="4" t="s">
        <v>52</v>
      </c>
      <c r="M2948" s="4">
        <v>2943</v>
      </c>
    </row>
    <row r="2949" spans="1:13" x14ac:dyDescent="0.25">
      <c r="A2949" s="4" t="s">
        <v>2630</v>
      </c>
      <c r="B2949" s="4" t="s">
        <v>107</v>
      </c>
      <c r="C2949" s="9" t="s">
        <v>50</v>
      </c>
      <c r="D2949" s="10">
        <v>40</v>
      </c>
      <c r="E2949" s="11" t="s">
        <v>51</v>
      </c>
      <c r="F2949" s="10">
        <v>4500</v>
      </c>
      <c r="G2949" s="10">
        <v>0</v>
      </c>
      <c r="H2949" s="10">
        <f t="shared" si="45"/>
        <v>4500</v>
      </c>
      <c r="I2949" s="10"/>
      <c r="J2949" s="10"/>
      <c r="K2949" s="10"/>
      <c r="L2949" s="4" t="s">
        <v>52</v>
      </c>
      <c r="M2949" s="4">
        <v>2944</v>
      </c>
    </row>
    <row r="2950" spans="1:13" x14ac:dyDescent="0.25">
      <c r="A2950" s="4" t="s">
        <v>2630</v>
      </c>
      <c r="B2950" s="4" t="s">
        <v>128</v>
      </c>
      <c r="C2950" s="9" t="s">
        <v>50</v>
      </c>
      <c r="D2950" s="10">
        <v>44</v>
      </c>
      <c r="E2950" s="11" t="s">
        <v>51</v>
      </c>
      <c r="F2950" s="10">
        <v>2350</v>
      </c>
      <c r="G2950" s="10">
        <v>0</v>
      </c>
      <c r="H2950" s="10">
        <f t="shared" ref="H2950:H3013" si="46">F2950-G2950</f>
        <v>2350</v>
      </c>
      <c r="I2950" s="10"/>
      <c r="J2950" s="10"/>
      <c r="K2950" s="10"/>
      <c r="L2950" s="4" t="s">
        <v>52</v>
      </c>
      <c r="M2950" s="4">
        <v>2945</v>
      </c>
    </row>
    <row r="2951" spans="1:13" x14ac:dyDescent="0.25">
      <c r="A2951" s="4" t="s">
        <v>2631</v>
      </c>
      <c r="B2951" s="4" t="s">
        <v>389</v>
      </c>
      <c r="C2951" s="4" t="s">
        <v>65</v>
      </c>
      <c r="D2951" s="10">
        <v>40</v>
      </c>
      <c r="E2951" s="12" t="s">
        <v>66</v>
      </c>
      <c r="F2951" s="10">
        <v>900</v>
      </c>
      <c r="G2951" s="10">
        <v>0</v>
      </c>
      <c r="H2951" s="10">
        <f t="shared" si="46"/>
        <v>900</v>
      </c>
      <c r="I2951" s="10">
        <v>90</v>
      </c>
      <c r="J2951" s="10">
        <v>90</v>
      </c>
      <c r="K2951" s="10">
        <v>90</v>
      </c>
      <c r="L2951" s="4"/>
      <c r="M2951" s="4">
        <v>2946</v>
      </c>
    </row>
    <row r="2952" spans="1:13" x14ac:dyDescent="0.25">
      <c r="A2952" s="4" t="s">
        <v>2632</v>
      </c>
      <c r="B2952" s="4" t="s">
        <v>2633</v>
      </c>
      <c r="C2952" s="9" t="s">
        <v>50</v>
      </c>
      <c r="D2952" s="10">
        <v>59</v>
      </c>
      <c r="E2952" s="11" t="s">
        <v>51</v>
      </c>
      <c r="F2952" s="10">
        <v>2250</v>
      </c>
      <c r="G2952" s="10">
        <v>0</v>
      </c>
      <c r="H2952" s="10">
        <f t="shared" si="46"/>
        <v>2250</v>
      </c>
      <c r="I2952" s="10"/>
      <c r="J2952" s="10"/>
      <c r="K2952" s="10"/>
      <c r="L2952" s="4" t="s">
        <v>52</v>
      </c>
      <c r="M2952" s="4">
        <v>2947</v>
      </c>
    </row>
    <row r="2953" spans="1:13" x14ac:dyDescent="0.25">
      <c r="A2953" s="4" t="s">
        <v>2634</v>
      </c>
      <c r="B2953" s="4" t="s">
        <v>2635</v>
      </c>
      <c r="C2953" s="4" t="s">
        <v>65</v>
      </c>
      <c r="D2953" s="10">
        <v>703</v>
      </c>
      <c r="E2953" s="12" t="s">
        <v>66</v>
      </c>
      <c r="F2953" s="10">
        <v>3700</v>
      </c>
      <c r="G2953" s="10">
        <v>0</v>
      </c>
      <c r="H2953" s="10">
        <f t="shared" si="46"/>
        <v>3700</v>
      </c>
      <c r="I2953" s="10">
        <v>127.5862068965517</v>
      </c>
      <c r="J2953" s="10">
        <v>127.5862068965517</v>
      </c>
      <c r="K2953" s="10">
        <v>127.5862068965517</v>
      </c>
      <c r="L2953" s="4"/>
      <c r="M2953" s="4">
        <v>2948</v>
      </c>
    </row>
    <row r="2954" spans="1:13" x14ac:dyDescent="0.25">
      <c r="A2954" s="4" t="s">
        <v>2636</v>
      </c>
      <c r="B2954" s="4" t="s">
        <v>2637</v>
      </c>
      <c r="C2954" s="9" t="s">
        <v>50</v>
      </c>
      <c r="D2954" s="10">
        <v>103</v>
      </c>
      <c r="E2954" s="11" t="s">
        <v>51</v>
      </c>
      <c r="F2954" s="10"/>
      <c r="G2954" s="10">
        <v>0</v>
      </c>
      <c r="H2954" s="10">
        <f t="shared" si="46"/>
        <v>0</v>
      </c>
      <c r="I2954" s="10"/>
      <c r="J2954" s="10"/>
      <c r="K2954" s="10"/>
      <c r="L2954" s="4" t="s">
        <v>52</v>
      </c>
      <c r="M2954" s="4">
        <v>2949</v>
      </c>
    </row>
    <row r="2955" spans="1:13" x14ac:dyDescent="0.25">
      <c r="A2955" s="4" t="s">
        <v>2636</v>
      </c>
      <c r="B2955" s="4" t="s">
        <v>2638</v>
      </c>
      <c r="C2955" s="9" t="s">
        <v>50</v>
      </c>
      <c r="D2955" s="10">
        <v>34</v>
      </c>
      <c r="E2955" s="11" t="s">
        <v>51</v>
      </c>
      <c r="F2955" s="10"/>
      <c r="G2955" s="10">
        <v>0</v>
      </c>
      <c r="H2955" s="10">
        <f t="shared" si="46"/>
        <v>0</v>
      </c>
      <c r="I2955" s="10"/>
      <c r="J2955" s="10"/>
      <c r="K2955" s="10"/>
      <c r="L2955" s="4" t="s">
        <v>52</v>
      </c>
      <c r="M2955" s="4">
        <v>2950</v>
      </c>
    </row>
    <row r="2956" spans="1:13" x14ac:dyDescent="0.25">
      <c r="A2956" s="4" t="s">
        <v>2636</v>
      </c>
      <c r="B2956" s="4" t="s">
        <v>2639</v>
      </c>
      <c r="C2956" s="9" t="s">
        <v>50</v>
      </c>
      <c r="D2956" s="10"/>
      <c r="E2956" s="11" t="s">
        <v>51</v>
      </c>
      <c r="F2956" s="10"/>
      <c r="G2956" s="10">
        <v>0</v>
      </c>
      <c r="H2956" s="10">
        <f t="shared" si="46"/>
        <v>0</v>
      </c>
      <c r="I2956" s="10"/>
      <c r="J2956" s="10"/>
      <c r="K2956" s="10"/>
      <c r="L2956" s="4" t="s">
        <v>52</v>
      </c>
      <c r="M2956" s="4">
        <v>2951</v>
      </c>
    </row>
    <row r="2957" spans="1:13" x14ac:dyDescent="0.25">
      <c r="A2957" s="4" t="s">
        <v>2636</v>
      </c>
      <c r="B2957" s="4" t="s">
        <v>2640</v>
      </c>
      <c r="C2957" s="4" t="s">
        <v>68</v>
      </c>
      <c r="D2957" s="10">
        <v>20</v>
      </c>
      <c r="E2957" s="11" t="s">
        <v>51</v>
      </c>
      <c r="F2957" s="10"/>
      <c r="G2957" s="10">
        <v>0</v>
      </c>
      <c r="H2957" s="10">
        <f t="shared" si="46"/>
        <v>0</v>
      </c>
      <c r="I2957" s="10"/>
      <c r="J2957" s="10"/>
      <c r="K2957" s="10"/>
      <c r="L2957" s="4" t="s">
        <v>69</v>
      </c>
      <c r="M2957" s="4">
        <v>2952</v>
      </c>
    </row>
    <row r="2958" spans="1:13" x14ac:dyDescent="0.25">
      <c r="A2958" s="4" t="s">
        <v>2636</v>
      </c>
      <c r="B2958" s="4" t="s">
        <v>2641</v>
      </c>
      <c r="C2958" s="9" t="s">
        <v>50</v>
      </c>
      <c r="D2958" s="10">
        <v>410</v>
      </c>
      <c r="E2958" s="11" t="s">
        <v>51</v>
      </c>
      <c r="F2958" s="10">
        <v>24751</v>
      </c>
      <c r="G2958" s="10">
        <v>0</v>
      </c>
      <c r="H2958" s="10">
        <f t="shared" si="46"/>
        <v>24751</v>
      </c>
      <c r="I2958" s="10"/>
      <c r="J2958" s="10"/>
      <c r="K2958" s="10"/>
      <c r="L2958" s="4" t="s">
        <v>52</v>
      </c>
      <c r="M2958" s="4">
        <v>2953</v>
      </c>
    </row>
    <row r="2959" spans="1:13" x14ac:dyDescent="0.25">
      <c r="A2959" s="4" t="s">
        <v>2636</v>
      </c>
      <c r="B2959" s="4" t="s">
        <v>2642</v>
      </c>
      <c r="C2959" s="9" t="s">
        <v>50</v>
      </c>
      <c r="D2959" s="10">
        <v>246</v>
      </c>
      <c r="E2959" s="11" t="s">
        <v>51</v>
      </c>
      <c r="F2959" s="10">
        <v>15741</v>
      </c>
      <c r="G2959" s="10">
        <v>0</v>
      </c>
      <c r="H2959" s="10">
        <f t="shared" si="46"/>
        <v>15741</v>
      </c>
      <c r="I2959" s="10"/>
      <c r="J2959" s="10"/>
      <c r="K2959" s="10"/>
      <c r="L2959" s="4" t="s">
        <v>52</v>
      </c>
      <c r="M2959" s="4">
        <v>2954</v>
      </c>
    </row>
    <row r="2960" spans="1:13" x14ac:dyDescent="0.25">
      <c r="A2960" s="4" t="s">
        <v>2636</v>
      </c>
      <c r="B2960" s="4" t="s">
        <v>2643</v>
      </c>
      <c r="C2960" s="9" t="s">
        <v>50</v>
      </c>
      <c r="D2960" s="10">
        <v>202</v>
      </c>
      <c r="E2960" s="11" t="s">
        <v>51</v>
      </c>
      <c r="F2960" s="10">
        <v>13356</v>
      </c>
      <c r="G2960" s="10">
        <v>0</v>
      </c>
      <c r="H2960" s="10">
        <f t="shared" si="46"/>
        <v>13356</v>
      </c>
      <c r="I2960" s="10"/>
      <c r="J2960" s="10"/>
      <c r="K2960" s="10"/>
      <c r="L2960" s="4" t="s">
        <v>52</v>
      </c>
      <c r="M2960" s="4">
        <v>2955</v>
      </c>
    </row>
    <row r="2961" spans="1:13" x14ac:dyDescent="0.25">
      <c r="A2961" s="4" t="s">
        <v>2636</v>
      </c>
      <c r="B2961" s="4" t="s">
        <v>2644</v>
      </c>
      <c r="C2961" s="4" t="s">
        <v>65</v>
      </c>
      <c r="D2961" s="10">
        <v>80</v>
      </c>
      <c r="E2961" s="11" t="s">
        <v>51</v>
      </c>
      <c r="F2961" s="10"/>
      <c r="G2961" s="10">
        <v>0</v>
      </c>
      <c r="H2961" s="10">
        <f t="shared" si="46"/>
        <v>0</v>
      </c>
      <c r="I2961" s="10"/>
      <c r="J2961" s="10"/>
      <c r="K2961" s="10"/>
      <c r="L2961" s="4" t="s">
        <v>69</v>
      </c>
      <c r="M2961" s="4">
        <v>2956</v>
      </c>
    </row>
    <row r="2962" spans="1:13" x14ac:dyDescent="0.25">
      <c r="A2962" s="4" t="s">
        <v>2645</v>
      </c>
      <c r="B2962" s="4" t="s">
        <v>2646</v>
      </c>
      <c r="C2962" s="9" t="s">
        <v>50</v>
      </c>
      <c r="D2962" s="10">
        <v>160</v>
      </c>
      <c r="E2962" s="11" t="s">
        <v>51</v>
      </c>
      <c r="F2962" s="10">
        <v>6400</v>
      </c>
      <c r="G2962" s="10">
        <v>0</v>
      </c>
      <c r="H2962" s="10">
        <f t="shared" si="46"/>
        <v>6400</v>
      </c>
      <c r="I2962" s="10"/>
      <c r="J2962" s="10"/>
      <c r="K2962" s="10"/>
      <c r="L2962" s="4" t="s">
        <v>52</v>
      </c>
      <c r="M2962" s="4">
        <v>2957</v>
      </c>
    </row>
    <row r="2963" spans="1:13" x14ac:dyDescent="0.25">
      <c r="A2963" s="4" t="s">
        <v>2647</v>
      </c>
      <c r="B2963" s="4" t="s">
        <v>2648</v>
      </c>
      <c r="C2963" s="4" t="s">
        <v>68</v>
      </c>
      <c r="D2963" s="10">
        <v>50</v>
      </c>
      <c r="E2963" s="11" t="s">
        <v>51</v>
      </c>
      <c r="F2963" s="10">
        <v>5000</v>
      </c>
      <c r="G2963" s="10">
        <v>0</v>
      </c>
      <c r="H2963" s="10">
        <f t="shared" si="46"/>
        <v>5000</v>
      </c>
      <c r="I2963" s="10"/>
      <c r="J2963" s="10"/>
      <c r="K2963" s="10"/>
      <c r="L2963" s="4" t="s">
        <v>69</v>
      </c>
      <c r="M2963" s="4">
        <v>2958</v>
      </c>
    </row>
    <row r="2964" spans="1:13" x14ac:dyDescent="0.25">
      <c r="A2964" s="4" t="s">
        <v>2647</v>
      </c>
      <c r="B2964" s="4" t="s">
        <v>2649</v>
      </c>
      <c r="C2964" s="4" t="s">
        <v>68</v>
      </c>
      <c r="D2964" s="10">
        <v>85</v>
      </c>
      <c r="E2964" s="11" t="s">
        <v>51</v>
      </c>
      <c r="F2964" s="10">
        <v>1800</v>
      </c>
      <c r="G2964" s="10">
        <v>0</v>
      </c>
      <c r="H2964" s="10">
        <f t="shared" si="46"/>
        <v>1800</v>
      </c>
      <c r="I2964" s="10"/>
      <c r="J2964" s="10"/>
      <c r="K2964" s="10"/>
      <c r="L2964" s="4" t="s">
        <v>69</v>
      </c>
      <c r="M2964" s="4">
        <v>2959</v>
      </c>
    </row>
    <row r="2965" spans="1:13" x14ac:dyDescent="0.25">
      <c r="A2965" s="4" t="s">
        <v>2650</v>
      </c>
      <c r="B2965" s="4" t="s">
        <v>2651</v>
      </c>
      <c r="C2965" s="4" t="s">
        <v>65</v>
      </c>
      <c r="D2965" s="10">
        <v>30</v>
      </c>
      <c r="E2965" s="12" t="s">
        <v>66</v>
      </c>
      <c r="F2965" s="10">
        <v>2700</v>
      </c>
      <c r="G2965" s="10">
        <v>0</v>
      </c>
      <c r="H2965" s="10">
        <f t="shared" si="46"/>
        <v>2700</v>
      </c>
      <c r="I2965" s="10">
        <v>90</v>
      </c>
      <c r="J2965" s="10">
        <v>90</v>
      </c>
      <c r="K2965" s="10">
        <v>90</v>
      </c>
      <c r="L2965" s="4"/>
      <c r="M2965" s="4">
        <v>2960</v>
      </c>
    </row>
    <row r="2966" spans="1:13" x14ac:dyDescent="0.25">
      <c r="A2966" s="4" t="s">
        <v>2650</v>
      </c>
      <c r="B2966" s="4" t="s">
        <v>2652</v>
      </c>
      <c r="C2966" s="4" t="s">
        <v>65</v>
      </c>
      <c r="D2966" s="10">
        <v>178</v>
      </c>
      <c r="E2966" s="12" t="s">
        <v>66</v>
      </c>
      <c r="F2966" s="10">
        <v>2200</v>
      </c>
      <c r="G2966" s="10">
        <v>0</v>
      </c>
      <c r="H2966" s="10">
        <f t="shared" si="46"/>
        <v>2200</v>
      </c>
      <c r="I2966" s="10">
        <v>88</v>
      </c>
      <c r="J2966" s="10">
        <v>88</v>
      </c>
      <c r="K2966" s="10">
        <v>88</v>
      </c>
      <c r="L2966" s="4"/>
      <c r="M2966" s="4">
        <v>2961</v>
      </c>
    </row>
    <row r="2967" spans="1:13" x14ac:dyDescent="0.25">
      <c r="A2967" s="4" t="s">
        <v>2653</v>
      </c>
      <c r="B2967" s="4" t="s">
        <v>2654</v>
      </c>
      <c r="C2967" s="9" t="s">
        <v>50</v>
      </c>
      <c r="D2967" s="10">
        <v>63</v>
      </c>
      <c r="E2967" s="11" t="s">
        <v>51</v>
      </c>
      <c r="F2967" s="10">
        <v>6747.43</v>
      </c>
      <c r="G2967" s="10">
        <v>0</v>
      </c>
      <c r="H2967" s="10">
        <f t="shared" si="46"/>
        <v>6747.43</v>
      </c>
      <c r="I2967" s="10"/>
      <c r="J2967" s="10"/>
      <c r="K2967" s="10"/>
      <c r="L2967" s="4" t="s">
        <v>52</v>
      </c>
      <c r="M2967" s="4">
        <v>2962</v>
      </c>
    </row>
    <row r="2968" spans="1:13" x14ac:dyDescent="0.25">
      <c r="A2968" s="4" t="s">
        <v>2653</v>
      </c>
      <c r="B2968" s="4" t="s">
        <v>2322</v>
      </c>
      <c r="C2968" s="9" t="s">
        <v>50</v>
      </c>
      <c r="D2968" s="10">
        <v>120</v>
      </c>
      <c r="E2968" s="11" t="s">
        <v>51</v>
      </c>
      <c r="F2968" s="10">
        <v>9604.98</v>
      </c>
      <c r="G2968" s="10">
        <v>0</v>
      </c>
      <c r="H2968" s="10">
        <f t="shared" si="46"/>
        <v>9604.98</v>
      </c>
      <c r="I2968" s="10"/>
      <c r="J2968" s="10"/>
      <c r="K2968" s="10"/>
      <c r="L2968" s="4" t="s">
        <v>52</v>
      </c>
      <c r="M2968" s="4">
        <v>2963</v>
      </c>
    </row>
    <row r="2969" spans="1:13" x14ac:dyDescent="0.25">
      <c r="A2969" s="4" t="s">
        <v>2655</v>
      </c>
      <c r="B2969" s="4" t="s">
        <v>2656</v>
      </c>
      <c r="C2969" s="9" t="s">
        <v>50</v>
      </c>
      <c r="D2969" s="10">
        <v>166</v>
      </c>
      <c r="E2969" s="11" t="s">
        <v>51</v>
      </c>
      <c r="F2969" s="10">
        <v>3900</v>
      </c>
      <c r="G2969" s="10">
        <v>0</v>
      </c>
      <c r="H2969" s="10">
        <f t="shared" si="46"/>
        <v>3900</v>
      </c>
      <c r="I2969" s="10"/>
      <c r="J2969" s="10"/>
      <c r="K2969" s="10"/>
      <c r="L2969" s="4" t="s">
        <v>52</v>
      </c>
      <c r="M2969" s="4">
        <v>2964</v>
      </c>
    </row>
    <row r="2970" spans="1:13" x14ac:dyDescent="0.25">
      <c r="A2970" s="4" t="s">
        <v>2657</v>
      </c>
      <c r="B2970" s="4" t="s">
        <v>2658</v>
      </c>
      <c r="C2970" s="9" t="s">
        <v>50</v>
      </c>
      <c r="D2970" s="10">
        <v>112</v>
      </c>
      <c r="E2970" s="11" t="s">
        <v>51</v>
      </c>
      <c r="F2970" s="10">
        <v>8600</v>
      </c>
      <c r="G2970" s="10">
        <v>0</v>
      </c>
      <c r="H2970" s="10">
        <f t="shared" si="46"/>
        <v>8600</v>
      </c>
      <c r="I2970" s="10"/>
      <c r="J2970" s="10"/>
      <c r="K2970" s="10"/>
      <c r="L2970" s="4" t="s">
        <v>52</v>
      </c>
      <c r="M2970" s="4">
        <v>2965</v>
      </c>
    </row>
    <row r="2971" spans="1:13" x14ac:dyDescent="0.25">
      <c r="A2971" s="4" t="s">
        <v>2657</v>
      </c>
      <c r="B2971" s="4" t="s">
        <v>2659</v>
      </c>
      <c r="C2971" s="9" t="s">
        <v>50</v>
      </c>
      <c r="D2971" s="10">
        <v>75</v>
      </c>
      <c r="E2971" s="11" t="s">
        <v>51</v>
      </c>
      <c r="F2971" s="10">
        <v>6600</v>
      </c>
      <c r="G2971" s="10">
        <v>0</v>
      </c>
      <c r="H2971" s="10">
        <f t="shared" si="46"/>
        <v>6600</v>
      </c>
      <c r="I2971" s="10"/>
      <c r="J2971" s="10"/>
      <c r="K2971" s="10"/>
      <c r="L2971" s="4" t="s">
        <v>52</v>
      </c>
      <c r="M2971" s="4">
        <v>2966</v>
      </c>
    </row>
    <row r="2972" spans="1:13" x14ac:dyDescent="0.25">
      <c r="A2972" s="4" t="s">
        <v>2660</v>
      </c>
      <c r="B2972" s="4" t="s">
        <v>498</v>
      </c>
      <c r="C2972" s="9" t="s">
        <v>50</v>
      </c>
      <c r="D2972" s="10">
        <v>107</v>
      </c>
      <c r="E2972" s="11" t="s">
        <v>51</v>
      </c>
      <c r="F2972" s="10">
        <v>1425</v>
      </c>
      <c r="G2972" s="10">
        <v>0</v>
      </c>
      <c r="H2972" s="10">
        <f t="shared" si="46"/>
        <v>1425</v>
      </c>
      <c r="I2972" s="10"/>
      <c r="J2972" s="10"/>
      <c r="K2972" s="10"/>
      <c r="L2972" s="4" t="s">
        <v>52</v>
      </c>
      <c r="M2972" s="4">
        <v>2967</v>
      </c>
    </row>
    <row r="2973" spans="1:13" x14ac:dyDescent="0.25">
      <c r="A2973" s="4" t="s">
        <v>2661</v>
      </c>
      <c r="B2973" s="4" t="s">
        <v>2427</v>
      </c>
      <c r="C2973" s="9" t="s">
        <v>50</v>
      </c>
      <c r="D2973" s="10">
        <v>12</v>
      </c>
      <c r="E2973" s="11" t="s">
        <v>51</v>
      </c>
      <c r="F2973" s="10">
        <v>1020</v>
      </c>
      <c r="G2973" s="10">
        <v>0</v>
      </c>
      <c r="H2973" s="10">
        <f t="shared" si="46"/>
        <v>1020</v>
      </c>
      <c r="I2973" s="10"/>
      <c r="J2973" s="10"/>
      <c r="K2973" s="10"/>
      <c r="L2973" s="4" t="s">
        <v>52</v>
      </c>
      <c r="M2973" s="4">
        <v>2968</v>
      </c>
    </row>
    <row r="2974" spans="1:13" x14ac:dyDescent="0.25">
      <c r="A2974" s="4" t="s">
        <v>2661</v>
      </c>
      <c r="B2974" s="4" t="s">
        <v>1402</v>
      </c>
      <c r="C2974" s="9" t="s">
        <v>50</v>
      </c>
      <c r="D2974" s="10">
        <v>34</v>
      </c>
      <c r="E2974" s="11" t="s">
        <v>51</v>
      </c>
      <c r="F2974" s="10">
        <v>2900</v>
      </c>
      <c r="G2974" s="10">
        <v>0</v>
      </c>
      <c r="H2974" s="10">
        <f t="shared" si="46"/>
        <v>2900</v>
      </c>
      <c r="I2974" s="10"/>
      <c r="J2974" s="10"/>
      <c r="K2974" s="10"/>
      <c r="L2974" s="4" t="s">
        <v>52</v>
      </c>
      <c r="M2974" s="4">
        <v>2969</v>
      </c>
    </row>
    <row r="2975" spans="1:13" x14ac:dyDescent="0.25">
      <c r="A2975" s="4" t="s">
        <v>2661</v>
      </c>
      <c r="B2975" s="4" t="s">
        <v>421</v>
      </c>
      <c r="C2975" s="9" t="s">
        <v>50</v>
      </c>
      <c r="D2975" s="10">
        <v>30</v>
      </c>
      <c r="E2975" s="11" t="s">
        <v>51</v>
      </c>
      <c r="F2975" s="10">
        <v>2550</v>
      </c>
      <c r="G2975" s="10">
        <v>0</v>
      </c>
      <c r="H2975" s="10">
        <f t="shared" si="46"/>
        <v>2550</v>
      </c>
      <c r="I2975" s="10"/>
      <c r="J2975" s="10"/>
      <c r="K2975" s="10"/>
      <c r="L2975" s="4" t="s">
        <v>52</v>
      </c>
      <c r="M2975" s="4">
        <v>2970</v>
      </c>
    </row>
    <row r="2976" spans="1:13" x14ac:dyDescent="0.25">
      <c r="A2976" s="4" t="s">
        <v>2661</v>
      </c>
      <c r="B2976" s="4" t="s">
        <v>119</v>
      </c>
      <c r="C2976" s="9" t="s">
        <v>50</v>
      </c>
      <c r="D2976" s="10">
        <v>11</v>
      </c>
      <c r="E2976" s="11" t="s">
        <v>51</v>
      </c>
      <c r="F2976" s="10">
        <v>650</v>
      </c>
      <c r="G2976" s="10">
        <v>0</v>
      </c>
      <c r="H2976" s="10">
        <f t="shared" si="46"/>
        <v>650</v>
      </c>
      <c r="I2976" s="10"/>
      <c r="J2976" s="10"/>
      <c r="K2976" s="10"/>
      <c r="L2976" s="4" t="s">
        <v>52</v>
      </c>
      <c r="M2976" s="4">
        <v>2971</v>
      </c>
    </row>
    <row r="2977" spans="1:13" x14ac:dyDescent="0.25">
      <c r="A2977" s="4" t="s">
        <v>2661</v>
      </c>
      <c r="B2977" s="4" t="s">
        <v>118</v>
      </c>
      <c r="C2977" s="9" t="s">
        <v>50</v>
      </c>
      <c r="D2977" s="10">
        <v>49</v>
      </c>
      <c r="E2977" s="11" t="s">
        <v>51</v>
      </c>
      <c r="F2977" s="10">
        <v>300</v>
      </c>
      <c r="G2977" s="10">
        <v>0</v>
      </c>
      <c r="H2977" s="10">
        <f t="shared" si="46"/>
        <v>300</v>
      </c>
      <c r="I2977" s="10"/>
      <c r="J2977" s="10"/>
      <c r="K2977" s="10"/>
      <c r="L2977" s="4" t="s">
        <v>52</v>
      </c>
      <c r="M2977" s="4">
        <v>2972</v>
      </c>
    </row>
    <row r="2978" spans="1:13" x14ac:dyDescent="0.25">
      <c r="A2978" s="4" t="s">
        <v>2662</v>
      </c>
      <c r="B2978" s="4" t="s">
        <v>2663</v>
      </c>
      <c r="C2978" s="9" t="s">
        <v>50</v>
      </c>
      <c r="D2978" s="10">
        <v>385</v>
      </c>
      <c r="E2978" s="11" t="s">
        <v>51</v>
      </c>
      <c r="F2978" s="10">
        <v>3995.17</v>
      </c>
      <c r="G2978" s="10">
        <v>0</v>
      </c>
      <c r="H2978" s="10">
        <f t="shared" si="46"/>
        <v>3995.17</v>
      </c>
      <c r="I2978" s="10"/>
      <c r="J2978" s="10"/>
      <c r="K2978" s="10"/>
      <c r="L2978" s="4" t="s">
        <v>52</v>
      </c>
      <c r="M2978" s="4">
        <v>2973</v>
      </c>
    </row>
    <row r="2979" spans="1:13" x14ac:dyDescent="0.25">
      <c r="A2979" s="4" t="s">
        <v>2664</v>
      </c>
      <c r="B2979" s="4" t="s">
        <v>2665</v>
      </c>
      <c r="C2979" s="9" t="s">
        <v>50</v>
      </c>
      <c r="D2979" s="10">
        <v>366</v>
      </c>
      <c r="E2979" s="11" t="s">
        <v>51</v>
      </c>
      <c r="F2979" s="10">
        <v>28664.799999999999</v>
      </c>
      <c r="G2979" s="10">
        <v>0</v>
      </c>
      <c r="H2979" s="10">
        <f t="shared" si="46"/>
        <v>28664.799999999999</v>
      </c>
      <c r="I2979" s="10"/>
      <c r="J2979" s="10"/>
      <c r="K2979" s="10"/>
      <c r="L2979" s="4" t="s">
        <v>52</v>
      </c>
      <c r="M2979" s="4">
        <v>2974</v>
      </c>
    </row>
    <row r="2980" spans="1:13" x14ac:dyDescent="0.25">
      <c r="A2980" s="4" t="s">
        <v>2666</v>
      </c>
      <c r="B2980" s="4" t="s">
        <v>2667</v>
      </c>
      <c r="C2980" s="9" t="s">
        <v>50</v>
      </c>
      <c r="D2980" s="10">
        <v>141</v>
      </c>
      <c r="E2980" s="11" t="s">
        <v>51</v>
      </c>
      <c r="F2980" s="10">
        <v>2400</v>
      </c>
      <c r="G2980" s="10">
        <v>0</v>
      </c>
      <c r="H2980" s="10">
        <f t="shared" si="46"/>
        <v>2400</v>
      </c>
      <c r="I2980" s="10"/>
      <c r="J2980" s="10"/>
      <c r="K2980" s="10"/>
      <c r="L2980" s="4" t="s">
        <v>52</v>
      </c>
      <c r="M2980" s="4">
        <v>2975</v>
      </c>
    </row>
    <row r="2981" spans="1:13" x14ac:dyDescent="0.25">
      <c r="A2981" s="4" t="s">
        <v>2668</v>
      </c>
      <c r="B2981" s="4" t="s">
        <v>1671</v>
      </c>
      <c r="C2981" s="4" t="s">
        <v>65</v>
      </c>
      <c r="D2981" s="10">
        <v>36</v>
      </c>
      <c r="E2981" s="12" t="s">
        <v>66</v>
      </c>
      <c r="F2981" s="10">
        <v>4600</v>
      </c>
      <c r="G2981" s="10">
        <v>0</v>
      </c>
      <c r="H2981" s="10">
        <f t="shared" si="46"/>
        <v>4600</v>
      </c>
      <c r="I2981" s="10">
        <v>127.7777777777778</v>
      </c>
      <c r="J2981" s="10">
        <v>127.7777777777778</v>
      </c>
      <c r="K2981" s="10">
        <v>127.7777777777778</v>
      </c>
      <c r="L2981" s="4"/>
      <c r="M2981" s="4">
        <v>2976</v>
      </c>
    </row>
    <row r="2982" spans="1:13" x14ac:dyDescent="0.25">
      <c r="A2982" s="4" t="s">
        <v>2668</v>
      </c>
      <c r="B2982" s="4" t="s">
        <v>2669</v>
      </c>
      <c r="C2982" s="4" t="s">
        <v>68</v>
      </c>
      <c r="D2982" s="10">
        <v>60</v>
      </c>
      <c r="E2982" s="11" t="s">
        <v>51</v>
      </c>
      <c r="F2982" s="10">
        <v>10000</v>
      </c>
      <c r="G2982" s="10">
        <v>0</v>
      </c>
      <c r="H2982" s="10">
        <f t="shared" si="46"/>
        <v>10000</v>
      </c>
      <c r="I2982" s="10"/>
      <c r="J2982" s="10"/>
      <c r="K2982" s="10"/>
      <c r="L2982" s="4" t="s">
        <v>69</v>
      </c>
      <c r="M2982" s="4">
        <v>2977</v>
      </c>
    </row>
    <row r="2983" spans="1:13" x14ac:dyDescent="0.25">
      <c r="A2983" s="4" t="s">
        <v>2670</v>
      </c>
      <c r="B2983" s="4" t="s">
        <v>2671</v>
      </c>
      <c r="C2983" s="4" t="s">
        <v>68</v>
      </c>
      <c r="D2983" s="10">
        <v>154</v>
      </c>
      <c r="E2983" s="11" t="s">
        <v>51</v>
      </c>
      <c r="F2983" s="10">
        <v>7500</v>
      </c>
      <c r="G2983" s="10">
        <v>0</v>
      </c>
      <c r="H2983" s="10">
        <f t="shared" si="46"/>
        <v>7500</v>
      </c>
      <c r="I2983" s="10"/>
      <c r="J2983" s="10"/>
      <c r="K2983" s="10"/>
      <c r="L2983" s="4" t="s">
        <v>69</v>
      </c>
      <c r="M2983" s="4">
        <v>2978</v>
      </c>
    </row>
    <row r="2984" spans="1:13" x14ac:dyDescent="0.25">
      <c r="A2984" s="4" t="s">
        <v>2672</v>
      </c>
      <c r="B2984" s="4" t="s">
        <v>1402</v>
      </c>
      <c r="C2984" s="9" t="s">
        <v>50</v>
      </c>
      <c r="D2984" s="10">
        <v>74</v>
      </c>
      <c r="E2984" s="11" t="s">
        <v>51</v>
      </c>
      <c r="F2984" s="10">
        <v>7468.75</v>
      </c>
      <c r="G2984" s="10">
        <v>0</v>
      </c>
      <c r="H2984" s="10">
        <f t="shared" si="46"/>
        <v>7468.75</v>
      </c>
      <c r="I2984" s="10"/>
      <c r="J2984" s="10"/>
      <c r="K2984" s="10"/>
      <c r="L2984" s="4" t="s">
        <v>52</v>
      </c>
      <c r="M2984" s="4">
        <v>2979</v>
      </c>
    </row>
    <row r="2985" spans="1:13" x14ac:dyDescent="0.25">
      <c r="A2985" s="4" t="s">
        <v>2672</v>
      </c>
      <c r="B2985" s="4" t="s">
        <v>421</v>
      </c>
      <c r="C2985" s="9" t="s">
        <v>50</v>
      </c>
      <c r="D2985" s="10">
        <v>128</v>
      </c>
      <c r="E2985" s="11" t="s">
        <v>51</v>
      </c>
      <c r="F2985" s="10">
        <v>7600</v>
      </c>
      <c r="G2985" s="10">
        <v>0</v>
      </c>
      <c r="H2985" s="10">
        <f t="shared" si="46"/>
        <v>7600</v>
      </c>
      <c r="I2985" s="10"/>
      <c r="J2985" s="10"/>
      <c r="K2985" s="10"/>
      <c r="L2985" s="4" t="s">
        <v>52</v>
      </c>
      <c r="M2985" s="4">
        <v>2980</v>
      </c>
    </row>
    <row r="2986" spans="1:13" x14ac:dyDescent="0.25">
      <c r="A2986" s="4" t="s">
        <v>2673</v>
      </c>
      <c r="B2986" s="4" t="s">
        <v>2674</v>
      </c>
      <c r="C2986" s="4" t="s">
        <v>68</v>
      </c>
      <c r="D2986" s="10">
        <v>40</v>
      </c>
      <c r="E2986" s="11" t="s">
        <v>51</v>
      </c>
      <c r="F2986" s="10">
        <v>4400</v>
      </c>
      <c r="G2986" s="10">
        <v>0</v>
      </c>
      <c r="H2986" s="10">
        <f t="shared" si="46"/>
        <v>4400</v>
      </c>
      <c r="I2986" s="10"/>
      <c r="J2986" s="10"/>
      <c r="K2986" s="10"/>
      <c r="L2986" s="4" t="s">
        <v>69</v>
      </c>
      <c r="M2986" s="4">
        <v>2981</v>
      </c>
    </row>
    <row r="2987" spans="1:13" x14ac:dyDescent="0.25">
      <c r="A2987" s="4" t="s">
        <v>2673</v>
      </c>
      <c r="B2987" s="4" t="s">
        <v>2675</v>
      </c>
      <c r="C2987" s="4" t="s">
        <v>68</v>
      </c>
      <c r="D2987" s="10">
        <v>274</v>
      </c>
      <c r="E2987" s="11" t="s">
        <v>51</v>
      </c>
      <c r="F2987" s="10">
        <v>560</v>
      </c>
      <c r="G2987" s="10">
        <v>0</v>
      </c>
      <c r="H2987" s="10">
        <f t="shared" si="46"/>
        <v>560</v>
      </c>
      <c r="I2987" s="10"/>
      <c r="J2987" s="10"/>
      <c r="K2987" s="10"/>
      <c r="L2987" s="4" t="s">
        <v>69</v>
      </c>
      <c r="M2987" s="4">
        <v>2982</v>
      </c>
    </row>
    <row r="2988" spans="1:13" x14ac:dyDescent="0.25">
      <c r="A2988" s="4" t="s">
        <v>2676</v>
      </c>
      <c r="B2988" s="4" t="s">
        <v>2677</v>
      </c>
      <c r="C2988" s="9" t="s">
        <v>50</v>
      </c>
      <c r="D2988" s="10">
        <v>28</v>
      </c>
      <c r="E2988" s="11" t="s">
        <v>51</v>
      </c>
      <c r="F2988" s="10">
        <v>2660</v>
      </c>
      <c r="G2988" s="10">
        <v>0</v>
      </c>
      <c r="H2988" s="10">
        <f t="shared" si="46"/>
        <v>2660</v>
      </c>
      <c r="I2988" s="10"/>
      <c r="J2988" s="10"/>
      <c r="K2988" s="10"/>
      <c r="L2988" s="4" t="s">
        <v>52</v>
      </c>
      <c r="M2988" s="4">
        <v>2983</v>
      </c>
    </row>
    <row r="2989" spans="1:13" x14ac:dyDescent="0.25">
      <c r="A2989" s="4" t="s">
        <v>2676</v>
      </c>
      <c r="B2989" s="4" t="s">
        <v>1402</v>
      </c>
      <c r="C2989" s="9" t="s">
        <v>50</v>
      </c>
      <c r="D2989" s="10">
        <v>127</v>
      </c>
      <c r="E2989" s="11" t="s">
        <v>51</v>
      </c>
      <c r="F2989" s="10">
        <v>10900</v>
      </c>
      <c r="G2989" s="10">
        <v>0</v>
      </c>
      <c r="H2989" s="10">
        <f t="shared" si="46"/>
        <v>10900</v>
      </c>
      <c r="I2989" s="10"/>
      <c r="J2989" s="10"/>
      <c r="K2989" s="10"/>
      <c r="L2989" s="4" t="s">
        <v>52</v>
      </c>
      <c r="M2989" s="4">
        <v>2984</v>
      </c>
    </row>
    <row r="2990" spans="1:13" x14ac:dyDescent="0.25">
      <c r="A2990" s="4" t="s">
        <v>2676</v>
      </c>
      <c r="B2990" s="4" t="s">
        <v>421</v>
      </c>
      <c r="C2990" s="9" t="s">
        <v>50</v>
      </c>
      <c r="D2990" s="10">
        <v>86</v>
      </c>
      <c r="E2990" s="11" t="s">
        <v>51</v>
      </c>
      <c r="F2990" s="10">
        <v>8170</v>
      </c>
      <c r="G2990" s="10">
        <v>0</v>
      </c>
      <c r="H2990" s="10">
        <f t="shared" si="46"/>
        <v>8170</v>
      </c>
      <c r="I2990" s="10"/>
      <c r="J2990" s="10"/>
      <c r="K2990" s="10"/>
      <c r="L2990" s="4" t="s">
        <v>52</v>
      </c>
      <c r="M2990" s="4">
        <v>2985</v>
      </c>
    </row>
    <row r="2991" spans="1:13" x14ac:dyDescent="0.25">
      <c r="A2991" s="4" t="s">
        <v>2676</v>
      </c>
      <c r="B2991" s="4" t="s">
        <v>2678</v>
      </c>
      <c r="C2991" s="9" t="s">
        <v>50</v>
      </c>
      <c r="D2991" s="10">
        <v>159</v>
      </c>
      <c r="E2991" s="11" t="s">
        <v>51</v>
      </c>
      <c r="F2991" s="10">
        <v>2650</v>
      </c>
      <c r="G2991" s="10">
        <v>0</v>
      </c>
      <c r="H2991" s="10">
        <f t="shared" si="46"/>
        <v>2650</v>
      </c>
      <c r="I2991" s="10"/>
      <c r="J2991" s="10"/>
      <c r="K2991" s="10"/>
      <c r="L2991" s="4" t="s">
        <v>52</v>
      </c>
      <c r="M2991" s="4">
        <v>2986</v>
      </c>
    </row>
    <row r="2992" spans="1:13" x14ac:dyDescent="0.25">
      <c r="A2992" s="4" t="s">
        <v>2679</v>
      </c>
      <c r="B2992" s="4" t="s">
        <v>1402</v>
      </c>
      <c r="C2992" s="9" t="s">
        <v>50</v>
      </c>
      <c r="D2992" s="10">
        <v>79</v>
      </c>
      <c r="E2992" s="11" t="s">
        <v>51</v>
      </c>
      <c r="F2992" s="10">
        <v>6595</v>
      </c>
      <c r="G2992" s="10">
        <v>0</v>
      </c>
      <c r="H2992" s="10">
        <f t="shared" si="46"/>
        <v>6595</v>
      </c>
      <c r="I2992" s="10"/>
      <c r="J2992" s="10"/>
      <c r="K2992" s="10"/>
      <c r="L2992" s="4" t="s">
        <v>52</v>
      </c>
      <c r="M2992" s="4">
        <v>2987</v>
      </c>
    </row>
    <row r="2993" spans="1:13" x14ac:dyDescent="0.25">
      <c r="A2993" s="4" t="s">
        <v>2679</v>
      </c>
      <c r="B2993" s="4" t="s">
        <v>421</v>
      </c>
      <c r="C2993" s="9" t="s">
        <v>50</v>
      </c>
      <c r="D2993" s="10">
        <v>760</v>
      </c>
      <c r="E2993" s="11" t="s">
        <v>51</v>
      </c>
      <c r="F2993" s="10">
        <v>4675</v>
      </c>
      <c r="G2993" s="10">
        <v>0</v>
      </c>
      <c r="H2993" s="10">
        <f t="shared" si="46"/>
        <v>4675</v>
      </c>
      <c r="I2993" s="10"/>
      <c r="J2993" s="10"/>
      <c r="K2993" s="10"/>
      <c r="L2993" s="4" t="s">
        <v>52</v>
      </c>
      <c r="M2993" s="4">
        <v>2988</v>
      </c>
    </row>
    <row r="2994" spans="1:13" x14ac:dyDescent="0.25">
      <c r="A2994" s="4" t="s">
        <v>2680</v>
      </c>
      <c r="B2994" s="4" t="s">
        <v>2681</v>
      </c>
      <c r="C2994" s="9" t="s">
        <v>50</v>
      </c>
      <c r="D2994" s="10">
        <v>228</v>
      </c>
      <c r="E2994" s="11" t="s">
        <v>51</v>
      </c>
      <c r="F2994" s="10">
        <v>20520</v>
      </c>
      <c r="G2994" s="10">
        <v>0</v>
      </c>
      <c r="H2994" s="10">
        <f t="shared" si="46"/>
        <v>20520</v>
      </c>
      <c r="I2994" s="10"/>
      <c r="J2994" s="10"/>
      <c r="K2994" s="10"/>
      <c r="L2994" s="4" t="s">
        <v>52</v>
      </c>
      <c r="M2994" s="4">
        <v>2989</v>
      </c>
    </row>
    <row r="2995" spans="1:13" x14ac:dyDescent="0.25">
      <c r="A2995" s="4" t="s">
        <v>2680</v>
      </c>
      <c r="B2995" s="4" t="s">
        <v>2682</v>
      </c>
      <c r="C2995" s="9" t="s">
        <v>50</v>
      </c>
      <c r="D2995" s="10">
        <v>155</v>
      </c>
      <c r="E2995" s="11" t="s">
        <v>51</v>
      </c>
      <c r="F2995" s="10">
        <v>13950</v>
      </c>
      <c r="G2995" s="10">
        <v>0</v>
      </c>
      <c r="H2995" s="10">
        <f t="shared" si="46"/>
        <v>13950</v>
      </c>
      <c r="I2995" s="10"/>
      <c r="J2995" s="10"/>
      <c r="K2995" s="10"/>
      <c r="L2995" s="4" t="s">
        <v>52</v>
      </c>
      <c r="M2995" s="4">
        <v>2990</v>
      </c>
    </row>
    <row r="2996" spans="1:13" x14ac:dyDescent="0.25">
      <c r="A2996" s="4" t="s">
        <v>2680</v>
      </c>
      <c r="B2996" s="4" t="s">
        <v>2683</v>
      </c>
      <c r="C2996" s="9" t="s">
        <v>50</v>
      </c>
      <c r="D2996" s="10">
        <v>120</v>
      </c>
      <c r="E2996" s="11" t="s">
        <v>51</v>
      </c>
      <c r="F2996" s="10">
        <v>7560</v>
      </c>
      <c r="G2996" s="10">
        <v>0</v>
      </c>
      <c r="H2996" s="10">
        <f t="shared" si="46"/>
        <v>7560</v>
      </c>
      <c r="I2996" s="10"/>
      <c r="J2996" s="10"/>
      <c r="K2996" s="10"/>
      <c r="L2996" s="4" t="s">
        <v>52</v>
      </c>
      <c r="M2996" s="4">
        <v>2991</v>
      </c>
    </row>
    <row r="2997" spans="1:13" x14ac:dyDescent="0.25">
      <c r="A2997" s="4" t="s">
        <v>2680</v>
      </c>
      <c r="B2997" s="4" t="s">
        <v>2684</v>
      </c>
      <c r="C2997" s="9" t="s">
        <v>50</v>
      </c>
      <c r="D2997" s="10">
        <v>130</v>
      </c>
      <c r="E2997" s="11" t="s">
        <v>51</v>
      </c>
      <c r="F2997" s="10">
        <v>11700</v>
      </c>
      <c r="G2997" s="10">
        <v>0</v>
      </c>
      <c r="H2997" s="10">
        <f t="shared" si="46"/>
        <v>11700</v>
      </c>
      <c r="I2997" s="10"/>
      <c r="J2997" s="10"/>
      <c r="K2997" s="10"/>
      <c r="L2997" s="4" t="s">
        <v>52</v>
      </c>
      <c r="M2997" s="4">
        <v>2992</v>
      </c>
    </row>
    <row r="2998" spans="1:13" x14ac:dyDescent="0.25">
      <c r="A2998" s="4" t="s">
        <v>2680</v>
      </c>
      <c r="B2998" s="4" t="s">
        <v>2685</v>
      </c>
      <c r="C2998" s="9" t="s">
        <v>50</v>
      </c>
      <c r="D2998" s="10">
        <v>24</v>
      </c>
      <c r="E2998" s="11" t="s">
        <v>51</v>
      </c>
      <c r="F2998" s="10">
        <v>1512</v>
      </c>
      <c r="G2998" s="10">
        <v>0</v>
      </c>
      <c r="H2998" s="10">
        <f t="shared" si="46"/>
        <v>1512</v>
      </c>
      <c r="I2998" s="10"/>
      <c r="J2998" s="10"/>
      <c r="K2998" s="10"/>
      <c r="L2998" s="4" t="s">
        <v>52</v>
      </c>
      <c r="M2998" s="4">
        <v>2993</v>
      </c>
    </row>
    <row r="2999" spans="1:13" x14ac:dyDescent="0.25">
      <c r="A2999" s="4" t="s">
        <v>2680</v>
      </c>
      <c r="B2999" s="4" t="s">
        <v>2686</v>
      </c>
      <c r="C2999" s="4" t="s">
        <v>68</v>
      </c>
      <c r="D2999" s="10">
        <v>83</v>
      </c>
      <c r="E2999" s="11" t="s">
        <v>51</v>
      </c>
      <c r="F2999" s="10">
        <v>4320</v>
      </c>
      <c r="G2999" s="10">
        <v>0</v>
      </c>
      <c r="H2999" s="10">
        <f t="shared" si="46"/>
        <v>4320</v>
      </c>
      <c r="I2999" s="10"/>
      <c r="J2999" s="10"/>
      <c r="K2999" s="10"/>
      <c r="L2999" s="4" t="s">
        <v>69</v>
      </c>
      <c r="M2999" s="4">
        <v>2994</v>
      </c>
    </row>
    <row r="3000" spans="1:13" x14ac:dyDescent="0.25">
      <c r="A3000" s="4" t="s">
        <v>2687</v>
      </c>
      <c r="B3000" s="4" t="s">
        <v>119</v>
      </c>
      <c r="C3000" s="9" t="s">
        <v>50</v>
      </c>
      <c r="D3000" s="10">
        <v>40.5</v>
      </c>
      <c r="E3000" s="11" t="s">
        <v>51</v>
      </c>
      <c r="F3000" s="10">
        <v>2762.5</v>
      </c>
      <c r="G3000" s="10">
        <v>0</v>
      </c>
      <c r="H3000" s="10">
        <f t="shared" si="46"/>
        <v>2762.5</v>
      </c>
      <c r="I3000" s="10"/>
      <c r="J3000" s="10"/>
      <c r="K3000" s="10"/>
      <c r="L3000" s="4" t="s">
        <v>52</v>
      </c>
      <c r="M3000" s="4">
        <v>2995</v>
      </c>
    </row>
    <row r="3001" spans="1:13" x14ac:dyDescent="0.25">
      <c r="A3001" s="4" t="s">
        <v>2687</v>
      </c>
      <c r="B3001" s="4" t="s">
        <v>118</v>
      </c>
      <c r="C3001" s="9" t="s">
        <v>50</v>
      </c>
      <c r="D3001" s="10">
        <v>40.5</v>
      </c>
      <c r="E3001" s="11" t="s">
        <v>51</v>
      </c>
      <c r="F3001" s="10">
        <v>2710</v>
      </c>
      <c r="G3001" s="10">
        <v>0</v>
      </c>
      <c r="H3001" s="10">
        <f t="shared" si="46"/>
        <v>2710</v>
      </c>
      <c r="I3001" s="10"/>
      <c r="J3001" s="10"/>
      <c r="K3001" s="10"/>
      <c r="L3001" s="4" t="s">
        <v>52</v>
      </c>
      <c r="M3001" s="4">
        <v>2996</v>
      </c>
    </row>
    <row r="3002" spans="1:13" x14ac:dyDescent="0.25">
      <c r="A3002" s="4" t="s">
        <v>2687</v>
      </c>
      <c r="B3002" s="4" t="s">
        <v>2688</v>
      </c>
      <c r="C3002" s="9" t="s">
        <v>50</v>
      </c>
      <c r="D3002" s="10">
        <v>44</v>
      </c>
      <c r="E3002" s="11" t="s">
        <v>51</v>
      </c>
      <c r="F3002" s="10">
        <v>150</v>
      </c>
      <c r="G3002" s="10">
        <v>0</v>
      </c>
      <c r="H3002" s="10">
        <f t="shared" si="46"/>
        <v>150</v>
      </c>
      <c r="I3002" s="10"/>
      <c r="J3002" s="10"/>
      <c r="K3002" s="10"/>
      <c r="L3002" s="4" t="s">
        <v>52</v>
      </c>
      <c r="M3002" s="4">
        <v>2997</v>
      </c>
    </row>
    <row r="3003" spans="1:13" x14ac:dyDescent="0.25">
      <c r="A3003" s="4" t="s">
        <v>2689</v>
      </c>
      <c r="B3003" s="4" t="s">
        <v>2608</v>
      </c>
      <c r="C3003" s="9" t="s">
        <v>50</v>
      </c>
      <c r="D3003" s="10">
        <v>18</v>
      </c>
      <c r="E3003" s="11" t="s">
        <v>51</v>
      </c>
      <c r="F3003" s="10">
        <v>1694.16</v>
      </c>
      <c r="G3003" s="10">
        <v>0</v>
      </c>
      <c r="H3003" s="10">
        <f t="shared" si="46"/>
        <v>1694.16</v>
      </c>
      <c r="I3003" s="10"/>
      <c r="J3003" s="10"/>
      <c r="K3003" s="10"/>
      <c r="L3003" s="4" t="s">
        <v>52</v>
      </c>
      <c r="M3003" s="4">
        <v>2998</v>
      </c>
    </row>
    <row r="3004" spans="1:13" x14ac:dyDescent="0.25">
      <c r="A3004" s="4" t="s">
        <v>2689</v>
      </c>
      <c r="B3004" s="4" t="s">
        <v>2322</v>
      </c>
      <c r="C3004" s="9" t="s">
        <v>50</v>
      </c>
      <c r="D3004" s="10">
        <v>984</v>
      </c>
      <c r="E3004" s="11" t="s">
        <v>51</v>
      </c>
      <c r="F3004" s="10">
        <v>2258.88</v>
      </c>
      <c r="G3004" s="10">
        <v>0</v>
      </c>
      <c r="H3004" s="10">
        <f t="shared" si="46"/>
        <v>2258.88</v>
      </c>
      <c r="I3004" s="10"/>
      <c r="J3004" s="10"/>
      <c r="K3004" s="10"/>
      <c r="L3004" s="4" t="s">
        <v>52</v>
      </c>
      <c r="M3004" s="4">
        <v>2999</v>
      </c>
    </row>
    <row r="3005" spans="1:13" x14ac:dyDescent="0.25">
      <c r="A3005" s="4" t="s">
        <v>2690</v>
      </c>
      <c r="B3005" s="4" t="s">
        <v>2691</v>
      </c>
      <c r="C3005" s="4" t="s">
        <v>68</v>
      </c>
      <c r="D3005" s="10">
        <v>360</v>
      </c>
      <c r="E3005" s="11" t="s">
        <v>51</v>
      </c>
      <c r="F3005" s="10">
        <v>34200</v>
      </c>
      <c r="G3005" s="10">
        <v>0</v>
      </c>
      <c r="H3005" s="10">
        <f t="shared" si="46"/>
        <v>34200</v>
      </c>
      <c r="I3005" s="10"/>
      <c r="J3005" s="10"/>
      <c r="K3005" s="10"/>
      <c r="L3005" s="4" t="s">
        <v>69</v>
      </c>
      <c r="M3005" s="4">
        <v>3000</v>
      </c>
    </row>
    <row r="3006" spans="1:13" x14ac:dyDescent="0.25">
      <c r="A3006" s="4" t="s">
        <v>2690</v>
      </c>
      <c r="B3006" s="4" t="s">
        <v>2692</v>
      </c>
      <c r="C3006" s="4" t="s">
        <v>68</v>
      </c>
      <c r="D3006" s="10">
        <v>120</v>
      </c>
      <c r="E3006" s="11" t="s">
        <v>51</v>
      </c>
      <c r="F3006" s="10">
        <v>11400</v>
      </c>
      <c r="G3006" s="10">
        <v>0</v>
      </c>
      <c r="H3006" s="10">
        <f t="shared" si="46"/>
        <v>11400</v>
      </c>
      <c r="I3006" s="10"/>
      <c r="J3006" s="10"/>
      <c r="K3006" s="10"/>
      <c r="L3006" s="4" t="s">
        <v>69</v>
      </c>
      <c r="M3006" s="4">
        <v>3001</v>
      </c>
    </row>
    <row r="3007" spans="1:13" x14ac:dyDescent="0.25">
      <c r="A3007" s="4" t="s">
        <v>2690</v>
      </c>
      <c r="B3007" s="4" t="s">
        <v>2693</v>
      </c>
      <c r="C3007" s="4" t="s">
        <v>68</v>
      </c>
      <c r="D3007" s="10">
        <v>360</v>
      </c>
      <c r="E3007" s="11" t="s">
        <v>51</v>
      </c>
      <c r="F3007" s="10">
        <v>34200</v>
      </c>
      <c r="G3007" s="10">
        <v>0</v>
      </c>
      <c r="H3007" s="10">
        <f t="shared" si="46"/>
        <v>34200</v>
      </c>
      <c r="I3007" s="10"/>
      <c r="J3007" s="10"/>
      <c r="K3007" s="10"/>
      <c r="L3007" s="4" t="s">
        <v>69</v>
      </c>
      <c r="M3007" s="4">
        <v>3002</v>
      </c>
    </row>
    <row r="3008" spans="1:13" x14ac:dyDescent="0.25">
      <c r="A3008" s="4" t="s">
        <v>2690</v>
      </c>
      <c r="B3008" s="4" t="s">
        <v>2694</v>
      </c>
      <c r="C3008" s="4" t="s">
        <v>68</v>
      </c>
      <c r="D3008" s="10">
        <v>1440</v>
      </c>
      <c r="E3008" s="11" t="s">
        <v>51</v>
      </c>
      <c r="F3008" s="10">
        <v>11400</v>
      </c>
      <c r="G3008" s="10">
        <v>0</v>
      </c>
      <c r="H3008" s="10">
        <f t="shared" si="46"/>
        <v>11400</v>
      </c>
      <c r="I3008" s="10"/>
      <c r="J3008" s="10"/>
      <c r="K3008" s="10"/>
      <c r="L3008" s="4" t="s">
        <v>69</v>
      </c>
      <c r="M3008" s="4">
        <v>3003</v>
      </c>
    </row>
    <row r="3009" spans="1:13" x14ac:dyDescent="0.25">
      <c r="A3009" s="4" t="s">
        <v>2695</v>
      </c>
      <c r="B3009" s="4" t="s">
        <v>2696</v>
      </c>
      <c r="C3009" s="4" t="s">
        <v>68</v>
      </c>
      <c r="D3009" s="10">
        <v>540</v>
      </c>
      <c r="E3009" s="11" t="s">
        <v>51</v>
      </c>
      <c r="F3009" s="10">
        <v>51300</v>
      </c>
      <c r="G3009" s="10">
        <v>0</v>
      </c>
      <c r="H3009" s="10">
        <f t="shared" si="46"/>
        <v>51300</v>
      </c>
      <c r="I3009" s="10"/>
      <c r="J3009" s="10"/>
      <c r="K3009" s="10"/>
      <c r="L3009" s="4" t="s">
        <v>69</v>
      </c>
      <c r="M3009" s="4">
        <v>3004</v>
      </c>
    </row>
    <row r="3010" spans="1:13" x14ac:dyDescent="0.25">
      <c r="A3010" s="4" t="s">
        <v>2695</v>
      </c>
      <c r="B3010" s="4" t="s">
        <v>2697</v>
      </c>
      <c r="C3010" s="4" t="s">
        <v>68</v>
      </c>
      <c r="D3010" s="10">
        <v>120</v>
      </c>
      <c r="E3010" s="11" t="s">
        <v>51</v>
      </c>
      <c r="F3010" s="10">
        <v>11400</v>
      </c>
      <c r="G3010" s="10">
        <v>0</v>
      </c>
      <c r="H3010" s="10">
        <f t="shared" si="46"/>
        <v>11400</v>
      </c>
      <c r="I3010" s="10"/>
      <c r="J3010" s="10"/>
      <c r="K3010" s="10"/>
      <c r="L3010" s="4" t="s">
        <v>69</v>
      </c>
      <c r="M3010" s="4">
        <v>3005</v>
      </c>
    </row>
    <row r="3011" spans="1:13" x14ac:dyDescent="0.25">
      <c r="A3011" s="4" t="s">
        <v>2695</v>
      </c>
      <c r="B3011" s="4" t="s">
        <v>2693</v>
      </c>
      <c r="C3011" s="4" t="s">
        <v>68</v>
      </c>
      <c r="D3011" s="10">
        <v>540</v>
      </c>
      <c r="E3011" s="11" t="s">
        <v>51</v>
      </c>
      <c r="F3011" s="10">
        <v>51300</v>
      </c>
      <c r="G3011" s="10">
        <v>0</v>
      </c>
      <c r="H3011" s="10">
        <f t="shared" si="46"/>
        <v>51300</v>
      </c>
      <c r="I3011" s="10"/>
      <c r="J3011" s="10"/>
      <c r="K3011" s="10"/>
      <c r="L3011" s="4" t="s">
        <v>69</v>
      </c>
      <c r="M3011" s="4">
        <v>3006</v>
      </c>
    </row>
    <row r="3012" spans="1:13" x14ac:dyDescent="0.25">
      <c r="A3012" s="4" t="s">
        <v>2695</v>
      </c>
      <c r="B3012" s="4" t="s">
        <v>2698</v>
      </c>
      <c r="C3012" s="4" t="s">
        <v>68</v>
      </c>
      <c r="D3012" s="10">
        <v>156</v>
      </c>
      <c r="E3012" s="11" t="s">
        <v>51</v>
      </c>
      <c r="F3012" s="10">
        <v>11400</v>
      </c>
      <c r="G3012" s="10">
        <v>0</v>
      </c>
      <c r="H3012" s="10">
        <f t="shared" si="46"/>
        <v>11400</v>
      </c>
      <c r="I3012" s="10"/>
      <c r="J3012" s="10"/>
      <c r="K3012" s="10"/>
      <c r="L3012" s="4" t="s">
        <v>69</v>
      </c>
      <c r="M3012" s="4">
        <v>3007</v>
      </c>
    </row>
    <row r="3013" spans="1:13" x14ac:dyDescent="0.25">
      <c r="A3013" s="4" t="s">
        <v>2699</v>
      </c>
      <c r="B3013" s="4" t="s">
        <v>2700</v>
      </c>
      <c r="C3013" s="4" t="s">
        <v>65</v>
      </c>
      <c r="D3013" s="10">
        <v>36</v>
      </c>
      <c r="E3013" s="12" t="s">
        <v>66</v>
      </c>
      <c r="F3013" s="10">
        <v>2300</v>
      </c>
      <c r="G3013" s="10">
        <v>0</v>
      </c>
      <c r="H3013" s="10">
        <f t="shared" si="46"/>
        <v>2300</v>
      </c>
      <c r="I3013" s="10">
        <v>63.888888888888893</v>
      </c>
      <c r="J3013" s="10">
        <v>63.888888888888893</v>
      </c>
      <c r="K3013" s="10">
        <v>63.888888888888893</v>
      </c>
      <c r="L3013" s="4"/>
      <c r="M3013" s="4">
        <v>3008</v>
      </c>
    </row>
    <row r="3014" spans="1:13" x14ac:dyDescent="0.25">
      <c r="A3014" s="4" t="s">
        <v>2701</v>
      </c>
      <c r="B3014" s="4" t="s">
        <v>2702</v>
      </c>
      <c r="C3014" s="4" t="s">
        <v>65</v>
      </c>
      <c r="D3014" s="10">
        <v>35</v>
      </c>
      <c r="E3014" s="11" t="s">
        <v>51</v>
      </c>
      <c r="F3014" s="10">
        <v>2300</v>
      </c>
      <c r="G3014" s="10">
        <v>0</v>
      </c>
      <c r="H3014" s="10">
        <f t="shared" ref="H3014:H3077" si="47">F3014-G3014</f>
        <v>2300</v>
      </c>
      <c r="I3014" s="10"/>
      <c r="J3014" s="10"/>
      <c r="K3014" s="10"/>
      <c r="L3014" s="4" t="s">
        <v>69</v>
      </c>
      <c r="M3014" s="4">
        <v>3009</v>
      </c>
    </row>
    <row r="3015" spans="1:13" x14ac:dyDescent="0.25">
      <c r="A3015" s="4" t="s">
        <v>2703</v>
      </c>
      <c r="B3015" s="4" t="s">
        <v>2700</v>
      </c>
      <c r="C3015" s="4" t="s">
        <v>65</v>
      </c>
      <c r="D3015" s="10">
        <v>35</v>
      </c>
      <c r="E3015" s="12" t="s">
        <v>66</v>
      </c>
      <c r="F3015" s="10">
        <v>2300</v>
      </c>
      <c r="G3015" s="10">
        <v>0</v>
      </c>
      <c r="H3015" s="10">
        <f t="shared" si="47"/>
        <v>2300</v>
      </c>
      <c r="I3015" s="10">
        <v>65.714285714285708</v>
      </c>
      <c r="J3015" s="10">
        <v>65.714285714285708</v>
      </c>
      <c r="K3015" s="10">
        <v>65.714285714285708</v>
      </c>
      <c r="L3015" s="4"/>
      <c r="M3015" s="4">
        <v>3010</v>
      </c>
    </row>
    <row r="3016" spans="1:13" x14ac:dyDescent="0.25">
      <c r="A3016" s="4" t="s">
        <v>2704</v>
      </c>
      <c r="B3016" s="4" t="s">
        <v>2705</v>
      </c>
      <c r="C3016" s="4" t="s">
        <v>65</v>
      </c>
      <c r="D3016" s="10">
        <v>660</v>
      </c>
      <c r="E3016" s="12" t="s">
        <v>66</v>
      </c>
      <c r="F3016" s="10">
        <v>2300</v>
      </c>
      <c r="G3016" s="10">
        <v>0</v>
      </c>
      <c r="H3016" s="10">
        <f t="shared" si="47"/>
        <v>2300</v>
      </c>
      <c r="I3016" s="10">
        <v>65.714285714285708</v>
      </c>
      <c r="J3016" s="10">
        <v>65.714285714285708</v>
      </c>
      <c r="K3016" s="10">
        <v>65.714285714285708</v>
      </c>
      <c r="L3016" s="4"/>
      <c r="M3016" s="4">
        <v>3011</v>
      </c>
    </row>
    <row r="3017" spans="1:13" x14ac:dyDescent="0.25">
      <c r="A3017" s="4" t="s">
        <v>2706</v>
      </c>
      <c r="B3017" s="4" t="s">
        <v>2707</v>
      </c>
      <c r="C3017" s="4" t="s">
        <v>68</v>
      </c>
      <c r="D3017" s="10">
        <v>540</v>
      </c>
      <c r="E3017" s="11" t="s">
        <v>51</v>
      </c>
      <c r="F3017" s="10">
        <v>51300</v>
      </c>
      <c r="G3017" s="10">
        <v>0</v>
      </c>
      <c r="H3017" s="10">
        <f t="shared" si="47"/>
        <v>51300</v>
      </c>
      <c r="I3017" s="10"/>
      <c r="J3017" s="10"/>
      <c r="K3017" s="10"/>
      <c r="L3017" s="4" t="s">
        <v>69</v>
      </c>
      <c r="M3017" s="4">
        <v>3012</v>
      </c>
    </row>
    <row r="3018" spans="1:13" x14ac:dyDescent="0.25">
      <c r="A3018" s="4" t="s">
        <v>2706</v>
      </c>
      <c r="B3018" s="4" t="s">
        <v>2708</v>
      </c>
      <c r="C3018" s="4" t="s">
        <v>68</v>
      </c>
      <c r="D3018" s="10">
        <v>120</v>
      </c>
      <c r="E3018" s="11" t="s">
        <v>51</v>
      </c>
      <c r="F3018" s="10">
        <v>11400</v>
      </c>
      <c r="G3018" s="10">
        <v>0</v>
      </c>
      <c r="H3018" s="10">
        <f t="shared" si="47"/>
        <v>11400</v>
      </c>
      <c r="I3018" s="10"/>
      <c r="J3018" s="10"/>
      <c r="K3018" s="10"/>
      <c r="L3018" s="4" t="s">
        <v>69</v>
      </c>
      <c r="M3018" s="4">
        <v>3013</v>
      </c>
    </row>
    <row r="3019" spans="1:13" x14ac:dyDescent="0.25">
      <c r="A3019" s="4" t="s">
        <v>2709</v>
      </c>
      <c r="B3019" s="4" t="s">
        <v>2710</v>
      </c>
      <c r="C3019" s="9" t="s">
        <v>50</v>
      </c>
      <c r="D3019" s="10">
        <v>840</v>
      </c>
      <c r="E3019" s="11" t="s">
        <v>51</v>
      </c>
      <c r="F3019" s="10">
        <v>2430</v>
      </c>
      <c r="G3019" s="10">
        <v>0</v>
      </c>
      <c r="H3019" s="10">
        <f t="shared" si="47"/>
        <v>2430</v>
      </c>
      <c r="I3019" s="10"/>
      <c r="J3019" s="10"/>
      <c r="K3019" s="10"/>
      <c r="L3019" s="4" t="s">
        <v>52</v>
      </c>
      <c r="M3019" s="4">
        <v>3014</v>
      </c>
    </row>
    <row r="3020" spans="1:13" x14ac:dyDescent="0.25">
      <c r="A3020" s="4" t="s">
        <v>2711</v>
      </c>
      <c r="B3020" s="4" t="s">
        <v>2693</v>
      </c>
      <c r="C3020" s="4" t="s">
        <v>68</v>
      </c>
      <c r="D3020" s="10">
        <v>300</v>
      </c>
      <c r="E3020" s="11" t="s">
        <v>51</v>
      </c>
      <c r="F3020" s="10">
        <v>28500</v>
      </c>
      <c r="G3020" s="10">
        <v>0</v>
      </c>
      <c r="H3020" s="10">
        <f t="shared" si="47"/>
        <v>28500</v>
      </c>
      <c r="I3020" s="10"/>
      <c r="J3020" s="10"/>
      <c r="K3020" s="10"/>
      <c r="L3020" s="4" t="s">
        <v>69</v>
      </c>
      <c r="M3020" s="4">
        <v>3015</v>
      </c>
    </row>
    <row r="3021" spans="1:13" x14ac:dyDescent="0.25">
      <c r="A3021" s="4" t="s">
        <v>2711</v>
      </c>
      <c r="B3021" s="4" t="s">
        <v>1501</v>
      </c>
      <c r="C3021" s="4" t="s">
        <v>68</v>
      </c>
      <c r="D3021" s="10">
        <v>300</v>
      </c>
      <c r="E3021" s="11" t="s">
        <v>51</v>
      </c>
      <c r="F3021" s="10">
        <v>28500</v>
      </c>
      <c r="G3021" s="10">
        <v>0</v>
      </c>
      <c r="H3021" s="10">
        <f t="shared" si="47"/>
        <v>28500</v>
      </c>
      <c r="I3021" s="10"/>
      <c r="J3021" s="10"/>
      <c r="K3021" s="10"/>
      <c r="L3021" s="4" t="s">
        <v>69</v>
      </c>
      <c r="M3021" s="4">
        <v>3016</v>
      </c>
    </row>
    <row r="3022" spans="1:13" x14ac:dyDescent="0.25">
      <c r="A3022" s="4" t="s">
        <v>2711</v>
      </c>
      <c r="B3022" s="4" t="s">
        <v>2698</v>
      </c>
      <c r="C3022" s="4" t="s">
        <v>68</v>
      </c>
      <c r="D3022" s="10">
        <v>120</v>
      </c>
      <c r="E3022" s="11" t="s">
        <v>51</v>
      </c>
      <c r="F3022" s="10">
        <v>11400</v>
      </c>
      <c r="G3022" s="10">
        <v>0</v>
      </c>
      <c r="H3022" s="10">
        <f t="shared" si="47"/>
        <v>11400</v>
      </c>
      <c r="I3022" s="10"/>
      <c r="J3022" s="10"/>
      <c r="K3022" s="10"/>
      <c r="L3022" s="4" t="s">
        <v>69</v>
      </c>
      <c r="M3022" s="4">
        <v>3017</v>
      </c>
    </row>
    <row r="3023" spans="1:13" x14ac:dyDescent="0.25">
      <c r="A3023" s="4" t="s">
        <v>2711</v>
      </c>
      <c r="B3023" s="4" t="s">
        <v>2712</v>
      </c>
      <c r="C3023" s="4" t="s">
        <v>68</v>
      </c>
      <c r="D3023" s="10">
        <v>160</v>
      </c>
      <c r="E3023" s="11" t="s">
        <v>51</v>
      </c>
      <c r="F3023" s="10">
        <v>11400</v>
      </c>
      <c r="G3023" s="10">
        <v>0</v>
      </c>
      <c r="H3023" s="10">
        <f t="shared" si="47"/>
        <v>11400</v>
      </c>
      <c r="I3023" s="10"/>
      <c r="J3023" s="10"/>
      <c r="K3023" s="10"/>
      <c r="L3023" s="4" t="s">
        <v>69</v>
      </c>
      <c r="M3023" s="4">
        <v>3018</v>
      </c>
    </row>
    <row r="3024" spans="1:13" x14ac:dyDescent="0.25">
      <c r="A3024" s="4" t="s">
        <v>2713</v>
      </c>
      <c r="B3024" s="4" t="s">
        <v>2714</v>
      </c>
      <c r="C3024" s="4" t="s">
        <v>68</v>
      </c>
      <c r="D3024" s="10">
        <v>96</v>
      </c>
      <c r="E3024" s="11" t="s">
        <v>51</v>
      </c>
      <c r="F3024" s="10">
        <v>3400</v>
      </c>
      <c r="G3024" s="10">
        <v>0</v>
      </c>
      <c r="H3024" s="10">
        <f t="shared" si="47"/>
        <v>3400</v>
      </c>
      <c r="I3024" s="10"/>
      <c r="J3024" s="10"/>
      <c r="K3024" s="10"/>
      <c r="L3024" s="4" t="s">
        <v>69</v>
      </c>
      <c r="M3024" s="4">
        <v>3019</v>
      </c>
    </row>
    <row r="3025" spans="1:13" x14ac:dyDescent="0.25">
      <c r="A3025" s="4" t="s">
        <v>2715</v>
      </c>
      <c r="B3025" s="4" t="s">
        <v>2716</v>
      </c>
      <c r="C3025" s="9" t="s">
        <v>50</v>
      </c>
      <c r="D3025" s="10">
        <v>12</v>
      </c>
      <c r="E3025" s="11" t="s">
        <v>51</v>
      </c>
      <c r="F3025" s="10">
        <v>1129.44</v>
      </c>
      <c r="G3025" s="10">
        <v>0</v>
      </c>
      <c r="H3025" s="10">
        <f t="shared" si="47"/>
        <v>1129.44</v>
      </c>
      <c r="I3025" s="10"/>
      <c r="J3025" s="10"/>
      <c r="K3025" s="10"/>
      <c r="L3025" s="4" t="s">
        <v>52</v>
      </c>
      <c r="M3025" s="4">
        <v>3020</v>
      </c>
    </row>
    <row r="3026" spans="1:13" x14ac:dyDescent="0.25">
      <c r="A3026" s="4" t="s">
        <v>2715</v>
      </c>
      <c r="B3026" s="4" t="s">
        <v>2717</v>
      </c>
      <c r="C3026" s="9" t="s">
        <v>50</v>
      </c>
      <c r="D3026" s="10">
        <v>20</v>
      </c>
      <c r="E3026" s="11" t="s">
        <v>51</v>
      </c>
      <c r="F3026" s="10">
        <v>1505.92</v>
      </c>
      <c r="G3026" s="10">
        <v>0</v>
      </c>
      <c r="H3026" s="10">
        <f t="shared" si="47"/>
        <v>1505.92</v>
      </c>
      <c r="I3026" s="10"/>
      <c r="J3026" s="10"/>
      <c r="K3026" s="10"/>
      <c r="L3026" s="4" t="s">
        <v>52</v>
      </c>
      <c r="M3026" s="4">
        <v>3021</v>
      </c>
    </row>
    <row r="3027" spans="1:13" x14ac:dyDescent="0.25">
      <c r="A3027" s="4" t="s">
        <v>2718</v>
      </c>
      <c r="B3027" s="4" t="s">
        <v>2719</v>
      </c>
      <c r="C3027" s="4" t="s">
        <v>65</v>
      </c>
      <c r="D3027" s="10">
        <v>243</v>
      </c>
      <c r="E3027" s="12" t="s">
        <v>66</v>
      </c>
      <c r="F3027" s="10">
        <v>2650</v>
      </c>
      <c r="G3027" s="10">
        <v>0</v>
      </c>
      <c r="H3027" s="10">
        <f t="shared" si="47"/>
        <v>2650</v>
      </c>
      <c r="I3027" s="10">
        <v>132.5</v>
      </c>
      <c r="J3027" s="10">
        <v>132.5</v>
      </c>
      <c r="K3027" s="10">
        <v>132.5</v>
      </c>
      <c r="L3027" s="4"/>
      <c r="M3027" s="4">
        <v>3022</v>
      </c>
    </row>
    <row r="3028" spans="1:13" x14ac:dyDescent="0.25">
      <c r="A3028" s="4" t="s">
        <v>2720</v>
      </c>
      <c r="B3028" s="4" t="s">
        <v>421</v>
      </c>
      <c r="C3028" s="9" t="s">
        <v>50</v>
      </c>
      <c r="D3028" s="10">
        <v>207</v>
      </c>
      <c r="E3028" s="11" t="s">
        <v>51</v>
      </c>
      <c r="F3028" s="10">
        <v>19665</v>
      </c>
      <c r="G3028" s="10">
        <v>0</v>
      </c>
      <c r="H3028" s="10">
        <f t="shared" si="47"/>
        <v>19665</v>
      </c>
      <c r="I3028" s="10"/>
      <c r="J3028" s="10"/>
      <c r="K3028" s="10"/>
      <c r="L3028" s="4" t="s">
        <v>52</v>
      </c>
      <c r="M3028" s="4">
        <v>3023</v>
      </c>
    </row>
    <row r="3029" spans="1:13" x14ac:dyDescent="0.25">
      <c r="A3029" s="4" t="s">
        <v>2720</v>
      </c>
      <c r="B3029" s="4" t="s">
        <v>2721</v>
      </c>
      <c r="C3029" s="9" t="s">
        <v>50</v>
      </c>
      <c r="D3029" s="10">
        <v>72</v>
      </c>
      <c r="E3029" s="11" t="s">
        <v>51</v>
      </c>
      <c r="F3029" s="10">
        <v>1520</v>
      </c>
      <c r="G3029" s="10">
        <v>0</v>
      </c>
      <c r="H3029" s="10">
        <f t="shared" si="47"/>
        <v>1520</v>
      </c>
      <c r="I3029" s="10"/>
      <c r="J3029" s="10"/>
      <c r="K3029" s="10"/>
      <c r="L3029" s="4" t="s">
        <v>52</v>
      </c>
      <c r="M3029" s="4">
        <v>3024</v>
      </c>
    </row>
    <row r="3030" spans="1:13" x14ac:dyDescent="0.25">
      <c r="A3030" s="4" t="s">
        <v>2722</v>
      </c>
      <c r="B3030" s="4" t="s">
        <v>2651</v>
      </c>
      <c r="C3030" s="4" t="s">
        <v>65</v>
      </c>
      <c r="D3030" s="10">
        <v>108</v>
      </c>
      <c r="E3030" s="12" t="s">
        <v>66</v>
      </c>
      <c r="F3030" s="10">
        <v>5000</v>
      </c>
      <c r="G3030" s="10">
        <v>0</v>
      </c>
      <c r="H3030" s="10">
        <f t="shared" si="47"/>
        <v>5000</v>
      </c>
      <c r="I3030" s="10">
        <v>89.285714285714292</v>
      </c>
      <c r="J3030" s="10">
        <v>89.285714285714292</v>
      </c>
      <c r="K3030" s="10">
        <v>89.285714285714292</v>
      </c>
      <c r="L3030" s="4"/>
      <c r="M3030" s="4">
        <v>3025</v>
      </c>
    </row>
    <row r="3031" spans="1:13" x14ac:dyDescent="0.25">
      <c r="A3031" s="4" t="s">
        <v>2723</v>
      </c>
      <c r="B3031" s="4" t="s">
        <v>2724</v>
      </c>
      <c r="C3031" s="4" t="s">
        <v>65</v>
      </c>
      <c r="D3031" s="10">
        <v>264</v>
      </c>
      <c r="E3031" s="12" t="s">
        <v>66</v>
      </c>
      <c r="F3031" s="10">
        <v>3350</v>
      </c>
      <c r="G3031" s="10">
        <v>0</v>
      </c>
      <c r="H3031" s="10">
        <f t="shared" si="47"/>
        <v>3350</v>
      </c>
      <c r="I3031" s="10">
        <v>128.84615384615381</v>
      </c>
      <c r="J3031" s="10">
        <v>128.84615384615381</v>
      </c>
      <c r="K3031" s="10">
        <v>128.84615384615381</v>
      </c>
      <c r="L3031" s="4"/>
      <c r="M3031" s="4">
        <v>3026</v>
      </c>
    </row>
    <row r="3032" spans="1:13" x14ac:dyDescent="0.25">
      <c r="A3032" s="4" t="s">
        <v>2725</v>
      </c>
      <c r="B3032" s="4" t="s">
        <v>2726</v>
      </c>
      <c r="C3032" s="4" t="s">
        <v>65</v>
      </c>
      <c r="D3032" s="10">
        <v>2</v>
      </c>
      <c r="E3032" s="12" t="s">
        <v>66</v>
      </c>
      <c r="F3032" s="10">
        <v>200</v>
      </c>
      <c r="G3032" s="10">
        <v>0</v>
      </c>
      <c r="H3032" s="10">
        <f t="shared" si="47"/>
        <v>200</v>
      </c>
      <c r="I3032" s="10">
        <v>100</v>
      </c>
      <c r="J3032" s="10">
        <v>100</v>
      </c>
      <c r="K3032" s="10">
        <v>100</v>
      </c>
      <c r="L3032" s="4"/>
      <c r="M3032" s="4">
        <v>3027</v>
      </c>
    </row>
    <row r="3033" spans="1:13" x14ac:dyDescent="0.25">
      <c r="A3033" s="4" t="s">
        <v>2725</v>
      </c>
      <c r="B3033" s="4" t="s">
        <v>2727</v>
      </c>
      <c r="C3033" s="4" t="s">
        <v>65</v>
      </c>
      <c r="D3033" s="10">
        <v>41</v>
      </c>
      <c r="E3033" s="12" t="s">
        <v>66</v>
      </c>
      <c r="F3033" s="10">
        <v>3900</v>
      </c>
      <c r="G3033" s="10">
        <v>0</v>
      </c>
      <c r="H3033" s="10">
        <f t="shared" si="47"/>
        <v>3900</v>
      </c>
      <c r="I3033" s="10">
        <v>95.121951219512198</v>
      </c>
      <c r="J3033" s="10">
        <v>95.121951219512198</v>
      </c>
      <c r="K3033" s="10">
        <v>95.121951219512198</v>
      </c>
      <c r="L3033" s="4"/>
      <c r="M3033" s="4">
        <v>3028</v>
      </c>
    </row>
    <row r="3034" spans="1:13" x14ac:dyDescent="0.25">
      <c r="A3034" s="4" t="s">
        <v>2725</v>
      </c>
      <c r="B3034" s="4" t="s">
        <v>2728</v>
      </c>
      <c r="C3034" s="4" t="s">
        <v>65</v>
      </c>
      <c r="D3034" s="10">
        <v>94</v>
      </c>
      <c r="E3034" s="12" t="s">
        <v>66</v>
      </c>
      <c r="F3034" s="10">
        <v>5000</v>
      </c>
      <c r="G3034" s="10">
        <v>0</v>
      </c>
      <c r="H3034" s="10">
        <f t="shared" si="47"/>
        <v>5000</v>
      </c>
      <c r="I3034" s="10">
        <v>94.339622641509436</v>
      </c>
      <c r="J3034" s="10">
        <v>94.339622641509436</v>
      </c>
      <c r="K3034" s="10">
        <v>94.339622641509436</v>
      </c>
      <c r="L3034" s="4"/>
      <c r="M3034" s="4">
        <v>3029</v>
      </c>
    </row>
    <row r="3035" spans="1:13" x14ac:dyDescent="0.25">
      <c r="A3035" s="4" t="s">
        <v>2725</v>
      </c>
      <c r="B3035" s="4" t="s">
        <v>2729</v>
      </c>
      <c r="C3035" s="4" t="s">
        <v>65</v>
      </c>
      <c r="D3035" s="10">
        <v>61</v>
      </c>
      <c r="E3035" s="12" t="s">
        <v>66</v>
      </c>
      <c r="F3035" s="10">
        <v>3900</v>
      </c>
      <c r="G3035" s="10">
        <v>0</v>
      </c>
      <c r="H3035" s="10">
        <f t="shared" si="47"/>
        <v>3900</v>
      </c>
      <c r="I3035" s="10">
        <v>95.121951219512198</v>
      </c>
      <c r="J3035" s="10">
        <v>95.121951219512198</v>
      </c>
      <c r="K3035" s="10">
        <v>95.121951219512198</v>
      </c>
      <c r="L3035" s="4"/>
      <c r="M3035" s="4">
        <v>3030</v>
      </c>
    </row>
    <row r="3036" spans="1:13" x14ac:dyDescent="0.25">
      <c r="A3036" s="4" t="s">
        <v>2730</v>
      </c>
      <c r="B3036" s="4" t="s">
        <v>2731</v>
      </c>
      <c r="C3036" s="9" t="s">
        <v>50</v>
      </c>
      <c r="D3036" s="10">
        <v>295</v>
      </c>
      <c r="E3036" s="11" t="s">
        <v>51</v>
      </c>
      <c r="F3036" s="10">
        <v>1900</v>
      </c>
      <c r="G3036" s="10">
        <v>0</v>
      </c>
      <c r="H3036" s="10">
        <f t="shared" si="47"/>
        <v>1900</v>
      </c>
      <c r="I3036" s="10"/>
      <c r="J3036" s="10"/>
      <c r="K3036" s="10"/>
      <c r="L3036" s="4" t="s">
        <v>52</v>
      </c>
      <c r="M3036" s="4">
        <v>3031</v>
      </c>
    </row>
    <row r="3037" spans="1:13" x14ac:dyDescent="0.25">
      <c r="A3037" s="4" t="s">
        <v>2732</v>
      </c>
      <c r="B3037" s="4" t="s">
        <v>2733</v>
      </c>
      <c r="C3037" s="4" t="s">
        <v>65</v>
      </c>
      <c r="D3037" s="10">
        <v>4</v>
      </c>
      <c r="E3037" s="12" t="s">
        <v>66</v>
      </c>
      <c r="F3037" s="10">
        <v>541.1</v>
      </c>
      <c r="G3037" s="10">
        <v>0</v>
      </c>
      <c r="H3037" s="10">
        <f t="shared" si="47"/>
        <v>541.1</v>
      </c>
      <c r="I3037" s="10">
        <v>135.27500000000001</v>
      </c>
      <c r="J3037" s="10">
        <v>135.27500000000001</v>
      </c>
      <c r="K3037" s="10">
        <v>135.27500000000001</v>
      </c>
      <c r="L3037" s="4"/>
      <c r="M3037" s="4">
        <v>3032</v>
      </c>
    </row>
    <row r="3038" spans="1:13" x14ac:dyDescent="0.25">
      <c r="A3038" s="4" t="s">
        <v>2732</v>
      </c>
      <c r="B3038" s="4" t="s">
        <v>2734</v>
      </c>
      <c r="C3038" s="4" t="s">
        <v>65</v>
      </c>
      <c r="D3038" s="10">
        <v>72</v>
      </c>
      <c r="E3038" s="12" t="s">
        <v>66</v>
      </c>
      <c r="F3038" s="10">
        <v>8116.44</v>
      </c>
      <c r="G3038" s="10">
        <v>0</v>
      </c>
      <c r="H3038" s="10">
        <f t="shared" si="47"/>
        <v>8116.44</v>
      </c>
      <c r="I3038" s="10">
        <v>112.7283333333333</v>
      </c>
      <c r="J3038" s="10">
        <v>112.7283333333333</v>
      </c>
      <c r="K3038" s="10">
        <v>112.7283333333333</v>
      </c>
      <c r="L3038" s="4"/>
      <c r="M3038" s="4">
        <v>3033</v>
      </c>
    </row>
    <row r="3039" spans="1:13" x14ac:dyDescent="0.25">
      <c r="A3039" s="4" t="s">
        <v>2732</v>
      </c>
      <c r="B3039" s="4" t="s">
        <v>2735</v>
      </c>
      <c r="C3039" s="4" t="s">
        <v>65</v>
      </c>
      <c r="D3039" s="10">
        <v>164</v>
      </c>
      <c r="E3039" s="12" t="s">
        <v>66</v>
      </c>
      <c r="F3039" s="10">
        <v>10280.83</v>
      </c>
      <c r="G3039" s="10">
        <v>0</v>
      </c>
      <c r="H3039" s="10">
        <f t="shared" si="47"/>
        <v>10280.83</v>
      </c>
      <c r="I3039" s="10">
        <v>112.97615384615381</v>
      </c>
      <c r="J3039" s="10">
        <v>112.97615384615381</v>
      </c>
      <c r="K3039" s="10">
        <v>112.97615384615381</v>
      </c>
      <c r="L3039" s="4"/>
      <c r="M3039" s="4">
        <v>3034</v>
      </c>
    </row>
    <row r="3040" spans="1:13" x14ac:dyDescent="0.25">
      <c r="A3040" s="4" t="s">
        <v>2732</v>
      </c>
      <c r="B3040" s="4" t="s">
        <v>2736</v>
      </c>
      <c r="C3040" s="4" t="s">
        <v>65</v>
      </c>
      <c r="D3040" s="10">
        <v>40</v>
      </c>
      <c r="E3040" s="12" t="s">
        <v>66</v>
      </c>
      <c r="F3040" s="10">
        <v>4058.22</v>
      </c>
      <c r="G3040" s="10">
        <v>0</v>
      </c>
      <c r="H3040" s="10">
        <f t="shared" si="47"/>
        <v>4058.22</v>
      </c>
      <c r="I3040" s="10">
        <v>101.4555</v>
      </c>
      <c r="J3040" s="10">
        <v>101.4555</v>
      </c>
      <c r="K3040" s="10">
        <v>101.4555</v>
      </c>
      <c r="L3040" s="4"/>
      <c r="M3040" s="4">
        <v>3035</v>
      </c>
    </row>
    <row r="3041" spans="1:13" x14ac:dyDescent="0.25">
      <c r="A3041" s="4" t="s">
        <v>2732</v>
      </c>
      <c r="B3041" s="4" t="s">
        <v>2737</v>
      </c>
      <c r="C3041" s="4" t="s">
        <v>65</v>
      </c>
      <c r="D3041" s="10">
        <v>33</v>
      </c>
      <c r="E3041" s="12" t="s">
        <v>66</v>
      </c>
      <c r="F3041" s="10">
        <v>3246</v>
      </c>
      <c r="G3041" s="10">
        <v>0</v>
      </c>
      <c r="H3041" s="10">
        <f t="shared" si="47"/>
        <v>3246</v>
      </c>
      <c r="I3041" s="10">
        <v>98.36363636363636</v>
      </c>
      <c r="J3041" s="10">
        <v>98.36363636363636</v>
      </c>
      <c r="K3041" s="10">
        <v>98.36363636363636</v>
      </c>
      <c r="L3041" s="4"/>
      <c r="M3041" s="4">
        <v>3036</v>
      </c>
    </row>
    <row r="3042" spans="1:13" x14ac:dyDescent="0.25">
      <c r="A3042" s="4" t="s">
        <v>2732</v>
      </c>
      <c r="B3042" s="4" t="s">
        <v>2738</v>
      </c>
      <c r="C3042" s="4" t="s">
        <v>65</v>
      </c>
      <c r="D3042" s="10">
        <v>9</v>
      </c>
      <c r="E3042" s="12" t="s">
        <v>66</v>
      </c>
      <c r="F3042" s="10">
        <v>1012.46</v>
      </c>
      <c r="G3042" s="10">
        <v>0</v>
      </c>
      <c r="H3042" s="10">
        <f t="shared" si="47"/>
        <v>1012.46</v>
      </c>
      <c r="I3042" s="10">
        <v>112.4955555555556</v>
      </c>
      <c r="J3042" s="10">
        <v>112.4955555555556</v>
      </c>
      <c r="K3042" s="10">
        <v>112.4955555555556</v>
      </c>
      <c r="L3042" s="4"/>
      <c r="M3042" s="4">
        <v>3037</v>
      </c>
    </row>
    <row r="3043" spans="1:13" x14ac:dyDescent="0.25">
      <c r="A3043" s="4" t="s">
        <v>2732</v>
      </c>
      <c r="B3043" s="4" t="s">
        <v>2739</v>
      </c>
      <c r="C3043" s="4" t="s">
        <v>65</v>
      </c>
      <c r="D3043" s="10">
        <v>26</v>
      </c>
      <c r="E3043" s="12" t="s">
        <v>66</v>
      </c>
      <c r="F3043" s="10">
        <v>2699.92</v>
      </c>
      <c r="G3043" s="10">
        <v>0</v>
      </c>
      <c r="H3043" s="10">
        <f t="shared" si="47"/>
        <v>2699.92</v>
      </c>
      <c r="I3043" s="10">
        <v>103.84307692307689</v>
      </c>
      <c r="J3043" s="10">
        <v>103.84307692307689</v>
      </c>
      <c r="K3043" s="10">
        <v>103.84307692307689</v>
      </c>
      <c r="L3043" s="4"/>
      <c r="M3043" s="4">
        <v>3038</v>
      </c>
    </row>
    <row r="3044" spans="1:13" x14ac:dyDescent="0.25">
      <c r="A3044" s="4" t="s">
        <v>2732</v>
      </c>
      <c r="B3044" s="4" t="s">
        <v>2740</v>
      </c>
      <c r="C3044" s="4" t="s">
        <v>65</v>
      </c>
      <c r="D3044" s="10">
        <v>21.5</v>
      </c>
      <c r="E3044" s="11" t="s">
        <v>51</v>
      </c>
      <c r="F3044" s="10">
        <v>18.739999999999998</v>
      </c>
      <c r="G3044" s="10">
        <v>0</v>
      </c>
      <c r="H3044" s="10">
        <f t="shared" si="47"/>
        <v>18.739999999999998</v>
      </c>
      <c r="I3044" s="10"/>
      <c r="J3044" s="10"/>
      <c r="K3044" s="10"/>
      <c r="L3044" s="4" t="s">
        <v>69</v>
      </c>
      <c r="M3044" s="4">
        <v>3039</v>
      </c>
    </row>
    <row r="3045" spans="1:13" x14ac:dyDescent="0.25">
      <c r="A3045" s="4" t="s">
        <v>2741</v>
      </c>
      <c r="B3045" s="4" t="s">
        <v>2742</v>
      </c>
      <c r="C3045" s="4" t="s">
        <v>65</v>
      </c>
      <c r="D3045" s="10">
        <v>0.5</v>
      </c>
      <c r="E3045" s="12" t="s">
        <v>66</v>
      </c>
      <c r="F3045" s="10">
        <v>45.4</v>
      </c>
      <c r="G3045" s="10">
        <v>0</v>
      </c>
      <c r="H3045" s="10">
        <f t="shared" si="47"/>
        <v>45.4</v>
      </c>
      <c r="I3045" s="10">
        <v>90.8</v>
      </c>
      <c r="J3045" s="10">
        <v>90.8</v>
      </c>
      <c r="K3045" s="10">
        <v>90.8</v>
      </c>
      <c r="L3045" s="4"/>
      <c r="M3045" s="4">
        <v>3040</v>
      </c>
    </row>
    <row r="3046" spans="1:13" x14ac:dyDescent="0.25">
      <c r="A3046" s="4" t="s">
        <v>2741</v>
      </c>
      <c r="B3046" s="4" t="s">
        <v>852</v>
      </c>
      <c r="C3046" s="4" t="s">
        <v>65</v>
      </c>
      <c r="D3046" s="10">
        <v>7</v>
      </c>
      <c r="E3046" s="12" t="s">
        <v>66</v>
      </c>
      <c r="F3046" s="10">
        <v>681.03</v>
      </c>
      <c r="G3046" s="10">
        <v>0</v>
      </c>
      <c r="H3046" s="10">
        <f t="shared" si="47"/>
        <v>681.03</v>
      </c>
      <c r="I3046" s="10">
        <v>97.289999999999992</v>
      </c>
      <c r="J3046" s="10">
        <v>97.289999999999992</v>
      </c>
      <c r="K3046" s="10">
        <v>97.289999999999992</v>
      </c>
      <c r="L3046" s="4"/>
      <c r="M3046" s="4">
        <v>3041</v>
      </c>
    </row>
    <row r="3047" spans="1:13" x14ac:dyDescent="0.25">
      <c r="A3047" s="4" t="s">
        <v>2741</v>
      </c>
      <c r="B3047" s="4" t="s">
        <v>853</v>
      </c>
      <c r="C3047" s="4" t="s">
        <v>65</v>
      </c>
      <c r="D3047" s="10">
        <v>5</v>
      </c>
      <c r="E3047" s="12" t="s">
        <v>66</v>
      </c>
      <c r="F3047" s="10">
        <v>862.64</v>
      </c>
      <c r="G3047" s="10">
        <v>0</v>
      </c>
      <c r="H3047" s="10">
        <f t="shared" si="47"/>
        <v>862.64</v>
      </c>
      <c r="I3047" s="10">
        <v>95.848888888888894</v>
      </c>
      <c r="J3047" s="10">
        <v>95.848888888888894</v>
      </c>
      <c r="K3047" s="10">
        <v>95.848888888888894</v>
      </c>
      <c r="L3047" s="4"/>
      <c r="M3047" s="4">
        <v>3042</v>
      </c>
    </row>
    <row r="3048" spans="1:13" x14ac:dyDescent="0.25">
      <c r="A3048" s="4" t="s">
        <v>2741</v>
      </c>
      <c r="B3048" s="4" t="s">
        <v>2743</v>
      </c>
      <c r="C3048" s="9" t="s">
        <v>50</v>
      </c>
      <c r="D3048" s="10">
        <v>3</v>
      </c>
      <c r="E3048" s="11" t="s">
        <v>51</v>
      </c>
      <c r="F3048" s="10">
        <v>340.51</v>
      </c>
      <c r="G3048" s="10">
        <v>0</v>
      </c>
      <c r="H3048" s="10">
        <f t="shared" si="47"/>
        <v>340.51</v>
      </c>
      <c r="I3048" s="10"/>
      <c r="J3048" s="10"/>
      <c r="K3048" s="10"/>
      <c r="L3048" s="4" t="s">
        <v>52</v>
      </c>
      <c r="M3048" s="4">
        <v>3043</v>
      </c>
    </row>
    <row r="3049" spans="1:13" x14ac:dyDescent="0.25">
      <c r="A3049" s="4" t="s">
        <v>2741</v>
      </c>
      <c r="B3049" s="4" t="s">
        <v>2744</v>
      </c>
      <c r="C3049" s="9" t="s">
        <v>50</v>
      </c>
      <c r="D3049" s="10">
        <v>140</v>
      </c>
      <c r="E3049" s="11" t="s">
        <v>51</v>
      </c>
      <c r="F3049" s="10">
        <v>272.42</v>
      </c>
      <c r="G3049" s="10">
        <v>0</v>
      </c>
      <c r="H3049" s="10">
        <f t="shared" si="47"/>
        <v>272.42</v>
      </c>
      <c r="I3049" s="10"/>
      <c r="J3049" s="10"/>
      <c r="K3049" s="10"/>
      <c r="L3049" s="4" t="s">
        <v>52</v>
      </c>
      <c r="M3049" s="4">
        <v>3044</v>
      </c>
    </row>
    <row r="3050" spans="1:13" x14ac:dyDescent="0.25">
      <c r="A3050" s="4" t="s">
        <v>2745</v>
      </c>
      <c r="B3050" s="4" t="s">
        <v>2746</v>
      </c>
      <c r="C3050" s="4" t="s">
        <v>65</v>
      </c>
      <c r="D3050" s="10">
        <v>1</v>
      </c>
      <c r="E3050" s="12" t="s">
        <v>66</v>
      </c>
      <c r="F3050" s="10">
        <v>189.27</v>
      </c>
      <c r="G3050" s="10">
        <v>0</v>
      </c>
      <c r="H3050" s="10">
        <f t="shared" si="47"/>
        <v>189.27</v>
      </c>
      <c r="I3050" s="10">
        <v>189.27</v>
      </c>
      <c r="J3050" s="10">
        <v>189.27</v>
      </c>
      <c r="K3050" s="10">
        <v>189.27</v>
      </c>
      <c r="L3050" s="4"/>
      <c r="M3050" s="4">
        <v>3045</v>
      </c>
    </row>
    <row r="3051" spans="1:13" x14ac:dyDescent="0.25">
      <c r="A3051" s="4" t="s">
        <v>2745</v>
      </c>
      <c r="B3051" s="4" t="s">
        <v>2747</v>
      </c>
      <c r="C3051" s="4" t="s">
        <v>65</v>
      </c>
      <c r="D3051" s="10">
        <v>25</v>
      </c>
      <c r="E3051" s="12" t="s">
        <v>66</v>
      </c>
      <c r="F3051" s="10">
        <v>2839.06</v>
      </c>
      <c r="G3051" s="10">
        <v>0</v>
      </c>
      <c r="H3051" s="10">
        <f t="shared" si="47"/>
        <v>2839.06</v>
      </c>
      <c r="I3051" s="10">
        <v>113.5624</v>
      </c>
      <c r="J3051" s="10">
        <v>113.5624</v>
      </c>
      <c r="K3051" s="10">
        <v>113.5624</v>
      </c>
      <c r="L3051" s="4"/>
      <c r="M3051" s="4">
        <v>3046</v>
      </c>
    </row>
    <row r="3052" spans="1:13" x14ac:dyDescent="0.25">
      <c r="A3052" s="4" t="s">
        <v>2745</v>
      </c>
      <c r="B3052" s="4" t="s">
        <v>2748</v>
      </c>
      <c r="C3052" s="4" t="s">
        <v>65</v>
      </c>
      <c r="D3052" s="10">
        <v>31</v>
      </c>
      <c r="E3052" s="12" t="s">
        <v>66</v>
      </c>
      <c r="F3052" s="10">
        <v>3596.14</v>
      </c>
      <c r="G3052" s="10">
        <v>0</v>
      </c>
      <c r="H3052" s="10">
        <f t="shared" si="47"/>
        <v>3596.14</v>
      </c>
      <c r="I3052" s="10">
        <v>116.0045161290323</v>
      </c>
      <c r="J3052" s="10">
        <v>116.0045161290323</v>
      </c>
      <c r="K3052" s="10">
        <v>116.0045161290323</v>
      </c>
      <c r="L3052" s="4"/>
      <c r="M3052" s="4">
        <v>3047</v>
      </c>
    </row>
    <row r="3053" spans="1:13" x14ac:dyDescent="0.25">
      <c r="A3053" s="4" t="s">
        <v>2745</v>
      </c>
      <c r="B3053" s="4" t="s">
        <v>854</v>
      </c>
      <c r="C3053" s="4" t="s">
        <v>65</v>
      </c>
      <c r="D3053" s="10">
        <v>24</v>
      </c>
      <c r="E3053" s="12" t="s">
        <v>66</v>
      </c>
      <c r="F3053" s="10">
        <v>2555.15</v>
      </c>
      <c r="G3053" s="10">
        <v>0</v>
      </c>
      <c r="H3053" s="10">
        <f t="shared" si="47"/>
        <v>2555.15</v>
      </c>
      <c r="I3053" s="10">
        <v>106.46458333333329</v>
      </c>
      <c r="J3053" s="10">
        <v>106.46458333333329</v>
      </c>
      <c r="K3053" s="10">
        <v>106.46458333333329</v>
      </c>
      <c r="L3053" s="4"/>
      <c r="M3053" s="4">
        <v>3048</v>
      </c>
    </row>
    <row r="3054" spans="1:13" x14ac:dyDescent="0.25">
      <c r="A3054" s="4" t="s">
        <v>2745</v>
      </c>
      <c r="B3054" s="4" t="s">
        <v>2749</v>
      </c>
      <c r="C3054" s="4" t="s">
        <v>65</v>
      </c>
      <c r="D3054" s="10">
        <v>8</v>
      </c>
      <c r="E3054" s="12" t="s">
        <v>66</v>
      </c>
      <c r="F3054" s="10">
        <v>899.97</v>
      </c>
      <c r="G3054" s="10">
        <v>0</v>
      </c>
      <c r="H3054" s="10">
        <f t="shared" si="47"/>
        <v>899.97</v>
      </c>
      <c r="I3054" s="10">
        <v>112.49625</v>
      </c>
      <c r="J3054" s="10">
        <v>112.49625</v>
      </c>
      <c r="K3054" s="10">
        <v>112.49625</v>
      </c>
      <c r="L3054" s="4"/>
      <c r="M3054" s="4">
        <v>3049</v>
      </c>
    </row>
    <row r="3055" spans="1:13" x14ac:dyDescent="0.25">
      <c r="A3055" s="4" t="s">
        <v>2745</v>
      </c>
      <c r="B3055" s="4" t="s">
        <v>2750</v>
      </c>
      <c r="C3055" s="4" t="s">
        <v>65</v>
      </c>
      <c r="D3055" s="10">
        <v>38</v>
      </c>
      <c r="E3055" s="12" t="s">
        <v>66</v>
      </c>
      <c r="F3055" s="10">
        <v>2249.94</v>
      </c>
      <c r="G3055" s="10">
        <v>0</v>
      </c>
      <c r="H3055" s="10">
        <f t="shared" si="47"/>
        <v>2249.94</v>
      </c>
      <c r="I3055" s="10">
        <v>107.14</v>
      </c>
      <c r="J3055" s="10">
        <v>107.14</v>
      </c>
      <c r="K3055" s="10">
        <v>107.14</v>
      </c>
      <c r="L3055" s="4"/>
      <c r="M3055" s="4">
        <v>3050</v>
      </c>
    </row>
    <row r="3056" spans="1:13" x14ac:dyDescent="0.25">
      <c r="A3056" s="4" t="s">
        <v>2745</v>
      </c>
      <c r="B3056" s="4" t="s">
        <v>2751</v>
      </c>
      <c r="C3056" s="4" t="s">
        <v>68</v>
      </c>
      <c r="D3056" s="10">
        <v>13</v>
      </c>
      <c r="E3056" s="11" t="s">
        <v>51</v>
      </c>
      <c r="F3056" s="10">
        <v>1643.42</v>
      </c>
      <c r="G3056" s="10">
        <v>0</v>
      </c>
      <c r="H3056" s="10">
        <f t="shared" si="47"/>
        <v>1643.42</v>
      </c>
      <c r="I3056" s="10"/>
      <c r="J3056" s="10"/>
      <c r="K3056" s="10"/>
      <c r="L3056" s="4" t="s">
        <v>69</v>
      </c>
      <c r="M3056" s="4">
        <v>3051</v>
      </c>
    </row>
    <row r="3057" spans="1:13" x14ac:dyDescent="0.25">
      <c r="A3057" s="4" t="s">
        <v>2745</v>
      </c>
      <c r="B3057" s="4" t="s">
        <v>2752</v>
      </c>
      <c r="C3057" s="4" t="s">
        <v>68</v>
      </c>
      <c r="D3057" s="10">
        <v>11</v>
      </c>
      <c r="E3057" s="11" t="s">
        <v>51</v>
      </c>
      <c r="F3057" s="10">
        <v>1095.6199999999999</v>
      </c>
      <c r="G3057" s="10">
        <v>0</v>
      </c>
      <c r="H3057" s="10">
        <f t="shared" si="47"/>
        <v>1095.6199999999999</v>
      </c>
      <c r="I3057" s="10"/>
      <c r="J3057" s="10"/>
      <c r="K3057" s="10"/>
      <c r="L3057" s="4" t="s">
        <v>69</v>
      </c>
      <c r="M3057" s="4">
        <v>3052</v>
      </c>
    </row>
    <row r="3058" spans="1:13" x14ac:dyDescent="0.25">
      <c r="A3058" s="4" t="s">
        <v>2745</v>
      </c>
      <c r="B3058" s="4" t="s">
        <v>2753</v>
      </c>
      <c r="C3058" s="4" t="s">
        <v>68</v>
      </c>
      <c r="D3058" s="10">
        <v>88</v>
      </c>
      <c r="E3058" s="11" t="s">
        <v>51</v>
      </c>
      <c r="F3058" s="10">
        <v>158.58000000000001</v>
      </c>
      <c r="G3058" s="10">
        <v>0</v>
      </c>
      <c r="H3058" s="10">
        <f t="shared" si="47"/>
        <v>158.58000000000001</v>
      </c>
      <c r="I3058" s="10"/>
      <c r="J3058" s="10"/>
      <c r="K3058" s="10"/>
      <c r="L3058" s="4" t="s">
        <v>69</v>
      </c>
      <c r="M3058" s="4">
        <v>3053</v>
      </c>
    </row>
    <row r="3059" spans="1:13" x14ac:dyDescent="0.25">
      <c r="A3059" s="4" t="s">
        <v>2754</v>
      </c>
      <c r="B3059" s="4" t="s">
        <v>2746</v>
      </c>
      <c r="C3059" s="4" t="s">
        <v>65</v>
      </c>
      <c r="D3059" s="10">
        <v>2</v>
      </c>
      <c r="E3059" s="12" t="s">
        <v>66</v>
      </c>
      <c r="F3059" s="10">
        <v>262.57</v>
      </c>
      <c r="G3059" s="10">
        <v>0</v>
      </c>
      <c r="H3059" s="10">
        <f t="shared" si="47"/>
        <v>262.57</v>
      </c>
      <c r="I3059" s="10">
        <v>131.285</v>
      </c>
      <c r="J3059" s="10">
        <v>131.285</v>
      </c>
      <c r="K3059" s="10">
        <v>131.285</v>
      </c>
      <c r="L3059" s="4"/>
      <c r="M3059" s="4">
        <v>3054</v>
      </c>
    </row>
    <row r="3060" spans="1:13" x14ac:dyDescent="0.25">
      <c r="A3060" s="4" t="s">
        <v>2754</v>
      </c>
      <c r="B3060" s="4" t="s">
        <v>2747</v>
      </c>
      <c r="C3060" s="4" t="s">
        <v>65</v>
      </c>
      <c r="D3060" s="10">
        <v>27</v>
      </c>
      <c r="E3060" s="12" t="s">
        <v>66</v>
      </c>
      <c r="F3060" s="10">
        <v>2363</v>
      </c>
      <c r="G3060" s="10">
        <v>0</v>
      </c>
      <c r="H3060" s="10">
        <f t="shared" si="47"/>
        <v>2363</v>
      </c>
      <c r="I3060" s="10">
        <v>87.518518518518519</v>
      </c>
      <c r="J3060" s="10">
        <v>87.518518518518519</v>
      </c>
      <c r="K3060" s="10">
        <v>87.518518518518519</v>
      </c>
      <c r="L3060" s="4"/>
      <c r="M3060" s="4">
        <v>3055</v>
      </c>
    </row>
    <row r="3061" spans="1:13" x14ac:dyDescent="0.25">
      <c r="A3061" s="4" t="s">
        <v>2754</v>
      </c>
      <c r="B3061" s="4" t="s">
        <v>2748</v>
      </c>
      <c r="C3061" s="4" t="s">
        <v>65</v>
      </c>
      <c r="D3061" s="10">
        <v>19</v>
      </c>
      <c r="E3061" s="12" t="s">
        <v>66</v>
      </c>
      <c r="F3061" s="10">
        <v>2494</v>
      </c>
      <c r="G3061" s="10">
        <v>0</v>
      </c>
      <c r="H3061" s="10">
        <f t="shared" si="47"/>
        <v>2494</v>
      </c>
      <c r="I3061" s="10">
        <v>131.26315789473679</v>
      </c>
      <c r="J3061" s="10">
        <v>131.26315789473679</v>
      </c>
      <c r="K3061" s="10">
        <v>131.26315789473679</v>
      </c>
      <c r="L3061" s="4"/>
      <c r="M3061" s="4">
        <v>3056</v>
      </c>
    </row>
    <row r="3062" spans="1:13" x14ac:dyDescent="0.25">
      <c r="A3062" s="4" t="s">
        <v>2754</v>
      </c>
      <c r="B3062" s="4" t="s">
        <v>854</v>
      </c>
      <c r="C3062" s="4" t="s">
        <v>65</v>
      </c>
      <c r="D3062" s="10">
        <v>88</v>
      </c>
      <c r="E3062" s="12" t="s">
        <v>66</v>
      </c>
      <c r="F3062" s="10">
        <v>3544.67</v>
      </c>
      <c r="G3062" s="10">
        <v>0</v>
      </c>
      <c r="H3062" s="10">
        <f t="shared" si="47"/>
        <v>3544.67</v>
      </c>
      <c r="I3062" s="10">
        <v>88.616749999999996</v>
      </c>
      <c r="J3062" s="10">
        <v>88.616749999999996</v>
      </c>
      <c r="K3062" s="10">
        <v>88.616749999999996</v>
      </c>
      <c r="L3062" s="4"/>
      <c r="M3062" s="4">
        <v>3057</v>
      </c>
    </row>
    <row r="3063" spans="1:13" x14ac:dyDescent="0.25">
      <c r="A3063" s="4" t="s">
        <v>2755</v>
      </c>
      <c r="B3063" s="4" t="s">
        <v>362</v>
      </c>
      <c r="C3063" s="9" t="s">
        <v>50</v>
      </c>
      <c r="D3063" s="10">
        <v>24</v>
      </c>
      <c r="E3063" s="11" t="s">
        <v>51</v>
      </c>
      <c r="F3063" s="10">
        <v>2280</v>
      </c>
      <c r="G3063" s="10">
        <v>0</v>
      </c>
      <c r="H3063" s="10">
        <f t="shared" si="47"/>
        <v>2280</v>
      </c>
      <c r="I3063" s="10"/>
      <c r="J3063" s="10"/>
      <c r="K3063" s="10"/>
      <c r="L3063" s="4" t="s">
        <v>52</v>
      </c>
      <c r="M3063" s="4">
        <v>3058</v>
      </c>
    </row>
    <row r="3064" spans="1:13" x14ac:dyDescent="0.25">
      <c r="A3064" s="4" t="s">
        <v>2755</v>
      </c>
      <c r="B3064" s="4" t="s">
        <v>118</v>
      </c>
      <c r="C3064" s="9" t="s">
        <v>50</v>
      </c>
      <c r="D3064" s="10">
        <v>60</v>
      </c>
      <c r="E3064" s="11" t="s">
        <v>51</v>
      </c>
      <c r="F3064" s="10">
        <v>1500</v>
      </c>
      <c r="G3064" s="10">
        <v>0</v>
      </c>
      <c r="H3064" s="10">
        <f t="shared" si="47"/>
        <v>1500</v>
      </c>
      <c r="I3064" s="10"/>
      <c r="J3064" s="10"/>
      <c r="K3064" s="10"/>
      <c r="L3064" s="4" t="s">
        <v>52</v>
      </c>
      <c r="M3064" s="4">
        <v>3059</v>
      </c>
    </row>
    <row r="3065" spans="1:13" x14ac:dyDescent="0.25">
      <c r="A3065" s="4" t="s">
        <v>2756</v>
      </c>
      <c r="B3065" s="4" t="s">
        <v>378</v>
      </c>
      <c r="C3065" s="4" t="s">
        <v>65</v>
      </c>
      <c r="D3065" s="10">
        <v>20</v>
      </c>
      <c r="E3065" s="12" t="s">
        <v>66</v>
      </c>
      <c r="F3065" s="10">
        <v>2500</v>
      </c>
      <c r="G3065" s="10">
        <v>0</v>
      </c>
      <c r="H3065" s="10">
        <f t="shared" si="47"/>
        <v>2500</v>
      </c>
      <c r="I3065" s="10">
        <v>125</v>
      </c>
      <c r="J3065" s="10">
        <v>125</v>
      </c>
      <c r="K3065" s="10">
        <v>125</v>
      </c>
      <c r="L3065" s="4"/>
      <c r="M3065" s="4">
        <v>3060</v>
      </c>
    </row>
    <row r="3066" spans="1:13" x14ac:dyDescent="0.25">
      <c r="A3066" s="4" t="s">
        <v>2756</v>
      </c>
      <c r="B3066" s="4" t="s">
        <v>72</v>
      </c>
      <c r="C3066" s="4" t="s">
        <v>68</v>
      </c>
      <c r="D3066" s="10">
        <v>64</v>
      </c>
      <c r="E3066" s="11" t="s">
        <v>51</v>
      </c>
      <c r="F3066" s="10">
        <v>1840</v>
      </c>
      <c r="G3066" s="10">
        <v>0</v>
      </c>
      <c r="H3066" s="10">
        <f t="shared" si="47"/>
        <v>1840</v>
      </c>
      <c r="I3066" s="10"/>
      <c r="J3066" s="10"/>
      <c r="K3066" s="10"/>
      <c r="L3066" s="4" t="s">
        <v>69</v>
      </c>
      <c r="M3066" s="4">
        <v>3061</v>
      </c>
    </row>
    <row r="3067" spans="1:13" x14ac:dyDescent="0.25">
      <c r="A3067" s="4" t="s">
        <v>2757</v>
      </c>
      <c r="B3067" s="4" t="s">
        <v>362</v>
      </c>
      <c r="C3067" s="9" t="s">
        <v>50</v>
      </c>
      <c r="D3067" s="10">
        <v>24</v>
      </c>
      <c r="E3067" s="11" t="s">
        <v>51</v>
      </c>
      <c r="F3067" s="10">
        <v>2280</v>
      </c>
      <c r="G3067" s="10">
        <v>0</v>
      </c>
      <c r="H3067" s="10">
        <f t="shared" si="47"/>
        <v>2280</v>
      </c>
      <c r="I3067" s="10"/>
      <c r="J3067" s="10"/>
      <c r="K3067" s="10"/>
      <c r="L3067" s="4" t="s">
        <v>52</v>
      </c>
      <c r="M3067" s="4">
        <v>3062</v>
      </c>
    </row>
    <row r="3068" spans="1:13" x14ac:dyDescent="0.25">
      <c r="A3068" s="4" t="s">
        <v>2757</v>
      </c>
      <c r="B3068" s="4" t="s">
        <v>118</v>
      </c>
      <c r="C3068" s="9" t="s">
        <v>50</v>
      </c>
      <c r="D3068" s="10">
        <v>24</v>
      </c>
      <c r="E3068" s="11" t="s">
        <v>51</v>
      </c>
      <c r="F3068" s="10">
        <v>1500</v>
      </c>
      <c r="G3068" s="10">
        <v>0</v>
      </c>
      <c r="H3068" s="10">
        <f t="shared" si="47"/>
        <v>1500</v>
      </c>
      <c r="I3068" s="10"/>
      <c r="J3068" s="10"/>
      <c r="K3068" s="10"/>
      <c r="L3068" s="4" t="s">
        <v>52</v>
      </c>
      <c r="M3068" s="4">
        <v>3063</v>
      </c>
    </row>
    <row r="3069" spans="1:13" x14ac:dyDescent="0.25">
      <c r="A3069" s="4" t="s">
        <v>2758</v>
      </c>
      <c r="B3069" s="4" t="s">
        <v>2759</v>
      </c>
      <c r="C3069" s="9" t="s">
        <v>50</v>
      </c>
      <c r="D3069" s="10">
        <v>300</v>
      </c>
      <c r="E3069" s="11" t="s">
        <v>51</v>
      </c>
      <c r="F3069" s="10">
        <v>24000</v>
      </c>
      <c r="G3069" s="10">
        <v>0</v>
      </c>
      <c r="H3069" s="10">
        <f t="shared" si="47"/>
        <v>24000</v>
      </c>
      <c r="I3069" s="10"/>
      <c r="J3069" s="10"/>
      <c r="K3069" s="10"/>
      <c r="L3069" s="4" t="s">
        <v>52</v>
      </c>
      <c r="M3069" s="4">
        <v>3064</v>
      </c>
    </row>
    <row r="3070" spans="1:13" x14ac:dyDescent="0.25">
      <c r="A3070" s="4" t="s">
        <v>2758</v>
      </c>
      <c r="B3070" s="4" t="s">
        <v>2760</v>
      </c>
      <c r="C3070" s="9" t="s">
        <v>50</v>
      </c>
      <c r="D3070" s="10">
        <v>90</v>
      </c>
      <c r="E3070" s="11" t="s">
        <v>51</v>
      </c>
      <c r="F3070" s="10">
        <v>7200</v>
      </c>
      <c r="G3070" s="10">
        <v>0</v>
      </c>
      <c r="H3070" s="10">
        <f t="shared" si="47"/>
        <v>7200</v>
      </c>
      <c r="I3070" s="10"/>
      <c r="J3070" s="10"/>
      <c r="K3070" s="10"/>
      <c r="L3070" s="4" t="s">
        <v>52</v>
      </c>
      <c r="M3070" s="4">
        <v>3065</v>
      </c>
    </row>
    <row r="3071" spans="1:13" x14ac:dyDescent="0.25">
      <c r="A3071" s="4" t="s">
        <v>2758</v>
      </c>
      <c r="B3071" s="4" t="s">
        <v>2761</v>
      </c>
      <c r="C3071" s="9" t="s">
        <v>50</v>
      </c>
      <c r="D3071" s="10"/>
      <c r="E3071" s="11" t="s">
        <v>51</v>
      </c>
      <c r="F3071" s="10"/>
      <c r="G3071" s="10">
        <v>0</v>
      </c>
      <c r="H3071" s="10">
        <f t="shared" si="47"/>
        <v>0</v>
      </c>
      <c r="I3071" s="10"/>
      <c r="J3071" s="10"/>
      <c r="K3071" s="10"/>
      <c r="L3071" s="4" t="s">
        <v>52</v>
      </c>
      <c r="M3071" s="4">
        <v>3066</v>
      </c>
    </row>
    <row r="3072" spans="1:13" x14ac:dyDescent="0.25">
      <c r="A3072" s="4" t="s">
        <v>2758</v>
      </c>
      <c r="B3072" s="4" t="s">
        <v>2762</v>
      </c>
      <c r="C3072" s="9" t="s">
        <v>50</v>
      </c>
      <c r="D3072" s="10">
        <v>320</v>
      </c>
      <c r="E3072" s="11" t="s">
        <v>51</v>
      </c>
      <c r="F3072" s="10">
        <v>91200</v>
      </c>
      <c r="G3072" s="10">
        <v>0</v>
      </c>
      <c r="H3072" s="10">
        <f t="shared" si="47"/>
        <v>91200</v>
      </c>
      <c r="I3072" s="10"/>
      <c r="J3072" s="10"/>
      <c r="K3072" s="10"/>
      <c r="L3072" s="4" t="s">
        <v>52</v>
      </c>
      <c r="M3072" s="4">
        <v>3067</v>
      </c>
    </row>
    <row r="3073" spans="1:13" x14ac:dyDescent="0.25">
      <c r="A3073" s="4" t="s">
        <v>2758</v>
      </c>
      <c r="B3073" s="4" t="s">
        <v>2763</v>
      </c>
      <c r="C3073" s="9" t="s">
        <v>50</v>
      </c>
      <c r="D3073" s="10">
        <v>441</v>
      </c>
      <c r="E3073" s="11" t="s">
        <v>51</v>
      </c>
      <c r="F3073" s="10"/>
      <c r="G3073" s="10">
        <v>0</v>
      </c>
      <c r="H3073" s="10">
        <f t="shared" si="47"/>
        <v>0</v>
      </c>
      <c r="I3073" s="10"/>
      <c r="J3073" s="10"/>
      <c r="K3073" s="10"/>
      <c r="L3073" s="4" t="s">
        <v>52</v>
      </c>
      <c r="M3073" s="4">
        <v>3068</v>
      </c>
    </row>
    <row r="3074" spans="1:13" x14ac:dyDescent="0.25">
      <c r="A3074" s="4" t="s">
        <v>2764</v>
      </c>
      <c r="B3074" s="4" t="s">
        <v>2765</v>
      </c>
      <c r="C3074" s="9" t="s">
        <v>50</v>
      </c>
      <c r="D3074" s="10">
        <v>165</v>
      </c>
      <c r="E3074" s="11" t="s">
        <v>51</v>
      </c>
      <c r="F3074" s="10">
        <v>18750</v>
      </c>
      <c r="G3074" s="10">
        <v>0</v>
      </c>
      <c r="H3074" s="10">
        <f t="shared" si="47"/>
        <v>18750</v>
      </c>
      <c r="I3074" s="10"/>
      <c r="J3074" s="10"/>
      <c r="K3074" s="10"/>
      <c r="L3074" s="4" t="s">
        <v>52</v>
      </c>
      <c r="M3074" s="4">
        <v>3069</v>
      </c>
    </row>
    <row r="3075" spans="1:13" x14ac:dyDescent="0.25">
      <c r="A3075" s="4" t="s">
        <v>2764</v>
      </c>
      <c r="B3075" s="4" t="s">
        <v>2766</v>
      </c>
      <c r="C3075" s="9" t="s">
        <v>50</v>
      </c>
      <c r="D3075" s="10">
        <v>121</v>
      </c>
      <c r="E3075" s="11" t="s">
        <v>51</v>
      </c>
      <c r="F3075" s="10">
        <v>13750</v>
      </c>
      <c r="G3075" s="10">
        <v>0</v>
      </c>
      <c r="H3075" s="10">
        <f t="shared" si="47"/>
        <v>13750</v>
      </c>
      <c r="I3075" s="10"/>
      <c r="J3075" s="10"/>
      <c r="K3075" s="10"/>
      <c r="L3075" s="4" t="s">
        <v>52</v>
      </c>
      <c r="M3075" s="4">
        <v>3070</v>
      </c>
    </row>
    <row r="3076" spans="1:13" x14ac:dyDescent="0.25">
      <c r="A3076" s="4" t="s">
        <v>2764</v>
      </c>
      <c r="B3076" s="4" t="s">
        <v>2767</v>
      </c>
      <c r="C3076" s="9" t="s">
        <v>50</v>
      </c>
      <c r="D3076" s="10">
        <v>75</v>
      </c>
      <c r="E3076" s="11" t="s">
        <v>51</v>
      </c>
      <c r="F3076" s="10">
        <v>4545</v>
      </c>
      <c r="G3076" s="10">
        <v>0</v>
      </c>
      <c r="H3076" s="10">
        <f t="shared" si="47"/>
        <v>4545</v>
      </c>
      <c r="I3076" s="10"/>
      <c r="J3076" s="10"/>
      <c r="K3076" s="10"/>
      <c r="L3076" s="4" t="s">
        <v>52</v>
      </c>
      <c r="M3076" s="4">
        <v>3071</v>
      </c>
    </row>
    <row r="3077" spans="1:13" x14ac:dyDescent="0.25">
      <c r="A3077" s="4" t="s">
        <v>2764</v>
      </c>
      <c r="B3077" s="4" t="s">
        <v>2768</v>
      </c>
      <c r="C3077" s="9" t="s">
        <v>50</v>
      </c>
      <c r="D3077" s="10">
        <v>220</v>
      </c>
      <c r="E3077" s="11" t="s">
        <v>51</v>
      </c>
      <c r="F3077" s="10">
        <v>14880</v>
      </c>
      <c r="G3077" s="10">
        <v>0</v>
      </c>
      <c r="H3077" s="10">
        <f t="shared" si="47"/>
        <v>14880</v>
      </c>
      <c r="I3077" s="10"/>
      <c r="J3077" s="10"/>
      <c r="K3077" s="10"/>
      <c r="L3077" s="4" t="s">
        <v>52</v>
      </c>
      <c r="M3077" s="4">
        <v>3072</v>
      </c>
    </row>
    <row r="3078" spans="1:13" x14ac:dyDescent="0.25">
      <c r="A3078" s="4" t="s">
        <v>2769</v>
      </c>
      <c r="B3078" s="4" t="s">
        <v>2770</v>
      </c>
      <c r="C3078" s="9" t="s">
        <v>50</v>
      </c>
      <c r="D3078" s="10">
        <v>100</v>
      </c>
      <c r="E3078" s="11" t="s">
        <v>51</v>
      </c>
      <c r="F3078" s="10">
        <v>300</v>
      </c>
      <c r="G3078" s="10">
        <v>0</v>
      </c>
      <c r="H3078" s="10">
        <f t="shared" ref="H3078:H3141" si="48">F3078-G3078</f>
        <v>300</v>
      </c>
      <c r="I3078" s="10"/>
      <c r="J3078" s="10"/>
      <c r="K3078" s="10"/>
      <c r="L3078" s="4" t="s">
        <v>52</v>
      </c>
      <c r="M3078" s="4">
        <v>3073</v>
      </c>
    </row>
    <row r="3079" spans="1:13" x14ac:dyDescent="0.25">
      <c r="A3079" s="4" t="s">
        <v>2769</v>
      </c>
      <c r="B3079" s="4" t="s">
        <v>2771</v>
      </c>
      <c r="C3079" s="9" t="s">
        <v>50</v>
      </c>
      <c r="D3079" s="10">
        <v>790</v>
      </c>
      <c r="E3079" s="11" t="s">
        <v>51</v>
      </c>
      <c r="F3079" s="10">
        <v>200</v>
      </c>
      <c r="G3079" s="10">
        <v>0</v>
      </c>
      <c r="H3079" s="10">
        <f t="shared" si="48"/>
        <v>200</v>
      </c>
      <c r="I3079" s="10"/>
      <c r="J3079" s="10"/>
      <c r="K3079" s="10"/>
      <c r="L3079" s="4" t="s">
        <v>52</v>
      </c>
      <c r="M3079" s="4">
        <v>3074</v>
      </c>
    </row>
    <row r="3080" spans="1:13" x14ac:dyDescent="0.25">
      <c r="A3080" s="4" t="s">
        <v>2772</v>
      </c>
      <c r="B3080" s="4" t="s">
        <v>2773</v>
      </c>
      <c r="C3080" s="9" t="s">
        <v>50</v>
      </c>
      <c r="D3080" s="10">
        <v>1444.5</v>
      </c>
      <c r="E3080" s="11" t="s">
        <v>51</v>
      </c>
      <c r="F3080" s="10"/>
      <c r="G3080" s="10">
        <v>0</v>
      </c>
      <c r="H3080" s="10">
        <f t="shared" si="48"/>
        <v>0</v>
      </c>
      <c r="I3080" s="10"/>
      <c r="J3080" s="10"/>
      <c r="K3080" s="10"/>
      <c r="L3080" s="4" t="s">
        <v>52</v>
      </c>
      <c r="M3080" s="4">
        <v>3075</v>
      </c>
    </row>
    <row r="3081" spans="1:13" x14ac:dyDescent="0.25">
      <c r="A3081" s="4" t="s">
        <v>2774</v>
      </c>
      <c r="B3081" s="4" t="s">
        <v>2775</v>
      </c>
      <c r="C3081" s="4" t="s">
        <v>65</v>
      </c>
      <c r="D3081" s="10">
        <v>77</v>
      </c>
      <c r="E3081" s="12" t="s">
        <v>66</v>
      </c>
      <c r="F3081" s="10">
        <v>10000</v>
      </c>
      <c r="G3081" s="10">
        <v>0</v>
      </c>
      <c r="H3081" s="10">
        <f t="shared" si="48"/>
        <v>10000</v>
      </c>
      <c r="I3081" s="10">
        <v>129.87012987012989</v>
      </c>
      <c r="J3081" s="10">
        <v>129.87012987012989</v>
      </c>
      <c r="K3081" s="10">
        <v>129.87012987012989</v>
      </c>
      <c r="L3081" s="4"/>
      <c r="M3081" s="4">
        <v>3076</v>
      </c>
    </row>
    <row r="3082" spans="1:13" x14ac:dyDescent="0.25">
      <c r="A3082" s="4" t="s">
        <v>2774</v>
      </c>
      <c r="B3082" s="4" t="s">
        <v>2776</v>
      </c>
      <c r="C3082" s="4" t="s">
        <v>65</v>
      </c>
      <c r="D3082" s="10">
        <v>77</v>
      </c>
      <c r="E3082" s="12" t="s">
        <v>66</v>
      </c>
      <c r="F3082" s="10">
        <v>10000</v>
      </c>
      <c r="G3082" s="10">
        <v>0</v>
      </c>
      <c r="H3082" s="10">
        <f t="shared" si="48"/>
        <v>10000</v>
      </c>
      <c r="I3082" s="10">
        <v>129.87012987012989</v>
      </c>
      <c r="J3082" s="10">
        <v>129.87012987012989</v>
      </c>
      <c r="K3082" s="10">
        <v>129.87012987012989</v>
      </c>
      <c r="L3082" s="4"/>
      <c r="M3082" s="4">
        <v>3077</v>
      </c>
    </row>
    <row r="3083" spans="1:13" x14ac:dyDescent="0.25">
      <c r="A3083" s="4" t="s">
        <v>2774</v>
      </c>
      <c r="B3083" s="4" t="s">
        <v>2777</v>
      </c>
      <c r="C3083" s="4" t="s">
        <v>65</v>
      </c>
      <c r="D3083" s="10">
        <v>46</v>
      </c>
      <c r="E3083" s="12" t="s">
        <v>66</v>
      </c>
      <c r="F3083" s="10">
        <v>6000</v>
      </c>
      <c r="G3083" s="10">
        <v>0</v>
      </c>
      <c r="H3083" s="10">
        <f t="shared" si="48"/>
        <v>6000</v>
      </c>
      <c r="I3083" s="10">
        <v>130.43478260869571</v>
      </c>
      <c r="J3083" s="10">
        <v>130.43478260869571</v>
      </c>
      <c r="K3083" s="10">
        <v>130.43478260869571</v>
      </c>
      <c r="L3083" s="4"/>
      <c r="M3083" s="4">
        <v>3078</v>
      </c>
    </row>
    <row r="3084" spans="1:13" x14ac:dyDescent="0.25">
      <c r="A3084" s="4" t="s">
        <v>2774</v>
      </c>
      <c r="B3084" s="4" t="s">
        <v>2778</v>
      </c>
      <c r="C3084" s="4" t="s">
        <v>65</v>
      </c>
      <c r="D3084" s="10"/>
      <c r="E3084" s="11" t="s">
        <v>51</v>
      </c>
      <c r="F3084" s="10"/>
      <c r="G3084" s="10">
        <v>0</v>
      </c>
      <c r="H3084" s="10">
        <f t="shared" si="48"/>
        <v>0</v>
      </c>
      <c r="I3084" s="10"/>
      <c r="J3084" s="10"/>
      <c r="K3084" s="10"/>
      <c r="L3084" s="4" t="s">
        <v>69</v>
      </c>
      <c r="M3084" s="4">
        <v>3079</v>
      </c>
    </row>
    <row r="3085" spans="1:13" x14ac:dyDescent="0.25">
      <c r="A3085" s="4" t="s">
        <v>2774</v>
      </c>
      <c r="B3085" s="4" t="s">
        <v>2779</v>
      </c>
      <c r="C3085" s="4" t="s">
        <v>65</v>
      </c>
      <c r="D3085" s="10">
        <v>30.5</v>
      </c>
      <c r="E3085" s="12" t="s">
        <v>66</v>
      </c>
      <c r="F3085" s="10">
        <v>4000</v>
      </c>
      <c r="G3085" s="10">
        <v>0</v>
      </c>
      <c r="H3085" s="10">
        <f t="shared" si="48"/>
        <v>4000</v>
      </c>
      <c r="I3085" s="10">
        <v>131.14754098360649</v>
      </c>
      <c r="J3085" s="10">
        <v>131.14754098360649</v>
      </c>
      <c r="K3085" s="10">
        <v>131.14754098360649</v>
      </c>
      <c r="L3085" s="4"/>
      <c r="M3085" s="4">
        <v>3080</v>
      </c>
    </row>
    <row r="3086" spans="1:13" x14ac:dyDescent="0.25">
      <c r="A3086" s="4" t="s">
        <v>2774</v>
      </c>
      <c r="B3086" s="4" t="s">
        <v>2780</v>
      </c>
      <c r="C3086" s="4" t="s">
        <v>65</v>
      </c>
      <c r="D3086" s="10">
        <v>232</v>
      </c>
      <c r="E3086" s="12" t="s">
        <v>66</v>
      </c>
      <c r="F3086" s="10">
        <v>30000</v>
      </c>
      <c r="G3086" s="10">
        <v>0</v>
      </c>
      <c r="H3086" s="10">
        <f t="shared" si="48"/>
        <v>30000</v>
      </c>
      <c r="I3086" s="10">
        <v>129.31034482758619</v>
      </c>
      <c r="J3086" s="10">
        <v>129.31034482758619</v>
      </c>
      <c r="K3086" s="10">
        <v>129.31034482758619</v>
      </c>
      <c r="L3086" s="4"/>
      <c r="M3086" s="4">
        <v>3081</v>
      </c>
    </row>
    <row r="3087" spans="1:13" x14ac:dyDescent="0.25">
      <c r="A3087" s="4" t="s">
        <v>2774</v>
      </c>
      <c r="B3087" s="4" t="s">
        <v>2781</v>
      </c>
      <c r="C3087" s="4" t="s">
        <v>65</v>
      </c>
      <c r="D3087" s="10">
        <v>2084</v>
      </c>
      <c r="E3087" s="12" t="s">
        <v>66</v>
      </c>
      <c r="F3087" s="10">
        <v>30000</v>
      </c>
      <c r="G3087" s="10">
        <v>0</v>
      </c>
      <c r="H3087" s="10">
        <f t="shared" si="48"/>
        <v>30000</v>
      </c>
      <c r="I3087" s="10">
        <v>129.31034482758619</v>
      </c>
      <c r="J3087" s="10">
        <v>129.31034482758619</v>
      </c>
      <c r="K3087" s="10">
        <v>129.31034482758619</v>
      </c>
      <c r="L3087" s="4"/>
      <c r="M3087" s="4">
        <v>3082</v>
      </c>
    </row>
    <row r="3088" spans="1:13" x14ac:dyDescent="0.25">
      <c r="A3088" s="4" t="s">
        <v>2782</v>
      </c>
      <c r="B3088" s="4" t="s">
        <v>2783</v>
      </c>
      <c r="C3088" s="4" t="s">
        <v>65</v>
      </c>
      <c r="D3088" s="10">
        <v>231.5</v>
      </c>
      <c r="E3088" s="12" t="s">
        <v>66</v>
      </c>
      <c r="F3088" s="10">
        <v>30000</v>
      </c>
      <c r="G3088" s="10">
        <v>0</v>
      </c>
      <c r="H3088" s="10">
        <f t="shared" si="48"/>
        <v>30000</v>
      </c>
      <c r="I3088" s="10">
        <v>129.58963282937361</v>
      </c>
      <c r="J3088" s="10">
        <v>129.58963282937361</v>
      </c>
      <c r="K3088" s="10">
        <v>129.58963282937361</v>
      </c>
      <c r="L3088" s="4"/>
      <c r="M3088" s="4">
        <v>3083</v>
      </c>
    </row>
    <row r="3089" spans="1:13" x14ac:dyDescent="0.25">
      <c r="A3089" s="4" t="s">
        <v>2782</v>
      </c>
      <c r="B3089" s="4" t="s">
        <v>2784</v>
      </c>
      <c r="C3089" s="4" t="s">
        <v>65</v>
      </c>
      <c r="D3089" s="10">
        <v>231.5</v>
      </c>
      <c r="E3089" s="12" t="s">
        <v>66</v>
      </c>
      <c r="F3089" s="10">
        <v>30000</v>
      </c>
      <c r="G3089" s="10">
        <v>0</v>
      </c>
      <c r="H3089" s="10">
        <f t="shared" si="48"/>
        <v>30000</v>
      </c>
      <c r="I3089" s="10">
        <v>129.58963282937361</v>
      </c>
      <c r="J3089" s="10">
        <v>129.58963282937361</v>
      </c>
      <c r="K3089" s="10">
        <v>129.58963282937361</v>
      </c>
      <c r="L3089" s="4"/>
      <c r="M3089" s="4">
        <v>3084</v>
      </c>
    </row>
    <row r="3090" spans="1:13" x14ac:dyDescent="0.25">
      <c r="A3090" s="4" t="s">
        <v>2782</v>
      </c>
      <c r="B3090" s="4" t="s">
        <v>2785</v>
      </c>
      <c r="C3090" s="4" t="s">
        <v>65</v>
      </c>
      <c r="D3090" s="10">
        <v>92.5</v>
      </c>
      <c r="E3090" s="12" t="s">
        <v>66</v>
      </c>
      <c r="F3090" s="10">
        <v>12000</v>
      </c>
      <c r="G3090" s="10">
        <v>0</v>
      </c>
      <c r="H3090" s="10">
        <f t="shared" si="48"/>
        <v>12000</v>
      </c>
      <c r="I3090" s="10">
        <v>129.72972972972971</v>
      </c>
      <c r="J3090" s="10">
        <v>129.72972972972971</v>
      </c>
      <c r="K3090" s="10">
        <v>129.72972972972971</v>
      </c>
      <c r="L3090" s="4"/>
      <c r="M3090" s="4">
        <v>3085</v>
      </c>
    </row>
    <row r="3091" spans="1:13" x14ac:dyDescent="0.25">
      <c r="A3091" s="4" t="s">
        <v>2782</v>
      </c>
      <c r="B3091" s="4" t="s">
        <v>2786</v>
      </c>
      <c r="C3091" s="4" t="s">
        <v>65</v>
      </c>
      <c r="D3091" s="10">
        <v>46</v>
      </c>
      <c r="E3091" s="12" t="s">
        <v>66</v>
      </c>
      <c r="F3091" s="10">
        <v>6000</v>
      </c>
      <c r="G3091" s="10">
        <v>0</v>
      </c>
      <c r="H3091" s="10">
        <f t="shared" si="48"/>
        <v>6000</v>
      </c>
      <c r="I3091" s="10">
        <v>130.43478260869571</v>
      </c>
      <c r="J3091" s="10">
        <v>130.43478260869571</v>
      </c>
      <c r="K3091" s="10">
        <v>130.43478260869571</v>
      </c>
      <c r="L3091" s="4"/>
      <c r="M3091" s="4">
        <v>3086</v>
      </c>
    </row>
    <row r="3092" spans="1:13" x14ac:dyDescent="0.25">
      <c r="A3092" s="4" t="s">
        <v>2782</v>
      </c>
      <c r="B3092" s="4" t="s">
        <v>2787</v>
      </c>
      <c r="C3092" s="4" t="s">
        <v>65</v>
      </c>
      <c r="D3092" s="10">
        <v>92.5</v>
      </c>
      <c r="E3092" s="12" t="s">
        <v>66</v>
      </c>
      <c r="F3092" s="10">
        <v>12000</v>
      </c>
      <c r="G3092" s="10">
        <v>0</v>
      </c>
      <c r="H3092" s="10">
        <f t="shared" si="48"/>
        <v>12000</v>
      </c>
      <c r="I3092" s="10">
        <v>129.72972972972971</v>
      </c>
      <c r="J3092" s="10">
        <v>129.72972972972971</v>
      </c>
      <c r="K3092" s="10">
        <v>129.72972972972971</v>
      </c>
      <c r="L3092" s="4"/>
      <c r="M3092" s="4">
        <v>3087</v>
      </c>
    </row>
    <row r="3093" spans="1:13" x14ac:dyDescent="0.25">
      <c r="A3093" s="4" t="s">
        <v>2782</v>
      </c>
      <c r="B3093" s="4" t="s">
        <v>2788</v>
      </c>
      <c r="C3093" s="4" t="s">
        <v>65</v>
      </c>
      <c r="D3093" s="10">
        <v>695</v>
      </c>
      <c r="E3093" s="12" t="s">
        <v>66</v>
      </c>
      <c r="F3093" s="10">
        <v>90000</v>
      </c>
      <c r="G3093" s="10">
        <v>0</v>
      </c>
      <c r="H3093" s="10">
        <f t="shared" si="48"/>
        <v>90000</v>
      </c>
      <c r="I3093" s="10">
        <v>129.49640287769779</v>
      </c>
      <c r="J3093" s="10">
        <v>129.49640287769779</v>
      </c>
      <c r="K3093" s="10">
        <v>129.49640287769779</v>
      </c>
      <c r="L3093" s="4"/>
      <c r="M3093" s="4">
        <v>3088</v>
      </c>
    </row>
    <row r="3094" spans="1:13" x14ac:dyDescent="0.25">
      <c r="A3094" s="4" t="s">
        <v>2782</v>
      </c>
      <c r="B3094" s="4" t="s">
        <v>2789</v>
      </c>
      <c r="C3094" s="4" t="s">
        <v>65</v>
      </c>
      <c r="D3094" s="10">
        <v>1912.5</v>
      </c>
      <c r="E3094" s="12" t="s">
        <v>66</v>
      </c>
      <c r="F3094" s="10">
        <v>90000</v>
      </c>
      <c r="G3094" s="10">
        <v>0</v>
      </c>
      <c r="H3094" s="10">
        <f t="shared" si="48"/>
        <v>90000</v>
      </c>
      <c r="I3094" s="10">
        <v>129.49640287769779</v>
      </c>
      <c r="J3094" s="10">
        <v>129.49640287769779</v>
      </c>
      <c r="K3094" s="10">
        <v>129.49640287769779</v>
      </c>
      <c r="L3094" s="4"/>
      <c r="M3094" s="4">
        <v>3089</v>
      </c>
    </row>
    <row r="3095" spans="1:13" x14ac:dyDescent="0.25">
      <c r="A3095" s="4" t="s">
        <v>2790</v>
      </c>
      <c r="B3095" s="4" t="s">
        <v>2791</v>
      </c>
      <c r="C3095" s="4" t="s">
        <v>65</v>
      </c>
      <c r="D3095" s="10"/>
      <c r="E3095" s="11" t="s">
        <v>51</v>
      </c>
      <c r="F3095" s="10"/>
      <c r="G3095" s="10">
        <v>0</v>
      </c>
      <c r="H3095" s="10">
        <f t="shared" si="48"/>
        <v>0</v>
      </c>
      <c r="I3095" s="10"/>
      <c r="J3095" s="10"/>
      <c r="K3095" s="10"/>
      <c r="L3095" s="4" t="s">
        <v>69</v>
      </c>
      <c r="M3095" s="4">
        <v>3090</v>
      </c>
    </row>
    <row r="3096" spans="1:13" x14ac:dyDescent="0.25">
      <c r="A3096" s="4" t="s">
        <v>2790</v>
      </c>
      <c r="B3096" s="4" t="s">
        <v>2792</v>
      </c>
      <c r="C3096" s="4" t="s">
        <v>65</v>
      </c>
      <c r="D3096" s="10"/>
      <c r="E3096" s="11" t="s">
        <v>51</v>
      </c>
      <c r="F3096" s="10"/>
      <c r="G3096" s="10">
        <v>0</v>
      </c>
      <c r="H3096" s="10">
        <f t="shared" si="48"/>
        <v>0</v>
      </c>
      <c r="I3096" s="10"/>
      <c r="J3096" s="10"/>
      <c r="K3096" s="10"/>
      <c r="L3096" s="4" t="s">
        <v>69</v>
      </c>
      <c r="M3096" s="4">
        <v>3091</v>
      </c>
    </row>
    <row r="3097" spans="1:13" x14ac:dyDescent="0.25">
      <c r="A3097" s="4" t="s">
        <v>2790</v>
      </c>
      <c r="B3097" s="4" t="s">
        <v>2793</v>
      </c>
      <c r="C3097" s="4" t="s">
        <v>65</v>
      </c>
      <c r="D3097" s="10">
        <v>85</v>
      </c>
      <c r="E3097" s="12" t="s">
        <v>66</v>
      </c>
      <c r="F3097" s="10">
        <v>11000</v>
      </c>
      <c r="G3097" s="10">
        <v>0</v>
      </c>
      <c r="H3097" s="10">
        <f t="shared" si="48"/>
        <v>11000</v>
      </c>
      <c r="I3097" s="10">
        <v>129.41176470588229</v>
      </c>
      <c r="J3097" s="10">
        <v>129.41176470588229</v>
      </c>
      <c r="K3097" s="10">
        <v>129.41176470588229</v>
      </c>
      <c r="L3097" s="4"/>
      <c r="M3097" s="4">
        <v>3092</v>
      </c>
    </row>
    <row r="3098" spans="1:13" x14ac:dyDescent="0.25">
      <c r="A3098" s="4" t="s">
        <v>2790</v>
      </c>
      <c r="B3098" s="4" t="s">
        <v>2794</v>
      </c>
      <c r="C3098" s="4" t="s">
        <v>65</v>
      </c>
      <c r="D3098" s="10">
        <v>42.5</v>
      </c>
      <c r="E3098" s="12" t="s">
        <v>66</v>
      </c>
      <c r="F3098" s="10">
        <v>5500</v>
      </c>
      <c r="G3098" s="10">
        <v>0</v>
      </c>
      <c r="H3098" s="10">
        <f t="shared" si="48"/>
        <v>5500</v>
      </c>
      <c r="I3098" s="10">
        <v>129.41176470588229</v>
      </c>
      <c r="J3098" s="10">
        <v>129.41176470588229</v>
      </c>
      <c r="K3098" s="10">
        <v>129.41176470588229</v>
      </c>
      <c r="L3098" s="4"/>
      <c r="M3098" s="4">
        <v>3093</v>
      </c>
    </row>
    <row r="3099" spans="1:13" x14ac:dyDescent="0.25">
      <c r="A3099" s="4" t="s">
        <v>2790</v>
      </c>
      <c r="B3099" s="4" t="s">
        <v>2795</v>
      </c>
      <c r="C3099" s="4" t="s">
        <v>65</v>
      </c>
      <c r="D3099" s="10">
        <v>85</v>
      </c>
      <c r="E3099" s="12" t="s">
        <v>66</v>
      </c>
      <c r="F3099" s="10">
        <v>11000</v>
      </c>
      <c r="G3099" s="10">
        <v>0</v>
      </c>
      <c r="H3099" s="10">
        <f t="shared" si="48"/>
        <v>11000</v>
      </c>
      <c r="I3099" s="10">
        <v>129.41176470588229</v>
      </c>
      <c r="J3099" s="10">
        <v>129.41176470588229</v>
      </c>
      <c r="K3099" s="10">
        <v>129.41176470588229</v>
      </c>
      <c r="L3099" s="4"/>
      <c r="M3099" s="4">
        <v>3094</v>
      </c>
    </row>
    <row r="3100" spans="1:13" x14ac:dyDescent="0.25">
      <c r="A3100" s="4" t="s">
        <v>2790</v>
      </c>
      <c r="B3100" s="4" t="s">
        <v>2796</v>
      </c>
      <c r="C3100" s="4" t="s">
        <v>65</v>
      </c>
      <c r="D3100" s="10">
        <v>637.5</v>
      </c>
      <c r="E3100" s="12" t="s">
        <v>66</v>
      </c>
      <c r="F3100" s="10">
        <v>82500</v>
      </c>
      <c r="G3100" s="10">
        <v>0</v>
      </c>
      <c r="H3100" s="10">
        <f t="shared" si="48"/>
        <v>82500</v>
      </c>
      <c r="I3100" s="10">
        <v>129.41176470588229</v>
      </c>
      <c r="J3100" s="10">
        <v>129.41176470588229</v>
      </c>
      <c r="K3100" s="10">
        <v>129.41176470588229</v>
      </c>
      <c r="L3100" s="4"/>
      <c r="M3100" s="4">
        <v>3095</v>
      </c>
    </row>
    <row r="3101" spans="1:13" x14ac:dyDescent="0.25">
      <c r="A3101" s="4" t="s">
        <v>2790</v>
      </c>
      <c r="B3101" s="4" t="s">
        <v>2797</v>
      </c>
      <c r="C3101" s="4" t="s">
        <v>65</v>
      </c>
      <c r="D3101" s="10">
        <v>100</v>
      </c>
      <c r="E3101" s="12" t="s">
        <v>66</v>
      </c>
      <c r="F3101" s="10">
        <v>137500</v>
      </c>
      <c r="G3101" s="10">
        <v>0</v>
      </c>
      <c r="H3101" s="10">
        <f t="shared" si="48"/>
        <v>137500</v>
      </c>
      <c r="I3101" s="10">
        <v>129.41176470588229</v>
      </c>
      <c r="J3101" s="10">
        <v>129.41176470588229</v>
      </c>
      <c r="K3101" s="10">
        <v>129.41176470588229</v>
      </c>
      <c r="L3101" s="4"/>
      <c r="M3101" s="4">
        <v>3096</v>
      </c>
    </row>
    <row r="3102" spans="1:13" x14ac:dyDescent="0.25">
      <c r="A3102" s="4" t="s">
        <v>2798</v>
      </c>
      <c r="B3102" s="4" t="s">
        <v>2799</v>
      </c>
      <c r="C3102" s="4" t="s">
        <v>65</v>
      </c>
      <c r="D3102" s="10">
        <v>100</v>
      </c>
      <c r="E3102" s="12" t="s">
        <v>66</v>
      </c>
      <c r="F3102" s="10">
        <v>7500</v>
      </c>
      <c r="G3102" s="10">
        <v>0</v>
      </c>
      <c r="H3102" s="10">
        <f t="shared" si="48"/>
        <v>7500</v>
      </c>
      <c r="I3102" s="10">
        <v>75</v>
      </c>
      <c r="J3102" s="10">
        <v>75</v>
      </c>
      <c r="K3102" s="10">
        <v>75</v>
      </c>
      <c r="L3102" s="4"/>
      <c r="M3102" s="4">
        <v>3097</v>
      </c>
    </row>
    <row r="3103" spans="1:13" x14ac:dyDescent="0.25">
      <c r="A3103" s="4" t="s">
        <v>2800</v>
      </c>
      <c r="B3103" s="4" t="s">
        <v>2801</v>
      </c>
      <c r="C3103" s="9" t="s">
        <v>50</v>
      </c>
      <c r="D3103" s="10">
        <v>85</v>
      </c>
      <c r="E3103" s="11" t="s">
        <v>51</v>
      </c>
      <c r="F3103" s="10"/>
      <c r="G3103" s="10">
        <v>0</v>
      </c>
      <c r="H3103" s="10">
        <f t="shared" si="48"/>
        <v>0</v>
      </c>
      <c r="I3103" s="10"/>
      <c r="J3103" s="10"/>
      <c r="K3103" s="10"/>
      <c r="L3103" s="4" t="s">
        <v>52</v>
      </c>
      <c r="M3103" s="4">
        <v>3098</v>
      </c>
    </row>
    <row r="3104" spans="1:13" x14ac:dyDescent="0.25">
      <c r="A3104" s="4" t="s">
        <v>2802</v>
      </c>
      <c r="B3104" s="4" t="s">
        <v>2803</v>
      </c>
      <c r="C3104" s="4" t="s">
        <v>68</v>
      </c>
      <c r="D3104" s="10">
        <v>12</v>
      </c>
      <c r="E3104" s="11" t="s">
        <v>51</v>
      </c>
      <c r="F3104" s="10">
        <v>1440</v>
      </c>
      <c r="G3104" s="10">
        <v>0</v>
      </c>
      <c r="H3104" s="10">
        <f t="shared" si="48"/>
        <v>1440</v>
      </c>
      <c r="I3104" s="10"/>
      <c r="J3104" s="10"/>
      <c r="K3104" s="10"/>
      <c r="L3104" s="4" t="s">
        <v>69</v>
      </c>
      <c r="M3104" s="4">
        <v>3099</v>
      </c>
    </row>
    <row r="3105" spans="1:13" x14ac:dyDescent="0.25">
      <c r="A3105" s="4" t="s">
        <v>2802</v>
      </c>
      <c r="B3105" s="4" t="s">
        <v>2804</v>
      </c>
      <c r="C3105" s="4" t="s">
        <v>65</v>
      </c>
      <c r="D3105" s="10">
        <v>47</v>
      </c>
      <c r="E3105" s="12" t="s">
        <v>66</v>
      </c>
      <c r="F3105" s="10">
        <v>4250</v>
      </c>
      <c r="G3105" s="10">
        <v>0</v>
      </c>
      <c r="H3105" s="10">
        <f t="shared" si="48"/>
        <v>4250</v>
      </c>
      <c r="I3105" s="10">
        <v>90.425531914893611</v>
      </c>
      <c r="J3105" s="10">
        <v>90.425531914893611</v>
      </c>
      <c r="K3105" s="10">
        <v>90.425531914893611</v>
      </c>
      <c r="L3105" s="4"/>
      <c r="M3105" s="4">
        <v>3100</v>
      </c>
    </row>
    <row r="3106" spans="1:13" x14ac:dyDescent="0.25">
      <c r="A3106" s="4" t="s">
        <v>2802</v>
      </c>
      <c r="B3106" s="4" t="s">
        <v>2805</v>
      </c>
      <c r="C3106" s="4" t="s">
        <v>65</v>
      </c>
      <c r="D3106" s="10">
        <v>144</v>
      </c>
      <c r="E3106" s="12" t="s">
        <v>66</v>
      </c>
      <c r="F3106" s="10">
        <v>2500</v>
      </c>
      <c r="G3106" s="10">
        <v>0</v>
      </c>
      <c r="H3106" s="10">
        <f t="shared" si="48"/>
        <v>2500</v>
      </c>
      <c r="I3106" s="10">
        <v>96.15384615384616</v>
      </c>
      <c r="J3106" s="10">
        <v>96.15384615384616</v>
      </c>
      <c r="K3106" s="10">
        <v>96.15384615384616</v>
      </c>
      <c r="L3106" s="4"/>
      <c r="M3106" s="4">
        <v>3101</v>
      </c>
    </row>
    <row r="3107" spans="1:13" x14ac:dyDescent="0.25">
      <c r="A3107" s="4" t="s">
        <v>2806</v>
      </c>
      <c r="B3107" s="4" t="s">
        <v>2807</v>
      </c>
      <c r="C3107" s="9" t="s">
        <v>50</v>
      </c>
      <c r="D3107" s="10">
        <v>90</v>
      </c>
      <c r="E3107" s="11" t="s">
        <v>51</v>
      </c>
      <c r="F3107" s="10">
        <v>9275</v>
      </c>
      <c r="G3107" s="10">
        <v>0</v>
      </c>
      <c r="H3107" s="10">
        <f t="shared" si="48"/>
        <v>9275</v>
      </c>
      <c r="I3107" s="10"/>
      <c r="J3107" s="10"/>
      <c r="K3107" s="10"/>
      <c r="L3107" s="4" t="s">
        <v>52</v>
      </c>
      <c r="M3107" s="4">
        <v>3102</v>
      </c>
    </row>
    <row r="3108" spans="1:13" x14ac:dyDescent="0.25">
      <c r="A3108" s="4" t="s">
        <v>2806</v>
      </c>
      <c r="B3108" s="4" t="s">
        <v>2808</v>
      </c>
      <c r="C3108" s="4" t="s">
        <v>68</v>
      </c>
      <c r="D3108" s="10">
        <v>82</v>
      </c>
      <c r="E3108" s="11" t="s">
        <v>51</v>
      </c>
      <c r="F3108" s="10">
        <v>2660</v>
      </c>
      <c r="G3108" s="10">
        <v>0</v>
      </c>
      <c r="H3108" s="10">
        <f t="shared" si="48"/>
        <v>2660</v>
      </c>
      <c r="I3108" s="10"/>
      <c r="J3108" s="10"/>
      <c r="K3108" s="10"/>
      <c r="L3108" s="4" t="s">
        <v>69</v>
      </c>
      <c r="M3108" s="4">
        <v>3103</v>
      </c>
    </row>
    <row r="3109" spans="1:13" x14ac:dyDescent="0.25">
      <c r="A3109" s="4" t="s">
        <v>2809</v>
      </c>
      <c r="B3109" s="4" t="s">
        <v>2810</v>
      </c>
      <c r="C3109" s="9" t="s">
        <v>50</v>
      </c>
      <c r="D3109" s="10">
        <v>27</v>
      </c>
      <c r="E3109" s="11" t="s">
        <v>51</v>
      </c>
      <c r="F3109" s="10">
        <v>2800</v>
      </c>
      <c r="G3109" s="10">
        <v>0</v>
      </c>
      <c r="H3109" s="10">
        <f t="shared" si="48"/>
        <v>2800</v>
      </c>
      <c r="I3109" s="10"/>
      <c r="J3109" s="10"/>
      <c r="K3109" s="10"/>
      <c r="L3109" s="4" t="s">
        <v>52</v>
      </c>
      <c r="M3109" s="4">
        <v>3104</v>
      </c>
    </row>
    <row r="3110" spans="1:13" x14ac:dyDescent="0.25">
      <c r="A3110" s="4" t="s">
        <v>2809</v>
      </c>
      <c r="B3110" s="4" t="s">
        <v>2811</v>
      </c>
      <c r="C3110" s="9" t="s">
        <v>50</v>
      </c>
      <c r="D3110" s="10">
        <v>81</v>
      </c>
      <c r="E3110" s="11" t="s">
        <v>51</v>
      </c>
      <c r="F3110" s="10">
        <v>2800</v>
      </c>
      <c r="G3110" s="10">
        <v>0</v>
      </c>
      <c r="H3110" s="10">
        <f t="shared" si="48"/>
        <v>2800</v>
      </c>
      <c r="I3110" s="10"/>
      <c r="J3110" s="10"/>
      <c r="K3110" s="10"/>
      <c r="L3110" s="4" t="s">
        <v>52</v>
      </c>
      <c r="M3110" s="4">
        <v>3105</v>
      </c>
    </row>
    <row r="3111" spans="1:13" x14ac:dyDescent="0.25">
      <c r="A3111" s="4" t="s">
        <v>2812</v>
      </c>
      <c r="B3111" s="4" t="s">
        <v>2810</v>
      </c>
      <c r="C3111" s="9" t="s">
        <v>50</v>
      </c>
      <c r="D3111" s="10">
        <v>27</v>
      </c>
      <c r="E3111" s="11" t="s">
        <v>51</v>
      </c>
      <c r="F3111" s="10">
        <v>2800</v>
      </c>
      <c r="G3111" s="10">
        <v>0</v>
      </c>
      <c r="H3111" s="10">
        <f t="shared" si="48"/>
        <v>2800</v>
      </c>
      <c r="I3111" s="10"/>
      <c r="J3111" s="10"/>
      <c r="K3111" s="10"/>
      <c r="L3111" s="4" t="s">
        <v>52</v>
      </c>
      <c r="M3111" s="4">
        <v>3106</v>
      </c>
    </row>
    <row r="3112" spans="1:13" x14ac:dyDescent="0.25">
      <c r="A3112" s="4" t="s">
        <v>2812</v>
      </c>
      <c r="B3112" s="4" t="s">
        <v>2811</v>
      </c>
      <c r="C3112" s="9" t="s">
        <v>50</v>
      </c>
      <c r="D3112" s="10">
        <v>51</v>
      </c>
      <c r="E3112" s="11" t="s">
        <v>51</v>
      </c>
      <c r="F3112" s="10">
        <v>2800</v>
      </c>
      <c r="G3112" s="10">
        <v>0</v>
      </c>
      <c r="H3112" s="10">
        <f t="shared" si="48"/>
        <v>2800</v>
      </c>
      <c r="I3112" s="10"/>
      <c r="J3112" s="10"/>
      <c r="K3112" s="10"/>
      <c r="L3112" s="4" t="s">
        <v>52</v>
      </c>
      <c r="M3112" s="4">
        <v>3107</v>
      </c>
    </row>
    <row r="3113" spans="1:13" x14ac:dyDescent="0.25">
      <c r="A3113" s="4" t="s">
        <v>2813</v>
      </c>
      <c r="B3113" s="4" t="s">
        <v>2814</v>
      </c>
      <c r="C3113" s="4" t="s">
        <v>68</v>
      </c>
      <c r="D3113" s="10">
        <v>128</v>
      </c>
      <c r="E3113" s="11" t="s">
        <v>51</v>
      </c>
      <c r="F3113" s="10">
        <v>2280</v>
      </c>
      <c r="G3113" s="10">
        <v>0</v>
      </c>
      <c r="H3113" s="10">
        <f t="shared" si="48"/>
        <v>2280</v>
      </c>
      <c r="I3113" s="10"/>
      <c r="J3113" s="10"/>
      <c r="K3113" s="10"/>
      <c r="L3113" s="4" t="s">
        <v>69</v>
      </c>
      <c r="M3113" s="4">
        <v>3108</v>
      </c>
    </row>
    <row r="3114" spans="1:13" x14ac:dyDescent="0.25">
      <c r="A3114" s="4" t="s">
        <v>2815</v>
      </c>
      <c r="B3114" s="4" t="s">
        <v>498</v>
      </c>
      <c r="C3114" s="9" t="s">
        <v>50</v>
      </c>
      <c r="D3114" s="10">
        <v>52</v>
      </c>
      <c r="E3114" s="11" t="s">
        <v>51</v>
      </c>
      <c r="F3114" s="10">
        <v>6460</v>
      </c>
      <c r="G3114" s="10">
        <v>0</v>
      </c>
      <c r="H3114" s="10">
        <f t="shared" si="48"/>
        <v>6460</v>
      </c>
      <c r="I3114" s="10"/>
      <c r="J3114" s="10"/>
      <c r="K3114" s="10"/>
      <c r="L3114" s="4" t="s">
        <v>52</v>
      </c>
      <c r="M3114" s="4">
        <v>3109</v>
      </c>
    </row>
    <row r="3115" spans="1:13" x14ac:dyDescent="0.25">
      <c r="A3115" s="4" t="s">
        <v>2815</v>
      </c>
      <c r="B3115" s="4" t="s">
        <v>2816</v>
      </c>
      <c r="C3115" s="9" t="s">
        <v>50</v>
      </c>
      <c r="D3115" s="10">
        <v>31</v>
      </c>
      <c r="E3115" s="11" t="s">
        <v>51</v>
      </c>
      <c r="F3115" s="10">
        <v>3300</v>
      </c>
      <c r="G3115" s="10">
        <v>0</v>
      </c>
      <c r="H3115" s="10">
        <f t="shared" si="48"/>
        <v>3300</v>
      </c>
      <c r="I3115" s="10"/>
      <c r="J3115" s="10"/>
      <c r="K3115" s="10"/>
      <c r="L3115" s="4" t="s">
        <v>52</v>
      </c>
      <c r="M3115" s="4">
        <v>3110</v>
      </c>
    </row>
    <row r="3116" spans="1:13" x14ac:dyDescent="0.25">
      <c r="A3116" s="4" t="s">
        <v>2815</v>
      </c>
      <c r="B3116" s="4" t="s">
        <v>2817</v>
      </c>
      <c r="C3116" s="9" t="s">
        <v>50</v>
      </c>
      <c r="D3116" s="10">
        <v>35.5</v>
      </c>
      <c r="E3116" s="11" t="s">
        <v>51</v>
      </c>
      <c r="F3116" s="10">
        <v>2200</v>
      </c>
      <c r="G3116" s="10">
        <v>0</v>
      </c>
      <c r="H3116" s="10">
        <f t="shared" si="48"/>
        <v>2200</v>
      </c>
      <c r="I3116" s="10"/>
      <c r="J3116" s="10"/>
      <c r="K3116" s="10"/>
      <c r="L3116" s="4" t="s">
        <v>52</v>
      </c>
      <c r="M3116" s="4">
        <v>3111</v>
      </c>
    </row>
    <row r="3117" spans="1:13" x14ac:dyDescent="0.25">
      <c r="A3117" s="4" t="s">
        <v>2818</v>
      </c>
      <c r="B3117" s="4" t="s">
        <v>2819</v>
      </c>
      <c r="C3117" s="4" t="s">
        <v>65</v>
      </c>
      <c r="D3117" s="10">
        <v>33</v>
      </c>
      <c r="E3117" s="12" t="s">
        <v>66</v>
      </c>
      <c r="F3117" s="10">
        <v>2000</v>
      </c>
      <c r="G3117" s="10">
        <v>0</v>
      </c>
      <c r="H3117" s="10">
        <f t="shared" si="48"/>
        <v>2000</v>
      </c>
      <c r="I3117" s="10">
        <v>137.93103448275861</v>
      </c>
      <c r="J3117" s="10">
        <v>137.93103448275861</v>
      </c>
      <c r="K3117" s="10">
        <v>137.93103448275861</v>
      </c>
      <c r="L3117" s="4"/>
      <c r="M3117" s="4">
        <v>3112</v>
      </c>
    </row>
    <row r="3118" spans="1:13" x14ac:dyDescent="0.25">
      <c r="A3118" s="4" t="s">
        <v>2820</v>
      </c>
      <c r="B3118" s="4" t="s">
        <v>2821</v>
      </c>
      <c r="C3118" s="4" t="s">
        <v>65</v>
      </c>
      <c r="D3118" s="10">
        <v>35</v>
      </c>
      <c r="E3118" s="12" t="s">
        <v>66</v>
      </c>
      <c r="F3118" s="10">
        <v>2500</v>
      </c>
      <c r="G3118" s="10">
        <v>0</v>
      </c>
      <c r="H3118" s="10">
        <f t="shared" si="48"/>
        <v>2500</v>
      </c>
      <c r="I3118" s="10">
        <v>135.1351351351351</v>
      </c>
      <c r="J3118" s="10">
        <v>135.1351351351351</v>
      </c>
      <c r="K3118" s="10">
        <v>135.1351351351351</v>
      </c>
      <c r="L3118" s="4"/>
      <c r="M3118" s="4">
        <v>3113</v>
      </c>
    </row>
    <row r="3119" spans="1:13" x14ac:dyDescent="0.25">
      <c r="A3119" s="4" t="s">
        <v>2822</v>
      </c>
      <c r="B3119" s="4" t="s">
        <v>2823</v>
      </c>
      <c r="C3119" s="4" t="s">
        <v>65</v>
      </c>
      <c r="D3119" s="10">
        <v>43.5</v>
      </c>
      <c r="E3119" s="12" t="s">
        <v>66</v>
      </c>
      <c r="F3119" s="10">
        <v>2150</v>
      </c>
      <c r="G3119" s="10">
        <v>0</v>
      </c>
      <c r="H3119" s="10">
        <f t="shared" si="48"/>
        <v>2150</v>
      </c>
      <c r="I3119" s="10">
        <v>130.30303030303031</v>
      </c>
      <c r="J3119" s="10">
        <v>130.30303030303031</v>
      </c>
      <c r="K3119" s="10">
        <v>130.30303030303031</v>
      </c>
      <c r="L3119" s="4"/>
      <c r="M3119" s="4">
        <v>3114</v>
      </c>
    </row>
    <row r="3120" spans="1:13" x14ac:dyDescent="0.25">
      <c r="A3120" s="4" t="s">
        <v>2824</v>
      </c>
      <c r="B3120" s="4" t="s">
        <v>2825</v>
      </c>
      <c r="C3120" s="4" t="s">
        <v>65</v>
      </c>
      <c r="D3120" s="10">
        <v>54</v>
      </c>
      <c r="E3120" s="12" t="s">
        <v>66</v>
      </c>
      <c r="F3120" s="10">
        <v>3450</v>
      </c>
      <c r="G3120" s="10">
        <v>0</v>
      </c>
      <c r="H3120" s="10">
        <f t="shared" si="48"/>
        <v>3450</v>
      </c>
      <c r="I3120" s="10">
        <v>127.7777777777778</v>
      </c>
      <c r="J3120" s="10">
        <v>127.7777777777778</v>
      </c>
      <c r="K3120" s="10">
        <v>127.7777777777778</v>
      </c>
      <c r="L3120" s="4"/>
      <c r="M3120" s="4">
        <v>3115</v>
      </c>
    </row>
    <row r="3121" spans="1:13" x14ac:dyDescent="0.25">
      <c r="A3121" s="4" t="s">
        <v>2826</v>
      </c>
      <c r="B3121" s="4" t="s">
        <v>2825</v>
      </c>
      <c r="C3121" s="4" t="s">
        <v>65</v>
      </c>
      <c r="D3121" s="10">
        <v>54</v>
      </c>
      <c r="E3121" s="12" t="s">
        <v>66</v>
      </c>
      <c r="F3121" s="10">
        <v>3450</v>
      </c>
      <c r="G3121" s="10">
        <v>0</v>
      </c>
      <c r="H3121" s="10">
        <f t="shared" si="48"/>
        <v>3450</v>
      </c>
      <c r="I3121" s="10">
        <v>127.7777777777778</v>
      </c>
      <c r="J3121" s="10">
        <v>127.7777777777778</v>
      </c>
      <c r="K3121" s="10">
        <v>127.7777777777778</v>
      </c>
      <c r="L3121" s="4"/>
      <c r="M3121" s="4">
        <v>3116</v>
      </c>
    </row>
    <row r="3122" spans="1:13" x14ac:dyDescent="0.25">
      <c r="A3122" s="4" t="s">
        <v>2827</v>
      </c>
      <c r="B3122" s="4" t="s">
        <v>2828</v>
      </c>
      <c r="C3122" s="4" t="s">
        <v>65</v>
      </c>
      <c r="D3122" s="10">
        <v>135</v>
      </c>
      <c r="E3122" s="12" t="s">
        <v>66</v>
      </c>
      <c r="F3122" s="10">
        <v>3450</v>
      </c>
      <c r="G3122" s="10">
        <v>0</v>
      </c>
      <c r="H3122" s="10">
        <f t="shared" si="48"/>
        <v>3450</v>
      </c>
      <c r="I3122" s="10">
        <v>127.7777777777778</v>
      </c>
      <c r="J3122" s="10">
        <v>127.7777777777778</v>
      </c>
      <c r="K3122" s="10">
        <v>127.7777777777778</v>
      </c>
      <c r="L3122" s="4"/>
      <c r="M3122" s="4">
        <v>3117</v>
      </c>
    </row>
    <row r="3123" spans="1:13" x14ac:dyDescent="0.25">
      <c r="A3123" s="4" t="s">
        <v>2829</v>
      </c>
      <c r="B3123" s="4" t="s">
        <v>498</v>
      </c>
      <c r="C3123" s="9" t="s">
        <v>50</v>
      </c>
      <c r="D3123" s="10">
        <v>52</v>
      </c>
      <c r="E3123" s="11" t="s">
        <v>51</v>
      </c>
      <c r="F3123" s="10">
        <v>4940</v>
      </c>
      <c r="G3123" s="10">
        <v>0</v>
      </c>
      <c r="H3123" s="10">
        <f t="shared" si="48"/>
        <v>4940</v>
      </c>
      <c r="I3123" s="10"/>
      <c r="J3123" s="10"/>
      <c r="K3123" s="10"/>
      <c r="L3123" s="4" t="s">
        <v>52</v>
      </c>
      <c r="M3123" s="4">
        <v>3118</v>
      </c>
    </row>
    <row r="3124" spans="1:13" x14ac:dyDescent="0.25">
      <c r="A3124" s="4" t="s">
        <v>2829</v>
      </c>
      <c r="B3124" s="4" t="s">
        <v>2830</v>
      </c>
      <c r="C3124" s="9" t="s">
        <v>50</v>
      </c>
      <c r="D3124" s="10">
        <v>35</v>
      </c>
      <c r="E3124" s="11" t="s">
        <v>51</v>
      </c>
      <c r="F3124" s="10">
        <v>3700</v>
      </c>
      <c r="G3124" s="10">
        <v>0</v>
      </c>
      <c r="H3124" s="10">
        <f t="shared" si="48"/>
        <v>3700</v>
      </c>
      <c r="I3124" s="10"/>
      <c r="J3124" s="10"/>
      <c r="K3124" s="10"/>
      <c r="L3124" s="4" t="s">
        <v>52</v>
      </c>
      <c r="M3124" s="4">
        <v>3119</v>
      </c>
    </row>
    <row r="3125" spans="1:13" x14ac:dyDescent="0.25">
      <c r="A3125" s="4" t="s">
        <v>2829</v>
      </c>
      <c r="B3125" s="4" t="s">
        <v>2831</v>
      </c>
      <c r="C3125" s="9" t="s">
        <v>50</v>
      </c>
      <c r="D3125" s="10">
        <v>41</v>
      </c>
      <c r="E3125" s="11" t="s">
        <v>51</v>
      </c>
      <c r="F3125" s="10">
        <v>2200</v>
      </c>
      <c r="G3125" s="10">
        <v>0</v>
      </c>
      <c r="H3125" s="10">
        <f t="shared" si="48"/>
        <v>2200</v>
      </c>
      <c r="I3125" s="10"/>
      <c r="J3125" s="10"/>
      <c r="K3125" s="10"/>
      <c r="L3125" s="4" t="s">
        <v>52</v>
      </c>
      <c r="M3125" s="4">
        <v>3120</v>
      </c>
    </row>
    <row r="3126" spans="1:13" x14ac:dyDescent="0.25">
      <c r="A3126" s="4" t="s">
        <v>2832</v>
      </c>
      <c r="B3126" s="4" t="s">
        <v>2833</v>
      </c>
      <c r="C3126" s="4" t="s">
        <v>68</v>
      </c>
      <c r="D3126" s="10">
        <v>48</v>
      </c>
      <c r="E3126" s="11" t="s">
        <v>51</v>
      </c>
      <c r="F3126" s="10">
        <v>3180</v>
      </c>
      <c r="G3126" s="10">
        <v>0</v>
      </c>
      <c r="H3126" s="10">
        <f t="shared" si="48"/>
        <v>3180</v>
      </c>
      <c r="I3126" s="10"/>
      <c r="J3126" s="10"/>
      <c r="K3126" s="10"/>
      <c r="L3126" s="4" t="s">
        <v>69</v>
      </c>
      <c r="M3126" s="4">
        <v>3121</v>
      </c>
    </row>
    <row r="3127" spans="1:13" x14ac:dyDescent="0.25">
      <c r="A3127" s="4" t="s">
        <v>2834</v>
      </c>
      <c r="B3127" s="4" t="s">
        <v>2835</v>
      </c>
      <c r="C3127" s="4" t="s">
        <v>65</v>
      </c>
      <c r="D3127" s="10">
        <v>18</v>
      </c>
      <c r="E3127" s="12" t="s">
        <v>66</v>
      </c>
      <c r="F3127" s="10">
        <v>1050</v>
      </c>
      <c r="G3127" s="10">
        <v>0</v>
      </c>
      <c r="H3127" s="10">
        <f t="shared" si="48"/>
        <v>1050</v>
      </c>
      <c r="I3127" s="10">
        <v>58.333333333333343</v>
      </c>
      <c r="J3127" s="10">
        <v>58.333333333333343</v>
      </c>
      <c r="K3127" s="10">
        <v>58.333333333333343</v>
      </c>
      <c r="L3127" s="4"/>
      <c r="M3127" s="4">
        <v>3122</v>
      </c>
    </row>
    <row r="3128" spans="1:13" x14ac:dyDescent="0.25">
      <c r="A3128" s="4" t="s">
        <v>2834</v>
      </c>
      <c r="B3128" s="4" t="s">
        <v>2836</v>
      </c>
      <c r="C3128" s="4" t="s">
        <v>68</v>
      </c>
      <c r="D3128" s="10">
        <v>454</v>
      </c>
      <c r="E3128" s="11" t="s">
        <v>51</v>
      </c>
      <c r="F3128" s="10">
        <v>950</v>
      </c>
      <c r="G3128" s="10">
        <v>0</v>
      </c>
      <c r="H3128" s="10">
        <f t="shared" si="48"/>
        <v>950</v>
      </c>
      <c r="I3128" s="10"/>
      <c r="J3128" s="10"/>
      <c r="K3128" s="10"/>
      <c r="L3128" s="4" t="s">
        <v>69</v>
      </c>
      <c r="M3128" s="4">
        <v>3123</v>
      </c>
    </row>
    <row r="3129" spans="1:13" x14ac:dyDescent="0.25">
      <c r="A3129" s="4" t="s">
        <v>2837</v>
      </c>
      <c r="B3129" s="4" t="s">
        <v>2838</v>
      </c>
      <c r="C3129" s="9" t="s">
        <v>50</v>
      </c>
      <c r="D3129" s="10">
        <v>148</v>
      </c>
      <c r="E3129" s="11" t="s">
        <v>51</v>
      </c>
      <c r="F3129" s="10">
        <v>13150</v>
      </c>
      <c r="G3129" s="10">
        <v>0</v>
      </c>
      <c r="H3129" s="10">
        <f t="shared" si="48"/>
        <v>13150</v>
      </c>
      <c r="I3129" s="10"/>
      <c r="J3129" s="10"/>
      <c r="K3129" s="10"/>
      <c r="L3129" s="4" t="s">
        <v>52</v>
      </c>
      <c r="M3129" s="4">
        <v>3124</v>
      </c>
    </row>
    <row r="3130" spans="1:13" x14ac:dyDescent="0.25">
      <c r="A3130" s="4" t="s">
        <v>2837</v>
      </c>
      <c r="B3130" s="4" t="s">
        <v>2839</v>
      </c>
      <c r="C3130" s="9" t="s">
        <v>50</v>
      </c>
      <c r="D3130" s="10">
        <v>46</v>
      </c>
      <c r="E3130" s="11" t="s">
        <v>51</v>
      </c>
      <c r="F3130" s="10">
        <v>5300</v>
      </c>
      <c r="G3130" s="10">
        <v>0</v>
      </c>
      <c r="H3130" s="10">
        <f t="shared" si="48"/>
        <v>5300</v>
      </c>
      <c r="I3130" s="10"/>
      <c r="J3130" s="10"/>
      <c r="K3130" s="10"/>
      <c r="L3130" s="4" t="s">
        <v>52</v>
      </c>
      <c r="M3130" s="4">
        <v>3125</v>
      </c>
    </row>
    <row r="3131" spans="1:13" x14ac:dyDescent="0.25">
      <c r="A3131" s="4" t="s">
        <v>2837</v>
      </c>
      <c r="B3131" s="4" t="s">
        <v>2840</v>
      </c>
      <c r="C3131" s="4" t="s">
        <v>68</v>
      </c>
      <c r="D3131" s="10">
        <v>170</v>
      </c>
      <c r="E3131" s="12" t="s">
        <v>66</v>
      </c>
      <c r="F3131" s="10">
        <v>17000</v>
      </c>
      <c r="G3131" s="10">
        <v>0</v>
      </c>
      <c r="H3131" s="10">
        <f t="shared" si="48"/>
        <v>17000</v>
      </c>
      <c r="I3131" s="10">
        <v>100</v>
      </c>
      <c r="J3131" s="10">
        <v>100</v>
      </c>
      <c r="K3131" s="10">
        <v>100</v>
      </c>
      <c r="L3131" s="4"/>
      <c r="M3131" s="4">
        <v>3126</v>
      </c>
    </row>
    <row r="3132" spans="1:13" x14ac:dyDescent="0.25">
      <c r="A3132" s="4" t="s">
        <v>2837</v>
      </c>
      <c r="B3132" s="4" t="s">
        <v>2841</v>
      </c>
      <c r="C3132" s="9" t="s">
        <v>50</v>
      </c>
      <c r="D3132" s="10">
        <v>1105.5</v>
      </c>
      <c r="E3132" s="11" t="s">
        <v>51</v>
      </c>
      <c r="F3132" s="10">
        <v>26000</v>
      </c>
      <c r="G3132" s="10">
        <v>0</v>
      </c>
      <c r="H3132" s="10">
        <f t="shared" si="48"/>
        <v>26000</v>
      </c>
      <c r="I3132" s="10"/>
      <c r="J3132" s="10"/>
      <c r="K3132" s="10"/>
      <c r="L3132" s="4" t="s">
        <v>52</v>
      </c>
      <c r="M3132" s="4">
        <v>3127</v>
      </c>
    </row>
    <row r="3133" spans="1:13" x14ac:dyDescent="0.25">
      <c r="A3133" s="4" t="s">
        <v>2842</v>
      </c>
      <c r="B3133" s="4" t="s">
        <v>2843</v>
      </c>
      <c r="C3133" s="9" t="s">
        <v>50</v>
      </c>
      <c r="D3133" s="10">
        <v>586.5</v>
      </c>
      <c r="E3133" s="11" t="s">
        <v>51</v>
      </c>
      <c r="F3133" s="10">
        <v>50600</v>
      </c>
      <c r="G3133" s="10">
        <v>0</v>
      </c>
      <c r="H3133" s="10">
        <f t="shared" si="48"/>
        <v>50600</v>
      </c>
      <c r="I3133" s="10"/>
      <c r="J3133" s="10"/>
      <c r="K3133" s="10"/>
      <c r="L3133" s="4" t="s">
        <v>52</v>
      </c>
      <c r="M3133" s="4">
        <v>3128</v>
      </c>
    </row>
    <row r="3134" spans="1:13" x14ac:dyDescent="0.25">
      <c r="A3134" s="4" t="s">
        <v>2842</v>
      </c>
      <c r="B3134" s="4" t="s">
        <v>2844</v>
      </c>
      <c r="C3134" s="4" t="s">
        <v>65</v>
      </c>
      <c r="D3134" s="10">
        <v>80</v>
      </c>
      <c r="E3134" s="12" t="s">
        <v>66</v>
      </c>
      <c r="F3134" s="10">
        <v>10150</v>
      </c>
      <c r="G3134" s="10">
        <v>0</v>
      </c>
      <c r="H3134" s="10">
        <f t="shared" si="48"/>
        <v>10150</v>
      </c>
      <c r="I3134" s="10">
        <v>126.875</v>
      </c>
      <c r="J3134" s="10">
        <v>126.875</v>
      </c>
      <c r="K3134" s="10">
        <v>126.875</v>
      </c>
      <c r="L3134" s="4"/>
      <c r="M3134" s="4">
        <v>3129</v>
      </c>
    </row>
    <row r="3135" spans="1:13" x14ac:dyDescent="0.25">
      <c r="A3135" s="4" t="s">
        <v>2842</v>
      </c>
      <c r="B3135" s="4" t="s">
        <v>2845</v>
      </c>
      <c r="C3135" s="4" t="s">
        <v>65</v>
      </c>
      <c r="D3135" s="10">
        <v>27</v>
      </c>
      <c r="E3135" s="12" t="s">
        <v>66</v>
      </c>
      <c r="F3135" s="10">
        <v>3450</v>
      </c>
      <c r="G3135" s="10">
        <v>0</v>
      </c>
      <c r="H3135" s="10">
        <f t="shared" si="48"/>
        <v>3450</v>
      </c>
      <c r="I3135" s="10">
        <v>127.7777777777778</v>
      </c>
      <c r="J3135" s="10">
        <v>127.7777777777778</v>
      </c>
      <c r="K3135" s="10">
        <v>127.7777777777778</v>
      </c>
      <c r="L3135" s="4"/>
      <c r="M3135" s="4">
        <v>3130</v>
      </c>
    </row>
    <row r="3136" spans="1:13" x14ac:dyDescent="0.25">
      <c r="A3136" s="4" t="s">
        <v>2842</v>
      </c>
      <c r="B3136" s="4" t="s">
        <v>2846</v>
      </c>
      <c r="C3136" s="4" t="s">
        <v>65</v>
      </c>
      <c r="D3136" s="10">
        <v>22</v>
      </c>
      <c r="E3136" s="12" t="s">
        <v>66</v>
      </c>
      <c r="F3136" s="10">
        <v>2800</v>
      </c>
      <c r="G3136" s="10">
        <v>0</v>
      </c>
      <c r="H3136" s="10">
        <f t="shared" si="48"/>
        <v>2800</v>
      </c>
      <c r="I3136" s="10">
        <v>127.27272727272729</v>
      </c>
      <c r="J3136" s="10">
        <v>127.27272727272729</v>
      </c>
      <c r="K3136" s="10">
        <v>127.27272727272729</v>
      </c>
      <c r="L3136" s="4"/>
      <c r="M3136" s="4">
        <v>3131</v>
      </c>
    </row>
    <row r="3137" spans="1:13" x14ac:dyDescent="0.25">
      <c r="A3137" s="4" t="s">
        <v>2842</v>
      </c>
      <c r="B3137" s="4" t="s">
        <v>2847</v>
      </c>
      <c r="C3137" s="4" t="s">
        <v>65</v>
      </c>
      <c r="D3137" s="10">
        <v>257</v>
      </c>
      <c r="E3137" s="12" t="s">
        <v>66</v>
      </c>
      <c r="F3137" s="10">
        <v>16450</v>
      </c>
      <c r="G3137" s="10">
        <v>0</v>
      </c>
      <c r="H3137" s="10">
        <f t="shared" si="48"/>
        <v>16450</v>
      </c>
      <c r="I3137" s="10">
        <v>126.5384615384615</v>
      </c>
      <c r="J3137" s="10">
        <v>126.5384615384615</v>
      </c>
      <c r="K3137" s="10">
        <v>126.5384615384615</v>
      </c>
      <c r="L3137" s="4"/>
      <c r="M3137" s="4">
        <v>3132</v>
      </c>
    </row>
    <row r="3138" spans="1:13" x14ac:dyDescent="0.25">
      <c r="A3138" s="4" t="s">
        <v>2848</v>
      </c>
      <c r="B3138" s="4" t="s">
        <v>2849</v>
      </c>
      <c r="C3138" s="9" t="s">
        <v>50</v>
      </c>
      <c r="D3138" s="10">
        <v>50</v>
      </c>
      <c r="E3138" s="11" t="s">
        <v>51</v>
      </c>
      <c r="F3138" s="10">
        <v>5092.5</v>
      </c>
      <c r="G3138" s="10">
        <v>0</v>
      </c>
      <c r="H3138" s="10">
        <f t="shared" si="48"/>
        <v>5092.5</v>
      </c>
      <c r="I3138" s="10"/>
      <c r="J3138" s="10"/>
      <c r="K3138" s="10"/>
      <c r="L3138" s="4" t="s">
        <v>52</v>
      </c>
      <c r="M3138" s="4">
        <v>3133</v>
      </c>
    </row>
    <row r="3139" spans="1:13" x14ac:dyDescent="0.25">
      <c r="A3139" s="4" t="s">
        <v>2848</v>
      </c>
      <c r="B3139" s="4" t="s">
        <v>421</v>
      </c>
      <c r="C3139" s="9" t="s">
        <v>50</v>
      </c>
      <c r="D3139" s="10">
        <v>45</v>
      </c>
      <c r="E3139" s="11" t="s">
        <v>51</v>
      </c>
      <c r="F3139" s="10">
        <v>4275</v>
      </c>
      <c r="G3139" s="10">
        <v>0</v>
      </c>
      <c r="H3139" s="10">
        <f t="shared" si="48"/>
        <v>4275</v>
      </c>
      <c r="I3139" s="10"/>
      <c r="J3139" s="10"/>
      <c r="K3139" s="10"/>
      <c r="L3139" s="4" t="s">
        <v>52</v>
      </c>
      <c r="M3139" s="4">
        <v>3134</v>
      </c>
    </row>
    <row r="3140" spans="1:13" x14ac:dyDescent="0.25">
      <c r="A3140" s="4" t="s">
        <v>2848</v>
      </c>
      <c r="B3140" s="4" t="s">
        <v>2850</v>
      </c>
      <c r="C3140" s="9" t="s">
        <v>50</v>
      </c>
      <c r="D3140" s="10">
        <v>80</v>
      </c>
      <c r="E3140" s="11" t="s">
        <v>51</v>
      </c>
      <c r="F3140" s="10">
        <v>1950</v>
      </c>
      <c r="G3140" s="10">
        <v>0</v>
      </c>
      <c r="H3140" s="10">
        <f t="shared" si="48"/>
        <v>1950</v>
      </c>
      <c r="I3140" s="10"/>
      <c r="J3140" s="10"/>
      <c r="K3140" s="10"/>
      <c r="L3140" s="4" t="s">
        <v>52</v>
      </c>
      <c r="M3140" s="4">
        <v>3135</v>
      </c>
    </row>
    <row r="3141" spans="1:13" x14ac:dyDescent="0.25">
      <c r="A3141" s="4" t="s">
        <v>2851</v>
      </c>
      <c r="B3141" s="4" t="s">
        <v>2852</v>
      </c>
      <c r="C3141" s="4" t="s">
        <v>68</v>
      </c>
      <c r="D3141" s="10">
        <v>24</v>
      </c>
      <c r="E3141" s="11" t="s">
        <v>51</v>
      </c>
      <c r="F3141" s="10">
        <v>2400</v>
      </c>
      <c r="G3141" s="10">
        <v>0</v>
      </c>
      <c r="H3141" s="10">
        <f t="shared" si="48"/>
        <v>2400</v>
      </c>
      <c r="I3141" s="10"/>
      <c r="J3141" s="10"/>
      <c r="K3141" s="10"/>
      <c r="L3141" s="4" t="s">
        <v>69</v>
      </c>
      <c r="M3141" s="4">
        <v>3136</v>
      </c>
    </row>
    <row r="3142" spans="1:13" x14ac:dyDescent="0.25">
      <c r="A3142" s="4" t="s">
        <v>2851</v>
      </c>
      <c r="B3142" s="4" t="s">
        <v>2028</v>
      </c>
      <c r="C3142" s="4" t="s">
        <v>68</v>
      </c>
      <c r="D3142" s="10">
        <v>150</v>
      </c>
      <c r="E3142" s="11" t="s">
        <v>51</v>
      </c>
      <c r="F3142" s="10">
        <v>2500</v>
      </c>
      <c r="G3142" s="10">
        <v>0</v>
      </c>
      <c r="H3142" s="10">
        <f t="shared" ref="H3142:H3205" si="49">F3142-G3142</f>
        <v>2500</v>
      </c>
      <c r="I3142" s="10"/>
      <c r="J3142" s="10"/>
      <c r="K3142" s="10"/>
      <c r="L3142" s="4" t="s">
        <v>69</v>
      </c>
      <c r="M3142" s="4">
        <v>3137</v>
      </c>
    </row>
    <row r="3143" spans="1:13" x14ac:dyDescent="0.25">
      <c r="A3143" s="4" t="s">
        <v>2853</v>
      </c>
      <c r="B3143" s="4" t="s">
        <v>2854</v>
      </c>
      <c r="C3143" s="4" t="s">
        <v>68</v>
      </c>
      <c r="D3143" s="10">
        <v>24</v>
      </c>
      <c r="E3143" s="11" t="s">
        <v>51</v>
      </c>
      <c r="F3143" s="10">
        <v>14750</v>
      </c>
      <c r="G3143" s="10">
        <v>0</v>
      </c>
      <c r="H3143" s="10">
        <f t="shared" si="49"/>
        <v>14750</v>
      </c>
      <c r="I3143" s="10"/>
      <c r="J3143" s="10"/>
      <c r="K3143" s="10"/>
      <c r="L3143" s="4" t="s">
        <v>69</v>
      </c>
      <c r="M3143" s="4">
        <v>3138</v>
      </c>
    </row>
    <row r="3144" spans="1:13" x14ac:dyDescent="0.25">
      <c r="A3144" s="4" t="s">
        <v>2855</v>
      </c>
      <c r="B3144" s="4" t="s">
        <v>2029</v>
      </c>
      <c r="C3144" s="4" t="s">
        <v>68</v>
      </c>
      <c r="D3144" s="10">
        <v>12</v>
      </c>
      <c r="E3144" s="11" t="s">
        <v>51</v>
      </c>
      <c r="F3144" s="10">
        <v>2304</v>
      </c>
      <c r="G3144" s="10">
        <v>0</v>
      </c>
      <c r="H3144" s="10">
        <f t="shared" si="49"/>
        <v>2304</v>
      </c>
      <c r="I3144" s="10"/>
      <c r="J3144" s="10"/>
      <c r="K3144" s="10"/>
      <c r="L3144" s="4" t="s">
        <v>69</v>
      </c>
      <c r="M3144" s="4">
        <v>3139</v>
      </c>
    </row>
    <row r="3145" spans="1:13" x14ac:dyDescent="0.25">
      <c r="A3145" s="4" t="s">
        <v>2856</v>
      </c>
      <c r="B3145" s="4" t="s">
        <v>2857</v>
      </c>
      <c r="C3145" s="4" t="s">
        <v>68</v>
      </c>
      <c r="D3145" s="10">
        <v>3</v>
      </c>
      <c r="E3145" s="11" t="s">
        <v>51</v>
      </c>
      <c r="F3145" s="10">
        <v>1104</v>
      </c>
      <c r="G3145" s="10">
        <v>0</v>
      </c>
      <c r="H3145" s="10">
        <f t="shared" si="49"/>
        <v>1104</v>
      </c>
      <c r="I3145" s="10"/>
      <c r="J3145" s="10"/>
      <c r="K3145" s="10"/>
      <c r="L3145" s="4" t="s">
        <v>69</v>
      </c>
      <c r="M3145" s="4">
        <v>3140</v>
      </c>
    </row>
    <row r="3146" spans="1:13" x14ac:dyDescent="0.25">
      <c r="A3146" s="4" t="s">
        <v>2858</v>
      </c>
      <c r="B3146" s="4" t="s">
        <v>2859</v>
      </c>
      <c r="C3146" s="4" t="s">
        <v>65</v>
      </c>
      <c r="D3146" s="10">
        <v>3004</v>
      </c>
      <c r="E3146" s="11" t="s">
        <v>51</v>
      </c>
      <c r="F3146" s="10"/>
      <c r="G3146" s="10">
        <v>0</v>
      </c>
      <c r="H3146" s="10">
        <f t="shared" si="49"/>
        <v>0</v>
      </c>
      <c r="I3146" s="10">
        <v>0</v>
      </c>
      <c r="J3146" s="10">
        <v>0</v>
      </c>
      <c r="K3146" s="10">
        <v>0</v>
      </c>
      <c r="L3146" s="4" t="s">
        <v>69</v>
      </c>
      <c r="M3146" s="4">
        <v>3141</v>
      </c>
    </row>
    <row r="3147" spans="1:13" x14ac:dyDescent="0.25">
      <c r="A3147" s="4" t="s">
        <v>2860</v>
      </c>
      <c r="B3147" s="4" t="s">
        <v>2861</v>
      </c>
      <c r="C3147" s="9" t="s">
        <v>50</v>
      </c>
      <c r="D3147" s="10">
        <v>42</v>
      </c>
      <c r="E3147" s="11" t="s">
        <v>51</v>
      </c>
      <c r="F3147" s="10">
        <v>4000</v>
      </c>
      <c r="G3147" s="10">
        <v>0</v>
      </c>
      <c r="H3147" s="10">
        <f t="shared" si="49"/>
        <v>4000</v>
      </c>
      <c r="I3147" s="10"/>
      <c r="J3147" s="10"/>
      <c r="K3147" s="10"/>
      <c r="L3147" s="4" t="s">
        <v>52</v>
      </c>
      <c r="M3147" s="4">
        <v>3142</v>
      </c>
    </row>
    <row r="3148" spans="1:13" x14ac:dyDescent="0.25">
      <c r="A3148" s="4" t="s">
        <v>2860</v>
      </c>
      <c r="B3148" s="4" t="s">
        <v>2862</v>
      </c>
      <c r="C3148" s="9" t="s">
        <v>50</v>
      </c>
      <c r="D3148" s="10">
        <v>264.5</v>
      </c>
      <c r="E3148" s="11" t="s">
        <v>51</v>
      </c>
      <c r="F3148" s="10">
        <v>20679</v>
      </c>
      <c r="G3148" s="10">
        <v>0</v>
      </c>
      <c r="H3148" s="10">
        <f t="shared" si="49"/>
        <v>20679</v>
      </c>
      <c r="I3148" s="10"/>
      <c r="J3148" s="10"/>
      <c r="K3148" s="10"/>
      <c r="L3148" s="4" t="s">
        <v>52</v>
      </c>
      <c r="M3148" s="4">
        <v>3143</v>
      </c>
    </row>
    <row r="3149" spans="1:13" x14ac:dyDescent="0.25">
      <c r="A3149" s="4" t="s">
        <v>2860</v>
      </c>
      <c r="B3149" s="4" t="s">
        <v>2863</v>
      </c>
      <c r="C3149" s="9" t="s">
        <v>50</v>
      </c>
      <c r="D3149" s="10">
        <v>603</v>
      </c>
      <c r="E3149" s="11" t="s">
        <v>51</v>
      </c>
      <c r="F3149" s="10">
        <v>42021</v>
      </c>
      <c r="G3149" s="10">
        <v>0</v>
      </c>
      <c r="H3149" s="10">
        <f t="shared" si="49"/>
        <v>42021</v>
      </c>
      <c r="I3149" s="10"/>
      <c r="J3149" s="10"/>
      <c r="K3149" s="10"/>
      <c r="L3149" s="4" t="s">
        <v>52</v>
      </c>
      <c r="M3149" s="4">
        <v>3144</v>
      </c>
    </row>
    <row r="3150" spans="1:13" x14ac:dyDescent="0.25">
      <c r="A3150" s="4" t="s">
        <v>2860</v>
      </c>
      <c r="B3150" s="4" t="s">
        <v>2864</v>
      </c>
      <c r="C3150" s="9" t="s">
        <v>50</v>
      </c>
      <c r="D3150" s="10">
        <v>774.5</v>
      </c>
      <c r="E3150" s="11" t="s">
        <v>51</v>
      </c>
      <c r="F3150" s="10">
        <v>54000</v>
      </c>
      <c r="G3150" s="10">
        <v>0</v>
      </c>
      <c r="H3150" s="10">
        <f t="shared" si="49"/>
        <v>54000</v>
      </c>
      <c r="I3150" s="10"/>
      <c r="J3150" s="10"/>
      <c r="K3150" s="10"/>
      <c r="L3150" s="4" t="s">
        <v>52</v>
      </c>
      <c r="M3150" s="4">
        <v>3145</v>
      </c>
    </row>
    <row r="3151" spans="1:13" x14ac:dyDescent="0.25">
      <c r="A3151" s="4" t="s">
        <v>2860</v>
      </c>
      <c r="B3151" s="4" t="s">
        <v>2865</v>
      </c>
      <c r="C3151" s="9" t="s">
        <v>50</v>
      </c>
      <c r="D3151" s="10">
        <v>178.5</v>
      </c>
      <c r="E3151" s="11" t="s">
        <v>51</v>
      </c>
      <c r="F3151" s="10">
        <v>17000</v>
      </c>
      <c r="G3151" s="10">
        <v>0</v>
      </c>
      <c r="H3151" s="10">
        <f t="shared" si="49"/>
        <v>17000</v>
      </c>
      <c r="I3151" s="10"/>
      <c r="J3151" s="10"/>
      <c r="K3151" s="10"/>
      <c r="L3151" s="4" t="s">
        <v>52</v>
      </c>
      <c r="M3151" s="4">
        <v>3146</v>
      </c>
    </row>
    <row r="3152" spans="1:13" x14ac:dyDescent="0.25">
      <c r="A3152" s="4" t="s">
        <v>2860</v>
      </c>
      <c r="B3152" s="4" t="s">
        <v>2866</v>
      </c>
      <c r="C3152" s="9" t="s">
        <v>50</v>
      </c>
      <c r="D3152" s="10">
        <v>30</v>
      </c>
      <c r="E3152" s="11" t="s">
        <v>51</v>
      </c>
      <c r="F3152" s="10">
        <v>3450</v>
      </c>
      <c r="G3152" s="10">
        <v>0</v>
      </c>
      <c r="H3152" s="10">
        <f t="shared" si="49"/>
        <v>3450</v>
      </c>
      <c r="I3152" s="10"/>
      <c r="J3152" s="10"/>
      <c r="K3152" s="10"/>
      <c r="L3152" s="4" t="s">
        <v>52</v>
      </c>
      <c r="M3152" s="4">
        <v>3147</v>
      </c>
    </row>
    <row r="3153" spans="1:13" x14ac:dyDescent="0.25">
      <c r="A3153" s="4" t="s">
        <v>2860</v>
      </c>
      <c r="B3153" s="4" t="s">
        <v>2867</v>
      </c>
      <c r="C3153" s="9" t="s">
        <v>50</v>
      </c>
      <c r="D3153" s="10">
        <v>51.5</v>
      </c>
      <c r="E3153" s="11" t="s">
        <v>51</v>
      </c>
      <c r="F3153" s="10">
        <v>4900</v>
      </c>
      <c r="G3153" s="10">
        <v>0</v>
      </c>
      <c r="H3153" s="10">
        <f t="shared" si="49"/>
        <v>4900</v>
      </c>
      <c r="I3153" s="10"/>
      <c r="J3153" s="10"/>
      <c r="K3153" s="10"/>
      <c r="L3153" s="4" t="s">
        <v>52</v>
      </c>
      <c r="M3153" s="4">
        <v>3148</v>
      </c>
    </row>
    <row r="3154" spans="1:13" x14ac:dyDescent="0.25">
      <c r="A3154" s="4" t="s">
        <v>2860</v>
      </c>
      <c r="B3154" s="4" t="s">
        <v>2868</v>
      </c>
      <c r="C3154" s="4" t="s">
        <v>65</v>
      </c>
      <c r="D3154" s="10">
        <v>1058</v>
      </c>
      <c r="E3154" s="12" t="s">
        <v>66</v>
      </c>
      <c r="F3154" s="10">
        <v>87400</v>
      </c>
      <c r="G3154" s="10">
        <v>0</v>
      </c>
      <c r="H3154" s="10">
        <f t="shared" si="49"/>
        <v>87400</v>
      </c>
      <c r="I3154" s="10">
        <v>82.608695652173907</v>
      </c>
      <c r="J3154" s="10">
        <v>82.608695652173907</v>
      </c>
      <c r="K3154" s="10">
        <v>82.608695652173907</v>
      </c>
      <c r="L3154" s="4"/>
      <c r="M3154" s="4">
        <v>3149</v>
      </c>
    </row>
    <row r="3155" spans="1:13" x14ac:dyDescent="0.25">
      <c r="A3155" s="4" t="s">
        <v>2860</v>
      </c>
      <c r="B3155" s="4" t="s">
        <v>2869</v>
      </c>
      <c r="C3155" s="4" t="s">
        <v>65</v>
      </c>
      <c r="D3155" s="10">
        <v>181</v>
      </c>
      <c r="E3155" s="12" t="s">
        <v>66</v>
      </c>
      <c r="F3155" s="10">
        <v>100</v>
      </c>
      <c r="G3155" s="10">
        <v>0</v>
      </c>
      <c r="H3155" s="10">
        <f t="shared" si="49"/>
        <v>100</v>
      </c>
      <c r="I3155" s="10">
        <v>50</v>
      </c>
      <c r="J3155" s="10">
        <v>50</v>
      </c>
      <c r="K3155" s="10">
        <v>50</v>
      </c>
      <c r="L3155" s="4"/>
      <c r="M3155" s="4">
        <v>3150</v>
      </c>
    </row>
    <row r="3156" spans="1:13" x14ac:dyDescent="0.25">
      <c r="A3156" s="4" t="s">
        <v>2870</v>
      </c>
      <c r="B3156" s="4" t="s">
        <v>2871</v>
      </c>
      <c r="C3156" s="4" t="s">
        <v>65</v>
      </c>
      <c r="D3156" s="10">
        <v>35</v>
      </c>
      <c r="E3156" s="12" t="s">
        <v>66</v>
      </c>
      <c r="F3156" s="10">
        <v>3981.53</v>
      </c>
      <c r="G3156" s="10">
        <v>0</v>
      </c>
      <c r="H3156" s="10">
        <f t="shared" si="49"/>
        <v>3981.53</v>
      </c>
      <c r="I3156" s="10">
        <v>113.758</v>
      </c>
      <c r="J3156" s="10">
        <v>113.758</v>
      </c>
      <c r="K3156" s="10">
        <v>113.758</v>
      </c>
      <c r="L3156" s="4"/>
      <c r="M3156" s="4">
        <v>3151</v>
      </c>
    </row>
    <row r="3157" spans="1:13" x14ac:dyDescent="0.25">
      <c r="A3157" s="4" t="s">
        <v>2870</v>
      </c>
      <c r="B3157" s="4" t="s">
        <v>2872</v>
      </c>
      <c r="C3157" s="4" t="s">
        <v>65</v>
      </c>
      <c r="D3157" s="10">
        <v>7</v>
      </c>
      <c r="E3157" s="12" t="s">
        <v>66</v>
      </c>
      <c r="F3157" s="10">
        <v>936.83</v>
      </c>
      <c r="G3157" s="10">
        <v>0</v>
      </c>
      <c r="H3157" s="10">
        <f t="shared" si="49"/>
        <v>936.83</v>
      </c>
      <c r="I3157" s="10">
        <v>133.83285714285711</v>
      </c>
      <c r="J3157" s="10">
        <v>133.83285714285711</v>
      </c>
      <c r="K3157" s="10">
        <v>133.83285714285711</v>
      </c>
      <c r="L3157" s="4"/>
      <c r="M3157" s="4">
        <v>3152</v>
      </c>
    </row>
    <row r="3158" spans="1:13" x14ac:dyDescent="0.25">
      <c r="A3158" s="4" t="s">
        <v>2870</v>
      </c>
      <c r="B3158" s="4" t="s">
        <v>2873</v>
      </c>
      <c r="C3158" s="4" t="s">
        <v>65</v>
      </c>
      <c r="D3158" s="10">
        <v>95</v>
      </c>
      <c r="E3158" s="12" t="s">
        <v>66</v>
      </c>
      <c r="F3158" s="10">
        <v>10305.129999999999</v>
      </c>
      <c r="G3158" s="10">
        <v>0</v>
      </c>
      <c r="H3158" s="10">
        <f t="shared" si="49"/>
        <v>10305.129999999999</v>
      </c>
      <c r="I3158" s="10">
        <v>108.4750526315789</v>
      </c>
      <c r="J3158" s="10">
        <v>108.4750526315789</v>
      </c>
      <c r="K3158" s="10">
        <v>108.4750526315789</v>
      </c>
      <c r="L3158" s="4"/>
      <c r="M3158" s="4">
        <v>3153</v>
      </c>
    </row>
    <row r="3159" spans="1:13" x14ac:dyDescent="0.25">
      <c r="A3159" s="4" t="s">
        <v>2870</v>
      </c>
      <c r="B3159" s="4" t="s">
        <v>2874</v>
      </c>
      <c r="C3159" s="4" t="s">
        <v>65</v>
      </c>
      <c r="D3159" s="10">
        <v>26</v>
      </c>
      <c r="E3159" s="12" t="s">
        <v>66</v>
      </c>
      <c r="F3159" s="10">
        <v>3278.91</v>
      </c>
      <c r="G3159" s="10">
        <v>0</v>
      </c>
      <c r="H3159" s="10">
        <f t="shared" si="49"/>
        <v>3278.91</v>
      </c>
      <c r="I3159" s="10">
        <v>126.11192307692311</v>
      </c>
      <c r="J3159" s="10">
        <v>126.11192307692311</v>
      </c>
      <c r="K3159" s="10">
        <v>126.11192307692311</v>
      </c>
      <c r="L3159" s="4"/>
      <c r="M3159" s="4">
        <v>3154</v>
      </c>
    </row>
    <row r="3160" spans="1:13" x14ac:dyDescent="0.25">
      <c r="A3160" s="4" t="s">
        <v>2870</v>
      </c>
      <c r="B3160" s="4" t="s">
        <v>2875</v>
      </c>
      <c r="C3160" s="9" t="s">
        <v>50</v>
      </c>
      <c r="D3160" s="10">
        <v>34.5</v>
      </c>
      <c r="E3160" s="11" t="s">
        <v>51</v>
      </c>
      <c r="F3160" s="10">
        <v>2342.08</v>
      </c>
      <c r="G3160" s="10">
        <v>0</v>
      </c>
      <c r="H3160" s="10">
        <f t="shared" si="49"/>
        <v>2342.08</v>
      </c>
      <c r="I3160" s="10"/>
      <c r="J3160" s="10"/>
      <c r="K3160" s="10"/>
      <c r="L3160" s="4" t="s">
        <v>52</v>
      </c>
      <c r="M3160" s="4">
        <v>3155</v>
      </c>
    </row>
    <row r="3161" spans="1:13" x14ac:dyDescent="0.25">
      <c r="A3161" s="4" t="s">
        <v>2876</v>
      </c>
      <c r="B3161" s="4" t="s">
        <v>2877</v>
      </c>
      <c r="C3161" s="4" t="s">
        <v>68</v>
      </c>
      <c r="D3161" s="10">
        <v>8</v>
      </c>
      <c r="E3161" s="11" t="s">
        <v>51</v>
      </c>
      <c r="F3161" s="10">
        <v>600</v>
      </c>
      <c r="G3161" s="10">
        <v>0</v>
      </c>
      <c r="H3161" s="10">
        <f t="shared" si="49"/>
        <v>600</v>
      </c>
      <c r="I3161" s="10"/>
      <c r="J3161" s="10"/>
      <c r="K3161" s="10"/>
      <c r="L3161" s="4" t="s">
        <v>69</v>
      </c>
      <c r="M3161" s="4">
        <v>3156</v>
      </c>
    </row>
    <row r="3162" spans="1:13" x14ac:dyDescent="0.25">
      <c r="A3162" s="4" t="s">
        <v>2876</v>
      </c>
      <c r="B3162" s="4" t="s">
        <v>2878</v>
      </c>
      <c r="C3162" s="4" t="s">
        <v>68</v>
      </c>
      <c r="D3162" s="10">
        <v>5</v>
      </c>
      <c r="E3162" s="11" t="s">
        <v>51</v>
      </c>
      <c r="F3162" s="10">
        <v>400</v>
      </c>
      <c r="G3162" s="10">
        <v>0</v>
      </c>
      <c r="H3162" s="10">
        <f t="shared" si="49"/>
        <v>400</v>
      </c>
      <c r="I3162" s="10"/>
      <c r="J3162" s="10"/>
      <c r="K3162" s="10"/>
      <c r="L3162" s="4" t="s">
        <v>69</v>
      </c>
      <c r="M3162" s="4">
        <v>3157</v>
      </c>
    </row>
    <row r="3163" spans="1:13" x14ac:dyDescent="0.25">
      <c r="A3163" s="4" t="s">
        <v>2876</v>
      </c>
      <c r="B3163" s="4" t="s">
        <v>2879</v>
      </c>
      <c r="C3163" s="4" t="s">
        <v>68</v>
      </c>
      <c r="D3163" s="10">
        <v>43.5</v>
      </c>
      <c r="E3163" s="11" t="s">
        <v>51</v>
      </c>
      <c r="F3163" s="10">
        <v>294</v>
      </c>
      <c r="G3163" s="10">
        <v>0</v>
      </c>
      <c r="H3163" s="10">
        <f t="shared" si="49"/>
        <v>294</v>
      </c>
      <c r="I3163" s="10"/>
      <c r="J3163" s="10"/>
      <c r="K3163" s="10"/>
      <c r="L3163" s="4" t="s">
        <v>69</v>
      </c>
      <c r="M3163" s="4">
        <v>3158</v>
      </c>
    </row>
    <row r="3164" spans="1:13" x14ac:dyDescent="0.25">
      <c r="A3164" s="4" t="s">
        <v>2880</v>
      </c>
      <c r="B3164" s="4" t="s">
        <v>498</v>
      </c>
      <c r="C3164" s="9" t="s">
        <v>50</v>
      </c>
      <c r="D3164" s="10">
        <v>12</v>
      </c>
      <c r="E3164" s="11" t="s">
        <v>51</v>
      </c>
      <c r="F3164" s="10">
        <v>1140</v>
      </c>
      <c r="G3164" s="10">
        <v>0</v>
      </c>
      <c r="H3164" s="10">
        <f t="shared" si="49"/>
        <v>1140</v>
      </c>
      <c r="I3164" s="10"/>
      <c r="J3164" s="10"/>
      <c r="K3164" s="10"/>
      <c r="L3164" s="4" t="s">
        <v>52</v>
      </c>
      <c r="M3164" s="4">
        <v>3159</v>
      </c>
    </row>
    <row r="3165" spans="1:13" x14ac:dyDescent="0.25">
      <c r="A3165" s="4" t="s">
        <v>2880</v>
      </c>
      <c r="B3165" s="4" t="s">
        <v>2881</v>
      </c>
      <c r="C3165" s="9" t="s">
        <v>50</v>
      </c>
      <c r="D3165" s="10">
        <v>12</v>
      </c>
      <c r="E3165" s="11" t="s">
        <v>51</v>
      </c>
      <c r="F3165" s="10">
        <v>1140</v>
      </c>
      <c r="G3165" s="10">
        <v>0</v>
      </c>
      <c r="H3165" s="10">
        <f t="shared" si="49"/>
        <v>1140</v>
      </c>
      <c r="I3165" s="10"/>
      <c r="J3165" s="10"/>
      <c r="K3165" s="10"/>
      <c r="L3165" s="4" t="s">
        <v>52</v>
      </c>
      <c r="M3165" s="4">
        <v>3160</v>
      </c>
    </row>
    <row r="3166" spans="1:13" x14ac:dyDescent="0.25">
      <c r="A3166" s="4" t="s">
        <v>2880</v>
      </c>
      <c r="B3166" s="4" t="s">
        <v>421</v>
      </c>
      <c r="C3166" s="9" t="s">
        <v>50</v>
      </c>
      <c r="D3166" s="10">
        <v>56</v>
      </c>
      <c r="E3166" s="11" t="s">
        <v>51</v>
      </c>
      <c r="F3166" s="10">
        <v>1520</v>
      </c>
      <c r="G3166" s="10">
        <v>0</v>
      </c>
      <c r="H3166" s="10">
        <f t="shared" si="49"/>
        <v>1520</v>
      </c>
      <c r="I3166" s="10"/>
      <c r="J3166" s="10"/>
      <c r="K3166" s="10"/>
      <c r="L3166" s="4" t="s">
        <v>52</v>
      </c>
      <c r="M3166" s="4">
        <v>3161</v>
      </c>
    </row>
    <row r="3167" spans="1:13" x14ac:dyDescent="0.25">
      <c r="A3167" s="4" t="s">
        <v>2882</v>
      </c>
      <c r="B3167" s="4" t="s">
        <v>2883</v>
      </c>
      <c r="C3167" s="4" t="s">
        <v>68</v>
      </c>
      <c r="D3167" s="10">
        <v>52</v>
      </c>
      <c r="E3167" s="11" t="s">
        <v>51</v>
      </c>
      <c r="F3167" s="10">
        <v>5000</v>
      </c>
      <c r="G3167" s="10">
        <v>0</v>
      </c>
      <c r="H3167" s="10">
        <f t="shared" si="49"/>
        <v>5000</v>
      </c>
      <c r="I3167" s="10"/>
      <c r="J3167" s="10"/>
      <c r="K3167" s="10"/>
      <c r="L3167" s="4" t="s">
        <v>69</v>
      </c>
      <c r="M3167" s="4">
        <v>3162</v>
      </c>
    </row>
    <row r="3168" spans="1:13" x14ac:dyDescent="0.25">
      <c r="A3168" s="4" t="s">
        <v>2884</v>
      </c>
      <c r="B3168" s="4" t="s">
        <v>2885</v>
      </c>
      <c r="C3168" s="9" t="s">
        <v>50</v>
      </c>
      <c r="D3168" s="10">
        <v>390</v>
      </c>
      <c r="E3168" s="11" t="s">
        <v>51</v>
      </c>
      <c r="F3168" s="10">
        <v>31050</v>
      </c>
      <c r="G3168" s="10">
        <v>0</v>
      </c>
      <c r="H3168" s="10">
        <f t="shared" si="49"/>
        <v>31050</v>
      </c>
      <c r="I3168" s="10">
        <v>79.615384615384613</v>
      </c>
      <c r="J3168" s="10">
        <v>79.615384615384613</v>
      </c>
      <c r="K3168" s="10">
        <v>79.615384615384613</v>
      </c>
      <c r="L3168" s="4" t="s">
        <v>259</v>
      </c>
      <c r="M3168" s="4">
        <v>3163</v>
      </c>
    </row>
    <row r="3169" spans="1:13" x14ac:dyDescent="0.25">
      <c r="A3169" s="4" t="s">
        <v>2884</v>
      </c>
      <c r="B3169" s="4" t="s">
        <v>2321</v>
      </c>
      <c r="C3169" s="9" t="s">
        <v>50</v>
      </c>
      <c r="D3169" s="10">
        <v>1042</v>
      </c>
      <c r="E3169" s="11" t="s">
        <v>51</v>
      </c>
      <c r="F3169" s="10">
        <v>1129.44</v>
      </c>
      <c r="G3169" s="10">
        <v>0</v>
      </c>
      <c r="H3169" s="10">
        <f t="shared" si="49"/>
        <v>1129.44</v>
      </c>
      <c r="I3169" s="10"/>
      <c r="J3169" s="10"/>
      <c r="K3169" s="10"/>
      <c r="L3169" s="4" t="s">
        <v>52</v>
      </c>
      <c r="M3169" s="4">
        <v>3164</v>
      </c>
    </row>
    <row r="3170" spans="1:13" x14ac:dyDescent="0.25">
      <c r="A3170" s="4" t="s">
        <v>2886</v>
      </c>
      <c r="B3170" s="4" t="s">
        <v>2887</v>
      </c>
      <c r="C3170" s="4" t="s">
        <v>68</v>
      </c>
      <c r="D3170" s="10">
        <v>240</v>
      </c>
      <c r="E3170" s="11" t="s">
        <v>51</v>
      </c>
      <c r="F3170" s="10">
        <v>21600</v>
      </c>
      <c r="G3170" s="10">
        <v>0</v>
      </c>
      <c r="H3170" s="10">
        <f t="shared" si="49"/>
        <v>21600</v>
      </c>
      <c r="I3170" s="10"/>
      <c r="J3170" s="10"/>
      <c r="K3170" s="10"/>
      <c r="L3170" s="4" t="s">
        <v>69</v>
      </c>
      <c r="M3170" s="4">
        <v>3165</v>
      </c>
    </row>
    <row r="3171" spans="1:13" x14ac:dyDescent="0.25">
      <c r="A3171" s="4" t="s">
        <v>2886</v>
      </c>
      <c r="B3171" s="4" t="s">
        <v>2888</v>
      </c>
      <c r="C3171" s="4" t="s">
        <v>68</v>
      </c>
      <c r="D3171" s="10">
        <v>150</v>
      </c>
      <c r="E3171" s="11" t="s">
        <v>51</v>
      </c>
      <c r="F3171" s="10">
        <v>9450</v>
      </c>
      <c r="G3171" s="10">
        <v>0</v>
      </c>
      <c r="H3171" s="10">
        <f t="shared" si="49"/>
        <v>9450</v>
      </c>
      <c r="I3171" s="10"/>
      <c r="J3171" s="10"/>
      <c r="K3171" s="10"/>
      <c r="L3171" s="4" t="s">
        <v>69</v>
      </c>
      <c r="M3171" s="4">
        <v>3166</v>
      </c>
    </row>
    <row r="3172" spans="1:13" x14ac:dyDescent="0.25">
      <c r="A3172" s="4" t="s">
        <v>2886</v>
      </c>
      <c r="B3172" s="4" t="s">
        <v>2889</v>
      </c>
      <c r="C3172" s="9" t="s">
        <v>50</v>
      </c>
      <c r="D3172" s="10">
        <v>40</v>
      </c>
      <c r="E3172" s="11" t="s">
        <v>51</v>
      </c>
      <c r="F3172" s="10">
        <v>3600</v>
      </c>
      <c r="G3172" s="10">
        <v>0</v>
      </c>
      <c r="H3172" s="10">
        <f t="shared" si="49"/>
        <v>3600</v>
      </c>
      <c r="I3172" s="10"/>
      <c r="J3172" s="10"/>
      <c r="K3172" s="10"/>
      <c r="L3172" s="4" t="s">
        <v>52</v>
      </c>
      <c r="M3172" s="4">
        <v>3167</v>
      </c>
    </row>
    <row r="3173" spans="1:13" x14ac:dyDescent="0.25">
      <c r="A3173" s="4" t="s">
        <v>2886</v>
      </c>
      <c r="B3173" s="4" t="s">
        <v>2890</v>
      </c>
      <c r="C3173" s="9" t="s">
        <v>50</v>
      </c>
      <c r="D3173" s="10">
        <v>40</v>
      </c>
      <c r="E3173" s="11" t="s">
        <v>51</v>
      </c>
      <c r="F3173" s="10">
        <v>3600</v>
      </c>
      <c r="G3173" s="10">
        <v>0</v>
      </c>
      <c r="H3173" s="10">
        <f t="shared" si="49"/>
        <v>3600</v>
      </c>
      <c r="I3173" s="10"/>
      <c r="J3173" s="10"/>
      <c r="K3173" s="10"/>
      <c r="L3173" s="4" t="s">
        <v>52</v>
      </c>
      <c r="M3173" s="4">
        <v>3168</v>
      </c>
    </row>
    <row r="3174" spans="1:13" x14ac:dyDescent="0.25">
      <c r="A3174" s="4" t="s">
        <v>2886</v>
      </c>
      <c r="B3174" s="4" t="s">
        <v>2891</v>
      </c>
      <c r="C3174" s="9" t="s">
        <v>50</v>
      </c>
      <c r="D3174" s="10">
        <v>40</v>
      </c>
      <c r="E3174" s="11" t="s">
        <v>51</v>
      </c>
      <c r="F3174" s="10">
        <v>3600</v>
      </c>
      <c r="G3174" s="10">
        <v>0</v>
      </c>
      <c r="H3174" s="10">
        <f t="shared" si="49"/>
        <v>3600</v>
      </c>
      <c r="I3174" s="10"/>
      <c r="J3174" s="10"/>
      <c r="K3174" s="10"/>
      <c r="L3174" s="4" t="s">
        <v>52</v>
      </c>
      <c r="M3174" s="4">
        <v>3169</v>
      </c>
    </row>
    <row r="3175" spans="1:13" x14ac:dyDescent="0.25">
      <c r="A3175" s="4" t="s">
        <v>2886</v>
      </c>
      <c r="B3175" s="4" t="s">
        <v>2892</v>
      </c>
      <c r="C3175" s="9" t="s">
        <v>50</v>
      </c>
      <c r="D3175" s="10">
        <v>40</v>
      </c>
      <c r="E3175" s="11" t="s">
        <v>51</v>
      </c>
      <c r="F3175" s="10">
        <v>3600</v>
      </c>
      <c r="G3175" s="10">
        <v>0</v>
      </c>
      <c r="H3175" s="10">
        <f t="shared" si="49"/>
        <v>3600</v>
      </c>
      <c r="I3175" s="10"/>
      <c r="J3175" s="10"/>
      <c r="K3175" s="10"/>
      <c r="L3175" s="4" t="s">
        <v>52</v>
      </c>
      <c r="M3175" s="4">
        <v>3170</v>
      </c>
    </row>
    <row r="3176" spans="1:13" x14ac:dyDescent="0.25">
      <c r="A3176" s="4" t="s">
        <v>2886</v>
      </c>
      <c r="B3176" s="4" t="s">
        <v>2893</v>
      </c>
      <c r="C3176" s="9" t="s">
        <v>50</v>
      </c>
      <c r="D3176" s="10">
        <v>40</v>
      </c>
      <c r="E3176" s="11" t="s">
        <v>51</v>
      </c>
      <c r="F3176" s="10">
        <v>3600</v>
      </c>
      <c r="G3176" s="10">
        <v>0</v>
      </c>
      <c r="H3176" s="10">
        <f t="shared" si="49"/>
        <v>3600</v>
      </c>
      <c r="I3176" s="10"/>
      <c r="J3176" s="10"/>
      <c r="K3176" s="10"/>
      <c r="L3176" s="4" t="s">
        <v>52</v>
      </c>
      <c r="M3176" s="4">
        <v>3171</v>
      </c>
    </row>
    <row r="3177" spans="1:13" x14ac:dyDescent="0.25">
      <c r="A3177" s="4" t="s">
        <v>2886</v>
      </c>
      <c r="B3177" s="4" t="s">
        <v>2894</v>
      </c>
      <c r="C3177" s="9" t="s">
        <v>50</v>
      </c>
      <c r="D3177" s="10">
        <v>40</v>
      </c>
      <c r="E3177" s="11" t="s">
        <v>51</v>
      </c>
      <c r="F3177" s="10">
        <v>3600</v>
      </c>
      <c r="G3177" s="10">
        <v>0</v>
      </c>
      <c r="H3177" s="10">
        <f t="shared" si="49"/>
        <v>3600</v>
      </c>
      <c r="I3177" s="10"/>
      <c r="J3177" s="10"/>
      <c r="K3177" s="10"/>
      <c r="L3177" s="4" t="s">
        <v>52</v>
      </c>
      <c r="M3177" s="4">
        <v>3172</v>
      </c>
    </row>
    <row r="3178" spans="1:13" x14ac:dyDescent="0.25">
      <c r="A3178" s="4" t="s">
        <v>2886</v>
      </c>
      <c r="B3178" s="4" t="s">
        <v>2895</v>
      </c>
      <c r="C3178" s="4" t="s">
        <v>68</v>
      </c>
      <c r="D3178" s="10">
        <v>640</v>
      </c>
      <c r="E3178" s="11" t="s">
        <v>51</v>
      </c>
      <c r="F3178" s="10">
        <v>630</v>
      </c>
      <c r="G3178" s="10">
        <v>0</v>
      </c>
      <c r="H3178" s="10">
        <f t="shared" si="49"/>
        <v>630</v>
      </c>
      <c r="I3178" s="10"/>
      <c r="J3178" s="10"/>
      <c r="K3178" s="10"/>
      <c r="L3178" s="4" t="s">
        <v>69</v>
      </c>
      <c r="M3178" s="4">
        <v>3173</v>
      </c>
    </row>
    <row r="3179" spans="1:13" x14ac:dyDescent="0.25">
      <c r="A3179" s="4" t="s">
        <v>2896</v>
      </c>
      <c r="B3179" s="4" t="s">
        <v>2897</v>
      </c>
      <c r="C3179" s="4" t="s">
        <v>68</v>
      </c>
      <c r="D3179" s="10">
        <v>240</v>
      </c>
      <c r="E3179" s="11" t="s">
        <v>51</v>
      </c>
      <c r="F3179" s="10">
        <v>21600</v>
      </c>
      <c r="G3179" s="10">
        <v>0</v>
      </c>
      <c r="H3179" s="10">
        <f t="shared" si="49"/>
        <v>21600</v>
      </c>
      <c r="I3179" s="10"/>
      <c r="J3179" s="10"/>
      <c r="K3179" s="10"/>
      <c r="L3179" s="4" t="s">
        <v>69</v>
      </c>
      <c r="M3179" s="4">
        <v>3174</v>
      </c>
    </row>
    <row r="3180" spans="1:13" x14ac:dyDescent="0.25">
      <c r="A3180" s="4" t="s">
        <v>2896</v>
      </c>
      <c r="B3180" s="4" t="s">
        <v>2898</v>
      </c>
      <c r="C3180" s="4" t="s">
        <v>68</v>
      </c>
      <c r="D3180" s="10">
        <v>420</v>
      </c>
      <c r="E3180" s="11" t="s">
        <v>51</v>
      </c>
      <c r="F3180" s="10">
        <v>25200</v>
      </c>
      <c r="G3180" s="10">
        <v>0</v>
      </c>
      <c r="H3180" s="10">
        <f t="shared" si="49"/>
        <v>25200</v>
      </c>
      <c r="I3180" s="10"/>
      <c r="J3180" s="10"/>
      <c r="K3180" s="10"/>
      <c r="L3180" s="4" t="s">
        <v>69</v>
      </c>
      <c r="M3180" s="4">
        <v>3175</v>
      </c>
    </row>
    <row r="3181" spans="1:13" x14ac:dyDescent="0.25">
      <c r="A3181" s="4" t="s">
        <v>2899</v>
      </c>
      <c r="B3181" s="4" t="s">
        <v>2900</v>
      </c>
      <c r="C3181" s="4" t="s">
        <v>68</v>
      </c>
      <c r="D3181" s="10">
        <v>40</v>
      </c>
      <c r="E3181" s="11" t="s">
        <v>51</v>
      </c>
      <c r="F3181" s="10">
        <v>1900</v>
      </c>
      <c r="G3181" s="10">
        <v>0</v>
      </c>
      <c r="H3181" s="10">
        <f t="shared" si="49"/>
        <v>1900</v>
      </c>
      <c r="I3181" s="10"/>
      <c r="J3181" s="10"/>
      <c r="K3181" s="10"/>
      <c r="L3181" s="4" t="s">
        <v>69</v>
      </c>
      <c r="M3181" s="4">
        <v>3176</v>
      </c>
    </row>
    <row r="3182" spans="1:13" x14ac:dyDescent="0.25">
      <c r="A3182" s="4" t="s">
        <v>2901</v>
      </c>
      <c r="B3182" s="4" t="s">
        <v>2902</v>
      </c>
      <c r="C3182" s="4" t="s">
        <v>68</v>
      </c>
      <c r="D3182" s="10">
        <v>26</v>
      </c>
      <c r="E3182" s="11" t="s">
        <v>51</v>
      </c>
      <c r="F3182" s="10">
        <v>4400</v>
      </c>
      <c r="G3182" s="10">
        <v>0</v>
      </c>
      <c r="H3182" s="10">
        <f t="shared" si="49"/>
        <v>4400</v>
      </c>
      <c r="I3182" s="10"/>
      <c r="J3182" s="10"/>
      <c r="K3182" s="10"/>
      <c r="L3182" s="4" t="s">
        <v>69</v>
      </c>
      <c r="M3182" s="4">
        <v>3177</v>
      </c>
    </row>
    <row r="3183" spans="1:13" x14ac:dyDescent="0.25">
      <c r="A3183" s="4" t="s">
        <v>2903</v>
      </c>
      <c r="B3183" s="4" t="s">
        <v>2904</v>
      </c>
      <c r="C3183" s="4" t="s">
        <v>65</v>
      </c>
      <c r="D3183" s="10">
        <v>78</v>
      </c>
      <c r="E3183" s="12" t="s">
        <v>66</v>
      </c>
      <c r="F3183" s="10">
        <v>3400</v>
      </c>
      <c r="G3183" s="10">
        <v>0</v>
      </c>
      <c r="H3183" s="10">
        <f t="shared" si="49"/>
        <v>3400</v>
      </c>
      <c r="I3183" s="10">
        <v>130.7692307692308</v>
      </c>
      <c r="J3183" s="10">
        <v>130.7692307692308</v>
      </c>
      <c r="K3183" s="10">
        <v>130.7692307692308</v>
      </c>
      <c r="L3183" s="4"/>
      <c r="M3183" s="4">
        <v>3178</v>
      </c>
    </row>
    <row r="3184" spans="1:13" x14ac:dyDescent="0.25">
      <c r="A3184" s="4" t="s">
        <v>2905</v>
      </c>
      <c r="B3184" s="4" t="s">
        <v>2906</v>
      </c>
      <c r="C3184" s="4" t="s">
        <v>65</v>
      </c>
      <c r="D3184" s="10">
        <v>4</v>
      </c>
      <c r="E3184" s="12" t="s">
        <v>66</v>
      </c>
      <c r="F3184" s="10">
        <v>550</v>
      </c>
      <c r="G3184" s="10">
        <v>0</v>
      </c>
      <c r="H3184" s="10">
        <f t="shared" si="49"/>
        <v>550</v>
      </c>
      <c r="I3184" s="10">
        <v>137.5</v>
      </c>
      <c r="J3184" s="10">
        <v>137.5</v>
      </c>
      <c r="K3184" s="10">
        <v>137.5</v>
      </c>
      <c r="L3184" s="4"/>
      <c r="M3184" s="4">
        <v>3179</v>
      </c>
    </row>
    <row r="3185" spans="1:13" x14ac:dyDescent="0.25">
      <c r="A3185" s="4" t="s">
        <v>2905</v>
      </c>
      <c r="B3185" s="4" t="s">
        <v>2907</v>
      </c>
      <c r="C3185" s="4" t="s">
        <v>68</v>
      </c>
      <c r="D3185" s="10">
        <v>28</v>
      </c>
      <c r="E3185" s="11" t="s">
        <v>51</v>
      </c>
      <c r="F3185" s="10">
        <v>3080</v>
      </c>
      <c r="G3185" s="10">
        <v>0</v>
      </c>
      <c r="H3185" s="10">
        <f t="shared" si="49"/>
        <v>3080</v>
      </c>
      <c r="I3185" s="10"/>
      <c r="J3185" s="10"/>
      <c r="K3185" s="10"/>
      <c r="L3185" s="4" t="s">
        <v>69</v>
      </c>
      <c r="M3185" s="4">
        <v>3180</v>
      </c>
    </row>
    <row r="3186" spans="1:13" x14ac:dyDescent="0.25">
      <c r="A3186" s="4" t="s">
        <v>2905</v>
      </c>
      <c r="B3186" s="4" t="s">
        <v>2908</v>
      </c>
      <c r="C3186" s="4" t="s">
        <v>68</v>
      </c>
      <c r="D3186" s="10">
        <v>16</v>
      </c>
      <c r="E3186" s="11" t="s">
        <v>51</v>
      </c>
      <c r="F3186" s="10">
        <v>1120</v>
      </c>
      <c r="G3186" s="10">
        <v>0</v>
      </c>
      <c r="H3186" s="10">
        <f t="shared" si="49"/>
        <v>1120</v>
      </c>
      <c r="I3186" s="10"/>
      <c r="J3186" s="10"/>
      <c r="K3186" s="10"/>
      <c r="L3186" s="4" t="s">
        <v>69</v>
      </c>
      <c r="M3186" s="4">
        <v>3181</v>
      </c>
    </row>
    <row r="3187" spans="1:13" x14ac:dyDescent="0.25">
      <c r="A3187" s="4" t="s">
        <v>2905</v>
      </c>
      <c r="B3187" s="4" t="s">
        <v>2909</v>
      </c>
      <c r="C3187" s="4" t="s">
        <v>65</v>
      </c>
      <c r="D3187" s="10">
        <v>36</v>
      </c>
      <c r="E3187" s="12" t="s">
        <v>66</v>
      </c>
      <c r="F3187" s="10">
        <v>550</v>
      </c>
      <c r="G3187" s="10">
        <v>0</v>
      </c>
      <c r="H3187" s="10">
        <f t="shared" si="49"/>
        <v>550</v>
      </c>
      <c r="I3187" s="10">
        <v>137.5</v>
      </c>
      <c r="J3187" s="10">
        <v>137.5</v>
      </c>
      <c r="K3187" s="10">
        <v>137.5</v>
      </c>
      <c r="L3187" s="4"/>
      <c r="M3187" s="4">
        <v>3182</v>
      </c>
    </row>
    <row r="3188" spans="1:13" x14ac:dyDescent="0.25">
      <c r="A3188" s="4" t="s">
        <v>2910</v>
      </c>
      <c r="B3188" s="4" t="s">
        <v>2911</v>
      </c>
      <c r="C3188" s="4" t="s">
        <v>65</v>
      </c>
      <c r="D3188" s="10">
        <v>28</v>
      </c>
      <c r="E3188" s="12" t="s">
        <v>66</v>
      </c>
      <c r="F3188" s="10">
        <v>2275</v>
      </c>
      <c r="G3188" s="10">
        <v>0</v>
      </c>
      <c r="H3188" s="10">
        <f t="shared" si="49"/>
        <v>2275</v>
      </c>
      <c r="I3188" s="10">
        <v>81.25</v>
      </c>
      <c r="J3188" s="10">
        <v>81.25</v>
      </c>
      <c r="K3188" s="10">
        <v>81.25</v>
      </c>
      <c r="L3188" s="4"/>
      <c r="M3188" s="4">
        <v>3183</v>
      </c>
    </row>
    <row r="3189" spans="1:13" x14ac:dyDescent="0.25">
      <c r="A3189" s="4" t="s">
        <v>2910</v>
      </c>
      <c r="B3189" s="4" t="s">
        <v>2912</v>
      </c>
      <c r="C3189" s="4" t="s">
        <v>65</v>
      </c>
      <c r="D3189" s="10">
        <v>8</v>
      </c>
      <c r="E3189" s="12" t="s">
        <v>66</v>
      </c>
      <c r="F3189" s="10">
        <v>650</v>
      </c>
      <c r="G3189" s="10">
        <v>0</v>
      </c>
      <c r="H3189" s="10">
        <f t="shared" si="49"/>
        <v>650</v>
      </c>
      <c r="I3189" s="10">
        <v>81.25</v>
      </c>
      <c r="J3189" s="10">
        <v>81.25</v>
      </c>
      <c r="K3189" s="10">
        <v>81.25</v>
      </c>
      <c r="L3189" s="4"/>
      <c r="M3189" s="4">
        <v>3184</v>
      </c>
    </row>
    <row r="3190" spans="1:13" x14ac:dyDescent="0.25">
      <c r="A3190" s="4" t="s">
        <v>2910</v>
      </c>
      <c r="B3190" s="4" t="s">
        <v>97</v>
      </c>
      <c r="C3190" s="9" t="s">
        <v>50</v>
      </c>
      <c r="D3190" s="10">
        <v>5287.57</v>
      </c>
      <c r="E3190" s="11" t="s">
        <v>51</v>
      </c>
      <c r="F3190" s="10"/>
      <c r="G3190" s="10">
        <v>0</v>
      </c>
      <c r="H3190" s="10">
        <f t="shared" si="49"/>
        <v>0</v>
      </c>
      <c r="I3190" s="10"/>
      <c r="J3190" s="10"/>
      <c r="K3190" s="10"/>
      <c r="L3190" s="4" t="s">
        <v>52</v>
      </c>
      <c r="M3190" s="4">
        <v>3185</v>
      </c>
    </row>
    <row r="3191" spans="1:13" x14ac:dyDescent="0.25">
      <c r="A3191" s="4" t="s">
        <v>2913</v>
      </c>
      <c r="B3191" s="4" t="s">
        <v>2914</v>
      </c>
      <c r="C3191" s="9" t="s">
        <v>50</v>
      </c>
      <c r="D3191" s="10">
        <v>1560</v>
      </c>
      <c r="E3191" s="11" t="s">
        <v>51</v>
      </c>
      <c r="F3191" s="10">
        <v>156000</v>
      </c>
      <c r="G3191" s="10">
        <v>0</v>
      </c>
      <c r="H3191" s="10">
        <f t="shared" si="49"/>
        <v>156000</v>
      </c>
      <c r="I3191" s="10"/>
      <c r="J3191" s="10"/>
      <c r="K3191" s="10"/>
      <c r="L3191" s="4" t="s">
        <v>52</v>
      </c>
      <c r="M3191" s="4">
        <v>3186</v>
      </c>
    </row>
    <row r="3192" spans="1:13" x14ac:dyDescent="0.25">
      <c r="A3192" s="4" t="s">
        <v>2913</v>
      </c>
      <c r="B3192" s="4" t="s">
        <v>2915</v>
      </c>
      <c r="C3192" s="4" t="s">
        <v>65</v>
      </c>
      <c r="D3192" s="10">
        <v>720</v>
      </c>
      <c r="E3192" s="12" t="s">
        <v>66</v>
      </c>
      <c r="F3192" s="10">
        <v>72000</v>
      </c>
      <c r="G3192" s="10">
        <v>0</v>
      </c>
      <c r="H3192" s="10">
        <f t="shared" si="49"/>
        <v>72000</v>
      </c>
      <c r="I3192" s="10">
        <v>100</v>
      </c>
      <c r="J3192" s="10">
        <v>100</v>
      </c>
      <c r="K3192" s="10">
        <v>100</v>
      </c>
      <c r="L3192" s="4"/>
      <c r="M3192" s="4">
        <v>3187</v>
      </c>
    </row>
    <row r="3193" spans="1:13" x14ac:dyDescent="0.25">
      <c r="A3193" s="4" t="s">
        <v>2913</v>
      </c>
      <c r="B3193" s="4" t="s">
        <v>2916</v>
      </c>
      <c r="C3193" s="9" t="s">
        <v>50</v>
      </c>
      <c r="D3193" s="10">
        <v>8840</v>
      </c>
      <c r="E3193" s="11" t="s">
        <v>51</v>
      </c>
      <c r="F3193" s="10">
        <v>364000</v>
      </c>
      <c r="G3193" s="10">
        <v>0</v>
      </c>
      <c r="H3193" s="10">
        <f t="shared" si="49"/>
        <v>364000</v>
      </c>
      <c r="I3193" s="10"/>
      <c r="J3193" s="10"/>
      <c r="K3193" s="10"/>
      <c r="L3193" s="4" t="s">
        <v>52</v>
      </c>
      <c r="M3193" s="4">
        <v>3188</v>
      </c>
    </row>
    <row r="3194" spans="1:13" x14ac:dyDescent="0.25">
      <c r="A3194" s="4" t="s">
        <v>2917</v>
      </c>
      <c r="B3194" s="4" t="s">
        <v>2914</v>
      </c>
      <c r="C3194" s="9" t="s">
        <v>50</v>
      </c>
      <c r="D3194" s="10">
        <v>1560</v>
      </c>
      <c r="E3194" s="11" t="s">
        <v>51</v>
      </c>
      <c r="F3194" s="10">
        <v>156000</v>
      </c>
      <c r="G3194" s="10">
        <v>0</v>
      </c>
      <c r="H3194" s="10">
        <f t="shared" si="49"/>
        <v>156000</v>
      </c>
      <c r="I3194" s="10"/>
      <c r="J3194" s="10"/>
      <c r="K3194" s="10"/>
      <c r="L3194" s="4" t="s">
        <v>52</v>
      </c>
      <c r="M3194" s="4">
        <v>3189</v>
      </c>
    </row>
    <row r="3195" spans="1:13" x14ac:dyDescent="0.25">
      <c r="A3195" s="4" t="s">
        <v>2917</v>
      </c>
      <c r="B3195" s="4" t="s">
        <v>2916</v>
      </c>
      <c r="C3195" s="9" t="s">
        <v>50</v>
      </c>
      <c r="D3195" s="10">
        <v>6240</v>
      </c>
      <c r="E3195" s="11" t="s">
        <v>51</v>
      </c>
      <c r="F3195" s="10">
        <v>364000</v>
      </c>
      <c r="G3195" s="10">
        <v>0</v>
      </c>
      <c r="H3195" s="10">
        <f t="shared" si="49"/>
        <v>364000</v>
      </c>
      <c r="I3195" s="10"/>
      <c r="J3195" s="10"/>
      <c r="K3195" s="10"/>
      <c r="L3195" s="4" t="s">
        <v>52</v>
      </c>
      <c r="M3195" s="4">
        <v>3190</v>
      </c>
    </row>
    <row r="3196" spans="1:13" x14ac:dyDescent="0.25">
      <c r="A3196" s="4" t="s">
        <v>2918</v>
      </c>
      <c r="B3196" s="4" t="s">
        <v>2914</v>
      </c>
      <c r="C3196" s="9" t="s">
        <v>50</v>
      </c>
      <c r="D3196" s="10">
        <v>780</v>
      </c>
      <c r="E3196" s="11" t="s">
        <v>51</v>
      </c>
      <c r="F3196" s="10">
        <v>78000</v>
      </c>
      <c r="G3196" s="10">
        <v>0</v>
      </c>
      <c r="H3196" s="10">
        <f t="shared" si="49"/>
        <v>78000</v>
      </c>
      <c r="I3196" s="10"/>
      <c r="J3196" s="10"/>
      <c r="K3196" s="10"/>
      <c r="L3196" s="4" t="s">
        <v>52</v>
      </c>
      <c r="M3196" s="4">
        <v>3191</v>
      </c>
    </row>
    <row r="3197" spans="1:13" x14ac:dyDescent="0.25">
      <c r="A3197" s="4" t="s">
        <v>2918</v>
      </c>
      <c r="B3197" s="4" t="s">
        <v>2916</v>
      </c>
      <c r="C3197" s="9" t="s">
        <v>50</v>
      </c>
      <c r="D3197" s="10">
        <v>1840</v>
      </c>
      <c r="E3197" s="11" t="s">
        <v>51</v>
      </c>
      <c r="F3197" s="10">
        <v>182000</v>
      </c>
      <c r="G3197" s="10">
        <v>0</v>
      </c>
      <c r="H3197" s="10">
        <f t="shared" si="49"/>
        <v>182000</v>
      </c>
      <c r="I3197" s="10"/>
      <c r="J3197" s="10"/>
      <c r="K3197" s="10"/>
      <c r="L3197" s="4" t="s">
        <v>52</v>
      </c>
      <c r="M3197" s="4">
        <v>3192</v>
      </c>
    </row>
    <row r="3198" spans="1:13" x14ac:dyDescent="0.25">
      <c r="A3198" s="4" t="s">
        <v>2919</v>
      </c>
      <c r="B3198" s="4" t="s">
        <v>2920</v>
      </c>
      <c r="C3198" s="4" t="s">
        <v>65</v>
      </c>
      <c r="D3198" s="10">
        <v>70</v>
      </c>
      <c r="E3198" s="11" t="s">
        <v>51</v>
      </c>
      <c r="F3198" s="10"/>
      <c r="G3198" s="10">
        <v>0</v>
      </c>
      <c r="H3198" s="10">
        <f t="shared" si="49"/>
        <v>0</v>
      </c>
      <c r="I3198" s="10">
        <v>0</v>
      </c>
      <c r="J3198" s="10">
        <v>0</v>
      </c>
      <c r="K3198" s="10">
        <v>0</v>
      </c>
      <c r="L3198" s="4" t="s">
        <v>69</v>
      </c>
      <c r="M3198" s="4">
        <v>3193</v>
      </c>
    </row>
    <row r="3199" spans="1:13" x14ac:dyDescent="0.25">
      <c r="A3199" s="4" t="s">
        <v>2921</v>
      </c>
      <c r="B3199" s="4" t="s">
        <v>2922</v>
      </c>
      <c r="C3199" s="4" t="s">
        <v>68</v>
      </c>
      <c r="D3199" s="10">
        <v>50</v>
      </c>
      <c r="E3199" s="11" t="s">
        <v>51</v>
      </c>
      <c r="F3199" s="10">
        <v>5250</v>
      </c>
      <c r="G3199" s="10">
        <v>0</v>
      </c>
      <c r="H3199" s="10">
        <f t="shared" si="49"/>
        <v>5250</v>
      </c>
      <c r="I3199" s="10"/>
      <c r="J3199" s="10"/>
      <c r="K3199" s="10"/>
      <c r="L3199" s="4" t="s">
        <v>69</v>
      </c>
      <c r="M3199" s="4">
        <v>3194</v>
      </c>
    </row>
    <row r="3200" spans="1:13" x14ac:dyDescent="0.25">
      <c r="A3200" s="4" t="s">
        <v>2921</v>
      </c>
      <c r="B3200" s="4" t="s">
        <v>2923</v>
      </c>
      <c r="C3200" s="4" t="s">
        <v>68</v>
      </c>
      <c r="D3200" s="10">
        <v>60</v>
      </c>
      <c r="E3200" s="11" t="s">
        <v>51</v>
      </c>
      <c r="F3200" s="10"/>
      <c r="G3200" s="10">
        <v>0</v>
      </c>
      <c r="H3200" s="10">
        <f t="shared" si="49"/>
        <v>0</v>
      </c>
      <c r="I3200" s="10"/>
      <c r="J3200" s="10"/>
      <c r="K3200" s="10"/>
      <c r="L3200" s="4" t="s">
        <v>69</v>
      </c>
      <c r="M3200" s="4">
        <v>3195</v>
      </c>
    </row>
    <row r="3201" spans="1:13" x14ac:dyDescent="0.25">
      <c r="A3201" s="4" t="s">
        <v>2924</v>
      </c>
      <c r="B3201" s="4" t="s">
        <v>2849</v>
      </c>
      <c r="C3201" s="9" t="s">
        <v>50</v>
      </c>
      <c r="D3201" s="10">
        <v>176.5</v>
      </c>
      <c r="E3201" s="11" t="s">
        <v>51</v>
      </c>
      <c r="F3201" s="10">
        <v>6600</v>
      </c>
      <c r="G3201" s="10">
        <v>0</v>
      </c>
      <c r="H3201" s="10">
        <f t="shared" si="49"/>
        <v>6600</v>
      </c>
      <c r="I3201" s="10"/>
      <c r="J3201" s="10"/>
      <c r="K3201" s="10"/>
      <c r="L3201" s="4" t="s">
        <v>52</v>
      </c>
      <c r="M3201" s="4">
        <v>3196</v>
      </c>
    </row>
    <row r="3202" spans="1:13" x14ac:dyDescent="0.25">
      <c r="A3202" s="4" t="s">
        <v>2925</v>
      </c>
      <c r="B3202" s="4" t="s">
        <v>2329</v>
      </c>
      <c r="C3202" s="9" t="s">
        <v>50</v>
      </c>
      <c r="D3202" s="10">
        <v>4.5</v>
      </c>
      <c r="E3202" s="11" t="s">
        <v>51</v>
      </c>
      <c r="F3202" s="10">
        <v>560</v>
      </c>
      <c r="G3202" s="10">
        <v>0</v>
      </c>
      <c r="H3202" s="10">
        <f t="shared" si="49"/>
        <v>560</v>
      </c>
      <c r="I3202" s="10"/>
      <c r="J3202" s="10"/>
      <c r="K3202" s="10"/>
      <c r="L3202" s="4" t="s">
        <v>52</v>
      </c>
      <c r="M3202" s="4">
        <v>3197</v>
      </c>
    </row>
    <row r="3203" spans="1:13" x14ac:dyDescent="0.25">
      <c r="A3203" s="4" t="s">
        <v>2925</v>
      </c>
      <c r="B3203" s="4" t="s">
        <v>399</v>
      </c>
      <c r="C3203" s="9" t="s">
        <v>50</v>
      </c>
      <c r="D3203" s="10">
        <v>48</v>
      </c>
      <c r="E3203" s="11" t="s">
        <v>51</v>
      </c>
      <c r="F3203" s="10">
        <v>5120</v>
      </c>
      <c r="G3203" s="10">
        <v>0</v>
      </c>
      <c r="H3203" s="10">
        <f t="shared" si="49"/>
        <v>5120</v>
      </c>
      <c r="I3203" s="10"/>
      <c r="J3203" s="10"/>
      <c r="K3203" s="10"/>
      <c r="L3203" s="4" t="s">
        <v>52</v>
      </c>
      <c r="M3203" s="4">
        <v>3198</v>
      </c>
    </row>
    <row r="3204" spans="1:13" x14ac:dyDescent="0.25">
      <c r="A3204" s="4" t="s">
        <v>2925</v>
      </c>
      <c r="B3204" s="4" t="s">
        <v>853</v>
      </c>
      <c r="C3204" s="4" t="s">
        <v>65</v>
      </c>
      <c r="D3204" s="10">
        <v>64</v>
      </c>
      <c r="E3204" s="12" t="s">
        <v>66</v>
      </c>
      <c r="F3204" s="10">
        <v>7270</v>
      </c>
      <c r="G3204" s="10">
        <v>0</v>
      </c>
      <c r="H3204" s="10">
        <f t="shared" si="49"/>
        <v>7270</v>
      </c>
      <c r="I3204" s="10">
        <v>113.59375</v>
      </c>
      <c r="J3204" s="10">
        <v>113.59375</v>
      </c>
      <c r="K3204" s="10">
        <v>113.59375</v>
      </c>
      <c r="L3204" s="4"/>
      <c r="M3204" s="4">
        <v>3199</v>
      </c>
    </row>
    <row r="3205" spans="1:13" x14ac:dyDescent="0.25">
      <c r="A3205" s="4" t="s">
        <v>2925</v>
      </c>
      <c r="B3205" s="4" t="s">
        <v>2926</v>
      </c>
      <c r="C3205" s="4" t="s">
        <v>68</v>
      </c>
      <c r="D3205" s="10">
        <v>20</v>
      </c>
      <c r="E3205" s="11" t="s">
        <v>51</v>
      </c>
      <c r="F3205" s="10"/>
      <c r="G3205" s="10">
        <v>0</v>
      </c>
      <c r="H3205" s="10">
        <f t="shared" si="49"/>
        <v>0</v>
      </c>
      <c r="I3205" s="10"/>
      <c r="J3205" s="10"/>
      <c r="K3205" s="10"/>
      <c r="L3205" s="4" t="s">
        <v>69</v>
      </c>
      <c r="M3205" s="4">
        <v>3200</v>
      </c>
    </row>
    <row r="3206" spans="1:13" x14ac:dyDescent="0.25">
      <c r="A3206" s="4" t="s">
        <v>2927</v>
      </c>
      <c r="B3206" s="4" t="s">
        <v>2928</v>
      </c>
      <c r="C3206" s="4" t="s">
        <v>68</v>
      </c>
      <c r="D3206" s="10">
        <v>68</v>
      </c>
      <c r="E3206" s="11" t="s">
        <v>51</v>
      </c>
      <c r="F3206" s="10">
        <v>2300</v>
      </c>
      <c r="G3206" s="10">
        <v>0</v>
      </c>
      <c r="H3206" s="10">
        <f t="shared" ref="H3206:H3269" si="50">F3206-G3206</f>
        <v>2300</v>
      </c>
      <c r="I3206" s="10"/>
      <c r="J3206" s="10"/>
      <c r="K3206" s="10"/>
      <c r="L3206" s="4" t="s">
        <v>69</v>
      </c>
      <c r="M3206" s="4">
        <v>3201</v>
      </c>
    </row>
    <row r="3207" spans="1:13" x14ac:dyDescent="0.25">
      <c r="A3207" s="4" t="s">
        <v>2929</v>
      </c>
      <c r="B3207" s="4" t="s">
        <v>2930</v>
      </c>
      <c r="C3207" s="4" t="s">
        <v>68</v>
      </c>
      <c r="D3207" s="10">
        <v>16</v>
      </c>
      <c r="E3207" s="11" t="s">
        <v>51</v>
      </c>
      <c r="F3207" s="10">
        <v>1520</v>
      </c>
      <c r="G3207" s="10">
        <v>0</v>
      </c>
      <c r="H3207" s="10">
        <f t="shared" si="50"/>
        <v>1520</v>
      </c>
      <c r="I3207" s="10"/>
      <c r="J3207" s="10"/>
      <c r="K3207" s="10"/>
      <c r="L3207" s="4" t="s">
        <v>69</v>
      </c>
      <c r="M3207" s="4">
        <v>3202</v>
      </c>
    </row>
    <row r="3208" spans="1:13" x14ac:dyDescent="0.25">
      <c r="A3208" s="4" t="s">
        <v>2929</v>
      </c>
      <c r="B3208" s="4" t="s">
        <v>2931</v>
      </c>
      <c r="C3208" s="4" t="s">
        <v>68</v>
      </c>
      <c r="D3208" s="10">
        <v>16</v>
      </c>
      <c r="E3208" s="11" t="s">
        <v>51</v>
      </c>
      <c r="F3208" s="10">
        <v>1520</v>
      </c>
      <c r="G3208" s="10">
        <v>0</v>
      </c>
      <c r="H3208" s="10">
        <f t="shared" si="50"/>
        <v>1520</v>
      </c>
      <c r="I3208" s="10"/>
      <c r="J3208" s="10"/>
      <c r="K3208" s="10"/>
      <c r="L3208" s="4" t="s">
        <v>69</v>
      </c>
      <c r="M3208" s="4">
        <v>3203</v>
      </c>
    </row>
    <row r="3209" spans="1:13" x14ac:dyDescent="0.25">
      <c r="A3209" s="4" t="s">
        <v>2929</v>
      </c>
      <c r="B3209" s="4" t="s">
        <v>2932</v>
      </c>
      <c r="C3209" s="4" t="s">
        <v>68</v>
      </c>
      <c r="D3209" s="10">
        <v>32</v>
      </c>
      <c r="E3209" s="11" t="s">
        <v>51</v>
      </c>
      <c r="F3209" s="10">
        <v>1520</v>
      </c>
      <c r="G3209" s="10">
        <v>0</v>
      </c>
      <c r="H3209" s="10">
        <f t="shared" si="50"/>
        <v>1520</v>
      </c>
      <c r="I3209" s="10"/>
      <c r="J3209" s="10"/>
      <c r="K3209" s="10"/>
      <c r="L3209" s="4" t="s">
        <v>69</v>
      </c>
      <c r="M3209" s="4">
        <v>3204</v>
      </c>
    </row>
    <row r="3210" spans="1:13" x14ac:dyDescent="0.25">
      <c r="A3210" s="4" t="s">
        <v>2933</v>
      </c>
      <c r="B3210" s="4" t="s">
        <v>2934</v>
      </c>
      <c r="C3210" s="4" t="s">
        <v>68</v>
      </c>
      <c r="D3210" s="10">
        <v>43.5</v>
      </c>
      <c r="E3210" s="11" t="s">
        <v>51</v>
      </c>
      <c r="F3210" s="10">
        <v>1520</v>
      </c>
      <c r="G3210" s="10">
        <v>0</v>
      </c>
      <c r="H3210" s="10">
        <f t="shared" si="50"/>
        <v>1520</v>
      </c>
      <c r="I3210" s="10"/>
      <c r="J3210" s="10"/>
      <c r="K3210" s="10"/>
      <c r="L3210" s="4" t="s">
        <v>69</v>
      </c>
      <c r="M3210" s="4">
        <v>3205</v>
      </c>
    </row>
    <row r="3211" spans="1:13" x14ac:dyDescent="0.25">
      <c r="A3211" s="4" t="s">
        <v>2935</v>
      </c>
      <c r="B3211" s="4" t="s">
        <v>2936</v>
      </c>
      <c r="C3211" s="4" t="s">
        <v>65</v>
      </c>
      <c r="D3211" s="10">
        <v>47.5</v>
      </c>
      <c r="E3211" s="12" t="s">
        <v>66</v>
      </c>
      <c r="F3211" s="10">
        <v>3250</v>
      </c>
      <c r="G3211" s="10">
        <v>0</v>
      </c>
      <c r="H3211" s="10">
        <f t="shared" si="50"/>
        <v>3250</v>
      </c>
      <c r="I3211" s="10">
        <v>118.1818181818182</v>
      </c>
      <c r="J3211" s="10">
        <v>118.1818181818182</v>
      </c>
      <c r="K3211" s="10">
        <v>118.1818181818182</v>
      </c>
      <c r="L3211" s="4"/>
      <c r="M3211" s="4">
        <v>3206</v>
      </c>
    </row>
    <row r="3212" spans="1:13" x14ac:dyDescent="0.25">
      <c r="A3212" s="4" t="s">
        <v>2937</v>
      </c>
      <c r="B3212" s="4" t="s">
        <v>498</v>
      </c>
      <c r="C3212" s="9" t="s">
        <v>50</v>
      </c>
      <c r="D3212" s="10">
        <v>44</v>
      </c>
      <c r="E3212" s="11" t="s">
        <v>51</v>
      </c>
      <c r="F3212" s="10">
        <v>1900</v>
      </c>
      <c r="G3212" s="10">
        <v>0</v>
      </c>
      <c r="H3212" s="10">
        <f t="shared" si="50"/>
        <v>1900</v>
      </c>
      <c r="I3212" s="10"/>
      <c r="J3212" s="10"/>
      <c r="K3212" s="10"/>
      <c r="L3212" s="4" t="s">
        <v>52</v>
      </c>
      <c r="M3212" s="4">
        <v>3207</v>
      </c>
    </row>
    <row r="3213" spans="1:13" x14ac:dyDescent="0.25">
      <c r="A3213" s="4" t="s">
        <v>2938</v>
      </c>
      <c r="B3213" s="4" t="s">
        <v>2939</v>
      </c>
      <c r="C3213" s="4" t="s">
        <v>68</v>
      </c>
      <c r="D3213" s="10">
        <v>40</v>
      </c>
      <c r="E3213" s="11" t="s">
        <v>51</v>
      </c>
      <c r="F3213" s="10">
        <v>2400</v>
      </c>
      <c r="G3213" s="10">
        <v>0</v>
      </c>
      <c r="H3213" s="10">
        <f t="shared" si="50"/>
        <v>2400</v>
      </c>
      <c r="I3213" s="10"/>
      <c r="J3213" s="10"/>
      <c r="K3213" s="10"/>
      <c r="L3213" s="4" t="s">
        <v>69</v>
      </c>
      <c r="M3213" s="4">
        <v>3208</v>
      </c>
    </row>
    <row r="3214" spans="1:13" x14ac:dyDescent="0.25">
      <c r="A3214" s="4" t="s">
        <v>2940</v>
      </c>
      <c r="B3214" s="4" t="s">
        <v>2941</v>
      </c>
      <c r="C3214" s="4" t="s">
        <v>68</v>
      </c>
      <c r="D3214" s="10">
        <v>316</v>
      </c>
      <c r="E3214" s="11" t="s">
        <v>51</v>
      </c>
      <c r="F3214" s="10">
        <v>1920</v>
      </c>
      <c r="G3214" s="10">
        <v>0</v>
      </c>
      <c r="H3214" s="10">
        <f t="shared" si="50"/>
        <v>1920</v>
      </c>
      <c r="I3214" s="10"/>
      <c r="J3214" s="10"/>
      <c r="K3214" s="10"/>
      <c r="L3214" s="4" t="s">
        <v>69</v>
      </c>
      <c r="M3214" s="4">
        <v>3209</v>
      </c>
    </row>
    <row r="3215" spans="1:13" x14ac:dyDescent="0.25">
      <c r="A3215" s="4" t="s">
        <v>2942</v>
      </c>
      <c r="B3215" s="4" t="s">
        <v>1407</v>
      </c>
      <c r="C3215" s="9" t="s">
        <v>50</v>
      </c>
      <c r="D3215" s="10">
        <v>66</v>
      </c>
      <c r="E3215" s="11" t="s">
        <v>51</v>
      </c>
      <c r="F3215" s="10">
        <v>7260</v>
      </c>
      <c r="G3215" s="10">
        <v>0</v>
      </c>
      <c r="H3215" s="10">
        <f t="shared" si="50"/>
        <v>7260</v>
      </c>
      <c r="I3215" s="10"/>
      <c r="J3215" s="10"/>
      <c r="K3215" s="10"/>
      <c r="L3215" s="4" t="s">
        <v>52</v>
      </c>
      <c r="M3215" s="4">
        <v>3210</v>
      </c>
    </row>
    <row r="3216" spans="1:13" x14ac:dyDescent="0.25">
      <c r="A3216" s="4" t="s">
        <v>2942</v>
      </c>
      <c r="B3216" s="4" t="s">
        <v>1408</v>
      </c>
      <c r="C3216" s="9" t="s">
        <v>50</v>
      </c>
      <c r="D3216" s="10">
        <v>56</v>
      </c>
      <c r="E3216" s="11" t="s">
        <v>51</v>
      </c>
      <c r="F3216" s="10">
        <v>6160</v>
      </c>
      <c r="G3216" s="10">
        <v>0</v>
      </c>
      <c r="H3216" s="10">
        <f t="shared" si="50"/>
        <v>6160</v>
      </c>
      <c r="I3216" s="10"/>
      <c r="J3216" s="10"/>
      <c r="K3216" s="10"/>
      <c r="L3216" s="4" t="s">
        <v>52</v>
      </c>
      <c r="M3216" s="4">
        <v>3211</v>
      </c>
    </row>
    <row r="3217" spans="1:13" x14ac:dyDescent="0.25">
      <c r="A3217" s="4" t="s">
        <v>2942</v>
      </c>
      <c r="B3217" s="4" t="s">
        <v>2943</v>
      </c>
      <c r="C3217" s="4" t="s">
        <v>68</v>
      </c>
      <c r="D3217" s="10">
        <v>237</v>
      </c>
      <c r="E3217" s="11" t="s">
        <v>51</v>
      </c>
      <c r="F3217" s="10">
        <v>7920</v>
      </c>
      <c r="G3217" s="10">
        <v>0</v>
      </c>
      <c r="H3217" s="10">
        <f t="shared" si="50"/>
        <v>7920</v>
      </c>
      <c r="I3217" s="10"/>
      <c r="J3217" s="10"/>
      <c r="K3217" s="10"/>
      <c r="L3217" s="4" t="s">
        <v>69</v>
      </c>
      <c r="M3217" s="4">
        <v>3212</v>
      </c>
    </row>
    <row r="3218" spans="1:13" x14ac:dyDescent="0.25">
      <c r="A3218" s="4" t="s">
        <v>2944</v>
      </c>
      <c r="B3218" s="4" t="s">
        <v>2945</v>
      </c>
      <c r="C3218" s="4" t="s">
        <v>68</v>
      </c>
      <c r="D3218" s="10">
        <v>30</v>
      </c>
      <c r="E3218" s="11" t="s">
        <v>51</v>
      </c>
      <c r="F3218" s="10"/>
      <c r="G3218" s="10">
        <v>0</v>
      </c>
      <c r="H3218" s="10">
        <f t="shared" si="50"/>
        <v>0</v>
      </c>
      <c r="I3218" s="10"/>
      <c r="J3218" s="10"/>
      <c r="K3218" s="10"/>
      <c r="L3218" s="4" t="s">
        <v>69</v>
      </c>
      <c r="M3218" s="4">
        <v>3213</v>
      </c>
    </row>
    <row r="3219" spans="1:13" x14ac:dyDescent="0.25">
      <c r="A3219" s="4" t="s">
        <v>2944</v>
      </c>
      <c r="B3219" s="4" t="s">
        <v>2946</v>
      </c>
      <c r="C3219" s="4" t="s">
        <v>68</v>
      </c>
      <c r="D3219" s="10">
        <v>30</v>
      </c>
      <c r="E3219" s="11" t="s">
        <v>51</v>
      </c>
      <c r="F3219" s="10"/>
      <c r="G3219" s="10">
        <v>0</v>
      </c>
      <c r="H3219" s="10">
        <f t="shared" si="50"/>
        <v>0</v>
      </c>
      <c r="I3219" s="10"/>
      <c r="J3219" s="10"/>
      <c r="K3219" s="10"/>
      <c r="L3219" s="4" t="s">
        <v>69</v>
      </c>
      <c r="M3219" s="4">
        <v>3214</v>
      </c>
    </row>
    <row r="3220" spans="1:13" x14ac:dyDescent="0.25">
      <c r="A3220" s="4" t="s">
        <v>2944</v>
      </c>
      <c r="B3220" s="4" t="s">
        <v>2947</v>
      </c>
      <c r="C3220" s="4" t="s">
        <v>65</v>
      </c>
      <c r="D3220" s="10">
        <v>45</v>
      </c>
      <c r="E3220" s="11" t="s">
        <v>51</v>
      </c>
      <c r="F3220" s="10"/>
      <c r="G3220" s="10">
        <v>0</v>
      </c>
      <c r="H3220" s="10">
        <f t="shared" si="50"/>
        <v>0</v>
      </c>
      <c r="I3220" s="10">
        <v>0</v>
      </c>
      <c r="J3220" s="10">
        <v>0</v>
      </c>
      <c r="K3220" s="10">
        <v>0</v>
      </c>
      <c r="L3220" s="4" t="s">
        <v>69</v>
      </c>
      <c r="M3220" s="4">
        <v>3215</v>
      </c>
    </row>
    <row r="3221" spans="1:13" x14ac:dyDescent="0.25">
      <c r="A3221" s="4" t="s">
        <v>2948</v>
      </c>
      <c r="B3221" s="4" t="s">
        <v>1658</v>
      </c>
      <c r="C3221" s="4" t="s">
        <v>68</v>
      </c>
      <c r="D3221" s="10"/>
      <c r="E3221" s="11" t="s">
        <v>51</v>
      </c>
      <c r="F3221" s="10"/>
      <c r="G3221" s="10">
        <v>0</v>
      </c>
      <c r="H3221" s="10">
        <f t="shared" si="50"/>
        <v>0</v>
      </c>
      <c r="I3221" s="10"/>
      <c r="J3221" s="10"/>
      <c r="K3221" s="10"/>
      <c r="L3221" s="4" t="s">
        <v>69</v>
      </c>
      <c r="M3221" s="4">
        <v>3216</v>
      </c>
    </row>
    <row r="3222" spans="1:13" x14ac:dyDescent="0.25">
      <c r="A3222" s="4" t="s">
        <v>2948</v>
      </c>
      <c r="B3222" s="4" t="s">
        <v>1659</v>
      </c>
      <c r="C3222" s="4" t="s">
        <v>68</v>
      </c>
      <c r="D3222" s="10">
        <v>33</v>
      </c>
      <c r="E3222" s="11" t="s">
        <v>51</v>
      </c>
      <c r="F3222" s="10"/>
      <c r="G3222" s="10">
        <v>0</v>
      </c>
      <c r="H3222" s="10">
        <f t="shared" si="50"/>
        <v>0</v>
      </c>
      <c r="I3222" s="10"/>
      <c r="J3222" s="10"/>
      <c r="K3222" s="10"/>
      <c r="L3222" s="4" t="s">
        <v>69</v>
      </c>
      <c r="M3222" s="4">
        <v>3217</v>
      </c>
    </row>
    <row r="3223" spans="1:13" x14ac:dyDescent="0.25">
      <c r="A3223" s="4" t="s">
        <v>2949</v>
      </c>
      <c r="B3223" s="4" t="s">
        <v>2950</v>
      </c>
      <c r="C3223" s="9" t="s">
        <v>50</v>
      </c>
      <c r="D3223" s="10">
        <v>25</v>
      </c>
      <c r="E3223" s="11" t="s">
        <v>51</v>
      </c>
      <c r="F3223" s="10">
        <v>1557.5</v>
      </c>
      <c r="G3223" s="10">
        <v>0</v>
      </c>
      <c r="H3223" s="10">
        <f t="shared" si="50"/>
        <v>1557.5</v>
      </c>
      <c r="I3223" s="10"/>
      <c r="J3223" s="10"/>
      <c r="K3223" s="10"/>
      <c r="L3223" s="4" t="s">
        <v>52</v>
      </c>
      <c r="M3223" s="4">
        <v>3218</v>
      </c>
    </row>
    <row r="3224" spans="1:13" x14ac:dyDescent="0.25">
      <c r="A3224" s="4" t="s">
        <v>2949</v>
      </c>
      <c r="B3224" s="4" t="s">
        <v>2951</v>
      </c>
      <c r="C3224" s="9" t="s">
        <v>50</v>
      </c>
      <c r="D3224" s="10">
        <v>8</v>
      </c>
      <c r="E3224" s="11" t="s">
        <v>51</v>
      </c>
      <c r="F3224" s="10">
        <v>1420</v>
      </c>
      <c r="G3224" s="10">
        <v>0</v>
      </c>
      <c r="H3224" s="10">
        <f t="shared" si="50"/>
        <v>1420</v>
      </c>
      <c r="I3224" s="10"/>
      <c r="J3224" s="10"/>
      <c r="K3224" s="10"/>
      <c r="L3224" s="4" t="s">
        <v>52</v>
      </c>
      <c r="M3224" s="4">
        <v>3219</v>
      </c>
    </row>
    <row r="3225" spans="1:13" x14ac:dyDescent="0.25">
      <c r="A3225" s="4" t="s">
        <v>2949</v>
      </c>
      <c r="B3225" s="4" t="s">
        <v>2952</v>
      </c>
      <c r="C3225" s="4" t="s">
        <v>65</v>
      </c>
      <c r="D3225" s="10"/>
      <c r="E3225" s="11" t="s">
        <v>51</v>
      </c>
      <c r="F3225" s="10"/>
      <c r="G3225" s="10">
        <v>0</v>
      </c>
      <c r="H3225" s="10">
        <f t="shared" si="50"/>
        <v>0</v>
      </c>
      <c r="I3225" s="10"/>
      <c r="J3225" s="10"/>
      <c r="K3225" s="10"/>
      <c r="L3225" s="4" t="s">
        <v>69</v>
      </c>
      <c r="M3225" s="4">
        <v>3220</v>
      </c>
    </row>
    <row r="3226" spans="1:13" x14ac:dyDescent="0.25">
      <c r="A3226" s="4" t="s">
        <v>2949</v>
      </c>
      <c r="B3226" s="4" t="s">
        <v>2953</v>
      </c>
      <c r="C3226" s="4" t="s">
        <v>65</v>
      </c>
      <c r="D3226" s="10">
        <v>26</v>
      </c>
      <c r="E3226" s="11" t="s">
        <v>51</v>
      </c>
      <c r="F3226" s="10"/>
      <c r="G3226" s="10">
        <v>0</v>
      </c>
      <c r="H3226" s="10">
        <f t="shared" si="50"/>
        <v>0</v>
      </c>
      <c r="I3226" s="10"/>
      <c r="J3226" s="10"/>
      <c r="K3226" s="10"/>
      <c r="L3226" s="4" t="s">
        <v>69</v>
      </c>
      <c r="M3226" s="4">
        <v>3221</v>
      </c>
    </row>
    <row r="3227" spans="1:13" x14ac:dyDescent="0.25">
      <c r="A3227" s="4" t="s">
        <v>2954</v>
      </c>
      <c r="B3227" s="4" t="s">
        <v>2955</v>
      </c>
      <c r="C3227" s="4" t="s">
        <v>65</v>
      </c>
      <c r="D3227" s="10">
        <v>13</v>
      </c>
      <c r="E3227" s="12" t="s">
        <v>66</v>
      </c>
      <c r="F3227" s="10">
        <v>727.5</v>
      </c>
      <c r="G3227" s="10">
        <v>0</v>
      </c>
      <c r="H3227" s="10">
        <f t="shared" si="50"/>
        <v>727.5</v>
      </c>
      <c r="I3227" s="10">
        <v>55.96153846153846</v>
      </c>
      <c r="J3227" s="10">
        <v>55.96153846153846</v>
      </c>
      <c r="K3227" s="10">
        <v>55.96153846153846</v>
      </c>
      <c r="L3227" s="4"/>
      <c r="M3227" s="4">
        <v>3222</v>
      </c>
    </row>
    <row r="3228" spans="1:13" x14ac:dyDescent="0.25">
      <c r="A3228" s="4" t="s">
        <v>2954</v>
      </c>
      <c r="B3228" s="4" t="s">
        <v>2956</v>
      </c>
      <c r="C3228" s="4" t="s">
        <v>65</v>
      </c>
      <c r="D3228" s="10"/>
      <c r="E3228" s="11" t="s">
        <v>51</v>
      </c>
      <c r="F3228" s="10">
        <v>200</v>
      </c>
      <c r="G3228" s="10">
        <v>0</v>
      </c>
      <c r="H3228" s="10">
        <f t="shared" si="50"/>
        <v>200</v>
      </c>
      <c r="I3228" s="10"/>
      <c r="J3228" s="10"/>
      <c r="K3228" s="10"/>
      <c r="L3228" s="4" t="s">
        <v>69</v>
      </c>
      <c r="M3228" s="4">
        <v>3223</v>
      </c>
    </row>
    <row r="3229" spans="1:13" x14ac:dyDescent="0.25">
      <c r="A3229" s="4" t="s">
        <v>2954</v>
      </c>
      <c r="B3229" s="4" t="s">
        <v>2957</v>
      </c>
      <c r="C3229" s="4" t="s">
        <v>65</v>
      </c>
      <c r="D3229" s="10">
        <v>38</v>
      </c>
      <c r="E3229" s="11" t="s">
        <v>51</v>
      </c>
      <c r="F3229" s="10">
        <v>145</v>
      </c>
      <c r="G3229" s="10">
        <v>0</v>
      </c>
      <c r="H3229" s="10">
        <f t="shared" si="50"/>
        <v>145</v>
      </c>
      <c r="I3229" s="10"/>
      <c r="J3229" s="10"/>
      <c r="K3229" s="10"/>
      <c r="L3229" s="4" t="s">
        <v>69</v>
      </c>
      <c r="M3229" s="4">
        <v>3224</v>
      </c>
    </row>
    <row r="3230" spans="1:13" x14ac:dyDescent="0.25">
      <c r="A3230" s="4" t="s">
        <v>2958</v>
      </c>
      <c r="B3230" s="4" t="s">
        <v>2959</v>
      </c>
      <c r="C3230" s="9" t="s">
        <v>50</v>
      </c>
      <c r="D3230" s="10">
        <v>22</v>
      </c>
      <c r="E3230" s="11" t="s">
        <v>51</v>
      </c>
      <c r="F3230" s="10">
        <v>1257.5</v>
      </c>
      <c r="G3230" s="10">
        <v>0</v>
      </c>
      <c r="H3230" s="10">
        <f t="shared" si="50"/>
        <v>1257.5</v>
      </c>
      <c r="I3230" s="10"/>
      <c r="J3230" s="10"/>
      <c r="K3230" s="10"/>
      <c r="L3230" s="4" t="s">
        <v>52</v>
      </c>
      <c r="M3230" s="4">
        <v>3225</v>
      </c>
    </row>
    <row r="3231" spans="1:13" x14ac:dyDescent="0.25">
      <c r="A3231" s="4" t="s">
        <v>2958</v>
      </c>
      <c r="B3231" s="4" t="s">
        <v>2960</v>
      </c>
      <c r="C3231" s="4" t="s">
        <v>65</v>
      </c>
      <c r="D3231" s="10">
        <v>16</v>
      </c>
      <c r="E3231" s="12" t="s">
        <v>66</v>
      </c>
      <c r="F3231" s="10">
        <v>2662.5</v>
      </c>
      <c r="G3231" s="10">
        <v>0</v>
      </c>
      <c r="H3231" s="10">
        <f t="shared" si="50"/>
        <v>2662.5</v>
      </c>
      <c r="I3231" s="10">
        <v>166.40625</v>
      </c>
      <c r="J3231" s="10">
        <v>166.40625</v>
      </c>
      <c r="K3231" s="10">
        <v>166.40625</v>
      </c>
      <c r="L3231" s="4"/>
      <c r="M3231" s="4">
        <v>3226</v>
      </c>
    </row>
    <row r="3232" spans="1:13" x14ac:dyDescent="0.25">
      <c r="A3232" s="4" t="s">
        <v>2958</v>
      </c>
      <c r="B3232" s="4" t="s">
        <v>2952</v>
      </c>
      <c r="C3232" s="4" t="s">
        <v>65</v>
      </c>
      <c r="D3232" s="10"/>
      <c r="E3232" s="11" t="s">
        <v>51</v>
      </c>
      <c r="F3232" s="10">
        <v>200</v>
      </c>
      <c r="G3232" s="10">
        <v>0</v>
      </c>
      <c r="H3232" s="10">
        <f t="shared" si="50"/>
        <v>200</v>
      </c>
      <c r="I3232" s="10"/>
      <c r="J3232" s="10"/>
      <c r="K3232" s="10"/>
      <c r="L3232" s="4" t="s">
        <v>69</v>
      </c>
      <c r="M3232" s="4">
        <v>3227</v>
      </c>
    </row>
    <row r="3233" spans="1:13" x14ac:dyDescent="0.25">
      <c r="A3233" s="4" t="s">
        <v>2958</v>
      </c>
      <c r="B3233" s="4" t="s">
        <v>2961</v>
      </c>
      <c r="C3233" s="4" t="s">
        <v>65</v>
      </c>
      <c r="D3233" s="10">
        <v>19</v>
      </c>
      <c r="E3233" s="11" t="s">
        <v>51</v>
      </c>
      <c r="F3233" s="10">
        <v>145</v>
      </c>
      <c r="G3233" s="10">
        <v>0</v>
      </c>
      <c r="H3233" s="10">
        <f t="shared" si="50"/>
        <v>145</v>
      </c>
      <c r="I3233" s="10"/>
      <c r="J3233" s="10"/>
      <c r="K3233" s="10"/>
      <c r="L3233" s="4" t="s">
        <v>69</v>
      </c>
      <c r="M3233" s="4">
        <v>3228</v>
      </c>
    </row>
    <row r="3234" spans="1:13" x14ac:dyDescent="0.25">
      <c r="A3234" s="4" t="s">
        <v>2962</v>
      </c>
      <c r="B3234" s="4" t="s">
        <v>2950</v>
      </c>
      <c r="C3234" s="9" t="s">
        <v>50</v>
      </c>
      <c r="D3234" s="10">
        <v>13</v>
      </c>
      <c r="E3234" s="11" t="s">
        <v>51</v>
      </c>
      <c r="F3234" s="10">
        <v>727.5</v>
      </c>
      <c r="G3234" s="10">
        <v>0</v>
      </c>
      <c r="H3234" s="10">
        <f t="shared" si="50"/>
        <v>727.5</v>
      </c>
      <c r="I3234" s="10"/>
      <c r="J3234" s="10"/>
      <c r="K3234" s="10"/>
      <c r="L3234" s="4" t="s">
        <v>52</v>
      </c>
      <c r="M3234" s="4">
        <v>3229</v>
      </c>
    </row>
    <row r="3235" spans="1:13" x14ac:dyDescent="0.25">
      <c r="A3235" s="4" t="s">
        <v>2962</v>
      </c>
      <c r="B3235" s="4" t="s">
        <v>2963</v>
      </c>
      <c r="C3235" s="4" t="s">
        <v>65</v>
      </c>
      <c r="D3235" s="10">
        <v>6</v>
      </c>
      <c r="E3235" s="12" t="s">
        <v>66</v>
      </c>
      <c r="F3235" s="10">
        <v>1065</v>
      </c>
      <c r="G3235" s="10">
        <v>0</v>
      </c>
      <c r="H3235" s="10">
        <f t="shared" si="50"/>
        <v>1065</v>
      </c>
      <c r="I3235" s="10">
        <v>177.5</v>
      </c>
      <c r="J3235" s="10">
        <v>177.5</v>
      </c>
      <c r="K3235" s="10">
        <v>177.5</v>
      </c>
      <c r="L3235" s="4"/>
      <c r="M3235" s="4">
        <v>3230</v>
      </c>
    </row>
    <row r="3236" spans="1:13" x14ac:dyDescent="0.25">
      <c r="A3236" s="4" t="s">
        <v>2962</v>
      </c>
      <c r="B3236" s="4" t="s">
        <v>2952</v>
      </c>
      <c r="C3236" s="4" t="s">
        <v>65</v>
      </c>
      <c r="D3236" s="10"/>
      <c r="E3236" s="11" t="s">
        <v>51</v>
      </c>
      <c r="F3236" s="10">
        <v>200</v>
      </c>
      <c r="G3236" s="10">
        <v>0</v>
      </c>
      <c r="H3236" s="10">
        <f t="shared" si="50"/>
        <v>200</v>
      </c>
      <c r="I3236" s="10"/>
      <c r="J3236" s="10"/>
      <c r="K3236" s="10"/>
      <c r="L3236" s="4" t="s">
        <v>69</v>
      </c>
      <c r="M3236" s="4">
        <v>3231</v>
      </c>
    </row>
    <row r="3237" spans="1:13" x14ac:dyDescent="0.25">
      <c r="A3237" s="4" t="s">
        <v>2962</v>
      </c>
      <c r="B3237" s="4" t="s">
        <v>2953</v>
      </c>
      <c r="C3237" s="4" t="s">
        <v>65</v>
      </c>
      <c r="D3237" s="10">
        <v>16</v>
      </c>
      <c r="E3237" s="11" t="s">
        <v>51</v>
      </c>
      <c r="F3237" s="10">
        <v>145</v>
      </c>
      <c r="G3237" s="10">
        <v>0</v>
      </c>
      <c r="H3237" s="10">
        <f t="shared" si="50"/>
        <v>145</v>
      </c>
      <c r="I3237" s="10"/>
      <c r="J3237" s="10"/>
      <c r="K3237" s="10"/>
      <c r="L3237" s="4" t="s">
        <v>69</v>
      </c>
      <c r="M3237" s="4">
        <v>3232</v>
      </c>
    </row>
    <row r="3238" spans="1:13" x14ac:dyDescent="0.25">
      <c r="A3238" s="4" t="s">
        <v>2964</v>
      </c>
      <c r="B3238" s="4" t="s">
        <v>2965</v>
      </c>
      <c r="C3238" s="4" t="s">
        <v>68</v>
      </c>
      <c r="D3238" s="10">
        <v>40.25</v>
      </c>
      <c r="E3238" s="11" t="s">
        <v>51</v>
      </c>
      <c r="F3238" s="10">
        <v>1520</v>
      </c>
      <c r="G3238" s="10">
        <v>0</v>
      </c>
      <c r="H3238" s="10">
        <f t="shared" si="50"/>
        <v>1520</v>
      </c>
      <c r="I3238" s="10"/>
      <c r="J3238" s="10"/>
      <c r="K3238" s="10"/>
      <c r="L3238" s="4" t="s">
        <v>69</v>
      </c>
      <c r="M3238" s="4">
        <v>3233</v>
      </c>
    </row>
    <row r="3239" spans="1:13" x14ac:dyDescent="0.25">
      <c r="A3239" s="4" t="s">
        <v>2966</v>
      </c>
      <c r="B3239" s="4" t="s">
        <v>2967</v>
      </c>
      <c r="C3239" s="4" t="s">
        <v>65</v>
      </c>
      <c r="D3239" s="10">
        <v>29.25</v>
      </c>
      <c r="E3239" s="12" t="s">
        <v>66</v>
      </c>
      <c r="F3239" s="10">
        <v>2477.5</v>
      </c>
      <c r="G3239" s="10">
        <v>0</v>
      </c>
      <c r="H3239" s="10">
        <f t="shared" si="50"/>
        <v>2477.5</v>
      </c>
      <c r="I3239" s="10">
        <v>84.700854700854705</v>
      </c>
      <c r="J3239" s="10">
        <v>84.700854700854705</v>
      </c>
      <c r="K3239" s="10">
        <v>84.700854700854705</v>
      </c>
      <c r="L3239" s="4"/>
      <c r="M3239" s="4">
        <v>3234</v>
      </c>
    </row>
    <row r="3240" spans="1:13" x14ac:dyDescent="0.25">
      <c r="A3240" s="4" t="s">
        <v>2966</v>
      </c>
      <c r="B3240" s="4" t="s">
        <v>2968</v>
      </c>
      <c r="C3240" s="4" t="s">
        <v>68</v>
      </c>
      <c r="D3240" s="10">
        <v>155</v>
      </c>
      <c r="E3240" s="11" t="s">
        <v>51</v>
      </c>
      <c r="F3240" s="10">
        <v>1090</v>
      </c>
      <c r="G3240" s="10">
        <v>0</v>
      </c>
      <c r="H3240" s="10">
        <f t="shared" si="50"/>
        <v>1090</v>
      </c>
      <c r="I3240" s="10"/>
      <c r="J3240" s="10"/>
      <c r="K3240" s="10"/>
      <c r="L3240" s="4" t="s">
        <v>69</v>
      </c>
      <c r="M3240" s="4">
        <v>3235</v>
      </c>
    </row>
    <row r="3241" spans="1:13" x14ac:dyDescent="0.25">
      <c r="A3241" s="4" t="s">
        <v>2969</v>
      </c>
      <c r="B3241" s="4" t="s">
        <v>2970</v>
      </c>
      <c r="C3241" s="4" t="s">
        <v>68</v>
      </c>
      <c r="D3241" s="10">
        <v>240</v>
      </c>
      <c r="E3241" s="11" t="s">
        <v>51</v>
      </c>
      <c r="F3241" s="10">
        <v>15840</v>
      </c>
      <c r="G3241" s="10">
        <v>0</v>
      </c>
      <c r="H3241" s="10">
        <f t="shared" si="50"/>
        <v>15840</v>
      </c>
      <c r="I3241" s="10"/>
      <c r="J3241" s="10"/>
      <c r="K3241" s="10"/>
      <c r="L3241" s="4" t="s">
        <v>69</v>
      </c>
      <c r="M3241" s="4">
        <v>3236</v>
      </c>
    </row>
    <row r="3242" spans="1:13" x14ac:dyDescent="0.25">
      <c r="A3242" s="4" t="s">
        <v>2971</v>
      </c>
      <c r="B3242" s="4" t="s">
        <v>2972</v>
      </c>
      <c r="C3242" s="4" t="s">
        <v>65</v>
      </c>
      <c r="D3242" s="10">
        <v>192</v>
      </c>
      <c r="E3242" s="12" t="s">
        <v>66</v>
      </c>
      <c r="F3242" s="10">
        <v>12000</v>
      </c>
      <c r="G3242" s="10">
        <v>0</v>
      </c>
      <c r="H3242" s="10">
        <f t="shared" si="50"/>
        <v>12000</v>
      </c>
      <c r="I3242" s="10">
        <v>125</v>
      </c>
      <c r="J3242" s="10">
        <v>125</v>
      </c>
      <c r="K3242" s="10">
        <v>125</v>
      </c>
      <c r="L3242" s="4"/>
      <c r="M3242" s="4">
        <v>3237</v>
      </c>
    </row>
    <row r="3243" spans="1:13" x14ac:dyDescent="0.25">
      <c r="A3243" s="4" t="s">
        <v>2973</v>
      </c>
      <c r="B3243" s="4" t="s">
        <v>2974</v>
      </c>
      <c r="C3243" s="4" t="s">
        <v>65</v>
      </c>
      <c r="D3243" s="10">
        <v>108</v>
      </c>
      <c r="E3243" s="12" t="s">
        <v>66</v>
      </c>
      <c r="F3243" s="10">
        <v>12000</v>
      </c>
      <c r="G3243" s="10">
        <v>0</v>
      </c>
      <c r="H3243" s="10">
        <f t="shared" si="50"/>
        <v>12000</v>
      </c>
      <c r="I3243" s="10">
        <v>125</v>
      </c>
      <c r="J3243" s="10">
        <v>125</v>
      </c>
      <c r="K3243" s="10">
        <v>125</v>
      </c>
      <c r="L3243" s="4"/>
      <c r="M3243" s="4">
        <v>3238</v>
      </c>
    </row>
    <row r="3244" spans="1:13" x14ac:dyDescent="0.25">
      <c r="A3244" s="4" t="s">
        <v>2975</v>
      </c>
      <c r="B3244" s="4" t="s">
        <v>2976</v>
      </c>
      <c r="C3244" s="4" t="s">
        <v>68</v>
      </c>
      <c r="D3244" s="10">
        <v>239.5</v>
      </c>
      <c r="E3244" s="11" t="s">
        <v>51</v>
      </c>
      <c r="F3244" s="10">
        <v>1320</v>
      </c>
      <c r="G3244" s="10">
        <v>0</v>
      </c>
      <c r="H3244" s="10">
        <f t="shared" si="50"/>
        <v>1320</v>
      </c>
      <c r="I3244" s="10"/>
      <c r="J3244" s="10"/>
      <c r="K3244" s="10"/>
      <c r="L3244" s="4" t="s">
        <v>69</v>
      </c>
      <c r="M3244" s="4">
        <v>3239</v>
      </c>
    </row>
    <row r="3245" spans="1:13" x14ac:dyDescent="0.25">
      <c r="A3245" s="4" t="s">
        <v>2977</v>
      </c>
      <c r="B3245" s="4" t="s">
        <v>2978</v>
      </c>
      <c r="C3245" s="9" t="s">
        <v>50</v>
      </c>
      <c r="D3245" s="10">
        <v>69.75</v>
      </c>
      <c r="E3245" s="11" t="s">
        <v>51</v>
      </c>
      <c r="F3245" s="10">
        <v>5761.25</v>
      </c>
      <c r="G3245" s="10">
        <v>0</v>
      </c>
      <c r="H3245" s="10">
        <f t="shared" si="50"/>
        <v>5761.25</v>
      </c>
      <c r="I3245" s="10"/>
      <c r="J3245" s="10"/>
      <c r="K3245" s="10"/>
      <c r="L3245" s="4" t="s">
        <v>52</v>
      </c>
      <c r="M3245" s="4">
        <v>3240</v>
      </c>
    </row>
    <row r="3246" spans="1:13" x14ac:dyDescent="0.25">
      <c r="A3246" s="4" t="s">
        <v>2977</v>
      </c>
      <c r="B3246" s="4" t="s">
        <v>1634</v>
      </c>
      <c r="C3246" s="9" t="s">
        <v>50</v>
      </c>
      <c r="D3246" s="10">
        <v>6</v>
      </c>
      <c r="E3246" s="11" t="s">
        <v>51</v>
      </c>
      <c r="F3246" s="10">
        <v>600</v>
      </c>
      <c r="G3246" s="10">
        <v>0</v>
      </c>
      <c r="H3246" s="10">
        <f t="shared" si="50"/>
        <v>600</v>
      </c>
      <c r="I3246" s="10"/>
      <c r="J3246" s="10"/>
      <c r="K3246" s="10"/>
      <c r="L3246" s="4" t="s">
        <v>52</v>
      </c>
      <c r="M3246" s="4">
        <v>3241</v>
      </c>
    </row>
    <row r="3247" spans="1:13" x14ac:dyDescent="0.25">
      <c r="A3247" s="4" t="s">
        <v>2977</v>
      </c>
      <c r="B3247" s="4" t="s">
        <v>2979</v>
      </c>
      <c r="C3247" s="9" t="s">
        <v>50</v>
      </c>
      <c r="D3247" s="10">
        <v>6</v>
      </c>
      <c r="E3247" s="11" t="s">
        <v>51</v>
      </c>
      <c r="F3247" s="10">
        <v>600</v>
      </c>
      <c r="G3247" s="10">
        <v>0</v>
      </c>
      <c r="H3247" s="10">
        <f t="shared" si="50"/>
        <v>600</v>
      </c>
      <c r="I3247" s="10"/>
      <c r="J3247" s="10"/>
      <c r="K3247" s="10"/>
      <c r="L3247" s="4" t="s">
        <v>52</v>
      </c>
      <c r="M3247" s="4">
        <v>3242</v>
      </c>
    </row>
    <row r="3248" spans="1:13" x14ac:dyDescent="0.25">
      <c r="A3248" s="4" t="s">
        <v>2977</v>
      </c>
      <c r="B3248" s="4" t="s">
        <v>2980</v>
      </c>
      <c r="C3248" s="9" t="s">
        <v>50</v>
      </c>
      <c r="D3248" s="10">
        <v>12</v>
      </c>
      <c r="E3248" s="11" t="s">
        <v>51</v>
      </c>
      <c r="F3248" s="10">
        <v>600</v>
      </c>
      <c r="G3248" s="10">
        <v>0</v>
      </c>
      <c r="H3248" s="10">
        <f t="shared" si="50"/>
        <v>600</v>
      </c>
      <c r="I3248" s="10"/>
      <c r="J3248" s="10"/>
      <c r="K3248" s="10"/>
      <c r="L3248" s="4" t="s">
        <v>52</v>
      </c>
      <c r="M3248" s="4">
        <v>3243</v>
      </c>
    </row>
    <row r="3249" spans="1:13" x14ac:dyDescent="0.25">
      <c r="A3249" s="4" t="s">
        <v>2977</v>
      </c>
      <c r="B3249" s="4" t="s">
        <v>2981</v>
      </c>
      <c r="C3249" s="9" t="s">
        <v>50</v>
      </c>
      <c r="D3249" s="10">
        <v>8</v>
      </c>
      <c r="E3249" s="11" t="s">
        <v>51</v>
      </c>
      <c r="F3249" s="10">
        <v>800</v>
      </c>
      <c r="G3249" s="10">
        <v>0</v>
      </c>
      <c r="H3249" s="10">
        <f t="shared" si="50"/>
        <v>800</v>
      </c>
      <c r="I3249" s="10"/>
      <c r="J3249" s="10"/>
      <c r="K3249" s="10"/>
      <c r="L3249" s="4" t="s">
        <v>52</v>
      </c>
      <c r="M3249" s="4">
        <v>3244</v>
      </c>
    </row>
    <row r="3250" spans="1:13" x14ac:dyDescent="0.25">
      <c r="A3250" s="4" t="s">
        <v>2977</v>
      </c>
      <c r="B3250" s="4" t="s">
        <v>2982</v>
      </c>
      <c r="C3250" s="9" t="s">
        <v>50</v>
      </c>
      <c r="D3250" s="10">
        <v>26</v>
      </c>
      <c r="E3250" s="11" t="s">
        <v>51</v>
      </c>
      <c r="F3250" s="10">
        <v>400</v>
      </c>
      <c r="G3250" s="10">
        <v>0</v>
      </c>
      <c r="H3250" s="10">
        <f t="shared" si="50"/>
        <v>400</v>
      </c>
      <c r="I3250" s="10"/>
      <c r="J3250" s="10"/>
      <c r="K3250" s="10"/>
      <c r="L3250" s="4" t="s">
        <v>52</v>
      </c>
      <c r="M3250" s="4">
        <v>3245</v>
      </c>
    </row>
    <row r="3251" spans="1:13" x14ac:dyDescent="0.25">
      <c r="A3251" s="4" t="s">
        <v>2977</v>
      </c>
      <c r="B3251" s="4" t="s">
        <v>2983</v>
      </c>
      <c r="C3251" s="9" t="s">
        <v>50</v>
      </c>
      <c r="D3251" s="10">
        <v>10</v>
      </c>
      <c r="E3251" s="11" t="s">
        <v>51</v>
      </c>
      <c r="F3251" s="10">
        <v>1000</v>
      </c>
      <c r="G3251" s="10">
        <v>0</v>
      </c>
      <c r="H3251" s="10">
        <f t="shared" si="50"/>
        <v>1000</v>
      </c>
      <c r="I3251" s="10"/>
      <c r="J3251" s="10"/>
      <c r="K3251" s="10"/>
      <c r="L3251" s="4" t="s">
        <v>52</v>
      </c>
      <c r="M3251" s="4">
        <v>3246</v>
      </c>
    </row>
    <row r="3252" spans="1:13" x14ac:dyDescent="0.25">
      <c r="A3252" s="4" t="s">
        <v>2977</v>
      </c>
      <c r="B3252" s="4" t="s">
        <v>2984</v>
      </c>
      <c r="C3252" s="9" t="s">
        <v>50</v>
      </c>
      <c r="D3252" s="10">
        <v>3</v>
      </c>
      <c r="E3252" s="11" t="s">
        <v>51</v>
      </c>
      <c r="F3252" s="10">
        <v>300</v>
      </c>
      <c r="G3252" s="10">
        <v>0</v>
      </c>
      <c r="H3252" s="10">
        <f t="shared" si="50"/>
        <v>300</v>
      </c>
      <c r="I3252" s="10"/>
      <c r="J3252" s="10"/>
      <c r="K3252" s="10"/>
      <c r="L3252" s="4" t="s">
        <v>52</v>
      </c>
      <c r="M3252" s="4">
        <v>3247</v>
      </c>
    </row>
    <row r="3253" spans="1:13" x14ac:dyDescent="0.25">
      <c r="A3253" s="4" t="s">
        <v>2977</v>
      </c>
      <c r="B3253" s="4" t="s">
        <v>2985</v>
      </c>
      <c r="C3253" s="9" t="s">
        <v>50</v>
      </c>
      <c r="D3253" s="10">
        <v>6</v>
      </c>
      <c r="E3253" s="11" t="s">
        <v>51</v>
      </c>
      <c r="F3253" s="10">
        <v>600</v>
      </c>
      <c r="G3253" s="10">
        <v>0</v>
      </c>
      <c r="H3253" s="10">
        <f t="shared" si="50"/>
        <v>600</v>
      </c>
      <c r="I3253" s="10"/>
      <c r="J3253" s="10"/>
      <c r="K3253" s="10"/>
      <c r="L3253" s="4" t="s">
        <v>52</v>
      </c>
      <c r="M3253" s="4">
        <v>3248</v>
      </c>
    </row>
    <row r="3254" spans="1:13" x14ac:dyDescent="0.25">
      <c r="A3254" s="4" t="s">
        <v>2977</v>
      </c>
      <c r="B3254" s="4" t="s">
        <v>2986</v>
      </c>
      <c r="C3254" s="9" t="s">
        <v>50</v>
      </c>
      <c r="D3254" s="10">
        <v>122</v>
      </c>
      <c r="E3254" s="11" t="s">
        <v>51</v>
      </c>
      <c r="F3254" s="10">
        <v>700</v>
      </c>
      <c r="G3254" s="10">
        <v>0</v>
      </c>
      <c r="H3254" s="10">
        <f t="shared" si="50"/>
        <v>700</v>
      </c>
      <c r="I3254" s="10"/>
      <c r="J3254" s="10"/>
      <c r="K3254" s="10"/>
      <c r="L3254" s="4" t="s">
        <v>52</v>
      </c>
      <c r="M3254" s="4">
        <v>3249</v>
      </c>
    </row>
    <row r="3255" spans="1:13" x14ac:dyDescent="0.25">
      <c r="A3255" s="4" t="s">
        <v>2987</v>
      </c>
      <c r="B3255" s="4" t="s">
        <v>2988</v>
      </c>
      <c r="C3255" s="4" t="s">
        <v>68</v>
      </c>
      <c r="D3255" s="10">
        <v>50</v>
      </c>
      <c r="E3255" s="11" t="s">
        <v>51</v>
      </c>
      <c r="F3255" s="10">
        <v>5000</v>
      </c>
      <c r="G3255" s="10">
        <v>0</v>
      </c>
      <c r="H3255" s="10">
        <f t="shared" si="50"/>
        <v>5000</v>
      </c>
      <c r="I3255" s="10"/>
      <c r="J3255" s="10"/>
      <c r="K3255" s="10"/>
      <c r="L3255" s="4" t="s">
        <v>69</v>
      </c>
      <c r="M3255" s="4">
        <v>3250</v>
      </c>
    </row>
    <row r="3256" spans="1:13" x14ac:dyDescent="0.25">
      <c r="A3256" s="4" t="s">
        <v>2987</v>
      </c>
      <c r="B3256" s="4" t="s">
        <v>2989</v>
      </c>
      <c r="C3256" s="4" t="s">
        <v>68</v>
      </c>
      <c r="D3256" s="10">
        <v>32</v>
      </c>
      <c r="E3256" s="11" t="s">
        <v>51</v>
      </c>
      <c r="F3256" s="10">
        <v>1920</v>
      </c>
      <c r="G3256" s="10">
        <v>0</v>
      </c>
      <c r="H3256" s="10">
        <f t="shared" si="50"/>
        <v>1920</v>
      </c>
      <c r="I3256" s="10"/>
      <c r="J3256" s="10"/>
      <c r="K3256" s="10"/>
      <c r="L3256" s="4" t="s">
        <v>69</v>
      </c>
      <c r="M3256" s="4">
        <v>3251</v>
      </c>
    </row>
    <row r="3257" spans="1:13" x14ac:dyDescent="0.25">
      <c r="A3257" s="4" t="s">
        <v>2987</v>
      </c>
      <c r="B3257" s="4" t="s">
        <v>2990</v>
      </c>
      <c r="C3257" s="4" t="s">
        <v>68</v>
      </c>
      <c r="D3257" s="10">
        <v>64</v>
      </c>
      <c r="E3257" s="11" t="s">
        <v>51</v>
      </c>
      <c r="F3257" s="10">
        <v>4000</v>
      </c>
      <c r="G3257" s="10">
        <v>0</v>
      </c>
      <c r="H3257" s="10">
        <f t="shared" si="50"/>
        <v>4000</v>
      </c>
      <c r="I3257" s="10"/>
      <c r="J3257" s="10"/>
      <c r="K3257" s="10"/>
      <c r="L3257" s="4" t="s">
        <v>69</v>
      </c>
      <c r="M3257" s="4">
        <v>3252</v>
      </c>
    </row>
    <row r="3258" spans="1:13" x14ac:dyDescent="0.25">
      <c r="A3258" s="4" t="s">
        <v>2991</v>
      </c>
      <c r="B3258" s="4" t="s">
        <v>2992</v>
      </c>
      <c r="C3258" s="9" t="s">
        <v>50</v>
      </c>
      <c r="D3258" s="10">
        <v>12</v>
      </c>
      <c r="E3258" s="11" t="s">
        <v>51</v>
      </c>
      <c r="F3258" s="10">
        <v>850</v>
      </c>
      <c r="G3258" s="10">
        <v>0</v>
      </c>
      <c r="H3258" s="10">
        <f t="shared" si="50"/>
        <v>850</v>
      </c>
      <c r="I3258" s="10"/>
      <c r="J3258" s="10"/>
      <c r="K3258" s="10"/>
      <c r="L3258" s="4" t="s">
        <v>52</v>
      </c>
      <c r="M3258" s="4">
        <v>3253</v>
      </c>
    </row>
    <row r="3259" spans="1:13" x14ac:dyDescent="0.25">
      <c r="A3259" s="4" t="s">
        <v>2991</v>
      </c>
      <c r="B3259" s="4" t="s">
        <v>2993</v>
      </c>
      <c r="C3259" s="9" t="s">
        <v>50</v>
      </c>
      <c r="D3259" s="10">
        <v>404</v>
      </c>
      <c r="E3259" s="11" t="s">
        <v>51</v>
      </c>
      <c r="F3259" s="10">
        <v>1140</v>
      </c>
      <c r="G3259" s="10">
        <v>0</v>
      </c>
      <c r="H3259" s="10">
        <f t="shared" si="50"/>
        <v>1140</v>
      </c>
      <c r="I3259" s="10"/>
      <c r="J3259" s="10"/>
      <c r="K3259" s="10"/>
      <c r="L3259" s="4" t="s">
        <v>52</v>
      </c>
      <c r="M3259" s="4">
        <v>3254</v>
      </c>
    </row>
    <row r="3260" spans="1:13" x14ac:dyDescent="0.25">
      <c r="A3260" s="4" t="s">
        <v>2994</v>
      </c>
      <c r="B3260" s="4" t="s">
        <v>2995</v>
      </c>
      <c r="C3260" s="9" t="s">
        <v>50</v>
      </c>
      <c r="D3260" s="10">
        <v>3</v>
      </c>
      <c r="E3260" s="11" t="s">
        <v>51</v>
      </c>
      <c r="F3260" s="10">
        <v>400</v>
      </c>
      <c r="G3260" s="10">
        <v>0</v>
      </c>
      <c r="H3260" s="10">
        <f t="shared" si="50"/>
        <v>400</v>
      </c>
      <c r="I3260" s="10"/>
      <c r="J3260" s="10"/>
      <c r="K3260" s="10"/>
      <c r="L3260" s="4" t="s">
        <v>52</v>
      </c>
      <c r="M3260" s="4">
        <v>3255</v>
      </c>
    </row>
    <row r="3261" spans="1:13" x14ac:dyDescent="0.25">
      <c r="A3261" s="4" t="s">
        <v>2994</v>
      </c>
      <c r="B3261" s="4" t="s">
        <v>2996</v>
      </c>
      <c r="C3261" s="9" t="s">
        <v>50</v>
      </c>
      <c r="D3261" s="10">
        <v>55</v>
      </c>
      <c r="E3261" s="11" t="s">
        <v>51</v>
      </c>
      <c r="F3261" s="10">
        <v>5900</v>
      </c>
      <c r="G3261" s="10">
        <v>0</v>
      </c>
      <c r="H3261" s="10">
        <f t="shared" si="50"/>
        <v>5900</v>
      </c>
      <c r="I3261" s="10"/>
      <c r="J3261" s="10"/>
      <c r="K3261" s="10"/>
      <c r="L3261" s="4" t="s">
        <v>52</v>
      </c>
      <c r="M3261" s="4">
        <v>3256</v>
      </c>
    </row>
    <row r="3262" spans="1:13" x14ac:dyDescent="0.25">
      <c r="A3262" s="4" t="s">
        <v>2994</v>
      </c>
      <c r="B3262" s="4" t="s">
        <v>2997</v>
      </c>
      <c r="C3262" s="9" t="s">
        <v>50</v>
      </c>
      <c r="D3262" s="10">
        <v>68</v>
      </c>
      <c r="E3262" s="11" t="s">
        <v>51</v>
      </c>
      <c r="F3262" s="10">
        <v>7200</v>
      </c>
      <c r="G3262" s="10">
        <v>0</v>
      </c>
      <c r="H3262" s="10">
        <f t="shared" si="50"/>
        <v>7200</v>
      </c>
      <c r="I3262" s="10"/>
      <c r="J3262" s="10"/>
      <c r="K3262" s="10"/>
      <c r="L3262" s="4" t="s">
        <v>52</v>
      </c>
      <c r="M3262" s="4">
        <v>3257</v>
      </c>
    </row>
    <row r="3263" spans="1:13" x14ac:dyDescent="0.25">
      <c r="A3263" s="4" t="s">
        <v>2994</v>
      </c>
      <c r="B3263" s="4" t="s">
        <v>2998</v>
      </c>
      <c r="C3263" s="9" t="s">
        <v>50</v>
      </c>
      <c r="D3263" s="10">
        <v>82</v>
      </c>
      <c r="E3263" s="11" t="s">
        <v>51</v>
      </c>
      <c r="F3263" s="10">
        <v>5900</v>
      </c>
      <c r="G3263" s="10">
        <v>0</v>
      </c>
      <c r="H3263" s="10">
        <f t="shared" si="50"/>
        <v>5900</v>
      </c>
      <c r="I3263" s="10"/>
      <c r="J3263" s="10"/>
      <c r="K3263" s="10"/>
      <c r="L3263" s="4" t="s">
        <v>52</v>
      </c>
      <c r="M3263" s="4">
        <v>3258</v>
      </c>
    </row>
    <row r="3264" spans="1:13" x14ac:dyDescent="0.25">
      <c r="A3264" s="4" t="s">
        <v>2994</v>
      </c>
      <c r="B3264" s="4" t="s">
        <v>2999</v>
      </c>
      <c r="C3264" s="9" t="s">
        <v>50</v>
      </c>
      <c r="D3264" s="10">
        <v>66</v>
      </c>
      <c r="E3264" s="11" t="s">
        <v>51</v>
      </c>
      <c r="F3264" s="10">
        <v>7000</v>
      </c>
      <c r="G3264" s="10">
        <v>0</v>
      </c>
      <c r="H3264" s="10">
        <f t="shared" si="50"/>
        <v>7000</v>
      </c>
      <c r="I3264" s="10"/>
      <c r="J3264" s="10"/>
      <c r="K3264" s="10"/>
      <c r="L3264" s="4" t="s">
        <v>52</v>
      </c>
      <c r="M3264" s="4">
        <v>3259</v>
      </c>
    </row>
    <row r="3265" spans="1:13" x14ac:dyDescent="0.25">
      <c r="A3265" s="4" t="s">
        <v>2994</v>
      </c>
      <c r="B3265" s="4" t="s">
        <v>3000</v>
      </c>
      <c r="C3265" s="9" t="s">
        <v>50</v>
      </c>
      <c r="D3265" s="10">
        <v>411</v>
      </c>
      <c r="E3265" s="11" t="s">
        <v>51</v>
      </c>
      <c r="F3265" s="10">
        <v>12500</v>
      </c>
      <c r="G3265" s="10">
        <v>0</v>
      </c>
      <c r="H3265" s="10">
        <f t="shared" si="50"/>
        <v>12500</v>
      </c>
      <c r="I3265" s="10"/>
      <c r="J3265" s="10"/>
      <c r="K3265" s="10"/>
      <c r="L3265" s="4" t="s">
        <v>52</v>
      </c>
      <c r="M3265" s="4">
        <v>3260</v>
      </c>
    </row>
    <row r="3266" spans="1:13" x14ac:dyDescent="0.25">
      <c r="A3266" s="4" t="s">
        <v>3001</v>
      </c>
      <c r="B3266" s="4" t="s">
        <v>3002</v>
      </c>
      <c r="C3266" s="9" t="s">
        <v>50</v>
      </c>
      <c r="D3266" s="10">
        <v>243</v>
      </c>
      <c r="E3266" s="11" t="s">
        <v>51</v>
      </c>
      <c r="F3266" s="10">
        <v>30000</v>
      </c>
      <c r="G3266" s="10">
        <v>0</v>
      </c>
      <c r="H3266" s="10">
        <f t="shared" si="50"/>
        <v>30000</v>
      </c>
      <c r="I3266" s="10"/>
      <c r="J3266" s="10"/>
      <c r="K3266" s="10"/>
      <c r="L3266" s="4" t="s">
        <v>52</v>
      </c>
      <c r="M3266" s="4">
        <v>3261</v>
      </c>
    </row>
    <row r="3267" spans="1:13" x14ac:dyDescent="0.25">
      <c r="A3267" s="4" t="s">
        <v>3001</v>
      </c>
      <c r="B3267" s="4" t="s">
        <v>3003</v>
      </c>
      <c r="C3267" s="9" t="s">
        <v>50</v>
      </c>
      <c r="D3267" s="10">
        <v>202</v>
      </c>
      <c r="E3267" s="11" t="s">
        <v>51</v>
      </c>
      <c r="F3267" s="10"/>
      <c r="G3267" s="10">
        <v>0</v>
      </c>
      <c r="H3267" s="10">
        <f t="shared" si="50"/>
        <v>0</v>
      </c>
      <c r="I3267" s="10"/>
      <c r="J3267" s="10"/>
      <c r="K3267" s="10"/>
      <c r="L3267" s="4" t="s">
        <v>52</v>
      </c>
      <c r="M3267" s="4">
        <v>3262</v>
      </c>
    </row>
    <row r="3268" spans="1:13" x14ac:dyDescent="0.25">
      <c r="A3268" s="4" t="s">
        <v>3004</v>
      </c>
      <c r="B3268" s="4" t="s">
        <v>3005</v>
      </c>
      <c r="C3268" s="9" t="s">
        <v>50</v>
      </c>
      <c r="D3268" s="10">
        <v>60</v>
      </c>
      <c r="E3268" s="11" t="s">
        <v>51</v>
      </c>
      <c r="F3268" s="10">
        <v>3450</v>
      </c>
      <c r="G3268" s="10">
        <v>0</v>
      </c>
      <c r="H3268" s="10">
        <f t="shared" si="50"/>
        <v>3450</v>
      </c>
      <c r="I3268" s="10"/>
      <c r="J3268" s="10"/>
      <c r="K3268" s="10"/>
      <c r="L3268" s="4" t="s">
        <v>52</v>
      </c>
      <c r="M3268" s="4">
        <v>3263</v>
      </c>
    </row>
    <row r="3269" spans="1:13" x14ac:dyDescent="0.25">
      <c r="A3269" s="4" t="s">
        <v>3004</v>
      </c>
      <c r="B3269" s="4" t="s">
        <v>3006</v>
      </c>
      <c r="C3269" s="9" t="s">
        <v>50</v>
      </c>
      <c r="D3269" s="10">
        <v>8</v>
      </c>
      <c r="E3269" s="11" t="s">
        <v>51</v>
      </c>
      <c r="F3269" s="10">
        <v>800</v>
      </c>
      <c r="G3269" s="10">
        <v>0</v>
      </c>
      <c r="H3269" s="10">
        <f t="shared" si="50"/>
        <v>800</v>
      </c>
      <c r="I3269" s="10"/>
      <c r="J3269" s="10"/>
      <c r="K3269" s="10"/>
      <c r="L3269" s="4" t="s">
        <v>52</v>
      </c>
      <c r="M3269" s="4">
        <v>3264</v>
      </c>
    </row>
    <row r="3270" spans="1:13" x14ac:dyDescent="0.25">
      <c r="A3270" s="4" t="s">
        <v>3004</v>
      </c>
      <c r="B3270" s="4" t="s">
        <v>2983</v>
      </c>
      <c r="C3270" s="9" t="s">
        <v>50</v>
      </c>
      <c r="D3270" s="10">
        <v>4</v>
      </c>
      <c r="E3270" s="11" t="s">
        <v>51</v>
      </c>
      <c r="F3270" s="10">
        <v>400</v>
      </c>
      <c r="G3270" s="10">
        <v>0</v>
      </c>
      <c r="H3270" s="10">
        <f t="shared" ref="H3270:H3333" si="51">F3270-G3270</f>
        <v>400</v>
      </c>
      <c r="I3270" s="10"/>
      <c r="J3270" s="10"/>
      <c r="K3270" s="10"/>
      <c r="L3270" s="4" t="s">
        <v>52</v>
      </c>
      <c r="M3270" s="4">
        <v>3265</v>
      </c>
    </row>
    <row r="3271" spans="1:13" x14ac:dyDescent="0.25">
      <c r="A3271" s="4" t="s">
        <v>3004</v>
      </c>
      <c r="B3271" s="4" t="s">
        <v>1846</v>
      </c>
      <c r="C3271" s="9" t="s">
        <v>50</v>
      </c>
      <c r="D3271" s="10">
        <v>10</v>
      </c>
      <c r="E3271" s="11" t="s">
        <v>51</v>
      </c>
      <c r="F3271" s="10">
        <v>1000</v>
      </c>
      <c r="G3271" s="10">
        <v>0</v>
      </c>
      <c r="H3271" s="10">
        <f t="shared" si="51"/>
        <v>1000</v>
      </c>
      <c r="I3271" s="10"/>
      <c r="J3271" s="10"/>
      <c r="K3271" s="10"/>
      <c r="L3271" s="4" t="s">
        <v>52</v>
      </c>
      <c r="M3271" s="4">
        <v>3266</v>
      </c>
    </row>
    <row r="3272" spans="1:13" x14ac:dyDescent="0.25">
      <c r="A3272" s="4" t="s">
        <v>3004</v>
      </c>
      <c r="B3272" s="4" t="s">
        <v>2986</v>
      </c>
      <c r="C3272" s="9" t="s">
        <v>50</v>
      </c>
      <c r="D3272" s="10">
        <v>8</v>
      </c>
      <c r="E3272" s="11" t="s">
        <v>51</v>
      </c>
      <c r="F3272" s="10">
        <v>800</v>
      </c>
      <c r="G3272" s="10">
        <v>0</v>
      </c>
      <c r="H3272" s="10">
        <f t="shared" si="51"/>
        <v>800</v>
      </c>
      <c r="I3272" s="10"/>
      <c r="J3272" s="10"/>
      <c r="K3272" s="10"/>
      <c r="L3272" s="4" t="s">
        <v>52</v>
      </c>
      <c r="M3272" s="4">
        <v>3267</v>
      </c>
    </row>
    <row r="3273" spans="1:13" x14ac:dyDescent="0.25">
      <c r="A3273" s="4" t="s">
        <v>3004</v>
      </c>
      <c r="B3273" s="4" t="s">
        <v>3007</v>
      </c>
      <c r="C3273" s="4" t="s">
        <v>68</v>
      </c>
      <c r="D3273" s="10">
        <v>8</v>
      </c>
      <c r="E3273" s="11" t="s">
        <v>51</v>
      </c>
      <c r="F3273" s="10">
        <v>800</v>
      </c>
      <c r="G3273" s="10">
        <v>0</v>
      </c>
      <c r="H3273" s="10">
        <f t="shared" si="51"/>
        <v>800</v>
      </c>
      <c r="I3273" s="10"/>
      <c r="J3273" s="10"/>
      <c r="K3273" s="10"/>
      <c r="L3273" s="4" t="s">
        <v>69</v>
      </c>
      <c r="M3273" s="4">
        <v>3268</v>
      </c>
    </row>
    <row r="3274" spans="1:13" x14ac:dyDescent="0.25">
      <c r="A3274" s="4" t="s">
        <v>3004</v>
      </c>
      <c r="B3274" s="4" t="s">
        <v>3008</v>
      </c>
      <c r="C3274" s="4" t="s">
        <v>68</v>
      </c>
      <c r="D3274" s="10">
        <v>38</v>
      </c>
      <c r="E3274" s="11" t="s">
        <v>51</v>
      </c>
      <c r="F3274" s="10"/>
      <c r="G3274" s="10">
        <v>0</v>
      </c>
      <c r="H3274" s="10">
        <f t="shared" si="51"/>
        <v>0</v>
      </c>
      <c r="I3274" s="10"/>
      <c r="J3274" s="10"/>
      <c r="K3274" s="10"/>
      <c r="L3274" s="4" t="s">
        <v>69</v>
      </c>
      <c r="M3274" s="4">
        <v>3269</v>
      </c>
    </row>
    <row r="3275" spans="1:13" x14ac:dyDescent="0.25">
      <c r="A3275" s="4" t="s">
        <v>3009</v>
      </c>
      <c r="B3275" s="4" t="s">
        <v>2993</v>
      </c>
      <c r="C3275" s="9" t="s">
        <v>50</v>
      </c>
      <c r="D3275" s="10">
        <v>60</v>
      </c>
      <c r="E3275" s="11" t="s">
        <v>51</v>
      </c>
      <c r="F3275" s="10">
        <v>2850</v>
      </c>
      <c r="G3275" s="10">
        <v>0</v>
      </c>
      <c r="H3275" s="10">
        <f t="shared" si="51"/>
        <v>2850</v>
      </c>
      <c r="I3275" s="10"/>
      <c r="J3275" s="10"/>
      <c r="K3275" s="10"/>
      <c r="L3275" s="4" t="s">
        <v>52</v>
      </c>
      <c r="M3275" s="4">
        <v>3270</v>
      </c>
    </row>
    <row r="3276" spans="1:13" x14ac:dyDescent="0.25">
      <c r="A3276" s="4" t="s">
        <v>3010</v>
      </c>
      <c r="B3276" s="4" t="s">
        <v>3011</v>
      </c>
      <c r="C3276" s="9" t="s">
        <v>50</v>
      </c>
      <c r="D3276" s="10">
        <v>576.5</v>
      </c>
      <c r="E3276" s="11" t="s">
        <v>51</v>
      </c>
      <c r="F3276" s="10">
        <v>3300</v>
      </c>
      <c r="G3276" s="10">
        <v>0</v>
      </c>
      <c r="H3276" s="10">
        <f t="shared" si="51"/>
        <v>3300</v>
      </c>
      <c r="I3276" s="10"/>
      <c r="J3276" s="10"/>
      <c r="K3276" s="10"/>
      <c r="L3276" s="4" t="s">
        <v>52</v>
      </c>
      <c r="M3276" s="4">
        <v>3271</v>
      </c>
    </row>
    <row r="3277" spans="1:13" x14ac:dyDescent="0.25">
      <c r="A3277" s="4" t="s">
        <v>3012</v>
      </c>
      <c r="B3277" s="4" t="s">
        <v>3013</v>
      </c>
      <c r="C3277" s="9" t="s">
        <v>50</v>
      </c>
      <c r="D3277" s="10">
        <v>5</v>
      </c>
      <c r="E3277" s="11" t="s">
        <v>51</v>
      </c>
      <c r="F3277" s="10">
        <v>500</v>
      </c>
      <c r="G3277" s="10">
        <v>0</v>
      </c>
      <c r="H3277" s="10">
        <f t="shared" si="51"/>
        <v>500</v>
      </c>
      <c r="I3277" s="10"/>
      <c r="J3277" s="10"/>
      <c r="K3277" s="10"/>
      <c r="L3277" s="4" t="s">
        <v>52</v>
      </c>
      <c r="M3277" s="4">
        <v>3272</v>
      </c>
    </row>
    <row r="3278" spans="1:13" x14ac:dyDescent="0.25">
      <c r="A3278" s="4" t="s">
        <v>3012</v>
      </c>
      <c r="B3278" s="4" t="s">
        <v>3014</v>
      </c>
      <c r="C3278" s="9" t="s">
        <v>50</v>
      </c>
      <c r="D3278" s="10">
        <v>82</v>
      </c>
      <c r="E3278" s="11" t="s">
        <v>51</v>
      </c>
      <c r="F3278" s="10">
        <v>7800</v>
      </c>
      <c r="G3278" s="10">
        <v>0</v>
      </c>
      <c r="H3278" s="10">
        <f t="shared" si="51"/>
        <v>7800</v>
      </c>
      <c r="I3278" s="10"/>
      <c r="J3278" s="10"/>
      <c r="K3278" s="10"/>
      <c r="L3278" s="4" t="s">
        <v>52</v>
      </c>
      <c r="M3278" s="4">
        <v>3273</v>
      </c>
    </row>
    <row r="3279" spans="1:13" x14ac:dyDescent="0.25">
      <c r="A3279" s="4" t="s">
        <v>3012</v>
      </c>
      <c r="B3279" s="4" t="s">
        <v>3015</v>
      </c>
      <c r="C3279" s="9" t="s">
        <v>50</v>
      </c>
      <c r="D3279" s="10">
        <v>104</v>
      </c>
      <c r="E3279" s="11" t="s">
        <v>51</v>
      </c>
      <c r="F3279" s="10">
        <v>9900</v>
      </c>
      <c r="G3279" s="10">
        <v>0</v>
      </c>
      <c r="H3279" s="10">
        <f t="shared" si="51"/>
        <v>9900</v>
      </c>
      <c r="I3279" s="10"/>
      <c r="J3279" s="10"/>
      <c r="K3279" s="10"/>
      <c r="L3279" s="4" t="s">
        <v>52</v>
      </c>
      <c r="M3279" s="4">
        <v>3274</v>
      </c>
    </row>
    <row r="3280" spans="1:13" x14ac:dyDescent="0.25">
      <c r="A3280" s="4" t="s">
        <v>3012</v>
      </c>
      <c r="B3280" s="4" t="s">
        <v>3016</v>
      </c>
      <c r="C3280" s="9" t="s">
        <v>50</v>
      </c>
      <c r="D3280" s="10">
        <v>82</v>
      </c>
      <c r="E3280" s="11" t="s">
        <v>51</v>
      </c>
      <c r="F3280" s="10">
        <v>7800</v>
      </c>
      <c r="G3280" s="10">
        <v>0</v>
      </c>
      <c r="H3280" s="10">
        <f t="shared" si="51"/>
        <v>7800</v>
      </c>
      <c r="I3280" s="10"/>
      <c r="J3280" s="10"/>
      <c r="K3280" s="10"/>
      <c r="L3280" s="4" t="s">
        <v>52</v>
      </c>
      <c r="M3280" s="4">
        <v>3275</v>
      </c>
    </row>
    <row r="3281" spans="1:13" x14ac:dyDescent="0.25">
      <c r="A3281" s="4" t="s">
        <v>3012</v>
      </c>
      <c r="B3281" s="4" t="s">
        <v>3017</v>
      </c>
      <c r="C3281" s="9" t="s">
        <v>50</v>
      </c>
      <c r="D3281" s="10">
        <v>98</v>
      </c>
      <c r="E3281" s="11" t="s">
        <v>51</v>
      </c>
      <c r="F3281" s="10">
        <v>9350</v>
      </c>
      <c r="G3281" s="10">
        <v>0</v>
      </c>
      <c r="H3281" s="10">
        <f t="shared" si="51"/>
        <v>9350</v>
      </c>
      <c r="I3281" s="10"/>
      <c r="J3281" s="10"/>
      <c r="K3281" s="10"/>
      <c r="L3281" s="4" t="s">
        <v>52</v>
      </c>
      <c r="M3281" s="4">
        <v>3276</v>
      </c>
    </row>
    <row r="3282" spans="1:13" x14ac:dyDescent="0.25">
      <c r="A3282" s="4" t="s">
        <v>3012</v>
      </c>
      <c r="B3282" s="4" t="s">
        <v>3018</v>
      </c>
      <c r="C3282" s="9" t="s">
        <v>50</v>
      </c>
      <c r="D3282" s="10">
        <v>215.5</v>
      </c>
      <c r="E3282" s="11" t="s">
        <v>51</v>
      </c>
      <c r="F3282" s="10">
        <v>16700</v>
      </c>
      <c r="G3282" s="10">
        <v>0</v>
      </c>
      <c r="H3282" s="10">
        <f t="shared" si="51"/>
        <v>16700</v>
      </c>
      <c r="I3282" s="10"/>
      <c r="J3282" s="10"/>
      <c r="K3282" s="10"/>
      <c r="L3282" s="4" t="s">
        <v>52</v>
      </c>
      <c r="M3282" s="4">
        <v>3277</v>
      </c>
    </row>
    <row r="3283" spans="1:13" x14ac:dyDescent="0.25">
      <c r="A3283" s="4" t="s">
        <v>3019</v>
      </c>
      <c r="B3283" s="4" t="s">
        <v>3020</v>
      </c>
      <c r="C3283" s="4" t="s">
        <v>68</v>
      </c>
      <c r="D3283" s="10">
        <v>80</v>
      </c>
      <c r="E3283" s="11" t="s">
        <v>51</v>
      </c>
      <c r="F3283" s="10">
        <v>4600</v>
      </c>
      <c r="G3283" s="10">
        <v>0</v>
      </c>
      <c r="H3283" s="10">
        <f t="shared" si="51"/>
        <v>4600</v>
      </c>
      <c r="I3283" s="10"/>
      <c r="J3283" s="10"/>
      <c r="K3283" s="10"/>
      <c r="L3283" s="4" t="s">
        <v>69</v>
      </c>
      <c r="M3283" s="4">
        <v>3278</v>
      </c>
    </row>
    <row r="3284" spans="1:13" x14ac:dyDescent="0.25">
      <c r="A3284" s="4" t="s">
        <v>3021</v>
      </c>
      <c r="B3284" s="4" t="s">
        <v>3022</v>
      </c>
      <c r="C3284" s="4" t="s">
        <v>68</v>
      </c>
      <c r="D3284" s="10">
        <v>52</v>
      </c>
      <c r="E3284" s="11" t="s">
        <v>51</v>
      </c>
      <c r="F3284" s="10">
        <v>4600</v>
      </c>
      <c r="G3284" s="10">
        <v>0</v>
      </c>
      <c r="H3284" s="10">
        <f t="shared" si="51"/>
        <v>4600</v>
      </c>
      <c r="I3284" s="10"/>
      <c r="J3284" s="10"/>
      <c r="K3284" s="10"/>
      <c r="L3284" s="4" t="s">
        <v>69</v>
      </c>
      <c r="M3284" s="4">
        <v>3279</v>
      </c>
    </row>
    <row r="3285" spans="1:13" x14ac:dyDescent="0.25">
      <c r="A3285" s="4" t="s">
        <v>3023</v>
      </c>
      <c r="B3285" s="4" t="s">
        <v>3024</v>
      </c>
      <c r="C3285" s="4" t="s">
        <v>68</v>
      </c>
      <c r="D3285" s="10">
        <v>96</v>
      </c>
      <c r="E3285" s="11" t="s">
        <v>51</v>
      </c>
      <c r="F3285" s="10">
        <v>1380</v>
      </c>
      <c r="G3285" s="10">
        <v>0</v>
      </c>
      <c r="H3285" s="10">
        <f t="shared" si="51"/>
        <v>1380</v>
      </c>
      <c r="I3285" s="10"/>
      <c r="J3285" s="10"/>
      <c r="K3285" s="10"/>
      <c r="L3285" s="4" t="s">
        <v>69</v>
      </c>
      <c r="M3285" s="4">
        <v>3280</v>
      </c>
    </row>
    <row r="3286" spans="1:13" x14ac:dyDescent="0.25">
      <c r="A3286" s="4" t="s">
        <v>3025</v>
      </c>
      <c r="B3286" s="4" t="s">
        <v>3026</v>
      </c>
      <c r="C3286" s="4" t="s">
        <v>65</v>
      </c>
      <c r="D3286" s="10">
        <v>84</v>
      </c>
      <c r="E3286" s="12" t="s">
        <v>66</v>
      </c>
      <c r="F3286" s="10">
        <v>9250</v>
      </c>
      <c r="G3286" s="10">
        <v>0</v>
      </c>
      <c r="H3286" s="10">
        <f t="shared" si="51"/>
        <v>9250</v>
      </c>
      <c r="I3286" s="10">
        <v>110.11904761904761</v>
      </c>
      <c r="J3286" s="10">
        <v>110.11904761904761</v>
      </c>
      <c r="K3286" s="10">
        <v>110.11904761904761</v>
      </c>
      <c r="L3286" s="4"/>
      <c r="M3286" s="4">
        <v>3281</v>
      </c>
    </row>
    <row r="3287" spans="1:13" x14ac:dyDescent="0.25">
      <c r="A3287" s="4" t="s">
        <v>3027</v>
      </c>
      <c r="B3287" s="4" t="s">
        <v>1737</v>
      </c>
      <c r="C3287" s="9" t="s">
        <v>50</v>
      </c>
      <c r="D3287" s="10">
        <v>59</v>
      </c>
      <c r="E3287" s="11" t="s">
        <v>51</v>
      </c>
      <c r="F3287" s="10">
        <v>2000</v>
      </c>
      <c r="G3287" s="10">
        <v>0</v>
      </c>
      <c r="H3287" s="10">
        <f t="shared" si="51"/>
        <v>2000</v>
      </c>
      <c r="I3287" s="10"/>
      <c r="J3287" s="10"/>
      <c r="K3287" s="10"/>
      <c r="L3287" s="4" t="s">
        <v>52</v>
      </c>
      <c r="M3287" s="4">
        <v>3282</v>
      </c>
    </row>
    <row r="3288" spans="1:13" x14ac:dyDescent="0.25">
      <c r="A3288" s="4" t="s">
        <v>3028</v>
      </c>
      <c r="B3288" s="4" t="s">
        <v>3029</v>
      </c>
      <c r="C3288" s="9" t="s">
        <v>50</v>
      </c>
      <c r="D3288" s="10">
        <v>119</v>
      </c>
      <c r="E3288" s="11" t="s">
        <v>51</v>
      </c>
      <c r="F3288" s="10">
        <v>4850</v>
      </c>
      <c r="G3288" s="10">
        <v>0</v>
      </c>
      <c r="H3288" s="10">
        <f t="shared" si="51"/>
        <v>4850</v>
      </c>
      <c r="I3288" s="10"/>
      <c r="J3288" s="10"/>
      <c r="K3288" s="10"/>
      <c r="L3288" s="4" t="s">
        <v>52</v>
      </c>
      <c r="M3288" s="4">
        <v>3283</v>
      </c>
    </row>
    <row r="3289" spans="1:13" x14ac:dyDescent="0.25">
      <c r="A3289" s="4" t="s">
        <v>3030</v>
      </c>
      <c r="B3289" s="4" t="s">
        <v>3031</v>
      </c>
      <c r="C3289" s="4" t="s">
        <v>68</v>
      </c>
      <c r="D3289" s="10">
        <v>180</v>
      </c>
      <c r="E3289" s="11" t="s">
        <v>51</v>
      </c>
      <c r="F3289" s="10">
        <v>8200</v>
      </c>
      <c r="G3289" s="10">
        <v>0</v>
      </c>
      <c r="H3289" s="10">
        <f t="shared" si="51"/>
        <v>8200</v>
      </c>
      <c r="I3289" s="10"/>
      <c r="J3289" s="10"/>
      <c r="K3289" s="10"/>
      <c r="L3289" s="4" t="s">
        <v>69</v>
      </c>
      <c r="M3289" s="4">
        <v>3284</v>
      </c>
    </row>
    <row r="3290" spans="1:13" x14ac:dyDescent="0.25">
      <c r="A3290" s="4" t="s">
        <v>3032</v>
      </c>
      <c r="B3290" s="4" t="s">
        <v>583</v>
      </c>
      <c r="C3290" s="4" t="s">
        <v>68</v>
      </c>
      <c r="D3290" s="10">
        <v>422.5</v>
      </c>
      <c r="E3290" s="11" t="s">
        <v>51</v>
      </c>
      <c r="F3290" s="10">
        <v>12000</v>
      </c>
      <c r="G3290" s="10">
        <v>0</v>
      </c>
      <c r="H3290" s="10">
        <f t="shared" si="51"/>
        <v>12000</v>
      </c>
      <c r="I3290" s="10"/>
      <c r="J3290" s="10"/>
      <c r="K3290" s="10"/>
      <c r="L3290" s="4" t="s">
        <v>69</v>
      </c>
      <c r="M3290" s="4">
        <v>3285</v>
      </c>
    </row>
    <row r="3291" spans="1:13" x14ac:dyDescent="0.25">
      <c r="A3291" s="4" t="s">
        <v>3033</v>
      </c>
      <c r="B3291" s="4" t="s">
        <v>3034</v>
      </c>
      <c r="C3291" s="4" t="s">
        <v>68</v>
      </c>
      <c r="D3291" s="10">
        <v>5</v>
      </c>
      <c r="E3291" s="11" t="s">
        <v>51</v>
      </c>
      <c r="F3291" s="10">
        <v>800</v>
      </c>
      <c r="G3291" s="10">
        <v>0</v>
      </c>
      <c r="H3291" s="10">
        <f t="shared" si="51"/>
        <v>800</v>
      </c>
      <c r="I3291" s="10"/>
      <c r="J3291" s="10"/>
      <c r="K3291" s="10"/>
      <c r="L3291" s="4" t="s">
        <v>69</v>
      </c>
      <c r="M3291" s="4">
        <v>3286</v>
      </c>
    </row>
    <row r="3292" spans="1:13" x14ac:dyDescent="0.25">
      <c r="A3292" s="4" t="s">
        <v>3033</v>
      </c>
      <c r="B3292" s="4" t="s">
        <v>3035</v>
      </c>
      <c r="C3292" s="4" t="s">
        <v>68</v>
      </c>
      <c r="D3292" s="10">
        <v>60</v>
      </c>
      <c r="E3292" s="11" t="s">
        <v>51</v>
      </c>
      <c r="F3292" s="10">
        <v>7680</v>
      </c>
      <c r="G3292" s="10">
        <v>0</v>
      </c>
      <c r="H3292" s="10">
        <f t="shared" si="51"/>
        <v>7680</v>
      </c>
      <c r="I3292" s="10"/>
      <c r="J3292" s="10"/>
      <c r="K3292" s="10"/>
      <c r="L3292" s="4" t="s">
        <v>69</v>
      </c>
      <c r="M3292" s="4">
        <v>3287</v>
      </c>
    </row>
    <row r="3293" spans="1:13" x14ac:dyDescent="0.25">
      <c r="A3293" s="4" t="s">
        <v>3033</v>
      </c>
      <c r="B3293" s="4" t="s">
        <v>3036</v>
      </c>
      <c r="C3293" s="4" t="s">
        <v>68</v>
      </c>
      <c r="D3293" s="10">
        <v>40</v>
      </c>
      <c r="E3293" s="11" t="s">
        <v>51</v>
      </c>
      <c r="F3293" s="10">
        <v>5120</v>
      </c>
      <c r="G3293" s="10">
        <v>0</v>
      </c>
      <c r="H3293" s="10">
        <f t="shared" si="51"/>
        <v>5120</v>
      </c>
      <c r="I3293" s="10"/>
      <c r="J3293" s="10"/>
      <c r="K3293" s="10"/>
      <c r="L3293" s="4" t="s">
        <v>69</v>
      </c>
      <c r="M3293" s="4">
        <v>3288</v>
      </c>
    </row>
    <row r="3294" spans="1:13" x14ac:dyDescent="0.25">
      <c r="A3294" s="4" t="s">
        <v>3033</v>
      </c>
      <c r="B3294" s="4" t="s">
        <v>3037</v>
      </c>
      <c r="C3294" s="4" t="s">
        <v>68</v>
      </c>
      <c r="D3294" s="10">
        <v>60</v>
      </c>
      <c r="E3294" s="11" t="s">
        <v>51</v>
      </c>
      <c r="F3294" s="10">
        <v>4500</v>
      </c>
      <c r="G3294" s="10">
        <v>0</v>
      </c>
      <c r="H3294" s="10">
        <f t="shared" si="51"/>
        <v>4500</v>
      </c>
      <c r="I3294" s="10"/>
      <c r="J3294" s="10"/>
      <c r="K3294" s="10"/>
      <c r="L3294" s="4" t="s">
        <v>69</v>
      </c>
      <c r="M3294" s="4">
        <v>3289</v>
      </c>
    </row>
    <row r="3295" spans="1:13" x14ac:dyDescent="0.25">
      <c r="A3295" s="4" t="s">
        <v>3033</v>
      </c>
      <c r="B3295" s="4" t="s">
        <v>3038</v>
      </c>
      <c r="C3295" s="9" t="s">
        <v>50</v>
      </c>
      <c r="D3295" s="10">
        <v>1.5</v>
      </c>
      <c r="E3295" s="11" t="s">
        <v>51</v>
      </c>
      <c r="F3295" s="10">
        <v>230</v>
      </c>
      <c r="G3295" s="10">
        <v>0</v>
      </c>
      <c r="H3295" s="10">
        <f t="shared" si="51"/>
        <v>230</v>
      </c>
      <c r="I3295" s="10"/>
      <c r="J3295" s="10"/>
      <c r="K3295" s="10"/>
      <c r="L3295" s="4" t="s">
        <v>52</v>
      </c>
      <c r="M3295" s="4">
        <v>3290</v>
      </c>
    </row>
    <row r="3296" spans="1:13" x14ac:dyDescent="0.25">
      <c r="A3296" s="4" t="s">
        <v>3033</v>
      </c>
      <c r="B3296" s="4" t="s">
        <v>3039</v>
      </c>
      <c r="C3296" s="4" t="s">
        <v>65</v>
      </c>
      <c r="D3296" s="10">
        <v>5</v>
      </c>
      <c r="E3296" s="12" t="s">
        <v>66</v>
      </c>
      <c r="F3296" s="10">
        <v>800</v>
      </c>
      <c r="G3296" s="10">
        <v>0</v>
      </c>
      <c r="H3296" s="10">
        <f t="shared" si="51"/>
        <v>800</v>
      </c>
      <c r="I3296" s="10">
        <v>160</v>
      </c>
      <c r="J3296" s="10">
        <v>160</v>
      </c>
      <c r="K3296" s="10">
        <v>160</v>
      </c>
      <c r="L3296" s="4"/>
      <c r="M3296" s="4">
        <v>3291</v>
      </c>
    </row>
    <row r="3297" spans="1:13" x14ac:dyDescent="0.25">
      <c r="A3297" s="4" t="s">
        <v>3033</v>
      </c>
      <c r="B3297" s="4" t="s">
        <v>3040</v>
      </c>
      <c r="C3297" s="4" t="s">
        <v>65</v>
      </c>
      <c r="D3297" s="10">
        <v>36</v>
      </c>
      <c r="E3297" s="12" t="s">
        <v>66</v>
      </c>
      <c r="F3297" s="10">
        <v>3200</v>
      </c>
      <c r="G3297" s="10">
        <v>0</v>
      </c>
      <c r="H3297" s="10">
        <f t="shared" si="51"/>
        <v>3200</v>
      </c>
      <c r="I3297" s="10">
        <v>88.888888888888886</v>
      </c>
      <c r="J3297" s="10">
        <v>88.888888888888886</v>
      </c>
      <c r="K3297" s="10">
        <v>88.888888888888886</v>
      </c>
      <c r="L3297" s="4"/>
      <c r="M3297" s="4">
        <v>3292</v>
      </c>
    </row>
    <row r="3298" spans="1:13" x14ac:dyDescent="0.25">
      <c r="A3298" s="4" t="s">
        <v>3033</v>
      </c>
      <c r="B3298" s="4" t="s">
        <v>3041</v>
      </c>
      <c r="C3298" s="4" t="s">
        <v>65</v>
      </c>
      <c r="D3298" s="10">
        <v>54</v>
      </c>
      <c r="E3298" s="12" t="s">
        <v>66</v>
      </c>
      <c r="F3298" s="10">
        <v>4800</v>
      </c>
      <c r="G3298" s="10">
        <v>0</v>
      </c>
      <c r="H3298" s="10">
        <f t="shared" si="51"/>
        <v>4800</v>
      </c>
      <c r="I3298" s="10">
        <v>88.888888888888886</v>
      </c>
      <c r="J3298" s="10">
        <v>88.888888888888886</v>
      </c>
      <c r="K3298" s="10">
        <v>88.888888888888886</v>
      </c>
      <c r="L3298" s="4"/>
      <c r="M3298" s="4">
        <v>3293</v>
      </c>
    </row>
    <row r="3299" spans="1:13" x14ac:dyDescent="0.25">
      <c r="A3299" s="4" t="s">
        <v>3033</v>
      </c>
      <c r="B3299" s="4" t="s">
        <v>3042</v>
      </c>
      <c r="C3299" s="4" t="s">
        <v>68</v>
      </c>
      <c r="D3299" s="10">
        <v>6.5</v>
      </c>
      <c r="E3299" s="11" t="s">
        <v>51</v>
      </c>
      <c r="F3299" s="10">
        <v>600</v>
      </c>
      <c r="G3299" s="10">
        <v>0</v>
      </c>
      <c r="H3299" s="10">
        <f t="shared" si="51"/>
        <v>600</v>
      </c>
      <c r="I3299" s="10"/>
      <c r="J3299" s="10"/>
      <c r="K3299" s="10"/>
      <c r="L3299" s="4" t="s">
        <v>69</v>
      </c>
      <c r="M3299" s="4">
        <v>3294</v>
      </c>
    </row>
    <row r="3300" spans="1:13" x14ac:dyDescent="0.25">
      <c r="A3300" s="4" t="s">
        <v>3033</v>
      </c>
      <c r="B3300" s="4" t="s">
        <v>3043</v>
      </c>
      <c r="C3300" s="4" t="s">
        <v>68</v>
      </c>
      <c r="D3300" s="10">
        <v>2.5</v>
      </c>
      <c r="E3300" s="11" t="s">
        <v>51</v>
      </c>
      <c r="F3300" s="10">
        <v>225</v>
      </c>
      <c r="G3300" s="10">
        <v>0</v>
      </c>
      <c r="H3300" s="10">
        <f t="shared" si="51"/>
        <v>225</v>
      </c>
      <c r="I3300" s="10"/>
      <c r="J3300" s="10"/>
      <c r="K3300" s="10"/>
      <c r="L3300" s="4" t="s">
        <v>69</v>
      </c>
      <c r="M3300" s="4">
        <v>3295</v>
      </c>
    </row>
    <row r="3301" spans="1:13" x14ac:dyDescent="0.25">
      <c r="A3301" s="4" t="s">
        <v>3033</v>
      </c>
      <c r="B3301" s="4" t="s">
        <v>3044</v>
      </c>
      <c r="C3301" s="4" t="s">
        <v>68</v>
      </c>
      <c r="D3301" s="10">
        <v>2.5</v>
      </c>
      <c r="E3301" s="11" t="s">
        <v>51</v>
      </c>
      <c r="F3301" s="10">
        <v>225</v>
      </c>
      <c r="G3301" s="10">
        <v>0</v>
      </c>
      <c r="H3301" s="10">
        <f t="shared" si="51"/>
        <v>225</v>
      </c>
      <c r="I3301" s="10"/>
      <c r="J3301" s="10"/>
      <c r="K3301" s="10"/>
      <c r="L3301" s="4" t="s">
        <v>69</v>
      </c>
      <c r="M3301" s="4">
        <v>3296</v>
      </c>
    </row>
    <row r="3302" spans="1:13" x14ac:dyDescent="0.25">
      <c r="A3302" s="4" t="s">
        <v>3033</v>
      </c>
      <c r="B3302" s="4" t="s">
        <v>3045</v>
      </c>
      <c r="C3302" s="4" t="s">
        <v>65</v>
      </c>
      <c r="D3302" s="10">
        <v>21</v>
      </c>
      <c r="E3302" s="12" t="s">
        <v>66</v>
      </c>
      <c r="F3302" s="10">
        <v>3200</v>
      </c>
      <c r="G3302" s="10">
        <v>0</v>
      </c>
      <c r="H3302" s="10">
        <f t="shared" si="51"/>
        <v>3200</v>
      </c>
      <c r="I3302" s="10">
        <v>152.38095238095241</v>
      </c>
      <c r="J3302" s="10">
        <v>152.38095238095241</v>
      </c>
      <c r="K3302" s="10">
        <v>152.38095238095241</v>
      </c>
      <c r="L3302" s="4"/>
      <c r="M3302" s="4">
        <v>3297</v>
      </c>
    </row>
    <row r="3303" spans="1:13" x14ac:dyDescent="0.25">
      <c r="A3303" s="4" t="s">
        <v>3033</v>
      </c>
      <c r="B3303" s="4" t="s">
        <v>3046</v>
      </c>
      <c r="C3303" s="4" t="s">
        <v>65</v>
      </c>
      <c r="D3303" s="10">
        <v>98</v>
      </c>
      <c r="E3303" s="12" t="s">
        <v>66</v>
      </c>
      <c r="F3303" s="10">
        <v>4300</v>
      </c>
      <c r="G3303" s="10">
        <v>0</v>
      </c>
      <c r="H3303" s="10">
        <f t="shared" si="51"/>
        <v>4300</v>
      </c>
      <c r="I3303" s="10">
        <v>150.87719298245611</v>
      </c>
      <c r="J3303" s="10">
        <v>150.87719298245611</v>
      </c>
      <c r="K3303" s="10">
        <v>150.87719298245611</v>
      </c>
      <c r="L3303" s="4"/>
      <c r="M3303" s="4">
        <v>3298</v>
      </c>
    </row>
    <row r="3304" spans="1:13" x14ac:dyDescent="0.25">
      <c r="A3304" s="4" t="s">
        <v>3047</v>
      </c>
      <c r="B3304" s="4" t="s">
        <v>3048</v>
      </c>
      <c r="C3304" s="4" t="s">
        <v>65</v>
      </c>
      <c r="D3304" s="10">
        <v>28.5</v>
      </c>
      <c r="E3304" s="12" t="s">
        <v>66</v>
      </c>
      <c r="F3304" s="10">
        <v>3950</v>
      </c>
      <c r="G3304" s="10">
        <v>0</v>
      </c>
      <c r="H3304" s="10">
        <f t="shared" si="51"/>
        <v>3950</v>
      </c>
      <c r="I3304" s="10">
        <v>138.59649122807019</v>
      </c>
      <c r="J3304" s="10">
        <v>138.59649122807019</v>
      </c>
      <c r="K3304" s="10">
        <v>138.59649122807019</v>
      </c>
      <c r="L3304" s="4"/>
      <c r="M3304" s="4">
        <v>3299</v>
      </c>
    </row>
    <row r="3305" spans="1:13" x14ac:dyDescent="0.25">
      <c r="A3305" s="4" t="s">
        <v>3047</v>
      </c>
      <c r="B3305" s="4" t="s">
        <v>3049</v>
      </c>
      <c r="C3305" s="4" t="s">
        <v>65</v>
      </c>
      <c r="D3305" s="10">
        <v>37.5</v>
      </c>
      <c r="E3305" s="12" t="s">
        <v>66</v>
      </c>
      <c r="F3305" s="10">
        <v>4850</v>
      </c>
      <c r="G3305" s="10">
        <v>0</v>
      </c>
      <c r="H3305" s="10">
        <f t="shared" si="51"/>
        <v>4850</v>
      </c>
      <c r="I3305" s="10">
        <v>129.33333333333329</v>
      </c>
      <c r="J3305" s="10">
        <v>129.33333333333329</v>
      </c>
      <c r="K3305" s="10">
        <v>129.33333333333329</v>
      </c>
      <c r="L3305" s="4"/>
      <c r="M3305" s="4">
        <v>3300</v>
      </c>
    </row>
    <row r="3306" spans="1:13" x14ac:dyDescent="0.25">
      <c r="A3306" s="4" t="s">
        <v>3047</v>
      </c>
      <c r="B3306" s="4" t="s">
        <v>3050</v>
      </c>
      <c r="C3306" s="4" t="s">
        <v>68</v>
      </c>
      <c r="D3306" s="10">
        <v>874</v>
      </c>
      <c r="E3306" s="11" t="s">
        <v>51</v>
      </c>
      <c r="F3306" s="10">
        <v>3840</v>
      </c>
      <c r="G3306" s="10">
        <v>0</v>
      </c>
      <c r="H3306" s="10">
        <f t="shared" si="51"/>
        <v>3840</v>
      </c>
      <c r="I3306" s="10"/>
      <c r="J3306" s="10"/>
      <c r="K3306" s="10"/>
      <c r="L3306" s="4" t="s">
        <v>69</v>
      </c>
      <c r="M3306" s="4">
        <v>3301</v>
      </c>
    </row>
    <row r="3307" spans="1:13" x14ac:dyDescent="0.25">
      <c r="A3307" s="4" t="s">
        <v>3051</v>
      </c>
      <c r="B3307" s="4" t="s">
        <v>3052</v>
      </c>
      <c r="C3307" s="9" t="s">
        <v>50</v>
      </c>
      <c r="D3307" s="10">
        <v>624</v>
      </c>
      <c r="E3307" s="11" t="s">
        <v>51</v>
      </c>
      <c r="F3307" s="10">
        <v>29683.32</v>
      </c>
      <c r="G3307" s="10">
        <v>0</v>
      </c>
      <c r="H3307" s="10">
        <f t="shared" si="51"/>
        <v>29683.32</v>
      </c>
      <c r="I3307" s="10"/>
      <c r="J3307" s="10"/>
      <c r="K3307" s="10"/>
      <c r="L3307" s="4" t="s">
        <v>52</v>
      </c>
      <c r="M3307" s="4">
        <v>3302</v>
      </c>
    </row>
    <row r="3308" spans="1:13" x14ac:dyDescent="0.25">
      <c r="A3308" s="4" t="s">
        <v>3051</v>
      </c>
      <c r="B3308" s="4" t="s">
        <v>3053</v>
      </c>
      <c r="C3308" s="9" t="s">
        <v>50</v>
      </c>
      <c r="D3308" s="10">
        <v>820</v>
      </c>
      <c r="E3308" s="11" t="s">
        <v>51</v>
      </c>
      <c r="F3308" s="10">
        <v>39936.660000000003</v>
      </c>
      <c r="G3308" s="10">
        <v>0</v>
      </c>
      <c r="H3308" s="10">
        <f t="shared" si="51"/>
        <v>39936.660000000003</v>
      </c>
      <c r="I3308" s="10"/>
      <c r="J3308" s="10"/>
      <c r="K3308" s="10"/>
      <c r="L3308" s="4" t="s">
        <v>52</v>
      </c>
      <c r="M3308" s="4">
        <v>3303</v>
      </c>
    </row>
    <row r="3309" spans="1:13" x14ac:dyDescent="0.25">
      <c r="A3309" s="4" t="s">
        <v>3051</v>
      </c>
      <c r="B3309" s="4" t="s">
        <v>3054</v>
      </c>
      <c r="C3309" s="9" t="s">
        <v>50</v>
      </c>
      <c r="D3309" s="10">
        <v>80</v>
      </c>
      <c r="E3309" s="11" t="s">
        <v>51</v>
      </c>
      <c r="F3309" s="10">
        <v>7600</v>
      </c>
      <c r="G3309" s="10">
        <v>0</v>
      </c>
      <c r="H3309" s="10">
        <f t="shared" si="51"/>
        <v>7600</v>
      </c>
      <c r="I3309" s="10">
        <v>95</v>
      </c>
      <c r="J3309" s="10">
        <v>95</v>
      </c>
      <c r="K3309" s="10">
        <v>95</v>
      </c>
      <c r="L3309" s="4" t="s">
        <v>259</v>
      </c>
      <c r="M3309" s="4">
        <v>3304</v>
      </c>
    </row>
    <row r="3310" spans="1:13" x14ac:dyDescent="0.25">
      <c r="A3310" s="4" t="s">
        <v>3051</v>
      </c>
      <c r="B3310" s="4" t="s">
        <v>3055</v>
      </c>
      <c r="C3310" s="9" t="s">
        <v>50</v>
      </c>
      <c r="D3310" s="10">
        <v>588</v>
      </c>
      <c r="E3310" s="11" t="s">
        <v>51</v>
      </c>
      <c r="F3310" s="10">
        <v>13200</v>
      </c>
      <c r="G3310" s="10">
        <v>0</v>
      </c>
      <c r="H3310" s="10">
        <f t="shared" si="51"/>
        <v>13200</v>
      </c>
      <c r="I3310" s="10"/>
      <c r="J3310" s="10"/>
      <c r="K3310" s="10"/>
      <c r="L3310" s="4" t="s">
        <v>52</v>
      </c>
      <c r="M3310" s="4">
        <v>3305</v>
      </c>
    </row>
    <row r="3311" spans="1:13" x14ac:dyDescent="0.25">
      <c r="A3311" s="4" t="s">
        <v>3056</v>
      </c>
      <c r="B3311" s="4" t="s">
        <v>3057</v>
      </c>
      <c r="C3311" s="4" t="s">
        <v>68</v>
      </c>
      <c r="D3311" s="10">
        <v>148</v>
      </c>
      <c r="E3311" s="11" t="s">
        <v>51</v>
      </c>
      <c r="F3311" s="10">
        <v>14060</v>
      </c>
      <c r="G3311" s="10">
        <v>0</v>
      </c>
      <c r="H3311" s="10">
        <f t="shared" si="51"/>
        <v>14060</v>
      </c>
      <c r="I3311" s="10"/>
      <c r="J3311" s="10"/>
      <c r="K3311" s="10"/>
      <c r="L3311" s="4" t="s">
        <v>69</v>
      </c>
      <c r="M3311" s="4">
        <v>3306</v>
      </c>
    </row>
    <row r="3312" spans="1:13" x14ac:dyDescent="0.25">
      <c r="A3312" s="4" t="s">
        <v>3056</v>
      </c>
      <c r="B3312" s="4" t="s">
        <v>3058</v>
      </c>
      <c r="C3312" s="4" t="s">
        <v>68</v>
      </c>
      <c r="D3312" s="10">
        <v>68</v>
      </c>
      <c r="E3312" s="11" t="s">
        <v>51</v>
      </c>
      <c r="F3312" s="10">
        <v>6460</v>
      </c>
      <c r="G3312" s="10">
        <v>0</v>
      </c>
      <c r="H3312" s="10">
        <f t="shared" si="51"/>
        <v>6460</v>
      </c>
      <c r="I3312" s="10"/>
      <c r="J3312" s="10"/>
      <c r="K3312" s="10"/>
      <c r="L3312" s="4" t="s">
        <v>69</v>
      </c>
      <c r="M3312" s="4">
        <v>3307</v>
      </c>
    </row>
    <row r="3313" spans="1:13" x14ac:dyDescent="0.25">
      <c r="A3313" s="4" t="s">
        <v>3056</v>
      </c>
      <c r="B3313" s="4" t="s">
        <v>3059</v>
      </c>
      <c r="C3313" s="4" t="s">
        <v>65</v>
      </c>
      <c r="D3313" s="10">
        <v>333</v>
      </c>
      <c r="E3313" s="12" t="s">
        <v>66</v>
      </c>
      <c r="F3313" s="10">
        <v>25100</v>
      </c>
      <c r="G3313" s="10">
        <v>0</v>
      </c>
      <c r="H3313" s="10">
        <f t="shared" si="51"/>
        <v>25100</v>
      </c>
      <c r="I3313" s="10">
        <v>99.603174603174608</v>
      </c>
      <c r="J3313" s="10">
        <v>99.603174603174608</v>
      </c>
      <c r="K3313" s="10">
        <v>99.603174603174608</v>
      </c>
      <c r="L3313" s="4"/>
      <c r="M3313" s="4">
        <v>3308</v>
      </c>
    </row>
    <row r="3314" spans="1:13" x14ac:dyDescent="0.25">
      <c r="A3314" s="4" t="s">
        <v>3060</v>
      </c>
      <c r="B3314" s="4" t="s">
        <v>3061</v>
      </c>
      <c r="C3314" s="4" t="s">
        <v>65</v>
      </c>
      <c r="D3314" s="10">
        <v>329</v>
      </c>
      <c r="E3314" s="12" t="s">
        <v>66</v>
      </c>
      <c r="F3314" s="10">
        <v>9350</v>
      </c>
      <c r="G3314" s="10">
        <v>0</v>
      </c>
      <c r="H3314" s="10">
        <f t="shared" si="51"/>
        <v>9350</v>
      </c>
      <c r="I3314" s="10">
        <v>115.4320987654321</v>
      </c>
      <c r="J3314" s="10">
        <v>115.4320987654321</v>
      </c>
      <c r="K3314" s="10">
        <v>115.4320987654321</v>
      </c>
      <c r="L3314" s="4"/>
      <c r="M3314" s="4">
        <v>3309</v>
      </c>
    </row>
    <row r="3315" spans="1:13" x14ac:dyDescent="0.25">
      <c r="A3315" s="4" t="s">
        <v>3062</v>
      </c>
      <c r="B3315" s="4" t="s">
        <v>3063</v>
      </c>
      <c r="C3315" s="4" t="s">
        <v>65</v>
      </c>
      <c r="D3315" s="10">
        <v>100</v>
      </c>
      <c r="E3315" s="12" t="s">
        <v>66</v>
      </c>
      <c r="F3315" s="10">
        <v>8550</v>
      </c>
      <c r="G3315" s="10">
        <v>0</v>
      </c>
      <c r="H3315" s="10">
        <f t="shared" si="51"/>
        <v>8550</v>
      </c>
      <c r="I3315" s="10">
        <v>85.5</v>
      </c>
      <c r="J3315" s="10">
        <v>85.5</v>
      </c>
      <c r="K3315" s="10">
        <v>85.5</v>
      </c>
      <c r="L3315" s="4"/>
      <c r="M3315" s="4">
        <v>3310</v>
      </c>
    </row>
    <row r="3316" spans="1:13" x14ac:dyDescent="0.25">
      <c r="A3316" s="4" t="s">
        <v>3062</v>
      </c>
      <c r="B3316" s="4" t="s">
        <v>3064</v>
      </c>
      <c r="C3316" s="4" t="s">
        <v>68</v>
      </c>
      <c r="D3316" s="10">
        <v>40</v>
      </c>
      <c r="E3316" s="11" t="s">
        <v>51</v>
      </c>
      <c r="F3316" s="10">
        <v>4600</v>
      </c>
      <c r="G3316" s="10">
        <v>0</v>
      </c>
      <c r="H3316" s="10">
        <f t="shared" si="51"/>
        <v>4600</v>
      </c>
      <c r="I3316" s="10"/>
      <c r="J3316" s="10"/>
      <c r="K3316" s="10"/>
      <c r="L3316" s="4" t="s">
        <v>69</v>
      </c>
      <c r="M3316" s="4">
        <v>3311</v>
      </c>
    </row>
    <row r="3317" spans="1:13" x14ac:dyDescent="0.25">
      <c r="A3317" s="4" t="s">
        <v>3062</v>
      </c>
      <c r="B3317" s="4" t="s">
        <v>3065</v>
      </c>
      <c r="C3317" s="4" t="s">
        <v>68</v>
      </c>
      <c r="D3317" s="10">
        <v>212.5</v>
      </c>
      <c r="E3317" s="11" t="s">
        <v>51</v>
      </c>
      <c r="F3317" s="10">
        <v>12420</v>
      </c>
      <c r="G3317" s="10">
        <v>0</v>
      </c>
      <c r="H3317" s="10">
        <f t="shared" si="51"/>
        <v>12420</v>
      </c>
      <c r="I3317" s="10"/>
      <c r="J3317" s="10"/>
      <c r="K3317" s="10"/>
      <c r="L3317" s="4" t="s">
        <v>69</v>
      </c>
      <c r="M3317" s="4">
        <v>3312</v>
      </c>
    </row>
    <row r="3318" spans="1:13" x14ac:dyDescent="0.25">
      <c r="A3318" s="4" t="s">
        <v>3066</v>
      </c>
      <c r="B3318" s="4" t="s">
        <v>3034</v>
      </c>
      <c r="C3318" s="4" t="s">
        <v>68</v>
      </c>
      <c r="D3318" s="10">
        <v>5</v>
      </c>
      <c r="E3318" s="11" t="s">
        <v>51</v>
      </c>
      <c r="F3318" s="10">
        <v>800</v>
      </c>
      <c r="G3318" s="10">
        <v>0</v>
      </c>
      <c r="H3318" s="10">
        <f t="shared" si="51"/>
        <v>800</v>
      </c>
      <c r="I3318" s="10"/>
      <c r="J3318" s="10"/>
      <c r="K3318" s="10"/>
      <c r="L3318" s="4" t="s">
        <v>69</v>
      </c>
      <c r="M3318" s="4">
        <v>3313</v>
      </c>
    </row>
    <row r="3319" spans="1:13" x14ac:dyDescent="0.25">
      <c r="A3319" s="4" t="s">
        <v>3066</v>
      </c>
      <c r="B3319" s="4" t="s">
        <v>3035</v>
      </c>
      <c r="C3319" s="4" t="s">
        <v>68</v>
      </c>
      <c r="D3319" s="10">
        <v>20</v>
      </c>
      <c r="E3319" s="11" t="s">
        <v>51</v>
      </c>
      <c r="F3319" s="10">
        <v>2560</v>
      </c>
      <c r="G3319" s="10">
        <v>0</v>
      </c>
      <c r="H3319" s="10">
        <f t="shared" si="51"/>
        <v>2560</v>
      </c>
      <c r="I3319" s="10"/>
      <c r="J3319" s="10"/>
      <c r="K3319" s="10"/>
      <c r="L3319" s="4" t="s">
        <v>69</v>
      </c>
      <c r="M3319" s="4">
        <v>3314</v>
      </c>
    </row>
    <row r="3320" spans="1:13" x14ac:dyDescent="0.25">
      <c r="A3320" s="4" t="s">
        <v>3066</v>
      </c>
      <c r="B3320" s="4" t="s">
        <v>3036</v>
      </c>
      <c r="C3320" s="4" t="s">
        <v>68</v>
      </c>
      <c r="D3320" s="10">
        <v>10</v>
      </c>
      <c r="E3320" s="11" t="s">
        <v>51</v>
      </c>
      <c r="F3320" s="10">
        <v>1280</v>
      </c>
      <c r="G3320" s="10">
        <v>0</v>
      </c>
      <c r="H3320" s="10">
        <f t="shared" si="51"/>
        <v>1280</v>
      </c>
      <c r="I3320" s="10"/>
      <c r="J3320" s="10"/>
      <c r="K3320" s="10"/>
      <c r="L3320" s="4" t="s">
        <v>69</v>
      </c>
      <c r="M3320" s="4">
        <v>3315</v>
      </c>
    </row>
    <row r="3321" spans="1:13" x14ac:dyDescent="0.25">
      <c r="A3321" s="4" t="s">
        <v>3066</v>
      </c>
      <c r="B3321" s="4" t="s">
        <v>3037</v>
      </c>
      <c r="C3321" s="4" t="s">
        <v>68</v>
      </c>
      <c r="D3321" s="10">
        <v>20</v>
      </c>
      <c r="E3321" s="11" t="s">
        <v>51</v>
      </c>
      <c r="F3321" s="10">
        <v>1500</v>
      </c>
      <c r="G3321" s="10">
        <v>0</v>
      </c>
      <c r="H3321" s="10">
        <f t="shared" si="51"/>
        <v>1500</v>
      </c>
      <c r="I3321" s="10"/>
      <c r="J3321" s="10"/>
      <c r="K3321" s="10"/>
      <c r="L3321" s="4" t="s">
        <v>69</v>
      </c>
      <c r="M3321" s="4">
        <v>3316</v>
      </c>
    </row>
    <row r="3322" spans="1:13" x14ac:dyDescent="0.25">
      <c r="A3322" s="4" t="s">
        <v>3066</v>
      </c>
      <c r="B3322" s="4" t="s">
        <v>3045</v>
      </c>
      <c r="C3322" s="4" t="s">
        <v>65</v>
      </c>
      <c r="D3322" s="10">
        <v>21</v>
      </c>
      <c r="E3322" s="12" t="s">
        <v>66</v>
      </c>
      <c r="F3322" s="10">
        <v>3200</v>
      </c>
      <c r="G3322" s="10">
        <v>0</v>
      </c>
      <c r="H3322" s="10">
        <f t="shared" si="51"/>
        <v>3200</v>
      </c>
      <c r="I3322" s="10">
        <v>152.38095238095241</v>
      </c>
      <c r="J3322" s="10">
        <v>152.38095238095241</v>
      </c>
      <c r="K3322" s="10">
        <v>152.38095238095241</v>
      </c>
      <c r="L3322" s="4"/>
      <c r="M3322" s="4">
        <v>3317</v>
      </c>
    </row>
    <row r="3323" spans="1:13" x14ac:dyDescent="0.25">
      <c r="A3323" s="4" t="s">
        <v>3066</v>
      </c>
      <c r="B3323" s="4" t="s">
        <v>3046</v>
      </c>
      <c r="C3323" s="4" t="s">
        <v>65</v>
      </c>
      <c r="D3323" s="10">
        <v>81</v>
      </c>
      <c r="E3323" s="12" t="s">
        <v>66</v>
      </c>
      <c r="F3323" s="10">
        <v>4300</v>
      </c>
      <c r="G3323" s="10">
        <v>0</v>
      </c>
      <c r="H3323" s="10">
        <f t="shared" si="51"/>
        <v>4300</v>
      </c>
      <c r="I3323" s="10">
        <v>150.87719298245611</v>
      </c>
      <c r="J3323" s="10">
        <v>150.87719298245611</v>
      </c>
      <c r="K3323" s="10">
        <v>150.87719298245611</v>
      </c>
      <c r="L3323" s="4"/>
      <c r="M3323" s="4">
        <v>3318</v>
      </c>
    </row>
    <row r="3324" spans="1:13" x14ac:dyDescent="0.25">
      <c r="A3324" s="4" t="s">
        <v>3067</v>
      </c>
      <c r="B3324" s="4" t="s">
        <v>3068</v>
      </c>
      <c r="C3324" s="4" t="s">
        <v>65</v>
      </c>
      <c r="D3324" s="10">
        <v>57</v>
      </c>
      <c r="E3324" s="12" t="s">
        <v>66</v>
      </c>
      <c r="F3324" s="10">
        <v>7750</v>
      </c>
      <c r="G3324" s="10">
        <v>0</v>
      </c>
      <c r="H3324" s="10">
        <f t="shared" si="51"/>
        <v>7750</v>
      </c>
      <c r="I3324" s="10">
        <v>135.96491228070181</v>
      </c>
      <c r="J3324" s="10">
        <v>135.96491228070181</v>
      </c>
      <c r="K3324" s="10">
        <v>135.96491228070181</v>
      </c>
      <c r="L3324" s="4"/>
      <c r="M3324" s="4">
        <v>3319</v>
      </c>
    </row>
    <row r="3325" spans="1:13" x14ac:dyDescent="0.25">
      <c r="A3325" s="4" t="s">
        <v>3067</v>
      </c>
      <c r="B3325" s="4" t="s">
        <v>3069</v>
      </c>
      <c r="C3325" s="4" t="s">
        <v>68</v>
      </c>
      <c r="D3325" s="10">
        <v>1130</v>
      </c>
      <c r="E3325" s="11" t="s">
        <v>51</v>
      </c>
      <c r="F3325" s="10">
        <v>2880</v>
      </c>
      <c r="G3325" s="10">
        <v>0</v>
      </c>
      <c r="H3325" s="10">
        <f t="shared" si="51"/>
        <v>2880</v>
      </c>
      <c r="I3325" s="10"/>
      <c r="J3325" s="10"/>
      <c r="K3325" s="10"/>
      <c r="L3325" s="4" t="s">
        <v>69</v>
      </c>
      <c r="M3325" s="4">
        <v>3320</v>
      </c>
    </row>
    <row r="3326" spans="1:13" x14ac:dyDescent="0.25">
      <c r="A3326" s="4" t="s">
        <v>3070</v>
      </c>
      <c r="B3326" s="4" t="s">
        <v>3071</v>
      </c>
      <c r="C3326" s="4" t="s">
        <v>68</v>
      </c>
      <c r="D3326" s="10">
        <v>200</v>
      </c>
      <c r="E3326" s="11" t="s">
        <v>51</v>
      </c>
      <c r="F3326" s="10">
        <v>20000</v>
      </c>
      <c r="G3326" s="10">
        <v>0</v>
      </c>
      <c r="H3326" s="10">
        <f t="shared" si="51"/>
        <v>20000</v>
      </c>
      <c r="I3326" s="10"/>
      <c r="J3326" s="10"/>
      <c r="K3326" s="10"/>
      <c r="L3326" s="4" t="s">
        <v>69</v>
      </c>
      <c r="M3326" s="4">
        <v>3321</v>
      </c>
    </row>
    <row r="3327" spans="1:13" x14ac:dyDescent="0.25">
      <c r="A3327" s="4" t="s">
        <v>3070</v>
      </c>
      <c r="B3327" s="4" t="s">
        <v>3072</v>
      </c>
      <c r="C3327" s="4" t="s">
        <v>68</v>
      </c>
      <c r="D3327" s="10">
        <v>768</v>
      </c>
      <c r="E3327" s="11" t="s">
        <v>51</v>
      </c>
      <c r="F3327" s="10">
        <v>76800</v>
      </c>
      <c r="G3327" s="10">
        <v>0</v>
      </c>
      <c r="H3327" s="10">
        <f t="shared" si="51"/>
        <v>76800</v>
      </c>
      <c r="I3327" s="10"/>
      <c r="J3327" s="10"/>
      <c r="K3327" s="10"/>
      <c r="L3327" s="4" t="s">
        <v>69</v>
      </c>
      <c r="M3327" s="4">
        <v>3322</v>
      </c>
    </row>
    <row r="3328" spans="1:13" x14ac:dyDescent="0.25">
      <c r="A3328" s="4" t="s">
        <v>3070</v>
      </c>
      <c r="B3328" s="4" t="s">
        <v>3073</v>
      </c>
      <c r="C3328" s="4" t="s">
        <v>68</v>
      </c>
      <c r="D3328" s="10">
        <v>10</v>
      </c>
      <c r="E3328" s="11" t="s">
        <v>51</v>
      </c>
      <c r="F3328" s="10">
        <v>600</v>
      </c>
      <c r="G3328" s="10">
        <v>0</v>
      </c>
      <c r="H3328" s="10">
        <f t="shared" si="51"/>
        <v>600</v>
      </c>
      <c r="I3328" s="10"/>
      <c r="J3328" s="10"/>
      <c r="K3328" s="10"/>
      <c r="L3328" s="4" t="s">
        <v>69</v>
      </c>
      <c r="M3328" s="4">
        <v>3323</v>
      </c>
    </row>
    <row r="3329" spans="1:13" x14ac:dyDescent="0.25">
      <c r="A3329" s="4" t="s">
        <v>3070</v>
      </c>
      <c r="B3329" s="4" t="s">
        <v>3074</v>
      </c>
      <c r="C3329" s="9" t="s">
        <v>50</v>
      </c>
      <c r="D3329" s="10">
        <v>57.5</v>
      </c>
      <c r="E3329" s="11" t="s">
        <v>51</v>
      </c>
      <c r="F3329" s="10">
        <v>3450</v>
      </c>
      <c r="G3329" s="10">
        <v>0</v>
      </c>
      <c r="H3329" s="10">
        <f t="shared" si="51"/>
        <v>3450</v>
      </c>
      <c r="I3329" s="10"/>
      <c r="J3329" s="10"/>
      <c r="K3329" s="10"/>
      <c r="L3329" s="4" t="s">
        <v>52</v>
      </c>
      <c r="M3329" s="4">
        <v>3324</v>
      </c>
    </row>
    <row r="3330" spans="1:13" x14ac:dyDescent="0.25">
      <c r="A3330" s="4" t="s">
        <v>3070</v>
      </c>
      <c r="B3330" s="4" t="s">
        <v>3075</v>
      </c>
      <c r="C3330" s="9" t="s">
        <v>50</v>
      </c>
      <c r="D3330" s="10">
        <v>130.5</v>
      </c>
      <c r="E3330" s="11" t="s">
        <v>51</v>
      </c>
      <c r="F3330" s="10">
        <v>4250</v>
      </c>
      <c r="G3330" s="10">
        <v>0</v>
      </c>
      <c r="H3330" s="10">
        <f t="shared" si="51"/>
        <v>4250</v>
      </c>
      <c r="I3330" s="10"/>
      <c r="J3330" s="10"/>
      <c r="K3330" s="10"/>
      <c r="L3330" s="4" t="s">
        <v>52</v>
      </c>
      <c r="M3330" s="4">
        <v>3325</v>
      </c>
    </row>
    <row r="3331" spans="1:13" x14ac:dyDescent="0.25">
      <c r="A3331" s="4" t="s">
        <v>3076</v>
      </c>
      <c r="B3331" s="4" t="s">
        <v>3077</v>
      </c>
      <c r="C3331" s="9" t="s">
        <v>50</v>
      </c>
      <c r="D3331" s="10">
        <v>602</v>
      </c>
      <c r="E3331" s="11" t="s">
        <v>51</v>
      </c>
      <c r="F3331" s="10">
        <v>5700</v>
      </c>
      <c r="G3331" s="10">
        <v>0</v>
      </c>
      <c r="H3331" s="10">
        <f t="shared" si="51"/>
        <v>5700</v>
      </c>
      <c r="I3331" s="10"/>
      <c r="J3331" s="10"/>
      <c r="K3331" s="10"/>
      <c r="L3331" s="4" t="s">
        <v>52</v>
      </c>
      <c r="M3331" s="4">
        <v>3326</v>
      </c>
    </row>
    <row r="3332" spans="1:13" x14ac:dyDescent="0.25">
      <c r="A3332" s="4" t="s">
        <v>3078</v>
      </c>
      <c r="B3332" s="4" t="s">
        <v>3079</v>
      </c>
      <c r="C3332" s="9" t="s">
        <v>50</v>
      </c>
      <c r="D3332" s="10">
        <v>5</v>
      </c>
      <c r="E3332" s="11" t="s">
        <v>51</v>
      </c>
      <c r="F3332" s="10">
        <v>500</v>
      </c>
      <c r="G3332" s="10">
        <v>0</v>
      </c>
      <c r="H3332" s="10">
        <f t="shared" si="51"/>
        <v>500</v>
      </c>
      <c r="I3332" s="10"/>
      <c r="J3332" s="10"/>
      <c r="K3332" s="10"/>
      <c r="L3332" s="4" t="s">
        <v>52</v>
      </c>
      <c r="M3332" s="4">
        <v>3327</v>
      </c>
    </row>
    <row r="3333" spans="1:13" x14ac:dyDescent="0.25">
      <c r="A3333" s="4" t="s">
        <v>3078</v>
      </c>
      <c r="B3333" s="4" t="s">
        <v>3080</v>
      </c>
      <c r="C3333" s="9" t="s">
        <v>50</v>
      </c>
      <c r="D3333" s="10">
        <v>5</v>
      </c>
      <c r="E3333" s="11" t="s">
        <v>51</v>
      </c>
      <c r="F3333" s="10">
        <v>500</v>
      </c>
      <c r="G3333" s="10">
        <v>0</v>
      </c>
      <c r="H3333" s="10">
        <f t="shared" si="51"/>
        <v>500</v>
      </c>
      <c r="I3333" s="10"/>
      <c r="J3333" s="10"/>
      <c r="K3333" s="10"/>
      <c r="L3333" s="4" t="s">
        <v>52</v>
      </c>
      <c r="M3333" s="4">
        <v>3328</v>
      </c>
    </row>
    <row r="3334" spans="1:13" x14ac:dyDescent="0.25">
      <c r="A3334" s="4" t="s">
        <v>3078</v>
      </c>
      <c r="B3334" s="4" t="s">
        <v>3081</v>
      </c>
      <c r="C3334" s="9" t="s">
        <v>50</v>
      </c>
      <c r="D3334" s="10">
        <v>8</v>
      </c>
      <c r="E3334" s="11" t="s">
        <v>51</v>
      </c>
      <c r="F3334" s="10">
        <v>800</v>
      </c>
      <c r="G3334" s="10">
        <v>0</v>
      </c>
      <c r="H3334" s="10">
        <f t="shared" ref="H3334:H3397" si="52">F3334-G3334</f>
        <v>800</v>
      </c>
      <c r="I3334" s="10"/>
      <c r="J3334" s="10"/>
      <c r="K3334" s="10"/>
      <c r="L3334" s="4" t="s">
        <v>52</v>
      </c>
      <c r="M3334" s="4">
        <v>3329</v>
      </c>
    </row>
    <row r="3335" spans="1:13" x14ac:dyDescent="0.25">
      <c r="A3335" s="4" t="s">
        <v>3078</v>
      </c>
      <c r="B3335" s="4" t="s">
        <v>3082</v>
      </c>
      <c r="C3335" s="9" t="s">
        <v>50</v>
      </c>
      <c r="D3335" s="10">
        <v>244</v>
      </c>
      <c r="E3335" s="11" t="s">
        <v>51</v>
      </c>
      <c r="F3335" s="10">
        <v>15000</v>
      </c>
      <c r="G3335" s="10">
        <v>0</v>
      </c>
      <c r="H3335" s="10">
        <f t="shared" si="52"/>
        <v>15000</v>
      </c>
      <c r="I3335" s="10"/>
      <c r="J3335" s="10"/>
      <c r="K3335" s="10"/>
      <c r="L3335" s="4" t="s">
        <v>52</v>
      </c>
      <c r="M3335" s="4">
        <v>3330</v>
      </c>
    </row>
    <row r="3336" spans="1:13" x14ac:dyDescent="0.25">
      <c r="A3336" s="4" t="s">
        <v>3078</v>
      </c>
      <c r="B3336" s="4" t="s">
        <v>3006</v>
      </c>
      <c r="C3336" s="9" t="s">
        <v>50</v>
      </c>
      <c r="D3336" s="10">
        <v>30</v>
      </c>
      <c r="E3336" s="11" t="s">
        <v>51</v>
      </c>
      <c r="F3336" s="10">
        <v>3000</v>
      </c>
      <c r="G3336" s="10">
        <v>0</v>
      </c>
      <c r="H3336" s="10">
        <f t="shared" si="52"/>
        <v>3000</v>
      </c>
      <c r="I3336" s="10"/>
      <c r="J3336" s="10"/>
      <c r="K3336" s="10"/>
      <c r="L3336" s="4" t="s">
        <v>52</v>
      </c>
      <c r="M3336" s="4">
        <v>3331</v>
      </c>
    </row>
    <row r="3337" spans="1:13" x14ac:dyDescent="0.25">
      <c r="A3337" s="4" t="s">
        <v>3078</v>
      </c>
      <c r="B3337" s="4" t="s">
        <v>2983</v>
      </c>
      <c r="C3337" s="9" t="s">
        <v>50</v>
      </c>
      <c r="D3337" s="10">
        <v>48</v>
      </c>
      <c r="E3337" s="11" t="s">
        <v>51</v>
      </c>
      <c r="F3337" s="10">
        <v>4800</v>
      </c>
      <c r="G3337" s="10">
        <v>0</v>
      </c>
      <c r="H3337" s="10">
        <f t="shared" si="52"/>
        <v>4800</v>
      </c>
      <c r="I3337" s="10"/>
      <c r="J3337" s="10"/>
      <c r="K3337" s="10"/>
      <c r="L3337" s="4" t="s">
        <v>52</v>
      </c>
      <c r="M3337" s="4">
        <v>3332</v>
      </c>
    </row>
    <row r="3338" spans="1:13" x14ac:dyDescent="0.25">
      <c r="A3338" s="4" t="s">
        <v>3078</v>
      </c>
      <c r="B3338" s="4" t="s">
        <v>2986</v>
      </c>
      <c r="C3338" s="9" t="s">
        <v>50</v>
      </c>
      <c r="D3338" s="10">
        <v>1188</v>
      </c>
      <c r="E3338" s="11" t="s">
        <v>51</v>
      </c>
      <c r="F3338" s="10">
        <v>1000</v>
      </c>
      <c r="G3338" s="10">
        <v>0</v>
      </c>
      <c r="H3338" s="10">
        <f t="shared" si="52"/>
        <v>1000</v>
      </c>
      <c r="I3338" s="10"/>
      <c r="J3338" s="10"/>
      <c r="K3338" s="10"/>
      <c r="L3338" s="4" t="s">
        <v>52</v>
      </c>
      <c r="M3338" s="4">
        <v>3333</v>
      </c>
    </row>
    <row r="3339" spans="1:13" x14ac:dyDescent="0.25">
      <c r="A3339" s="4" t="s">
        <v>3083</v>
      </c>
      <c r="B3339" s="4" t="s">
        <v>3084</v>
      </c>
      <c r="C3339" s="9" t="s">
        <v>50</v>
      </c>
      <c r="D3339" s="10">
        <v>1164</v>
      </c>
      <c r="E3339" s="11" t="s">
        <v>51</v>
      </c>
      <c r="F3339" s="10">
        <v>52740</v>
      </c>
      <c r="G3339" s="10">
        <v>0</v>
      </c>
      <c r="H3339" s="10">
        <f t="shared" si="52"/>
        <v>52740</v>
      </c>
      <c r="I3339" s="10"/>
      <c r="J3339" s="10"/>
      <c r="K3339" s="10"/>
      <c r="L3339" s="4" t="s">
        <v>52</v>
      </c>
      <c r="M3339" s="4">
        <v>3334</v>
      </c>
    </row>
    <row r="3340" spans="1:13" x14ac:dyDescent="0.25">
      <c r="A3340" s="4" t="s">
        <v>3083</v>
      </c>
      <c r="B3340" s="4" t="s">
        <v>3085</v>
      </c>
      <c r="C3340" s="9" t="s">
        <v>50</v>
      </c>
      <c r="D3340" s="10">
        <v>32</v>
      </c>
      <c r="E3340" s="11" t="s">
        <v>51</v>
      </c>
      <c r="F3340" s="10">
        <v>1745.45</v>
      </c>
      <c r="G3340" s="10">
        <v>0</v>
      </c>
      <c r="H3340" s="10">
        <f t="shared" si="52"/>
        <v>1745.45</v>
      </c>
      <c r="I3340" s="10">
        <v>54.545312500000001</v>
      </c>
      <c r="J3340" s="10">
        <v>54.545312500000001</v>
      </c>
      <c r="K3340" s="10">
        <v>54.545312500000001</v>
      </c>
      <c r="L3340" s="4" t="s">
        <v>259</v>
      </c>
      <c r="M3340" s="4">
        <v>3335</v>
      </c>
    </row>
    <row r="3341" spans="1:13" x14ac:dyDescent="0.25">
      <c r="A3341" s="4" t="s">
        <v>3083</v>
      </c>
      <c r="B3341" s="4" t="s">
        <v>3086</v>
      </c>
      <c r="C3341" s="9" t="s">
        <v>50</v>
      </c>
      <c r="D3341" s="10">
        <v>24</v>
      </c>
      <c r="E3341" s="11" t="s">
        <v>51</v>
      </c>
      <c r="F3341" s="10">
        <v>1309.0899999999999</v>
      </c>
      <c r="G3341" s="10">
        <v>0</v>
      </c>
      <c r="H3341" s="10">
        <f t="shared" si="52"/>
        <v>1309.0899999999999</v>
      </c>
      <c r="I3341" s="10">
        <v>54.545416666666661</v>
      </c>
      <c r="J3341" s="10">
        <v>54.545416666666661</v>
      </c>
      <c r="K3341" s="10">
        <v>54.545416666666661</v>
      </c>
      <c r="L3341" s="4" t="s">
        <v>259</v>
      </c>
      <c r="M3341" s="4">
        <v>3336</v>
      </c>
    </row>
    <row r="3342" spans="1:13" x14ac:dyDescent="0.25">
      <c r="A3342" s="4" t="s">
        <v>3083</v>
      </c>
      <c r="B3342" s="4" t="s">
        <v>3087</v>
      </c>
      <c r="C3342" s="9" t="s">
        <v>50</v>
      </c>
      <c r="D3342" s="10">
        <v>24</v>
      </c>
      <c r="E3342" s="11" t="s">
        <v>51</v>
      </c>
      <c r="F3342" s="10">
        <v>2290.91</v>
      </c>
      <c r="G3342" s="10">
        <v>0</v>
      </c>
      <c r="H3342" s="10">
        <f t="shared" si="52"/>
        <v>2290.91</v>
      </c>
      <c r="I3342" s="10">
        <v>95.454583333333332</v>
      </c>
      <c r="J3342" s="10">
        <v>95.454583333333332</v>
      </c>
      <c r="K3342" s="10">
        <v>95.454583333333332</v>
      </c>
      <c r="L3342" s="4" t="s">
        <v>259</v>
      </c>
      <c r="M3342" s="4">
        <v>3337</v>
      </c>
    </row>
    <row r="3343" spans="1:13" x14ac:dyDescent="0.25">
      <c r="A3343" s="4" t="s">
        <v>3083</v>
      </c>
      <c r="B3343" s="4" t="s">
        <v>3088</v>
      </c>
      <c r="C3343" s="9" t="s">
        <v>50</v>
      </c>
      <c r="D3343" s="10">
        <v>2951.7</v>
      </c>
      <c r="E3343" s="11" t="s">
        <v>51</v>
      </c>
      <c r="F3343" s="10">
        <v>61110</v>
      </c>
      <c r="G3343" s="10">
        <v>0</v>
      </c>
      <c r="H3343" s="10">
        <f t="shared" si="52"/>
        <v>61110</v>
      </c>
      <c r="I3343" s="10"/>
      <c r="J3343" s="10"/>
      <c r="K3343" s="10"/>
      <c r="L3343" s="4" t="s">
        <v>52</v>
      </c>
      <c r="M3343" s="4">
        <v>3338</v>
      </c>
    </row>
    <row r="3344" spans="1:13" x14ac:dyDescent="0.25">
      <c r="A3344" s="4" t="s">
        <v>3089</v>
      </c>
      <c r="B3344" s="4" t="s">
        <v>3090</v>
      </c>
      <c r="C3344" s="9" t="s">
        <v>50</v>
      </c>
      <c r="D3344" s="10">
        <v>236.95</v>
      </c>
      <c r="E3344" s="11" t="s">
        <v>51</v>
      </c>
      <c r="F3344" s="10">
        <v>19080.650000000001</v>
      </c>
      <c r="G3344" s="10">
        <v>0</v>
      </c>
      <c r="H3344" s="10">
        <f t="shared" si="52"/>
        <v>19080.650000000001</v>
      </c>
      <c r="I3344" s="10"/>
      <c r="J3344" s="10"/>
      <c r="K3344" s="10"/>
      <c r="L3344" s="4" t="s">
        <v>52</v>
      </c>
      <c r="M3344" s="4">
        <v>3339</v>
      </c>
    </row>
    <row r="3345" spans="1:13" x14ac:dyDescent="0.25">
      <c r="A3345" s="4" t="s">
        <v>3089</v>
      </c>
      <c r="B3345" s="4" t="s">
        <v>3091</v>
      </c>
      <c r="C3345" s="9" t="s">
        <v>50</v>
      </c>
      <c r="D3345" s="10">
        <v>328.27</v>
      </c>
      <c r="E3345" s="11" t="s">
        <v>51</v>
      </c>
      <c r="F3345" s="10">
        <v>24707.89</v>
      </c>
      <c r="G3345" s="10">
        <v>0</v>
      </c>
      <c r="H3345" s="10">
        <f t="shared" si="52"/>
        <v>24707.89</v>
      </c>
      <c r="I3345" s="10"/>
      <c r="J3345" s="10"/>
      <c r="K3345" s="10"/>
      <c r="L3345" s="4" t="s">
        <v>52</v>
      </c>
      <c r="M3345" s="4">
        <v>3340</v>
      </c>
    </row>
    <row r="3346" spans="1:13" x14ac:dyDescent="0.25">
      <c r="A3346" s="4" t="s">
        <v>3089</v>
      </c>
      <c r="B3346" s="4" t="s">
        <v>3092</v>
      </c>
      <c r="C3346" s="9" t="s">
        <v>50</v>
      </c>
      <c r="D3346" s="10">
        <v>30.6</v>
      </c>
      <c r="E3346" s="11" t="s">
        <v>51</v>
      </c>
      <c r="F3346" s="10">
        <v>2906.81</v>
      </c>
      <c r="G3346" s="10">
        <v>0</v>
      </c>
      <c r="H3346" s="10">
        <f t="shared" si="52"/>
        <v>2906.81</v>
      </c>
      <c r="I3346" s="10"/>
      <c r="J3346" s="10"/>
      <c r="K3346" s="10"/>
      <c r="L3346" s="4" t="s">
        <v>52</v>
      </c>
      <c r="M3346" s="4">
        <v>3341</v>
      </c>
    </row>
    <row r="3347" spans="1:13" x14ac:dyDescent="0.25">
      <c r="A3347" s="4" t="s">
        <v>3089</v>
      </c>
      <c r="B3347" s="4" t="s">
        <v>3093</v>
      </c>
      <c r="C3347" s="9" t="s">
        <v>50</v>
      </c>
      <c r="D3347" s="10">
        <v>424.82</v>
      </c>
      <c r="E3347" s="11" t="s">
        <v>51</v>
      </c>
      <c r="F3347" s="10">
        <v>31974.91</v>
      </c>
      <c r="G3347" s="10">
        <v>0</v>
      </c>
      <c r="H3347" s="10">
        <f t="shared" si="52"/>
        <v>31974.91</v>
      </c>
      <c r="I3347" s="10"/>
      <c r="J3347" s="10"/>
      <c r="K3347" s="10"/>
      <c r="L3347" s="4" t="s">
        <v>52</v>
      </c>
      <c r="M3347" s="4">
        <v>3342</v>
      </c>
    </row>
    <row r="3348" spans="1:13" x14ac:dyDescent="0.25">
      <c r="A3348" s="4" t="s">
        <v>3089</v>
      </c>
      <c r="B3348" s="4" t="s">
        <v>3094</v>
      </c>
      <c r="C3348" s="9" t="s">
        <v>50</v>
      </c>
      <c r="D3348" s="10">
        <v>107.09</v>
      </c>
      <c r="E3348" s="11" t="s">
        <v>51</v>
      </c>
      <c r="F3348" s="10">
        <v>10173.84</v>
      </c>
      <c r="G3348" s="10">
        <v>0</v>
      </c>
      <c r="H3348" s="10">
        <f t="shared" si="52"/>
        <v>10173.84</v>
      </c>
      <c r="I3348" s="10"/>
      <c r="J3348" s="10"/>
      <c r="K3348" s="10"/>
      <c r="L3348" s="4" t="s">
        <v>52</v>
      </c>
      <c r="M3348" s="4">
        <v>3343</v>
      </c>
    </row>
    <row r="3349" spans="1:13" x14ac:dyDescent="0.25">
      <c r="A3349" s="4" t="s">
        <v>3089</v>
      </c>
      <c r="B3349" s="4" t="s">
        <v>3095</v>
      </c>
      <c r="C3349" s="9" t="s">
        <v>50</v>
      </c>
      <c r="D3349" s="10">
        <v>76.5</v>
      </c>
      <c r="E3349" s="11" t="s">
        <v>51</v>
      </c>
      <c r="F3349" s="10">
        <v>7267.03</v>
      </c>
      <c r="G3349" s="10">
        <v>0</v>
      </c>
      <c r="H3349" s="10">
        <f t="shared" si="52"/>
        <v>7267.03</v>
      </c>
      <c r="I3349" s="10"/>
      <c r="J3349" s="10"/>
      <c r="K3349" s="10"/>
      <c r="L3349" s="4" t="s">
        <v>52</v>
      </c>
      <c r="M3349" s="4">
        <v>3344</v>
      </c>
    </row>
    <row r="3350" spans="1:13" x14ac:dyDescent="0.25">
      <c r="A3350" s="4" t="s">
        <v>3089</v>
      </c>
      <c r="B3350" s="4" t="s">
        <v>3096</v>
      </c>
      <c r="C3350" s="9" t="s">
        <v>50</v>
      </c>
      <c r="D3350" s="10">
        <v>560.47</v>
      </c>
      <c r="E3350" s="11" t="s">
        <v>51</v>
      </c>
      <c r="F3350" s="10">
        <v>50869.18</v>
      </c>
      <c r="G3350" s="10">
        <v>0</v>
      </c>
      <c r="H3350" s="10">
        <f t="shared" si="52"/>
        <v>50869.18</v>
      </c>
      <c r="I3350" s="10"/>
      <c r="J3350" s="10"/>
      <c r="K3350" s="10"/>
      <c r="L3350" s="4" t="s">
        <v>52</v>
      </c>
      <c r="M3350" s="4">
        <v>3345</v>
      </c>
    </row>
    <row r="3351" spans="1:13" x14ac:dyDescent="0.25">
      <c r="A3351" s="4" t="s">
        <v>3097</v>
      </c>
      <c r="B3351" s="4" t="s">
        <v>3098</v>
      </c>
      <c r="C3351" s="4" t="s">
        <v>68</v>
      </c>
      <c r="D3351" s="10">
        <v>35.5</v>
      </c>
      <c r="E3351" s="11" t="s">
        <v>51</v>
      </c>
      <c r="F3351" s="10"/>
      <c r="G3351" s="10">
        <v>0</v>
      </c>
      <c r="H3351" s="10">
        <f t="shared" si="52"/>
        <v>0</v>
      </c>
      <c r="I3351" s="10"/>
      <c r="J3351" s="10"/>
      <c r="K3351" s="10"/>
      <c r="L3351" s="4" t="s">
        <v>69</v>
      </c>
      <c r="M3351" s="4">
        <v>3346</v>
      </c>
    </row>
    <row r="3352" spans="1:13" x14ac:dyDescent="0.25">
      <c r="A3352" s="4" t="s">
        <v>3099</v>
      </c>
      <c r="B3352" s="4" t="s">
        <v>3100</v>
      </c>
      <c r="C3352" s="9" t="s">
        <v>50</v>
      </c>
      <c r="D3352" s="10">
        <v>14</v>
      </c>
      <c r="E3352" s="11" t="s">
        <v>51</v>
      </c>
      <c r="F3352" s="10">
        <v>1505.92</v>
      </c>
      <c r="G3352" s="10">
        <v>0</v>
      </c>
      <c r="H3352" s="10">
        <f t="shared" si="52"/>
        <v>1505.92</v>
      </c>
      <c r="I3352" s="10"/>
      <c r="J3352" s="10"/>
      <c r="K3352" s="10"/>
      <c r="L3352" s="4" t="s">
        <v>52</v>
      </c>
      <c r="M3352" s="4">
        <v>3347</v>
      </c>
    </row>
    <row r="3353" spans="1:13" x14ac:dyDescent="0.25">
      <c r="A3353" s="4" t="s">
        <v>3099</v>
      </c>
      <c r="B3353" s="4" t="s">
        <v>3101</v>
      </c>
      <c r="C3353" s="9" t="s">
        <v>50</v>
      </c>
      <c r="D3353" s="10">
        <v>383.5</v>
      </c>
      <c r="E3353" s="11" t="s">
        <v>51</v>
      </c>
      <c r="F3353" s="10">
        <v>2258.88</v>
      </c>
      <c r="G3353" s="10">
        <v>0</v>
      </c>
      <c r="H3353" s="10">
        <f t="shared" si="52"/>
        <v>2258.88</v>
      </c>
      <c r="I3353" s="10"/>
      <c r="J3353" s="10"/>
      <c r="K3353" s="10"/>
      <c r="L3353" s="4" t="s">
        <v>52</v>
      </c>
      <c r="M3353" s="4">
        <v>3348</v>
      </c>
    </row>
    <row r="3354" spans="1:13" x14ac:dyDescent="0.25">
      <c r="A3354" s="4" t="s">
        <v>3102</v>
      </c>
      <c r="B3354" s="4" t="s">
        <v>3103</v>
      </c>
      <c r="C3354" s="9" t="s">
        <v>50</v>
      </c>
      <c r="D3354" s="10">
        <v>15.5</v>
      </c>
      <c r="E3354" s="11" t="s">
        <v>51</v>
      </c>
      <c r="F3354" s="10">
        <v>1800</v>
      </c>
      <c r="G3354" s="10">
        <v>0</v>
      </c>
      <c r="H3354" s="10">
        <f t="shared" si="52"/>
        <v>1800</v>
      </c>
      <c r="I3354" s="10"/>
      <c r="J3354" s="10"/>
      <c r="K3354" s="10"/>
      <c r="L3354" s="4" t="s">
        <v>52</v>
      </c>
      <c r="M3354" s="4">
        <v>3349</v>
      </c>
    </row>
    <row r="3355" spans="1:13" x14ac:dyDescent="0.25">
      <c r="A3355" s="4" t="s">
        <v>3102</v>
      </c>
      <c r="B3355" s="4" t="s">
        <v>3104</v>
      </c>
      <c r="C3355" s="9" t="s">
        <v>50</v>
      </c>
      <c r="D3355" s="10">
        <v>60</v>
      </c>
      <c r="E3355" s="11" t="s">
        <v>51</v>
      </c>
      <c r="F3355" s="10">
        <v>6700</v>
      </c>
      <c r="G3355" s="10">
        <v>0</v>
      </c>
      <c r="H3355" s="10">
        <f t="shared" si="52"/>
        <v>6700</v>
      </c>
      <c r="I3355" s="10"/>
      <c r="J3355" s="10"/>
      <c r="K3355" s="10"/>
      <c r="L3355" s="4" t="s">
        <v>52</v>
      </c>
      <c r="M3355" s="4">
        <v>3350</v>
      </c>
    </row>
    <row r="3356" spans="1:13" x14ac:dyDescent="0.25">
      <c r="A3356" s="4" t="s">
        <v>3102</v>
      </c>
      <c r="B3356" s="4" t="s">
        <v>3105</v>
      </c>
      <c r="C3356" s="9" t="s">
        <v>50</v>
      </c>
      <c r="D3356" s="10">
        <v>34</v>
      </c>
      <c r="E3356" s="11" t="s">
        <v>51</v>
      </c>
      <c r="F3356" s="10">
        <v>3800</v>
      </c>
      <c r="G3356" s="10">
        <v>0</v>
      </c>
      <c r="H3356" s="10">
        <f t="shared" si="52"/>
        <v>3800</v>
      </c>
      <c r="I3356" s="10"/>
      <c r="J3356" s="10"/>
      <c r="K3356" s="10"/>
      <c r="L3356" s="4" t="s">
        <v>52</v>
      </c>
      <c r="M3356" s="4">
        <v>3351</v>
      </c>
    </row>
    <row r="3357" spans="1:13" x14ac:dyDescent="0.25">
      <c r="A3357" s="4" t="s">
        <v>3102</v>
      </c>
      <c r="B3357" s="4" t="s">
        <v>3106</v>
      </c>
      <c r="C3357" s="9" t="s">
        <v>50</v>
      </c>
      <c r="D3357" s="10">
        <v>92.5</v>
      </c>
      <c r="E3357" s="11" t="s">
        <v>51</v>
      </c>
      <c r="F3357" s="10">
        <v>10400</v>
      </c>
      <c r="G3357" s="10">
        <v>0</v>
      </c>
      <c r="H3357" s="10">
        <f t="shared" si="52"/>
        <v>10400</v>
      </c>
      <c r="I3357" s="10"/>
      <c r="J3357" s="10"/>
      <c r="K3357" s="10"/>
      <c r="L3357" s="4" t="s">
        <v>52</v>
      </c>
      <c r="M3357" s="4">
        <v>3352</v>
      </c>
    </row>
    <row r="3358" spans="1:13" x14ac:dyDescent="0.25">
      <c r="A3358" s="4" t="s">
        <v>3102</v>
      </c>
      <c r="B3358" s="4" t="s">
        <v>3107</v>
      </c>
      <c r="C3358" s="9" t="s">
        <v>50</v>
      </c>
      <c r="D3358" s="10">
        <v>101.5</v>
      </c>
      <c r="E3358" s="11" t="s">
        <v>51</v>
      </c>
      <c r="F3358" s="10">
        <v>11300</v>
      </c>
      <c r="G3358" s="10">
        <v>0</v>
      </c>
      <c r="H3358" s="10">
        <f t="shared" si="52"/>
        <v>11300</v>
      </c>
      <c r="I3358" s="10"/>
      <c r="J3358" s="10"/>
      <c r="K3358" s="10"/>
      <c r="L3358" s="4" t="s">
        <v>52</v>
      </c>
      <c r="M3358" s="4">
        <v>3353</v>
      </c>
    </row>
    <row r="3359" spans="1:13" x14ac:dyDescent="0.25">
      <c r="A3359" s="4" t="s">
        <v>3102</v>
      </c>
      <c r="B3359" s="4" t="s">
        <v>3108</v>
      </c>
      <c r="C3359" s="9" t="s">
        <v>50</v>
      </c>
      <c r="D3359" s="10">
        <v>1833.5</v>
      </c>
      <c r="E3359" s="11" t="s">
        <v>51</v>
      </c>
      <c r="F3359" s="10">
        <v>6500</v>
      </c>
      <c r="G3359" s="10">
        <v>0</v>
      </c>
      <c r="H3359" s="10">
        <f t="shared" si="52"/>
        <v>6500</v>
      </c>
      <c r="I3359" s="10"/>
      <c r="J3359" s="10"/>
      <c r="K3359" s="10"/>
      <c r="L3359" s="4" t="s">
        <v>52</v>
      </c>
      <c r="M3359" s="4">
        <v>3354</v>
      </c>
    </row>
    <row r="3360" spans="1:13" x14ac:dyDescent="0.25">
      <c r="A3360" s="4" t="s">
        <v>3109</v>
      </c>
      <c r="B3360" s="4" t="s">
        <v>3110</v>
      </c>
      <c r="C3360" s="4" t="s">
        <v>65</v>
      </c>
      <c r="D3360" s="10">
        <v>182.5</v>
      </c>
      <c r="E3360" s="12" t="s">
        <v>66</v>
      </c>
      <c r="F3360" s="10">
        <v>21500</v>
      </c>
      <c r="G3360" s="10">
        <v>0</v>
      </c>
      <c r="H3360" s="10">
        <f t="shared" si="52"/>
        <v>21500</v>
      </c>
      <c r="I3360" s="10">
        <v>117.8082191780822</v>
      </c>
      <c r="J3360" s="10">
        <v>117.8082191780822</v>
      </c>
      <c r="K3360" s="10">
        <v>117.8082191780822</v>
      </c>
      <c r="L3360" s="4"/>
      <c r="M3360" s="4">
        <v>3355</v>
      </c>
    </row>
    <row r="3361" spans="1:13" x14ac:dyDescent="0.25">
      <c r="A3361" s="4" t="s">
        <v>3109</v>
      </c>
      <c r="B3361" s="4" t="s">
        <v>3111</v>
      </c>
      <c r="C3361" s="4" t="s">
        <v>65</v>
      </c>
      <c r="D3361" s="10">
        <v>140</v>
      </c>
      <c r="E3361" s="12" t="s">
        <v>66</v>
      </c>
      <c r="F3361" s="10">
        <v>16500</v>
      </c>
      <c r="G3361" s="10">
        <v>0</v>
      </c>
      <c r="H3361" s="10">
        <f t="shared" si="52"/>
        <v>16500</v>
      </c>
      <c r="I3361" s="10">
        <v>117.8571428571429</v>
      </c>
      <c r="J3361" s="10">
        <v>117.8571428571429</v>
      </c>
      <c r="K3361" s="10">
        <v>117.8571428571429</v>
      </c>
      <c r="L3361" s="4"/>
      <c r="M3361" s="4">
        <v>3356</v>
      </c>
    </row>
    <row r="3362" spans="1:13" x14ac:dyDescent="0.25">
      <c r="A3362" s="4" t="s">
        <v>3109</v>
      </c>
      <c r="B3362" s="4" t="s">
        <v>3112</v>
      </c>
      <c r="C3362" s="4" t="s">
        <v>65</v>
      </c>
      <c r="D3362" s="10">
        <v>26</v>
      </c>
      <c r="E3362" s="12" t="s">
        <v>66</v>
      </c>
      <c r="F3362" s="10">
        <v>3100</v>
      </c>
      <c r="G3362" s="10">
        <v>0</v>
      </c>
      <c r="H3362" s="10">
        <f t="shared" si="52"/>
        <v>3100</v>
      </c>
      <c r="I3362" s="10">
        <v>119.2307692307692</v>
      </c>
      <c r="J3362" s="10">
        <v>119.2307692307692</v>
      </c>
      <c r="K3362" s="10">
        <v>119.2307692307692</v>
      </c>
      <c r="L3362" s="4"/>
      <c r="M3362" s="4">
        <v>3357</v>
      </c>
    </row>
    <row r="3363" spans="1:13" x14ac:dyDescent="0.25">
      <c r="A3363" s="4" t="s">
        <v>3109</v>
      </c>
      <c r="B3363" s="4" t="s">
        <v>3113</v>
      </c>
      <c r="C3363" s="4" t="s">
        <v>65</v>
      </c>
      <c r="D3363" s="10">
        <v>153</v>
      </c>
      <c r="E3363" s="12" t="s">
        <v>66</v>
      </c>
      <c r="F3363" s="10">
        <v>18000</v>
      </c>
      <c r="G3363" s="10">
        <v>0</v>
      </c>
      <c r="H3363" s="10">
        <f t="shared" si="52"/>
        <v>18000</v>
      </c>
      <c r="I3363" s="10">
        <v>117.64705882352941</v>
      </c>
      <c r="J3363" s="10">
        <v>117.64705882352941</v>
      </c>
      <c r="K3363" s="10">
        <v>117.64705882352941</v>
      </c>
      <c r="L3363" s="4"/>
      <c r="M3363" s="4">
        <v>3358</v>
      </c>
    </row>
    <row r="3364" spans="1:13" x14ac:dyDescent="0.25">
      <c r="A3364" s="4" t="s">
        <v>3109</v>
      </c>
      <c r="B3364" s="4" t="s">
        <v>2564</v>
      </c>
      <c r="C3364" s="4" t="s">
        <v>65</v>
      </c>
      <c r="D3364" s="10">
        <v>148</v>
      </c>
      <c r="E3364" s="12" t="s">
        <v>66</v>
      </c>
      <c r="F3364" s="10">
        <v>16100</v>
      </c>
      <c r="G3364" s="10">
        <v>0</v>
      </c>
      <c r="H3364" s="10">
        <f t="shared" si="52"/>
        <v>16100</v>
      </c>
      <c r="I3364" s="10">
        <v>108.7837837837838</v>
      </c>
      <c r="J3364" s="10">
        <v>108.7837837837838</v>
      </c>
      <c r="K3364" s="10">
        <v>108.7837837837838</v>
      </c>
      <c r="L3364" s="4"/>
      <c r="M3364" s="4">
        <v>3359</v>
      </c>
    </row>
    <row r="3365" spans="1:13" x14ac:dyDescent="0.25">
      <c r="A3365" s="4" t="s">
        <v>3109</v>
      </c>
      <c r="B3365" s="4" t="s">
        <v>3114</v>
      </c>
      <c r="C3365" s="4" t="s">
        <v>68</v>
      </c>
      <c r="D3365" s="10">
        <v>8</v>
      </c>
      <c r="E3365" s="11" t="s">
        <v>51</v>
      </c>
      <c r="F3365" s="10">
        <v>800</v>
      </c>
      <c r="G3365" s="10">
        <v>0</v>
      </c>
      <c r="H3365" s="10">
        <f t="shared" si="52"/>
        <v>800</v>
      </c>
      <c r="I3365" s="10"/>
      <c r="J3365" s="10"/>
      <c r="K3365" s="10"/>
      <c r="L3365" s="4" t="s">
        <v>69</v>
      </c>
      <c r="M3365" s="4">
        <v>3360</v>
      </c>
    </row>
    <row r="3366" spans="1:13" x14ac:dyDescent="0.25">
      <c r="A3366" s="4" t="s">
        <v>3109</v>
      </c>
      <c r="B3366" s="4" t="s">
        <v>3115</v>
      </c>
      <c r="C3366" s="4" t="s">
        <v>65</v>
      </c>
      <c r="D3366" s="10">
        <v>263.5</v>
      </c>
      <c r="E3366" s="12" t="s">
        <v>66</v>
      </c>
      <c r="F3366" s="10">
        <v>31000</v>
      </c>
      <c r="G3366" s="10">
        <v>0</v>
      </c>
      <c r="H3366" s="10">
        <f t="shared" si="52"/>
        <v>31000</v>
      </c>
      <c r="I3366" s="10">
        <v>117.64705882352941</v>
      </c>
      <c r="J3366" s="10">
        <v>117.64705882352941</v>
      </c>
      <c r="K3366" s="10">
        <v>117.64705882352941</v>
      </c>
      <c r="L3366" s="4"/>
      <c r="M3366" s="4">
        <v>3361</v>
      </c>
    </row>
    <row r="3367" spans="1:13" x14ac:dyDescent="0.25">
      <c r="A3367" s="4" t="s">
        <v>3109</v>
      </c>
      <c r="B3367" s="4" t="s">
        <v>3116</v>
      </c>
      <c r="C3367" s="9" t="s">
        <v>50</v>
      </c>
      <c r="D3367" s="10">
        <v>542.5</v>
      </c>
      <c r="E3367" s="11" t="s">
        <v>51</v>
      </c>
      <c r="F3367" s="10">
        <v>54400</v>
      </c>
      <c r="G3367" s="10">
        <v>0</v>
      </c>
      <c r="H3367" s="10">
        <f t="shared" si="52"/>
        <v>54400</v>
      </c>
      <c r="I3367" s="10"/>
      <c r="J3367" s="10"/>
      <c r="K3367" s="10"/>
      <c r="L3367" s="4" t="s">
        <v>52</v>
      </c>
      <c r="M3367" s="4">
        <v>3362</v>
      </c>
    </row>
    <row r="3368" spans="1:13" x14ac:dyDescent="0.25">
      <c r="A3368" s="4" t="s">
        <v>3109</v>
      </c>
      <c r="B3368" s="4" t="s">
        <v>3117</v>
      </c>
      <c r="C3368" s="9" t="s">
        <v>50</v>
      </c>
      <c r="D3368" s="10">
        <v>331.5</v>
      </c>
      <c r="E3368" s="11" t="s">
        <v>51</v>
      </c>
      <c r="F3368" s="10">
        <v>21300</v>
      </c>
      <c r="G3368" s="10">
        <v>0</v>
      </c>
      <c r="H3368" s="10">
        <f t="shared" si="52"/>
        <v>21300</v>
      </c>
      <c r="I3368" s="10"/>
      <c r="J3368" s="10"/>
      <c r="K3368" s="10"/>
      <c r="L3368" s="4" t="s">
        <v>52</v>
      </c>
      <c r="M3368" s="4">
        <v>3363</v>
      </c>
    </row>
    <row r="3369" spans="1:13" x14ac:dyDescent="0.25">
      <c r="A3369" s="4" t="s">
        <v>3118</v>
      </c>
      <c r="B3369" s="4" t="s">
        <v>3119</v>
      </c>
      <c r="C3369" s="4" t="s">
        <v>65</v>
      </c>
      <c r="D3369" s="10">
        <v>156</v>
      </c>
      <c r="E3369" s="12" t="s">
        <v>66</v>
      </c>
      <c r="F3369" s="10">
        <v>2200</v>
      </c>
      <c r="G3369" s="10">
        <v>0</v>
      </c>
      <c r="H3369" s="10">
        <f t="shared" si="52"/>
        <v>2200</v>
      </c>
      <c r="I3369" s="10">
        <v>110</v>
      </c>
      <c r="J3369" s="10">
        <v>110</v>
      </c>
      <c r="K3369" s="10">
        <v>110</v>
      </c>
      <c r="L3369" s="4"/>
      <c r="M3369" s="4">
        <v>3364</v>
      </c>
    </row>
    <row r="3370" spans="1:13" x14ac:dyDescent="0.25">
      <c r="A3370" s="4" t="s">
        <v>3120</v>
      </c>
      <c r="B3370" s="4" t="s">
        <v>3121</v>
      </c>
      <c r="C3370" s="4" t="s">
        <v>68</v>
      </c>
      <c r="D3370" s="10">
        <v>80</v>
      </c>
      <c r="E3370" s="11" t="s">
        <v>51</v>
      </c>
      <c r="F3370" s="10">
        <v>7600</v>
      </c>
      <c r="G3370" s="10">
        <v>0</v>
      </c>
      <c r="H3370" s="10">
        <f t="shared" si="52"/>
        <v>7600</v>
      </c>
      <c r="I3370" s="10"/>
      <c r="J3370" s="10"/>
      <c r="K3370" s="10"/>
      <c r="L3370" s="4" t="s">
        <v>69</v>
      </c>
      <c r="M3370" s="4">
        <v>3365</v>
      </c>
    </row>
    <row r="3371" spans="1:13" x14ac:dyDescent="0.25">
      <c r="A3371" s="4" t="s">
        <v>3120</v>
      </c>
      <c r="B3371" s="4" t="s">
        <v>3122</v>
      </c>
      <c r="C3371" s="4" t="s">
        <v>68</v>
      </c>
      <c r="D3371" s="10">
        <v>28</v>
      </c>
      <c r="E3371" s="11" t="s">
        <v>51</v>
      </c>
      <c r="F3371" s="10">
        <v>2800</v>
      </c>
      <c r="G3371" s="10">
        <v>0</v>
      </c>
      <c r="H3371" s="10">
        <f t="shared" si="52"/>
        <v>2800</v>
      </c>
      <c r="I3371" s="10"/>
      <c r="J3371" s="10"/>
      <c r="K3371" s="10"/>
      <c r="L3371" s="4" t="s">
        <v>69</v>
      </c>
      <c r="M3371" s="4">
        <v>3366</v>
      </c>
    </row>
    <row r="3372" spans="1:13" x14ac:dyDescent="0.25">
      <c r="A3372" s="4" t="s">
        <v>3120</v>
      </c>
      <c r="B3372" s="4" t="s">
        <v>3123</v>
      </c>
      <c r="C3372" s="4" t="s">
        <v>68</v>
      </c>
      <c r="D3372" s="10">
        <v>140</v>
      </c>
      <c r="E3372" s="11" t="s">
        <v>51</v>
      </c>
      <c r="F3372" s="10">
        <v>2520</v>
      </c>
      <c r="G3372" s="10">
        <v>0</v>
      </c>
      <c r="H3372" s="10">
        <f t="shared" si="52"/>
        <v>2520</v>
      </c>
      <c r="I3372" s="10"/>
      <c r="J3372" s="10"/>
      <c r="K3372" s="10"/>
      <c r="L3372" s="4" t="s">
        <v>69</v>
      </c>
      <c r="M3372" s="4">
        <v>3367</v>
      </c>
    </row>
    <row r="3373" spans="1:13" x14ac:dyDescent="0.25">
      <c r="A3373" s="4" t="s">
        <v>3124</v>
      </c>
      <c r="B3373" s="4" t="s">
        <v>3125</v>
      </c>
      <c r="C3373" s="4" t="s">
        <v>65</v>
      </c>
      <c r="D3373" s="10">
        <v>52</v>
      </c>
      <c r="E3373" s="12" t="s">
        <v>66</v>
      </c>
      <c r="F3373" s="10">
        <v>4900</v>
      </c>
      <c r="G3373" s="10">
        <v>0</v>
      </c>
      <c r="H3373" s="10">
        <f t="shared" si="52"/>
        <v>4900</v>
      </c>
      <c r="I3373" s="10">
        <v>94.230769230769226</v>
      </c>
      <c r="J3373" s="10">
        <v>94.230769230769226</v>
      </c>
      <c r="K3373" s="10">
        <v>94.230769230769226</v>
      </c>
      <c r="L3373" s="4"/>
      <c r="M3373" s="4">
        <v>3368</v>
      </c>
    </row>
    <row r="3374" spans="1:13" x14ac:dyDescent="0.25">
      <c r="A3374" s="4" t="s">
        <v>3124</v>
      </c>
      <c r="B3374" s="4" t="s">
        <v>487</v>
      </c>
      <c r="C3374" s="4" t="s">
        <v>68</v>
      </c>
      <c r="D3374" s="10">
        <v>160</v>
      </c>
      <c r="E3374" s="11" t="s">
        <v>51</v>
      </c>
      <c r="F3374" s="10">
        <v>6000</v>
      </c>
      <c r="G3374" s="10">
        <v>0</v>
      </c>
      <c r="H3374" s="10">
        <f t="shared" si="52"/>
        <v>6000</v>
      </c>
      <c r="I3374" s="10"/>
      <c r="J3374" s="10"/>
      <c r="K3374" s="10"/>
      <c r="L3374" s="4" t="s">
        <v>69</v>
      </c>
      <c r="M3374" s="4">
        <v>3369</v>
      </c>
    </row>
    <row r="3375" spans="1:13" x14ac:dyDescent="0.25">
      <c r="A3375" s="4" t="s">
        <v>3126</v>
      </c>
      <c r="B3375" s="4" t="s">
        <v>3127</v>
      </c>
      <c r="C3375" s="4" t="s">
        <v>68</v>
      </c>
      <c r="D3375" s="10">
        <v>246</v>
      </c>
      <c r="E3375" s="11" t="s">
        <v>51</v>
      </c>
      <c r="F3375" s="10">
        <v>10500</v>
      </c>
      <c r="G3375" s="10">
        <v>0</v>
      </c>
      <c r="H3375" s="10">
        <f t="shared" si="52"/>
        <v>10500</v>
      </c>
      <c r="I3375" s="10"/>
      <c r="J3375" s="10"/>
      <c r="K3375" s="10"/>
      <c r="L3375" s="4" t="s">
        <v>69</v>
      </c>
      <c r="M3375" s="4">
        <v>3370</v>
      </c>
    </row>
    <row r="3376" spans="1:13" x14ac:dyDescent="0.25">
      <c r="A3376" s="4" t="s">
        <v>3128</v>
      </c>
      <c r="B3376" s="4" t="s">
        <v>3129</v>
      </c>
      <c r="C3376" s="4" t="s">
        <v>65</v>
      </c>
      <c r="D3376" s="10">
        <v>161.5</v>
      </c>
      <c r="E3376" s="12" t="s">
        <v>66</v>
      </c>
      <c r="F3376" s="10">
        <v>9000</v>
      </c>
      <c r="G3376" s="10">
        <v>0</v>
      </c>
      <c r="H3376" s="10">
        <f t="shared" si="52"/>
        <v>9000</v>
      </c>
      <c r="I3376" s="10">
        <v>123.2876712328767</v>
      </c>
      <c r="J3376" s="10">
        <v>123.2876712328767</v>
      </c>
      <c r="K3376" s="10">
        <v>123.2876712328767</v>
      </c>
      <c r="L3376" s="4"/>
      <c r="M3376" s="4">
        <v>3371</v>
      </c>
    </row>
    <row r="3377" spans="1:13" x14ac:dyDescent="0.25">
      <c r="A3377" s="4" t="s">
        <v>3130</v>
      </c>
      <c r="B3377" s="4" t="s">
        <v>2239</v>
      </c>
      <c r="C3377" s="9" t="s">
        <v>50</v>
      </c>
      <c r="D3377" s="10">
        <v>423.5</v>
      </c>
      <c r="E3377" s="11" t="s">
        <v>51</v>
      </c>
      <c r="F3377" s="10">
        <v>6150</v>
      </c>
      <c r="G3377" s="10">
        <v>0</v>
      </c>
      <c r="H3377" s="10">
        <f t="shared" si="52"/>
        <v>6150</v>
      </c>
      <c r="I3377" s="10"/>
      <c r="J3377" s="10"/>
      <c r="K3377" s="10"/>
      <c r="L3377" s="4" t="s">
        <v>52</v>
      </c>
      <c r="M3377" s="4">
        <v>3372</v>
      </c>
    </row>
    <row r="3378" spans="1:13" x14ac:dyDescent="0.25">
      <c r="A3378" s="4" t="s">
        <v>3131</v>
      </c>
      <c r="B3378" s="4" t="s">
        <v>3132</v>
      </c>
      <c r="C3378" s="9" t="s">
        <v>50</v>
      </c>
      <c r="D3378" s="10">
        <v>4.5</v>
      </c>
      <c r="E3378" s="11" t="s">
        <v>51</v>
      </c>
      <c r="F3378" s="10">
        <v>500</v>
      </c>
      <c r="G3378" s="10">
        <v>0</v>
      </c>
      <c r="H3378" s="10">
        <f t="shared" si="52"/>
        <v>500</v>
      </c>
      <c r="I3378" s="10"/>
      <c r="J3378" s="10"/>
      <c r="K3378" s="10"/>
      <c r="L3378" s="4" t="s">
        <v>52</v>
      </c>
      <c r="M3378" s="4">
        <v>3373</v>
      </c>
    </row>
    <row r="3379" spans="1:13" x14ac:dyDescent="0.25">
      <c r="A3379" s="4" t="s">
        <v>3131</v>
      </c>
      <c r="B3379" s="4" t="s">
        <v>3133</v>
      </c>
      <c r="C3379" s="9" t="s">
        <v>50</v>
      </c>
      <c r="D3379" s="10">
        <v>81.5</v>
      </c>
      <c r="E3379" s="11" t="s">
        <v>51</v>
      </c>
      <c r="F3379" s="10">
        <v>9000</v>
      </c>
      <c r="G3379" s="10">
        <v>0</v>
      </c>
      <c r="H3379" s="10">
        <f t="shared" si="52"/>
        <v>9000</v>
      </c>
      <c r="I3379" s="10"/>
      <c r="J3379" s="10"/>
      <c r="K3379" s="10"/>
      <c r="L3379" s="4" t="s">
        <v>52</v>
      </c>
      <c r="M3379" s="4">
        <v>3374</v>
      </c>
    </row>
    <row r="3380" spans="1:13" x14ac:dyDescent="0.25">
      <c r="A3380" s="4" t="s">
        <v>3131</v>
      </c>
      <c r="B3380" s="4" t="s">
        <v>3134</v>
      </c>
      <c r="C3380" s="9" t="s">
        <v>50</v>
      </c>
      <c r="D3380" s="10">
        <v>95</v>
      </c>
      <c r="E3380" s="11" t="s">
        <v>51</v>
      </c>
      <c r="F3380" s="10">
        <v>10500</v>
      </c>
      <c r="G3380" s="10">
        <v>0</v>
      </c>
      <c r="H3380" s="10">
        <f t="shared" si="52"/>
        <v>10500</v>
      </c>
      <c r="I3380" s="10"/>
      <c r="J3380" s="10"/>
      <c r="K3380" s="10"/>
      <c r="L3380" s="4" t="s">
        <v>52</v>
      </c>
      <c r="M3380" s="4">
        <v>3375</v>
      </c>
    </row>
    <row r="3381" spans="1:13" x14ac:dyDescent="0.25">
      <c r="A3381" s="4" t="s">
        <v>3131</v>
      </c>
      <c r="B3381" s="4" t="s">
        <v>3135</v>
      </c>
      <c r="C3381" s="9" t="s">
        <v>50</v>
      </c>
      <c r="D3381" s="10">
        <v>72.5</v>
      </c>
      <c r="E3381" s="11" t="s">
        <v>51</v>
      </c>
      <c r="F3381" s="10">
        <v>8000</v>
      </c>
      <c r="G3381" s="10">
        <v>0</v>
      </c>
      <c r="H3381" s="10">
        <f t="shared" si="52"/>
        <v>8000</v>
      </c>
      <c r="I3381" s="10"/>
      <c r="J3381" s="10"/>
      <c r="K3381" s="10"/>
      <c r="L3381" s="4" t="s">
        <v>52</v>
      </c>
      <c r="M3381" s="4">
        <v>3376</v>
      </c>
    </row>
    <row r="3382" spans="1:13" x14ac:dyDescent="0.25">
      <c r="A3382" s="4" t="s">
        <v>3131</v>
      </c>
      <c r="B3382" s="4" t="s">
        <v>3136</v>
      </c>
      <c r="C3382" s="4" t="s">
        <v>65</v>
      </c>
      <c r="D3382" s="10">
        <v>185</v>
      </c>
      <c r="E3382" s="12" t="s">
        <v>66</v>
      </c>
      <c r="F3382" s="10">
        <v>9000</v>
      </c>
      <c r="G3382" s="10">
        <v>0</v>
      </c>
      <c r="H3382" s="10">
        <f t="shared" si="52"/>
        <v>9000</v>
      </c>
      <c r="I3382" s="10">
        <v>110.4294478527607</v>
      </c>
      <c r="J3382" s="10">
        <v>110.4294478527607</v>
      </c>
      <c r="K3382" s="10">
        <v>110.4294478527607</v>
      </c>
      <c r="L3382" s="4"/>
      <c r="M3382" s="4">
        <v>3377</v>
      </c>
    </row>
    <row r="3383" spans="1:13" x14ac:dyDescent="0.25">
      <c r="A3383" s="4" t="s">
        <v>3137</v>
      </c>
      <c r="B3383" s="4" t="s">
        <v>3133</v>
      </c>
      <c r="C3383" s="9" t="s">
        <v>50</v>
      </c>
      <c r="D3383" s="10">
        <v>31.5</v>
      </c>
      <c r="E3383" s="11" t="s">
        <v>51</v>
      </c>
      <c r="F3383" s="10">
        <v>3500</v>
      </c>
      <c r="G3383" s="10">
        <v>0</v>
      </c>
      <c r="H3383" s="10">
        <f t="shared" si="52"/>
        <v>3500</v>
      </c>
      <c r="I3383" s="10"/>
      <c r="J3383" s="10"/>
      <c r="K3383" s="10"/>
      <c r="L3383" s="4" t="s">
        <v>52</v>
      </c>
      <c r="M3383" s="4">
        <v>3378</v>
      </c>
    </row>
    <row r="3384" spans="1:13" x14ac:dyDescent="0.25">
      <c r="A3384" s="4" t="s">
        <v>3137</v>
      </c>
      <c r="B3384" s="4" t="s">
        <v>3134</v>
      </c>
      <c r="C3384" s="9" t="s">
        <v>50</v>
      </c>
      <c r="D3384" s="10">
        <v>40.5</v>
      </c>
      <c r="E3384" s="11" t="s">
        <v>51</v>
      </c>
      <c r="F3384" s="10">
        <v>4500</v>
      </c>
      <c r="G3384" s="10">
        <v>0</v>
      </c>
      <c r="H3384" s="10">
        <f t="shared" si="52"/>
        <v>4500</v>
      </c>
      <c r="I3384" s="10"/>
      <c r="J3384" s="10"/>
      <c r="K3384" s="10"/>
      <c r="L3384" s="4" t="s">
        <v>52</v>
      </c>
      <c r="M3384" s="4">
        <v>3379</v>
      </c>
    </row>
    <row r="3385" spans="1:13" x14ac:dyDescent="0.25">
      <c r="A3385" s="4" t="s">
        <v>3137</v>
      </c>
      <c r="B3385" s="4" t="s">
        <v>3135</v>
      </c>
      <c r="C3385" s="9" t="s">
        <v>50</v>
      </c>
      <c r="D3385" s="10">
        <v>937.5</v>
      </c>
      <c r="E3385" s="11" t="s">
        <v>51</v>
      </c>
      <c r="F3385" s="10">
        <v>3500</v>
      </c>
      <c r="G3385" s="10">
        <v>0</v>
      </c>
      <c r="H3385" s="10">
        <f t="shared" si="52"/>
        <v>3500</v>
      </c>
      <c r="I3385" s="10"/>
      <c r="J3385" s="10"/>
      <c r="K3385" s="10"/>
      <c r="L3385" s="4" t="s">
        <v>52</v>
      </c>
      <c r="M3385" s="4">
        <v>3380</v>
      </c>
    </row>
    <row r="3386" spans="1:13" x14ac:dyDescent="0.25">
      <c r="A3386" s="4" t="s">
        <v>3138</v>
      </c>
      <c r="B3386" s="4" t="s">
        <v>3139</v>
      </c>
      <c r="C3386" s="9" t="s">
        <v>50</v>
      </c>
      <c r="D3386" s="10">
        <v>79</v>
      </c>
      <c r="E3386" s="11" t="s">
        <v>51</v>
      </c>
      <c r="F3386" s="10">
        <v>7500</v>
      </c>
      <c r="G3386" s="10">
        <v>0</v>
      </c>
      <c r="H3386" s="10">
        <f t="shared" si="52"/>
        <v>7500</v>
      </c>
      <c r="I3386" s="10"/>
      <c r="J3386" s="10"/>
      <c r="K3386" s="10"/>
      <c r="L3386" s="4" t="s">
        <v>52</v>
      </c>
      <c r="M3386" s="4">
        <v>3381</v>
      </c>
    </row>
    <row r="3387" spans="1:13" x14ac:dyDescent="0.25">
      <c r="A3387" s="4" t="s">
        <v>3138</v>
      </c>
      <c r="B3387" s="4" t="s">
        <v>3140</v>
      </c>
      <c r="C3387" s="9" t="s">
        <v>50</v>
      </c>
      <c r="D3387" s="10">
        <v>2</v>
      </c>
      <c r="E3387" s="11" t="s">
        <v>51</v>
      </c>
      <c r="F3387" s="10">
        <v>190</v>
      </c>
      <c r="G3387" s="10">
        <v>0</v>
      </c>
      <c r="H3387" s="10">
        <f t="shared" si="52"/>
        <v>190</v>
      </c>
      <c r="I3387" s="10">
        <v>95</v>
      </c>
      <c r="J3387" s="10">
        <v>95</v>
      </c>
      <c r="K3387" s="10">
        <v>95</v>
      </c>
      <c r="L3387" s="4" t="s">
        <v>259</v>
      </c>
      <c r="M3387" s="4">
        <v>3382</v>
      </c>
    </row>
    <row r="3388" spans="1:13" x14ac:dyDescent="0.25">
      <c r="A3388" s="4" t="s">
        <v>3138</v>
      </c>
      <c r="B3388" s="4" t="s">
        <v>3141</v>
      </c>
      <c r="C3388" s="9" t="s">
        <v>50</v>
      </c>
      <c r="D3388" s="10">
        <v>57.5</v>
      </c>
      <c r="E3388" s="11" t="s">
        <v>51</v>
      </c>
      <c r="F3388" s="10">
        <v>5500</v>
      </c>
      <c r="G3388" s="10">
        <v>0</v>
      </c>
      <c r="H3388" s="10">
        <f t="shared" si="52"/>
        <v>5500</v>
      </c>
      <c r="I3388" s="10"/>
      <c r="J3388" s="10"/>
      <c r="K3388" s="10"/>
      <c r="L3388" s="4" t="s">
        <v>52</v>
      </c>
      <c r="M3388" s="4">
        <v>3383</v>
      </c>
    </row>
    <row r="3389" spans="1:13" x14ac:dyDescent="0.25">
      <c r="A3389" s="4" t="s">
        <v>3138</v>
      </c>
      <c r="B3389" s="4" t="s">
        <v>3142</v>
      </c>
      <c r="C3389" s="9" t="s">
        <v>50</v>
      </c>
      <c r="D3389" s="10">
        <v>361.5</v>
      </c>
      <c r="E3389" s="11" t="s">
        <v>51</v>
      </c>
      <c r="F3389" s="10">
        <v>34450</v>
      </c>
      <c r="G3389" s="10">
        <v>0</v>
      </c>
      <c r="H3389" s="10">
        <f t="shared" si="52"/>
        <v>34450</v>
      </c>
      <c r="I3389" s="10"/>
      <c r="J3389" s="10"/>
      <c r="K3389" s="10"/>
      <c r="L3389" s="4" t="s">
        <v>52</v>
      </c>
      <c r="M3389" s="4">
        <v>3384</v>
      </c>
    </row>
    <row r="3390" spans="1:13" x14ac:dyDescent="0.25">
      <c r="A3390" s="4" t="s">
        <v>3138</v>
      </c>
      <c r="B3390" s="4" t="s">
        <v>3143</v>
      </c>
      <c r="C3390" s="9" t="s">
        <v>50</v>
      </c>
      <c r="D3390" s="10">
        <v>448</v>
      </c>
      <c r="E3390" s="11" t="s">
        <v>51</v>
      </c>
      <c r="F3390" s="10">
        <v>33450</v>
      </c>
      <c r="G3390" s="10">
        <v>0</v>
      </c>
      <c r="H3390" s="10">
        <f t="shared" si="52"/>
        <v>33450</v>
      </c>
      <c r="I3390" s="10"/>
      <c r="J3390" s="10"/>
      <c r="K3390" s="10"/>
      <c r="L3390" s="4" t="s">
        <v>52</v>
      </c>
      <c r="M3390" s="4">
        <v>3385</v>
      </c>
    </row>
    <row r="3391" spans="1:13" x14ac:dyDescent="0.25">
      <c r="A3391" s="4" t="s">
        <v>3144</v>
      </c>
      <c r="B3391" s="4" t="s">
        <v>3145</v>
      </c>
      <c r="C3391" s="4" t="s">
        <v>68</v>
      </c>
      <c r="D3391" s="10">
        <v>40</v>
      </c>
      <c r="E3391" s="11" t="s">
        <v>51</v>
      </c>
      <c r="F3391" s="10">
        <v>4600</v>
      </c>
      <c r="G3391" s="10">
        <v>0</v>
      </c>
      <c r="H3391" s="10">
        <f t="shared" si="52"/>
        <v>4600</v>
      </c>
      <c r="I3391" s="10"/>
      <c r="J3391" s="10"/>
      <c r="K3391" s="10"/>
      <c r="L3391" s="4" t="s">
        <v>69</v>
      </c>
      <c r="M3391" s="4">
        <v>3386</v>
      </c>
    </row>
    <row r="3392" spans="1:13" x14ac:dyDescent="0.25">
      <c r="A3392" s="4" t="s">
        <v>3146</v>
      </c>
      <c r="B3392" s="4" t="s">
        <v>3147</v>
      </c>
      <c r="C3392" s="4" t="s">
        <v>65</v>
      </c>
      <c r="D3392" s="10">
        <v>74</v>
      </c>
      <c r="E3392" s="11" t="s">
        <v>51</v>
      </c>
      <c r="F3392" s="10">
        <v>4000</v>
      </c>
      <c r="G3392" s="10">
        <v>0</v>
      </c>
      <c r="H3392" s="10">
        <f t="shared" si="52"/>
        <v>4000</v>
      </c>
      <c r="I3392" s="10"/>
      <c r="J3392" s="10"/>
      <c r="K3392" s="10"/>
      <c r="L3392" s="4" t="s">
        <v>69</v>
      </c>
      <c r="M3392" s="4">
        <v>3387</v>
      </c>
    </row>
    <row r="3393" spans="1:13" x14ac:dyDescent="0.25">
      <c r="A3393" s="4" t="s">
        <v>3148</v>
      </c>
      <c r="B3393" s="4" t="s">
        <v>3149</v>
      </c>
      <c r="C3393" s="4" t="s">
        <v>68</v>
      </c>
      <c r="D3393" s="10">
        <v>472</v>
      </c>
      <c r="E3393" s="11" t="s">
        <v>51</v>
      </c>
      <c r="F3393" s="10">
        <v>1200</v>
      </c>
      <c r="G3393" s="10">
        <v>0</v>
      </c>
      <c r="H3393" s="10">
        <f t="shared" si="52"/>
        <v>1200</v>
      </c>
      <c r="I3393" s="10"/>
      <c r="J3393" s="10"/>
      <c r="K3393" s="10"/>
      <c r="L3393" s="4" t="s">
        <v>69</v>
      </c>
      <c r="M3393" s="4">
        <v>3388</v>
      </c>
    </row>
    <row r="3394" spans="1:13" x14ac:dyDescent="0.25">
      <c r="A3394" s="4" t="s">
        <v>3150</v>
      </c>
      <c r="B3394" s="4" t="s">
        <v>3151</v>
      </c>
      <c r="C3394" s="4" t="s">
        <v>65</v>
      </c>
      <c r="D3394" s="10">
        <v>11</v>
      </c>
      <c r="E3394" s="12" t="s">
        <v>66</v>
      </c>
      <c r="F3394" s="10">
        <v>1500</v>
      </c>
      <c r="G3394" s="10">
        <v>0</v>
      </c>
      <c r="H3394" s="10">
        <f t="shared" si="52"/>
        <v>1500</v>
      </c>
      <c r="I3394" s="10">
        <v>136.3636363636364</v>
      </c>
      <c r="J3394" s="10">
        <v>136.3636363636364</v>
      </c>
      <c r="K3394" s="10">
        <v>136.3636363636364</v>
      </c>
      <c r="L3394" s="4"/>
      <c r="M3394" s="4">
        <v>3389</v>
      </c>
    </row>
    <row r="3395" spans="1:13" x14ac:dyDescent="0.25">
      <c r="A3395" s="4" t="s">
        <v>3150</v>
      </c>
      <c r="B3395" s="4" t="s">
        <v>3152</v>
      </c>
      <c r="C3395" s="4" t="s">
        <v>65</v>
      </c>
      <c r="D3395" s="10">
        <v>262</v>
      </c>
      <c r="E3395" s="12" t="s">
        <v>66</v>
      </c>
      <c r="F3395" s="10">
        <v>35000</v>
      </c>
      <c r="G3395" s="10">
        <v>0</v>
      </c>
      <c r="H3395" s="10">
        <f t="shared" si="52"/>
        <v>35000</v>
      </c>
      <c r="I3395" s="10">
        <v>133.58778625954201</v>
      </c>
      <c r="J3395" s="10">
        <v>133.58778625954201</v>
      </c>
      <c r="K3395" s="10">
        <v>133.58778625954201</v>
      </c>
      <c r="L3395" s="4"/>
      <c r="M3395" s="4">
        <v>3390</v>
      </c>
    </row>
    <row r="3396" spans="1:13" x14ac:dyDescent="0.25">
      <c r="A3396" s="4" t="s">
        <v>3150</v>
      </c>
      <c r="B3396" s="4" t="s">
        <v>3153</v>
      </c>
      <c r="C3396" s="4" t="s">
        <v>65</v>
      </c>
      <c r="D3396" s="10">
        <v>187</v>
      </c>
      <c r="E3396" s="12" t="s">
        <v>66</v>
      </c>
      <c r="F3396" s="10">
        <v>25000</v>
      </c>
      <c r="G3396" s="10">
        <v>0</v>
      </c>
      <c r="H3396" s="10">
        <f t="shared" si="52"/>
        <v>25000</v>
      </c>
      <c r="I3396" s="10">
        <v>133.68983957219251</v>
      </c>
      <c r="J3396" s="10">
        <v>133.68983957219251</v>
      </c>
      <c r="K3396" s="10">
        <v>133.68983957219251</v>
      </c>
      <c r="L3396" s="4"/>
      <c r="M3396" s="4">
        <v>3391</v>
      </c>
    </row>
    <row r="3397" spans="1:13" x14ac:dyDescent="0.25">
      <c r="A3397" s="4" t="s">
        <v>3154</v>
      </c>
      <c r="B3397" s="4" t="s">
        <v>3155</v>
      </c>
      <c r="C3397" s="4" t="s">
        <v>65</v>
      </c>
      <c r="D3397" s="10">
        <v>69.5</v>
      </c>
      <c r="E3397" s="11" t="s">
        <v>51</v>
      </c>
      <c r="F3397" s="10">
        <v>85000</v>
      </c>
      <c r="G3397" s="10">
        <v>0</v>
      </c>
      <c r="H3397" s="10">
        <f t="shared" si="52"/>
        <v>85000</v>
      </c>
      <c r="I3397" s="10"/>
      <c r="J3397" s="10"/>
      <c r="K3397" s="10"/>
      <c r="L3397" s="4" t="s">
        <v>69</v>
      </c>
      <c r="M3397" s="4">
        <v>3392</v>
      </c>
    </row>
    <row r="3398" spans="1:13" x14ac:dyDescent="0.25">
      <c r="A3398" s="4" t="s">
        <v>3156</v>
      </c>
      <c r="B3398" s="4" t="s">
        <v>3157</v>
      </c>
      <c r="C3398" s="9" t="s">
        <v>50</v>
      </c>
      <c r="D3398" s="10">
        <v>11.5</v>
      </c>
      <c r="E3398" s="11" t="s">
        <v>51</v>
      </c>
      <c r="F3398" s="10">
        <v>1200</v>
      </c>
      <c r="G3398" s="10">
        <v>0</v>
      </c>
      <c r="H3398" s="10">
        <f t="shared" ref="H3398:H3461" si="53">F3398-G3398</f>
        <v>1200</v>
      </c>
      <c r="I3398" s="10"/>
      <c r="J3398" s="10"/>
      <c r="K3398" s="10"/>
      <c r="L3398" s="4" t="s">
        <v>52</v>
      </c>
      <c r="M3398" s="4">
        <v>3393</v>
      </c>
    </row>
    <row r="3399" spans="1:13" x14ac:dyDescent="0.25">
      <c r="A3399" s="4" t="s">
        <v>3156</v>
      </c>
      <c r="B3399" s="4" t="s">
        <v>2283</v>
      </c>
      <c r="C3399" s="9" t="s">
        <v>50</v>
      </c>
      <c r="D3399" s="10">
        <v>76</v>
      </c>
      <c r="E3399" s="11" t="s">
        <v>51</v>
      </c>
      <c r="F3399" s="10">
        <v>6500</v>
      </c>
      <c r="G3399" s="10">
        <v>0</v>
      </c>
      <c r="H3399" s="10">
        <f t="shared" si="53"/>
        <v>6500</v>
      </c>
      <c r="I3399" s="10"/>
      <c r="J3399" s="10"/>
      <c r="K3399" s="10"/>
      <c r="L3399" s="4" t="s">
        <v>52</v>
      </c>
      <c r="M3399" s="4">
        <v>3394</v>
      </c>
    </row>
    <row r="3400" spans="1:13" x14ac:dyDescent="0.25">
      <c r="A3400" s="4" t="s">
        <v>3158</v>
      </c>
      <c r="B3400" s="4" t="s">
        <v>3159</v>
      </c>
      <c r="C3400" s="4" t="s">
        <v>65</v>
      </c>
      <c r="D3400" s="10">
        <v>11</v>
      </c>
      <c r="E3400" s="12" t="s">
        <v>66</v>
      </c>
      <c r="F3400" s="10">
        <v>900</v>
      </c>
      <c r="G3400" s="10">
        <v>0</v>
      </c>
      <c r="H3400" s="10">
        <f t="shared" si="53"/>
        <v>900</v>
      </c>
      <c r="I3400" s="10">
        <v>81.818181818181813</v>
      </c>
      <c r="J3400" s="10">
        <v>81.818181818181813</v>
      </c>
      <c r="K3400" s="10">
        <v>81.818181818181813</v>
      </c>
      <c r="L3400" s="4"/>
      <c r="M3400" s="4">
        <v>3395</v>
      </c>
    </row>
    <row r="3401" spans="1:13" x14ac:dyDescent="0.25">
      <c r="A3401" s="4" t="s">
        <v>3158</v>
      </c>
      <c r="B3401" s="4" t="s">
        <v>3160</v>
      </c>
      <c r="C3401" s="4" t="s">
        <v>65</v>
      </c>
      <c r="D3401" s="10">
        <v>7</v>
      </c>
      <c r="E3401" s="12" t="s">
        <v>66</v>
      </c>
      <c r="F3401" s="10">
        <v>350</v>
      </c>
      <c r="G3401" s="10">
        <v>0</v>
      </c>
      <c r="H3401" s="10">
        <f t="shared" si="53"/>
        <v>350</v>
      </c>
      <c r="I3401" s="10">
        <v>87.5</v>
      </c>
      <c r="J3401" s="10">
        <v>87.5</v>
      </c>
      <c r="K3401" s="10">
        <v>87.5</v>
      </c>
      <c r="L3401" s="4"/>
      <c r="M3401" s="4">
        <v>3396</v>
      </c>
    </row>
    <row r="3402" spans="1:13" x14ac:dyDescent="0.25">
      <c r="A3402" s="4" t="s">
        <v>3158</v>
      </c>
      <c r="B3402" s="4" t="s">
        <v>3161</v>
      </c>
      <c r="C3402" s="4" t="s">
        <v>68</v>
      </c>
      <c r="D3402" s="10">
        <v>88</v>
      </c>
      <c r="E3402" s="11" t="s">
        <v>51</v>
      </c>
      <c r="F3402" s="10">
        <v>210</v>
      </c>
      <c r="G3402" s="10">
        <v>0</v>
      </c>
      <c r="H3402" s="10">
        <f t="shared" si="53"/>
        <v>210</v>
      </c>
      <c r="I3402" s="10"/>
      <c r="J3402" s="10"/>
      <c r="K3402" s="10"/>
      <c r="L3402" s="4" t="s">
        <v>69</v>
      </c>
      <c r="M3402" s="4">
        <v>3397</v>
      </c>
    </row>
    <row r="3403" spans="1:13" x14ac:dyDescent="0.25">
      <c r="A3403" s="4" t="s">
        <v>3162</v>
      </c>
      <c r="B3403" s="4" t="s">
        <v>3163</v>
      </c>
      <c r="C3403" s="4" t="s">
        <v>68</v>
      </c>
      <c r="D3403" s="10">
        <v>15</v>
      </c>
      <c r="E3403" s="11" t="s">
        <v>51</v>
      </c>
      <c r="F3403" s="10">
        <v>1425</v>
      </c>
      <c r="G3403" s="10">
        <v>0</v>
      </c>
      <c r="H3403" s="10">
        <f t="shared" si="53"/>
        <v>1425</v>
      </c>
      <c r="I3403" s="10"/>
      <c r="J3403" s="10"/>
      <c r="K3403" s="10"/>
      <c r="L3403" s="4" t="s">
        <v>69</v>
      </c>
      <c r="M3403" s="4">
        <v>3398</v>
      </c>
    </row>
    <row r="3404" spans="1:13" x14ac:dyDescent="0.25">
      <c r="A3404" s="4" t="s">
        <v>3162</v>
      </c>
      <c r="B3404" s="4" t="s">
        <v>3164</v>
      </c>
      <c r="C3404" s="9" t="s">
        <v>50</v>
      </c>
      <c r="D3404" s="10">
        <v>170</v>
      </c>
      <c r="E3404" s="11" t="s">
        <v>51</v>
      </c>
      <c r="F3404" s="10">
        <v>8000</v>
      </c>
      <c r="G3404" s="10">
        <v>0</v>
      </c>
      <c r="H3404" s="10">
        <f t="shared" si="53"/>
        <v>8000</v>
      </c>
      <c r="I3404" s="10"/>
      <c r="J3404" s="10"/>
      <c r="K3404" s="10"/>
      <c r="L3404" s="4" t="s">
        <v>52</v>
      </c>
      <c r="M3404" s="4">
        <v>3399</v>
      </c>
    </row>
    <row r="3405" spans="1:13" x14ac:dyDescent="0.25">
      <c r="A3405" s="4" t="s">
        <v>3165</v>
      </c>
      <c r="B3405" s="4" t="s">
        <v>3166</v>
      </c>
      <c r="C3405" s="4" t="s">
        <v>65</v>
      </c>
      <c r="D3405" s="10">
        <v>90</v>
      </c>
      <c r="E3405" s="12" t="s">
        <v>66</v>
      </c>
      <c r="F3405" s="10">
        <v>6100</v>
      </c>
      <c r="G3405" s="10">
        <v>0</v>
      </c>
      <c r="H3405" s="10">
        <f t="shared" si="53"/>
        <v>6100</v>
      </c>
      <c r="I3405" s="10">
        <v>67.777777777777771</v>
      </c>
      <c r="J3405" s="10">
        <v>67.777777777777771</v>
      </c>
      <c r="K3405" s="10">
        <v>67.777777777777771</v>
      </c>
      <c r="L3405" s="4"/>
      <c r="M3405" s="4">
        <v>3400</v>
      </c>
    </row>
    <row r="3406" spans="1:13" x14ac:dyDescent="0.25">
      <c r="A3406" s="4" t="s">
        <v>3165</v>
      </c>
      <c r="B3406" s="4" t="s">
        <v>3167</v>
      </c>
      <c r="C3406" s="4" t="s">
        <v>65</v>
      </c>
      <c r="D3406" s="10">
        <v>172</v>
      </c>
      <c r="E3406" s="12" t="s">
        <v>66</v>
      </c>
      <c r="F3406" s="10">
        <v>600</v>
      </c>
      <c r="G3406" s="10">
        <v>0</v>
      </c>
      <c r="H3406" s="10">
        <f t="shared" si="53"/>
        <v>600</v>
      </c>
      <c r="I3406" s="10">
        <v>85.714285714285708</v>
      </c>
      <c r="J3406" s="10">
        <v>85.714285714285708</v>
      </c>
      <c r="K3406" s="10">
        <v>85.714285714285708</v>
      </c>
      <c r="L3406" s="4"/>
      <c r="M3406" s="4">
        <v>3401</v>
      </c>
    </row>
    <row r="3407" spans="1:13" x14ac:dyDescent="0.25">
      <c r="A3407" s="4" t="s">
        <v>3168</v>
      </c>
      <c r="B3407" s="4" t="s">
        <v>3166</v>
      </c>
      <c r="C3407" s="4" t="s">
        <v>65</v>
      </c>
      <c r="D3407" s="10">
        <v>217</v>
      </c>
      <c r="E3407" s="12" t="s">
        <v>66</v>
      </c>
      <c r="F3407" s="10">
        <v>13320</v>
      </c>
      <c r="G3407" s="10">
        <v>0</v>
      </c>
      <c r="H3407" s="10">
        <f t="shared" si="53"/>
        <v>13320</v>
      </c>
      <c r="I3407" s="10">
        <v>80.727272727272734</v>
      </c>
      <c r="J3407" s="10">
        <v>80.727272727272734</v>
      </c>
      <c r="K3407" s="10">
        <v>80.727272727272734</v>
      </c>
      <c r="L3407" s="4"/>
      <c r="M3407" s="4">
        <v>3402</v>
      </c>
    </row>
    <row r="3408" spans="1:13" x14ac:dyDescent="0.25">
      <c r="A3408" s="4" t="s">
        <v>3169</v>
      </c>
      <c r="B3408" s="4" t="s">
        <v>3170</v>
      </c>
      <c r="C3408" s="9" t="s">
        <v>50</v>
      </c>
      <c r="D3408" s="10">
        <v>20</v>
      </c>
      <c r="E3408" s="11" t="s">
        <v>51</v>
      </c>
      <c r="F3408" s="10">
        <v>2300</v>
      </c>
      <c r="G3408" s="10">
        <v>0</v>
      </c>
      <c r="H3408" s="10">
        <f t="shared" si="53"/>
        <v>2300</v>
      </c>
      <c r="I3408" s="10"/>
      <c r="J3408" s="10"/>
      <c r="K3408" s="10"/>
      <c r="L3408" s="4" t="s">
        <v>52</v>
      </c>
      <c r="M3408" s="4">
        <v>3403</v>
      </c>
    </row>
    <row r="3409" spans="1:13" x14ac:dyDescent="0.25">
      <c r="A3409" s="4" t="s">
        <v>3169</v>
      </c>
      <c r="B3409" s="4" t="s">
        <v>3171</v>
      </c>
      <c r="C3409" s="4" t="s">
        <v>68</v>
      </c>
      <c r="D3409" s="10">
        <v>8</v>
      </c>
      <c r="E3409" s="11" t="s">
        <v>51</v>
      </c>
      <c r="F3409" s="10">
        <v>800</v>
      </c>
      <c r="G3409" s="10">
        <v>0</v>
      </c>
      <c r="H3409" s="10">
        <f t="shared" si="53"/>
        <v>800</v>
      </c>
      <c r="I3409" s="10"/>
      <c r="J3409" s="10"/>
      <c r="K3409" s="10"/>
      <c r="L3409" s="4" t="s">
        <v>69</v>
      </c>
      <c r="M3409" s="4">
        <v>3404</v>
      </c>
    </row>
    <row r="3410" spans="1:13" x14ac:dyDescent="0.25">
      <c r="A3410" s="4" t="s">
        <v>3169</v>
      </c>
      <c r="B3410" s="4" t="s">
        <v>3172</v>
      </c>
      <c r="C3410" s="4" t="s">
        <v>68</v>
      </c>
      <c r="D3410" s="10">
        <v>8</v>
      </c>
      <c r="E3410" s="11" t="s">
        <v>51</v>
      </c>
      <c r="F3410" s="10">
        <v>800</v>
      </c>
      <c r="G3410" s="10">
        <v>0</v>
      </c>
      <c r="H3410" s="10">
        <f t="shared" si="53"/>
        <v>800</v>
      </c>
      <c r="I3410" s="10"/>
      <c r="J3410" s="10"/>
      <c r="K3410" s="10"/>
      <c r="L3410" s="4" t="s">
        <v>69</v>
      </c>
      <c r="M3410" s="4">
        <v>3405</v>
      </c>
    </row>
    <row r="3411" spans="1:13" x14ac:dyDescent="0.25">
      <c r="A3411" s="4" t="s">
        <v>3169</v>
      </c>
      <c r="B3411" s="4" t="s">
        <v>3173</v>
      </c>
      <c r="C3411" s="9" t="s">
        <v>50</v>
      </c>
      <c r="D3411" s="10">
        <v>264</v>
      </c>
      <c r="E3411" s="11" t="s">
        <v>51</v>
      </c>
      <c r="F3411" s="10">
        <v>1600</v>
      </c>
      <c r="G3411" s="10">
        <v>0</v>
      </c>
      <c r="H3411" s="10">
        <f t="shared" si="53"/>
        <v>1600</v>
      </c>
      <c r="I3411" s="10"/>
      <c r="J3411" s="10"/>
      <c r="K3411" s="10"/>
      <c r="L3411" s="4" t="s">
        <v>52</v>
      </c>
      <c r="M3411" s="4">
        <v>3406</v>
      </c>
    </row>
    <row r="3412" spans="1:13" x14ac:dyDescent="0.25">
      <c r="A3412" s="4" t="s">
        <v>3174</v>
      </c>
      <c r="B3412" s="4" t="s">
        <v>3175</v>
      </c>
      <c r="C3412" s="9" t="s">
        <v>50</v>
      </c>
      <c r="D3412" s="10">
        <v>2.5</v>
      </c>
      <c r="E3412" s="11" t="s">
        <v>51</v>
      </c>
      <c r="F3412" s="10">
        <v>300</v>
      </c>
      <c r="G3412" s="10">
        <v>0</v>
      </c>
      <c r="H3412" s="10">
        <f t="shared" si="53"/>
        <v>300</v>
      </c>
      <c r="I3412" s="10"/>
      <c r="J3412" s="10"/>
      <c r="K3412" s="10"/>
      <c r="L3412" s="4" t="s">
        <v>52</v>
      </c>
      <c r="M3412" s="4">
        <v>3407</v>
      </c>
    </row>
    <row r="3413" spans="1:13" x14ac:dyDescent="0.25">
      <c r="A3413" s="4" t="s">
        <v>3174</v>
      </c>
      <c r="B3413" s="4" t="s">
        <v>3176</v>
      </c>
      <c r="C3413" s="9" t="s">
        <v>50</v>
      </c>
      <c r="D3413" s="10">
        <v>40</v>
      </c>
      <c r="E3413" s="11" t="s">
        <v>51</v>
      </c>
      <c r="F3413" s="10">
        <v>4800</v>
      </c>
      <c r="G3413" s="10">
        <v>0</v>
      </c>
      <c r="H3413" s="10">
        <f t="shared" si="53"/>
        <v>4800</v>
      </c>
      <c r="I3413" s="10"/>
      <c r="J3413" s="10"/>
      <c r="K3413" s="10"/>
      <c r="L3413" s="4" t="s">
        <v>52</v>
      </c>
      <c r="M3413" s="4">
        <v>3408</v>
      </c>
    </row>
    <row r="3414" spans="1:13" x14ac:dyDescent="0.25">
      <c r="A3414" s="4" t="s">
        <v>3174</v>
      </c>
      <c r="B3414" s="4" t="s">
        <v>3177</v>
      </c>
      <c r="C3414" s="9" t="s">
        <v>50</v>
      </c>
      <c r="D3414" s="10">
        <v>50</v>
      </c>
      <c r="E3414" s="11" t="s">
        <v>51</v>
      </c>
      <c r="F3414" s="10">
        <v>6050</v>
      </c>
      <c r="G3414" s="10">
        <v>0</v>
      </c>
      <c r="H3414" s="10">
        <f t="shared" si="53"/>
        <v>6050</v>
      </c>
      <c r="I3414" s="10"/>
      <c r="J3414" s="10"/>
      <c r="K3414" s="10"/>
      <c r="L3414" s="4" t="s">
        <v>52</v>
      </c>
      <c r="M3414" s="4">
        <v>3409</v>
      </c>
    </row>
    <row r="3415" spans="1:13" x14ac:dyDescent="0.25">
      <c r="A3415" s="4" t="s">
        <v>3174</v>
      </c>
      <c r="B3415" s="4" t="s">
        <v>3178</v>
      </c>
      <c r="C3415" s="9" t="s">
        <v>50</v>
      </c>
      <c r="D3415" s="10">
        <v>40</v>
      </c>
      <c r="E3415" s="11" t="s">
        <v>51</v>
      </c>
      <c r="F3415" s="10">
        <v>4800</v>
      </c>
      <c r="G3415" s="10">
        <v>0</v>
      </c>
      <c r="H3415" s="10">
        <f t="shared" si="53"/>
        <v>4800</v>
      </c>
      <c r="I3415" s="10"/>
      <c r="J3415" s="10"/>
      <c r="K3415" s="10"/>
      <c r="L3415" s="4" t="s">
        <v>52</v>
      </c>
      <c r="M3415" s="4">
        <v>3410</v>
      </c>
    </row>
    <row r="3416" spans="1:13" x14ac:dyDescent="0.25">
      <c r="A3416" s="4" t="s">
        <v>3174</v>
      </c>
      <c r="B3416" s="4" t="s">
        <v>3179</v>
      </c>
      <c r="C3416" s="9" t="s">
        <v>50</v>
      </c>
      <c r="D3416" s="10">
        <v>47.5</v>
      </c>
      <c r="E3416" s="11" t="s">
        <v>51</v>
      </c>
      <c r="F3416" s="10">
        <v>5750</v>
      </c>
      <c r="G3416" s="10">
        <v>0</v>
      </c>
      <c r="H3416" s="10">
        <f t="shared" si="53"/>
        <v>5750</v>
      </c>
      <c r="I3416" s="10"/>
      <c r="J3416" s="10"/>
      <c r="K3416" s="10"/>
      <c r="L3416" s="4" t="s">
        <v>52</v>
      </c>
      <c r="M3416" s="4">
        <v>3411</v>
      </c>
    </row>
    <row r="3417" spans="1:13" x14ac:dyDescent="0.25">
      <c r="A3417" s="4" t="s">
        <v>3174</v>
      </c>
      <c r="B3417" s="4" t="s">
        <v>3180</v>
      </c>
      <c r="C3417" s="9" t="s">
        <v>50</v>
      </c>
      <c r="D3417" s="10">
        <v>833</v>
      </c>
      <c r="E3417" s="11" t="s">
        <v>51</v>
      </c>
      <c r="F3417" s="10">
        <v>10200</v>
      </c>
      <c r="G3417" s="10">
        <v>0</v>
      </c>
      <c r="H3417" s="10">
        <f t="shared" si="53"/>
        <v>10200</v>
      </c>
      <c r="I3417" s="10"/>
      <c r="J3417" s="10"/>
      <c r="K3417" s="10"/>
      <c r="L3417" s="4" t="s">
        <v>52</v>
      </c>
      <c r="M3417" s="4">
        <v>3412</v>
      </c>
    </row>
    <row r="3418" spans="1:13" x14ac:dyDescent="0.25">
      <c r="A3418" s="4" t="s">
        <v>3181</v>
      </c>
      <c r="B3418" s="4" t="s">
        <v>3182</v>
      </c>
      <c r="C3418" s="9" t="s">
        <v>50</v>
      </c>
      <c r="D3418" s="10"/>
      <c r="E3418" s="11" t="s">
        <v>51</v>
      </c>
      <c r="F3418" s="10"/>
      <c r="G3418" s="10">
        <v>0</v>
      </c>
      <c r="H3418" s="10">
        <f t="shared" si="53"/>
        <v>0</v>
      </c>
      <c r="I3418" s="10"/>
      <c r="J3418" s="10"/>
      <c r="K3418" s="10"/>
      <c r="L3418" s="4" t="s">
        <v>52</v>
      </c>
      <c r="M3418" s="4">
        <v>3413</v>
      </c>
    </row>
    <row r="3419" spans="1:13" x14ac:dyDescent="0.25">
      <c r="A3419" s="4" t="s">
        <v>3181</v>
      </c>
      <c r="B3419" s="4" t="s">
        <v>3183</v>
      </c>
      <c r="C3419" s="9" t="s">
        <v>50</v>
      </c>
      <c r="D3419" s="10"/>
      <c r="E3419" s="11" t="s">
        <v>51</v>
      </c>
      <c r="F3419" s="10"/>
      <c r="G3419" s="10">
        <v>0</v>
      </c>
      <c r="H3419" s="10">
        <f t="shared" si="53"/>
        <v>0</v>
      </c>
      <c r="I3419" s="10"/>
      <c r="J3419" s="10"/>
      <c r="K3419" s="10"/>
      <c r="L3419" s="4" t="s">
        <v>52</v>
      </c>
      <c r="M3419" s="4">
        <v>3414</v>
      </c>
    </row>
    <row r="3420" spans="1:13" x14ac:dyDescent="0.25">
      <c r="A3420" s="4" t="s">
        <v>3181</v>
      </c>
      <c r="B3420" s="4" t="s">
        <v>3184</v>
      </c>
      <c r="C3420" s="4" t="s">
        <v>65</v>
      </c>
      <c r="D3420" s="10">
        <v>4.5</v>
      </c>
      <c r="E3420" s="12" t="s">
        <v>66</v>
      </c>
      <c r="F3420" s="10">
        <v>500</v>
      </c>
      <c r="G3420" s="10">
        <v>0</v>
      </c>
      <c r="H3420" s="10">
        <f t="shared" si="53"/>
        <v>500</v>
      </c>
      <c r="I3420" s="10">
        <v>111.1111111111111</v>
      </c>
      <c r="J3420" s="10">
        <v>111.1111111111111</v>
      </c>
      <c r="K3420" s="10">
        <v>111.1111111111111</v>
      </c>
      <c r="L3420" s="4"/>
      <c r="M3420" s="4">
        <v>3415</v>
      </c>
    </row>
    <row r="3421" spans="1:13" x14ac:dyDescent="0.25">
      <c r="A3421" s="4" t="s">
        <v>3181</v>
      </c>
      <c r="B3421" s="4" t="s">
        <v>3185</v>
      </c>
      <c r="C3421" s="9" t="s">
        <v>50</v>
      </c>
      <c r="D3421" s="10"/>
      <c r="E3421" s="11" t="s">
        <v>51</v>
      </c>
      <c r="F3421" s="10"/>
      <c r="G3421" s="10">
        <v>0</v>
      </c>
      <c r="H3421" s="10">
        <f t="shared" si="53"/>
        <v>0</v>
      </c>
      <c r="I3421" s="10"/>
      <c r="J3421" s="10"/>
      <c r="K3421" s="10"/>
      <c r="L3421" s="4" t="s">
        <v>52</v>
      </c>
      <c r="M3421" s="4">
        <v>3416</v>
      </c>
    </row>
    <row r="3422" spans="1:13" x14ac:dyDescent="0.25">
      <c r="A3422" s="4" t="s">
        <v>3181</v>
      </c>
      <c r="B3422" s="4" t="s">
        <v>3186</v>
      </c>
      <c r="C3422" s="4" t="s">
        <v>65</v>
      </c>
      <c r="D3422" s="10">
        <v>27.5</v>
      </c>
      <c r="E3422" s="12" t="s">
        <v>66</v>
      </c>
      <c r="F3422" s="10">
        <v>3000</v>
      </c>
      <c r="G3422" s="10">
        <v>0</v>
      </c>
      <c r="H3422" s="10">
        <f t="shared" si="53"/>
        <v>3000</v>
      </c>
      <c r="I3422" s="10">
        <v>109.09090909090909</v>
      </c>
      <c r="J3422" s="10">
        <v>109.09090909090909</v>
      </c>
      <c r="K3422" s="10">
        <v>109.09090909090909</v>
      </c>
      <c r="L3422" s="4"/>
      <c r="M3422" s="4">
        <v>3417</v>
      </c>
    </row>
    <row r="3423" spans="1:13" x14ac:dyDescent="0.25">
      <c r="A3423" s="4" t="s">
        <v>3181</v>
      </c>
      <c r="B3423" s="4" t="s">
        <v>3187</v>
      </c>
      <c r="C3423" s="9" t="s">
        <v>50</v>
      </c>
      <c r="D3423" s="10"/>
      <c r="E3423" s="11" t="s">
        <v>51</v>
      </c>
      <c r="F3423" s="10"/>
      <c r="G3423" s="10">
        <v>0</v>
      </c>
      <c r="H3423" s="10">
        <f t="shared" si="53"/>
        <v>0</v>
      </c>
      <c r="I3423" s="10"/>
      <c r="J3423" s="10"/>
      <c r="K3423" s="10"/>
      <c r="L3423" s="4" t="s">
        <v>52</v>
      </c>
      <c r="M3423" s="4">
        <v>3418</v>
      </c>
    </row>
    <row r="3424" spans="1:13" x14ac:dyDescent="0.25">
      <c r="A3424" s="4" t="s">
        <v>3181</v>
      </c>
      <c r="B3424" s="4" t="s">
        <v>3188</v>
      </c>
      <c r="C3424" s="9" t="s">
        <v>50</v>
      </c>
      <c r="D3424" s="10">
        <v>60.5</v>
      </c>
      <c r="E3424" s="11" t="s">
        <v>51</v>
      </c>
      <c r="F3424" s="10"/>
      <c r="G3424" s="10">
        <v>0</v>
      </c>
      <c r="H3424" s="10">
        <f t="shared" si="53"/>
        <v>0</v>
      </c>
      <c r="I3424" s="10"/>
      <c r="J3424" s="10"/>
      <c r="K3424" s="10"/>
      <c r="L3424" s="4" t="s">
        <v>52</v>
      </c>
      <c r="M3424" s="4">
        <v>3419</v>
      </c>
    </row>
    <row r="3425" spans="1:13" x14ac:dyDescent="0.25">
      <c r="A3425" s="4" t="s">
        <v>3181</v>
      </c>
      <c r="B3425" s="4" t="s">
        <v>3189</v>
      </c>
      <c r="C3425" s="4" t="s">
        <v>65</v>
      </c>
      <c r="D3425" s="10">
        <v>89</v>
      </c>
      <c r="E3425" s="11" t="s">
        <v>51</v>
      </c>
      <c r="F3425" s="10">
        <v>4500</v>
      </c>
      <c r="G3425" s="10">
        <v>0</v>
      </c>
      <c r="H3425" s="10">
        <f t="shared" si="53"/>
        <v>4500</v>
      </c>
      <c r="I3425" s="10"/>
      <c r="J3425" s="10"/>
      <c r="K3425" s="10"/>
      <c r="L3425" s="4" t="s">
        <v>69</v>
      </c>
      <c r="M3425" s="4">
        <v>3420</v>
      </c>
    </row>
    <row r="3426" spans="1:13" x14ac:dyDescent="0.25">
      <c r="A3426" s="4" t="s">
        <v>3181</v>
      </c>
      <c r="B3426" s="4" t="s">
        <v>3190</v>
      </c>
      <c r="C3426" s="4" t="s">
        <v>65</v>
      </c>
      <c r="D3426" s="10"/>
      <c r="E3426" s="11" t="s">
        <v>51</v>
      </c>
      <c r="F3426" s="10">
        <v>6000</v>
      </c>
      <c r="G3426" s="10">
        <v>0</v>
      </c>
      <c r="H3426" s="10">
        <f t="shared" si="53"/>
        <v>6000</v>
      </c>
      <c r="I3426" s="10"/>
      <c r="J3426" s="10"/>
      <c r="K3426" s="10"/>
      <c r="L3426" s="4" t="s">
        <v>69</v>
      </c>
      <c r="M3426" s="4">
        <v>3421</v>
      </c>
    </row>
    <row r="3427" spans="1:13" x14ac:dyDescent="0.25">
      <c r="A3427" s="4" t="s">
        <v>3181</v>
      </c>
      <c r="B3427" s="4" t="s">
        <v>3191</v>
      </c>
      <c r="C3427" s="4" t="s">
        <v>65</v>
      </c>
      <c r="D3427" s="10"/>
      <c r="E3427" s="11" t="s">
        <v>51</v>
      </c>
      <c r="F3427" s="10"/>
      <c r="G3427" s="10">
        <v>0</v>
      </c>
      <c r="H3427" s="10">
        <f t="shared" si="53"/>
        <v>0</v>
      </c>
      <c r="I3427" s="10"/>
      <c r="J3427" s="10"/>
      <c r="K3427" s="10"/>
      <c r="L3427" s="4" t="s">
        <v>69</v>
      </c>
      <c r="M3427" s="4">
        <v>3422</v>
      </c>
    </row>
    <row r="3428" spans="1:13" x14ac:dyDescent="0.25">
      <c r="A3428" s="4" t="s">
        <v>3181</v>
      </c>
      <c r="B3428" s="4" t="s">
        <v>3192</v>
      </c>
      <c r="C3428" s="4" t="s">
        <v>65</v>
      </c>
      <c r="D3428" s="10"/>
      <c r="E3428" s="11" t="s">
        <v>51</v>
      </c>
      <c r="F3428" s="10">
        <v>14200</v>
      </c>
      <c r="G3428" s="10">
        <v>0</v>
      </c>
      <c r="H3428" s="10">
        <f t="shared" si="53"/>
        <v>14200</v>
      </c>
      <c r="I3428" s="10"/>
      <c r="J3428" s="10"/>
      <c r="K3428" s="10"/>
      <c r="L3428" s="4" t="s">
        <v>69</v>
      </c>
      <c r="M3428" s="4">
        <v>3423</v>
      </c>
    </row>
    <row r="3429" spans="1:13" x14ac:dyDescent="0.25">
      <c r="A3429" s="4" t="s">
        <v>3181</v>
      </c>
      <c r="B3429" s="4" t="s">
        <v>3193</v>
      </c>
      <c r="C3429" s="9" t="s">
        <v>50</v>
      </c>
      <c r="D3429" s="10">
        <v>103</v>
      </c>
      <c r="E3429" s="11" t="s">
        <v>51</v>
      </c>
      <c r="F3429" s="10"/>
      <c r="G3429" s="10">
        <v>0</v>
      </c>
      <c r="H3429" s="10">
        <f t="shared" si="53"/>
        <v>0</v>
      </c>
      <c r="I3429" s="10"/>
      <c r="J3429" s="10"/>
      <c r="K3429" s="10"/>
      <c r="L3429" s="4" t="s">
        <v>52</v>
      </c>
      <c r="M3429" s="4">
        <v>3424</v>
      </c>
    </row>
    <row r="3430" spans="1:13" x14ac:dyDescent="0.25">
      <c r="A3430" s="4" t="s">
        <v>3181</v>
      </c>
      <c r="B3430" s="4" t="s">
        <v>3194</v>
      </c>
      <c r="C3430" s="9" t="s">
        <v>50</v>
      </c>
      <c r="D3430" s="10">
        <v>240</v>
      </c>
      <c r="E3430" s="11" t="s">
        <v>51</v>
      </c>
      <c r="F3430" s="10">
        <v>15850</v>
      </c>
      <c r="G3430" s="10">
        <v>0</v>
      </c>
      <c r="H3430" s="10">
        <f t="shared" si="53"/>
        <v>15850</v>
      </c>
      <c r="I3430" s="10"/>
      <c r="J3430" s="10"/>
      <c r="K3430" s="10"/>
      <c r="L3430" s="4" t="s">
        <v>52</v>
      </c>
      <c r="M3430" s="4">
        <v>3425</v>
      </c>
    </row>
    <row r="3431" spans="1:13" x14ac:dyDescent="0.25">
      <c r="A3431" s="4" t="s">
        <v>3195</v>
      </c>
      <c r="B3431" s="4" t="s">
        <v>470</v>
      </c>
      <c r="C3431" s="4" t="s">
        <v>68</v>
      </c>
      <c r="D3431" s="10">
        <v>10</v>
      </c>
      <c r="E3431" s="11" t="s">
        <v>51</v>
      </c>
      <c r="F3431" s="10"/>
      <c r="G3431" s="10">
        <v>0</v>
      </c>
      <c r="H3431" s="10">
        <f t="shared" si="53"/>
        <v>0</v>
      </c>
      <c r="I3431" s="10"/>
      <c r="J3431" s="10"/>
      <c r="K3431" s="10"/>
      <c r="L3431" s="4" t="s">
        <v>69</v>
      </c>
      <c r="M3431" s="4">
        <v>3426</v>
      </c>
    </row>
    <row r="3432" spans="1:13" x14ac:dyDescent="0.25">
      <c r="A3432" s="4" t="s">
        <v>3195</v>
      </c>
      <c r="B3432" s="4" t="s">
        <v>3196</v>
      </c>
      <c r="C3432" s="4" t="s">
        <v>65</v>
      </c>
      <c r="D3432" s="10">
        <v>626</v>
      </c>
      <c r="E3432" s="11" t="s">
        <v>51</v>
      </c>
      <c r="F3432" s="10"/>
      <c r="G3432" s="10">
        <v>0</v>
      </c>
      <c r="H3432" s="10">
        <f t="shared" si="53"/>
        <v>0</v>
      </c>
      <c r="I3432" s="10"/>
      <c r="J3432" s="10"/>
      <c r="K3432" s="10"/>
      <c r="L3432" s="4" t="s">
        <v>69</v>
      </c>
      <c r="M3432" s="4">
        <v>3427</v>
      </c>
    </row>
    <row r="3433" spans="1:13" x14ac:dyDescent="0.25">
      <c r="A3433" s="4" t="s">
        <v>3197</v>
      </c>
      <c r="B3433" s="4" t="s">
        <v>3198</v>
      </c>
      <c r="C3433" s="9" t="s">
        <v>50</v>
      </c>
      <c r="D3433" s="10">
        <v>500</v>
      </c>
      <c r="E3433" s="11" t="s">
        <v>51</v>
      </c>
      <c r="F3433" s="10">
        <v>57500</v>
      </c>
      <c r="G3433" s="10">
        <v>0</v>
      </c>
      <c r="H3433" s="10">
        <f t="shared" si="53"/>
        <v>57500</v>
      </c>
      <c r="I3433" s="10"/>
      <c r="J3433" s="10"/>
      <c r="K3433" s="10"/>
      <c r="L3433" s="4" t="s">
        <v>52</v>
      </c>
      <c r="M3433" s="4">
        <v>3428</v>
      </c>
    </row>
    <row r="3434" spans="1:13" x14ac:dyDescent="0.25">
      <c r="A3434" s="4" t="s">
        <v>3197</v>
      </c>
      <c r="B3434" s="4" t="s">
        <v>3199</v>
      </c>
      <c r="C3434" s="4" t="s">
        <v>68</v>
      </c>
      <c r="D3434" s="10">
        <v>60</v>
      </c>
      <c r="E3434" s="11" t="s">
        <v>51</v>
      </c>
      <c r="F3434" s="10">
        <v>6000</v>
      </c>
      <c r="G3434" s="10">
        <v>0</v>
      </c>
      <c r="H3434" s="10">
        <f t="shared" si="53"/>
        <v>6000</v>
      </c>
      <c r="I3434" s="10"/>
      <c r="J3434" s="10"/>
      <c r="K3434" s="10"/>
      <c r="L3434" s="4" t="s">
        <v>69</v>
      </c>
      <c r="M3434" s="4">
        <v>3429</v>
      </c>
    </row>
    <row r="3435" spans="1:13" x14ac:dyDescent="0.25">
      <c r="A3435" s="4" t="s">
        <v>3197</v>
      </c>
      <c r="B3435" s="4" t="s">
        <v>3200</v>
      </c>
      <c r="C3435" s="9" t="s">
        <v>50</v>
      </c>
      <c r="D3435" s="10">
        <v>9</v>
      </c>
      <c r="E3435" s="11" t="s">
        <v>51</v>
      </c>
      <c r="F3435" s="10">
        <v>1000</v>
      </c>
      <c r="G3435" s="10">
        <v>0</v>
      </c>
      <c r="H3435" s="10">
        <f t="shared" si="53"/>
        <v>1000</v>
      </c>
      <c r="I3435" s="10"/>
      <c r="J3435" s="10"/>
      <c r="K3435" s="10"/>
      <c r="L3435" s="4" t="s">
        <v>52</v>
      </c>
      <c r="M3435" s="4">
        <v>3430</v>
      </c>
    </row>
    <row r="3436" spans="1:13" x14ac:dyDescent="0.25">
      <c r="A3436" s="4" t="s">
        <v>3197</v>
      </c>
      <c r="B3436" s="4" t="s">
        <v>3201</v>
      </c>
      <c r="C3436" s="9" t="s">
        <v>50</v>
      </c>
      <c r="D3436" s="10">
        <v>25</v>
      </c>
      <c r="E3436" s="11" t="s">
        <v>51</v>
      </c>
      <c r="F3436" s="10">
        <v>2750</v>
      </c>
      <c r="G3436" s="10">
        <v>0</v>
      </c>
      <c r="H3436" s="10">
        <f t="shared" si="53"/>
        <v>2750</v>
      </c>
      <c r="I3436" s="10"/>
      <c r="J3436" s="10"/>
      <c r="K3436" s="10"/>
      <c r="L3436" s="4" t="s">
        <v>52</v>
      </c>
      <c r="M3436" s="4">
        <v>3431</v>
      </c>
    </row>
    <row r="3437" spans="1:13" x14ac:dyDescent="0.25">
      <c r="A3437" s="4" t="s">
        <v>3197</v>
      </c>
      <c r="B3437" s="4" t="s">
        <v>3202</v>
      </c>
      <c r="C3437" s="9" t="s">
        <v>50</v>
      </c>
      <c r="D3437" s="10">
        <v>392</v>
      </c>
      <c r="E3437" s="11" t="s">
        <v>51</v>
      </c>
      <c r="F3437" s="10">
        <v>3800</v>
      </c>
      <c r="G3437" s="10">
        <v>0</v>
      </c>
      <c r="H3437" s="10">
        <f t="shared" si="53"/>
        <v>3800</v>
      </c>
      <c r="I3437" s="10"/>
      <c r="J3437" s="10"/>
      <c r="K3437" s="10"/>
      <c r="L3437" s="4" t="s">
        <v>52</v>
      </c>
      <c r="M3437" s="4">
        <v>3432</v>
      </c>
    </row>
    <row r="3438" spans="1:13" x14ac:dyDescent="0.25">
      <c r="A3438" s="4" t="s">
        <v>3203</v>
      </c>
      <c r="B3438" s="4" t="s">
        <v>3204</v>
      </c>
      <c r="C3438" s="4" t="s">
        <v>68</v>
      </c>
      <c r="D3438" s="10">
        <v>144</v>
      </c>
      <c r="E3438" s="11" t="s">
        <v>51</v>
      </c>
      <c r="F3438" s="10">
        <v>14400</v>
      </c>
      <c r="G3438" s="10">
        <v>0</v>
      </c>
      <c r="H3438" s="10">
        <f t="shared" si="53"/>
        <v>14400</v>
      </c>
      <c r="I3438" s="10"/>
      <c r="J3438" s="10"/>
      <c r="K3438" s="10"/>
      <c r="L3438" s="4" t="s">
        <v>69</v>
      </c>
      <c r="M3438" s="4">
        <v>3433</v>
      </c>
    </row>
    <row r="3439" spans="1:13" x14ac:dyDescent="0.25">
      <c r="A3439" s="4" t="s">
        <v>3203</v>
      </c>
      <c r="B3439" s="4" t="s">
        <v>3205</v>
      </c>
      <c r="C3439" s="4" t="s">
        <v>68</v>
      </c>
      <c r="D3439" s="10">
        <v>72</v>
      </c>
      <c r="E3439" s="11" t="s">
        <v>51</v>
      </c>
      <c r="F3439" s="10">
        <v>7200</v>
      </c>
      <c r="G3439" s="10">
        <v>0</v>
      </c>
      <c r="H3439" s="10">
        <f t="shared" si="53"/>
        <v>7200</v>
      </c>
      <c r="I3439" s="10"/>
      <c r="J3439" s="10"/>
      <c r="K3439" s="10"/>
      <c r="L3439" s="4" t="s">
        <v>69</v>
      </c>
      <c r="M3439" s="4">
        <v>3434</v>
      </c>
    </row>
    <row r="3440" spans="1:13" x14ac:dyDescent="0.25">
      <c r="A3440" s="4" t="s">
        <v>3203</v>
      </c>
      <c r="B3440" s="4" t="s">
        <v>3206</v>
      </c>
      <c r="C3440" s="4" t="s">
        <v>68</v>
      </c>
      <c r="D3440" s="10">
        <v>72</v>
      </c>
      <c r="E3440" s="11" t="s">
        <v>51</v>
      </c>
      <c r="F3440" s="10">
        <v>7200</v>
      </c>
      <c r="G3440" s="10">
        <v>0</v>
      </c>
      <c r="H3440" s="10">
        <f t="shared" si="53"/>
        <v>7200</v>
      </c>
      <c r="I3440" s="10"/>
      <c r="J3440" s="10"/>
      <c r="K3440" s="10"/>
      <c r="L3440" s="4" t="s">
        <v>69</v>
      </c>
      <c r="M3440" s="4">
        <v>3435</v>
      </c>
    </row>
    <row r="3441" spans="1:13" x14ac:dyDescent="0.25">
      <c r="A3441" s="4" t="s">
        <v>3203</v>
      </c>
      <c r="B3441" s="4" t="s">
        <v>3207</v>
      </c>
      <c r="C3441" s="9" t="s">
        <v>50</v>
      </c>
      <c r="D3441" s="10">
        <v>182</v>
      </c>
      <c r="E3441" s="11" t="s">
        <v>51</v>
      </c>
      <c r="F3441" s="10">
        <v>7200</v>
      </c>
      <c r="G3441" s="10">
        <v>0</v>
      </c>
      <c r="H3441" s="10">
        <f t="shared" si="53"/>
        <v>7200</v>
      </c>
      <c r="I3441" s="10"/>
      <c r="J3441" s="10"/>
      <c r="K3441" s="10"/>
      <c r="L3441" s="4" t="s">
        <v>52</v>
      </c>
      <c r="M3441" s="4">
        <v>3436</v>
      </c>
    </row>
    <row r="3442" spans="1:13" x14ac:dyDescent="0.25">
      <c r="A3442" s="4" t="s">
        <v>3208</v>
      </c>
      <c r="B3442" s="4" t="s">
        <v>3209</v>
      </c>
      <c r="C3442" s="4" t="s">
        <v>65</v>
      </c>
      <c r="D3442" s="10">
        <v>35</v>
      </c>
      <c r="E3442" s="12" t="s">
        <v>66</v>
      </c>
      <c r="F3442" s="10">
        <v>3750</v>
      </c>
      <c r="G3442" s="10">
        <v>0</v>
      </c>
      <c r="H3442" s="10">
        <f t="shared" si="53"/>
        <v>3750</v>
      </c>
      <c r="I3442" s="10">
        <v>107.1428571428571</v>
      </c>
      <c r="J3442" s="10">
        <v>107.1428571428571</v>
      </c>
      <c r="K3442" s="10">
        <v>107.1428571428571</v>
      </c>
      <c r="L3442" s="4"/>
      <c r="M3442" s="4">
        <v>3437</v>
      </c>
    </row>
    <row r="3443" spans="1:13" x14ac:dyDescent="0.25">
      <c r="A3443" s="4" t="s">
        <v>3208</v>
      </c>
      <c r="B3443" s="4" t="s">
        <v>3210</v>
      </c>
      <c r="C3443" s="4" t="s">
        <v>65</v>
      </c>
      <c r="D3443" s="10">
        <v>35</v>
      </c>
      <c r="E3443" s="12" t="s">
        <v>66</v>
      </c>
      <c r="F3443" s="10">
        <v>3250</v>
      </c>
      <c r="G3443" s="10">
        <v>0</v>
      </c>
      <c r="H3443" s="10">
        <f t="shared" si="53"/>
        <v>3250</v>
      </c>
      <c r="I3443" s="10">
        <v>92.857142857142861</v>
      </c>
      <c r="J3443" s="10">
        <v>92.857142857142861</v>
      </c>
      <c r="K3443" s="10">
        <v>92.857142857142861</v>
      </c>
      <c r="L3443" s="4"/>
      <c r="M3443" s="4">
        <v>3438</v>
      </c>
    </row>
    <row r="3444" spans="1:13" x14ac:dyDescent="0.25">
      <c r="A3444" s="4" t="s">
        <v>3208</v>
      </c>
      <c r="B3444" s="4" t="s">
        <v>3211</v>
      </c>
      <c r="C3444" s="4" t="s">
        <v>65</v>
      </c>
      <c r="D3444" s="10">
        <v>21</v>
      </c>
      <c r="E3444" s="12" t="s">
        <v>66</v>
      </c>
      <c r="F3444" s="10">
        <v>1500</v>
      </c>
      <c r="G3444" s="10">
        <v>0</v>
      </c>
      <c r="H3444" s="10">
        <f t="shared" si="53"/>
        <v>1500</v>
      </c>
      <c r="I3444" s="10">
        <v>71.428571428571431</v>
      </c>
      <c r="J3444" s="10">
        <v>71.428571428571431</v>
      </c>
      <c r="K3444" s="10">
        <v>71.428571428571431</v>
      </c>
      <c r="L3444" s="4"/>
      <c r="M3444" s="4">
        <v>3439</v>
      </c>
    </row>
    <row r="3445" spans="1:13" x14ac:dyDescent="0.25">
      <c r="A3445" s="4" t="s">
        <v>3208</v>
      </c>
      <c r="B3445" s="4" t="s">
        <v>3212</v>
      </c>
      <c r="C3445" s="4" t="s">
        <v>65</v>
      </c>
      <c r="D3445" s="10">
        <v>8</v>
      </c>
      <c r="E3445" s="12" t="s">
        <v>66</v>
      </c>
      <c r="F3445" s="10">
        <v>950</v>
      </c>
      <c r="G3445" s="10">
        <v>0</v>
      </c>
      <c r="H3445" s="10">
        <f t="shared" si="53"/>
        <v>950</v>
      </c>
      <c r="I3445" s="10">
        <v>118.75</v>
      </c>
      <c r="J3445" s="10">
        <v>118.75</v>
      </c>
      <c r="K3445" s="10">
        <v>118.75</v>
      </c>
      <c r="L3445" s="4"/>
      <c r="M3445" s="4">
        <v>3440</v>
      </c>
    </row>
    <row r="3446" spans="1:13" x14ac:dyDescent="0.25">
      <c r="A3446" s="4" t="s">
        <v>3208</v>
      </c>
      <c r="B3446" s="4" t="s">
        <v>3213</v>
      </c>
      <c r="C3446" s="4" t="s">
        <v>65</v>
      </c>
      <c r="D3446" s="10">
        <v>548</v>
      </c>
      <c r="E3446" s="12" t="s">
        <v>66</v>
      </c>
      <c r="F3446" s="10">
        <v>1250</v>
      </c>
      <c r="G3446" s="10">
        <v>0</v>
      </c>
      <c r="H3446" s="10">
        <f t="shared" si="53"/>
        <v>1250</v>
      </c>
      <c r="I3446" s="10">
        <v>113.6363636363636</v>
      </c>
      <c r="J3446" s="10">
        <v>113.6363636363636</v>
      </c>
      <c r="K3446" s="10">
        <v>113.6363636363636</v>
      </c>
      <c r="L3446" s="4"/>
      <c r="M3446" s="4">
        <v>3441</v>
      </c>
    </row>
    <row r="3447" spans="1:13" x14ac:dyDescent="0.25">
      <c r="A3447" s="4" t="s">
        <v>3214</v>
      </c>
      <c r="B3447" s="4" t="s">
        <v>3215</v>
      </c>
      <c r="C3447" s="9" t="s">
        <v>50</v>
      </c>
      <c r="D3447" s="10"/>
      <c r="E3447" s="11" t="s">
        <v>51</v>
      </c>
      <c r="F3447" s="10"/>
      <c r="G3447" s="10">
        <v>0</v>
      </c>
      <c r="H3447" s="10">
        <f t="shared" si="53"/>
        <v>0</v>
      </c>
      <c r="I3447" s="10"/>
      <c r="J3447" s="10"/>
      <c r="K3447" s="10"/>
      <c r="L3447" s="4" t="s">
        <v>52</v>
      </c>
      <c r="M3447" s="4">
        <v>3442</v>
      </c>
    </row>
    <row r="3448" spans="1:13" x14ac:dyDescent="0.25">
      <c r="A3448" s="4" t="s">
        <v>3214</v>
      </c>
      <c r="B3448" s="4" t="s">
        <v>3216</v>
      </c>
      <c r="C3448" s="4" t="s">
        <v>68</v>
      </c>
      <c r="D3448" s="10">
        <v>80</v>
      </c>
      <c r="E3448" s="11" t="s">
        <v>51</v>
      </c>
      <c r="F3448" s="10">
        <v>6000</v>
      </c>
      <c r="G3448" s="10">
        <v>0</v>
      </c>
      <c r="H3448" s="10">
        <f t="shared" si="53"/>
        <v>6000</v>
      </c>
      <c r="I3448" s="10"/>
      <c r="J3448" s="10"/>
      <c r="K3448" s="10"/>
      <c r="L3448" s="4" t="s">
        <v>69</v>
      </c>
      <c r="M3448" s="4">
        <v>3443</v>
      </c>
    </row>
    <row r="3449" spans="1:13" x14ac:dyDescent="0.25">
      <c r="A3449" s="4" t="s">
        <v>3214</v>
      </c>
      <c r="B3449" s="4" t="s">
        <v>3217</v>
      </c>
      <c r="C3449" s="4" t="s">
        <v>68</v>
      </c>
      <c r="D3449" s="10">
        <v>80</v>
      </c>
      <c r="E3449" s="11" t="s">
        <v>51</v>
      </c>
      <c r="F3449" s="10">
        <v>7600</v>
      </c>
      <c r="G3449" s="10">
        <v>0</v>
      </c>
      <c r="H3449" s="10">
        <f t="shared" si="53"/>
        <v>7600</v>
      </c>
      <c r="I3449" s="10"/>
      <c r="J3449" s="10"/>
      <c r="K3449" s="10"/>
      <c r="L3449" s="4" t="s">
        <v>69</v>
      </c>
      <c r="M3449" s="4">
        <v>3444</v>
      </c>
    </row>
    <row r="3450" spans="1:13" x14ac:dyDescent="0.25">
      <c r="A3450" s="4" t="s">
        <v>3214</v>
      </c>
      <c r="B3450" s="4" t="s">
        <v>3218</v>
      </c>
      <c r="C3450" s="4" t="s">
        <v>68</v>
      </c>
      <c r="D3450" s="10">
        <v>144</v>
      </c>
      <c r="E3450" s="11" t="s">
        <v>51</v>
      </c>
      <c r="F3450" s="10">
        <v>13680</v>
      </c>
      <c r="G3450" s="10">
        <v>0</v>
      </c>
      <c r="H3450" s="10">
        <f t="shared" si="53"/>
        <v>13680</v>
      </c>
      <c r="I3450" s="10"/>
      <c r="J3450" s="10"/>
      <c r="K3450" s="10"/>
      <c r="L3450" s="4" t="s">
        <v>69</v>
      </c>
      <c r="M3450" s="4">
        <v>3445</v>
      </c>
    </row>
    <row r="3451" spans="1:13" x14ac:dyDescent="0.25">
      <c r="A3451" s="4" t="s">
        <v>3214</v>
      </c>
      <c r="B3451" s="4" t="s">
        <v>3219</v>
      </c>
      <c r="C3451" s="9" t="s">
        <v>50</v>
      </c>
      <c r="D3451" s="10"/>
      <c r="E3451" s="11" t="s">
        <v>51</v>
      </c>
      <c r="F3451" s="10"/>
      <c r="G3451" s="10">
        <v>0</v>
      </c>
      <c r="H3451" s="10">
        <f t="shared" si="53"/>
        <v>0</v>
      </c>
      <c r="I3451" s="10"/>
      <c r="J3451" s="10"/>
      <c r="K3451" s="10"/>
      <c r="L3451" s="4" t="s">
        <v>52</v>
      </c>
      <c r="M3451" s="4">
        <v>3446</v>
      </c>
    </row>
    <row r="3452" spans="1:13" x14ac:dyDescent="0.25">
      <c r="A3452" s="4" t="s">
        <v>3214</v>
      </c>
      <c r="B3452" s="4" t="s">
        <v>3220</v>
      </c>
      <c r="C3452" s="4" t="s">
        <v>65</v>
      </c>
      <c r="D3452" s="10">
        <v>154</v>
      </c>
      <c r="E3452" s="12" t="s">
        <v>66</v>
      </c>
      <c r="F3452" s="10">
        <v>9350</v>
      </c>
      <c r="G3452" s="10">
        <v>0</v>
      </c>
      <c r="H3452" s="10">
        <f t="shared" si="53"/>
        <v>9350</v>
      </c>
      <c r="I3452" s="10">
        <v>60.714285714285722</v>
      </c>
      <c r="J3452" s="10">
        <v>60.714285714285722</v>
      </c>
      <c r="K3452" s="10">
        <v>60.714285714285722</v>
      </c>
      <c r="L3452" s="4"/>
      <c r="M3452" s="4">
        <v>3447</v>
      </c>
    </row>
    <row r="3453" spans="1:13" x14ac:dyDescent="0.25">
      <c r="A3453" s="4" t="s">
        <v>3214</v>
      </c>
      <c r="B3453" s="4" t="s">
        <v>3221</v>
      </c>
      <c r="C3453" s="4" t="s">
        <v>65</v>
      </c>
      <c r="D3453" s="10">
        <v>677</v>
      </c>
      <c r="E3453" s="12" t="s">
        <v>66</v>
      </c>
      <c r="F3453" s="10">
        <v>4800</v>
      </c>
      <c r="G3453" s="10">
        <v>0</v>
      </c>
      <c r="H3453" s="10">
        <f t="shared" si="53"/>
        <v>4800</v>
      </c>
      <c r="I3453" s="10">
        <v>60.759493670886073</v>
      </c>
      <c r="J3453" s="10">
        <v>60.759493670886073</v>
      </c>
      <c r="K3453" s="10">
        <v>60.759493670886073</v>
      </c>
      <c r="L3453" s="4"/>
      <c r="M3453" s="4">
        <v>3448</v>
      </c>
    </row>
    <row r="3454" spans="1:13" x14ac:dyDescent="0.25">
      <c r="A3454" s="4" t="s">
        <v>3222</v>
      </c>
      <c r="B3454" s="4" t="s">
        <v>2742</v>
      </c>
      <c r="C3454" s="4" t="s">
        <v>65</v>
      </c>
      <c r="D3454" s="10">
        <v>5</v>
      </c>
      <c r="E3454" s="12" t="s">
        <v>66</v>
      </c>
      <c r="F3454" s="10">
        <v>500</v>
      </c>
      <c r="G3454" s="10">
        <v>0</v>
      </c>
      <c r="H3454" s="10">
        <f t="shared" si="53"/>
        <v>500</v>
      </c>
      <c r="I3454" s="10">
        <v>100</v>
      </c>
      <c r="J3454" s="10">
        <v>100</v>
      </c>
      <c r="K3454" s="10">
        <v>100</v>
      </c>
      <c r="L3454" s="4"/>
      <c r="M3454" s="4">
        <v>3449</v>
      </c>
    </row>
    <row r="3455" spans="1:13" x14ac:dyDescent="0.25">
      <c r="A3455" s="4" t="s">
        <v>3222</v>
      </c>
      <c r="B3455" s="4" t="s">
        <v>3223</v>
      </c>
      <c r="C3455" s="4" t="s">
        <v>68</v>
      </c>
      <c r="D3455" s="10">
        <v>18</v>
      </c>
      <c r="E3455" s="11" t="s">
        <v>51</v>
      </c>
      <c r="F3455" s="10">
        <v>1800</v>
      </c>
      <c r="G3455" s="10">
        <v>0</v>
      </c>
      <c r="H3455" s="10">
        <f t="shared" si="53"/>
        <v>1800</v>
      </c>
      <c r="I3455" s="10"/>
      <c r="J3455" s="10"/>
      <c r="K3455" s="10"/>
      <c r="L3455" s="4" t="s">
        <v>69</v>
      </c>
      <c r="M3455" s="4">
        <v>3450</v>
      </c>
    </row>
    <row r="3456" spans="1:13" x14ac:dyDescent="0.25">
      <c r="A3456" s="4" t="s">
        <v>3222</v>
      </c>
      <c r="B3456" s="4" t="s">
        <v>852</v>
      </c>
      <c r="C3456" s="4" t="s">
        <v>65</v>
      </c>
      <c r="D3456" s="10">
        <v>81</v>
      </c>
      <c r="E3456" s="12" t="s">
        <v>66</v>
      </c>
      <c r="F3456" s="10">
        <v>8100</v>
      </c>
      <c r="G3456" s="10">
        <v>0</v>
      </c>
      <c r="H3456" s="10">
        <f t="shared" si="53"/>
        <v>8100</v>
      </c>
      <c r="I3456" s="10">
        <v>100</v>
      </c>
      <c r="J3456" s="10">
        <v>100</v>
      </c>
      <c r="K3456" s="10">
        <v>100</v>
      </c>
      <c r="L3456" s="4"/>
      <c r="M3456" s="4">
        <v>3451</v>
      </c>
    </row>
    <row r="3457" spans="1:13" x14ac:dyDescent="0.25">
      <c r="A3457" s="4" t="s">
        <v>3222</v>
      </c>
      <c r="B3457" s="4" t="s">
        <v>3224</v>
      </c>
      <c r="C3457" s="9" t="s">
        <v>50</v>
      </c>
      <c r="D3457" s="10">
        <v>18</v>
      </c>
      <c r="E3457" s="11" t="s">
        <v>51</v>
      </c>
      <c r="F3457" s="10">
        <v>1800</v>
      </c>
      <c r="G3457" s="10">
        <v>0</v>
      </c>
      <c r="H3457" s="10">
        <f t="shared" si="53"/>
        <v>1800</v>
      </c>
      <c r="I3457" s="10"/>
      <c r="J3457" s="10"/>
      <c r="K3457" s="10"/>
      <c r="L3457" s="4" t="s">
        <v>52</v>
      </c>
      <c r="M3457" s="4">
        <v>3452</v>
      </c>
    </row>
    <row r="3458" spans="1:13" x14ac:dyDescent="0.25">
      <c r="A3458" s="4" t="s">
        <v>3222</v>
      </c>
      <c r="B3458" s="4" t="s">
        <v>853</v>
      </c>
      <c r="C3458" s="4" t="s">
        <v>65</v>
      </c>
      <c r="D3458" s="10">
        <v>90.5</v>
      </c>
      <c r="E3458" s="12" t="s">
        <v>66</v>
      </c>
      <c r="F3458" s="10">
        <v>10250</v>
      </c>
      <c r="G3458" s="10">
        <v>0</v>
      </c>
      <c r="H3458" s="10">
        <f t="shared" si="53"/>
        <v>10250</v>
      </c>
      <c r="I3458" s="10">
        <v>113.25966850828731</v>
      </c>
      <c r="J3458" s="10">
        <v>113.25966850828731</v>
      </c>
      <c r="K3458" s="10">
        <v>113.25966850828731</v>
      </c>
      <c r="L3458" s="4"/>
      <c r="M3458" s="4">
        <v>3453</v>
      </c>
    </row>
    <row r="3459" spans="1:13" x14ac:dyDescent="0.25">
      <c r="A3459" s="4" t="s">
        <v>3222</v>
      </c>
      <c r="B3459" s="4" t="s">
        <v>3225</v>
      </c>
      <c r="C3459" s="4" t="s">
        <v>65</v>
      </c>
      <c r="D3459" s="10">
        <v>12</v>
      </c>
      <c r="E3459" s="12" t="s">
        <v>66</v>
      </c>
      <c r="F3459" s="10">
        <v>1200</v>
      </c>
      <c r="G3459" s="10">
        <v>0</v>
      </c>
      <c r="H3459" s="10">
        <f t="shared" si="53"/>
        <v>1200</v>
      </c>
      <c r="I3459" s="10">
        <v>100</v>
      </c>
      <c r="J3459" s="10">
        <v>100</v>
      </c>
      <c r="K3459" s="10">
        <v>100</v>
      </c>
      <c r="L3459" s="4"/>
      <c r="M3459" s="4">
        <v>3454</v>
      </c>
    </row>
    <row r="3460" spans="1:13" x14ac:dyDescent="0.25">
      <c r="A3460" s="4" t="s">
        <v>3222</v>
      </c>
      <c r="B3460" s="4" t="s">
        <v>854</v>
      </c>
      <c r="C3460" s="4" t="s">
        <v>65</v>
      </c>
      <c r="D3460" s="10">
        <v>81</v>
      </c>
      <c r="E3460" s="12" t="s">
        <v>66</v>
      </c>
      <c r="F3460" s="10">
        <v>8100</v>
      </c>
      <c r="G3460" s="10">
        <v>0</v>
      </c>
      <c r="H3460" s="10">
        <f t="shared" si="53"/>
        <v>8100</v>
      </c>
      <c r="I3460" s="10">
        <v>100</v>
      </c>
      <c r="J3460" s="10">
        <v>100</v>
      </c>
      <c r="K3460" s="10">
        <v>100</v>
      </c>
      <c r="L3460" s="4"/>
      <c r="M3460" s="4">
        <v>3455</v>
      </c>
    </row>
    <row r="3461" spans="1:13" x14ac:dyDescent="0.25">
      <c r="A3461" s="4" t="s">
        <v>3222</v>
      </c>
      <c r="B3461" s="4" t="s">
        <v>3226</v>
      </c>
      <c r="C3461" s="9" t="s">
        <v>50</v>
      </c>
      <c r="D3461" s="10">
        <v>22</v>
      </c>
      <c r="E3461" s="11" t="s">
        <v>51</v>
      </c>
      <c r="F3461" s="10">
        <v>2200</v>
      </c>
      <c r="G3461" s="10">
        <v>0</v>
      </c>
      <c r="H3461" s="10">
        <f t="shared" si="53"/>
        <v>2200</v>
      </c>
      <c r="I3461" s="10"/>
      <c r="J3461" s="10"/>
      <c r="K3461" s="10"/>
      <c r="L3461" s="4" t="s">
        <v>52</v>
      </c>
      <c r="M3461" s="4">
        <v>3456</v>
      </c>
    </row>
    <row r="3462" spans="1:13" x14ac:dyDescent="0.25">
      <c r="A3462" s="4" t="s">
        <v>3222</v>
      </c>
      <c r="B3462" s="4" t="s">
        <v>537</v>
      </c>
      <c r="C3462" s="4" t="s">
        <v>68</v>
      </c>
      <c r="D3462" s="10">
        <v>4</v>
      </c>
      <c r="E3462" s="12" t="s">
        <v>66</v>
      </c>
      <c r="F3462" s="10">
        <v>400</v>
      </c>
      <c r="G3462" s="10">
        <v>0</v>
      </c>
      <c r="H3462" s="10">
        <f t="shared" ref="H3462:H3525" si="54">F3462-G3462</f>
        <v>400</v>
      </c>
      <c r="I3462" s="10">
        <v>100</v>
      </c>
      <c r="J3462" s="10">
        <v>100</v>
      </c>
      <c r="K3462" s="10">
        <v>100</v>
      </c>
      <c r="L3462" s="4"/>
      <c r="M3462" s="4">
        <v>3457</v>
      </c>
    </row>
    <row r="3463" spans="1:13" x14ac:dyDescent="0.25">
      <c r="A3463" s="4" t="s">
        <v>3222</v>
      </c>
      <c r="B3463" s="4" t="s">
        <v>3227</v>
      </c>
      <c r="C3463" s="4" t="s">
        <v>68</v>
      </c>
      <c r="D3463" s="10">
        <v>117</v>
      </c>
      <c r="E3463" s="11" t="s">
        <v>51</v>
      </c>
      <c r="F3463" s="10">
        <v>9700</v>
      </c>
      <c r="G3463" s="10">
        <v>0</v>
      </c>
      <c r="H3463" s="10">
        <f t="shared" si="54"/>
        <v>9700</v>
      </c>
      <c r="I3463" s="10"/>
      <c r="J3463" s="10"/>
      <c r="K3463" s="10"/>
      <c r="L3463" s="4" t="s">
        <v>69</v>
      </c>
      <c r="M3463" s="4">
        <v>3458</v>
      </c>
    </row>
    <row r="3464" spans="1:13" x14ac:dyDescent="0.25">
      <c r="A3464" s="4" t="s">
        <v>3222</v>
      </c>
      <c r="B3464" s="4" t="s">
        <v>3228</v>
      </c>
      <c r="C3464" s="4" t="s">
        <v>68</v>
      </c>
      <c r="D3464" s="10">
        <v>20</v>
      </c>
      <c r="E3464" s="11" t="s">
        <v>51</v>
      </c>
      <c r="F3464" s="10">
        <v>2000</v>
      </c>
      <c r="G3464" s="10">
        <v>0</v>
      </c>
      <c r="H3464" s="10">
        <f t="shared" si="54"/>
        <v>2000</v>
      </c>
      <c r="I3464" s="10"/>
      <c r="J3464" s="10"/>
      <c r="K3464" s="10"/>
      <c r="L3464" s="4" t="s">
        <v>69</v>
      </c>
      <c r="M3464" s="4">
        <v>3459</v>
      </c>
    </row>
    <row r="3465" spans="1:13" x14ac:dyDescent="0.25">
      <c r="A3465" s="4" t="s">
        <v>3222</v>
      </c>
      <c r="B3465" s="4" t="s">
        <v>856</v>
      </c>
      <c r="C3465" s="4" t="s">
        <v>65</v>
      </c>
      <c r="D3465" s="10">
        <v>172.5</v>
      </c>
      <c r="E3465" s="12" t="s">
        <v>66</v>
      </c>
      <c r="F3465" s="10">
        <v>17250</v>
      </c>
      <c r="G3465" s="10">
        <v>0</v>
      </c>
      <c r="H3465" s="10">
        <f t="shared" si="54"/>
        <v>17250</v>
      </c>
      <c r="I3465" s="10">
        <v>100</v>
      </c>
      <c r="J3465" s="10">
        <v>100</v>
      </c>
      <c r="K3465" s="10">
        <v>100</v>
      </c>
      <c r="L3465" s="4"/>
      <c r="M3465" s="4">
        <v>3460</v>
      </c>
    </row>
    <row r="3466" spans="1:13" x14ac:dyDescent="0.25">
      <c r="A3466" s="4" t="s">
        <v>3222</v>
      </c>
      <c r="B3466" s="4" t="s">
        <v>3229</v>
      </c>
      <c r="C3466" s="4" t="s">
        <v>68</v>
      </c>
      <c r="D3466" s="10">
        <v>120</v>
      </c>
      <c r="E3466" s="11" t="s">
        <v>51</v>
      </c>
      <c r="F3466" s="10">
        <v>4000</v>
      </c>
      <c r="G3466" s="10">
        <v>0</v>
      </c>
      <c r="H3466" s="10">
        <f t="shared" si="54"/>
        <v>4000</v>
      </c>
      <c r="I3466" s="10"/>
      <c r="J3466" s="10"/>
      <c r="K3466" s="10"/>
      <c r="L3466" s="4" t="s">
        <v>69</v>
      </c>
      <c r="M3466" s="4">
        <v>3461</v>
      </c>
    </row>
    <row r="3467" spans="1:13" x14ac:dyDescent="0.25">
      <c r="A3467" s="4" t="s">
        <v>3230</v>
      </c>
      <c r="B3467" s="4" t="s">
        <v>3231</v>
      </c>
      <c r="C3467" s="4" t="s">
        <v>68</v>
      </c>
      <c r="D3467" s="10">
        <v>80</v>
      </c>
      <c r="E3467" s="11" t="s">
        <v>51</v>
      </c>
      <c r="F3467" s="10">
        <v>10400</v>
      </c>
      <c r="G3467" s="10">
        <v>0</v>
      </c>
      <c r="H3467" s="10">
        <f t="shared" si="54"/>
        <v>10400</v>
      </c>
      <c r="I3467" s="10"/>
      <c r="J3467" s="10"/>
      <c r="K3467" s="10"/>
      <c r="L3467" s="4" t="s">
        <v>69</v>
      </c>
      <c r="M3467" s="4">
        <v>3462</v>
      </c>
    </row>
    <row r="3468" spans="1:13" x14ac:dyDescent="0.25">
      <c r="A3468" s="4" t="s">
        <v>3230</v>
      </c>
      <c r="B3468" s="4" t="s">
        <v>3232</v>
      </c>
      <c r="C3468" s="4" t="s">
        <v>65</v>
      </c>
      <c r="D3468" s="10">
        <v>128</v>
      </c>
      <c r="E3468" s="11" t="s">
        <v>51</v>
      </c>
      <c r="F3468" s="10">
        <v>70000</v>
      </c>
      <c r="G3468" s="10">
        <v>0</v>
      </c>
      <c r="H3468" s="10">
        <f t="shared" si="54"/>
        <v>70000</v>
      </c>
      <c r="I3468" s="10"/>
      <c r="J3468" s="10"/>
      <c r="K3468" s="10"/>
      <c r="L3468" s="4" t="s">
        <v>69</v>
      </c>
      <c r="M3468" s="4">
        <v>3463</v>
      </c>
    </row>
    <row r="3469" spans="1:13" x14ac:dyDescent="0.25">
      <c r="A3469" s="4" t="s">
        <v>3233</v>
      </c>
      <c r="B3469" s="4" t="s">
        <v>3234</v>
      </c>
      <c r="C3469" s="4" t="s">
        <v>68</v>
      </c>
      <c r="D3469" s="10">
        <v>40</v>
      </c>
      <c r="E3469" s="11" t="s">
        <v>51</v>
      </c>
      <c r="F3469" s="10">
        <v>5200</v>
      </c>
      <c r="G3469" s="10">
        <v>0</v>
      </c>
      <c r="H3469" s="10">
        <f t="shared" si="54"/>
        <v>5200</v>
      </c>
      <c r="I3469" s="10"/>
      <c r="J3469" s="10"/>
      <c r="K3469" s="10"/>
      <c r="L3469" s="4" t="s">
        <v>69</v>
      </c>
      <c r="M3469" s="4">
        <v>3464</v>
      </c>
    </row>
    <row r="3470" spans="1:13" x14ac:dyDescent="0.25">
      <c r="A3470" s="4" t="s">
        <v>3233</v>
      </c>
      <c r="B3470" s="4" t="s">
        <v>3235</v>
      </c>
      <c r="C3470" s="4" t="s">
        <v>68</v>
      </c>
      <c r="D3470" s="10">
        <v>40</v>
      </c>
      <c r="E3470" s="11" t="s">
        <v>51</v>
      </c>
      <c r="F3470" s="10">
        <v>5200</v>
      </c>
      <c r="G3470" s="10">
        <v>0</v>
      </c>
      <c r="H3470" s="10">
        <f t="shared" si="54"/>
        <v>5200</v>
      </c>
      <c r="I3470" s="10"/>
      <c r="J3470" s="10"/>
      <c r="K3470" s="10"/>
      <c r="L3470" s="4" t="s">
        <v>69</v>
      </c>
      <c r="M3470" s="4">
        <v>3465</v>
      </c>
    </row>
    <row r="3471" spans="1:13" x14ac:dyDescent="0.25">
      <c r="A3471" s="4" t="s">
        <v>3233</v>
      </c>
      <c r="B3471" s="4" t="s">
        <v>3236</v>
      </c>
      <c r="C3471" s="4" t="s">
        <v>68</v>
      </c>
      <c r="D3471" s="10">
        <v>24</v>
      </c>
      <c r="E3471" s="11" t="s">
        <v>51</v>
      </c>
      <c r="F3471" s="10">
        <v>3120</v>
      </c>
      <c r="G3471" s="10">
        <v>0</v>
      </c>
      <c r="H3471" s="10">
        <f t="shared" si="54"/>
        <v>3120</v>
      </c>
      <c r="I3471" s="10"/>
      <c r="J3471" s="10"/>
      <c r="K3471" s="10"/>
      <c r="L3471" s="4" t="s">
        <v>69</v>
      </c>
      <c r="M3471" s="4">
        <v>3466</v>
      </c>
    </row>
    <row r="3472" spans="1:13" x14ac:dyDescent="0.25">
      <c r="A3472" s="4" t="s">
        <v>3233</v>
      </c>
      <c r="B3472" s="4" t="s">
        <v>3237</v>
      </c>
      <c r="C3472" s="4" t="s">
        <v>68</v>
      </c>
      <c r="D3472" s="10">
        <v>216</v>
      </c>
      <c r="E3472" s="11" t="s">
        <v>51</v>
      </c>
      <c r="F3472" s="10">
        <v>3120</v>
      </c>
      <c r="G3472" s="10">
        <v>0</v>
      </c>
      <c r="H3472" s="10">
        <f t="shared" si="54"/>
        <v>3120</v>
      </c>
      <c r="I3472" s="10"/>
      <c r="J3472" s="10"/>
      <c r="K3472" s="10"/>
      <c r="L3472" s="4" t="s">
        <v>69</v>
      </c>
      <c r="M3472" s="4">
        <v>3467</v>
      </c>
    </row>
    <row r="3473" spans="1:13" x14ac:dyDescent="0.25">
      <c r="A3473" s="4" t="s">
        <v>3238</v>
      </c>
      <c r="B3473" s="4" t="s">
        <v>1295</v>
      </c>
      <c r="C3473" s="9" t="s">
        <v>50</v>
      </c>
      <c r="D3473" s="10">
        <v>552</v>
      </c>
      <c r="E3473" s="11" t="s">
        <v>51</v>
      </c>
      <c r="F3473" s="10">
        <v>9433.9599999999991</v>
      </c>
      <c r="G3473" s="10">
        <v>0</v>
      </c>
      <c r="H3473" s="10">
        <f t="shared" si="54"/>
        <v>9433.9599999999991</v>
      </c>
      <c r="I3473" s="10"/>
      <c r="J3473" s="10"/>
      <c r="K3473" s="10"/>
      <c r="L3473" s="4" t="s">
        <v>52</v>
      </c>
      <c r="M3473" s="4">
        <v>3468</v>
      </c>
    </row>
    <row r="3474" spans="1:13" x14ac:dyDescent="0.25">
      <c r="A3474" s="4" t="s">
        <v>3239</v>
      </c>
      <c r="B3474" s="4" t="s">
        <v>3240</v>
      </c>
      <c r="C3474" s="4" t="s">
        <v>68</v>
      </c>
      <c r="D3474" s="10">
        <v>608</v>
      </c>
      <c r="E3474" s="11" t="s">
        <v>51</v>
      </c>
      <c r="F3474" s="10">
        <v>45200</v>
      </c>
      <c r="G3474" s="10">
        <v>0</v>
      </c>
      <c r="H3474" s="10">
        <f t="shared" si="54"/>
        <v>45200</v>
      </c>
      <c r="I3474" s="10"/>
      <c r="J3474" s="10"/>
      <c r="K3474" s="10"/>
      <c r="L3474" s="4" t="s">
        <v>69</v>
      </c>
      <c r="M3474" s="4">
        <v>3469</v>
      </c>
    </row>
    <row r="3475" spans="1:13" x14ac:dyDescent="0.25">
      <c r="A3475" s="4" t="s">
        <v>3241</v>
      </c>
      <c r="B3475" s="4" t="s">
        <v>248</v>
      </c>
      <c r="C3475" s="4" t="s">
        <v>68</v>
      </c>
      <c r="D3475" s="10">
        <v>58</v>
      </c>
      <c r="E3475" s="11" t="s">
        <v>51</v>
      </c>
      <c r="F3475" s="10">
        <v>7000</v>
      </c>
      <c r="G3475" s="10">
        <v>0</v>
      </c>
      <c r="H3475" s="10">
        <f t="shared" si="54"/>
        <v>7000</v>
      </c>
      <c r="I3475" s="10"/>
      <c r="J3475" s="10"/>
      <c r="K3475" s="10"/>
      <c r="L3475" s="4" t="s">
        <v>69</v>
      </c>
      <c r="M3475" s="4">
        <v>3470</v>
      </c>
    </row>
    <row r="3476" spans="1:13" x14ac:dyDescent="0.25">
      <c r="A3476" s="4" t="s">
        <v>3242</v>
      </c>
      <c r="B3476" s="4" t="s">
        <v>3243</v>
      </c>
      <c r="C3476" s="9" t="s">
        <v>50</v>
      </c>
      <c r="D3476" s="10">
        <v>83</v>
      </c>
      <c r="E3476" s="11" t="s">
        <v>51</v>
      </c>
      <c r="F3476" s="10">
        <v>5700</v>
      </c>
      <c r="G3476" s="10">
        <v>0</v>
      </c>
      <c r="H3476" s="10">
        <f t="shared" si="54"/>
        <v>5700</v>
      </c>
      <c r="I3476" s="10"/>
      <c r="J3476" s="10"/>
      <c r="K3476" s="10"/>
      <c r="L3476" s="4" t="s">
        <v>52</v>
      </c>
      <c r="M3476" s="4">
        <v>3471</v>
      </c>
    </row>
    <row r="3477" spans="1:13" x14ac:dyDescent="0.25">
      <c r="A3477" s="4" t="s">
        <v>3244</v>
      </c>
      <c r="B3477" s="4" t="s">
        <v>3245</v>
      </c>
      <c r="C3477" s="4" t="s">
        <v>65</v>
      </c>
      <c r="D3477" s="10">
        <v>63</v>
      </c>
      <c r="E3477" s="12" t="s">
        <v>66</v>
      </c>
      <c r="F3477" s="10">
        <v>3350</v>
      </c>
      <c r="G3477" s="10">
        <v>0</v>
      </c>
      <c r="H3477" s="10">
        <f t="shared" si="54"/>
        <v>3350</v>
      </c>
      <c r="I3477" s="10">
        <v>134</v>
      </c>
      <c r="J3477" s="10">
        <v>134</v>
      </c>
      <c r="K3477" s="10">
        <v>134</v>
      </c>
      <c r="L3477" s="4"/>
      <c r="M3477" s="4">
        <v>3472</v>
      </c>
    </row>
    <row r="3478" spans="1:13" x14ac:dyDescent="0.25">
      <c r="A3478" s="4" t="s">
        <v>3246</v>
      </c>
      <c r="B3478" s="4" t="s">
        <v>846</v>
      </c>
      <c r="C3478" s="4" t="s">
        <v>65</v>
      </c>
      <c r="D3478" s="10">
        <v>32</v>
      </c>
      <c r="E3478" s="12" t="s">
        <v>66</v>
      </c>
      <c r="F3478" s="10">
        <v>3500</v>
      </c>
      <c r="G3478" s="10">
        <v>0</v>
      </c>
      <c r="H3478" s="10">
        <f t="shared" si="54"/>
        <v>3500</v>
      </c>
      <c r="I3478" s="10">
        <v>109.375</v>
      </c>
      <c r="J3478" s="10">
        <v>109.375</v>
      </c>
      <c r="K3478" s="10">
        <v>109.375</v>
      </c>
      <c r="L3478" s="4"/>
      <c r="M3478" s="4">
        <v>3473</v>
      </c>
    </row>
    <row r="3479" spans="1:13" x14ac:dyDescent="0.25">
      <c r="A3479" s="4" t="s">
        <v>3246</v>
      </c>
      <c r="B3479" s="4" t="s">
        <v>3247</v>
      </c>
      <c r="C3479" s="4" t="s">
        <v>65</v>
      </c>
      <c r="D3479" s="10">
        <v>13</v>
      </c>
      <c r="E3479" s="12" t="s">
        <v>66</v>
      </c>
      <c r="F3479" s="10">
        <v>700</v>
      </c>
      <c r="G3479" s="10">
        <v>0</v>
      </c>
      <c r="H3479" s="10">
        <f t="shared" si="54"/>
        <v>700</v>
      </c>
      <c r="I3479" s="10">
        <v>116.6666666666667</v>
      </c>
      <c r="J3479" s="10">
        <v>116.6666666666667</v>
      </c>
      <c r="K3479" s="10">
        <v>116.6666666666667</v>
      </c>
      <c r="L3479" s="4"/>
      <c r="M3479" s="4">
        <v>3474</v>
      </c>
    </row>
    <row r="3480" spans="1:13" x14ac:dyDescent="0.25">
      <c r="A3480" s="4" t="s">
        <v>3248</v>
      </c>
      <c r="B3480" s="4" t="s">
        <v>3249</v>
      </c>
      <c r="C3480" s="4" t="s">
        <v>68</v>
      </c>
      <c r="D3480" s="10">
        <v>40</v>
      </c>
      <c r="E3480" s="11" t="s">
        <v>51</v>
      </c>
      <c r="F3480" s="10">
        <v>1260</v>
      </c>
      <c r="G3480" s="10">
        <v>0</v>
      </c>
      <c r="H3480" s="10">
        <f t="shared" si="54"/>
        <v>1260</v>
      </c>
      <c r="I3480" s="10"/>
      <c r="J3480" s="10"/>
      <c r="K3480" s="10"/>
      <c r="L3480" s="4" t="s">
        <v>69</v>
      </c>
      <c r="M3480" s="4">
        <v>3475</v>
      </c>
    </row>
    <row r="3481" spans="1:13" x14ac:dyDescent="0.25">
      <c r="A3481" s="4" t="s">
        <v>3250</v>
      </c>
      <c r="B3481" s="4" t="s">
        <v>3251</v>
      </c>
      <c r="C3481" s="4" t="s">
        <v>68</v>
      </c>
      <c r="D3481" s="10">
        <v>6</v>
      </c>
      <c r="E3481" s="11" t="s">
        <v>51</v>
      </c>
      <c r="F3481" s="10">
        <v>690</v>
      </c>
      <c r="G3481" s="10">
        <v>0</v>
      </c>
      <c r="H3481" s="10">
        <f t="shared" si="54"/>
        <v>690</v>
      </c>
      <c r="I3481" s="10"/>
      <c r="J3481" s="10"/>
      <c r="K3481" s="10"/>
      <c r="L3481" s="4" t="s">
        <v>69</v>
      </c>
      <c r="M3481" s="4">
        <v>3476</v>
      </c>
    </row>
    <row r="3482" spans="1:13" x14ac:dyDescent="0.25">
      <c r="A3482" s="4" t="s">
        <v>3250</v>
      </c>
      <c r="B3482" s="4" t="s">
        <v>3252</v>
      </c>
      <c r="C3482" s="4" t="s">
        <v>68</v>
      </c>
      <c r="D3482" s="10">
        <v>20</v>
      </c>
      <c r="E3482" s="11" t="s">
        <v>51</v>
      </c>
      <c r="F3482" s="10">
        <v>2300</v>
      </c>
      <c r="G3482" s="10">
        <v>0</v>
      </c>
      <c r="H3482" s="10">
        <f t="shared" si="54"/>
        <v>2300</v>
      </c>
      <c r="I3482" s="10"/>
      <c r="J3482" s="10"/>
      <c r="K3482" s="10"/>
      <c r="L3482" s="4" t="s">
        <v>69</v>
      </c>
      <c r="M3482" s="4">
        <v>3477</v>
      </c>
    </row>
    <row r="3483" spans="1:13" x14ac:dyDescent="0.25">
      <c r="A3483" s="4" t="s">
        <v>3250</v>
      </c>
      <c r="B3483" s="4" t="s">
        <v>1745</v>
      </c>
      <c r="C3483" s="9" t="s">
        <v>50</v>
      </c>
      <c r="D3483" s="10">
        <v>46.5</v>
      </c>
      <c r="E3483" s="11" t="s">
        <v>51</v>
      </c>
      <c r="F3483" s="10"/>
      <c r="G3483" s="10">
        <v>0</v>
      </c>
      <c r="H3483" s="10">
        <f t="shared" si="54"/>
        <v>0</v>
      </c>
      <c r="I3483" s="10"/>
      <c r="J3483" s="10"/>
      <c r="K3483" s="10"/>
      <c r="L3483" s="4" t="s">
        <v>52</v>
      </c>
      <c r="M3483" s="4">
        <v>3478</v>
      </c>
    </row>
    <row r="3484" spans="1:13" x14ac:dyDescent="0.25">
      <c r="A3484" s="4" t="s">
        <v>3253</v>
      </c>
      <c r="B3484" s="4" t="s">
        <v>3254</v>
      </c>
      <c r="C3484" s="9" t="s">
        <v>50</v>
      </c>
      <c r="D3484" s="10">
        <v>0.5</v>
      </c>
      <c r="E3484" s="11" t="s">
        <v>51</v>
      </c>
      <c r="F3484" s="10">
        <v>50</v>
      </c>
      <c r="G3484" s="10">
        <v>0</v>
      </c>
      <c r="H3484" s="10">
        <f t="shared" si="54"/>
        <v>50</v>
      </c>
      <c r="I3484" s="10"/>
      <c r="J3484" s="10"/>
      <c r="K3484" s="10"/>
      <c r="L3484" s="4" t="s">
        <v>52</v>
      </c>
      <c r="M3484" s="4">
        <v>3479</v>
      </c>
    </row>
    <row r="3485" spans="1:13" x14ac:dyDescent="0.25">
      <c r="A3485" s="4" t="s">
        <v>3253</v>
      </c>
      <c r="B3485" s="4" t="s">
        <v>3255</v>
      </c>
      <c r="C3485" s="9" t="s">
        <v>50</v>
      </c>
      <c r="D3485" s="10">
        <v>12.5</v>
      </c>
      <c r="E3485" s="11" t="s">
        <v>51</v>
      </c>
      <c r="F3485" s="10">
        <v>1400</v>
      </c>
      <c r="G3485" s="10">
        <v>0</v>
      </c>
      <c r="H3485" s="10">
        <f t="shared" si="54"/>
        <v>1400</v>
      </c>
      <c r="I3485" s="10"/>
      <c r="J3485" s="10"/>
      <c r="K3485" s="10"/>
      <c r="L3485" s="4" t="s">
        <v>52</v>
      </c>
      <c r="M3485" s="4">
        <v>3480</v>
      </c>
    </row>
    <row r="3486" spans="1:13" x14ac:dyDescent="0.25">
      <c r="A3486" s="4" t="s">
        <v>3253</v>
      </c>
      <c r="B3486" s="4" t="s">
        <v>3256</v>
      </c>
      <c r="C3486" s="9" t="s">
        <v>50</v>
      </c>
      <c r="D3486" s="10">
        <v>15.5</v>
      </c>
      <c r="E3486" s="11" t="s">
        <v>51</v>
      </c>
      <c r="F3486" s="10">
        <v>1750</v>
      </c>
      <c r="G3486" s="10">
        <v>0</v>
      </c>
      <c r="H3486" s="10">
        <f t="shared" si="54"/>
        <v>1750</v>
      </c>
      <c r="I3486" s="10"/>
      <c r="J3486" s="10"/>
      <c r="K3486" s="10"/>
      <c r="L3486" s="4" t="s">
        <v>52</v>
      </c>
      <c r="M3486" s="4">
        <v>3481</v>
      </c>
    </row>
    <row r="3487" spans="1:13" x14ac:dyDescent="0.25">
      <c r="A3487" s="4" t="s">
        <v>3253</v>
      </c>
      <c r="B3487" s="4" t="s">
        <v>3257</v>
      </c>
      <c r="C3487" s="9" t="s">
        <v>50</v>
      </c>
      <c r="D3487" s="10">
        <v>68</v>
      </c>
      <c r="E3487" s="11" t="s">
        <v>51</v>
      </c>
      <c r="F3487" s="10">
        <v>1400</v>
      </c>
      <c r="G3487" s="10">
        <v>0</v>
      </c>
      <c r="H3487" s="10">
        <f t="shared" si="54"/>
        <v>1400</v>
      </c>
      <c r="I3487" s="10"/>
      <c r="J3487" s="10"/>
      <c r="K3487" s="10"/>
      <c r="L3487" s="4" t="s">
        <v>52</v>
      </c>
      <c r="M3487" s="4">
        <v>3482</v>
      </c>
    </row>
    <row r="3488" spans="1:13" x14ac:dyDescent="0.25">
      <c r="A3488" s="4" t="s">
        <v>3258</v>
      </c>
      <c r="B3488" s="4" t="s">
        <v>3259</v>
      </c>
      <c r="C3488" s="4" t="s">
        <v>68</v>
      </c>
      <c r="D3488" s="10">
        <v>76</v>
      </c>
      <c r="E3488" s="11" t="s">
        <v>51</v>
      </c>
      <c r="F3488" s="10">
        <v>5250</v>
      </c>
      <c r="G3488" s="10">
        <v>0</v>
      </c>
      <c r="H3488" s="10">
        <f t="shared" si="54"/>
        <v>5250</v>
      </c>
      <c r="I3488" s="10"/>
      <c r="J3488" s="10"/>
      <c r="K3488" s="10"/>
      <c r="L3488" s="4" t="s">
        <v>69</v>
      </c>
      <c r="M3488" s="4">
        <v>3483</v>
      </c>
    </row>
    <row r="3489" spans="1:13" x14ac:dyDescent="0.25">
      <c r="A3489" s="4" t="s">
        <v>3260</v>
      </c>
      <c r="B3489" s="4" t="s">
        <v>3261</v>
      </c>
      <c r="C3489" s="4" t="s">
        <v>65</v>
      </c>
      <c r="D3489" s="10">
        <v>130</v>
      </c>
      <c r="E3489" s="12" t="s">
        <v>66</v>
      </c>
      <c r="F3489" s="10">
        <v>2200</v>
      </c>
      <c r="G3489" s="10">
        <v>0</v>
      </c>
      <c r="H3489" s="10">
        <f t="shared" si="54"/>
        <v>2200</v>
      </c>
      <c r="I3489" s="10">
        <v>84.615384615384613</v>
      </c>
      <c r="J3489" s="10">
        <v>84.615384615384613</v>
      </c>
      <c r="K3489" s="10">
        <v>84.615384615384613</v>
      </c>
      <c r="L3489" s="4"/>
      <c r="M3489" s="4">
        <v>3484</v>
      </c>
    </row>
    <row r="3490" spans="1:13" x14ac:dyDescent="0.25">
      <c r="A3490" s="4" t="s">
        <v>3262</v>
      </c>
      <c r="B3490" s="4" t="s">
        <v>3261</v>
      </c>
      <c r="C3490" s="4" t="s">
        <v>65</v>
      </c>
      <c r="D3490" s="10">
        <v>16</v>
      </c>
      <c r="E3490" s="12" t="s">
        <v>66</v>
      </c>
      <c r="F3490" s="10">
        <v>10706.6</v>
      </c>
      <c r="G3490" s="10">
        <v>0</v>
      </c>
      <c r="H3490" s="10">
        <f t="shared" si="54"/>
        <v>10706.6</v>
      </c>
      <c r="I3490" s="10">
        <v>82.35846153846154</v>
      </c>
      <c r="J3490" s="10">
        <v>82.35846153846154</v>
      </c>
      <c r="K3490" s="10">
        <v>82.35846153846154</v>
      </c>
      <c r="L3490" s="4"/>
      <c r="M3490" s="4">
        <v>3485</v>
      </c>
    </row>
    <row r="3491" spans="1:13" x14ac:dyDescent="0.25">
      <c r="A3491" s="4" t="s">
        <v>3263</v>
      </c>
      <c r="B3491" s="4" t="s">
        <v>3264</v>
      </c>
      <c r="C3491" s="4" t="s">
        <v>65</v>
      </c>
      <c r="D3491" s="10">
        <v>16</v>
      </c>
      <c r="E3491" s="12" t="s">
        <v>66</v>
      </c>
      <c r="F3491" s="10">
        <v>1290</v>
      </c>
      <c r="G3491" s="10">
        <v>0</v>
      </c>
      <c r="H3491" s="10">
        <f t="shared" si="54"/>
        <v>1290</v>
      </c>
      <c r="I3491" s="10">
        <v>80.625</v>
      </c>
      <c r="J3491" s="10">
        <v>80.625</v>
      </c>
      <c r="K3491" s="10">
        <v>80.625</v>
      </c>
      <c r="L3491" s="4"/>
      <c r="M3491" s="4">
        <v>3486</v>
      </c>
    </row>
    <row r="3492" spans="1:13" x14ac:dyDescent="0.25">
      <c r="A3492" s="4" t="s">
        <v>3265</v>
      </c>
      <c r="B3492" s="4" t="s">
        <v>3266</v>
      </c>
      <c r="C3492" s="4" t="s">
        <v>68</v>
      </c>
      <c r="D3492" s="10">
        <v>12</v>
      </c>
      <c r="E3492" s="11" t="s">
        <v>51</v>
      </c>
      <c r="F3492" s="10">
        <v>1200</v>
      </c>
      <c r="G3492" s="10">
        <v>0</v>
      </c>
      <c r="H3492" s="10">
        <f t="shared" si="54"/>
        <v>1200</v>
      </c>
      <c r="I3492" s="10"/>
      <c r="J3492" s="10"/>
      <c r="K3492" s="10"/>
      <c r="L3492" s="4" t="s">
        <v>69</v>
      </c>
      <c r="M3492" s="4">
        <v>3487</v>
      </c>
    </row>
    <row r="3493" spans="1:13" x14ac:dyDescent="0.25">
      <c r="A3493" s="4" t="s">
        <v>3265</v>
      </c>
      <c r="B3493" s="4" t="s">
        <v>3267</v>
      </c>
      <c r="C3493" s="4" t="s">
        <v>68</v>
      </c>
      <c r="D3493" s="10">
        <v>40</v>
      </c>
      <c r="E3493" s="11" t="s">
        <v>51</v>
      </c>
      <c r="F3493" s="10">
        <v>4000</v>
      </c>
      <c r="G3493" s="10">
        <v>0</v>
      </c>
      <c r="H3493" s="10">
        <f t="shared" si="54"/>
        <v>4000</v>
      </c>
      <c r="I3493" s="10"/>
      <c r="J3493" s="10"/>
      <c r="K3493" s="10"/>
      <c r="L3493" s="4" t="s">
        <v>69</v>
      </c>
      <c r="M3493" s="4">
        <v>3488</v>
      </c>
    </row>
    <row r="3494" spans="1:13" x14ac:dyDescent="0.25">
      <c r="A3494" s="4" t="s">
        <v>3265</v>
      </c>
      <c r="B3494" s="4" t="s">
        <v>3268</v>
      </c>
      <c r="C3494" s="4" t="s">
        <v>68</v>
      </c>
      <c r="D3494" s="10">
        <v>40</v>
      </c>
      <c r="E3494" s="11" t="s">
        <v>51</v>
      </c>
      <c r="F3494" s="10">
        <v>4000</v>
      </c>
      <c r="G3494" s="10">
        <v>0</v>
      </c>
      <c r="H3494" s="10">
        <f t="shared" si="54"/>
        <v>4000</v>
      </c>
      <c r="I3494" s="10"/>
      <c r="J3494" s="10"/>
      <c r="K3494" s="10"/>
      <c r="L3494" s="4" t="s">
        <v>69</v>
      </c>
      <c r="M3494" s="4">
        <v>3489</v>
      </c>
    </row>
    <row r="3495" spans="1:13" x14ac:dyDescent="0.25">
      <c r="A3495" s="4" t="s">
        <v>3265</v>
      </c>
      <c r="B3495" s="4" t="s">
        <v>3269</v>
      </c>
      <c r="C3495" s="4" t="s">
        <v>68</v>
      </c>
      <c r="D3495" s="10">
        <v>12</v>
      </c>
      <c r="E3495" s="11" t="s">
        <v>51</v>
      </c>
      <c r="F3495" s="10">
        <v>1200</v>
      </c>
      <c r="G3495" s="10">
        <v>0</v>
      </c>
      <c r="H3495" s="10">
        <f t="shared" si="54"/>
        <v>1200</v>
      </c>
      <c r="I3495" s="10"/>
      <c r="J3495" s="10"/>
      <c r="K3495" s="10"/>
      <c r="L3495" s="4" t="s">
        <v>69</v>
      </c>
      <c r="M3495" s="4">
        <v>3490</v>
      </c>
    </row>
    <row r="3496" spans="1:13" x14ac:dyDescent="0.25">
      <c r="A3496" s="4" t="s">
        <v>3265</v>
      </c>
      <c r="B3496" s="4" t="s">
        <v>3270</v>
      </c>
      <c r="C3496" s="4" t="s">
        <v>68</v>
      </c>
      <c r="D3496" s="10">
        <v>12</v>
      </c>
      <c r="E3496" s="11" t="s">
        <v>51</v>
      </c>
      <c r="F3496" s="10">
        <v>1200</v>
      </c>
      <c r="G3496" s="10">
        <v>0</v>
      </c>
      <c r="H3496" s="10">
        <f t="shared" si="54"/>
        <v>1200</v>
      </c>
      <c r="I3496" s="10"/>
      <c r="J3496" s="10"/>
      <c r="K3496" s="10"/>
      <c r="L3496" s="4" t="s">
        <v>69</v>
      </c>
      <c r="M3496" s="4">
        <v>3491</v>
      </c>
    </row>
    <row r="3497" spans="1:13" x14ac:dyDescent="0.25">
      <c r="A3497" s="4" t="s">
        <v>3265</v>
      </c>
      <c r="B3497" s="4" t="s">
        <v>3271</v>
      </c>
      <c r="C3497" s="4" t="s">
        <v>68</v>
      </c>
      <c r="D3497" s="10">
        <v>12</v>
      </c>
      <c r="E3497" s="11" t="s">
        <v>51</v>
      </c>
      <c r="F3497" s="10">
        <v>1200</v>
      </c>
      <c r="G3497" s="10">
        <v>0</v>
      </c>
      <c r="H3497" s="10">
        <f t="shared" si="54"/>
        <v>1200</v>
      </c>
      <c r="I3497" s="10"/>
      <c r="J3497" s="10"/>
      <c r="K3497" s="10"/>
      <c r="L3497" s="4" t="s">
        <v>69</v>
      </c>
      <c r="M3497" s="4">
        <v>3492</v>
      </c>
    </row>
    <row r="3498" spans="1:13" x14ac:dyDescent="0.25">
      <c r="A3498" s="4" t="s">
        <v>3265</v>
      </c>
      <c r="B3498" s="4" t="s">
        <v>3272</v>
      </c>
      <c r="C3498" s="4" t="s">
        <v>68</v>
      </c>
      <c r="D3498" s="10">
        <v>40</v>
      </c>
      <c r="E3498" s="11" t="s">
        <v>51</v>
      </c>
      <c r="F3498" s="10">
        <v>4000</v>
      </c>
      <c r="G3498" s="10">
        <v>0</v>
      </c>
      <c r="H3498" s="10">
        <f t="shared" si="54"/>
        <v>4000</v>
      </c>
      <c r="I3498" s="10"/>
      <c r="J3498" s="10"/>
      <c r="K3498" s="10"/>
      <c r="L3498" s="4" t="s">
        <v>69</v>
      </c>
      <c r="M3498" s="4">
        <v>3493</v>
      </c>
    </row>
    <row r="3499" spans="1:13" x14ac:dyDescent="0.25">
      <c r="A3499" s="4" t="s">
        <v>3265</v>
      </c>
      <c r="B3499" s="4" t="s">
        <v>3273</v>
      </c>
      <c r="C3499" s="4" t="s">
        <v>68</v>
      </c>
      <c r="D3499" s="10">
        <v>40</v>
      </c>
      <c r="E3499" s="11" t="s">
        <v>51</v>
      </c>
      <c r="F3499" s="10">
        <v>4000</v>
      </c>
      <c r="G3499" s="10">
        <v>0</v>
      </c>
      <c r="H3499" s="10">
        <f t="shared" si="54"/>
        <v>4000</v>
      </c>
      <c r="I3499" s="10"/>
      <c r="J3499" s="10"/>
      <c r="K3499" s="10"/>
      <c r="L3499" s="4" t="s">
        <v>69</v>
      </c>
      <c r="M3499" s="4">
        <v>3494</v>
      </c>
    </row>
    <row r="3500" spans="1:13" x14ac:dyDescent="0.25">
      <c r="A3500" s="4" t="s">
        <v>3265</v>
      </c>
      <c r="B3500" s="4" t="s">
        <v>3274</v>
      </c>
      <c r="C3500" s="4" t="s">
        <v>68</v>
      </c>
      <c r="D3500" s="10">
        <v>12</v>
      </c>
      <c r="E3500" s="11" t="s">
        <v>51</v>
      </c>
      <c r="F3500" s="10">
        <v>1200</v>
      </c>
      <c r="G3500" s="10">
        <v>0</v>
      </c>
      <c r="H3500" s="10">
        <f t="shared" si="54"/>
        <v>1200</v>
      </c>
      <c r="I3500" s="10"/>
      <c r="J3500" s="10"/>
      <c r="K3500" s="10"/>
      <c r="L3500" s="4" t="s">
        <v>69</v>
      </c>
      <c r="M3500" s="4">
        <v>3495</v>
      </c>
    </row>
    <row r="3501" spans="1:13" x14ac:dyDescent="0.25">
      <c r="A3501" s="4" t="s">
        <v>3265</v>
      </c>
      <c r="B3501" s="4" t="s">
        <v>3275</v>
      </c>
      <c r="C3501" s="4" t="s">
        <v>68</v>
      </c>
      <c r="D3501" s="10">
        <v>715</v>
      </c>
      <c r="E3501" s="11" t="s">
        <v>51</v>
      </c>
      <c r="F3501" s="10">
        <v>1200</v>
      </c>
      <c r="G3501" s="10">
        <v>0</v>
      </c>
      <c r="H3501" s="10">
        <f t="shared" si="54"/>
        <v>1200</v>
      </c>
      <c r="I3501" s="10"/>
      <c r="J3501" s="10"/>
      <c r="K3501" s="10"/>
      <c r="L3501" s="4" t="s">
        <v>69</v>
      </c>
      <c r="M3501" s="4">
        <v>3496</v>
      </c>
    </row>
    <row r="3502" spans="1:13" x14ac:dyDescent="0.25">
      <c r="A3502" s="4" t="s">
        <v>3276</v>
      </c>
      <c r="B3502" s="4" t="s">
        <v>3277</v>
      </c>
      <c r="C3502" s="4" t="s">
        <v>68</v>
      </c>
      <c r="D3502" s="10">
        <v>4</v>
      </c>
      <c r="E3502" s="11" t="s">
        <v>51</v>
      </c>
      <c r="F3502" s="10">
        <v>296.8</v>
      </c>
      <c r="G3502" s="10">
        <v>0</v>
      </c>
      <c r="H3502" s="10">
        <f t="shared" si="54"/>
        <v>296.8</v>
      </c>
      <c r="I3502" s="10"/>
      <c r="J3502" s="10"/>
      <c r="K3502" s="10"/>
      <c r="L3502" s="4" t="s">
        <v>69</v>
      </c>
      <c r="M3502" s="4">
        <v>3497</v>
      </c>
    </row>
    <row r="3503" spans="1:13" x14ac:dyDescent="0.25">
      <c r="A3503" s="4" t="s">
        <v>3276</v>
      </c>
      <c r="B3503" s="4" t="s">
        <v>3278</v>
      </c>
      <c r="C3503" s="4" t="s">
        <v>65</v>
      </c>
      <c r="D3503" s="10">
        <v>47</v>
      </c>
      <c r="E3503" s="12" t="s">
        <v>66</v>
      </c>
      <c r="F3503" s="10">
        <v>3975</v>
      </c>
      <c r="G3503" s="10">
        <v>0</v>
      </c>
      <c r="H3503" s="10">
        <f t="shared" si="54"/>
        <v>3975</v>
      </c>
      <c r="I3503" s="10">
        <v>84.574468085106389</v>
      </c>
      <c r="J3503" s="10">
        <v>84.574468085106389</v>
      </c>
      <c r="K3503" s="10">
        <v>84.574468085106389</v>
      </c>
      <c r="L3503" s="4"/>
      <c r="M3503" s="4">
        <v>3498</v>
      </c>
    </row>
    <row r="3504" spans="1:13" x14ac:dyDescent="0.25">
      <c r="A3504" s="4" t="s">
        <v>3276</v>
      </c>
      <c r="B3504" s="4" t="s">
        <v>3279</v>
      </c>
      <c r="C3504" s="4" t="s">
        <v>65</v>
      </c>
      <c r="D3504" s="10">
        <v>61</v>
      </c>
      <c r="E3504" s="12" t="s">
        <v>66</v>
      </c>
      <c r="F3504" s="10">
        <v>5347.91</v>
      </c>
      <c r="G3504" s="10">
        <v>0</v>
      </c>
      <c r="H3504" s="10">
        <f t="shared" si="54"/>
        <v>5347.91</v>
      </c>
      <c r="I3504" s="10">
        <v>87.670655737704919</v>
      </c>
      <c r="J3504" s="10">
        <v>87.670655737704919</v>
      </c>
      <c r="K3504" s="10">
        <v>87.670655737704919</v>
      </c>
      <c r="L3504" s="4"/>
      <c r="M3504" s="4">
        <v>3499</v>
      </c>
    </row>
    <row r="3505" spans="1:13" x14ac:dyDescent="0.25">
      <c r="A3505" s="4" t="s">
        <v>3276</v>
      </c>
      <c r="B3505" s="4" t="s">
        <v>3280</v>
      </c>
      <c r="C3505" s="4" t="s">
        <v>65</v>
      </c>
      <c r="D3505" s="10">
        <v>258</v>
      </c>
      <c r="E3505" s="12" t="s">
        <v>66</v>
      </c>
      <c r="F3505" s="10">
        <v>424</v>
      </c>
      <c r="G3505" s="10">
        <v>0</v>
      </c>
      <c r="H3505" s="10">
        <f t="shared" si="54"/>
        <v>424</v>
      </c>
      <c r="I3505" s="10">
        <v>106</v>
      </c>
      <c r="J3505" s="10">
        <v>106</v>
      </c>
      <c r="K3505" s="10">
        <v>106</v>
      </c>
      <c r="L3505" s="4"/>
      <c r="M3505" s="4">
        <v>3500</v>
      </c>
    </row>
    <row r="3506" spans="1:13" x14ac:dyDescent="0.25">
      <c r="A3506" s="4" t="s">
        <v>3281</v>
      </c>
      <c r="B3506" s="4" t="s">
        <v>3282</v>
      </c>
      <c r="C3506" s="4" t="s">
        <v>68</v>
      </c>
      <c r="D3506" s="10">
        <v>425.7</v>
      </c>
      <c r="E3506" s="11" t="s">
        <v>51</v>
      </c>
      <c r="F3506" s="10">
        <v>11550</v>
      </c>
      <c r="G3506" s="10">
        <v>0</v>
      </c>
      <c r="H3506" s="10">
        <f t="shared" si="54"/>
        <v>11550</v>
      </c>
      <c r="I3506" s="10"/>
      <c r="J3506" s="10"/>
      <c r="K3506" s="10"/>
      <c r="L3506" s="4" t="s">
        <v>69</v>
      </c>
      <c r="M3506" s="4">
        <v>3501</v>
      </c>
    </row>
    <row r="3507" spans="1:13" x14ac:dyDescent="0.25">
      <c r="A3507" s="4" t="s">
        <v>3283</v>
      </c>
      <c r="B3507" s="4" t="s">
        <v>3284</v>
      </c>
      <c r="C3507" s="9" t="s">
        <v>50</v>
      </c>
      <c r="D3507" s="10">
        <v>2</v>
      </c>
      <c r="E3507" s="11" t="s">
        <v>51</v>
      </c>
      <c r="F3507" s="10">
        <v>250</v>
      </c>
      <c r="G3507" s="10">
        <v>0</v>
      </c>
      <c r="H3507" s="10">
        <f t="shared" si="54"/>
        <v>250</v>
      </c>
      <c r="I3507" s="10"/>
      <c r="J3507" s="10"/>
      <c r="K3507" s="10"/>
      <c r="L3507" s="4" t="s">
        <v>52</v>
      </c>
      <c r="M3507" s="4">
        <v>3502</v>
      </c>
    </row>
    <row r="3508" spans="1:13" x14ac:dyDescent="0.25">
      <c r="A3508" s="4" t="s">
        <v>3283</v>
      </c>
      <c r="B3508" s="4" t="s">
        <v>3223</v>
      </c>
      <c r="C3508" s="4" t="s">
        <v>68</v>
      </c>
      <c r="D3508" s="10">
        <v>36</v>
      </c>
      <c r="E3508" s="11" t="s">
        <v>51</v>
      </c>
      <c r="F3508" s="10">
        <v>4000</v>
      </c>
      <c r="G3508" s="10">
        <v>0</v>
      </c>
      <c r="H3508" s="10">
        <f t="shared" si="54"/>
        <v>4000</v>
      </c>
      <c r="I3508" s="10"/>
      <c r="J3508" s="10"/>
      <c r="K3508" s="10"/>
      <c r="L3508" s="4" t="s">
        <v>69</v>
      </c>
      <c r="M3508" s="4">
        <v>3503</v>
      </c>
    </row>
    <row r="3509" spans="1:13" x14ac:dyDescent="0.25">
      <c r="A3509" s="4" t="s">
        <v>3283</v>
      </c>
      <c r="B3509" s="4" t="s">
        <v>3285</v>
      </c>
      <c r="C3509" s="9" t="s">
        <v>50</v>
      </c>
      <c r="D3509" s="10">
        <v>36.5</v>
      </c>
      <c r="E3509" s="11" t="s">
        <v>51</v>
      </c>
      <c r="F3509" s="10">
        <v>4100</v>
      </c>
      <c r="G3509" s="10">
        <v>0</v>
      </c>
      <c r="H3509" s="10">
        <f t="shared" si="54"/>
        <v>4100</v>
      </c>
      <c r="I3509" s="10"/>
      <c r="J3509" s="10"/>
      <c r="K3509" s="10"/>
      <c r="L3509" s="4" t="s">
        <v>52</v>
      </c>
      <c r="M3509" s="4">
        <v>3504</v>
      </c>
    </row>
    <row r="3510" spans="1:13" x14ac:dyDescent="0.25">
      <c r="A3510" s="4" t="s">
        <v>3283</v>
      </c>
      <c r="B3510" s="4" t="s">
        <v>3286</v>
      </c>
      <c r="C3510" s="9" t="s">
        <v>50</v>
      </c>
      <c r="D3510" s="10">
        <v>46.5</v>
      </c>
      <c r="E3510" s="11" t="s">
        <v>51</v>
      </c>
      <c r="F3510" s="10">
        <v>5200</v>
      </c>
      <c r="G3510" s="10">
        <v>0</v>
      </c>
      <c r="H3510" s="10">
        <f t="shared" si="54"/>
        <v>5200</v>
      </c>
      <c r="I3510" s="10"/>
      <c r="J3510" s="10"/>
      <c r="K3510" s="10"/>
      <c r="L3510" s="4" t="s">
        <v>52</v>
      </c>
      <c r="M3510" s="4">
        <v>3505</v>
      </c>
    </row>
    <row r="3511" spans="1:13" x14ac:dyDescent="0.25">
      <c r="A3511" s="4" t="s">
        <v>3283</v>
      </c>
      <c r="B3511" s="4" t="s">
        <v>3287</v>
      </c>
      <c r="C3511" s="9" t="s">
        <v>50</v>
      </c>
      <c r="D3511" s="10">
        <v>36.5</v>
      </c>
      <c r="E3511" s="11" t="s">
        <v>51</v>
      </c>
      <c r="F3511" s="10">
        <v>4100</v>
      </c>
      <c r="G3511" s="10">
        <v>0</v>
      </c>
      <c r="H3511" s="10">
        <f t="shared" si="54"/>
        <v>4100</v>
      </c>
      <c r="I3511" s="10"/>
      <c r="J3511" s="10"/>
      <c r="K3511" s="10"/>
      <c r="L3511" s="4" t="s">
        <v>52</v>
      </c>
      <c r="M3511" s="4">
        <v>3506</v>
      </c>
    </row>
    <row r="3512" spans="1:13" x14ac:dyDescent="0.25">
      <c r="A3512" s="4" t="s">
        <v>3283</v>
      </c>
      <c r="B3512" s="4" t="s">
        <v>3288</v>
      </c>
      <c r="C3512" s="9" t="s">
        <v>50</v>
      </c>
      <c r="D3512" s="10">
        <v>44</v>
      </c>
      <c r="E3512" s="11" t="s">
        <v>51</v>
      </c>
      <c r="F3512" s="10">
        <v>4900</v>
      </c>
      <c r="G3512" s="10">
        <v>0</v>
      </c>
      <c r="H3512" s="10">
        <f t="shared" si="54"/>
        <v>4900</v>
      </c>
      <c r="I3512" s="10"/>
      <c r="J3512" s="10"/>
      <c r="K3512" s="10"/>
      <c r="L3512" s="4" t="s">
        <v>52</v>
      </c>
      <c r="M3512" s="4">
        <v>3507</v>
      </c>
    </row>
    <row r="3513" spans="1:13" x14ac:dyDescent="0.25">
      <c r="A3513" s="4" t="s">
        <v>3283</v>
      </c>
      <c r="B3513" s="4" t="s">
        <v>3289</v>
      </c>
      <c r="C3513" s="9" t="s">
        <v>50</v>
      </c>
      <c r="D3513" s="10">
        <v>114.2</v>
      </c>
      <c r="E3513" s="11" t="s">
        <v>51</v>
      </c>
      <c r="F3513" s="10">
        <v>8750</v>
      </c>
      <c r="G3513" s="10">
        <v>0</v>
      </c>
      <c r="H3513" s="10">
        <f t="shared" si="54"/>
        <v>8750</v>
      </c>
      <c r="I3513" s="10"/>
      <c r="J3513" s="10"/>
      <c r="K3513" s="10"/>
      <c r="L3513" s="4" t="s">
        <v>52</v>
      </c>
      <c r="M3513" s="4">
        <v>3508</v>
      </c>
    </row>
    <row r="3514" spans="1:13" x14ac:dyDescent="0.25">
      <c r="A3514" s="4" t="s">
        <v>3283</v>
      </c>
      <c r="B3514" s="4" t="s">
        <v>3290</v>
      </c>
      <c r="C3514" s="9" t="s">
        <v>50</v>
      </c>
      <c r="D3514" s="10">
        <v>24.5</v>
      </c>
      <c r="E3514" s="11" t="s">
        <v>51</v>
      </c>
      <c r="F3514" s="10">
        <v>2750</v>
      </c>
      <c r="G3514" s="10">
        <v>0</v>
      </c>
      <c r="H3514" s="10">
        <f t="shared" si="54"/>
        <v>2750</v>
      </c>
      <c r="I3514" s="10"/>
      <c r="J3514" s="10"/>
      <c r="K3514" s="10"/>
      <c r="L3514" s="4" t="s">
        <v>52</v>
      </c>
      <c r="M3514" s="4">
        <v>3509</v>
      </c>
    </row>
    <row r="3515" spans="1:13" x14ac:dyDescent="0.25">
      <c r="A3515" s="4" t="s">
        <v>3283</v>
      </c>
      <c r="B3515" s="4" t="s">
        <v>3291</v>
      </c>
      <c r="C3515" s="9" t="s">
        <v>50</v>
      </c>
      <c r="D3515" s="10">
        <v>56</v>
      </c>
      <c r="E3515" s="11" t="s">
        <v>51</v>
      </c>
      <c r="F3515" s="10">
        <v>1250</v>
      </c>
      <c r="G3515" s="10">
        <v>0</v>
      </c>
      <c r="H3515" s="10">
        <f t="shared" si="54"/>
        <v>1250</v>
      </c>
      <c r="I3515" s="10"/>
      <c r="J3515" s="10"/>
      <c r="K3515" s="10"/>
      <c r="L3515" s="4" t="s">
        <v>52</v>
      </c>
      <c r="M3515" s="4">
        <v>3510</v>
      </c>
    </row>
    <row r="3516" spans="1:13" x14ac:dyDescent="0.25">
      <c r="A3516" s="4" t="s">
        <v>3292</v>
      </c>
      <c r="B3516" s="4" t="s">
        <v>3293</v>
      </c>
      <c r="C3516" s="9" t="s">
        <v>50</v>
      </c>
      <c r="D3516" s="10">
        <v>40</v>
      </c>
      <c r="E3516" s="11" t="s">
        <v>51</v>
      </c>
      <c r="F3516" s="10">
        <v>4850</v>
      </c>
      <c r="G3516" s="10">
        <v>0</v>
      </c>
      <c r="H3516" s="10">
        <f t="shared" si="54"/>
        <v>4850</v>
      </c>
      <c r="I3516" s="10"/>
      <c r="J3516" s="10"/>
      <c r="K3516" s="10"/>
      <c r="L3516" s="4" t="s">
        <v>52</v>
      </c>
      <c r="M3516" s="4">
        <v>3511</v>
      </c>
    </row>
    <row r="3517" spans="1:13" x14ac:dyDescent="0.25">
      <c r="A3517" s="4" t="s">
        <v>3292</v>
      </c>
      <c r="B3517" s="4" t="s">
        <v>451</v>
      </c>
      <c r="C3517" s="4" t="s">
        <v>68</v>
      </c>
      <c r="D3517" s="10">
        <v>16</v>
      </c>
      <c r="E3517" s="11" t="s">
        <v>51</v>
      </c>
      <c r="F3517" s="10">
        <v>1680</v>
      </c>
      <c r="G3517" s="10">
        <v>0</v>
      </c>
      <c r="H3517" s="10">
        <f t="shared" si="54"/>
        <v>1680</v>
      </c>
      <c r="I3517" s="10"/>
      <c r="J3517" s="10"/>
      <c r="K3517" s="10"/>
      <c r="L3517" s="4" t="s">
        <v>69</v>
      </c>
      <c r="M3517" s="4">
        <v>3512</v>
      </c>
    </row>
    <row r="3518" spans="1:13" x14ac:dyDescent="0.25">
      <c r="A3518" s="4" t="s">
        <v>3294</v>
      </c>
      <c r="B3518" s="4" t="s">
        <v>3295</v>
      </c>
      <c r="C3518" s="9" t="s">
        <v>50</v>
      </c>
      <c r="D3518" s="10">
        <v>17</v>
      </c>
      <c r="E3518" s="11" t="s">
        <v>51</v>
      </c>
      <c r="F3518" s="10">
        <v>1900</v>
      </c>
      <c r="G3518" s="10">
        <v>0</v>
      </c>
      <c r="H3518" s="10">
        <f t="shared" si="54"/>
        <v>1900</v>
      </c>
      <c r="I3518" s="10"/>
      <c r="J3518" s="10"/>
      <c r="K3518" s="10"/>
      <c r="L3518" s="4" t="s">
        <v>52</v>
      </c>
      <c r="M3518" s="4">
        <v>3513</v>
      </c>
    </row>
    <row r="3519" spans="1:13" x14ac:dyDescent="0.25">
      <c r="A3519" s="4" t="s">
        <v>3296</v>
      </c>
      <c r="B3519" s="4" t="s">
        <v>3297</v>
      </c>
      <c r="C3519" s="9" t="s">
        <v>50</v>
      </c>
      <c r="D3519" s="10">
        <v>125</v>
      </c>
      <c r="E3519" s="11" t="s">
        <v>51</v>
      </c>
      <c r="F3519" s="10">
        <v>1350</v>
      </c>
      <c r="G3519" s="10">
        <v>0</v>
      </c>
      <c r="H3519" s="10">
        <f t="shared" si="54"/>
        <v>1350</v>
      </c>
      <c r="I3519" s="10"/>
      <c r="J3519" s="10"/>
      <c r="K3519" s="10"/>
      <c r="L3519" s="4" t="s">
        <v>52</v>
      </c>
      <c r="M3519" s="4">
        <v>3514</v>
      </c>
    </row>
    <row r="3520" spans="1:13" x14ac:dyDescent="0.25">
      <c r="A3520" s="4" t="s">
        <v>3298</v>
      </c>
      <c r="B3520" s="4" t="s">
        <v>958</v>
      </c>
      <c r="C3520" s="9" t="s">
        <v>50</v>
      </c>
      <c r="D3520" s="10">
        <v>74</v>
      </c>
      <c r="E3520" s="11" t="s">
        <v>51</v>
      </c>
      <c r="F3520" s="10">
        <v>6950</v>
      </c>
      <c r="G3520" s="10">
        <v>0</v>
      </c>
      <c r="H3520" s="10">
        <f t="shared" si="54"/>
        <v>6950</v>
      </c>
      <c r="I3520" s="10"/>
      <c r="J3520" s="10"/>
      <c r="K3520" s="10"/>
      <c r="L3520" s="4" t="s">
        <v>52</v>
      </c>
      <c r="M3520" s="4">
        <v>3515</v>
      </c>
    </row>
    <row r="3521" spans="1:13" x14ac:dyDescent="0.25">
      <c r="A3521" s="4" t="s">
        <v>3298</v>
      </c>
      <c r="B3521" s="4" t="s">
        <v>1012</v>
      </c>
      <c r="C3521" s="9" t="s">
        <v>50</v>
      </c>
      <c r="D3521" s="10">
        <v>9</v>
      </c>
      <c r="E3521" s="11" t="s">
        <v>51</v>
      </c>
      <c r="F3521" s="10">
        <v>1000</v>
      </c>
      <c r="G3521" s="10">
        <v>0</v>
      </c>
      <c r="H3521" s="10">
        <f t="shared" si="54"/>
        <v>1000</v>
      </c>
      <c r="I3521" s="10"/>
      <c r="J3521" s="10"/>
      <c r="K3521" s="10"/>
      <c r="L3521" s="4" t="s">
        <v>52</v>
      </c>
      <c r="M3521" s="4">
        <v>3516</v>
      </c>
    </row>
    <row r="3522" spans="1:13" x14ac:dyDescent="0.25">
      <c r="A3522" s="4" t="s">
        <v>3298</v>
      </c>
      <c r="B3522" s="4" t="s">
        <v>3299</v>
      </c>
      <c r="C3522" s="9" t="s">
        <v>50</v>
      </c>
      <c r="D3522" s="10">
        <v>82</v>
      </c>
      <c r="E3522" s="11" t="s">
        <v>51</v>
      </c>
      <c r="F3522" s="10">
        <v>1500</v>
      </c>
      <c r="G3522" s="10">
        <v>0</v>
      </c>
      <c r="H3522" s="10">
        <f t="shared" si="54"/>
        <v>1500</v>
      </c>
      <c r="I3522" s="10"/>
      <c r="J3522" s="10"/>
      <c r="K3522" s="10"/>
      <c r="L3522" s="4" t="s">
        <v>52</v>
      </c>
      <c r="M3522" s="4">
        <v>3517</v>
      </c>
    </row>
    <row r="3523" spans="1:13" x14ac:dyDescent="0.25">
      <c r="A3523" s="4" t="s">
        <v>3300</v>
      </c>
      <c r="B3523" s="4" t="s">
        <v>3301</v>
      </c>
      <c r="C3523" s="4" t="s">
        <v>65</v>
      </c>
      <c r="D3523" s="10">
        <v>25</v>
      </c>
      <c r="E3523" s="12" t="s">
        <v>66</v>
      </c>
      <c r="F3523" s="10">
        <v>3450</v>
      </c>
      <c r="G3523" s="10">
        <v>0</v>
      </c>
      <c r="H3523" s="10">
        <f t="shared" si="54"/>
        <v>3450</v>
      </c>
      <c r="I3523" s="10">
        <v>138</v>
      </c>
      <c r="J3523" s="10">
        <v>138</v>
      </c>
      <c r="K3523" s="10">
        <v>138</v>
      </c>
      <c r="L3523" s="4"/>
      <c r="M3523" s="4">
        <v>3518</v>
      </c>
    </row>
    <row r="3524" spans="1:13" x14ac:dyDescent="0.25">
      <c r="A3524" s="4" t="s">
        <v>3300</v>
      </c>
      <c r="B3524" s="4" t="s">
        <v>3302</v>
      </c>
      <c r="C3524" s="4" t="s">
        <v>68</v>
      </c>
      <c r="D3524" s="10">
        <v>16</v>
      </c>
      <c r="E3524" s="11" t="s">
        <v>51</v>
      </c>
      <c r="F3524" s="10">
        <v>1920</v>
      </c>
      <c r="G3524" s="10">
        <v>0</v>
      </c>
      <c r="H3524" s="10">
        <f t="shared" si="54"/>
        <v>1920</v>
      </c>
      <c r="I3524" s="10"/>
      <c r="J3524" s="10"/>
      <c r="K3524" s="10"/>
      <c r="L3524" s="4" t="s">
        <v>69</v>
      </c>
      <c r="M3524" s="4">
        <v>3519</v>
      </c>
    </row>
    <row r="3525" spans="1:13" x14ac:dyDescent="0.25">
      <c r="A3525" s="4" t="s">
        <v>3300</v>
      </c>
      <c r="B3525" s="4" t="s">
        <v>1820</v>
      </c>
      <c r="C3525" s="4" t="s">
        <v>68</v>
      </c>
      <c r="D3525" s="10">
        <v>397.5</v>
      </c>
      <c r="E3525" s="11" t="s">
        <v>51</v>
      </c>
      <c r="F3525" s="10">
        <v>1920</v>
      </c>
      <c r="G3525" s="10">
        <v>0</v>
      </c>
      <c r="H3525" s="10">
        <f t="shared" si="54"/>
        <v>1920</v>
      </c>
      <c r="I3525" s="10"/>
      <c r="J3525" s="10"/>
      <c r="K3525" s="10"/>
      <c r="L3525" s="4" t="s">
        <v>69</v>
      </c>
      <c r="M3525" s="4">
        <v>3520</v>
      </c>
    </row>
    <row r="3526" spans="1:13" x14ac:dyDescent="0.25">
      <c r="A3526" s="4" t="s">
        <v>3303</v>
      </c>
      <c r="B3526" s="4" t="s">
        <v>3304</v>
      </c>
      <c r="C3526" s="9" t="s">
        <v>50</v>
      </c>
      <c r="D3526" s="10">
        <v>2</v>
      </c>
      <c r="E3526" s="11" t="s">
        <v>51</v>
      </c>
      <c r="F3526" s="10">
        <v>250</v>
      </c>
      <c r="G3526" s="10">
        <v>0</v>
      </c>
      <c r="H3526" s="10">
        <f t="shared" ref="H3526:H3589" si="55">F3526-G3526</f>
        <v>250</v>
      </c>
      <c r="I3526" s="10"/>
      <c r="J3526" s="10"/>
      <c r="K3526" s="10"/>
      <c r="L3526" s="4" t="s">
        <v>52</v>
      </c>
      <c r="M3526" s="4">
        <v>3521</v>
      </c>
    </row>
    <row r="3527" spans="1:13" x14ac:dyDescent="0.25">
      <c r="A3527" s="4" t="s">
        <v>3303</v>
      </c>
      <c r="B3527" s="4" t="s">
        <v>3305</v>
      </c>
      <c r="C3527" s="9" t="s">
        <v>50</v>
      </c>
      <c r="D3527" s="10">
        <v>5</v>
      </c>
      <c r="E3527" s="11" t="s">
        <v>51</v>
      </c>
      <c r="F3527" s="10">
        <v>600</v>
      </c>
      <c r="G3527" s="10">
        <v>0</v>
      </c>
      <c r="H3527" s="10">
        <f t="shared" si="55"/>
        <v>600</v>
      </c>
      <c r="I3527" s="10"/>
      <c r="J3527" s="10"/>
      <c r="K3527" s="10"/>
      <c r="L3527" s="4" t="s">
        <v>52</v>
      </c>
      <c r="M3527" s="4">
        <v>3522</v>
      </c>
    </row>
    <row r="3528" spans="1:13" x14ac:dyDescent="0.25">
      <c r="A3528" s="4" t="s">
        <v>3303</v>
      </c>
      <c r="B3528" s="4" t="s">
        <v>3306</v>
      </c>
      <c r="C3528" s="9" t="s">
        <v>50</v>
      </c>
      <c r="D3528" s="10">
        <v>40</v>
      </c>
      <c r="E3528" s="11" t="s">
        <v>51</v>
      </c>
      <c r="F3528" s="10">
        <v>4450</v>
      </c>
      <c r="G3528" s="10">
        <v>0</v>
      </c>
      <c r="H3528" s="10">
        <f t="shared" si="55"/>
        <v>4450</v>
      </c>
      <c r="I3528" s="10"/>
      <c r="J3528" s="10"/>
      <c r="K3528" s="10"/>
      <c r="L3528" s="4" t="s">
        <v>52</v>
      </c>
      <c r="M3528" s="4">
        <v>3523</v>
      </c>
    </row>
    <row r="3529" spans="1:13" x14ac:dyDescent="0.25">
      <c r="A3529" s="4" t="s">
        <v>3303</v>
      </c>
      <c r="B3529" s="4" t="s">
        <v>3307</v>
      </c>
      <c r="C3529" s="9" t="s">
        <v>50</v>
      </c>
      <c r="D3529" s="10">
        <v>45</v>
      </c>
      <c r="E3529" s="11" t="s">
        <v>51</v>
      </c>
      <c r="F3529" s="10">
        <v>5000</v>
      </c>
      <c r="G3529" s="10">
        <v>0</v>
      </c>
      <c r="H3529" s="10">
        <f t="shared" si="55"/>
        <v>5000</v>
      </c>
      <c r="I3529" s="10"/>
      <c r="J3529" s="10"/>
      <c r="K3529" s="10"/>
      <c r="L3529" s="4" t="s">
        <v>52</v>
      </c>
      <c r="M3529" s="4">
        <v>3524</v>
      </c>
    </row>
    <row r="3530" spans="1:13" x14ac:dyDescent="0.25">
      <c r="A3530" s="4" t="s">
        <v>3303</v>
      </c>
      <c r="B3530" s="4" t="s">
        <v>3308</v>
      </c>
      <c r="C3530" s="4" t="s">
        <v>68</v>
      </c>
      <c r="D3530" s="10">
        <v>15</v>
      </c>
      <c r="E3530" s="11" t="s">
        <v>51</v>
      </c>
      <c r="F3530" s="10">
        <v>1500</v>
      </c>
      <c r="G3530" s="10">
        <v>0</v>
      </c>
      <c r="H3530" s="10">
        <f t="shared" si="55"/>
        <v>1500</v>
      </c>
      <c r="I3530" s="10"/>
      <c r="J3530" s="10"/>
      <c r="K3530" s="10"/>
      <c r="L3530" s="4" t="s">
        <v>69</v>
      </c>
      <c r="M3530" s="4">
        <v>3525</v>
      </c>
    </row>
    <row r="3531" spans="1:13" x14ac:dyDescent="0.25">
      <c r="A3531" s="4" t="s">
        <v>3303</v>
      </c>
      <c r="B3531" s="4" t="s">
        <v>3309</v>
      </c>
      <c r="C3531" s="9" t="s">
        <v>50</v>
      </c>
      <c r="D3531" s="10">
        <v>40</v>
      </c>
      <c r="E3531" s="11" t="s">
        <v>51</v>
      </c>
      <c r="F3531" s="10">
        <v>4450</v>
      </c>
      <c r="G3531" s="10">
        <v>0</v>
      </c>
      <c r="H3531" s="10">
        <f t="shared" si="55"/>
        <v>4450</v>
      </c>
      <c r="I3531" s="10"/>
      <c r="J3531" s="10"/>
      <c r="K3531" s="10"/>
      <c r="L3531" s="4" t="s">
        <v>52</v>
      </c>
      <c r="M3531" s="4">
        <v>3526</v>
      </c>
    </row>
    <row r="3532" spans="1:13" x14ac:dyDescent="0.25">
      <c r="A3532" s="4" t="s">
        <v>3303</v>
      </c>
      <c r="B3532" s="4" t="s">
        <v>3310</v>
      </c>
      <c r="C3532" s="4" t="s">
        <v>65</v>
      </c>
      <c r="D3532" s="10">
        <v>42.5</v>
      </c>
      <c r="E3532" s="12" t="s">
        <v>66</v>
      </c>
      <c r="F3532" s="10">
        <v>4750</v>
      </c>
      <c r="G3532" s="10">
        <v>0</v>
      </c>
      <c r="H3532" s="10">
        <f t="shared" si="55"/>
        <v>4750</v>
      </c>
      <c r="I3532" s="10">
        <v>111.7647058823529</v>
      </c>
      <c r="J3532" s="10">
        <v>111.7647058823529</v>
      </c>
      <c r="K3532" s="10">
        <v>111.7647058823529</v>
      </c>
      <c r="L3532" s="4"/>
      <c r="M3532" s="4">
        <v>3527</v>
      </c>
    </row>
    <row r="3533" spans="1:13" x14ac:dyDescent="0.25">
      <c r="A3533" s="4" t="s">
        <v>3303</v>
      </c>
      <c r="B3533" s="4" t="s">
        <v>3311</v>
      </c>
      <c r="C3533" s="4" t="s">
        <v>65</v>
      </c>
      <c r="D3533" s="10">
        <v>8</v>
      </c>
      <c r="E3533" s="11" t="s">
        <v>51</v>
      </c>
      <c r="F3533" s="10"/>
      <c r="G3533" s="10">
        <v>0</v>
      </c>
      <c r="H3533" s="10">
        <f t="shared" si="55"/>
        <v>0</v>
      </c>
      <c r="I3533" s="10">
        <v>0</v>
      </c>
      <c r="J3533" s="10">
        <v>0</v>
      </c>
      <c r="K3533" s="10">
        <v>0</v>
      </c>
      <c r="L3533" s="4" t="s">
        <v>69</v>
      </c>
      <c r="M3533" s="4">
        <v>3528</v>
      </c>
    </row>
    <row r="3534" spans="1:13" x14ac:dyDescent="0.25">
      <c r="A3534" s="4" t="s">
        <v>3303</v>
      </c>
      <c r="B3534" s="4" t="s">
        <v>3312</v>
      </c>
      <c r="C3534" s="4" t="s">
        <v>65</v>
      </c>
      <c r="D3534" s="10">
        <v>76</v>
      </c>
      <c r="E3534" s="12" t="s">
        <v>66</v>
      </c>
      <c r="F3534" s="10">
        <v>8450</v>
      </c>
      <c r="G3534" s="10">
        <v>0</v>
      </c>
      <c r="H3534" s="10">
        <f t="shared" si="55"/>
        <v>8450</v>
      </c>
      <c r="I3534" s="10">
        <v>111.18421052631579</v>
      </c>
      <c r="J3534" s="10">
        <v>111.18421052631579</v>
      </c>
      <c r="K3534" s="10">
        <v>111.18421052631579</v>
      </c>
      <c r="L3534" s="4"/>
      <c r="M3534" s="4">
        <v>3529</v>
      </c>
    </row>
    <row r="3535" spans="1:13" x14ac:dyDescent="0.25">
      <c r="A3535" s="4" t="s">
        <v>3303</v>
      </c>
      <c r="B3535" s="4" t="s">
        <v>3313</v>
      </c>
      <c r="C3535" s="4" t="s">
        <v>65</v>
      </c>
      <c r="D3535" s="10">
        <v>28.5</v>
      </c>
      <c r="E3535" s="12" t="s">
        <v>66</v>
      </c>
      <c r="F3535" s="10">
        <v>3200</v>
      </c>
      <c r="G3535" s="10">
        <v>0</v>
      </c>
      <c r="H3535" s="10">
        <f t="shared" si="55"/>
        <v>3200</v>
      </c>
      <c r="I3535" s="10">
        <v>112.280701754386</v>
      </c>
      <c r="J3535" s="10">
        <v>112.280701754386</v>
      </c>
      <c r="K3535" s="10">
        <v>112.280701754386</v>
      </c>
      <c r="L3535" s="4"/>
      <c r="M3535" s="4">
        <v>3530</v>
      </c>
    </row>
    <row r="3536" spans="1:13" x14ac:dyDescent="0.25">
      <c r="A3536" s="4" t="s">
        <v>3303</v>
      </c>
      <c r="B3536" s="4" t="s">
        <v>3314</v>
      </c>
      <c r="C3536" s="4" t="s">
        <v>65</v>
      </c>
      <c r="D3536" s="10">
        <v>5</v>
      </c>
      <c r="E3536" s="12" t="s">
        <v>66</v>
      </c>
      <c r="F3536" s="10">
        <v>600</v>
      </c>
      <c r="G3536" s="10">
        <v>0</v>
      </c>
      <c r="H3536" s="10">
        <f t="shared" si="55"/>
        <v>600</v>
      </c>
      <c r="I3536" s="10">
        <v>120</v>
      </c>
      <c r="J3536" s="10">
        <v>120</v>
      </c>
      <c r="K3536" s="10">
        <v>120</v>
      </c>
      <c r="L3536" s="4"/>
      <c r="M3536" s="4">
        <v>3531</v>
      </c>
    </row>
    <row r="3537" spans="1:13" x14ac:dyDescent="0.25">
      <c r="A3537" s="4" t="s">
        <v>3303</v>
      </c>
      <c r="B3537" s="4" t="s">
        <v>3315</v>
      </c>
      <c r="C3537" s="4" t="s">
        <v>65</v>
      </c>
      <c r="D3537" s="10">
        <v>49.5</v>
      </c>
      <c r="E3537" s="12" t="s">
        <v>66</v>
      </c>
      <c r="F3537" s="10">
        <v>3300</v>
      </c>
      <c r="G3537" s="10">
        <v>0</v>
      </c>
      <c r="H3537" s="10">
        <f t="shared" si="55"/>
        <v>3300</v>
      </c>
      <c r="I3537" s="10">
        <v>66.666666666666671</v>
      </c>
      <c r="J3537" s="10">
        <v>66.666666666666671</v>
      </c>
      <c r="K3537" s="10">
        <v>66.666666666666671</v>
      </c>
      <c r="L3537" s="4"/>
      <c r="M3537" s="4">
        <v>3532</v>
      </c>
    </row>
    <row r="3538" spans="1:13" x14ac:dyDescent="0.25">
      <c r="A3538" s="4" t="s">
        <v>3303</v>
      </c>
      <c r="B3538" s="4" t="s">
        <v>3316</v>
      </c>
      <c r="C3538" s="4" t="s">
        <v>65</v>
      </c>
      <c r="D3538" s="10">
        <v>81</v>
      </c>
      <c r="E3538" s="12" t="s">
        <v>66</v>
      </c>
      <c r="F3538" s="10">
        <v>2750</v>
      </c>
      <c r="G3538" s="10">
        <v>0</v>
      </c>
      <c r="H3538" s="10">
        <f t="shared" si="55"/>
        <v>2750</v>
      </c>
      <c r="I3538" s="10">
        <v>67.073170731707322</v>
      </c>
      <c r="J3538" s="10">
        <v>67.073170731707322</v>
      </c>
      <c r="K3538" s="10">
        <v>67.073170731707322</v>
      </c>
      <c r="L3538" s="4"/>
      <c r="M3538" s="4">
        <v>3533</v>
      </c>
    </row>
    <row r="3539" spans="1:13" x14ac:dyDescent="0.25">
      <c r="A3539" s="4" t="s">
        <v>3317</v>
      </c>
      <c r="B3539" s="4" t="s">
        <v>3318</v>
      </c>
      <c r="C3539" s="9" t="s">
        <v>50</v>
      </c>
      <c r="D3539" s="10">
        <v>80</v>
      </c>
      <c r="E3539" s="11" t="s">
        <v>51</v>
      </c>
      <c r="F3539" s="10">
        <v>4000</v>
      </c>
      <c r="G3539" s="10">
        <v>0</v>
      </c>
      <c r="H3539" s="10">
        <f t="shared" si="55"/>
        <v>4000</v>
      </c>
      <c r="I3539" s="10"/>
      <c r="J3539" s="10"/>
      <c r="K3539" s="10"/>
      <c r="L3539" s="4" t="s">
        <v>52</v>
      </c>
      <c r="M3539" s="4">
        <v>3534</v>
      </c>
    </row>
    <row r="3540" spans="1:13" x14ac:dyDescent="0.25">
      <c r="A3540" s="4" t="s">
        <v>3319</v>
      </c>
      <c r="B3540" s="4" t="s">
        <v>3320</v>
      </c>
      <c r="C3540" s="4" t="s">
        <v>65</v>
      </c>
      <c r="D3540" s="10">
        <v>373</v>
      </c>
      <c r="E3540" s="12" t="s">
        <v>66</v>
      </c>
      <c r="F3540" s="10">
        <v>4250</v>
      </c>
      <c r="G3540" s="10">
        <v>0</v>
      </c>
      <c r="H3540" s="10">
        <f t="shared" si="55"/>
        <v>4250</v>
      </c>
      <c r="I3540" s="10">
        <v>106.25</v>
      </c>
      <c r="J3540" s="10">
        <v>106.25</v>
      </c>
      <c r="K3540" s="10">
        <v>106.25</v>
      </c>
      <c r="L3540" s="4"/>
      <c r="M3540" s="4">
        <v>3535</v>
      </c>
    </row>
    <row r="3541" spans="1:13" x14ac:dyDescent="0.25">
      <c r="A3541" s="4" t="s">
        <v>3321</v>
      </c>
      <c r="B3541" s="4" t="s">
        <v>3284</v>
      </c>
      <c r="C3541" s="9" t="s">
        <v>50</v>
      </c>
      <c r="D3541" s="10">
        <v>3</v>
      </c>
      <c r="E3541" s="11" t="s">
        <v>51</v>
      </c>
      <c r="F3541" s="10">
        <v>200</v>
      </c>
      <c r="G3541" s="10">
        <v>0</v>
      </c>
      <c r="H3541" s="10">
        <f t="shared" si="55"/>
        <v>200</v>
      </c>
      <c r="I3541" s="10"/>
      <c r="J3541" s="10"/>
      <c r="K3541" s="10"/>
      <c r="L3541" s="4" t="s">
        <v>52</v>
      </c>
      <c r="M3541" s="4">
        <v>3536</v>
      </c>
    </row>
    <row r="3542" spans="1:13" x14ac:dyDescent="0.25">
      <c r="A3542" s="4" t="s">
        <v>3321</v>
      </c>
      <c r="B3542" s="4" t="s">
        <v>3322</v>
      </c>
      <c r="C3542" s="9" t="s">
        <v>50</v>
      </c>
      <c r="D3542" s="10">
        <v>52.5</v>
      </c>
      <c r="E3542" s="11" t="s">
        <v>51</v>
      </c>
      <c r="F3542" s="10">
        <v>5800</v>
      </c>
      <c r="G3542" s="10">
        <v>0</v>
      </c>
      <c r="H3542" s="10">
        <f t="shared" si="55"/>
        <v>5800</v>
      </c>
      <c r="I3542" s="10"/>
      <c r="J3542" s="10"/>
      <c r="K3542" s="10"/>
      <c r="L3542" s="4" t="s">
        <v>52</v>
      </c>
      <c r="M3542" s="4">
        <v>3537</v>
      </c>
    </row>
    <row r="3543" spans="1:13" x14ac:dyDescent="0.25">
      <c r="A3543" s="4" t="s">
        <v>3321</v>
      </c>
      <c r="B3543" s="4" t="s">
        <v>3286</v>
      </c>
      <c r="C3543" s="9" t="s">
        <v>50</v>
      </c>
      <c r="D3543" s="10">
        <v>35</v>
      </c>
      <c r="E3543" s="11" t="s">
        <v>51</v>
      </c>
      <c r="F3543" s="10">
        <v>3850</v>
      </c>
      <c r="G3543" s="10">
        <v>0</v>
      </c>
      <c r="H3543" s="10">
        <f t="shared" si="55"/>
        <v>3850</v>
      </c>
      <c r="I3543" s="10"/>
      <c r="J3543" s="10"/>
      <c r="K3543" s="10"/>
      <c r="L3543" s="4" t="s">
        <v>52</v>
      </c>
      <c r="M3543" s="4">
        <v>3538</v>
      </c>
    </row>
    <row r="3544" spans="1:13" x14ac:dyDescent="0.25">
      <c r="A3544" s="4" t="s">
        <v>3321</v>
      </c>
      <c r="B3544" s="4" t="s">
        <v>3287</v>
      </c>
      <c r="C3544" s="9" t="s">
        <v>50</v>
      </c>
      <c r="D3544" s="10">
        <v>39.5</v>
      </c>
      <c r="E3544" s="11" t="s">
        <v>51</v>
      </c>
      <c r="F3544" s="10">
        <v>3050</v>
      </c>
      <c r="G3544" s="10">
        <v>0</v>
      </c>
      <c r="H3544" s="10">
        <f t="shared" si="55"/>
        <v>3050</v>
      </c>
      <c r="I3544" s="10"/>
      <c r="J3544" s="10"/>
      <c r="K3544" s="10"/>
      <c r="L3544" s="4" t="s">
        <v>52</v>
      </c>
      <c r="M3544" s="4">
        <v>3539</v>
      </c>
    </row>
    <row r="3545" spans="1:13" x14ac:dyDescent="0.25">
      <c r="A3545" s="4" t="s">
        <v>3321</v>
      </c>
      <c r="B3545" s="4" t="s">
        <v>3288</v>
      </c>
      <c r="C3545" s="9" t="s">
        <v>50</v>
      </c>
      <c r="D3545" s="10">
        <v>33</v>
      </c>
      <c r="E3545" s="11" t="s">
        <v>51</v>
      </c>
      <c r="F3545" s="10">
        <v>3650</v>
      </c>
      <c r="G3545" s="10">
        <v>0</v>
      </c>
      <c r="H3545" s="10">
        <f t="shared" si="55"/>
        <v>3650</v>
      </c>
      <c r="I3545" s="10"/>
      <c r="J3545" s="10"/>
      <c r="K3545" s="10"/>
      <c r="L3545" s="4" t="s">
        <v>52</v>
      </c>
      <c r="M3545" s="4">
        <v>3540</v>
      </c>
    </row>
    <row r="3546" spans="1:13" x14ac:dyDescent="0.25">
      <c r="A3546" s="4" t="s">
        <v>3321</v>
      </c>
      <c r="B3546" s="4" t="s">
        <v>3323</v>
      </c>
      <c r="C3546" s="9" t="s">
        <v>50</v>
      </c>
      <c r="D3546" s="10">
        <v>922</v>
      </c>
      <c r="E3546" s="11" t="s">
        <v>51</v>
      </c>
      <c r="F3546" s="10">
        <v>18800</v>
      </c>
      <c r="G3546" s="10">
        <v>0</v>
      </c>
      <c r="H3546" s="10">
        <f t="shared" si="55"/>
        <v>18800</v>
      </c>
      <c r="I3546" s="10"/>
      <c r="J3546" s="10"/>
      <c r="K3546" s="10"/>
      <c r="L3546" s="4" t="s">
        <v>52</v>
      </c>
      <c r="M3546" s="4">
        <v>3541</v>
      </c>
    </row>
    <row r="3547" spans="1:13" x14ac:dyDescent="0.25">
      <c r="A3547" s="4" t="s">
        <v>3324</v>
      </c>
      <c r="B3547" s="4" t="s">
        <v>3325</v>
      </c>
      <c r="C3547" s="4" t="s">
        <v>65</v>
      </c>
      <c r="D3547" s="10">
        <v>3</v>
      </c>
      <c r="E3547" s="12" t="s">
        <v>66</v>
      </c>
      <c r="F3547" s="10">
        <v>330</v>
      </c>
      <c r="G3547" s="10">
        <v>0</v>
      </c>
      <c r="H3547" s="10">
        <f t="shared" si="55"/>
        <v>330</v>
      </c>
      <c r="I3547" s="10">
        <v>110</v>
      </c>
      <c r="J3547" s="10">
        <v>110</v>
      </c>
      <c r="K3547" s="10">
        <v>110</v>
      </c>
      <c r="L3547" s="4"/>
      <c r="M3547" s="4">
        <v>3542</v>
      </c>
    </row>
    <row r="3548" spans="1:13" x14ac:dyDescent="0.25">
      <c r="A3548" s="4" t="s">
        <v>3324</v>
      </c>
      <c r="B3548" s="4" t="s">
        <v>3326</v>
      </c>
      <c r="C3548" s="4" t="s">
        <v>65</v>
      </c>
      <c r="D3548" s="10">
        <v>46</v>
      </c>
      <c r="E3548" s="12" t="s">
        <v>66</v>
      </c>
      <c r="F3548" s="10">
        <v>7180</v>
      </c>
      <c r="G3548" s="10">
        <v>0</v>
      </c>
      <c r="H3548" s="10">
        <f t="shared" si="55"/>
        <v>7180</v>
      </c>
      <c r="I3548" s="10">
        <v>156.0869565217391</v>
      </c>
      <c r="J3548" s="10">
        <v>156.0869565217391</v>
      </c>
      <c r="K3548" s="10">
        <v>156.0869565217391</v>
      </c>
      <c r="L3548" s="4"/>
      <c r="M3548" s="4">
        <v>3543</v>
      </c>
    </row>
    <row r="3549" spans="1:13" x14ac:dyDescent="0.25">
      <c r="A3549" s="4" t="s">
        <v>3324</v>
      </c>
      <c r="B3549" s="4" t="s">
        <v>3327</v>
      </c>
      <c r="C3549" s="4" t="s">
        <v>65</v>
      </c>
      <c r="D3549" s="10">
        <v>64</v>
      </c>
      <c r="E3549" s="12" t="s">
        <v>66</v>
      </c>
      <c r="F3549" s="10">
        <v>7040</v>
      </c>
      <c r="G3549" s="10">
        <v>0</v>
      </c>
      <c r="H3549" s="10">
        <f t="shared" si="55"/>
        <v>7040</v>
      </c>
      <c r="I3549" s="10">
        <v>110</v>
      </c>
      <c r="J3549" s="10">
        <v>110</v>
      </c>
      <c r="K3549" s="10">
        <v>110</v>
      </c>
      <c r="L3549" s="4"/>
      <c r="M3549" s="4">
        <v>3544</v>
      </c>
    </row>
    <row r="3550" spans="1:13" x14ac:dyDescent="0.25">
      <c r="A3550" s="4" t="s">
        <v>3324</v>
      </c>
      <c r="B3550" s="4" t="s">
        <v>3328</v>
      </c>
      <c r="C3550" s="4" t="s">
        <v>65</v>
      </c>
      <c r="D3550" s="10">
        <v>94</v>
      </c>
      <c r="E3550" s="12" t="s">
        <v>66</v>
      </c>
      <c r="F3550" s="10">
        <v>8706</v>
      </c>
      <c r="G3550" s="10">
        <v>0</v>
      </c>
      <c r="H3550" s="10">
        <f t="shared" si="55"/>
        <v>8706</v>
      </c>
      <c r="I3550" s="10">
        <v>92.61702127659575</v>
      </c>
      <c r="J3550" s="10">
        <v>92.61702127659575</v>
      </c>
      <c r="K3550" s="10">
        <v>92.61702127659575</v>
      </c>
      <c r="L3550" s="4"/>
      <c r="M3550" s="4">
        <v>3545</v>
      </c>
    </row>
    <row r="3551" spans="1:13" x14ac:dyDescent="0.25">
      <c r="A3551" s="4" t="s">
        <v>3324</v>
      </c>
      <c r="B3551" s="4" t="s">
        <v>3329</v>
      </c>
      <c r="C3551" s="4" t="s">
        <v>65</v>
      </c>
      <c r="D3551" s="10">
        <v>40</v>
      </c>
      <c r="E3551" s="12" t="s">
        <v>66</v>
      </c>
      <c r="F3551" s="10">
        <v>4000</v>
      </c>
      <c r="G3551" s="10">
        <v>0</v>
      </c>
      <c r="H3551" s="10">
        <f t="shared" si="55"/>
        <v>4000</v>
      </c>
      <c r="I3551" s="10">
        <v>100</v>
      </c>
      <c r="J3551" s="10">
        <v>100</v>
      </c>
      <c r="K3551" s="10">
        <v>100</v>
      </c>
      <c r="L3551" s="4"/>
      <c r="M3551" s="4">
        <v>3546</v>
      </c>
    </row>
    <row r="3552" spans="1:13" x14ac:dyDescent="0.25">
      <c r="A3552" s="4" t="s">
        <v>3324</v>
      </c>
      <c r="B3552" s="4" t="s">
        <v>3330</v>
      </c>
      <c r="C3552" s="4" t="s">
        <v>65</v>
      </c>
      <c r="D3552" s="10">
        <v>112</v>
      </c>
      <c r="E3552" s="12" t="s">
        <v>66</v>
      </c>
      <c r="F3552" s="10">
        <v>12320</v>
      </c>
      <c r="G3552" s="10">
        <v>0</v>
      </c>
      <c r="H3552" s="10">
        <f t="shared" si="55"/>
        <v>12320</v>
      </c>
      <c r="I3552" s="10">
        <v>110</v>
      </c>
      <c r="J3552" s="10">
        <v>110</v>
      </c>
      <c r="K3552" s="10">
        <v>110</v>
      </c>
      <c r="L3552" s="4"/>
      <c r="M3552" s="4">
        <v>3547</v>
      </c>
    </row>
    <row r="3553" spans="1:13" x14ac:dyDescent="0.25">
      <c r="A3553" s="4" t="s">
        <v>3324</v>
      </c>
      <c r="B3553" s="4" t="s">
        <v>3331</v>
      </c>
      <c r="C3553" s="4" t="s">
        <v>65</v>
      </c>
      <c r="D3553" s="10">
        <v>76</v>
      </c>
      <c r="E3553" s="12" t="s">
        <v>66</v>
      </c>
      <c r="F3553" s="10">
        <v>8630</v>
      </c>
      <c r="G3553" s="10">
        <v>0</v>
      </c>
      <c r="H3553" s="10">
        <f t="shared" si="55"/>
        <v>8630</v>
      </c>
      <c r="I3553" s="10">
        <v>113.5526315789474</v>
      </c>
      <c r="J3553" s="10">
        <v>113.5526315789474</v>
      </c>
      <c r="K3553" s="10">
        <v>113.5526315789474</v>
      </c>
      <c r="L3553" s="4"/>
      <c r="M3553" s="4">
        <v>3548</v>
      </c>
    </row>
    <row r="3554" spans="1:13" x14ac:dyDescent="0.25">
      <c r="A3554" s="4" t="s">
        <v>3324</v>
      </c>
      <c r="B3554" s="4" t="s">
        <v>3332</v>
      </c>
      <c r="C3554" s="4" t="s">
        <v>65</v>
      </c>
      <c r="D3554" s="10">
        <v>28</v>
      </c>
      <c r="E3554" s="12" t="s">
        <v>66</v>
      </c>
      <c r="F3554" s="10">
        <v>2728</v>
      </c>
      <c r="G3554" s="10">
        <v>0</v>
      </c>
      <c r="H3554" s="10">
        <f t="shared" si="55"/>
        <v>2728</v>
      </c>
      <c r="I3554" s="10">
        <v>97.428571428571431</v>
      </c>
      <c r="J3554" s="10">
        <v>97.428571428571431</v>
      </c>
      <c r="K3554" s="10">
        <v>97.428571428571431</v>
      </c>
      <c r="L3554" s="4"/>
      <c r="M3554" s="4">
        <v>3549</v>
      </c>
    </row>
    <row r="3555" spans="1:13" x14ac:dyDescent="0.25">
      <c r="A3555" s="4" t="s">
        <v>3324</v>
      </c>
      <c r="B3555" s="4" t="s">
        <v>2215</v>
      </c>
      <c r="C3555" s="4" t="s">
        <v>65</v>
      </c>
      <c r="D3555" s="10">
        <v>194</v>
      </c>
      <c r="E3555" s="12" t="s">
        <v>66</v>
      </c>
      <c r="F3555" s="10">
        <v>23980</v>
      </c>
      <c r="G3555" s="10">
        <v>0</v>
      </c>
      <c r="H3555" s="10">
        <f t="shared" si="55"/>
        <v>23980</v>
      </c>
      <c r="I3555" s="10">
        <v>123.60824742268041</v>
      </c>
      <c r="J3555" s="10">
        <v>123.60824742268041</v>
      </c>
      <c r="K3555" s="10">
        <v>123.60824742268041</v>
      </c>
      <c r="L3555" s="4"/>
      <c r="M3555" s="4">
        <v>3550</v>
      </c>
    </row>
    <row r="3556" spans="1:13" x14ac:dyDescent="0.25">
      <c r="A3556" s="4" t="s">
        <v>3324</v>
      </c>
      <c r="B3556" s="4" t="s">
        <v>3333</v>
      </c>
      <c r="C3556" s="4" t="s">
        <v>65</v>
      </c>
      <c r="D3556" s="10">
        <v>171</v>
      </c>
      <c r="E3556" s="12" t="s">
        <v>66</v>
      </c>
      <c r="F3556" s="10">
        <v>10670</v>
      </c>
      <c r="G3556" s="10">
        <v>0</v>
      </c>
      <c r="H3556" s="10">
        <f t="shared" si="55"/>
        <v>10670</v>
      </c>
      <c r="I3556" s="10">
        <v>79.037037037037038</v>
      </c>
      <c r="J3556" s="10">
        <v>79.037037037037038</v>
      </c>
      <c r="K3556" s="10">
        <v>79.037037037037038</v>
      </c>
      <c r="L3556" s="4"/>
      <c r="M3556" s="4">
        <v>3551</v>
      </c>
    </row>
    <row r="3557" spans="1:13" x14ac:dyDescent="0.25">
      <c r="A3557" s="4" t="s">
        <v>3334</v>
      </c>
      <c r="B3557" s="4" t="s">
        <v>3335</v>
      </c>
      <c r="C3557" s="4" t="s">
        <v>68</v>
      </c>
      <c r="D3557" s="10">
        <v>20</v>
      </c>
      <c r="E3557" s="11" t="s">
        <v>51</v>
      </c>
      <c r="F3557" s="10">
        <v>2200</v>
      </c>
      <c r="G3557" s="10">
        <v>0</v>
      </c>
      <c r="H3557" s="10">
        <f t="shared" si="55"/>
        <v>2200</v>
      </c>
      <c r="I3557" s="10"/>
      <c r="J3557" s="10"/>
      <c r="K3557" s="10"/>
      <c r="L3557" s="4" t="s">
        <v>69</v>
      </c>
      <c r="M3557" s="4">
        <v>3552</v>
      </c>
    </row>
    <row r="3558" spans="1:13" x14ac:dyDescent="0.25">
      <c r="A3558" s="4" t="s">
        <v>3334</v>
      </c>
      <c r="B3558" s="4" t="s">
        <v>3336</v>
      </c>
      <c r="C3558" s="4" t="s">
        <v>68</v>
      </c>
      <c r="D3558" s="10">
        <v>44</v>
      </c>
      <c r="E3558" s="11" t="s">
        <v>51</v>
      </c>
      <c r="F3558" s="10">
        <v>1120</v>
      </c>
      <c r="G3558" s="10">
        <v>0</v>
      </c>
      <c r="H3558" s="10">
        <f t="shared" si="55"/>
        <v>1120</v>
      </c>
      <c r="I3558" s="10"/>
      <c r="J3558" s="10"/>
      <c r="K3558" s="10"/>
      <c r="L3558" s="4" t="s">
        <v>69</v>
      </c>
      <c r="M3558" s="4">
        <v>3553</v>
      </c>
    </row>
    <row r="3559" spans="1:13" x14ac:dyDescent="0.25">
      <c r="A3559" s="4" t="s">
        <v>3337</v>
      </c>
      <c r="B3559" s="4" t="s">
        <v>3338</v>
      </c>
      <c r="C3559" s="4" t="s">
        <v>68</v>
      </c>
      <c r="D3559" s="10">
        <v>16</v>
      </c>
      <c r="E3559" s="11" t="s">
        <v>51</v>
      </c>
      <c r="F3559" s="10">
        <v>1920</v>
      </c>
      <c r="G3559" s="10">
        <v>0</v>
      </c>
      <c r="H3559" s="10">
        <f t="shared" si="55"/>
        <v>1920</v>
      </c>
      <c r="I3559" s="10"/>
      <c r="J3559" s="10"/>
      <c r="K3559" s="10"/>
      <c r="L3559" s="4" t="s">
        <v>69</v>
      </c>
      <c r="M3559" s="4">
        <v>3554</v>
      </c>
    </row>
    <row r="3560" spans="1:13" x14ac:dyDescent="0.25">
      <c r="A3560" s="4" t="s">
        <v>3337</v>
      </c>
      <c r="B3560" s="4" t="s">
        <v>2804</v>
      </c>
      <c r="C3560" s="4" t="s">
        <v>65</v>
      </c>
      <c r="D3560" s="10">
        <v>17</v>
      </c>
      <c r="E3560" s="12" t="s">
        <v>66</v>
      </c>
      <c r="F3560" s="10">
        <v>1400</v>
      </c>
      <c r="G3560" s="10">
        <v>0</v>
      </c>
      <c r="H3560" s="10">
        <f t="shared" si="55"/>
        <v>1400</v>
      </c>
      <c r="I3560" s="10">
        <v>82.352941176470594</v>
      </c>
      <c r="J3560" s="10">
        <v>82.352941176470594</v>
      </c>
      <c r="K3560" s="10">
        <v>82.352941176470594</v>
      </c>
      <c r="L3560" s="4"/>
      <c r="M3560" s="4">
        <v>3555</v>
      </c>
    </row>
    <row r="3561" spans="1:13" x14ac:dyDescent="0.25">
      <c r="A3561" s="4" t="s">
        <v>3337</v>
      </c>
      <c r="B3561" s="4" t="s">
        <v>2805</v>
      </c>
      <c r="C3561" s="4" t="s">
        <v>65</v>
      </c>
      <c r="D3561" s="10">
        <v>159</v>
      </c>
      <c r="E3561" s="12" t="s">
        <v>66</v>
      </c>
      <c r="F3561" s="10">
        <v>900</v>
      </c>
      <c r="G3561" s="10">
        <v>0</v>
      </c>
      <c r="H3561" s="10">
        <f t="shared" si="55"/>
        <v>900</v>
      </c>
      <c r="I3561" s="10">
        <v>81.818181818181813</v>
      </c>
      <c r="J3561" s="10">
        <v>81.818181818181813</v>
      </c>
      <c r="K3561" s="10">
        <v>81.818181818181813</v>
      </c>
      <c r="L3561" s="4"/>
      <c r="M3561" s="4">
        <v>3556</v>
      </c>
    </row>
    <row r="3562" spans="1:13" x14ac:dyDescent="0.25">
      <c r="A3562" s="4" t="s">
        <v>3339</v>
      </c>
      <c r="B3562" s="4" t="s">
        <v>3340</v>
      </c>
      <c r="C3562" s="4" t="s">
        <v>65</v>
      </c>
      <c r="D3562" s="10">
        <v>69</v>
      </c>
      <c r="E3562" s="12" t="s">
        <v>66</v>
      </c>
      <c r="F3562" s="10">
        <v>6900</v>
      </c>
      <c r="G3562" s="10">
        <v>0</v>
      </c>
      <c r="H3562" s="10">
        <f t="shared" si="55"/>
        <v>6900</v>
      </c>
      <c r="I3562" s="10">
        <v>100</v>
      </c>
      <c r="J3562" s="10">
        <v>100</v>
      </c>
      <c r="K3562" s="10">
        <v>100</v>
      </c>
      <c r="L3562" s="4"/>
      <c r="M3562" s="4">
        <v>3557</v>
      </c>
    </row>
    <row r="3563" spans="1:13" x14ac:dyDescent="0.25">
      <c r="A3563" s="4" t="s">
        <v>3339</v>
      </c>
      <c r="B3563" s="4" t="s">
        <v>3341</v>
      </c>
      <c r="C3563" s="4" t="s">
        <v>68</v>
      </c>
      <c r="D3563" s="10">
        <v>111</v>
      </c>
      <c r="E3563" s="11" t="s">
        <v>51</v>
      </c>
      <c r="F3563" s="10">
        <v>8400</v>
      </c>
      <c r="G3563" s="10">
        <v>0</v>
      </c>
      <c r="H3563" s="10">
        <f t="shared" si="55"/>
        <v>8400</v>
      </c>
      <c r="I3563" s="10"/>
      <c r="J3563" s="10"/>
      <c r="K3563" s="10"/>
      <c r="L3563" s="4" t="s">
        <v>69</v>
      </c>
      <c r="M3563" s="4">
        <v>3558</v>
      </c>
    </row>
    <row r="3564" spans="1:13" x14ac:dyDescent="0.25">
      <c r="A3564" s="4" t="s">
        <v>3342</v>
      </c>
      <c r="B3564" s="4" t="s">
        <v>3343</v>
      </c>
      <c r="C3564" s="4" t="s">
        <v>65</v>
      </c>
      <c r="D3564" s="10">
        <v>351.5</v>
      </c>
      <c r="E3564" s="12" t="s">
        <v>66</v>
      </c>
      <c r="F3564" s="10">
        <v>2550</v>
      </c>
      <c r="G3564" s="10">
        <v>0</v>
      </c>
      <c r="H3564" s="10">
        <f t="shared" si="55"/>
        <v>2550</v>
      </c>
      <c r="I3564" s="10">
        <v>121.4285714285714</v>
      </c>
      <c r="J3564" s="10">
        <v>121.4285714285714</v>
      </c>
      <c r="K3564" s="10">
        <v>121.4285714285714</v>
      </c>
      <c r="L3564" s="4"/>
      <c r="M3564" s="4">
        <v>3559</v>
      </c>
    </row>
    <row r="3565" spans="1:13" x14ac:dyDescent="0.25">
      <c r="A3565" s="4" t="s">
        <v>3344</v>
      </c>
      <c r="B3565" s="4" t="s">
        <v>3345</v>
      </c>
      <c r="C3565" s="9" t="s">
        <v>50</v>
      </c>
      <c r="D3565" s="10">
        <v>2.5</v>
      </c>
      <c r="E3565" s="11" t="s">
        <v>51</v>
      </c>
      <c r="F3565" s="10">
        <v>200</v>
      </c>
      <c r="G3565" s="10">
        <v>0</v>
      </c>
      <c r="H3565" s="10">
        <f t="shared" si="55"/>
        <v>200</v>
      </c>
      <c r="I3565" s="10"/>
      <c r="J3565" s="10"/>
      <c r="K3565" s="10"/>
      <c r="L3565" s="4" t="s">
        <v>52</v>
      </c>
      <c r="M3565" s="4">
        <v>3560</v>
      </c>
    </row>
    <row r="3566" spans="1:13" x14ac:dyDescent="0.25">
      <c r="A3566" s="4" t="s">
        <v>3344</v>
      </c>
      <c r="B3566" s="4" t="s">
        <v>3346</v>
      </c>
      <c r="C3566" s="9" t="s">
        <v>50</v>
      </c>
      <c r="D3566" s="10">
        <v>14</v>
      </c>
      <c r="E3566" s="11" t="s">
        <v>51</v>
      </c>
      <c r="F3566" s="10">
        <v>1100</v>
      </c>
      <c r="G3566" s="10">
        <v>0</v>
      </c>
      <c r="H3566" s="10">
        <f t="shared" si="55"/>
        <v>1100</v>
      </c>
      <c r="I3566" s="10"/>
      <c r="J3566" s="10"/>
      <c r="K3566" s="10"/>
      <c r="L3566" s="4" t="s">
        <v>52</v>
      </c>
      <c r="M3566" s="4">
        <v>3561</v>
      </c>
    </row>
    <row r="3567" spans="1:13" x14ac:dyDescent="0.25">
      <c r="A3567" s="4" t="s">
        <v>3344</v>
      </c>
      <c r="B3567" s="4" t="s">
        <v>3347</v>
      </c>
      <c r="C3567" s="9" t="s">
        <v>50</v>
      </c>
      <c r="D3567" s="10">
        <v>39.5</v>
      </c>
      <c r="E3567" s="11" t="s">
        <v>51</v>
      </c>
      <c r="F3567" s="10">
        <v>3050</v>
      </c>
      <c r="G3567" s="10">
        <v>0</v>
      </c>
      <c r="H3567" s="10">
        <f t="shared" si="55"/>
        <v>3050</v>
      </c>
      <c r="I3567" s="10"/>
      <c r="J3567" s="10"/>
      <c r="K3567" s="10"/>
      <c r="L3567" s="4" t="s">
        <v>52</v>
      </c>
      <c r="M3567" s="4">
        <v>3562</v>
      </c>
    </row>
    <row r="3568" spans="1:13" x14ac:dyDescent="0.25">
      <c r="A3568" s="4" t="s">
        <v>3344</v>
      </c>
      <c r="B3568" s="4" t="s">
        <v>3348</v>
      </c>
      <c r="C3568" s="9" t="s">
        <v>50</v>
      </c>
      <c r="D3568" s="10">
        <v>26</v>
      </c>
      <c r="E3568" s="11" t="s">
        <v>51</v>
      </c>
      <c r="F3568" s="10">
        <v>2040</v>
      </c>
      <c r="G3568" s="10">
        <v>0</v>
      </c>
      <c r="H3568" s="10">
        <f t="shared" si="55"/>
        <v>2040</v>
      </c>
      <c r="I3568" s="10"/>
      <c r="J3568" s="10"/>
      <c r="K3568" s="10"/>
      <c r="L3568" s="4" t="s">
        <v>52</v>
      </c>
      <c r="M3568" s="4">
        <v>3563</v>
      </c>
    </row>
    <row r="3569" spans="1:13" x14ac:dyDescent="0.25">
      <c r="A3569" s="4" t="s">
        <v>3344</v>
      </c>
      <c r="B3569" s="4" t="s">
        <v>853</v>
      </c>
      <c r="C3569" s="4" t="s">
        <v>65</v>
      </c>
      <c r="D3569" s="10">
        <v>49.5</v>
      </c>
      <c r="E3569" s="12" t="s">
        <v>66</v>
      </c>
      <c r="F3569" s="10">
        <v>3850</v>
      </c>
      <c r="G3569" s="10">
        <v>0</v>
      </c>
      <c r="H3569" s="10">
        <f t="shared" si="55"/>
        <v>3850</v>
      </c>
      <c r="I3569" s="10">
        <v>77.777777777777771</v>
      </c>
      <c r="J3569" s="10">
        <v>77.777777777777771</v>
      </c>
      <c r="K3569" s="10">
        <v>77.777777777777771</v>
      </c>
      <c r="L3569" s="4"/>
      <c r="M3569" s="4">
        <v>3564</v>
      </c>
    </row>
    <row r="3570" spans="1:13" x14ac:dyDescent="0.25">
      <c r="A3570" s="4" t="s">
        <v>3344</v>
      </c>
      <c r="B3570" s="4" t="s">
        <v>3225</v>
      </c>
      <c r="C3570" s="4" t="s">
        <v>65</v>
      </c>
      <c r="D3570" s="10">
        <v>19</v>
      </c>
      <c r="E3570" s="12" t="s">
        <v>66</v>
      </c>
      <c r="F3570" s="10">
        <v>1500</v>
      </c>
      <c r="G3570" s="10">
        <v>0</v>
      </c>
      <c r="H3570" s="10">
        <f t="shared" si="55"/>
        <v>1500</v>
      </c>
      <c r="I3570" s="10">
        <v>78.94736842105263</v>
      </c>
      <c r="J3570" s="10">
        <v>78.94736842105263</v>
      </c>
      <c r="K3570" s="10">
        <v>78.94736842105263</v>
      </c>
      <c r="L3570" s="4"/>
      <c r="M3570" s="4">
        <v>3565</v>
      </c>
    </row>
    <row r="3571" spans="1:13" x14ac:dyDescent="0.25">
      <c r="A3571" s="4" t="s">
        <v>3344</v>
      </c>
      <c r="B3571" s="4" t="s">
        <v>854</v>
      </c>
      <c r="C3571" s="4" t="s">
        <v>65</v>
      </c>
      <c r="D3571" s="10">
        <v>49.5</v>
      </c>
      <c r="E3571" s="12" t="s">
        <v>66</v>
      </c>
      <c r="F3571" s="10">
        <v>3050</v>
      </c>
      <c r="G3571" s="10">
        <v>0</v>
      </c>
      <c r="H3571" s="10">
        <f t="shared" si="55"/>
        <v>3050</v>
      </c>
      <c r="I3571" s="10">
        <v>61.616161616161619</v>
      </c>
      <c r="J3571" s="10">
        <v>61.616161616161619</v>
      </c>
      <c r="K3571" s="10">
        <v>61.616161616161619</v>
      </c>
      <c r="L3571" s="4"/>
      <c r="M3571" s="4">
        <v>3566</v>
      </c>
    </row>
    <row r="3572" spans="1:13" x14ac:dyDescent="0.25">
      <c r="A3572" s="4" t="s">
        <v>3344</v>
      </c>
      <c r="B3572" s="4" t="s">
        <v>3112</v>
      </c>
      <c r="C3572" s="4" t="s">
        <v>65</v>
      </c>
      <c r="D3572" s="10">
        <v>17.5</v>
      </c>
      <c r="E3572" s="12" t="s">
        <v>66</v>
      </c>
      <c r="F3572" s="10">
        <v>1440</v>
      </c>
      <c r="G3572" s="10">
        <v>0</v>
      </c>
      <c r="H3572" s="10">
        <f t="shared" si="55"/>
        <v>1440</v>
      </c>
      <c r="I3572" s="10">
        <v>82.285714285714292</v>
      </c>
      <c r="J3572" s="10">
        <v>82.285714285714292</v>
      </c>
      <c r="K3572" s="10">
        <v>82.285714285714292</v>
      </c>
      <c r="L3572" s="4"/>
      <c r="M3572" s="4">
        <v>3567</v>
      </c>
    </row>
    <row r="3573" spans="1:13" x14ac:dyDescent="0.25">
      <c r="A3573" s="4" t="s">
        <v>3344</v>
      </c>
      <c r="B3573" s="4" t="s">
        <v>3136</v>
      </c>
      <c r="C3573" s="4" t="s">
        <v>65</v>
      </c>
      <c r="D3573" s="10">
        <v>521.5</v>
      </c>
      <c r="E3573" s="12" t="s">
        <v>66</v>
      </c>
      <c r="F3573" s="10">
        <v>6560</v>
      </c>
      <c r="G3573" s="10">
        <v>0</v>
      </c>
      <c r="H3573" s="10">
        <f t="shared" si="55"/>
        <v>6560</v>
      </c>
      <c r="I3573" s="10">
        <v>58.053097345132741</v>
      </c>
      <c r="J3573" s="10">
        <v>58.053097345132741</v>
      </c>
      <c r="K3573" s="10">
        <v>58.053097345132741</v>
      </c>
      <c r="L3573" s="4"/>
      <c r="M3573" s="4">
        <v>3568</v>
      </c>
    </row>
    <row r="3574" spans="1:13" x14ac:dyDescent="0.25">
      <c r="A3574" s="4" t="s">
        <v>3349</v>
      </c>
      <c r="B3574" s="4" t="s">
        <v>3350</v>
      </c>
      <c r="C3574" s="4" t="s">
        <v>65</v>
      </c>
      <c r="D3574" s="10">
        <v>161</v>
      </c>
      <c r="E3574" s="12" t="s">
        <v>66</v>
      </c>
      <c r="F3574" s="10">
        <v>18555.740000000002</v>
      </c>
      <c r="G3574" s="10">
        <v>0</v>
      </c>
      <c r="H3574" s="10">
        <f t="shared" si="55"/>
        <v>18555.740000000002</v>
      </c>
      <c r="I3574" s="10">
        <v>115.25304347826091</v>
      </c>
      <c r="J3574" s="10">
        <v>115.25304347826091</v>
      </c>
      <c r="K3574" s="10">
        <v>115.25304347826091</v>
      </c>
      <c r="L3574" s="4"/>
      <c r="M3574" s="4">
        <v>3569</v>
      </c>
    </row>
    <row r="3575" spans="1:13" x14ac:dyDescent="0.25">
      <c r="A3575" s="4" t="s">
        <v>3349</v>
      </c>
      <c r="B3575" s="4" t="s">
        <v>3351</v>
      </c>
      <c r="C3575" s="4" t="s">
        <v>65</v>
      </c>
      <c r="D3575" s="10">
        <v>51</v>
      </c>
      <c r="E3575" s="12" t="s">
        <v>66</v>
      </c>
      <c r="F3575" s="10">
        <v>5904</v>
      </c>
      <c r="G3575" s="10">
        <v>0</v>
      </c>
      <c r="H3575" s="10">
        <f t="shared" si="55"/>
        <v>5904</v>
      </c>
      <c r="I3575" s="10">
        <v>115.7647058823529</v>
      </c>
      <c r="J3575" s="10">
        <v>115.7647058823529</v>
      </c>
      <c r="K3575" s="10">
        <v>115.7647058823529</v>
      </c>
      <c r="L3575" s="4"/>
      <c r="M3575" s="4">
        <v>3570</v>
      </c>
    </row>
    <row r="3576" spans="1:13" x14ac:dyDescent="0.25">
      <c r="A3576" s="4" t="s">
        <v>3349</v>
      </c>
      <c r="B3576" s="4" t="s">
        <v>3352</v>
      </c>
      <c r="C3576" s="4" t="s">
        <v>65</v>
      </c>
      <c r="D3576" s="10">
        <v>36.5</v>
      </c>
      <c r="E3576" s="12" t="s">
        <v>66</v>
      </c>
      <c r="F3576" s="10">
        <v>4217</v>
      </c>
      <c r="G3576" s="10">
        <v>0</v>
      </c>
      <c r="H3576" s="10">
        <f t="shared" si="55"/>
        <v>4217</v>
      </c>
      <c r="I3576" s="10">
        <v>115.53424657534249</v>
      </c>
      <c r="J3576" s="10">
        <v>115.53424657534249</v>
      </c>
      <c r="K3576" s="10">
        <v>115.53424657534249</v>
      </c>
      <c r="L3576" s="4"/>
      <c r="M3576" s="4">
        <v>3571</v>
      </c>
    </row>
    <row r="3577" spans="1:13" x14ac:dyDescent="0.25">
      <c r="A3577" s="4" t="s">
        <v>3349</v>
      </c>
      <c r="B3577" s="4" t="s">
        <v>3353</v>
      </c>
      <c r="C3577" s="4" t="s">
        <v>68</v>
      </c>
      <c r="D3577" s="10">
        <v>242</v>
      </c>
      <c r="E3577" s="11" t="s">
        <v>51</v>
      </c>
      <c r="F3577" s="10">
        <v>18400</v>
      </c>
      <c r="G3577" s="10">
        <v>0</v>
      </c>
      <c r="H3577" s="10">
        <f t="shared" si="55"/>
        <v>18400</v>
      </c>
      <c r="I3577" s="10"/>
      <c r="J3577" s="10"/>
      <c r="K3577" s="10"/>
      <c r="L3577" s="4" t="s">
        <v>69</v>
      </c>
      <c r="M3577" s="4">
        <v>3572</v>
      </c>
    </row>
    <row r="3578" spans="1:13" x14ac:dyDescent="0.25">
      <c r="A3578" s="4" t="s">
        <v>3354</v>
      </c>
      <c r="B3578" s="4" t="s">
        <v>3355</v>
      </c>
      <c r="C3578" s="4" t="s">
        <v>68</v>
      </c>
      <c r="D3578" s="10">
        <v>40</v>
      </c>
      <c r="E3578" s="11" t="s">
        <v>51</v>
      </c>
      <c r="F3578" s="10">
        <v>4800</v>
      </c>
      <c r="G3578" s="10">
        <v>0</v>
      </c>
      <c r="H3578" s="10">
        <f t="shared" si="55"/>
        <v>4800</v>
      </c>
      <c r="I3578" s="10"/>
      <c r="J3578" s="10"/>
      <c r="K3578" s="10"/>
      <c r="L3578" s="4" t="s">
        <v>69</v>
      </c>
      <c r="M3578" s="4">
        <v>3573</v>
      </c>
    </row>
    <row r="3579" spans="1:13" x14ac:dyDescent="0.25">
      <c r="A3579" s="4" t="s">
        <v>3354</v>
      </c>
      <c r="B3579" s="4" t="s">
        <v>3356</v>
      </c>
      <c r="C3579" s="4" t="s">
        <v>68</v>
      </c>
      <c r="D3579" s="10">
        <v>40</v>
      </c>
      <c r="E3579" s="11" t="s">
        <v>51</v>
      </c>
      <c r="F3579" s="10">
        <v>3400</v>
      </c>
      <c r="G3579" s="10">
        <v>0</v>
      </c>
      <c r="H3579" s="10">
        <f t="shared" si="55"/>
        <v>3400</v>
      </c>
      <c r="I3579" s="10"/>
      <c r="J3579" s="10"/>
      <c r="K3579" s="10"/>
      <c r="L3579" s="4" t="s">
        <v>69</v>
      </c>
      <c r="M3579" s="4">
        <v>3574</v>
      </c>
    </row>
    <row r="3580" spans="1:13" x14ac:dyDescent="0.25">
      <c r="A3580" s="4" t="s">
        <v>3354</v>
      </c>
      <c r="B3580" s="4" t="s">
        <v>1058</v>
      </c>
      <c r="C3580" s="4" t="s">
        <v>65</v>
      </c>
      <c r="D3580" s="10">
        <v>314</v>
      </c>
      <c r="E3580" s="12" t="s">
        <v>66</v>
      </c>
      <c r="F3580" s="10">
        <v>100</v>
      </c>
      <c r="G3580" s="10">
        <v>0</v>
      </c>
      <c r="H3580" s="10">
        <f t="shared" si="55"/>
        <v>100</v>
      </c>
      <c r="I3580" s="10">
        <v>50</v>
      </c>
      <c r="J3580" s="10">
        <v>50</v>
      </c>
      <c r="K3580" s="10">
        <v>50</v>
      </c>
      <c r="L3580" s="4"/>
      <c r="M3580" s="4">
        <v>3575</v>
      </c>
    </row>
    <row r="3581" spans="1:13" x14ac:dyDescent="0.25">
      <c r="A3581" s="4" t="s">
        <v>3357</v>
      </c>
      <c r="B3581" s="4" t="s">
        <v>3358</v>
      </c>
      <c r="C3581" s="4" t="s">
        <v>65</v>
      </c>
      <c r="D3581" s="10">
        <v>8</v>
      </c>
      <c r="E3581" s="12" t="s">
        <v>66</v>
      </c>
      <c r="F3581" s="10">
        <v>1011.28</v>
      </c>
      <c r="G3581" s="10">
        <v>0</v>
      </c>
      <c r="H3581" s="10">
        <f t="shared" si="55"/>
        <v>1011.28</v>
      </c>
      <c r="I3581" s="10">
        <v>126.41</v>
      </c>
      <c r="J3581" s="10">
        <v>126.41</v>
      </c>
      <c r="K3581" s="10">
        <v>126.41</v>
      </c>
      <c r="L3581" s="4"/>
      <c r="M3581" s="4">
        <v>3576</v>
      </c>
    </row>
    <row r="3582" spans="1:13" x14ac:dyDescent="0.25">
      <c r="A3582" s="4" t="s">
        <v>3357</v>
      </c>
      <c r="B3582" s="4" t="s">
        <v>3359</v>
      </c>
      <c r="C3582" s="4" t="s">
        <v>65</v>
      </c>
      <c r="D3582" s="10">
        <v>45</v>
      </c>
      <c r="E3582" s="12" t="s">
        <v>66</v>
      </c>
      <c r="F3582" s="10">
        <v>4550.74</v>
      </c>
      <c r="G3582" s="10">
        <v>0</v>
      </c>
      <c r="H3582" s="10">
        <f t="shared" si="55"/>
        <v>4550.74</v>
      </c>
      <c r="I3582" s="10">
        <v>101.1275555555555</v>
      </c>
      <c r="J3582" s="10">
        <v>101.1275555555555</v>
      </c>
      <c r="K3582" s="10">
        <v>101.1275555555555</v>
      </c>
      <c r="L3582" s="4"/>
      <c r="M3582" s="4">
        <v>3577</v>
      </c>
    </row>
    <row r="3583" spans="1:13" x14ac:dyDescent="0.25">
      <c r="A3583" s="4" t="s">
        <v>3357</v>
      </c>
      <c r="B3583" s="4" t="s">
        <v>3360</v>
      </c>
      <c r="C3583" s="4" t="s">
        <v>65</v>
      </c>
      <c r="D3583" s="10">
        <v>87</v>
      </c>
      <c r="E3583" s="12" t="s">
        <v>66</v>
      </c>
      <c r="F3583" s="10">
        <v>8595.84</v>
      </c>
      <c r="G3583" s="10">
        <v>0</v>
      </c>
      <c r="H3583" s="10">
        <f t="shared" si="55"/>
        <v>8595.84</v>
      </c>
      <c r="I3583" s="10">
        <v>98.802758620689659</v>
      </c>
      <c r="J3583" s="10">
        <v>98.802758620689659</v>
      </c>
      <c r="K3583" s="10">
        <v>98.802758620689659</v>
      </c>
      <c r="L3583" s="4"/>
      <c r="M3583" s="4">
        <v>3578</v>
      </c>
    </row>
    <row r="3584" spans="1:13" x14ac:dyDescent="0.25">
      <c r="A3584" s="4" t="s">
        <v>3357</v>
      </c>
      <c r="B3584" s="4" t="s">
        <v>3361</v>
      </c>
      <c r="C3584" s="4" t="s">
        <v>65</v>
      </c>
      <c r="D3584" s="10">
        <v>8</v>
      </c>
      <c r="E3584" s="12" t="s">
        <v>66</v>
      </c>
      <c r="F3584" s="10">
        <v>1011.28</v>
      </c>
      <c r="G3584" s="10">
        <v>0</v>
      </c>
      <c r="H3584" s="10">
        <f t="shared" si="55"/>
        <v>1011.28</v>
      </c>
      <c r="I3584" s="10">
        <v>126.41</v>
      </c>
      <c r="J3584" s="10">
        <v>126.41</v>
      </c>
      <c r="K3584" s="10">
        <v>126.41</v>
      </c>
      <c r="L3584" s="4"/>
      <c r="M3584" s="4">
        <v>3579</v>
      </c>
    </row>
    <row r="3585" spans="1:13" x14ac:dyDescent="0.25">
      <c r="A3585" s="4" t="s">
        <v>3357</v>
      </c>
      <c r="B3585" s="4" t="s">
        <v>3362</v>
      </c>
      <c r="C3585" s="4" t="s">
        <v>65</v>
      </c>
      <c r="D3585" s="10">
        <v>113</v>
      </c>
      <c r="E3585" s="12" t="s">
        <v>66</v>
      </c>
      <c r="F3585" s="10">
        <v>11124.03</v>
      </c>
      <c r="G3585" s="10">
        <v>0</v>
      </c>
      <c r="H3585" s="10">
        <f t="shared" si="55"/>
        <v>11124.03</v>
      </c>
      <c r="I3585" s="10">
        <v>98.442743362831862</v>
      </c>
      <c r="J3585" s="10">
        <v>98.442743362831862</v>
      </c>
      <c r="K3585" s="10">
        <v>98.442743362831862</v>
      </c>
      <c r="L3585" s="4"/>
      <c r="M3585" s="4">
        <v>3580</v>
      </c>
    </row>
    <row r="3586" spans="1:13" x14ac:dyDescent="0.25">
      <c r="A3586" s="4" t="s">
        <v>3357</v>
      </c>
      <c r="B3586" s="4" t="s">
        <v>3363</v>
      </c>
      <c r="C3586" s="4" t="s">
        <v>65</v>
      </c>
      <c r="D3586" s="10">
        <v>30</v>
      </c>
      <c r="E3586" s="12" t="s">
        <v>66</v>
      </c>
      <c r="F3586" s="10">
        <v>3539.46</v>
      </c>
      <c r="G3586" s="10">
        <v>0</v>
      </c>
      <c r="H3586" s="10">
        <f t="shared" si="55"/>
        <v>3539.46</v>
      </c>
      <c r="I3586" s="10">
        <v>117.982</v>
      </c>
      <c r="J3586" s="10">
        <v>117.982</v>
      </c>
      <c r="K3586" s="10">
        <v>117.982</v>
      </c>
      <c r="L3586" s="4"/>
      <c r="M3586" s="4">
        <v>3581</v>
      </c>
    </row>
    <row r="3587" spans="1:13" x14ac:dyDescent="0.25">
      <c r="A3587" s="4" t="s">
        <v>3357</v>
      </c>
      <c r="B3587" s="4" t="s">
        <v>3364</v>
      </c>
      <c r="C3587" s="4" t="s">
        <v>65</v>
      </c>
      <c r="D3587" s="10">
        <v>21</v>
      </c>
      <c r="E3587" s="12" t="s">
        <v>66</v>
      </c>
      <c r="F3587" s="10">
        <v>2528.19</v>
      </c>
      <c r="G3587" s="10">
        <v>0</v>
      </c>
      <c r="H3587" s="10">
        <f t="shared" si="55"/>
        <v>2528.19</v>
      </c>
      <c r="I3587" s="10">
        <v>120.39</v>
      </c>
      <c r="J3587" s="10">
        <v>120.39</v>
      </c>
      <c r="K3587" s="10">
        <v>120.39</v>
      </c>
      <c r="L3587" s="4"/>
      <c r="M3587" s="4">
        <v>3582</v>
      </c>
    </row>
    <row r="3588" spans="1:13" x14ac:dyDescent="0.25">
      <c r="A3588" s="4" t="s">
        <v>3357</v>
      </c>
      <c r="B3588" s="4" t="s">
        <v>3365</v>
      </c>
      <c r="C3588" s="4" t="s">
        <v>65</v>
      </c>
      <c r="D3588" s="10">
        <v>234</v>
      </c>
      <c r="E3588" s="12" t="s">
        <v>66</v>
      </c>
      <c r="F3588" s="10">
        <v>100</v>
      </c>
      <c r="G3588" s="10">
        <v>0</v>
      </c>
      <c r="H3588" s="10">
        <f t="shared" si="55"/>
        <v>100</v>
      </c>
      <c r="I3588" s="10">
        <v>50</v>
      </c>
      <c r="J3588" s="10">
        <v>50</v>
      </c>
      <c r="K3588" s="10">
        <v>50</v>
      </c>
      <c r="L3588" s="4"/>
      <c r="M3588" s="4">
        <v>3583</v>
      </c>
    </row>
    <row r="3589" spans="1:13" x14ac:dyDescent="0.25">
      <c r="A3589" s="4" t="s">
        <v>3366</v>
      </c>
      <c r="B3589" s="4" t="s">
        <v>3367</v>
      </c>
      <c r="C3589" s="4" t="s">
        <v>65</v>
      </c>
      <c r="D3589" s="10">
        <v>208</v>
      </c>
      <c r="E3589" s="12" t="s">
        <v>66</v>
      </c>
      <c r="F3589" s="10">
        <v>22000</v>
      </c>
      <c r="G3589" s="10">
        <v>0</v>
      </c>
      <c r="H3589" s="10">
        <f t="shared" si="55"/>
        <v>22000</v>
      </c>
      <c r="I3589" s="10">
        <v>105.7692307692308</v>
      </c>
      <c r="J3589" s="10">
        <v>105.7692307692308</v>
      </c>
      <c r="K3589" s="10">
        <v>105.7692307692308</v>
      </c>
      <c r="L3589" s="4"/>
      <c r="M3589" s="4">
        <v>3584</v>
      </c>
    </row>
    <row r="3590" spans="1:13" x14ac:dyDescent="0.25">
      <c r="A3590" s="4" t="s">
        <v>3366</v>
      </c>
      <c r="B3590" s="4" t="s">
        <v>3368</v>
      </c>
      <c r="C3590" s="4" t="s">
        <v>65</v>
      </c>
      <c r="D3590" s="10">
        <v>24</v>
      </c>
      <c r="E3590" s="12" t="s">
        <v>66</v>
      </c>
      <c r="F3590" s="10">
        <v>3000</v>
      </c>
      <c r="G3590" s="10">
        <v>0</v>
      </c>
      <c r="H3590" s="10">
        <f t="shared" ref="H3590:H3653" si="56">F3590-G3590</f>
        <v>3000</v>
      </c>
      <c r="I3590" s="10">
        <v>125</v>
      </c>
      <c r="J3590" s="10">
        <v>125</v>
      </c>
      <c r="K3590" s="10">
        <v>125</v>
      </c>
      <c r="L3590" s="4"/>
      <c r="M3590" s="4">
        <v>3585</v>
      </c>
    </row>
    <row r="3591" spans="1:13" x14ac:dyDescent="0.25">
      <c r="A3591" s="4" t="s">
        <v>3366</v>
      </c>
      <c r="B3591" s="4" t="s">
        <v>3369</v>
      </c>
      <c r="C3591" s="4" t="s">
        <v>65</v>
      </c>
      <c r="D3591" s="10">
        <v>17</v>
      </c>
      <c r="E3591" s="12" t="s">
        <v>66</v>
      </c>
      <c r="F3591" s="10">
        <v>100</v>
      </c>
      <c r="G3591" s="10">
        <v>0</v>
      </c>
      <c r="H3591" s="10">
        <f t="shared" si="56"/>
        <v>100</v>
      </c>
      <c r="I3591" s="10">
        <v>50</v>
      </c>
      <c r="J3591" s="10">
        <v>50</v>
      </c>
      <c r="K3591" s="10">
        <v>50</v>
      </c>
      <c r="L3591" s="4"/>
      <c r="M3591" s="4">
        <v>3586</v>
      </c>
    </row>
    <row r="3592" spans="1:13" x14ac:dyDescent="0.25">
      <c r="A3592" s="4" t="s">
        <v>3370</v>
      </c>
      <c r="B3592" s="4" t="s">
        <v>3371</v>
      </c>
      <c r="C3592" s="4" t="s">
        <v>65</v>
      </c>
      <c r="D3592" s="10">
        <v>16</v>
      </c>
      <c r="E3592" s="12" t="s">
        <v>66</v>
      </c>
      <c r="F3592" s="10">
        <v>2000</v>
      </c>
      <c r="G3592" s="10">
        <v>0</v>
      </c>
      <c r="H3592" s="10">
        <f t="shared" si="56"/>
        <v>2000</v>
      </c>
      <c r="I3592" s="10">
        <v>125</v>
      </c>
      <c r="J3592" s="10">
        <v>125</v>
      </c>
      <c r="K3592" s="10">
        <v>125</v>
      </c>
      <c r="L3592" s="4"/>
      <c r="M3592" s="4">
        <v>3587</v>
      </c>
    </row>
    <row r="3593" spans="1:13" x14ac:dyDescent="0.25">
      <c r="A3593" s="4" t="s">
        <v>3370</v>
      </c>
      <c r="B3593" s="4" t="s">
        <v>3369</v>
      </c>
      <c r="C3593" s="4" t="s">
        <v>65</v>
      </c>
      <c r="D3593" s="10">
        <v>100</v>
      </c>
      <c r="E3593" s="12" t="s">
        <v>66</v>
      </c>
      <c r="F3593" s="10">
        <v>100</v>
      </c>
      <c r="G3593" s="10">
        <v>0</v>
      </c>
      <c r="H3593" s="10">
        <f t="shared" si="56"/>
        <v>100</v>
      </c>
      <c r="I3593" s="10">
        <v>100</v>
      </c>
      <c r="J3593" s="10">
        <v>100</v>
      </c>
      <c r="K3593" s="10">
        <v>100</v>
      </c>
      <c r="L3593" s="4"/>
      <c r="M3593" s="4">
        <v>3588</v>
      </c>
    </row>
    <row r="3594" spans="1:13" x14ac:dyDescent="0.25">
      <c r="A3594" s="4" t="s">
        <v>3372</v>
      </c>
      <c r="B3594" s="4" t="s">
        <v>451</v>
      </c>
      <c r="C3594" s="4" t="s">
        <v>68</v>
      </c>
      <c r="D3594" s="10">
        <v>122</v>
      </c>
      <c r="E3594" s="11" t="s">
        <v>51</v>
      </c>
      <c r="F3594" s="10">
        <v>10000</v>
      </c>
      <c r="G3594" s="10">
        <v>0</v>
      </c>
      <c r="H3594" s="10">
        <f t="shared" si="56"/>
        <v>10000</v>
      </c>
      <c r="I3594" s="10"/>
      <c r="J3594" s="10"/>
      <c r="K3594" s="10"/>
      <c r="L3594" s="4" t="s">
        <v>69</v>
      </c>
      <c r="M3594" s="4">
        <v>3589</v>
      </c>
    </row>
    <row r="3595" spans="1:13" x14ac:dyDescent="0.25">
      <c r="A3595" s="4" t="s">
        <v>3373</v>
      </c>
      <c r="B3595" s="4" t="s">
        <v>3374</v>
      </c>
      <c r="C3595" s="4" t="s">
        <v>65</v>
      </c>
      <c r="D3595" s="10">
        <v>57</v>
      </c>
      <c r="E3595" s="12" t="s">
        <v>66</v>
      </c>
      <c r="F3595" s="10">
        <v>1900</v>
      </c>
      <c r="G3595" s="10">
        <v>0</v>
      </c>
      <c r="H3595" s="10">
        <f t="shared" si="56"/>
        <v>1900</v>
      </c>
      <c r="I3595" s="10">
        <v>86.36363636363636</v>
      </c>
      <c r="J3595" s="10">
        <v>86.36363636363636</v>
      </c>
      <c r="K3595" s="10">
        <v>86.36363636363636</v>
      </c>
      <c r="L3595" s="4"/>
      <c r="M3595" s="4">
        <v>3590</v>
      </c>
    </row>
    <row r="3596" spans="1:13" x14ac:dyDescent="0.25">
      <c r="A3596" s="4" t="s">
        <v>3375</v>
      </c>
      <c r="B3596" s="4" t="s">
        <v>3376</v>
      </c>
      <c r="C3596" s="4" t="s">
        <v>65</v>
      </c>
      <c r="D3596" s="10">
        <v>18</v>
      </c>
      <c r="E3596" s="12" t="s">
        <v>66</v>
      </c>
      <c r="F3596" s="10">
        <v>2650</v>
      </c>
      <c r="G3596" s="10">
        <v>0</v>
      </c>
      <c r="H3596" s="10">
        <f t="shared" si="56"/>
        <v>2650</v>
      </c>
      <c r="I3596" s="10">
        <v>147.2222222222222</v>
      </c>
      <c r="J3596" s="10">
        <v>147.2222222222222</v>
      </c>
      <c r="K3596" s="10">
        <v>147.2222222222222</v>
      </c>
      <c r="L3596" s="4"/>
      <c r="M3596" s="4">
        <v>3591</v>
      </c>
    </row>
    <row r="3597" spans="1:13" x14ac:dyDescent="0.25">
      <c r="A3597" s="4" t="s">
        <v>3375</v>
      </c>
      <c r="B3597" s="4" t="s">
        <v>2497</v>
      </c>
      <c r="C3597" s="4" t="s">
        <v>65</v>
      </c>
      <c r="D3597" s="10">
        <v>61</v>
      </c>
      <c r="E3597" s="12" t="s">
        <v>66</v>
      </c>
      <c r="F3597" s="10">
        <v>2500</v>
      </c>
      <c r="G3597" s="10">
        <v>0</v>
      </c>
      <c r="H3597" s="10">
        <f t="shared" si="56"/>
        <v>2500</v>
      </c>
      <c r="I3597" s="10">
        <v>147.0588235294118</v>
      </c>
      <c r="J3597" s="10">
        <v>147.0588235294118</v>
      </c>
      <c r="K3597" s="10">
        <v>147.0588235294118</v>
      </c>
      <c r="L3597" s="4"/>
      <c r="M3597" s="4">
        <v>3592</v>
      </c>
    </row>
    <row r="3598" spans="1:13" x14ac:dyDescent="0.25">
      <c r="A3598" s="4" t="s">
        <v>3377</v>
      </c>
      <c r="B3598" s="4" t="s">
        <v>3378</v>
      </c>
      <c r="C3598" s="4" t="s">
        <v>68</v>
      </c>
      <c r="D3598" s="10">
        <v>12</v>
      </c>
      <c r="E3598" s="11" t="s">
        <v>51</v>
      </c>
      <c r="F3598" s="10">
        <v>1129.44</v>
      </c>
      <c r="G3598" s="10">
        <v>0</v>
      </c>
      <c r="H3598" s="10">
        <f t="shared" si="56"/>
        <v>1129.44</v>
      </c>
      <c r="I3598" s="10"/>
      <c r="J3598" s="10"/>
      <c r="K3598" s="10"/>
      <c r="L3598" s="4" t="s">
        <v>69</v>
      </c>
      <c r="M3598" s="4">
        <v>3593</v>
      </c>
    </row>
    <row r="3599" spans="1:13" x14ac:dyDescent="0.25">
      <c r="A3599" s="4" t="s">
        <v>3377</v>
      </c>
      <c r="B3599" s="4" t="s">
        <v>3379</v>
      </c>
      <c r="C3599" s="4" t="s">
        <v>68</v>
      </c>
      <c r="D3599" s="10">
        <v>24</v>
      </c>
      <c r="E3599" s="11" t="s">
        <v>51</v>
      </c>
      <c r="F3599" s="10">
        <v>2258.88</v>
      </c>
      <c r="G3599" s="10">
        <v>0</v>
      </c>
      <c r="H3599" s="10">
        <f t="shared" si="56"/>
        <v>2258.88</v>
      </c>
      <c r="I3599" s="10"/>
      <c r="J3599" s="10"/>
      <c r="K3599" s="10"/>
      <c r="L3599" s="4" t="s">
        <v>69</v>
      </c>
      <c r="M3599" s="4">
        <v>3594</v>
      </c>
    </row>
    <row r="3600" spans="1:13" x14ac:dyDescent="0.25">
      <c r="A3600" s="4" t="s">
        <v>3377</v>
      </c>
      <c r="B3600" s="4" t="s">
        <v>3380</v>
      </c>
      <c r="C3600" s="4" t="s">
        <v>68</v>
      </c>
      <c r="D3600" s="10">
        <v>488.5</v>
      </c>
      <c r="E3600" s="11" t="s">
        <v>51</v>
      </c>
      <c r="F3600" s="10">
        <v>752.96</v>
      </c>
      <c r="G3600" s="10">
        <v>0</v>
      </c>
      <c r="H3600" s="10">
        <f t="shared" si="56"/>
        <v>752.96</v>
      </c>
      <c r="I3600" s="10"/>
      <c r="J3600" s="10"/>
      <c r="K3600" s="10"/>
      <c r="L3600" s="4" t="s">
        <v>69</v>
      </c>
      <c r="M3600" s="4">
        <v>3595</v>
      </c>
    </row>
    <row r="3601" spans="1:13" x14ac:dyDescent="0.25">
      <c r="A3601" s="4" t="s">
        <v>3381</v>
      </c>
      <c r="B3601" s="4" t="s">
        <v>3382</v>
      </c>
      <c r="C3601" s="9" t="s">
        <v>50</v>
      </c>
      <c r="D3601" s="10"/>
      <c r="E3601" s="11" t="s">
        <v>51</v>
      </c>
      <c r="F3601" s="10"/>
      <c r="G3601" s="10">
        <v>0</v>
      </c>
      <c r="H3601" s="10">
        <f t="shared" si="56"/>
        <v>0</v>
      </c>
      <c r="I3601" s="10"/>
      <c r="J3601" s="10"/>
      <c r="K3601" s="10"/>
      <c r="L3601" s="4" t="s">
        <v>52</v>
      </c>
      <c r="M3601" s="4">
        <v>3596</v>
      </c>
    </row>
    <row r="3602" spans="1:13" x14ac:dyDescent="0.25">
      <c r="A3602" s="4" t="s">
        <v>3381</v>
      </c>
      <c r="B3602" s="4" t="s">
        <v>3383</v>
      </c>
      <c r="C3602" s="9" t="s">
        <v>50</v>
      </c>
      <c r="D3602" s="10">
        <v>2</v>
      </c>
      <c r="E3602" s="11" t="s">
        <v>51</v>
      </c>
      <c r="F3602" s="10">
        <v>271</v>
      </c>
      <c r="G3602" s="10">
        <v>0</v>
      </c>
      <c r="H3602" s="10">
        <f t="shared" si="56"/>
        <v>271</v>
      </c>
      <c r="I3602" s="10"/>
      <c r="J3602" s="10"/>
      <c r="K3602" s="10"/>
      <c r="L3602" s="4" t="s">
        <v>52</v>
      </c>
      <c r="M3602" s="4">
        <v>3597</v>
      </c>
    </row>
    <row r="3603" spans="1:13" x14ac:dyDescent="0.25">
      <c r="A3603" s="4" t="s">
        <v>3381</v>
      </c>
      <c r="B3603" s="4" t="s">
        <v>3384</v>
      </c>
      <c r="C3603" s="9" t="s">
        <v>50</v>
      </c>
      <c r="D3603" s="10">
        <v>35</v>
      </c>
      <c r="E3603" s="11" t="s">
        <v>51</v>
      </c>
      <c r="F3603" s="10">
        <v>4065</v>
      </c>
      <c r="G3603" s="10">
        <v>0</v>
      </c>
      <c r="H3603" s="10">
        <f t="shared" si="56"/>
        <v>4065</v>
      </c>
      <c r="I3603" s="10"/>
      <c r="J3603" s="10"/>
      <c r="K3603" s="10"/>
      <c r="L3603" s="4" t="s">
        <v>52</v>
      </c>
      <c r="M3603" s="4">
        <v>3598</v>
      </c>
    </row>
    <row r="3604" spans="1:13" x14ac:dyDescent="0.25">
      <c r="A3604" s="4" t="s">
        <v>3381</v>
      </c>
      <c r="B3604" s="4" t="s">
        <v>3385</v>
      </c>
      <c r="C3604" s="9" t="s">
        <v>50</v>
      </c>
      <c r="D3604" s="10">
        <v>23.5</v>
      </c>
      <c r="E3604" s="11" t="s">
        <v>51</v>
      </c>
      <c r="F3604" s="10">
        <v>2800</v>
      </c>
      <c r="G3604" s="10">
        <v>0</v>
      </c>
      <c r="H3604" s="10">
        <f t="shared" si="56"/>
        <v>2800</v>
      </c>
      <c r="I3604" s="10"/>
      <c r="J3604" s="10"/>
      <c r="K3604" s="10"/>
      <c r="L3604" s="4" t="s">
        <v>52</v>
      </c>
      <c r="M3604" s="4">
        <v>3599</v>
      </c>
    </row>
    <row r="3605" spans="1:13" x14ac:dyDescent="0.25">
      <c r="A3605" s="4" t="s">
        <v>3381</v>
      </c>
      <c r="B3605" s="4" t="s">
        <v>3386</v>
      </c>
      <c r="C3605" s="9" t="s">
        <v>50</v>
      </c>
      <c r="D3605" s="10">
        <v>44.5</v>
      </c>
      <c r="E3605" s="11" t="s">
        <v>51</v>
      </c>
      <c r="F3605" s="10">
        <v>5149</v>
      </c>
      <c r="G3605" s="10">
        <v>0</v>
      </c>
      <c r="H3605" s="10">
        <f t="shared" si="56"/>
        <v>5149</v>
      </c>
      <c r="I3605" s="10"/>
      <c r="J3605" s="10"/>
      <c r="K3605" s="10"/>
      <c r="L3605" s="4" t="s">
        <v>52</v>
      </c>
      <c r="M3605" s="4">
        <v>3600</v>
      </c>
    </row>
    <row r="3606" spans="1:13" x14ac:dyDescent="0.25">
      <c r="A3606" s="4" t="s">
        <v>3381</v>
      </c>
      <c r="B3606" s="4" t="s">
        <v>3387</v>
      </c>
      <c r="C3606" s="9" t="s">
        <v>50</v>
      </c>
      <c r="D3606" s="10">
        <v>15</v>
      </c>
      <c r="E3606" s="11" t="s">
        <v>51</v>
      </c>
      <c r="F3606" s="10">
        <v>1800</v>
      </c>
      <c r="G3606" s="10">
        <v>0</v>
      </c>
      <c r="H3606" s="10">
        <f t="shared" si="56"/>
        <v>1800</v>
      </c>
      <c r="I3606" s="10"/>
      <c r="J3606" s="10"/>
      <c r="K3606" s="10"/>
      <c r="L3606" s="4" t="s">
        <v>52</v>
      </c>
      <c r="M3606" s="4">
        <v>3601</v>
      </c>
    </row>
    <row r="3607" spans="1:13" x14ac:dyDescent="0.25">
      <c r="A3607" s="4" t="s">
        <v>3381</v>
      </c>
      <c r="B3607" s="4" t="s">
        <v>3388</v>
      </c>
      <c r="C3607" s="9" t="s">
        <v>50</v>
      </c>
      <c r="D3607" s="10"/>
      <c r="E3607" s="11" t="s">
        <v>51</v>
      </c>
      <c r="F3607" s="10"/>
      <c r="G3607" s="10">
        <v>0</v>
      </c>
      <c r="H3607" s="10">
        <f t="shared" si="56"/>
        <v>0</v>
      </c>
      <c r="I3607" s="10"/>
      <c r="J3607" s="10"/>
      <c r="K3607" s="10"/>
      <c r="L3607" s="4" t="s">
        <v>52</v>
      </c>
      <c r="M3607" s="4">
        <v>3602</v>
      </c>
    </row>
    <row r="3608" spans="1:13" x14ac:dyDescent="0.25">
      <c r="A3608" s="4" t="s">
        <v>3381</v>
      </c>
      <c r="B3608" s="4" t="s">
        <v>3389</v>
      </c>
      <c r="C3608" s="9" t="s">
        <v>50</v>
      </c>
      <c r="D3608" s="10">
        <v>34.5</v>
      </c>
      <c r="E3608" s="11" t="s">
        <v>51</v>
      </c>
      <c r="F3608" s="10">
        <v>4065</v>
      </c>
      <c r="G3608" s="10">
        <v>0</v>
      </c>
      <c r="H3608" s="10">
        <f t="shared" si="56"/>
        <v>4065</v>
      </c>
      <c r="I3608" s="10"/>
      <c r="J3608" s="10"/>
      <c r="K3608" s="10"/>
      <c r="L3608" s="4" t="s">
        <v>52</v>
      </c>
      <c r="M3608" s="4">
        <v>3603</v>
      </c>
    </row>
    <row r="3609" spans="1:13" x14ac:dyDescent="0.25">
      <c r="A3609" s="4" t="s">
        <v>3381</v>
      </c>
      <c r="B3609" s="4" t="s">
        <v>3390</v>
      </c>
      <c r="C3609" s="9" t="s">
        <v>50</v>
      </c>
      <c r="D3609" s="10">
        <v>20.5</v>
      </c>
      <c r="E3609" s="11" t="s">
        <v>51</v>
      </c>
      <c r="F3609" s="10">
        <v>2500</v>
      </c>
      <c r="G3609" s="10">
        <v>0</v>
      </c>
      <c r="H3609" s="10">
        <f t="shared" si="56"/>
        <v>2500</v>
      </c>
      <c r="I3609" s="10"/>
      <c r="J3609" s="10"/>
      <c r="K3609" s="10"/>
      <c r="L3609" s="4" t="s">
        <v>52</v>
      </c>
      <c r="M3609" s="4">
        <v>3604</v>
      </c>
    </row>
    <row r="3610" spans="1:13" x14ac:dyDescent="0.25">
      <c r="A3610" s="4" t="s">
        <v>3381</v>
      </c>
      <c r="B3610" s="4" t="s">
        <v>3391</v>
      </c>
      <c r="C3610" s="9" t="s">
        <v>50</v>
      </c>
      <c r="D3610" s="10">
        <v>41</v>
      </c>
      <c r="E3610" s="11" t="s">
        <v>51</v>
      </c>
      <c r="F3610" s="10">
        <v>4878</v>
      </c>
      <c r="G3610" s="10">
        <v>0</v>
      </c>
      <c r="H3610" s="10">
        <f t="shared" si="56"/>
        <v>4878</v>
      </c>
      <c r="I3610" s="10"/>
      <c r="J3610" s="10"/>
      <c r="K3610" s="10"/>
      <c r="L3610" s="4" t="s">
        <v>52</v>
      </c>
      <c r="M3610" s="4">
        <v>3605</v>
      </c>
    </row>
    <row r="3611" spans="1:13" x14ac:dyDescent="0.25">
      <c r="A3611" s="4" t="s">
        <v>3381</v>
      </c>
      <c r="B3611" s="4" t="s">
        <v>3392</v>
      </c>
      <c r="C3611" s="9" t="s">
        <v>50</v>
      </c>
      <c r="D3611" s="10">
        <v>17</v>
      </c>
      <c r="E3611" s="11" t="s">
        <v>51</v>
      </c>
      <c r="F3611" s="10">
        <v>2000</v>
      </c>
      <c r="G3611" s="10">
        <v>0</v>
      </c>
      <c r="H3611" s="10">
        <f t="shared" si="56"/>
        <v>2000</v>
      </c>
      <c r="I3611" s="10"/>
      <c r="J3611" s="10"/>
      <c r="K3611" s="10"/>
      <c r="L3611" s="4" t="s">
        <v>52</v>
      </c>
      <c r="M3611" s="4">
        <v>3606</v>
      </c>
    </row>
    <row r="3612" spans="1:13" x14ac:dyDescent="0.25">
      <c r="A3612" s="4" t="s">
        <v>3381</v>
      </c>
      <c r="B3612" s="4" t="s">
        <v>3393</v>
      </c>
      <c r="C3612" s="9" t="s">
        <v>50</v>
      </c>
      <c r="D3612" s="10">
        <v>12.5</v>
      </c>
      <c r="E3612" s="11" t="s">
        <v>51</v>
      </c>
      <c r="F3612" s="10">
        <v>1500</v>
      </c>
      <c r="G3612" s="10">
        <v>0</v>
      </c>
      <c r="H3612" s="10">
        <f t="shared" si="56"/>
        <v>1500</v>
      </c>
      <c r="I3612" s="10"/>
      <c r="J3612" s="10"/>
      <c r="K3612" s="10"/>
      <c r="L3612" s="4" t="s">
        <v>52</v>
      </c>
      <c r="M3612" s="4">
        <v>3607</v>
      </c>
    </row>
    <row r="3613" spans="1:13" x14ac:dyDescent="0.25">
      <c r="A3613" s="4" t="s">
        <v>3381</v>
      </c>
      <c r="B3613" s="4" t="s">
        <v>3394</v>
      </c>
      <c r="C3613" s="9" t="s">
        <v>50</v>
      </c>
      <c r="D3613" s="10"/>
      <c r="E3613" s="11" t="s">
        <v>51</v>
      </c>
      <c r="F3613" s="10"/>
      <c r="G3613" s="10">
        <v>0</v>
      </c>
      <c r="H3613" s="10">
        <f t="shared" si="56"/>
        <v>0</v>
      </c>
      <c r="I3613" s="10"/>
      <c r="J3613" s="10"/>
      <c r="K3613" s="10"/>
      <c r="L3613" s="4" t="s">
        <v>52</v>
      </c>
      <c r="M3613" s="4">
        <v>3608</v>
      </c>
    </row>
    <row r="3614" spans="1:13" x14ac:dyDescent="0.25">
      <c r="A3614" s="4" t="s">
        <v>3381</v>
      </c>
      <c r="B3614" s="4" t="s">
        <v>3395</v>
      </c>
      <c r="C3614" s="9" t="s">
        <v>50</v>
      </c>
      <c r="D3614" s="10">
        <v>73.5</v>
      </c>
      <c r="E3614" s="11" t="s">
        <v>51</v>
      </c>
      <c r="F3614" s="10">
        <v>8672</v>
      </c>
      <c r="G3614" s="10">
        <v>0</v>
      </c>
      <c r="H3614" s="10">
        <f t="shared" si="56"/>
        <v>8672</v>
      </c>
      <c r="I3614" s="10"/>
      <c r="J3614" s="10"/>
      <c r="K3614" s="10"/>
      <c r="L3614" s="4" t="s">
        <v>52</v>
      </c>
      <c r="M3614" s="4">
        <v>3609</v>
      </c>
    </row>
    <row r="3615" spans="1:13" x14ac:dyDescent="0.25">
      <c r="A3615" s="4" t="s">
        <v>3381</v>
      </c>
      <c r="B3615" s="4" t="s">
        <v>3396</v>
      </c>
      <c r="C3615" s="9" t="s">
        <v>50</v>
      </c>
      <c r="D3615" s="10">
        <v>40.5</v>
      </c>
      <c r="E3615" s="11" t="s">
        <v>51</v>
      </c>
      <c r="F3615" s="10">
        <v>4500</v>
      </c>
      <c r="G3615" s="10">
        <v>0</v>
      </c>
      <c r="H3615" s="10">
        <f t="shared" si="56"/>
        <v>4500</v>
      </c>
      <c r="I3615" s="10"/>
      <c r="J3615" s="10"/>
      <c r="K3615" s="10"/>
      <c r="L3615" s="4" t="s">
        <v>52</v>
      </c>
      <c r="M3615" s="4">
        <v>3610</v>
      </c>
    </row>
    <row r="3616" spans="1:13" x14ac:dyDescent="0.25">
      <c r="A3616" s="4" t="s">
        <v>3381</v>
      </c>
      <c r="B3616" s="4" t="s">
        <v>3397</v>
      </c>
      <c r="C3616" s="9" t="s">
        <v>50</v>
      </c>
      <c r="D3616" s="10"/>
      <c r="E3616" s="11" t="s">
        <v>51</v>
      </c>
      <c r="F3616" s="10"/>
      <c r="G3616" s="10">
        <v>0</v>
      </c>
      <c r="H3616" s="10">
        <f t="shared" si="56"/>
        <v>0</v>
      </c>
      <c r="I3616" s="10"/>
      <c r="J3616" s="10"/>
      <c r="K3616" s="10"/>
      <c r="L3616" s="4" t="s">
        <v>52</v>
      </c>
      <c r="M3616" s="4">
        <v>3611</v>
      </c>
    </row>
    <row r="3617" spans="1:13" x14ac:dyDescent="0.25">
      <c r="A3617" s="4" t="s">
        <v>3381</v>
      </c>
      <c r="B3617" s="4" t="s">
        <v>3398</v>
      </c>
      <c r="C3617" s="9" t="s">
        <v>50</v>
      </c>
      <c r="D3617" s="10">
        <v>18</v>
      </c>
      <c r="E3617" s="11" t="s">
        <v>51</v>
      </c>
      <c r="F3617" s="10">
        <v>2000</v>
      </c>
      <c r="G3617" s="10">
        <v>0</v>
      </c>
      <c r="H3617" s="10">
        <f t="shared" si="56"/>
        <v>2000</v>
      </c>
      <c r="I3617" s="10"/>
      <c r="J3617" s="10"/>
      <c r="K3617" s="10"/>
      <c r="L3617" s="4" t="s">
        <v>52</v>
      </c>
      <c r="M3617" s="4">
        <v>3612</v>
      </c>
    </row>
    <row r="3618" spans="1:13" x14ac:dyDescent="0.25">
      <c r="A3618" s="4" t="s">
        <v>3381</v>
      </c>
      <c r="B3618" s="4" t="s">
        <v>3399</v>
      </c>
      <c r="C3618" s="9" t="s">
        <v>50</v>
      </c>
      <c r="D3618" s="10">
        <v>202</v>
      </c>
      <c r="E3618" s="11" t="s">
        <v>51</v>
      </c>
      <c r="F3618" s="10">
        <v>8000</v>
      </c>
      <c r="G3618" s="10">
        <v>0</v>
      </c>
      <c r="H3618" s="10">
        <f t="shared" si="56"/>
        <v>8000</v>
      </c>
      <c r="I3618" s="10"/>
      <c r="J3618" s="10"/>
      <c r="K3618" s="10"/>
      <c r="L3618" s="4" t="s">
        <v>52</v>
      </c>
      <c r="M3618" s="4">
        <v>3613</v>
      </c>
    </row>
    <row r="3619" spans="1:13" x14ac:dyDescent="0.25">
      <c r="A3619" s="4" t="s">
        <v>3400</v>
      </c>
      <c r="B3619" s="4" t="s">
        <v>451</v>
      </c>
      <c r="C3619" s="4" t="s">
        <v>68</v>
      </c>
      <c r="D3619" s="10">
        <v>101</v>
      </c>
      <c r="E3619" s="11" t="s">
        <v>51</v>
      </c>
      <c r="F3619" s="10">
        <v>10890</v>
      </c>
      <c r="G3619" s="10">
        <v>0</v>
      </c>
      <c r="H3619" s="10">
        <f t="shared" si="56"/>
        <v>10890</v>
      </c>
      <c r="I3619" s="10"/>
      <c r="J3619" s="10"/>
      <c r="K3619" s="10"/>
      <c r="L3619" s="4" t="s">
        <v>69</v>
      </c>
      <c r="M3619" s="4">
        <v>3614</v>
      </c>
    </row>
    <row r="3620" spans="1:13" x14ac:dyDescent="0.25">
      <c r="A3620" s="4" t="s">
        <v>3401</v>
      </c>
      <c r="B3620" s="4" t="s">
        <v>3402</v>
      </c>
      <c r="C3620" s="4" t="s">
        <v>65</v>
      </c>
      <c r="D3620" s="10">
        <v>343.57</v>
      </c>
      <c r="E3620" s="12" t="s">
        <v>66</v>
      </c>
      <c r="F3620" s="10">
        <v>200</v>
      </c>
      <c r="G3620" s="10">
        <v>0</v>
      </c>
      <c r="H3620" s="10">
        <f t="shared" si="56"/>
        <v>200</v>
      </c>
      <c r="I3620" s="10">
        <v>100</v>
      </c>
      <c r="J3620" s="10">
        <v>100</v>
      </c>
      <c r="K3620" s="10">
        <v>100</v>
      </c>
      <c r="L3620" s="4"/>
      <c r="M3620" s="4">
        <v>3615</v>
      </c>
    </row>
    <row r="3621" spans="1:13" x14ac:dyDescent="0.25">
      <c r="A3621" s="4" t="s">
        <v>3403</v>
      </c>
      <c r="B3621" s="4" t="s">
        <v>3404</v>
      </c>
      <c r="C3621" s="9" t="s">
        <v>50</v>
      </c>
      <c r="D3621" s="10">
        <v>191.57</v>
      </c>
      <c r="E3621" s="11" t="s">
        <v>51</v>
      </c>
      <c r="F3621" s="10">
        <v>19158.349999999999</v>
      </c>
      <c r="G3621" s="10">
        <v>0</v>
      </c>
      <c r="H3621" s="10">
        <f t="shared" si="56"/>
        <v>19158.349999999999</v>
      </c>
      <c r="I3621" s="10"/>
      <c r="J3621" s="10"/>
      <c r="K3621" s="10"/>
      <c r="L3621" s="4" t="s">
        <v>52</v>
      </c>
      <c r="M3621" s="4">
        <v>3616</v>
      </c>
    </row>
    <row r="3622" spans="1:13" x14ac:dyDescent="0.25">
      <c r="A3622" s="4" t="s">
        <v>3403</v>
      </c>
      <c r="B3622" s="4" t="s">
        <v>3405</v>
      </c>
      <c r="C3622" s="9" t="s">
        <v>50</v>
      </c>
      <c r="D3622" s="10">
        <v>398.58</v>
      </c>
      <c r="E3622" s="11" t="s">
        <v>51</v>
      </c>
      <c r="F3622" s="10">
        <v>15375.58</v>
      </c>
      <c r="G3622" s="10">
        <v>0</v>
      </c>
      <c r="H3622" s="10">
        <f t="shared" si="56"/>
        <v>15375.58</v>
      </c>
      <c r="I3622" s="10"/>
      <c r="J3622" s="10"/>
      <c r="K3622" s="10"/>
      <c r="L3622" s="4" t="s">
        <v>52</v>
      </c>
      <c r="M3622" s="4">
        <v>3617</v>
      </c>
    </row>
    <row r="3623" spans="1:13" x14ac:dyDescent="0.25">
      <c r="A3623" s="4" t="s">
        <v>3406</v>
      </c>
      <c r="B3623" s="4" t="s">
        <v>3407</v>
      </c>
      <c r="C3623" s="4" t="s">
        <v>65</v>
      </c>
      <c r="D3623" s="10">
        <v>1.5</v>
      </c>
      <c r="E3623" s="12" t="s">
        <v>66</v>
      </c>
      <c r="F3623" s="10">
        <v>200</v>
      </c>
      <c r="G3623" s="10">
        <v>0</v>
      </c>
      <c r="H3623" s="10">
        <f t="shared" si="56"/>
        <v>200</v>
      </c>
      <c r="I3623" s="10">
        <v>133.33333333333329</v>
      </c>
      <c r="J3623" s="10">
        <v>133.33333333333329</v>
      </c>
      <c r="K3623" s="10">
        <v>133.33333333333329</v>
      </c>
      <c r="L3623" s="4"/>
      <c r="M3623" s="4">
        <v>3618</v>
      </c>
    </row>
    <row r="3624" spans="1:13" x14ac:dyDescent="0.25">
      <c r="A3624" s="4" t="s">
        <v>3406</v>
      </c>
      <c r="B3624" s="4" t="s">
        <v>3408</v>
      </c>
      <c r="C3624" s="4" t="s">
        <v>65</v>
      </c>
      <c r="D3624" s="10">
        <v>11.5</v>
      </c>
      <c r="E3624" s="12" t="s">
        <v>66</v>
      </c>
      <c r="F3624" s="10">
        <v>1500</v>
      </c>
      <c r="G3624" s="10">
        <v>0</v>
      </c>
      <c r="H3624" s="10">
        <f t="shared" si="56"/>
        <v>1500</v>
      </c>
      <c r="I3624" s="10">
        <v>130.43478260869571</v>
      </c>
      <c r="J3624" s="10">
        <v>130.43478260869571</v>
      </c>
      <c r="K3624" s="10">
        <v>130.43478260869571</v>
      </c>
      <c r="L3624" s="4"/>
      <c r="M3624" s="4">
        <v>3619</v>
      </c>
    </row>
    <row r="3625" spans="1:13" x14ac:dyDescent="0.25">
      <c r="A3625" s="4" t="s">
        <v>3406</v>
      </c>
      <c r="B3625" s="4" t="s">
        <v>852</v>
      </c>
      <c r="C3625" s="4" t="s">
        <v>65</v>
      </c>
      <c r="D3625" s="10">
        <v>25.5</v>
      </c>
      <c r="E3625" s="12" t="s">
        <v>66</v>
      </c>
      <c r="F3625" s="10">
        <v>3300</v>
      </c>
      <c r="G3625" s="10">
        <v>0</v>
      </c>
      <c r="H3625" s="10">
        <f t="shared" si="56"/>
        <v>3300</v>
      </c>
      <c r="I3625" s="10">
        <v>129.41176470588229</v>
      </c>
      <c r="J3625" s="10">
        <v>129.41176470588229</v>
      </c>
      <c r="K3625" s="10">
        <v>129.41176470588229</v>
      </c>
      <c r="L3625" s="4"/>
      <c r="M3625" s="4">
        <v>3620</v>
      </c>
    </row>
    <row r="3626" spans="1:13" x14ac:dyDescent="0.25">
      <c r="A3626" s="4" t="s">
        <v>3406</v>
      </c>
      <c r="B3626" s="4" t="s">
        <v>853</v>
      </c>
      <c r="C3626" s="4" t="s">
        <v>65</v>
      </c>
      <c r="D3626" s="10">
        <v>32</v>
      </c>
      <c r="E3626" s="12" t="s">
        <v>66</v>
      </c>
      <c r="F3626" s="10">
        <v>4200</v>
      </c>
      <c r="G3626" s="10">
        <v>0</v>
      </c>
      <c r="H3626" s="10">
        <f t="shared" si="56"/>
        <v>4200</v>
      </c>
      <c r="I3626" s="10">
        <v>131.25</v>
      </c>
      <c r="J3626" s="10">
        <v>131.25</v>
      </c>
      <c r="K3626" s="10">
        <v>131.25</v>
      </c>
      <c r="L3626" s="4"/>
      <c r="M3626" s="4">
        <v>3621</v>
      </c>
    </row>
    <row r="3627" spans="1:13" x14ac:dyDescent="0.25">
      <c r="A3627" s="4" t="s">
        <v>3406</v>
      </c>
      <c r="B3627" s="4" t="s">
        <v>854</v>
      </c>
      <c r="C3627" s="4" t="s">
        <v>65</v>
      </c>
      <c r="D3627" s="10">
        <v>25.5</v>
      </c>
      <c r="E3627" s="12" t="s">
        <v>66</v>
      </c>
      <c r="F3627" s="10">
        <v>3300</v>
      </c>
      <c r="G3627" s="10">
        <v>0</v>
      </c>
      <c r="H3627" s="10">
        <f t="shared" si="56"/>
        <v>3300</v>
      </c>
      <c r="I3627" s="10">
        <v>129.41176470588229</v>
      </c>
      <c r="J3627" s="10">
        <v>129.41176470588229</v>
      </c>
      <c r="K3627" s="10">
        <v>129.41176470588229</v>
      </c>
      <c r="L3627" s="4"/>
      <c r="M3627" s="4">
        <v>3622</v>
      </c>
    </row>
    <row r="3628" spans="1:13" x14ac:dyDescent="0.25">
      <c r="A3628" s="4" t="s">
        <v>3406</v>
      </c>
      <c r="B3628" s="4" t="s">
        <v>855</v>
      </c>
      <c r="C3628" s="4" t="s">
        <v>65</v>
      </c>
      <c r="D3628" s="10">
        <v>34.5</v>
      </c>
      <c r="E3628" s="12" t="s">
        <v>66</v>
      </c>
      <c r="F3628" s="10">
        <v>4500</v>
      </c>
      <c r="G3628" s="10">
        <v>0</v>
      </c>
      <c r="H3628" s="10">
        <f t="shared" si="56"/>
        <v>4500</v>
      </c>
      <c r="I3628" s="10">
        <v>130.43478260869571</v>
      </c>
      <c r="J3628" s="10">
        <v>130.43478260869571</v>
      </c>
      <c r="K3628" s="10">
        <v>130.43478260869571</v>
      </c>
      <c r="L3628" s="4"/>
      <c r="M3628" s="4">
        <v>3623</v>
      </c>
    </row>
    <row r="3629" spans="1:13" x14ac:dyDescent="0.25">
      <c r="A3629" s="4" t="s">
        <v>3406</v>
      </c>
      <c r="B3629" s="4" t="s">
        <v>3409</v>
      </c>
      <c r="C3629" s="4" t="s">
        <v>65</v>
      </c>
      <c r="D3629" s="10">
        <v>76.58</v>
      </c>
      <c r="E3629" s="12" t="s">
        <v>66</v>
      </c>
      <c r="F3629" s="10">
        <v>9900</v>
      </c>
      <c r="G3629" s="10">
        <v>0</v>
      </c>
      <c r="H3629" s="10">
        <f t="shared" si="56"/>
        <v>9900</v>
      </c>
      <c r="I3629" s="10">
        <v>129.2765735178898</v>
      </c>
      <c r="J3629" s="10">
        <v>129.2765735178898</v>
      </c>
      <c r="K3629" s="10">
        <v>129.2765735178898</v>
      </c>
      <c r="L3629" s="4"/>
      <c r="M3629" s="4">
        <v>3624</v>
      </c>
    </row>
    <row r="3630" spans="1:13" x14ac:dyDescent="0.25">
      <c r="A3630" s="4" t="s">
        <v>3406</v>
      </c>
      <c r="B3630" s="4" t="s">
        <v>3410</v>
      </c>
      <c r="C3630" s="4" t="s">
        <v>65</v>
      </c>
      <c r="D3630" s="10">
        <v>9.5</v>
      </c>
      <c r="E3630" s="12" t="s">
        <v>66</v>
      </c>
      <c r="F3630" s="10">
        <v>800</v>
      </c>
      <c r="G3630" s="10">
        <v>0</v>
      </c>
      <c r="H3630" s="10">
        <f t="shared" si="56"/>
        <v>800</v>
      </c>
      <c r="I3630" s="10">
        <v>84.21052631578948</v>
      </c>
      <c r="J3630" s="10">
        <v>84.21052631578948</v>
      </c>
      <c r="K3630" s="10">
        <v>84.21052631578948</v>
      </c>
      <c r="L3630" s="4"/>
      <c r="M3630" s="4">
        <v>3625</v>
      </c>
    </row>
    <row r="3631" spans="1:13" x14ac:dyDescent="0.25">
      <c r="A3631" s="4" t="s">
        <v>3406</v>
      </c>
      <c r="B3631" s="4" t="s">
        <v>3411</v>
      </c>
      <c r="C3631" s="4" t="s">
        <v>65</v>
      </c>
      <c r="D3631" s="10">
        <v>18</v>
      </c>
      <c r="E3631" s="12" t="s">
        <v>66</v>
      </c>
      <c r="F3631" s="10">
        <v>1500</v>
      </c>
      <c r="G3631" s="10">
        <v>0</v>
      </c>
      <c r="H3631" s="10">
        <f t="shared" si="56"/>
        <v>1500</v>
      </c>
      <c r="I3631" s="10">
        <v>83.333333333333329</v>
      </c>
      <c r="J3631" s="10">
        <v>83.333333333333329</v>
      </c>
      <c r="K3631" s="10">
        <v>83.333333333333329</v>
      </c>
      <c r="L3631" s="4"/>
      <c r="M3631" s="4">
        <v>3626</v>
      </c>
    </row>
    <row r="3632" spans="1:13" x14ac:dyDescent="0.25">
      <c r="A3632" s="4" t="s">
        <v>3406</v>
      </c>
      <c r="B3632" s="4" t="s">
        <v>3412</v>
      </c>
      <c r="C3632" s="4" t="s">
        <v>65</v>
      </c>
      <c r="D3632" s="10">
        <v>25</v>
      </c>
      <c r="E3632" s="12" t="s">
        <v>66</v>
      </c>
      <c r="F3632" s="10">
        <v>1500</v>
      </c>
      <c r="G3632" s="10">
        <v>0</v>
      </c>
      <c r="H3632" s="10">
        <f t="shared" si="56"/>
        <v>1500</v>
      </c>
      <c r="I3632" s="10">
        <v>125</v>
      </c>
      <c r="J3632" s="10">
        <v>125</v>
      </c>
      <c r="K3632" s="10">
        <v>125</v>
      </c>
      <c r="L3632" s="4"/>
      <c r="M3632" s="4">
        <v>3627</v>
      </c>
    </row>
    <row r="3633" spans="1:13" x14ac:dyDescent="0.25">
      <c r="A3633" s="4" t="s">
        <v>3413</v>
      </c>
      <c r="B3633" s="4" t="s">
        <v>3414</v>
      </c>
      <c r="C3633" s="4" t="s">
        <v>68</v>
      </c>
      <c r="D3633" s="10">
        <v>388</v>
      </c>
      <c r="E3633" s="11" t="s">
        <v>51</v>
      </c>
      <c r="F3633" s="10">
        <v>1320</v>
      </c>
      <c r="G3633" s="10">
        <v>0</v>
      </c>
      <c r="H3633" s="10">
        <f t="shared" si="56"/>
        <v>1320</v>
      </c>
      <c r="I3633" s="10"/>
      <c r="J3633" s="10"/>
      <c r="K3633" s="10"/>
      <c r="L3633" s="4" t="s">
        <v>69</v>
      </c>
      <c r="M3633" s="4">
        <v>3628</v>
      </c>
    </row>
    <row r="3634" spans="1:13" x14ac:dyDescent="0.25">
      <c r="A3634" s="4" t="s">
        <v>3415</v>
      </c>
      <c r="B3634" s="4" t="s">
        <v>3416</v>
      </c>
      <c r="C3634" s="4" t="s">
        <v>65</v>
      </c>
      <c r="D3634" s="10">
        <v>46.5</v>
      </c>
      <c r="E3634" s="12" t="s">
        <v>66</v>
      </c>
      <c r="F3634" s="10">
        <v>5892.8</v>
      </c>
      <c r="G3634" s="10">
        <v>0</v>
      </c>
      <c r="H3634" s="10">
        <f t="shared" si="56"/>
        <v>5892.8</v>
      </c>
      <c r="I3634" s="10">
        <v>126.7268817204301</v>
      </c>
      <c r="J3634" s="10">
        <v>126.7268817204301</v>
      </c>
      <c r="K3634" s="10">
        <v>126.7268817204301</v>
      </c>
      <c r="L3634" s="4"/>
      <c r="M3634" s="4">
        <v>3629</v>
      </c>
    </row>
    <row r="3635" spans="1:13" x14ac:dyDescent="0.25">
      <c r="A3635" s="4" t="s">
        <v>3415</v>
      </c>
      <c r="B3635" s="4" t="s">
        <v>3417</v>
      </c>
      <c r="C3635" s="4" t="s">
        <v>65</v>
      </c>
      <c r="D3635" s="10">
        <v>45.5</v>
      </c>
      <c r="E3635" s="12" t="s">
        <v>66</v>
      </c>
      <c r="F3635" s="10">
        <v>5674.54</v>
      </c>
      <c r="G3635" s="10">
        <v>0</v>
      </c>
      <c r="H3635" s="10">
        <f t="shared" si="56"/>
        <v>5674.54</v>
      </c>
      <c r="I3635" s="10">
        <v>124.7151648351648</v>
      </c>
      <c r="J3635" s="10">
        <v>124.7151648351648</v>
      </c>
      <c r="K3635" s="10">
        <v>124.7151648351648</v>
      </c>
      <c r="L3635" s="4"/>
      <c r="M3635" s="4">
        <v>3630</v>
      </c>
    </row>
    <row r="3636" spans="1:13" x14ac:dyDescent="0.25">
      <c r="A3636" s="4" t="s">
        <v>3415</v>
      </c>
      <c r="B3636" s="4" t="s">
        <v>3418</v>
      </c>
      <c r="C3636" s="4" t="s">
        <v>65</v>
      </c>
      <c r="D3636" s="10">
        <v>49</v>
      </c>
      <c r="E3636" s="12" t="s">
        <v>66</v>
      </c>
      <c r="F3636" s="10">
        <v>6111.05</v>
      </c>
      <c r="G3636" s="10">
        <v>0</v>
      </c>
      <c r="H3636" s="10">
        <f t="shared" si="56"/>
        <v>6111.05</v>
      </c>
      <c r="I3636" s="10">
        <v>124.71530612244899</v>
      </c>
      <c r="J3636" s="10">
        <v>124.71530612244899</v>
      </c>
      <c r="K3636" s="10">
        <v>124.71530612244899</v>
      </c>
      <c r="L3636" s="4"/>
      <c r="M3636" s="4">
        <v>3631</v>
      </c>
    </row>
    <row r="3637" spans="1:13" x14ac:dyDescent="0.25">
      <c r="A3637" s="4" t="s">
        <v>3415</v>
      </c>
      <c r="B3637" s="4" t="s">
        <v>3419</v>
      </c>
      <c r="C3637" s="4" t="s">
        <v>65</v>
      </c>
      <c r="D3637" s="10">
        <v>71.5</v>
      </c>
      <c r="E3637" s="12" t="s">
        <v>66</v>
      </c>
      <c r="F3637" s="10">
        <v>5456.29</v>
      </c>
      <c r="G3637" s="10">
        <v>0</v>
      </c>
      <c r="H3637" s="10">
        <f t="shared" si="56"/>
        <v>5456.29</v>
      </c>
      <c r="I3637" s="10">
        <v>76.311748251748256</v>
      </c>
      <c r="J3637" s="10">
        <v>76.311748251748256</v>
      </c>
      <c r="K3637" s="10">
        <v>76.311748251748256</v>
      </c>
      <c r="L3637" s="4"/>
      <c r="M3637" s="4">
        <v>3632</v>
      </c>
    </row>
    <row r="3638" spans="1:13" x14ac:dyDescent="0.25">
      <c r="A3638" s="4" t="s">
        <v>3415</v>
      </c>
      <c r="B3638" s="4" t="s">
        <v>3420</v>
      </c>
      <c r="C3638" s="4" t="s">
        <v>65</v>
      </c>
      <c r="D3638" s="10">
        <v>31</v>
      </c>
      <c r="E3638" s="12" t="s">
        <v>66</v>
      </c>
      <c r="F3638" s="10">
        <v>3800</v>
      </c>
      <c r="G3638" s="10">
        <v>0</v>
      </c>
      <c r="H3638" s="10">
        <f t="shared" si="56"/>
        <v>3800</v>
      </c>
      <c r="I3638" s="10">
        <v>122.58064516129031</v>
      </c>
      <c r="J3638" s="10">
        <v>122.58064516129031</v>
      </c>
      <c r="K3638" s="10">
        <v>122.58064516129031</v>
      </c>
      <c r="L3638" s="4"/>
      <c r="M3638" s="4">
        <v>3633</v>
      </c>
    </row>
    <row r="3639" spans="1:13" x14ac:dyDescent="0.25">
      <c r="A3639" s="4" t="s">
        <v>3415</v>
      </c>
      <c r="B3639" s="4" t="s">
        <v>3421</v>
      </c>
      <c r="C3639" s="4" t="s">
        <v>65</v>
      </c>
      <c r="D3639" s="10">
        <v>41</v>
      </c>
      <c r="E3639" s="12" t="s">
        <v>66</v>
      </c>
      <c r="F3639" s="10">
        <v>5100</v>
      </c>
      <c r="G3639" s="10">
        <v>0</v>
      </c>
      <c r="H3639" s="10">
        <f t="shared" si="56"/>
        <v>5100</v>
      </c>
      <c r="I3639" s="10">
        <v>124.390243902439</v>
      </c>
      <c r="J3639" s="10">
        <v>124.390243902439</v>
      </c>
      <c r="K3639" s="10">
        <v>124.390243902439</v>
      </c>
      <c r="L3639" s="4"/>
      <c r="M3639" s="4">
        <v>3634</v>
      </c>
    </row>
    <row r="3640" spans="1:13" x14ac:dyDescent="0.25">
      <c r="A3640" s="4" t="s">
        <v>3415</v>
      </c>
      <c r="B3640" s="4" t="s">
        <v>3422</v>
      </c>
      <c r="C3640" s="4" t="s">
        <v>65</v>
      </c>
      <c r="D3640" s="10">
        <v>44</v>
      </c>
      <c r="E3640" s="12" t="s">
        <v>66</v>
      </c>
      <c r="F3640" s="10">
        <v>5500</v>
      </c>
      <c r="G3640" s="10">
        <v>0</v>
      </c>
      <c r="H3640" s="10">
        <f t="shared" si="56"/>
        <v>5500</v>
      </c>
      <c r="I3640" s="10">
        <v>125</v>
      </c>
      <c r="J3640" s="10">
        <v>125</v>
      </c>
      <c r="K3640" s="10">
        <v>125</v>
      </c>
      <c r="L3640" s="4"/>
      <c r="M3640" s="4">
        <v>3635</v>
      </c>
    </row>
    <row r="3641" spans="1:13" x14ac:dyDescent="0.25">
      <c r="A3641" s="4" t="s">
        <v>3415</v>
      </c>
      <c r="B3641" s="4" t="s">
        <v>3423</v>
      </c>
      <c r="C3641" s="4" t="s">
        <v>65</v>
      </c>
      <c r="D3641" s="10">
        <v>76.5</v>
      </c>
      <c r="E3641" s="12" t="s">
        <v>66</v>
      </c>
      <c r="F3641" s="10">
        <v>5800</v>
      </c>
      <c r="G3641" s="10">
        <v>0</v>
      </c>
      <c r="H3641" s="10">
        <f t="shared" si="56"/>
        <v>5800</v>
      </c>
      <c r="I3641" s="10">
        <v>124.7311827956989</v>
      </c>
      <c r="J3641" s="10">
        <v>124.7311827956989</v>
      </c>
      <c r="K3641" s="10">
        <v>124.7311827956989</v>
      </c>
      <c r="L3641" s="4"/>
      <c r="M3641" s="4">
        <v>3636</v>
      </c>
    </row>
    <row r="3642" spans="1:13" x14ac:dyDescent="0.25">
      <c r="A3642" s="4" t="s">
        <v>3424</v>
      </c>
      <c r="B3642" s="4" t="s">
        <v>3425</v>
      </c>
      <c r="C3642" s="4" t="s">
        <v>65</v>
      </c>
      <c r="D3642" s="10">
        <v>102</v>
      </c>
      <c r="E3642" s="11" t="s">
        <v>51</v>
      </c>
      <c r="F3642" s="10"/>
      <c r="G3642" s="10">
        <v>0</v>
      </c>
      <c r="H3642" s="10">
        <f t="shared" si="56"/>
        <v>0</v>
      </c>
      <c r="I3642" s="10">
        <v>0</v>
      </c>
      <c r="J3642" s="10">
        <v>0</v>
      </c>
      <c r="K3642" s="10">
        <v>0</v>
      </c>
      <c r="L3642" s="4" t="s">
        <v>69</v>
      </c>
      <c r="M3642" s="4">
        <v>3637</v>
      </c>
    </row>
    <row r="3643" spans="1:13" x14ac:dyDescent="0.25">
      <c r="A3643" s="4" t="s">
        <v>3426</v>
      </c>
      <c r="B3643" s="4" t="s">
        <v>3427</v>
      </c>
      <c r="C3643" s="4" t="s">
        <v>68</v>
      </c>
      <c r="D3643" s="10">
        <v>16</v>
      </c>
      <c r="E3643" s="11" t="s">
        <v>51</v>
      </c>
      <c r="F3643" s="10">
        <v>1505.92</v>
      </c>
      <c r="G3643" s="10">
        <v>0</v>
      </c>
      <c r="H3643" s="10">
        <f t="shared" si="56"/>
        <v>1505.92</v>
      </c>
      <c r="I3643" s="10"/>
      <c r="J3643" s="10"/>
      <c r="K3643" s="10"/>
      <c r="L3643" s="4" t="s">
        <v>69</v>
      </c>
      <c r="M3643" s="4">
        <v>3638</v>
      </c>
    </row>
    <row r="3644" spans="1:13" x14ac:dyDescent="0.25">
      <c r="A3644" s="4" t="s">
        <v>3426</v>
      </c>
      <c r="B3644" s="4" t="s">
        <v>3428</v>
      </c>
      <c r="C3644" s="4" t="s">
        <v>68</v>
      </c>
      <c r="D3644" s="10">
        <v>16</v>
      </c>
      <c r="E3644" s="11" t="s">
        <v>51</v>
      </c>
      <c r="F3644" s="10">
        <v>1505.92</v>
      </c>
      <c r="G3644" s="10">
        <v>0</v>
      </c>
      <c r="H3644" s="10">
        <f t="shared" si="56"/>
        <v>1505.92</v>
      </c>
      <c r="I3644" s="10"/>
      <c r="J3644" s="10"/>
      <c r="K3644" s="10"/>
      <c r="L3644" s="4" t="s">
        <v>69</v>
      </c>
      <c r="M3644" s="4">
        <v>3639</v>
      </c>
    </row>
    <row r="3645" spans="1:13" x14ac:dyDescent="0.25">
      <c r="A3645" s="4" t="s">
        <v>3426</v>
      </c>
      <c r="B3645" s="4" t="s">
        <v>3429</v>
      </c>
      <c r="C3645" s="4" t="s">
        <v>68</v>
      </c>
      <c r="D3645" s="10">
        <v>621</v>
      </c>
      <c r="E3645" s="11" t="s">
        <v>51</v>
      </c>
      <c r="F3645" s="10">
        <v>376.48</v>
      </c>
      <c r="G3645" s="10">
        <v>0</v>
      </c>
      <c r="H3645" s="10">
        <f t="shared" si="56"/>
        <v>376.48</v>
      </c>
      <c r="I3645" s="10"/>
      <c r="J3645" s="10"/>
      <c r="K3645" s="10"/>
      <c r="L3645" s="4" t="s">
        <v>69</v>
      </c>
      <c r="M3645" s="4">
        <v>3640</v>
      </c>
    </row>
    <row r="3646" spans="1:13" x14ac:dyDescent="0.25">
      <c r="A3646" s="4" t="s">
        <v>3430</v>
      </c>
      <c r="B3646" s="4" t="s">
        <v>2408</v>
      </c>
      <c r="C3646" s="4" t="s">
        <v>65</v>
      </c>
      <c r="D3646" s="10">
        <v>37</v>
      </c>
      <c r="E3646" s="12" t="s">
        <v>66</v>
      </c>
      <c r="F3646" s="10">
        <v>3343.5</v>
      </c>
      <c r="G3646" s="10">
        <v>0</v>
      </c>
      <c r="H3646" s="10">
        <f t="shared" si="56"/>
        <v>3343.5</v>
      </c>
      <c r="I3646" s="10">
        <v>90.36486486486487</v>
      </c>
      <c r="J3646" s="10">
        <v>90.36486486486487</v>
      </c>
      <c r="K3646" s="10">
        <v>90.36486486486487</v>
      </c>
      <c r="L3646" s="4"/>
      <c r="M3646" s="4">
        <v>3641</v>
      </c>
    </row>
    <row r="3647" spans="1:13" x14ac:dyDescent="0.25">
      <c r="A3647" s="4" t="s">
        <v>3430</v>
      </c>
      <c r="B3647" s="4" t="s">
        <v>3431</v>
      </c>
      <c r="C3647" s="4" t="s">
        <v>65</v>
      </c>
      <c r="D3647" s="10">
        <v>202</v>
      </c>
      <c r="E3647" s="12" t="s">
        <v>66</v>
      </c>
      <c r="F3647" s="10">
        <v>15044.4</v>
      </c>
      <c r="G3647" s="10">
        <v>0</v>
      </c>
      <c r="H3647" s="10">
        <f t="shared" si="56"/>
        <v>15044.4</v>
      </c>
      <c r="I3647" s="10">
        <v>74.47722772277227</v>
      </c>
      <c r="J3647" s="10">
        <v>74.47722772277227</v>
      </c>
      <c r="K3647" s="10">
        <v>74.47722772277227</v>
      </c>
      <c r="L3647" s="4"/>
      <c r="M3647" s="4">
        <v>3642</v>
      </c>
    </row>
    <row r="3648" spans="1:13" x14ac:dyDescent="0.25">
      <c r="A3648" s="4" t="s">
        <v>3430</v>
      </c>
      <c r="B3648" s="4" t="s">
        <v>3432</v>
      </c>
      <c r="C3648" s="4" t="s">
        <v>65</v>
      </c>
      <c r="D3648" s="10">
        <v>398</v>
      </c>
      <c r="E3648" s="12" t="s">
        <v>66</v>
      </c>
      <c r="F3648" s="10">
        <v>28418.22</v>
      </c>
      <c r="G3648" s="10">
        <v>0</v>
      </c>
      <c r="H3648" s="10">
        <f t="shared" si="56"/>
        <v>28418.22</v>
      </c>
      <c r="I3648" s="10">
        <v>74.393246073298428</v>
      </c>
      <c r="J3648" s="10">
        <v>74.393246073298428</v>
      </c>
      <c r="K3648" s="10">
        <v>74.393246073298428</v>
      </c>
      <c r="L3648" s="4"/>
      <c r="M3648" s="4">
        <v>3643</v>
      </c>
    </row>
    <row r="3649" spans="1:13" x14ac:dyDescent="0.25">
      <c r="A3649" s="4" t="s">
        <v>3433</v>
      </c>
      <c r="B3649" s="4" t="s">
        <v>451</v>
      </c>
      <c r="C3649" s="4" t="s">
        <v>68</v>
      </c>
      <c r="D3649" s="10">
        <v>87</v>
      </c>
      <c r="E3649" s="11" t="s">
        <v>51</v>
      </c>
      <c r="F3649" s="10">
        <v>1440</v>
      </c>
      <c r="G3649" s="10">
        <v>0</v>
      </c>
      <c r="H3649" s="10">
        <f t="shared" si="56"/>
        <v>1440</v>
      </c>
      <c r="I3649" s="10"/>
      <c r="J3649" s="10"/>
      <c r="K3649" s="10"/>
      <c r="L3649" s="4" t="s">
        <v>69</v>
      </c>
      <c r="M3649" s="4">
        <v>3644</v>
      </c>
    </row>
    <row r="3650" spans="1:13" x14ac:dyDescent="0.25">
      <c r="A3650" s="4" t="s">
        <v>3434</v>
      </c>
      <c r="B3650" s="4" t="s">
        <v>3435</v>
      </c>
      <c r="C3650" s="4" t="s">
        <v>65</v>
      </c>
      <c r="D3650" s="10">
        <v>39</v>
      </c>
      <c r="E3650" s="12" t="s">
        <v>66</v>
      </c>
      <c r="F3650" s="10">
        <v>2950</v>
      </c>
      <c r="G3650" s="10">
        <v>0</v>
      </c>
      <c r="H3650" s="10">
        <f t="shared" si="56"/>
        <v>2950</v>
      </c>
      <c r="I3650" s="10">
        <v>75.641025641025635</v>
      </c>
      <c r="J3650" s="10">
        <v>75.641025641025635</v>
      </c>
      <c r="K3650" s="10">
        <v>75.641025641025635</v>
      </c>
      <c r="L3650" s="4"/>
      <c r="M3650" s="4">
        <v>3645</v>
      </c>
    </row>
    <row r="3651" spans="1:13" x14ac:dyDescent="0.25">
      <c r="A3651" s="4" t="s">
        <v>3434</v>
      </c>
      <c r="B3651" s="4" t="s">
        <v>3436</v>
      </c>
      <c r="C3651" s="4" t="s">
        <v>65</v>
      </c>
      <c r="D3651" s="10">
        <v>24</v>
      </c>
      <c r="E3651" s="12" t="s">
        <v>66</v>
      </c>
      <c r="F3651" s="10">
        <v>1800</v>
      </c>
      <c r="G3651" s="10">
        <v>0</v>
      </c>
      <c r="H3651" s="10">
        <f t="shared" si="56"/>
        <v>1800</v>
      </c>
      <c r="I3651" s="10">
        <v>75</v>
      </c>
      <c r="J3651" s="10">
        <v>75</v>
      </c>
      <c r="K3651" s="10">
        <v>75</v>
      </c>
      <c r="L3651" s="4"/>
      <c r="M3651" s="4">
        <v>3646</v>
      </c>
    </row>
    <row r="3652" spans="1:13" x14ac:dyDescent="0.25">
      <c r="A3652" s="4" t="s">
        <v>3434</v>
      </c>
      <c r="B3652" s="4" t="s">
        <v>3437</v>
      </c>
      <c r="C3652" s="4" t="s">
        <v>65</v>
      </c>
      <c r="D3652" s="10">
        <v>1852</v>
      </c>
      <c r="E3652" s="12" t="s">
        <v>66</v>
      </c>
      <c r="F3652" s="10">
        <v>1050</v>
      </c>
      <c r="G3652" s="10">
        <v>0</v>
      </c>
      <c r="H3652" s="10">
        <f t="shared" si="56"/>
        <v>1050</v>
      </c>
      <c r="I3652" s="10">
        <v>131.25</v>
      </c>
      <c r="J3652" s="10">
        <v>131.25</v>
      </c>
      <c r="K3652" s="10">
        <v>131.25</v>
      </c>
      <c r="L3652" s="4"/>
      <c r="M3652" s="4">
        <v>3647</v>
      </c>
    </row>
    <row r="3653" spans="1:13" x14ac:dyDescent="0.25">
      <c r="A3653" s="4" t="s">
        <v>3438</v>
      </c>
      <c r="B3653" s="4" t="s">
        <v>3439</v>
      </c>
      <c r="C3653" s="4" t="s">
        <v>68</v>
      </c>
      <c r="D3653" s="10">
        <v>40</v>
      </c>
      <c r="E3653" s="11" t="s">
        <v>51</v>
      </c>
      <c r="F3653" s="10">
        <v>3600</v>
      </c>
      <c r="G3653" s="10">
        <v>0</v>
      </c>
      <c r="H3653" s="10">
        <f t="shared" si="56"/>
        <v>3600</v>
      </c>
      <c r="I3653" s="10"/>
      <c r="J3653" s="10"/>
      <c r="K3653" s="10"/>
      <c r="L3653" s="4" t="s">
        <v>69</v>
      </c>
      <c r="M3653" s="4">
        <v>3648</v>
      </c>
    </row>
    <row r="3654" spans="1:13" x14ac:dyDescent="0.25">
      <c r="A3654" s="4" t="s">
        <v>3438</v>
      </c>
      <c r="B3654" s="4" t="s">
        <v>3431</v>
      </c>
      <c r="C3654" s="4" t="s">
        <v>65</v>
      </c>
      <c r="D3654" s="10">
        <v>627</v>
      </c>
      <c r="E3654" s="12" t="s">
        <v>66</v>
      </c>
      <c r="F3654" s="10">
        <v>46500.78</v>
      </c>
      <c r="G3654" s="10">
        <v>0</v>
      </c>
      <c r="H3654" s="10">
        <f t="shared" ref="H3654:H3717" si="57">F3654-G3654</f>
        <v>46500.78</v>
      </c>
      <c r="I3654" s="10">
        <v>74.163923444976078</v>
      </c>
      <c r="J3654" s="10">
        <v>74.163923444976078</v>
      </c>
      <c r="K3654" s="10">
        <v>74.163923444976078</v>
      </c>
      <c r="L3654" s="4"/>
      <c r="M3654" s="4">
        <v>3649</v>
      </c>
    </row>
    <row r="3655" spans="1:13" x14ac:dyDescent="0.25">
      <c r="A3655" s="4" t="s">
        <v>3438</v>
      </c>
      <c r="B3655" s="4" t="s">
        <v>3432</v>
      </c>
      <c r="C3655" s="4" t="s">
        <v>65</v>
      </c>
      <c r="D3655" s="10">
        <v>2543</v>
      </c>
      <c r="E3655" s="12" t="s">
        <v>66</v>
      </c>
      <c r="F3655" s="10">
        <v>87834.79</v>
      </c>
      <c r="G3655" s="10">
        <v>0</v>
      </c>
      <c r="H3655" s="10">
        <f t="shared" si="57"/>
        <v>87834.79</v>
      </c>
      <c r="I3655" s="10">
        <v>74.122185654008433</v>
      </c>
      <c r="J3655" s="10">
        <v>74.122185654008433</v>
      </c>
      <c r="K3655" s="10">
        <v>74.122185654008433</v>
      </c>
      <c r="L3655" s="4"/>
      <c r="M3655" s="4">
        <v>3650</v>
      </c>
    </row>
    <row r="3656" spans="1:13" x14ac:dyDescent="0.25">
      <c r="A3656" s="4" t="s">
        <v>3440</v>
      </c>
      <c r="B3656" s="4" t="s">
        <v>3441</v>
      </c>
      <c r="C3656" s="4" t="s">
        <v>68</v>
      </c>
      <c r="D3656" s="10">
        <v>1438</v>
      </c>
      <c r="E3656" s="11" t="s">
        <v>51</v>
      </c>
      <c r="F3656" s="10">
        <v>109310</v>
      </c>
      <c r="G3656" s="10">
        <v>0</v>
      </c>
      <c r="H3656" s="10">
        <f t="shared" si="57"/>
        <v>109310</v>
      </c>
      <c r="I3656" s="10"/>
      <c r="J3656" s="10"/>
      <c r="K3656" s="10"/>
      <c r="L3656" s="4" t="s">
        <v>69</v>
      </c>
      <c r="M3656" s="4">
        <v>3651</v>
      </c>
    </row>
    <row r="3657" spans="1:13" x14ac:dyDescent="0.25">
      <c r="A3657" s="4" t="s">
        <v>3442</v>
      </c>
      <c r="B3657" s="4" t="s">
        <v>3443</v>
      </c>
      <c r="C3657" s="4" t="s">
        <v>68</v>
      </c>
      <c r="D3657" s="10">
        <v>136</v>
      </c>
      <c r="E3657" s="11" t="s">
        <v>51</v>
      </c>
      <c r="F3657" s="10"/>
      <c r="G3657" s="10">
        <v>0</v>
      </c>
      <c r="H3657" s="10">
        <f t="shared" si="57"/>
        <v>0</v>
      </c>
      <c r="I3657" s="10"/>
      <c r="J3657" s="10"/>
      <c r="K3657" s="10"/>
      <c r="L3657" s="4" t="s">
        <v>69</v>
      </c>
      <c r="M3657" s="4">
        <v>3652</v>
      </c>
    </row>
    <row r="3658" spans="1:13" x14ac:dyDescent="0.25">
      <c r="A3658" s="4" t="s">
        <v>3444</v>
      </c>
      <c r="B3658" s="4" t="s">
        <v>3445</v>
      </c>
      <c r="C3658" s="4" t="s">
        <v>68</v>
      </c>
      <c r="D3658" s="10">
        <v>12</v>
      </c>
      <c r="E3658" s="11" t="s">
        <v>51</v>
      </c>
      <c r="F3658" s="10">
        <v>1320</v>
      </c>
      <c r="G3658" s="10">
        <v>0</v>
      </c>
      <c r="H3658" s="10">
        <f t="shared" si="57"/>
        <v>1320</v>
      </c>
      <c r="I3658" s="10"/>
      <c r="J3658" s="10"/>
      <c r="K3658" s="10"/>
      <c r="L3658" s="4" t="s">
        <v>69</v>
      </c>
      <c r="M3658" s="4">
        <v>3653</v>
      </c>
    </row>
    <row r="3659" spans="1:13" x14ac:dyDescent="0.25">
      <c r="A3659" s="4" t="s">
        <v>3444</v>
      </c>
      <c r="B3659" s="4" t="s">
        <v>3446</v>
      </c>
      <c r="C3659" s="4" t="s">
        <v>68</v>
      </c>
      <c r="D3659" s="10">
        <v>3</v>
      </c>
      <c r="E3659" s="11" t="s">
        <v>51</v>
      </c>
      <c r="F3659" s="10">
        <v>210</v>
      </c>
      <c r="G3659" s="10">
        <v>0</v>
      </c>
      <c r="H3659" s="10">
        <f t="shared" si="57"/>
        <v>210</v>
      </c>
      <c r="I3659" s="10"/>
      <c r="J3659" s="10"/>
      <c r="K3659" s="10"/>
      <c r="L3659" s="4" t="s">
        <v>69</v>
      </c>
      <c r="M3659" s="4">
        <v>3654</v>
      </c>
    </row>
    <row r="3660" spans="1:13" x14ac:dyDescent="0.25">
      <c r="A3660" s="4" t="s">
        <v>3444</v>
      </c>
      <c r="B3660" s="4" t="s">
        <v>3447</v>
      </c>
      <c r="C3660" s="4" t="s">
        <v>65</v>
      </c>
      <c r="D3660" s="10">
        <v>8</v>
      </c>
      <c r="E3660" s="12" t="s">
        <v>66</v>
      </c>
      <c r="F3660" s="10">
        <v>325</v>
      </c>
      <c r="G3660" s="10">
        <v>0</v>
      </c>
      <c r="H3660" s="10">
        <f t="shared" si="57"/>
        <v>325</v>
      </c>
      <c r="I3660" s="10">
        <v>40.625</v>
      </c>
      <c r="J3660" s="10">
        <v>40.625</v>
      </c>
      <c r="K3660" s="10">
        <v>40.625</v>
      </c>
      <c r="L3660" s="4"/>
      <c r="M3660" s="4">
        <v>3655</v>
      </c>
    </row>
    <row r="3661" spans="1:13" x14ac:dyDescent="0.25">
      <c r="A3661" s="4" t="s">
        <v>3444</v>
      </c>
      <c r="B3661" s="4" t="s">
        <v>3448</v>
      </c>
      <c r="C3661" s="4" t="s">
        <v>65</v>
      </c>
      <c r="D3661" s="10">
        <v>5</v>
      </c>
      <c r="E3661" s="12" t="s">
        <v>66</v>
      </c>
      <c r="F3661" s="10">
        <v>425</v>
      </c>
      <c r="G3661" s="10">
        <v>0</v>
      </c>
      <c r="H3661" s="10">
        <f t="shared" si="57"/>
        <v>425</v>
      </c>
      <c r="I3661" s="10">
        <v>85</v>
      </c>
      <c r="J3661" s="10">
        <v>85</v>
      </c>
      <c r="K3661" s="10">
        <v>85</v>
      </c>
      <c r="L3661" s="4"/>
      <c r="M3661" s="4">
        <v>3656</v>
      </c>
    </row>
    <row r="3662" spans="1:13" x14ac:dyDescent="0.25">
      <c r="A3662" s="4" t="s">
        <v>3444</v>
      </c>
      <c r="B3662" s="4" t="s">
        <v>3449</v>
      </c>
      <c r="C3662" s="4" t="s">
        <v>68</v>
      </c>
      <c r="D3662" s="10">
        <v>24</v>
      </c>
      <c r="E3662" s="11" t="s">
        <v>51</v>
      </c>
      <c r="F3662" s="10"/>
      <c r="G3662" s="10">
        <v>0</v>
      </c>
      <c r="H3662" s="10">
        <f t="shared" si="57"/>
        <v>0</v>
      </c>
      <c r="I3662" s="10"/>
      <c r="J3662" s="10"/>
      <c r="K3662" s="10"/>
      <c r="L3662" s="4" t="s">
        <v>69</v>
      </c>
      <c r="M3662" s="4">
        <v>3657</v>
      </c>
    </row>
    <row r="3663" spans="1:13" x14ac:dyDescent="0.25">
      <c r="A3663" s="4" t="s">
        <v>3450</v>
      </c>
      <c r="B3663" s="4" t="s">
        <v>3445</v>
      </c>
      <c r="C3663" s="4" t="s">
        <v>68</v>
      </c>
      <c r="D3663" s="10"/>
      <c r="E3663" s="11" t="s">
        <v>51</v>
      </c>
      <c r="F3663" s="10"/>
      <c r="G3663" s="10">
        <v>0</v>
      </c>
      <c r="H3663" s="10">
        <f t="shared" si="57"/>
        <v>0</v>
      </c>
      <c r="I3663" s="10"/>
      <c r="J3663" s="10"/>
      <c r="K3663" s="10"/>
      <c r="L3663" s="4" t="s">
        <v>69</v>
      </c>
      <c r="M3663" s="4">
        <v>3658</v>
      </c>
    </row>
    <row r="3664" spans="1:13" x14ac:dyDescent="0.25">
      <c r="A3664" s="4" t="s">
        <v>3450</v>
      </c>
      <c r="B3664" s="4" t="s">
        <v>3446</v>
      </c>
      <c r="C3664" s="4" t="s">
        <v>68</v>
      </c>
      <c r="D3664" s="10"/>
      <c r="E3664" s="11" t="s">
        <v>51</v>
      </c>
      <c r="F3664" s="10"/>
      <c r="G3664" s="10">
        <v>0</v>
      </c>
      <c r="H3664" s="10">
        <f t="shared" si="57"/>
        <v>0</v>
      </c>
      <c r="I3664" s="10"/>
      <c r="J3664" s="10"/>
      <c r="K3664" s="10"/>
      <c r="L3664" s="4" t="s">
        <v>69</v>
      </c>
      <c r="M3664" s="4">
        <v>3659</v>
      </c>
    </row>
    <row r="3665" spans="1:13" x14ac:dyDescent="0.25">
      <c r="A3665" s="4" t="s">
        <v>3450</v>
      </c>
      <c r="B3665" s="4" t="s">
        <v>3447</v>
      </c>
      <c r="C3665" s="4" t="s">
        <v>65</v>
      </c>
      <c r="D3665" s="10">
        <v>4</v>
      </c>
      <c r="E3665" s="12" t="s">
        <v>66</v>
      </c>
      <c r="F3665" s="10">
        <v>325</v>
      </c>
      <c r="G3665" s="10">
        <v>0</v>
      </c>
      <c r="H3665" s="10">
        <f t="shared" si="57"/>
        <v>325</v>
      </c>
      <c r="I3665" s="10">
        <v>81.25</v>
      </c>
      <c r="J3665" s="10">
        <v>81.25</v>
      </c>
      <c r="K3665" s="10">
        <v>81.25</v>
      </c>
      <c r="L3665" s="4"/>
      <c r="M3665" s="4">
        <v>3660</v>
      </c>
    </row>
    <row r="3666" spans="1:13" x14ac:dyDescent="0.25">
      <c r="A3666" s="4" t="s">
        <v>3450</v>
      </c>
      <c r="B3666" s="4" t="s">
        <v>3448</v>
      </c>
      <c r="C3666" s="4" t="s">
        <v>65</v>
      </c>
      <c r="D3666" s="10"/>
      <c r="E3666" s="11" t="s">
        <v>51</v>
      </c>
      <c r="F3666" s="10"/>
      <c r="G3666" s="10">
        <v>0</v>
      </c>
      <c r="H3666" s="10">
        <f t="shared" si="57"/>
        <v>0</v>
      </c>
      <c r="I3666" s="10"/>
      <c r="J3666" s="10"/>
      <c r="K3666" s="10"/>
      <c r="L3666" s="4" t="s">
        <v>69</v>
      </c>
      <c r="M3666" s="4">
        <v>3661</v>
      </c>
    </row>
    <row r="3667" spans="1:13" x14ac:dyDescent="0.25">
      <c r="A3667" s="4" t="s">
        <v>3450</v>
      </c>
      <c r="B3667" s="4" t="s">
        <v>3449</v>
      </c>
      <c r="C3667" s="4" t="s">
        <v>68</v>
      </c>
      <c r="D3667" s="10">
        <v>22</v>
      </c>
      <c r="E3667" s="11" t="s">
        <v>51</v>
      </c>
      <c r="F3667" s="10">
        <v>880</v>
      </c>
      <c r="G3667" s="10">
        <v>0</v>
      </c>
      <c r="H3667" s="10">
        <f t="shared" si="57"/>
        <v>880</v>
      </c>
      <c r="I3667" s="10"/>
      <c r="J3667" s="10"/>
      <c r="K3667" s="10"/>
      <c r="L3667" s="4" t="s">
        <v>69</v>
      </c>
      <c r="M3667" s="4">
        <v>3662</v>
      </c>
    </row>
    <row r="3668" spans="1:13" x14ac:dyDescent="0.25">
      <c r="A3668" s="4" t="s">
        <v>3451</v>
      </c>
      <c r="B3668" s="4" t="s">
        <v>3029</v>
      </c>
      <c r="C3668" s="9" t="s">
        <v>50</v>
      </c>
      <c r="D3668" s="10">
        <v>42</v>
      </c>
      <c r="E3668" s="11" t="s">
        <v>51</v>
      </c>
      <c r="F3668" s="10">
        <v>1950</v>
      </c>
      <c r="G3668" s="10">
        <v>0</v>
      </c>
      <c r="H3668" s="10">
        <f t="shared" si="57"/>
        <v>1950</v>
      </c>
      <c r="I3668" s="10"/>
      <c r="J3668" s="10"/>
      <c r="K3668" s="10"/>
      <c r="L3668" s="4" t="s">
        <v>52</v>
      </c>
      <c r="M3668" s="4">
        <v>3663</v>
      </c>
    </row>
    <row r="3669" spans="1:13" x14ac:dyDescent="0.25">
      <c r="A3669" s="4" t="s">
        <v>3452</v>
      </c>
      <c r="B3669" s="4" t="s">
        <v>3453</v>
      </c>
      <c r="C3669" s="4" t="s">
        <v>68</v>
      </c>
      <c r="D3669" s="10">
        <v>28</v>
      </c>
      <c r="E3669" s="11" t="s">
        <v>51</v>
      </c>
      <c r="F3669" s="10">
        <v>2200</v>
      </c>
      <c r="G3669" s="10">
        <v>0</v>
      </c>
      <c r="H3669" s="10">
        <f t="shared" si="57"/>
        <v>2200</v>
      </c>
      <c r="I3669" s="10"/>
      <c r="J3669" s="10"/>
      <c r="K3669" s="10"/>
      <c r="L3669" s="4" t="s">
        <v>69</v>
      </c>
      <c r="M3669" s="4">
        <v>3664</v>
      </c>
    </row>
    <row r="3670" spans="1:13" x14ac:dyDescent="0.25">
      <c r="A3670" s="4" t="s">
        <v>3454</v>
      </c>
      <c r="B3670" s="4" t="s">
        <v>3455</v>
      </c>
      <c r="C3670" s="4" t="s">
        <v>68</v>
      </c>
      <c r="D3670" s="10">
        <v>69</v>
      </c>
      <c r="E3670" s="11" t="s">
        <v>51</v>
      </c>
      <c r="F3670" s="10">
        <v>440</v>
      </c>
      <c r="G3670" s="10">
        <v>0</v>
      </c>
      <c r="H3670" s="10">
        <f t="shared" si="57"/>
        <v>440</v>
      </c>
      <c r="I3670" s="10"/>
      <c r="J3670" s="10"/>
      <c r="K3670" s="10"/>
      <c r="L3670" s="4" t="s">
        <v>69</v>
      </c>
      <c r="M3670" s="4">
        <v>3665</v>
      </c>
    </row>
    <row r="3671" spans="1:13" x14ac:dyDescent="0.25">
      <c r="A3671" s="4" t="s">
        <v>3456</v>
      </c>
      <c r="B3671" s="4" t="s">
        <v>3457</v>
      </c>
      <c r="C3671" s="4" t="s">
        <v>65</v>
      </c>
      <c r="D3671" s="10">
        <v>57</v>
      </c>
      <c r="E3671" s="12" t="s">
        <v>66</v>
      </c>
      <c r="F3671" s="10">
        <v>6700</v>
      </c>
      <c r="G3671" s="10">
        <v>0</v>
      </c>
      <c r="H3671" s="10">
        <f t="shared" si="57"/>
        <v>6700</v>
      </c>
      <c r="I3671" s="10">
        <v>117.54385964912279</v>
      </c>
      <c r="J3671" s="10">
        <v>117.54385964912279</v>
      </c>
      <c r="K3671" s="10">
        <v>117.54385964912279</v>
      </c>
      <c r="L3671" s="4"/>
      <c r="M3671" s="4">
        <v>3666</v>
      </c>
    </row>
    <row r="3672" spans="1:13" x14ac:dyDescent="0.25">
      <c r="A3672" s="4" t="s">
        <v>3456</v>
      </c>
      <c r="B3672" s="4" t="s">
        <v>3458</v>
      </c>
      <c r="C3672" s="4" t="s">
        <v>68</v>
      </c>
      <c r="D3672" s="10">
        <v>15</v>
      </c>
      <c r="E3672" s="11" t="s">
        <v>51</v>
      </c>
      <c r="F3672" s="10">
        <v>440</v>
      </c>
      <c r="G3672" s="10">
        <v>0</v>
      </c>
      <c r="H3672" s="10">
        <f t="shared" si="57"/>
        <v>440</v>
      </c>
      <c r="I3672" s="10"/>
      <c r="J3672" s="10"/>
      <c r="K3672" s="10"/>
      <c r="L3672" s="4" t="s">
        <v>69</v>
      </c>
      <c r="M3672" s="4">
        <v>3667</v>
      </c>
    </row>
    <row r="3673" spans="1:13" x14ac:dyDescent="0.25">
      <c r="A3673" s="4" t="s">
        <v>3459</v>
      </c>
      <c r="B3673" s="4" t="s">
        <v>3460</v>
      </c>
      <c r="C3673" s="4" t="s">
        <v>65</v>
      </c>
      <c r="D3673" s="10">
        <v>15</v>
      </c>
      <c r="E3673" s="12" t="s">
        <v>66</v>
      </c>
      <c r="F3673" s="10">
        <v>1900</v>
      </c>
      <c r="G3673" s="10">
        <v>0</v>
      </c>
      <c r="H3673" s="10">
        <f t="shared" si="57"/>
        <v>1900</v>
      </c>
      <c r="I3673" s="10">
        <v>126.6666666666667</v>
      </c>
      <c r="J3673" s="10">
        <v>126.6666666666667</v>
      </c>
      <c r="K3673" s="10">
        <v>126.6666666666667</v>
      </c>
      <c r="L3673" s="4"/>
      <c r="M3673" s="4">
        <v>3668</v>
      </c>
    </row>
    <row r="3674" spans="1:13" x14ac:dyDescent="0.25">
      <c r="A3674" s="4" t="s">
        <v>3461</v>
      </c>
      <c r="B3674" s="4" t="s">
        <v>3462</v>
      </c>
      <c r="C3674" s="4" t="s">
        <v>68</v>
      </c>
      <c r="D3674" s="10">
        <v>200</v>
      </c>
      <c r="E3674" s="11" t="s">
        <v>51</v>
      </c>
      <c r="F3674" s="10">
        <v>12100</v>
      </c>
      <c r="G3674" s="10">
        <v>0</v>
      </c>
      <c r="H3674" s="10">
        <f t="shared" si="57"/>
        <v>12100</v>
      </c>
      <c r="I3674" s="10"/>
      <c r="J3674" s="10"/>
      <c r="K3674" s="10"/>
      <c r="L3674" s="4" t="s">
        <v>69</v>
      </c>
      <c r="M3674" s="4">
        <v>3669</v>
      </c>
    </row>
    <row r="3675" spans="1:13" x14ac:dyDescent="0.25">
      <c r="A3675" s="4" t="s">
        <v>3463</v>
      </c>
      <c r="B3675" s="4" t="s">
        <v>3464</v>
      </c>
      <c r="C3675" s="4" t="s">
        <v>68</v>
      </c>
      <c r="D3675" s="10">
        <v>40</v>
      </c>
      <c r="E3675" s="11" t="s">
        <v>51</v>
      </c>
      <c r="F3675" s="10">
        <v>5000</v>
      </c>
      <c r="G3675" s="10">
        <v>0</v>
      </c>
      <c r="H3675" s="10">
        <f t="shared" si="57"/>
        <v>5000</v>
      </c>
      <c r="I3675" s="10"/>
      <c r="J3675" s="10"/>
      <c r="K3675" s="10"/>
      <c r="L3675" s="4" t="s">
        <v>69</v>
      </c>
      <c r="M3675" s="4">
        <v>3670</v>
      </c>
    </row>
    <row r="3676" spans="1:13" x14ac:dyDescent="0.25">
      <c r="A3676" s="4" t="s">
        <v>3463</v>
      </c>
      <c r="B3676" s="4" t="s">
        <v>2044</v>
      </c>
      <c r="C3676" s="4" t="s">
        <v>65</v>
      </c>
      <c r="D3676" s="10">
        <v>70</v>
      </c>
      <c r="E3676" s="12" t="s">
        <v>66</v>
      </c>
      <c r="F3676" s="10">
        <v>5400</v>
      </c>
      <c r="G3676" s="10">
        <v>0</v>
      </c>
      <c r="H3676" s="10">
        <f t="shared" si="57"/>
        <v>5400</v>
      </c>
      <c r="I3676" s="10">
        <v>77.142857142857139</v>
      </c>
      <c r="J3676" s="10">
        <v>77.142857142857139</v>
      </c>
      <c r="K3676" s="10">
        <v>77.142857142857139</v>
      </c>
      <c r="L3676" s="4"/>
      <c r="M3676" s="4">
        <v>3671</v>
      </c>
    </row>
    <row r="3677" spans="1:13" x14ac:dyDescent="0.25">
      <c r="A3677" s="4" t="s">
        <v>3463</v>
      </c>
      <c r="B3677" s="4" t="s">
        <v>2043</v>
      </c>
      <c r="C3677" s="4" t="s">
        <v>65</v>
      </c>
      <c r="D3677" s="10">
        <v>60</v>
      </c>
      <c r="E3677" s="12" t="s">
        <v>66</v>
      </c>
      <c r="F3677" s="10">
        <v>4200</v>
      </c>
      <c r="G3677" s="10">
        <v>0</v>
      </c>
      <c r="H3677" s="10">
        <f t="shared" si="57"/>
        <v>4200</v>
      </c>
      <c r="I3677" s="10">
        <v>70</v>
      </c>
      <c r="J3677" s="10">
        <v>70</v>
      </c>
      <c r="K3677" s="10">
        <v>70</v>
      </c>
      <c r="L3677" s="4"/>
      <c r="M3677" s="4">
        <v>3672</v>
      </c>
    </row>
    <row r="3678" spans="1:13" x14ac:dyDescent="0.25">
      <c r="A3678" s="4" t="s">
        <v>3463</v>
      </c>
      <c r="B3678" s="4" t="s">
        <v>3465</v>
      </c>
      <c r="C3678" s="4" t="s">
        <v>65</v>
      </c>
      <c r="D3678" s="10">
        <v>246</v>
      </c>
      <c r="E3678" s="12" t="s">
        <v>66</v>
      </c>
      <c r="F3678" s="10">
        <v>2500</v>
      </c>
      <c r="G3678" s="10">
        <v>0</v>
      </c>
      <c r="H3678" s="10">
        <f t="shared" si="57"/>
        <v>2500</v>
      </c>
      <c r="I3678" s="10">
        <v>83.333333333333329</v>
      </c>
      <c r="J3678" s="10">
        <v>83.333333333333329</v>
      </c>
      <c r="K3678" s="10">
        <v>83.333333333333329</v>
      </c>
      <c r="L3678" s="4"/>
      <c r="M3678" s="4">
        <v>3673</v>
      </c>
    </row>
    <row r="3679" spans="1:13" x14ac:dyDescent="0.25">
      <c r="A3679" s="4" t="s">
        <v>3466</v>
      </c>
      <c r="B3679" s="4" t="s">
        <v>1723</v>
      </c>
      <c r="C3679" s="4" t="s">
        <v>68</v>
      </c>
      <c r="D3679" s="10">
        <v>80</v>
      </c>
      <c r="E3679" s="11" t="s">
        <v>51</v>
      </c>
      <c r="F3679" s="10">
        <v>8400</v>
      </c>
      <c r="G3679" s="10">
        <v>0</v>
      </c>
      <c r="H3679" s="10">
        <f t="shared" si="57"/>
        <v>8400</v>
      </c>
      <c r="I3679" s="10"/>
      <c r="J3679" s="10"/>
      <c r="K3679" s="10"/>
      <c r="L3679" s="4" t="s">
        <v>69</v>
      </c>
      <c r="M3679" s="4">
        <v>3674</v>
      </c>
    </row>
    <row r="3680" spans="1:13" x14ac:dyDescent="0.25">
      <c r="A3680" s="4" t="s">
        <v>3466</v>
      </c>
      <c r="B3680" s="4" t="s">
        <v>3467</v>
      </c>
      <c r="C3680" s="4" t="s">
        <v>65</v>
      </c>
      <c r="D3680" s="10">
        <v>16</v>
      </c>
      <c r="E3680" s="12" t="s">
        <v>66</v>
      </c>
      <c r="F3680" s="10">
        <v>2500</v>
      </c>
      <c r="G3680" s="10">
        <v>0</v>
      </c>
      <c r="H3680" s="10">
        <f t="shared" si="57"/>
        <v>2500</v>
      </c>
      <c r="I3680" s="10">
        <v>156.25</v>
      </c>
      <c r="J3680" s="10">
        <v>156.25</v>
      </c>
      <c r="K3680" s="10">
        <v>156.25</v>
      </c>
      <c r="L3680" s="4"/>
      <c r="M3680" s="4">
        <v>3675</v>
      </c>
    </row>
    <row r="3681" spans="1:13" x14ac:dyDescent="0.25">
      <c r="A3681" s="4" t="s">
        <v>3466</v>
      </c>
      <c r="B3681" s="4" t="s">
        <v>3468</v>
      </c>
      <c r="C3681" s="4" t="s">
        <v>68</v>
      </c>
      <c r="D3681" s="10">
        <v>234</v>
      </c>
      <c r="E3681" s="11" t="s">
        <v>51</v>
      </c>
      <c r="F3681" s="10">
        <v>12600</v>
      </c>
      <c r="G3681" s="10">
        <v>0</v>
      </c>
      <c r="H3681" s="10">
        <f t="shared" si="57"/>
        <v>12600</v>
      </c>
      <c r="I3681" s="10"/>
      <c r="J3681" s="10"/>
      <c r="K3681" s="10"/>
      <c r="L3681" s="4" t="s">
        <v>69</v>
      </c>
      <c r="M3681" s="4">
        <v>3676</v>
      </c>
    </row>
    <row r="3682" spans="1:13" x14ac:dyDescent="0.25">
      <c r="A3682" s="4" t="s">
        <v>3469</v>
      </c>
      <c r="B3682" s="4" t="s">
        <v>2742</v>
      </c>
      <c r="C3682" s="4" t="s">
        <v>65</v>
      </c>
      <c r="D3682" s="10">
        <v>1</v>
      </c>
      <c r="E3682" s="12" t="s">
        <v>66</v>
      </c>
      <c r="F3682" s="10">
        <v>100</v>
      </c>
      <c r="G3682" s="10">
        <v>0</v>
      </c>
      <c r="H3682" s="10">
        <f t="shared" si="57"/>
        <v>100</v>
      </c>
      <c r="I3682" s="10">
        <v>100</v>
      </c>
      <c r="J3682" s="10">
        <v>100</v>
      </c>
      <c r="K3682" s="10">
        <v>100</v>
      </c>
      <c r="L3682" s="4"/>
      <c r="M3682" s="4">
        <v>3677</v>
      </c>
    </row>
    <row r="3683" spans="1:13" x14ac:dyDescent="0.25">
      <c r="A3683" s="4" t="s">
        <v>3469</v>
      </c>
      <c r="B3683" s="4" t="s">
        <v>852</v>
      </c>
      <c r="C3683" s="4" t="s">
        <v>65</v>
      </c>
      <c r="D3683" s="10">
        <v>17</v>
      </c>
      <c r="E3683" s="12" t="s">
        <v>66</v>
      </c>
      <c r="F3683" s="10">
        <v>1650</v>
      </c>
      <c r="G3683" s="10">
        <v>0</v>
      </c>
      <c r="H3683" s="10">
        <f t="shared" si="57"/>
        <v>1650</v>
      </c>
      <c r="I3683" s="10">
        <v>97.058823529411768</v>
      </c>
      <c r="J3683" s="10">
        <v>97.058823529411768</v>
      </c>
      <c r="K3683" s="10">
        <v>97.058823529411768</v>
      </c>
      <c r="L3683" s="4"/>
      <c r="M3683" s="4">
        <v>3678</v>
      </c>
    </row>
    <row r="3684" spans="1:13" x14ac:dyDescent="0.25">
      <c r="A3684" s="4" t="s">
        <v>3469</v>
      </c>
      <c r="B3684" s="4" t="s">
        <v>853</v>
      </c>
      <c r="C3684" s="4" t="s">
        <v>65</v>
      </c>
      <c r="D3684" s="10">
        <v>21</v>
      </c>
      <c r="E3684" s="12" t="s">
        <v>66</v>
      </c>
      <c r="F3684" s="10">
        <v>2100</v>
      </c>
      <c r="G3684" s="10">
        <v>0</v>
      </c>
      <c r="H3684" s="10">
        <f t="shared" si="57"/>
        <v>2100</v>
      </c>
      <c r="I3684" s="10">
        <v>100</v>
      </c>
      <c r="J3684" s="10">
        <v>100</v>
      </c>
      <c r="K3684" s="10">
        <v>100</v>
      </c>
      <c r="L3684" s="4"/>
      <c r="M3684" s="4">
        <v>3679</v>
      </c>
    </row>
    <row r="3685" spans="1:13" x14ac:dyDescent="0.25">
      <c r="A3685" s="4" t="s">
        <v>3469</v>
      </c>
      <c r="B3685" s="4" t="s">
        <v>854</v>
      </c>
      <c r="C3685" s="4" t="s">
        <v>65</v>
      </c>
      <c r="D3685" s="10">
        <v>17</v>
      </c>
      <c r="E3685" s="12" t="s">
        <v>66</v>
      </c>
      <c r="F3685" s="10">
        <v>1650</v>
      </c>
      <c r="G3685" s="10">
        <v>0</v>
      </c>
      <c r="H3685" s="10">
        <f t="shared" si="57"/>
        <v>1650</v>
      </c>
      <c r="I3685" s="10">
        <v>97.058823529411768</v>
      </c>
      <c r="J3685" s="10">
        <v>97.058823529411768</v>
      </c>
      <c r="K3685" s="10">
        <v>97.058823529411768</v>
      </c>
      <c r="L3685" s="4"/>
      <c r="M3685" s="4">
        <v>3680</v>
      </c>
    </row>
    <row r="3686" spans="1:13" x14ac:dyDescent="0.25">
      <c r="A3686" s="4" t="s">
        <v>3469</v>
      </c>
      <c r="B3686" s="4" t="s">
        <v>3470</v>
      </c>
      <c r="C3686" s="4" t="s">
        <v>68</v>
      </c>
      <c r="D3686" s="10">
        <v>21</v>
      </c>
      <c r="E3686" s="11" t="s">
        <v>51</v>
      </c>
      <c r="F3686" s="10">
        <v>1995</v>
      </c>
      <c r="G3686" s="10">
        <v>0</v>
      </c>
      <c r="H3686" s="10">
        <f t="shared" si="57"/>
        <v>1995</v>
      </c>
      <c r="I3686" s="10"/>
      <c r="J3686" s="10"/>
      <c r="K3686" s="10"/>
      <c r="L3686" s="4" t="s">
        <v>69</v>
      </c>
      <c r="M3686" s="4">
        <v>3681</v>
      </c>
    </row>
    <row r="3687" spans="1:13" x14ac:dyDescent="0.25">
      <c r="A3687" s="4" t="s">
        <v>3469</v>
      </c>
      <c r="B3687" s="4" t="s">
        <v>3471</v>
      </c>
      <c r="C3687" s="4" t="s">
        <v>68</v>
      </c>
      <c r="D3687" s="10">
        <v>63</v>
      </c>
      <c r="E3687" s="11" t="s">
        <v>51</v>
      </c>
      <c r="F3687" s="10">
        <v>3515</v>
      </c>
      <c r="G3687" s="10">
        <v>0</v>
      </c>
      <c r="H3687" s="10">
        <f t="shared" si="57"/>
        <v>3515</v>
      </c>
      <c r="I3687" s="10"/>
      <c r="J3687" s="10"/>
      <c r="K3687" s="10"/>
      <c r="L3687" s="4" t="s">
        <v>69</v>
      </c>
      <c r="M3687" s="4">
        <v>3682</v>
      </c>
    </row>
    <row r="3688" spans="1:13" x14ac:dyDescent="0.25">
      <c r="A3688" s="4" t="s">
        <v>3472</v>
      </c>
      <c r="B3688" s="4" t="s">
        <v>2461</v>
      </c>
      <c r="C3688" s="4" t="s">
        <v>65</v>
      </c>
      <c r="D3688" s="10">
        <v>18</v>
      </c>
      <c r="E3688" s="12" t="s">
        <v>66</v>
      </c>
      <c r="F3688" s="10">
        <v>1240</v>
      </c>
      <c r="G3688" s="10">
        <v>0</v>
      </c>
      <c r="H3688" s="10">
        <f t="shared" si="57"/>
        <v>1240</v>
      </c>
      <c r="I3688" s="10">
        <v>68.888888888888886</v>
      </c>
      <c r="J3688" s="10">
        <v>68.888888888888886</v>
      </c>
      <c r="K3688" s="10">
        <v>68.888888888888886</v>
      </c>
      <c r="L3688" s="4"/>
      <c r="M3688" s="4">
        <v>3683</v>
      </c>
    </row>
    <row r="3689" spans="1:13" x14ac:dyDescent="0.25">
      <c r="A3689" s="4" t="s">
        <v>3472</v>
      </c>
      <c r="B3689" s="4" t="s">
        <v>3473</v>
      </c>
      <c r="C3689" s="4" t="s">
        <v>65</v>
      </c>
      <c r="D3689" s="10">
        <v>32</v>
      </c>
      <c r="E3689" s="12" t="s">
        <v>66</v>
      </c>
      <c r="F3689" s="10">
        <v>860</v>
      </c>
      <c r="G3689" s="10">
        <v>0</v>
      </c>
      <c r="H3689" s="10">
        <f t="shared" si="57"/>
        <v>860</v>
      </c>
      <c r="I3689" s="10">
        <v>107.5</v>
      </c>
      <c r="J3689" s="10">
        <v>107.5</v>
      </c>
      <c r="K3689" s="10">
        <v>107.5</v>
      </c>
      <c r="L3689" s="4"/>
      <c r="M3689" s="4">
        <v>3684</v>
      </c>
    </row>
    <row r="3690" spans="1:13" x14ac:dyDescent="0.25">
      <c r="A3690" s="4" t="s">
        <v>3474</v>
      </c>
      <c r="B3690" s="4" t="s">
        <v>3475</v>
      </c>
      <c r="C3690" s="4" t="s">
        <v>68</v>
      </c>
      <c r="D3690" s="10">
        <v>52</v>
      </c>
      <c r="E3690" s="11" t="s">
        <v>51</v>
      </c>
      <c r="F3690" s="10">
        <v>2640</v>
      </c>
      <c r="G3690" s="10">
        <v>0</v>
      </c>
      <c r="H3690" s="10">
        <f t="shared" si="57"/>
        <v>2640</v>
      </c>
      <c r="I3690" s="10"/>
      <c r="J3690" s="10"/>
      <c r="K3690" s="10"/>
      <c r="L3690" s="4" t="s">
        <v>69</v>
      </c>
      <c r="M3690" s="4">
        <v>3685</v>
      </c>
    </row>
    <row r="3691" spans="1:13" x14ac:dyDescent="0.25">
      <c r="A3691" s="4" t="s">
        <v>3476</v>
      </c>
      <c r="B3691" s="4" t="s">
        <v>3477</v>
      </c>
      <c r="C3691" s="4" t="s">
        <v>68</v>
      </c>
      <c r="D3691" s="10">
        <v>12</v>
      </c>
      <c r="E3691" s="11" t="s">
        <v>51</v>
      </c>
      <c r="F3691" s="10">
        <v>1129.44</v>
      </c>
      <c r="G3691" s="10">
        <v>0</v>
      </c>
      <c r="H3691" s="10">
        <f t="shared" si="57"/>
        <v>1129.44</v>
      </c>
      <c r="I3691" s="10"/>
      <c r="J3691" s="10"/>
      <c r="K3691" s="10"/>
      <c r="L3691" s="4" t="s">
        <v>69</v>
      </c>
      <c r="M3691" s="4">
        <v>3686</v>
      </c>
    </row>
    <row r="3692" spans="1:13" x14ac:dyDescent="0.25">
      <c r="A3692" s="4" t="s">
        <v>3476</v>
      </c>
      <c r="B3692" s="4" t="s">
        <v>3478</v>
      </c>
      <c r="C3692" s="4" t="s">
        <v>68</v>
      </c>
      <c r="D3692" s="10">
        <v>12</v>
      </c>
      <c r="E3692" s="11" t="s">
        <v>51</v>
      </c>
      <c r="F3692" s="10">
        <v>1129.44</v>
      </c>
      <c r="G3692" s="10">
        <v>0</v>
      </c>
      <c r="H3692" s="10">
        <f t="shared" si="57"/>
        <v>1129.44</v>
      </c>
      <c r="I3692" s="10"/>
      <c r="J3692" s="10"/>
      <c r="K3692" s="10"/>
      <c r="L3692" s="4" t="s">
        <v>69</v>
      </c>
      <c r="M3692" s="4">
        <v>3687</v>
      </c>
    </row>
    <row r="3693" spans="1:13" x14ac:dyDescent="0.25">
      <c r="A3693" s="4" t="s">
        <v>3476</v>
      </c>
      <c r="B3693" s="4" t="s">
        <v>3479</v>
      </c>
      <c r="C3693" s="4" t="s">
        <v>65</v>
      </c>
      <c r="D3693" s="10">
        <v>604</v>
      </c>
      <c r="E3693" s="12" t="s">
        <v>66</v>
      </c>
      <c r="F3693" s="10">
        <v>450</v>
      </c>
      <c r="G3693" s="10">
        <v>0</v>
      </c>
      <c r="H3693" s="10">
        <f t="shared" si="57"/>
        <v>450</v>
      </c>
      <c r="I3693" s="10">
        <v>112.5</v>
      </c>
      <c r="J3693" s="10">
        <v>112.5</v>
      </c>
      <c r="K3693" s="10">
        <v>112.5</v>
      </c>
      <c r="L3693" s="4"/>
      <c r="M3693" s="4">
        <v>3688</v>
      </c>
    </row>
    <row r="3694" spans="1:13" x14ac:dyDescent="0.25">
      <c r="A3694" s="4" t="s">
        <v>3480</v>
      </c>
      <c r="B3694" s="4" t="s">
        <v>3481</v>
      </c>
      <c r="C3694" s="4" t="s">
        <v>65</v>
      </c>
      <c r="D3694" s="10">
        <v>600</v>
      </c>
      <c r="E3694" s="11" t="s">
        <v>51</v>
      </c>
      <c r="F3694" s="10"/>
      <c r="G3694" s="10">
        <v>0</v>
      </c>
      <c r="H3694" s="10">
        <f t="shared" si="57"/>
        <v>0</v>
      </c>
      <c r="I3694" s="10">
        <v>0</v>
      </c>
      <c r="J3694" s="10">
        <v>0</v>
      </c>
      <c r="K3694" s="10">
        <v>0</v>
      </c>
      <c r="L3694" s="4" t="s">
        <v>69</v>
      </c>
      <c r="M3694" s="4">
        <v>3689</v>
      </c>
    </row>
    <row r="3695" spans="1:13" x14ac:dyDescent="0.25">
      <c r="A3695" s="4" t="s">
        <v>3480</v>
      </c>
      <c r="B3695" s="4" t="s">
        <v>3482</v>
      </c>
      <c r="C3695" s="4" t="s">
        <v>68</v>
      </c>
      <c r="D3695" s="10">
        <v>3647.5</v>
      </c>
      <c r="E3695" s="11" t="s">
        <v>51</v>
      </c>
      <c r="F3695" s="10"/>
      <c r="G3695" s="10">
        <v>0</v>
      </c>
      <c r="H3695" s="10">
        <f t="shared" si="57"/>
        <v>0</v>
      </c>
      <c r="I3695" s="10"/>
      <c r="J3695" s="10"/>
      <c r="K3695" s="10"/>
      <c r="L3695" s="4" t="s">
        <v>69</v>
      </c>
      <c r="M3695" s="4">
        <v>3690</v>
      </c>
    </row>
    <row r="3696" spans="1:13" x14ac:dyDescent="0.25">
      <c r="A3696" s="4" t="s">
        <v>3483</v>
      </c>
      <c r="B3696" s="4" t="s">
        <v>3484</v>
      </c>
      <c r="C3696" s="9" t="s">
        <v>50</v>
      </c>
      <c r="D3696" s="10">
        <v>87.5</v>
      </c>
      <c r="E3696" s="11" t="s">
        <v>51</v>
      </c>
      <c r="F3696" s="10">
        <v>10440</v>
      </c>
      <c r="G3696" s="10">
        <v>0</v>
      </c>
      <c r="H3696" s="10">
        <f t="shared" si="57"/>
        <v>10440</v>
      </c>
      <c r="I3696" s="10">
        <v>119.3142857142857</v>
      </c>
      <c r="J3696" s="10">
        <v>119.3142857142857</v>
      </c>
      <c r="K3696" s="10">
        <v>119.3142857142857</v>
      </c>
      <c r="L3696" s="4" t="s">
        <v>259</v>
      </c>
      <c r="M3696" s="4">
        <v>3691</v>
      </c>
    </row>
    <row r="3697" spans="1:13" x14ac:dyDescent="0.25">
      <c r="A3697" s="4" t="s">
        <v>3483</v>
      </c>
      <c r="B3697" s="4" t="s">
        <v>3485</v>
      </c>
      <c r="C3697" s="9" t="s">
        <v>50</v>
      </c>
      <c r="D3697" s="10">
        <v>17.5</v>
      </c>
      <c r="E3697" s="11" t="s">
        <v>51</v>
      </c>
      <c r="F3697" s="10">
        <v>2088</v>
      </c>
      <c r="G3697" s="10">
        <v>0</v>
      </c>
      <c r="H3697" s="10">
        <f t="shared" si="57"/>
        <v>2088</v>
      </c>
      <c r="I3697" s="10">
        <v>119.3142857142857</v>
      </c>
      <c r="J3697" s="10">
        <v>119.3142857142857</v>
      </c>
      <c r="K3697" s="10">
        <v>119.3142857142857</v>
      </c>
      <c r="L3697" s="4" t="s">
        <v>259</v>
      </c>
      <c r="M3697" s="4">
        <v>3692</v>
      </c>
    </row>
    <row r="3698" spans="1:13" x14ac:dyDescent="0.25">
      <c r="A3698" s="4" t="s">
        <v>3483</v>
      </c>
      <c r="B3698" s="4" t="s">
        <v>3486</v>
      </c>
      <c r="C3698" s="9" t="s">
        <v>50</v>
      </c>
      <c r="D3698" s="10">
        <v>801</v>
      </c>
      <c r="E3698" s="11" t="s">
        <v>51</v>
      </c>
      <c r="F3698" s="10">
        <v>53360</v>
      </c>
      <c r="G3698" s="10">
        <v>0</v>
      </c>
      <c r="H3698" s="10">
        <f t="shared" si="57"/>
        <v>53360</v>
      </c>
      <c r="I3698" s="10"/>
      <c r="J3698" s="10"/>
      <c r="K3698" s="10"/>
      <c r="L3698" s="4" t="s">
        <v>52</v>
      </c>
      <c r="M3698" s="4">
        <v>3693</v>
      </c>
    </row>
    <row r="3699" spans="1:13" x14ac:dyDescent="0.25">
      <c r="A3699" s="4" t="s">
        <v>3483</v>
      </c>
      <c r="B3699" s="4" t="s">
        <v>3487</v>
      </c>
      <c r="C3699" s="9" t="s">
        <v>50</v>
      </c>
      <c r="D3699" s="10">
        <v>3663</v>
      </c>
      <c r="E3699" s="11" t="s">
        <v>51</v>
      </c>
      <c r="F3699" s="10">
        <v>243749</v>
      </c>
      <c r="G3699" s="10">
        <v>0</v>
      </c>
      <c r="H3699" s="10">
        <f t="shared" si="57"/>
        <v>243749</v>
      </c>
      <c r="I3699" s="10"/>
      <c r="J3699" s="10"/>
      <c r="K3699" s="10"/>
      <c r="L3699" s="4" t="s">
        <v>52</v>
      </c>
      <c r="M3699" s="4">
        <v>3694</v>
      </c>
    </row>
    <row r="3700" spans="1:13" x14ac:dyDescent="0.25">
      <c r="A3700" s="4" t="s">
        <v>3483</v>
      </c>
      <c r="B3700" s="4" t="s">
        <v>3488</v>
      </c>
      <c r="C3700" s="9" t="s">
        <v>50</v>
      </c>
      <c r="D3700" s="10">
        <v>131.5</v>
      </c>
      <c r="E3700" s="11" t="s">
        <v>51</v>
      </c>
      <c r="F3700" s="10">
        <v>15660</v>
      </c>
      <c r="G3700" s="10">
        <v>0</v>
      </c>
      <c r="H3700" s="10">
        <f t="shared" si="57"/>
        <v>15660</v>
      </c>
      <c r="I3700" s="10">
        <v>119.08745247148291</v>
      </c>
      <c r="J3700" s="10">
        <v>119.08745247148291</v>
      </c>
      <c r="K3700" s="10">
        <v>119.08745247148291</v>
      </c>
      <c r="L3700" s="4" t="s">
        <v>259</v>
      </c>
      <c r="M3700" s="4">
        <v>3695</v>
      </c>
    </row>
    <row r="3701" spans="1:13" x14ac:dyDescent="0.25">
      <c r="A3701" s="4" t="s">
        <v>3483</v>
      </c>
      <c r="B3701" s="4" t="s">
        <v>3489</v>
      </c>
      <c r="C3701" s="9" t="s">
        <v>50</v>
      </c>
      <c r="D3701" s="10">
        <v>131.5</v>
      </c>
      <c r="E3701" s="11" t="s">
        <v>51</v>
      </c>
      <c r="F3701" s="10">
        <v>15660</v>
      </c>
      <c r="G3701" s="10">
        <v>0</v>
      </c>
      <c r="H3701" s="10">
        <f t="shared" si="57"/>
        <v>15660</v>
      </c>
      <c r="I3701" s="10">
        <v>119.08745247148291</v>
      </c>
      <c r="J3701" s="10">
        <v>119.08745247148291</v>
      </c>
      <c r="K3701" s="10">
        <v>119.08745247148291</v>
      </c>
      <c r="L3701" s="4" t="s">
        <v>259</v>
      </c>
      <c r="M3701" s="4">
        <v>3696</v>
      </c>
    </row>
    <row r="3702" spans="1:13" x14ac:dyDescent="0.25">
      <c r="A3702" s="4" t="s">
        <v>3483</v>
      </c>
      <c r="B3702" s="4" t="s">
        <v>3490</v>
      </c>
      <c r="C3702" s="9" t="s">
        <v>50</v>
      </c>
      <c r="D3702" s="10">
        <v>2551</v>
      </c>
      <c r="E3702" s="11" t="s">
        <v>51</v>
      </c>
      <c r="F3702" s="10">
        <v>169610</v>
      </c>
      <c r="G3702" s="10">
        <v>0</v>
      </c>
      <c r="H3702" s="10">
        <f t="shared" si="57"/>
        <v>169610</v>
      </c>
      <c r="I3702" s="10"/>
      <c r="J3702" s="10"/>
      <c r="K3702" s="10"/>
      <c r="L3702" s="4" t="s">
        <v>52</v>
      </c>
      <c r="M3702" s="4">
        <v>3697</v>
      </c>
    </row>
    <row r="3703" spans="1:13" x14ac:dyDescent="0.25">
      <c r="A3703" s="4" t="s">
        <v>3483</v>
      </c>
      <c r="B3703" s="4" t="s">
        <v>3491</v>
      </c>
      <c r="C3703" s="9" t="s">
        <v>50</v>
      </c>
      <c r="D3703" s="10">
        <v>1329</v>
      </c>
      <c r="E3703" s="11" t="s">
        <v>51</v>
      </c>
      <c r="F3703" s="10">
        <v>18560</v>
      </c>
      <c r="G3703" s="10">
        <v>0</v>
      </c>
      <c r="H3703" s="10">
        <f t="shared" si="57"/>
        <v>18560</v>
      </c>
      <c r="I3703" s="10"/>
      <c r="J3703" s="10"/>
      <c r="K3703" s="10"/>
      <c r="L3703" s="4" t="s">
        <v>52</v>
      </c>
      <c r="M3703" s="4">
        <v>3698</v>
      </c>
    </row>
    <row r="3704" spans="1:13" x14ac:dyDescent="0.25">
      <c r="A3704" s="4" t="s">
        <v>3492</v>
      </c>
      <c r="B3704" s="4" t="s">
        <v>3493</v>
      </c>
      <c r="C3704" s="9" t="s">
        <v>50</v>
      </c>
      <c r="D3704" s="10">
        <v>21.5</v>
      </c>
      <c r="E3704" s="11" t="s">
        <v>51</v>
      </c>
      <c r="F3704" s="10">
        <v>2610</v>
      </c>
      <c r="G3704" s="10">
        <v>0</v>
      </c>
      <c r="H3704" s="10">
        <f t="shared" si="57"/>
        <v>2610</v>
      </c>
      <c r="I3704" s="10">
        <v>121.3953488372093</v>
      </c>
      <c r="J3704" s="10">
        <v>121.3953488372093</v>
      </c>
      <c r="K3704" s="10">
        <v>121.3953488372093</v>
      </c>
      <c r="L3704" s="4" t="s">
        <v>259</v>
      </c>
      <c r="M3704" s="4">
        <v>3699</v>
      </c>
    </row>
    <row r="3705" spans="1:13" x14ac:dyDescent="0.25">
      <c r="A3705" s="4" t="s">
        <v>3492</v>
      </c>
      <c r="B3705" s="4" t="s">
        <v>3494</v>
      </c>
      <c r="C3705" s="9" t="s">
        <v>50</v>
      </c>
      <c r="D3705" s="10">
        <v>4</v>
      </c>
      <c r="E3705" s="11" t="s">
        <v>51</v>
      </c>
      <c r="F3705" s="10">
        <v>522</v>
      </c>
      <c r="G3705" s="10">
        <v>0</v>
      </c>
      <c r="H3705" s="10">
        <f t="shared" si="57"/>
        <v>522</v>
      </c>
      <c r="I3705" s="10">
        <v>130.5</v>
      </c>
      <c r="J3705" s="10">
        <v>130.5</v>
      </c>
      <c r="K3705" s="10">
        <v>130.5</v>
      </c>
      <c r="L3705" s="4" t="s">
        <v>259</v>
      </c>
      <c r="M3705" s="4">
        <v>3700</v>
      </c>
    </row>
    <row r="3706" spans="1:13" x14ac:dyDescent="0.25">
      <c r="A3706" s="4" t="s">
        <v>3492</v>
      </c>
      <c r="B3706" s="4" t="s">
        <v>3495</v>
      </c>
      <c r="C3706" s="9" t="s">
        <v>50</v>
      </c>
      <c r="D3706" s="10">
        <v>251</v>
      </c>
      <c r="E3706" s="11" t="s">
        <v>51</v>
      </c>
      <c r="F3706" s="10">
        <v>17400</v>
      </c>
      <c r="G3706" s="10">
        <v>0</v>
      </c>
      <c r="H3706" s="10">
        <f t="shared" si="57"/>
        <v>17400</v>
      </c>
      <c r="I3706" s="10"/>
      <c r="J3706" s="10"/>
      <c r="K3706" s="10"/>
      <c r="L3706" s="4" t="s">
        <v>52</v>
      </c>
      <c r="M3706" s="4">
        <v>3701</v>
      </c>
    </row>
    <row r="3707" spans="1:13" x14ac:dyDescent="0.25">
      <c r="A3707" s="4" t="s">
        <v>3492</v>
      </c>
      <c r="B3707" s="4" t="s">
        <v>3496</v>
      </c>
      <c r="C3707" s="9" t="s">
        <v>50</v>
      </c>
      <c r="D3707" s="10">
        <v>1344</v>
      </c>
      <c r="E3707" s="11" t="s">
        <v>51</v>
      </c>
      <c r="F3707" s="10">
        <v>89320</v>
      </c>
      <c r="G3707" s="10">
        <v>0</v>
      </c>
      <c r="H3707" s="10">
        <f t="shared" si="57"/>
        <v>89320</v>
      </c>
      <c r="I3707" s="10"/>
      <c r="J3707" s="10"/>
      <c r="K3707" s="10"/>
      <c r="L3707" s="4" t="s">
        <v>52</v>
      </c>
      <c r="M3707" s="4">
        <v>3702</v>
      </c>
    </row>
    <row r="3708" spans="1:13" x14ac:dyDescent="0.25">
      <c r="A3708" s="4" t="s">
        <v>3492</v>
      </c>
      <c r="B3708" s="4" t="s">
        <v>3497</v>
      </c>
      <c r="C3708" s="9" t="s">
        <v>50</v>
      </c>
      <c r="D3708" s="10">
        <v>17.5</v>
      </c>
      <c r="E3708" s="11" t="s">
        <v>51</v>
      </c>
      <c r="F3708" s="10">
        <v>2088</v>
      </c>
      <c r="G3708" s="10">
        <v>0</v>
      </c>
      <c r="H3708" s="10">
        <f t="shared" si="57"/>
        <v>2088</v>
      </c>
      <c r="I3708" s="10">
        <v>119.3142857142857</v>
      </c>
      <c r="J3708" s="10">
        <v>119.3142857142857</v>
      </c>
      <c r="K3708" s="10">
        <v>119.3142857142857</v>
      </c>
      <c r="L3708" s="4" t="s">
        <v>259</v>
      </c>
      <c r="M3708" s="4">
        <v>3703</v>
      </c>
    </row>
    <row r="3709" spans="1:13" x14ac:dyDescent="0.25">
      <c r="A3709" s="4" t="s">
        <v>3492</v>
      </c>
      <c r="B3709" s="4" t="s">
        <v>3498</v>
      </c>
      <c r="C3709" s="9" t="s">
        <v>50</v>
      </c>
      <c r="D3709" s="10">
        <v>21.5</v>
      </c>
      <c r="E3709" s="11" t="s">
        <v>51</v>
      </c>
      <c r="F3709" s="10">
        <v>2610</v>
      </c>
      <c r="G3709" s="10">
        <v>0</v>
      </c>
      <c r="H3709" s="10">
        <f t="shared" si="57"/>
        <v>2610</v>
      </c>
      <c r="I3709" s="10">
        <v>121.3953488372093</v>
      </c>
      <c r="J3709" s="10">
        <v>121.3953488372093</v>
      </c>
      <c r="K3709" s="10">
        <v>121.3953488372093</v>
      </c>
      <c r="L3709" s="4" t="s">
        <v>259</v>
      </c>
      <c r="M3709" s="4">
        <v>3704</v>
      </c>
    </row>
    <row r="3710" spans="1:13" x14ac:dyDescent="0.25">
      <c r="A3710" s="4" t="s">
        <v>3492</v>
      </c>
      <c r="B3710" s="4" t="s">
        <v>3499</v>
      </c>
      <c r="C3710" s="9" t="s">
        <v>50</v>
      </c>
      <c r="D3710" s="10">
        <v>409</v>
      </c>
      <c r="E3710" s="11" t="s">
        <v>51</v>
      </c>
      <c r="F3710" s="10">
        <v>27557.5</v>
      </c>
      <c r="G3710" s="10">
        <v>0</v>
      </c>
      <c r="H3710" s="10">
        <f t="shared" si="57"/>
        <v>27557.5</v>
      </c>
      <c r="I3710" s="10"/>
      <c r="J3710" s="10"/>
      <c r="K3710" s="10"/>
      <c r="L3710" s="4" t="s">
        <v>52</v>
      </c>
      <c r="M3710" s="4">
        <v>3705</v>
      </c>
    </row>
    <row r="3711" spans="1:13" x14ac:dyDescent="0.25">
      <c r="A3711" s="4" t="s">
        <v>3492</v>
      </c>
      <c r="B3711" s="4" t="s">
        <v>3500</v>
      </c>
      <c r="C3711" s="9" t="s">
        <v>50</v>
      </c>
      <c r="D3711" s="10">
        <v>1511</v>
      </c>
      <c r="E3711" s="11" t="s">
        <v>51</v>
      </c>
      <c r="F3711" s="10">
        <v>6264</v>
      </c>
      <c r="G3711" s="10">
        <v>0</v>
      </c>
      <c r="H3711" s="10">
        <f t="shared" si="57"/>
        <v>6264</v>
      </c>
      <c r="I3711" s="10"/>
      <c r="J3711" s="10"/>
      <c r="K3711" s="10"/>
      <c r="L3711" s="4" t="s">
        <v>52</v>
      </c>
      <c r="M3711" s="4">
        <v>3706</v>
      </c>
    </row>
    <row r="3712" spans="1:13" x14ac:dyDescent="0.25">
      <c r="A3712" s="4" t="s">
        <v>3501</v>
      </c>
      <c r="B3712" s="4" t="s">
        <v>3502</v>
      </c>
      <c r="C3712" s="9" t="s">
        <v>50</v>
      </c>
      <c r="D3712" s="10">
        <v>219</v>
      </c>
      <c r="E3712" s="11" t="s">
        <v>51</v>
      </c>
      <c r="F3712" s="10">
        <v>17980</v>
      </c>
      <c r="G3712" s="10">
        <v>0</v>
      </c>
      <c r="H3712" s="10">
        <f t="shared" si="57"/>
        <v>17980</v>
      </c>
      <c r="I3712" s="10"/>
      <c r="J3712" s="10"/>
      <c r="K3712" s="10"/>
      <c r="L3712" s="4" t="s">
        <v>52</v>
      </c>
      <c r="M3712" s="4">
        <v>3707</v>
      </c>
    </row>
    <row r="3713" spans="1:13" x14ac:dyDescent="0.25">
      <c r="A3713" s="4" t="s">
        <v>3501</v>
      </c>
      <c r="B3713" s="4" t="s">
        <v>3503</v>
      </c>
      <c r="C3713" s="9" t="s">
        <v>50</v>
      </c>
      <c r="D3713" s="10">
        <v>2179</v>
      </c>
      <c r="E3713" s="11" t="s">
        <v>51</v>
      </c>
      <c r="F3713" s="10">
        <v>144420</v>
      </c>
      <c r="G3713" s="10">
        <v>0</v>
      </c>
      <c r="H3713" s="10">
        <f t="shared" si="57"/>
        <v>144420</v>
      </c>
      <c r="I3713" s="10"/>
      <c r="J3713" s="10"/>
      <c r="K3713" s="10"/>
      <c r="L3713" s="4" t="s">
        <v>52</v>
      </c>
      <c r="M3713" s="4">
        <v>3708</v>
      </c>
    </row>
    <row r="3714" spans="1:13" x14ac:dyDescent="0.25">
      <c r="A3714" s="4" t="s">
        <v>3501</v>
      </c>
      <c r="B3714" s="4" t="s">
        <v>3504</v>
      </c>
      <c r="C3714" s="9" t="s">
        <v>50</v>
      </c>
      <c r="D3714" s="10">
        <v>244</v>
      </c>
      <c r="E3714" s="11" t="s">
        <v>51</v>
      </c>
      <c r="F3714" s="10">
        <v>16240</v>
      </c>
      <c r="G3714" s="10">
        <v>0</v>
      </c>
      <c r="H3714" s="10">
        <f t="shared" si="57"/>
        <v>16240</v>
      </c>
      <c r="I3714" s="10"/>
      <c r="J3714" s="10"/>
      <c r="K3714" s="10"/>
      <c r="L3714" s="4" t="s">
        <v>52</v>
      </c>
      <c r="M3714" s="4">
        <v>3709</v>
      </c>
    </row>
    <row r="3715" spans="1:13" x14ac:dyDescent="0.25">
      <c r="A3715" s="4" t="s">
        <v>3501</v>
      </c>
      <c r="B3715" s="4" t="s">
        <v>3505</v>
      </c>
      <c r="C3715" s="9" t="s">
        <v>50</v>
      </c>
      <c r="D3715" s="10">
        <v>3042.5</v>
      </c>
      <c r="E3715" s="11" t="s">
        <v>51</v>
      </c>
      <c r="F3715" s="10">
        <v>12760</v>
      </c>
      <c r="G3715" s="10">
        <v>0</v>
      </c>
      <c r="H3715" s="10">
        <f t="shared" si="57"/>
        <v>12760</v>
      </c>
      <c r="I3715" s="10"/>
      <c r="J3715" s="10"/>
      <c r="K3715" s="10"/>
      <c r="L3715" s="4" t="s">
        <v>52</v>
      </c>
      <c r="M3715" s="4">
        <v>3710</v>
      </c>
    </row>
    <row r="3716" spans="1:13" x14ac:dyDescent="0.25">
      <c r="A3716" s="4" t="s">
        <v>3506</v>
      </c>
      <c r="B3716" s="4" t="s">
        <v>3507</v>
      </c>
      <c r="C3716" s="9" t="s">
        <v>50</v>
      </c>
      <c r="D3716" s="10">
        <v>43.5</v>
      </c>
      <c r="E3716" s="11" t="s">
        <v>51</v>
      </c>
      <c r="F3716" s="10">
        <v>5220</v>
      </c>
      <c r="G3716" s="10">
        <v>0</v>
      </c>
      <c r="H3716" s="10">
        <f t="shared" si="57"/>
        <v>5220</v>
      </c>
      <c r="I3716" s="10">
        <v>120</v>
      </c>
      <c r="J3716" s="10">
        <v>120</v>
      </c>
      <c r="K3716" s="10">
        <v>120</v>
      </c>
      <c r="L3716" s="4" t="s">
        <v>259</v>
      </c>
      <c r="M3716" s="4">
        <v>3711</v>
      </c>
    </row>
    <row r="3717" spans="1:13" x14ac:dyDescent="0.25">
      <c r="A3717" s="4" t="s">
        <v>3506</v>
      </c>
      <c r="B3717" s="4" t="s">
        <v>3508</v>
      </c>
      <c r="C3717" s="9" t="s">
        <v>50</v>
      </c>
      <c r="D3717" s="10">
        <v>13</v>
      </c>
      <c r="E3717" s="11" t="s">
        <v>51</v>
      </c>
      <c r="F3717" s="10">
        <v>1566</v>
      </c>
      <c r="G3717" s="10">
        <v>0</v>
      </c>
      <c r="H3717" s="10">
        <f t="shared" si="57"/>
        <v>1566</v>
      </c>
      <c r="I3717" s="10">
        <v>120.4615384615385</v>
      </c>
      <c r="J3717" s="10">
        <v>120.4615384615385</v>
      </c>
      <c r="K3717" s="10">
        <v>120.4615384615385</v>
      </c>
      <c r="L3717" s="4" t="s">
        <v>259</v>
      </c>
      <c r="M3717" s="4">
        <v>3712</v>
      </c>
    </row>
    <row r="3718" spans="1:13" x14ac:dyDescent="0.25">
      <c r="A3718" s="4" t="s">
        <v>3506</v>
      </c>
      <c r="B3718" s="4" t="s">
        <v>3509</v>
      </c>
      <c r="C3718" s="9" t="s">
        <v>50</v>
      </c>
      <c r="D3718" s="10">
        <v>439</v>
      </c>
      <c r="E3718" s="11" t="s">
        <v>51</v>
      </c>
      <c r="F3718" s="10">
        <v>29580</v>
      </c>
      <c r="G3718" s="10">
        <v>0</v>
      </c>
      <c r="H3718" s="10">
        <f t="shared" ref="H3718:H3781" si="58">F3718-G3718</f>
        <v>29580</v>
      </c>
      <c r="I3718" s="10"/>
      <c r="J3718" s="10"/>
      <c r="K3718" s="10"/>
      <c r="L3718" s="4" t="s">
        <v>52</v>
      </c>
      <c r="M3718" s="4">
        <v>3713</v>
      </c>
    </row>
    <row r="3719" spans="1:13" x14ac:dyDescent="0.25">
      <c r="A3719" s="4" t="s">
        <v>3506</v>
      </c>
      <c r="B3719" s="4" t="s">
        <v>3510</v>
      </c>
      <c r="C3719" s="9" t="s">
        <v>50</v>
      </c>
      <c r="D3719" s="10">
        <v>3933</v>
      </c>
      <c r="E3719" s="11" t="s">
        <v>51</v>
      </c>
      <c r="F3719" s="10">
        <v>261520.75</v>
      </c>
      <c r="G3719" s="10">
        <v>0</v>
      </c>
      <c r="H3719" s="10">
        <f t="shared" si="58"/>
        <v>261520.75</v>
      </c>
      <c r="I3719" s="10"/>
      <c r="J3719" s="10"/>
      <c r="K3719" s="10"/>
      <c r="L3719" s="4" t="s">
        <v>52</v>
      </c>
      <c r="M3719" s="4">
        <v>3714</v>
      </c>
    </row>
    <row r="3720" spans="1:13" x14ac:dyDescent="0.25">
      <c r="A3720" s="4" t="s">
        <v>3506</v>
      </c>
      <c r="B3720" s="4" t="s">
        <v>3511</v>
      </c>
      <c r="C3720" s="9" t="s">
        <v>50</v>
      </c>
      <c r="D3720" s="10">
        <v>70</v>
      </c>
      <c r="E3720" s="11" t="s">
        <v>51</v>
      </c>
      <c r="F3720" s="10">
        <v>8352</v>
      </c>
      <c r="G3720" s="10">
        <v>0</v>
      </c>
      <c r="H3720" s="10">
        <f t="shared" si="58"/>
        <v>8352</v>
      </c>
      <c r="I3720" s="10">
        <v>119.3142857142857</v>
      </c>
      <c r="J3720" s="10">
        <v>119.3142857142857</v>
      </c>
      <c r="K3720" s="10">
        <v>119.3142857142857</v>
      </c>
      <c r="L3720" s="4" t="s">
        <v>259</v>
      </c>
      <c r="M3720" s="4">
        <v>3715</v>
      </c>
    </row>
    <row r="3721" spans="1:13" x14ac:dyDescent="0.25">
      <c r="A3721" s="4" t="s">
        <v>3506</v>
      </c>
      <c r="B3721" s="4" t="s">
        <v>3512</v>
      </c>
      <c r="C3721" s="9" t="s">
        <v>50</v>
      </c>
      <c r="D3721" s="10">
        <v>43.5</v>
      </c>
      <c r="E3721" s="11" t="s">
        <v>51</v>
      </c>
      <c r="F3721" s="10">
        <v>5220</v>
      </c>
      <c r="G3721" s="10">
        <v>0</v>
      </c>
      <c r="H3721" s="10">
        <f t="shared" si="58"/>
        <v>5220</v>
      </c>
      <c r="I3721" s="10">
        <v>120</v>
      </c>
      <c r="J3721" s="10">
        <v>120</v>
      </c>
      <c r="K3721" s="10">
        <v>120</v>
      </c>
      <c r="L3721" s="4" t="s">
        <v>259</v>
      </c>
      <c r="M3721" s="4">
        <v>3716</v>
      </c>
    </row>
    <row r="3722" spans="1:13" x14ac:dyDescent="0.25">
      <c r="A3722" s="4" t="s">
        <v>3506</v>
      </c>
      <c r="B3722" s="4" t="s">
        <v>3513</v>
      </c>
      <c r="C3722" s="9" t="s">
        <v>50</v>
      </c>
      <c r="D3722" s="10">
        <v>1049</v>
      </c>
      <c r="E3722" s="11" t="s">
        <v>51</v>
      </c>
      <c r="F3722" s="10">
        <v>69600</v>
      </c>
      <c r="G3722" s="10">
        <v>0</v>
      </c>
      <c r="H3722" s="10">
        <f t="shared" si="58"/>
        <v>69600</v>
      </c>
      <c r="I3722" s="10"/>
      <c r="J3722" s="10"/>
      <c r="K3722" s="10"/>
      <c r="L3722" s="4" t="s">
        <v>52</v>
      </c>
      <c r="M3722" s="4">
        <v>3717</v>
      </c>
    </row>
    <row r="3723" spans="1:13" x14ac:dyDescent="0.25">
      <c r="A3723" s="4" t="s">
        <v>3506</v>
      </c>
      <c r="B3723" s="4" t="s">
        <v>3514</v>
      </c>
      <c r="C3723" s="9" t="s">
        <v>50</v>
      </c>
      <c r="D3723" s="10">
        <v>1730.5</v>
      </c>
      <c r="E3723" s="11" t="s">
        <v>51</v>
      </c>
      <c r="F3723" s="10">
        <v>18560</v>
      </c>
      <c r="G3723" s="10">
        <v>0</v>
      </c>
      <c r="H3723" s="10">
        <f t="shared" si="58"/>
        <v>18560</v>
      </c>
      <c r="I3723" s="10"/>
      <c r="J3723" s="10"/>
      <c r="K3723" s="10"/>
      <c r="L3723" s="4" t="s">
        <v>52</v>
      </c>
      <c r="M3723" s="4">
        <v>3718</v>
      </c>
    </row>
    <row r="3724" spans="1:13" x14ac:dyDescent="0.25">
      <c r="A3724" s="4" t="s">
        <v>3515</v>
      </c>
      <c r="B3724" s="4" t="s">
        <v>3516</v>
      </c>
      <c r="C3724" s="9" t="s">
        <v>50</v>
      </c>
      <c r="D3724" s="10">
        <v>21.5</v>
      </c>
      <c r="E3724" s="11" t="s">
        <v>51</v>
      </c>
      <c r="F3724" s="10">
        <v>2610</v>
      </c>
      <c r="G3724" s="10">
        <v>0</v>
      </c>
      <c r="H3724" s="10">
        <f t="shared" si="58"/>
        <v>2610</v>
      </c>
      <c r="I3724" s="10">
        <v>121.3953488372093</v>
      </c>
      <c r="J3724" s="10">
        <v>121.3953488372093</v>
      </c>
      <c r="K3724" s="10">
        <v>121.3953488372093</v>
      </c>
      <c r="L3724" s="4" t="s">
        <v>259</v>
      </c>
      <c r="M3724" s="4">
        <v>3719</v>
      </c>
    </row>
    <row r="3725" spans="1:13" x14ac:dyDescent="0.25">
      <c r="A3725" s="4" t="s">
        <v>3515</v>
      </c>
      <c r="B3725" s="4" t="s">
        <v>3517</v>
      </c>
      <c r="C3725" s="9" t="s">
        <v>50</v>
      </c>
      <c r="D3725" s="10">
        <v>4</v>
      </c>
      <c r="E3725" s="11" t="s">
        <v>51</v>
      </c>
      <c r="F3725" s="10">
        <v>522</v>
      </c>
      <c r="G3725" s="10">
        <v>0</v>
      </c>
      <c r="H3725" s="10">
        <f t="shared" si="58"/>
        <v>522</v>
      </c>
      <c r="I3725" s="10">
        <v>130.5</v>
      </c>
      <c r="J3725" s="10">
        <v>130.5</v>
      </c>
      <c r="K3725" s="10">
        <v>130.5</v>
      </c>
      <c r="L3725" s="4" t="s">
        <v>259</v>
      </c>
      <c r="M3725" s="4">
        <v>3720</v>
      </c>
    </row>
    <row r="3726" spans="1:13" x14ac:dyDescent="0.25">
      <c r="A3726" s="4" t="s">
        <v>3515</v>
      </c>
      <c r="B3726" s="4" t="s">
        <v>3518</v>
      </c>
      <c r="C3726" s="9" t="s">
        <v>50</v>
      </c>
      <c r="D3726" s="10">
        <v>269</v>
      </c>
      <c r="E3726" s="11" t="s">
        <v>51</v>
      </c>
      <c r="F3726" s="10">
        <v>18560</v>
      </c>
      <c r="G3726" s="10">
        <v>0</v>
      </c>
      <c r="H3726" s="10">
        <f t="shared" si="58"/>
        <v>18560</v>
      </c>
      <c r="I3726" s="10"/>
      <c r="J3726" s="10"/>
      <c r="K3726" s="10"/>
      <c r="L3726" s="4" t="s">
        <v>52</v>
      </c>
      <c r="M3726" s="4">
        <v>3721</v>
      </c>
    </row>
    <row r="3727" spans="1:13" x14ac:dyDescent="0.25">
      <c r="A3727" s="4" t="s">
        <v>3515</v>
      </c>
      <c r="B3727" s="4" t="s">
        <v>3519</v>
      </c>
      <c r="C3727" s="9" t="s">
        <v>50</v>
      </c>
      <c r="D3727" s="10">
        <v>2039</v>
      </c>
      <c r="E3727" s="11" t="s">
        <v>51</v>
      </c>
      <c r="F3727" s="10">
        <v>136330</v>
      </c>
      <c r="G3727" s="10">
        <v>0</v>
      </c>
      <c r="H3727" s="10">
        <f t="shared" si="58"/>
        <v>136330</v>
      </c>
      <c r="I3727" s="10"/>
      <c r="J3727" s="10"/>
      <c r="K3727" s="10"/>
      <c r="L3727" s="4" t="s">
        <v>52</v>
      </c>
      <c r="M3727" s="4">
        <v>3722</v>
      </c>
    </row>
    <row r="3728" spans="1:13" x14ac:dyDescent="0.25">
      <c r="A3728" s="4" t="s">
        <v>3515</v>
      </c>
      <c r="B3728" s="4" t="s">
        <v>3520</v>
      </c>
      <c r="C3728" s="9" t="s">
        <v>50</v>
      </c>
      <c r="D3728" s="10">
        <v>17.5</v>
      </c>
      <c r="E3728" s="11" t="s">
        <v>51</v>
      </c>
      <c r="F3728" s="10">
        <v>2088</v>
      </c>
      <c r="G3728" s="10">
        <v>0</v>
      </c>
      <c r="H3728" s="10">
        <f t="shared" si="58"/>
        <v>2088</v>
      </c>
      <c r="I3728" s="10">
        <v>119.3142857142857</v>
      </c>
      <c r="J3728" s="10">
        <v>119.3142857142857</v>
      </c>
      <c r="K3728" s="10">
        <v>119.3142857142857</v>
      </c>
      <c r="L3728" s="4" t="s">
        <v>259</v>
      </c>
      <c r="M3728" s="4">
        <v>3723</v>
      </c>
    </row>
    <row r="3729" spans="1:13" x14ac:dyDescent="0.25">
      <c r="A3729" s="4" t="s">
        <v>3515</v>
      </c>
      <c r="B3729" s="4" t="s">
        <v>3521</v>
      </c>
      <c r="C3729" s="9" t="s">
        <v>50</v>
      </c>
      <c r="D3729" s="10">
        <v>21.5</v>
      </c>
      <c r="E3729" s="11" t="s">
        <v>51</v>
      </c>
      <c r="F3729" s="10">
        <v>2610</v>
      </c>
      <c r="G3729" s="10">
        <v>0</v>
      </c>
      <c r="H3729" s="10">
        <f t="shared" si="58"/>
        <v>2610</v>
      </c>
      <c r="I3729" s="10">
        <v>121.3953488372093</v>
      </c>
      <c r="J3729" s="10">
        <v>121.3953488372093</v>
      </c>
      <c r="K3729" s="10">
        <v>121.3953488372093</v>
      </c>
      <c r="L3729" s="4" t="s">
        <v>259</v>
      </c>
      <c r="M3729" s="4">
        <v>3724</v>
      </c>
    </row>
    <row r="3730" spans="1:13" x14ac:dyDescent="0.25">
      <c r="A3730" s="4" t="s">
        <v>3515</v>
      </c>
      <c r="B3730" s="4" t="s">
        <v>3522</v>
      </c>
      <c r="C3730" s="9" t="s">
        <v>50</v>
      </c>
      <c r="D3730" s="10">
        <v>480</v>
      </c>
      <c r="E3730" s="11" t="s">
        <v>51</v>
      </c>
      <c r="F3730" s="10">
        <v>32257</v>
      </c>
      <c r="G3730" s="10">
        <v>0</v>
      </c>
      <c r="H3730" s="10">
        <f t="shared" si="58"/>
        <v>32257</v>
      </c>
      <c r="I3730" s="10"/>
      <c r="J3730" s="10"/>
      <c r="K3730" s="10"/>
      <c r="L3730" s="4" t="s">
        <v>52</v>
      </c>
      <c r="M3730" s="4">
        <v>3725</v>
      </c>
    </row>
    <row r="3731" spans="1:13" x14ac:dyDescent="0.25">
      <c r="A3731" s="4" t="s">
        <v>3515</v>
      </c>
      <c r="B3731" s="4" t="s">
        <v>3523</v>
      </c>
      <c r="C3731" s="9" t="s">
        <v>50</v>
      </c>
      <c r="D3731" s="10">
        <v>2468.5</v>
      </c>
      <c r="E3731" s="11" t="s">
        <v>51</v>
      </c>
      <c r="F3731" s="10">
        <v>7540</v>
      </c>
      <c r="G3731" s="10">
        <v>0</v>
      </c>
      <c r="H3731" s="10">
        <f t="shared" si="58"/>
        <v>7540</v>
      </c>
      <c r="I3731" s="10"/>
      <c r="J3731" s="10"/>
      <c r="K3731" s="10"/>
      <c r="L3731" s="4" t="s">
        <v>52</v>
      </c>
      <c r="M3731" s="4">
        <v>3726</v>
      </c>
    </row>
    <row r="3732" spans="1:13" x14ac:dyDescent="0.25">
      <c r="A3732" s="4" t="s">
        <v>3524</v>
      </c>
      <c r="B3732" s="4" t="s">
        <v>3525</v>
      </c>
      <c r="C3732" s="9" t="s">
        <v>50</v>
      </c>
      <c r="D3732" s="10">
        <v>30.5</v>
      </c>
      <c r="E3732" s="11" t="s">
        <v>51</v>
      </c>
      <c r="F3732" s="10">
        <v>3654</v>
      </c>
      <c r="G3732" s="10">
        <v>0</v>
      </c>
      <c r="H3732" s="10">
        <f t="shared" si="58"/>
        <v>3654</v>
      </c>
      <c r="I3732" s="10">
        <v>119.8032786885246</v>
      </c>
      <c r="J3732" s="10">
        <v>119.8032786885246</v>
      </c>
      <c r="K3732" s="10">
        <v>119.8032786885246</v>
      </c>
      <c r="L3732" s="4" t="s">
        <v>259</v>
      </c>
      <c r="M3732" s="4">
        <v>3727</v>
      </c>
    </row>
    <row r="3733" spans="1:13" x14ac:dyDescent="0.25">
      <c r="A3733" s="4" t="s">
        <v>3524</v>
      </c>
      <c r="B3733" s="4" t="s">
        <v>3526</v>
      </c>
      <c r="C3733" s="9" t="s">
        <v>50</v>
      </c>
      <c r="D3733" s="10">
        <v>8.5</v>
      </c>
      <c r="E3733" s="11" t="s">
        <v>51</v>
      </c>
      <c r="F3733" s="10">
        <v>1044</v>
      </c>
      <c r="G3733" s="10">
        <v>0</v>
      </c>
      <c r="H3733" s="10">
        <f t="shared" si="58"/>
        <v>1044</v>
      </c>
      <c r="I3733" s="10">
        <v>122.8235294117647</v>
      </c>
      <c r="J3733" s="10">
        <v>122.8235294117647</v>
      </c>
      <c r="K3733" s="10">
        <v>122.8235294117647</v>
      </c>
      <c r="L3733" s="4" t="s">
        <v>259</v>
      </c>
      <c r="M3733" s="4">
        <v>3728</v>
      </c>
    </row>
    <row r="3734" spans="1:13" x14ac:dyDescent="0.25">
      <c r="A3734" s="4" t="s">
        <v>3524</v>
      </c>
      <c r="B3734" s="4" t="s">
        <v>3527</v>
      </c>
      <c r="C3734" s="9" t="s">
        <v>50</v>
      </c>
      <c r="D3734" s="10">
        <v>377</v>
      </c>
      <c r="E3734" s="11" t="s">
        <v>51</v>
      </c>
      <c r="F3734" s="10">
        <v>25520</v>
      </c>
      <c r="G3734" s="10">
        <v>0</v>
      </c>
      <c r="H3734" s="10">
        <f t="shared" si="58"/>
        <v>25520</v>
      </c>
      <c r="I3734" s="10"/>
      <c r="J3734" s="10"/>
      <c r="K3734" s="10"/>
      <c r="L3734" s="4" t="s">
        <v>52</v>
      </c>
      <c r="M3734" s="4">
        <v>3729</v>
      </c>
    </row>
    <row r="3735" spans="1:13" x14ac:dyDescent="0.25">
      <c r="A3735" s="4" t="s">
        <v>3524</v>
      </c>
      <c r="B3735" s="4" t="s">
        <v>3528</v>
      </c>
      <c r="C3735" s="9" t="s">
        <v>50</v>
      </c>
      <c r="D3735" s="10">
        <v>3259</v>
      </c>
      <c r="E3735" s="11" t="s">
        <v>51</v>
      </c>
      <c r="F3735" s="10">
        <v>215938.5</v>
      </c>
      <c r="G3735" s="10">
        <v>0</v>
      </c>
      <c r="H3735" s="10">
        <f t="shared" si="58"/>
        <v>215938.5</v>
      </c>
      <c r="I3735" s="10"/>
      <c r="J3735" s="10"/>
      <c r="K3735" s="10"/>
      <c r="L3735" s="4" t="s">
        <v>52</v>
      </c>
      <c r="M3735" s="4">
        <v>3730</v>
      </c>
    </row>
    <row r="3736" spans="1:13" x14ac:dyDescent="0.25">
      <c r="A3736" s="4" t="s">
        <v>3524</v>
      </c>
      <c r="B3736" s="4" t="s">
        <v>3529</v>
      </c>
      <c r="C3736" s="9" t="s">
        <v>50</v>
      </c>
      <c r="D3736" s="10">
        <v>43.5</v>
      </c>
      <c r="E3736" s="11" t="s">
        <v>51</v>
      </c>
      <c r="F3736" s="10">
        <v>5220</v>
      </c>
      <c r="G3736" s="10">
        <v>0</v>
      </c>
      <c r="H3736" s="10">
        <f t="shared" si="58"/>
        <v>5220</v>
      </c>
      <c r="I3736" s="10">
        <v>120</v>
      </c>
      <c r="J3736" s="10">
        <v>120</v>
      </c>
      <c r="K3736" s="10">
        <v>120</v>
      </c>
      <c r="L3736" s="4" t="s">
        <v>259</v>
      </c>
      <c r="M3736" s="4">
        <v>3731</v>
      </c>
    </row>
    <row r="3737" spans="1:13" x14ac:dyDescent="0.25">
      <c r="A3737" s="4" t="s">
        <v>3524</v>
      </c>
      <c r="B3737" s="4" t="s">
        <v>3530</v>
      </c>
      <c r="C3737" s="9" t="s">
        <v>50</v>
      </c>
      <c r="D3737" s="10">
        <v>43.5</v>
      </c>
      <c r="E3737" s="11" t="s">
        <v>51</v>
      </c>
      <c r="F3737" s="10">
        <v>5220</v>
      </c>
      <c r="G3737" s="10">
        <v>0</v>
      </c>
      <c r="H3737" s="10">
        <f t="shared" si="58"/>
        <v>5220</v>
      </c>
      <c r="I3737" s="10">
        <v>120</v>
      </c>
      <c r="J3737" s="10">
        <v>120</v>
      </c>
      <c r="K3737" s="10">
        <v>120</v>
      </c>
      <c r="L3737" s="4" t="s">
        <v>259</v>
      </c>
      <c r="M3737" s="4">
        <v>3732</v>
      </c>
    </row>
    <row r="3738" spans="1:13" x14ac:dyDescent="0.25">
      <c r="A3738" s="4" t="s">
        <v>3524</v>
      </c>
      <c r="B3738" s="4" t="s">
        <v>3531</v>
      </c>
      <c r="C3738" s="9" t="s">
        <v>50</v>
      </c>
      <c r="D3738" s="10">
        <v>830</v>
      </c>
      <c r="E3738" s="11" t="s">
        <v>51</v>
      </c>
      <c r="F3738" s="10">
        <v>55338</v>
      </c>
      <c r="G3738" s="10">
        <v>0</v>
      </c>
      <c r="H3738" s="10">
        <f t="shared" si="58"/>
        <v>55338</v>
      </c>
      <c r="I3738" s="10"/>
      <c r="J3738" s="10"/>
      <c r="K3738" s="10"/>
      <c r="L3738" s="4" t="s">
        <v>52</v>
      </c>
      <c r="M3738" s="4">
        <v>3733</v>
      </c>
    </row>
    <row r="3739" spans="1:13" x14ac:dyDescent="0.25">
      <c r="A3739" s="4" t="s">
        <v>3524</v>
      </c>
      <c r="B3739" s="4" t="s">
        <v>3532</v>
      </c>
      <c r="C3739" s="9" t="s">
        <v>50</v>
      </c>
      <c r="D3739" s="10">
        <v>1850</v>
      </c>
      <c r="E3739" s="11" t="s">
        <v>51</v>
      </c>
      <c r="F3739" s="10">
        <v>16240</v>
      </c>
      <c r="G3739" s="10">
        <v>0</v>
      </c>
      <c r="H3739" s="10">
        <f t="shared" si="58"/>
        <v>16240</v>
      </c>
      <c r="I3739" s="10"/>
      <c r="J3739" s="10"/>
      <c r="K3739" s="10"/>
      <c r="L3739" s="4" t="s">
        <v>52</v>
      </c>
      <c r="M3739" s="4">
        <v>3734</v>
      </c>
    </row>
    <row r="3740" spans="1:13" x14ac:dyDescent="0.25">
      <c r="A3740" s="4" t="s">
        <v>3533</v>
      </c>
      <c r="B3740" s="4" t="s">
        <v>3534</v>
      </c>
      <c r="C3740" s="9" t="s">
        <v>50</v>
      </c>
      <c r="D3740" s="10">
        <v>30.5</v>
      </c>
      <c r="E3740" s="11" t="s">
        <v>51</v>
      </c>
      <c r="F3740" s="10">
        <v>3654</v>
      </c>
      <c r="G3740" s="10">
        <v>0</v>
      </c>
      <c r="H3740" s="10">
        <f t="shared" si="58"/>
        <v>3654</v>
      </c>
      <c r="I3740" s="10">
        <v>119.8032786885246</v>
      </c>
      <c r="J3740" s="10">
        <v>119.8032786885246</v>
      </c>
      <c r="K3740" s="10">
        <v>119.8032786885246</v>
      </c>
      <c r="L3740" s="4" t="s">
        <v>259</v>
      </c>
      <c r="M3740" s="4">
        <v>3735</v>
      </c>
    </row>
    <row r="3741" spans="1:13" x14ac:dyDescent="0.25">
      <c r="A3741" s="4" t="s">
        <v>3533</v>
      </c>
      <c r="B3741" s="4" t="s">
        <v>3535</v>
      </c>
      <c r="C3741" s="9" t="s">
        <v>50</v>
      </c>
      <c r="D3741" s="10">
        <v>8.5</v>
      </c>
      <c r="E3741" s="11" t="s">
        <v>51</v>
      </c>
      <c r="F3741" s="10">
        <v>1044</v>
      </c>
      <c r="G3741" s="10">
        <v>0</v>
      </c>
      <c r="H3741" s="10">
        <f t="shared" si="58"/>
        <v>1044</v>
      </c>
      <c r="I3741" s="10">
        <v>122.8235294117647</v>
      </c>
      <c r="J3741" s="10">
        <v>122.8235294117647</v>
      </c>
      <c r="K3741" s="10">
        <v>122.8235294117647</v>
      </c>
      <c r="L3741" s="4" t="s">
        <v>259</v>
      </c>
      <c r="M3741" s="4">
        <v>3736</v>
      </c>
    </row>
    <row r="3742" spans="1:13" x14ac:dyDescent="0.25">
      <c r="A3742" s="4" t="s">
        <v>3533</v>
      </c>
      <c r="B3742" s="4" t="s">
        <v>3536</v>
      </c>
      <c r="C3742" s="9" t="s">
        <v>50</v>
      </c>
      <c r="D3742" s="10">
        <v>323</v>
      </c>
      <c r="E3742" s="11" t="s">
        <v>51</v>
      </c>
      <c r="F3742" s="10">
        <v>22040</v>
      </c>
      <c r="G3742" s="10">
        <v>0</v>
      </c>
      <c r="H3742" s="10">
        <f t="shared" si="58"/>
        <v>22040</v>
      </c>
      <c r="I3742" s="10"/>
      <c r="J3742" s="10"/>
      <c r="K3742" s="10"/>
      <c r="L3742" s="4" t="s">
        <v>52</v>
      </c>
      <c r="M3742" s="4">
        <v>3737</v>
      </c>
    </row>
    <row r="3743" spans="1:13" x14ac:dyDescent="0.25">
      <c r="A3743" s="4" t="s">
        <v>3533</v>
      </c>
      <c r="B3743" s="4" t="s">
        <v>3537</v>
      </c>
      <c r="C3743" s="9" t="s">
        <v>50</v>
      </c>
      <c r="D3743" s="10">
        <v>2171</v>
      </c>
      <c r="E3743" s="11" t="s">
        <v>51</v>
      </c>
      <c r="F3743" s="10">
        <v>144852.5</v>
      </c>
      <c r="G3743" s="10">
        <v>0</v>
      </c>
      <c r="H3743" s="10">
        <f t="shared" si="58"/>
        <v>144852.5</v>
      </c>
      <c r="I3743" s="10"/>
      <c r="J3743" s="10"/>
      <c r="K3743" s="10"/>
      <c r="L3743" s="4" t="s">
        <v>52</v>
      </c>
      <c r="M3743" s="4">
        <v>3738</v>
      </c>
    </row>
    <row r="3744" spans="1:13" x14ac:dyDescent="0.25">
      <c r="A3744" s="4" t="s">
        <v>3533</v>
      </c>
      <c r="B3744" s="4" t="s">
        <v>3538</v>
      </c>
      <c r="C3744" s="9" t="s">
        <v>50</v>
      </c>
      <c r="D3744" s="10">
        <v>21.5</v>
      </c>
      <c r="E3744" s="11" t="s">
        <v>51</v>
      </c>
      <c r="F3744" s="10">
        <v>2610</v>
      </c>
      <c r="G3744" s="10">
        <v>0</v>
      </c>
      <c r="H3744" s="10">
        <f t="shared" si="58"/>
        <v>2610</v>
      </c>
      <c r="I3744" s="10">
        <v>121.3953488372093</v>
      </c>
      <c r="J3744" s="10">
        <v>121.3953488372093</v>
      </c>
      <c r="K3744" s="10">
        <v>121.3953488372093</v>
      </c>
      <c r="L3744" s="4" t="s">
        <v>259</v>
      </c>
      <c r="M3744" s="4">
        <v>3739</v>
      </c>
    </row>
    <row r="3745" spans="1:13" x14ac:dyDescent="0.25">
      <c r="A3745" s="4" t="s">
        <v>3533</v>
      </c>
      <c r="B3745" s="4" t="s">
        <v>3539</v>
      </c>
      <c r="C3745" s="9" t="s">
        <v>50</v>
      </c>
      <c r="D3745" s="10">
        <v>21.5</v>
      </c>
      <c r="E3745" s="11" t="s">
        <v>51</v>
      </c>
      <c r="F3745" s="10">
        <v>2610</v>
      </c>
      <c r="G3745" s="10">
        <v>0</v>
      </c>
      <c r="H3745" s="10">
        <f t="shared" si="58"/>
        <v>2610</v>
      </c>
      <c r="I3745" s="10">
        <v>121.3953488372093</v>
      </c>
      <c r="J3745" s="10">
        <v>121.3953488372093</v>
      </c>
      <c r="K3745" s="10">
        <v>121.3953488372093</v>
      </c>
      <c r="L3745" s="4" t="s">
        <v>259</v>
      </c>
      <c r="M3745" s="4">
        <v>3740</v>
      </c>
    </row>
    <row r="3746" spans="1:13" x14ac:dyDescent="0.25">
      <c r="A3746" s="4" t="s">
        <v>3533</v>
      </c>
      <c r="B3746" s="4" t="s">
        <v>3540</v>
      </c>
      <c r="C3746" s="9" t="s">
        <v>50</v>
      </c>
      <c r="D3746" s="10">
        <v>506</v>
      </c>
      <c r="E3746" s="11" t="s">
        <v>51</v>
      </c>
      <c r="F3746" s="10">
        <v>33878</v>
      </c>
      <c r="G3746" s="10">
        <v>0</v>
      </c>
      <c r="H3746" s="10">
        <f t="shared" si="58"/>
        <v>33878</v>
      </c>
      <c r="I3746" s="10"/>
      <c r="J3746" s="10"/>
      <c r="K3746" s="10"/>
      <c r="L3746" s="4" t="s">
        <v>52</v>
      </c>
      <c r="M3746" s="4">
        <v>3741</v>
      </c>
    </row>
    <row r="3747" spans="1:13" x14ac:dyDescent="0.25">
      <c r="A3747" s="4" t="s">
        <v>3533</v>
      </c>
      <c r="B3747" s="4" t="s">
        <v>3541</v>
      </c>
      <c r="C3747" s="9" t="s">
        <v>50</v>
      </c>
      <c r="D3747" s="10">
        <v>1600</v>
      </c>
      <c r="E3747" s="11" t="s">
        <v>51</v>
      </c>
      <c r="F3747" s="10">
        <v>13920</v>
      </c>
      <c r="G3747" s="10">
        <v>0</v>
      </c>
      <c r="H3747" s="10">
        <f t="shared" si="58"/>
        <v>13920</v>
      </c>
      <c r="I3747" s="10"/>
      <c r="J3747" s="10"/>
      <c r="K3747" s="10"/>
      <c r="L3747" s="4" t="s">
        <v>52</v>
      </c>
      <c r="M3747" s="4">
        <v>3742</v>
      </c>
    </row>
    <row r="3748" spans="1:13" x14ac:dyDescent="0.25">
      <c r="A3748" s="4" t="s">
        <v>3542</v>
      </c>
      <c r="B3748" s="4" t="s">
        <v>3543</v>
      </c>
      <c r="C3748" s="9" t="s">
        <v>50</v>
      </c>
      <c r="D3748" s="10">
        <v>30.5</v>
      </c>
      <c r="E3748" s="11" t="s">
        <v>51</v>
      </c>
      <c r="F3748" s="10">
        <v>3654</v>
      </c>
      <c r="G3748" s="10">
        <v>0</v>
      </c>
      <c r="H3748" s="10">
        <f t="shared" si="58"/>
        <v>3654</v>
      </c>
      <c r="I3748" s="10">
        <v>119.8032786885246</v>
      </c>
      <c r="J3748" s="10">
        <v>119.8032786885246</v>
      </c>
      <c r="K3748" s="10">
        <v>119.8032786885246</v>
      </c>
      <c r="L3748" s="4" t="s">
        <v>259</v>
      </c>
      <c r="M3748" s="4">
        <v>3743</v>
      </c>
    </row>
    <row r="3749" spans="1:13" x14ac:dyDescent="0.25">
      <c r="A3749" s="4" t="s">
        <v>3542</v>
      </c>
      <c r="B3749" s="4" t="s">
        <v>3544</v>
      </c>
      <c r="C3749" s="9" t="s">
        <v>50</v>
      </c>
      <c r="D3749" s="10">
        <v>8.5</v>
      </c>
      <c r="E3749" s="11" t="s">
        <v>51</v>
      </c>
      <c r="F3749" s="10">
        <v>1044</v>
      </c>
      <c r="G3749" s="10">
        <v>0</v>
      </c>
      <c r="H3749" s="10">
        <f t="shared" si="58"/>
        <v>1044</v>
      </c>
      <c r="I3749" s="10">
        <v>122.8235294117647</v>
      </c>
      <c r="J3749" s="10">
        <v>122.8235294117647</v>
      </c>
      <c r="K3749" s="10">
        <v>122.8235294117647</v>
      </c>
      <c r="L3749" s="4" t="s">
        <v>259</v>
      </c>
      <c r="M3749" s="4">
        <v>3744</v>
      </c>
    </row>
    <row r="3750" spans="1:13" x14ac:dyDescent="0.25">
      <c r="A3750" s="4" t="s">
        <v>3542</v>
      </c>
      <c r="B3750" s="4" t="s">
        <v>3545</v>
      </c>
      <c r="C3750" s="9" t="s">
        <v>50</v>
      </c>
      <c r="D3750" s="10">
        <v>296</v>
      </c>
      <c r="E3750" s="11" t="s">
        <v>51</v>
      </c>
      <c r="F3750" s="10">
        <v>20300</v>
      </c>
      <c r="G3750" s="10">
        <v>0</v>
      </c>
      <c r="H3750" s="10">
        <f t="shared" si="58"/>
        <v>20300</v>
      </c>
      <c r="I3750" s="10"/>
      <c r="J3750" s="10"/>
      <c r="K3750" s="10"/>
      <c r="L3750" s="4" t="s">
        <v>52</v>
      </c>
      <c r="M3750" s="4">
        <v>3745</v>
      </c>
    </row>
    <row r="3751" spans="1:13" x14ac:dyDescent="0.25">
      <c r="A3751" s="4" t="s">
        <v>3542</v>
      </c>
      <c r="B3751" s="4" t="s">
        <v>3546</v>
      </c>
      <c r="C3751" s="9" t="s">
        <v>50</v>
      </c>
      <c r="D3751" s="10">
        <v>1819</v>
      </c>
      <c r="E3751" s="11" t="s">
        <v>51</v>
      </c>
      <c r="F3751" s="10">
        <v>120640</v>
      </c>
      <c r="G3751" s="10">
        <v>0</v>
      </c>
      <c r="H3751" s="10">
        <f t="shared" si="58"/>
        <v>120640</v>
      </c>
      <c r="I3751" s="10"/>
      <c r="J3751" s="10"/>
      <c r="K3751" s="10"/>
      <c r="L3751" s="4" t="s">
        <v>52</v>
      </c>
      <c r="M3751" s="4">
        <v>3746</v>
      </c>
    </row>
    <row r="3752" spans="1:13" x14ac:dyDescent="0.25">
      <c r="A3752" s="4" t="s">
        <v>3542</v>
      </c>
      <c r="B3752" s="4" t="s">
        <v>3547</v>
      </c>
      <c r="C3752" s="9" t="s">
        <v>50</v>
      </c>
      <c r="D3752" s="10">
        <v>17.5</v>
      </c>
      <c r="E3752" s="11" t="s">
        <v>51</v>
      </c>
      <c r="F3752" s="10">
        <v>2088</v>
      </c>
      <c r="G3752" s="10">
        <v>0</v>
      </c>
      <c r="H3752" s="10">
        <f t="shared" si="58"/>
        <v>2088</v>
      </c>
      <c r="I3752" s="10">
        <v>119.3142857142857</v>
      </c>
      <c r="J3752" s="10">
        <v>119.3142857142857</v>
      </c>
      <c r="K3752" s="10">
        <v>119.3142857142857</v>
      </c>
      <c r="L3752" s="4" t="s">
        <v>259</v>
      </c>
      <c r="M3752" s="4">
        <v>3747</v>
      </c>
    </row>
    <row r="3753" spans="1:13" x14ac:dyDescent="0.25">
      <c r="A3753" s="4" t="s">
        <v>3542</v>
      </c>
      <c r="B3753" s="4" t="s">
        <v>3548</v>
      </c>
      <c r="C3753" s="9" t="s">
        <v>50</v>
      </c>
      <c r="D3753" s="10">
        <v>17.5</v>
      </c>
      <c r="E3753" s="11" t="s">
        <v>51</v>
      </c>
      <c r="F3753" s="10">
        <v>2088</v>
      </c>
      <c r="G3753" s="10">
        <v>0</v>
      </c>
      <c r="H3753" s="10">
        <f t="shared" si="58"/>
        <v>2088</v>
      </c>
      <c r="I3753" s="10">
        <v>119.3142857142857</v>
      </c>
      <c r="J3753" s="10">
        <v>119.3142857142857</v>
      </c>
      <c r="K3753" s="10">
        <v>119.3142857142857</v>
      </c>
      <c r="L3753" s="4" t="s">
        <v>259</v>
      </c>
      <c r="M3753" s="4">
        <v>3748</v>
      </c>
    </row>
    <row r="3754" spans="1:13" x14ac:dyDescent="0.25">
      <c r="A3754" s="4" t="s">
        <v>3542</v>
      </c>
      <c r="B3754" s="4" t="s">
        <v>3549</v>
      </c>
      <c r="C3754" s="9" t="s">
        <v>50</v>
      </c>
      <c r="D3754" s="10">
        <v>490</v>
      </c>
      <c r="E3754" s="11" t="s">
        <v>51</v>
      </c>
      <c r="F3754" s="10">
        <v>32480</v>
      </c>
      <c r="G3754" s="10">
        <v>0</v>
      </c>
      <c r="H3754" s="10">
        <f t="shared" si="58"/>
        <v>32480</v>
      </c>
      <c r="I3754" s="10"/>
      <c r="J3754" s="10"/>
      <c r="K3754" s="10"/>
      <c r="L3754" s="4" t="s">
        <v>52</v>
      </c>
      <c r="M3754" s="4">
        <v>3749</v>
      </c>
    </row>
    <row r="3755" spans="1:13" x14ac:dyDescent="0.25">
      <c r="A3755" s="4" t="s">
        <v>3542</v>
      </c>
      <c r="B3755" s="4" t="s">
        <v>3550</v>
      </c>
      <c r="C3755" s="9" t="s">
        <v>50</v>
      </c>
      <c r="D3755" s="10">
        <v>2542.5</v>
      </c>
      <c r="E3755" s="11" t="s">
        <v>51</v>
      </c>
      <c r="F3755" s="10">
        <v>11600</v>
      </c>
      <c r="G3755" s="10">
        <v>0</v>
      </c>
      <c r="H3755" s="10">
        <f t="shared" si="58"/>
        <v>11600</v>
      </c>
      <c r="I3755" s="10"/>
      <c r="J3755" s="10"/>
      <c r="K3755" s="10"/>
      <c r="L3755" s="4" t="s">
        <v>52</v>
      </c>
      <c r="M3755" s="4">
        <v>3750</v>
      </c>
    </row>
    <row r="3756" spans="1:13" x14ac:dyDescent="0.25">
      <c r="A3756" s="4" t="s">
        <v>3551</v>
      </c>
      <c r="B3756" s="4" t="s">
        <v>3552</v>
      </c>
      <c r="C3756" s="9" t="s">
        <v>50</v>
      </c>
      <c r="D3756" s="10">
        <v>30.5</v>
      </c>
      <c r="E3756" s="11" t="s">
        <v>51</v>
      </c>
      <c r="F3756" s="10">
        <v>3654</v>
      </c>
      <c r="G3756" s="10">
        <v>0</v>
      </c>
      <c r="H3756" s="10">
        <f t="shared" si="58"/>
        <v>3654</v>
      </c>
      <c r="I3756" s="10">
        <v>119.8032786885246</v>
      </c>
      <c r="J3756" s="10">
        <v>119.8032786885246</v>
      </c>
      <c r="K3756" s="10">
        <v>119.8032786885246</v>
      </c>
      <c r="L3756" s="4" t="s">
        <v>259</v>
      </c>
      <c r="M3756" s="4">
        <v>3751</v>
      </c>
    </row>
    <row r="3757" spans="1:13" x14ac:dyDescent="0.25">
      <c r="A3757" s="4" t="s">
        <v>3551</v>
      </c>
      <c r="B3757" s="4" t="s">
        <v>3553</v>
      </c>
      <c r="C3757" s="9" t="s">
        <v>50</v>
      </c>
      <c r="D3757" s="10">
        <v>8.5</v>
      </c>
      <c r="E3757" s="11" t="s">
        <v>51</v>
      </c>
      <c r="F3757" s="10">
        <v>1044</v>
      </c>
      <c r="G3757" s="10">
        <v>0</v>
      </c>
      <c r="H3757" s="10">
        <f t="shared" si="58"/>
        <v>1044</v>
      </c>
      <c r="I3757" s="10">
        <v>122.8235294117647</v>
      </c>
      <c r="J3757" s="10">
        <v>122.8235294117647</v>
      </c>
      <c r="K3757" s="10">
        <v>122.8235294117647</v>
      </c>
      <c r="L3757" s="4" t="s">
        <v>259</v>
      </c>
      <c r="M3757" s="4">
        <v>3752</v>
      </c>
    </row>
    <row r="3758" spans="1:13" x14ac:dyDescent="0.25">
      <c r="A3758" s="4" t="s">
        <v>3551</v>
      </c>
      <c r="B3758" s="4" t="s">
        <v>3554</v>
      </c>
      <c r="C3758" s="9" t="s">
        <v>50</v>
      </c>
      <c r="D3758" s="10">
        <v>322</v>
      </c>
      <c r="E3758" s="11" t="s">
        <v>51</v>
      </c>
      <c r="F3758" s="10">
        <v>21924</v>
      </c>
      <c r="G3758" s="10">
        <v>0</v>
      </c>
      <c r="H3758" s="10">
        <f t="shared" si="58"/>
        <v>21924</v>
      </c>
      <c r="I3758" s="10"/>
      <c r="J3758" s="10"/>
      <c r="K3758" s="10"/>
      <c r="L3758" s="4" t="s">
        <v>52</v>
      </c>
      <c r="M3758" s="4">
        <v>3753</v>
      </c>
    </row>
    <row r="3759" spans="1:13" x14ac:dyDescent="0.25">
      <c r="A3759" s="4" t="s">
        <v>3551</v>
      </c>
      <c r="B3759" s="4" t="s">
        <v>3555</v>
      </c>
      <c r="C3759" s="9" t="s">
        <v>50</v>
      </c>
      <c r="D3759" s="10">
        <v>3303</v>
      </c>
      <c r="E3759" s="11" t="s">
        <v>51</v>
      </c>
      <c r="F3759" s="10">
        <v>218660</v>
      </c>
      <c r="G3759" s="10">
        <v>0</v>
      </c>
      <c r="H3759" s="10">
        <f t="shared" si="58"/>
        <v>218660</v>
      </c>
      <c r="I3759" s="10"/>
      <c r="J3759" s="10"/>
      <c r="K3759" s="10"/>
      <c r="L3759" s="4" t="s">
        <v>52</v>
      </c>
      <c r="M3759" s="4">
        <v>3754</v>
      </c>
    </row>
    <row r="3760" spans="1:13" x14ac:dyDescent="0.25">
      <c r="A3760" s="4" t="s">
        <v>3551</v>
      </c>
      <c r="B3760" s="4" t="s">
        <v>3556</v>
      </c>
      <c r="C3760" s="9" t="s">
        <v>50</v>
      </c>
      <c r="D3760" s="10">
        <v>70</v>
      </c>
      <c r="E3760" s="11" t="s">
        <v>51</v>
      </c>
      <c r="F3760" s="10">
        <v>8352</v>
      </c>
      <c r="G3760" s="10">
        <v>0</v>
      </c>
      <c r="H3760" s="10">
        <f t="shared" si="58"/>
        <v>8352</v>
      </c>
      <c r="I3760" s="10">
        <v>119.3142857142857</v>
      </c>
      <c r="J3760" s="10">
        <v>119.3142857142857</v>
      </c>
      <c r="K3760" s="10">
        <v>119.3142857142857</v>
      </c>
      <c r="L3760" s="4" t="s">
        <v>259</v>
      </c>
      <c r="M3760" s="4">
        <v>3755</v>
      </c>
    </row>
    <row r="3761" spans="1:13" x14ac:dyDescent="0.25">
      <c r="A3761" s="4" t="s">
        <v>3551</v>
      </c>
      <c r="B3761" s="4" t="s">
        <v>3557</v>
      </c>
      <c r="C3761" s="9" t="s">
        <v>50</v>
      </c>
      <c r="D3761" s="10">
        <v>21.5</v>
      </c>
      <c r="E3761" s="11" t="s">
        <v>51</v>
      </c>
      <c r="F3761" s="10">
        <v>2610</v>
      </c>
      <c r="G3761" s="10">
        <v>0</v>
      </c>
      <c r="H3761" s="10">
        <f t="shared" si="58"/>
        <v>2610</v>
      </c>
      <c r="I3761" s="10">
        <v>121.3953488372093</v>
      </c>
      <c r="J3761" s="10">
        <v>121.3953488372093</v>
      </c>
      <c r="K3761" s="10">
        <v>121.3953488372093</v>
      </c>
      <c r="L3761" s="4" t="s">
        <v>259</v>
      </c>
      <c r="M3761" s="4">
        <v>3756</v>
      </c>
    </row>
    <row r="3762" spans="1:13" x14ac:dyDescent="0.25">
      <c r="A3762" s="4" t="s">
        <v>3551</v>
      </c>
      <c r="B3762" s="4" t="s">
        <v>3558</v>
      </c>
      <c r="C3762" s="9" t="s">
        <v>50</v>
      </c>
      <c r="D3762" s="10">
        <v>865</v>
      </c>
      <c r="E3762" s="11" t="s">
        <v>51</v>
      </c>
      <c r="F3762" s="10">
        <v>57420</v>
      </c>
      <c r="G3762" s="10">
        <v>0</v>
      </c>
      <c r="H3762" s="10">
        <f t="shared" si="58"/>
        <v>57420</v>
      </c>
      <c r="I3762" s="10"/>
      <c r="J3762" s="10"/>
      <c r="K3762" s="10"/>
      <c r="L3762" s="4" t="s">
        <v>52</v>
      </c>
      <c r="M3762" s="4">
        <v>3757</v>
      </c>
    </row>
    <row r="3763" spans="1:13" x14ac:dyDescent="0.25">
      <c r="A3763" s="4" t="s">
        <v>3551</v>
      </c>
      <c r="B3763" s="4" t="s">
        <v>3559</v>
      </c>
      <c r="C3763" s="9" t="s">
        <v>50</v>
      </c>
      <c r="D3763" s="10">
        <v>1854.5</v>
      </c>
      <c r="E3763" s="11" t="s">
        <v>51</v>
      </c>
      <c r="F3763" s="10">
        <v>16240</v>
      </c>
      <c r="G3763" s="10">
        <v>0</v>
      </c>
      <c r="H3763" s="10">
        <f t="shared" si="58"/>
        <v>16240</v>
      </c>
      <c r="I3763" s="10"/>
      <c r="J3763" s="10"/>
      <c r="K3763" s="10"/>
      <c r="L3763" s="4" t="s">
        <v>52</v>
      </c>
      <c r="M3763" s="4">
        <v>3758</v>
      </c>
    </row>
    <row r="3764" spans="1:13" x14ac:dyDescent="0.25">
      <c r="A3764" s="4" t="s">
        <v>3560</v>
      </c>
      <c r="B3764" s="4" t="s">
        <v>3561</v>
      </c>
      <c r="C3764" s="9" t="s">
        <v>50</v>
      </c>
      <c r="D3764" s="10">
        <v>30.5</v>
      </c>
      <c r="E3764" s="11" t="s">
        <v>51</v>
      </c>
      <c r="F3764" s="10">
        <v>3654</v>
      </c>
      <c r="G3764" s="10">
        <v>0</v>
      </c>
      <c r="H3764" s="10">
        <f t="shared" si="58"/>
        <v>3654</v>
      </c>
      <c r="I3764" s="10">
        <v>119.8032786885246</v>
      </c>
      <c r="J3764" s="10">
        <v>119.8032786885246</v>
      </c>
      <c r="K3764" s="10">
        <v>119.8032786885246</v>
      </c>
      <c r="L3764" s="4" t="s">
        <v>259</v>
      </c>
      <c r="M3764" s="4">
        <v>3759</v>
      </c>
    </row>
    <row r="3765" spans="1:13" x14ac:dyDescent="0.25">
      <c r="A3765" s="4" t="s">
        <v>3560</v>
      </c>
      <c r="B3765" s="4" t="s">
        <v>3562</v>
      </c>
      <c r="C3765" s="9" t="s">
        <v>50</v>
      </c>
      <c r="D3765" s="10">
        <v>8.5</v>
      </c>
      <c r="E3765" s="11" t="s">
        <v>51</v>
      </c>
      <c r="F3765" s="10">
        <v>1044</v>
      </c>
      <c r="G3765" s="10">
        <v>0</v>
      </c>
      <c r="H3765" s="10">
        <f t="shared" si="58"/>
        <v>1044</v>
      </c>
      <c r="I3765" s="10">
        <v>122.8235294117647</v>
      </c>
      <c r="J3765" s="10">
        <v>122.8235294117647</v>
      </c>
      <c r="K3765" s="10">
        <v>122.8235294117647</v>
      </c>
      <c r="L3765" s="4" t="s">
        <v>259</v>
      </c>
      <c r="M3765" s="4">
        <v>3760</v>
      </c>
    </row>
    <row r="3766" spans="1:13" x14ac:dyDescent="0.25">
      <c r="A3766" s="4" t="s">
        <v>3560</v>
      </c>
      <c r="B3766" s="4" t="s">
        <v>3563</v>
      </c>
      <c r="C3766" s="9" t="s">
        <v>50</v>
      </c>
      <c r="D3766" s="10">
        <v>332</v>
      </c>
      <c r="E3766" s="11" t="s">
        <v>51</v>
      </c>
      <c r="F3766" s="10">
        <v>22620</v>
      </c>
      <c r="G3766" s="10">
        <v>0</v>
      </c>
      <c r="H3766" s="10">
        <f t="shared" si="58"/>
        <v>22620</v>
      </c>
      <c r="I3766" s="10"/>
      <c r="J3766" s="10"/>
      <c r="K3766" s="10"/>
      <c r="L3766" s="4" t="s">
        <v>52</v>
      </c>
      <c r="M3766" s="4">
        <v>3761</v>
      </c>
    </row>
    <row r="3767" spans="1:13" x14ac:dyDescent="0.25">
      <c r="A3767" s="4" t="s">
        <v>3560</v>
      </c>
      <c r="B3767" s="4" t="s">
        <v>3564</v>
      </c>
      <c r="C3767" s="9" t="s">
        <v>50</v>
      </c>
      <c r="D3767" s="10">
        <v>2171</v>
      </c>
      <c r="E3767" s="11" t="s">
        <v>51</v>
      </c>
      <c r="F3767" s="10">
        <v>144212.5</v>
      </c>
      <c r="G3767" s="10">
        <v>0</v>
      </c>
      <c r="H3767" s="10">
        <f t="shared" si="58"/>
        <v>144212.5</v>
      </c>
      <c r="I3767" s="10"/>
      <c r="J3767" s="10"/>
      <c r="K3767" s="10"/>
      <c r="L3767" s="4" t="s">
        <v>52</v>
      </c>
      <c r="M3767" s="4">
        <v>3762</v>
      </c>
    </row>
    <row r="3768" spans="1:13" x14ac:dyDescent="0.25">
      <c r="A3768" s="4" t="s">
        <v>3560</v>
      </c>
      <c r="B3768" s="4" t="s">
        <v>3565</v>
      </c>
      <c r="C3768" s="9" t="s">
        <v>50</v>
      </c>
      <c r="D3768" s="10">
        <v>21.5</v>
      </c>
      <c r="E3768" s="11" t="s">
        <v>51</v>
      </c>
      <c r="F3768" s="10">
        <v>2610</v>
      </c>
      <c r="G3768" s="10">
        <v>0</v>
      </c>
      <c r="H3768" s="10">
        <f t="shared" si="58"/>
        <v>2610</v>
      </c>
      <c r="I3768" s="10">
        <v>121.3953488372093</v>
      </c>
      <c r="J3768" s="10">
        <v>121.3953488372093</v>
      </c>
      <c r="K3768" s="10">
        <v>121.3953488372093</v>
      </c>
      <c r="L3768" s="4" t="s">
        <v>259</v>
      </c>
      <c r="M3768" s="4">
        <v>3763</v>
      </c>
    </row>
    <row r="3769" spans="1:13" x14ac:dyDescent="0.25">
      <c r="A3769" s="4" t="s">
        <v>3560</v>
      </c>
      <c r="B3769" s="4" t="s">
        <v>3566</v>
      </c>
      <c r="C3769" s="9" t="s">
        <v>50</v>
      </c>
      <c r="D3769" s="10">
        <v>21.5</v>
      </c>
      <c r="E3769" s="11" t="s">
        <v>51</v>
      </c>
      <c r="F3769" s="10">
        <v>2610</v>
      </c>
      <c r="G3769" s="10">
        <v>0</v>
      </c>
      <c r="H3769" s="10">
        <f t="shared" si="58"/>
        <v>2610</v>
      </c>
      <c r="I3769" s="10">
        <v>121.3953488372093</v>
      </c>
      <c r="J3769" s="10">
        <v>121.3953488372093</v>
      </c>
      <c r="K3769" s="10">
        <v>121.3953488372093</v>
      </c>
      <c r="L3769" s="4" t="s">
        <v>259</v>
      </c>
      <c r="M3769" s="4">
        <v>3764</v>
      </c>
    </row>
    <row r="3770" spans="1:13" x14ac:dyDescent="0.25">
      <c r="A3770" s="4" t="s">
        <v>3560</v>
      </c>
      <c r="B3770" s="4" t="s">
        <v>3567</v>
      </c>
      <c r="C3770" s="9" t="s">
        <v>50</v>
      </c>
      <c r="D3770" s="10">
        <v>506</v>
      </c>
      <c r="E3770" s="11" t="s">
        <v>51</v>
      </c>
      <c r="F3770" s="10">
        <v>33640</v>
      </c>
      <c r="G3770" s="10">
        <v>0</v>
      </c>
      <c r="H3770" s="10">
        <f t="shared" si="58"/>
        <v>33640</v>
      </c>
      <c r="I3770" s="10"/>
      <c r="J3770" s="10"/>
      <c r="K3770" s="10"/>
      <c r="L3770" s="4" t="s">
        <v>52</v>
      </c>
      <c r="M3770" s="4">
        <v>3765</v>
      </c>
    </row>
    <row r="3771" spans="1:13" x14ac:dyDescent="0.25">
      <c r="A3771" s="4" t="s">
        <v>3560</v>
      </c>
      <c r="B3771" s="4" t="s">
        <v>3568</v>
      </c>
      <c r="C3771" s="9" t="s">
        <v>50</v>
      </c>
      <c r="D3771" s="10">
        <v>1819.5</v>
      </c>
      <c r="E3771" s="11" t="s">
        <v>51</v>
      </c>
      <c r="F3771" s="10">
        <v>13920</v>
      </c>
      <c r="G3771" s="10">
        <v>0</v>
      </c>
      <c r="H3771" s="10">
        <f t="shared" si="58"/>
        <v>13920</v>
      </c>
      <c r="I3771" s="10"/>
      <c r="J3771" s="10"/>
      <c r="K3771" s="10"/>
      <c r="L3771" s="4" t="s">
        <v>52</v>
      </c>
      <c r="M3771" s="4">
        <v>3766</v>
      </c>
    </row>
    <row r="3772" spans="1:13" x14ac:dyDescent="0.25">
      <c r="A3772" s="4" t="s">
        <v>3569</v>
      </c>
      <c r="B3772" s="4" t="s">
        <v>3570</v>
      </c>
      <c r="C3772" s="9" t="s">
        <v>50</v>
      </c>
      <c r="D3772" s="10">
        <v>30.5</v>
      </c>
      <c r="E3772" s="11" t="s">
        <v>51</v>
      </c>
      <c r="F3772" s="10">
        <v>3654</v>
      </c>
      <c r="G3772" s="10">
        <v>0</v>
      </c>
      <c r="H3772" s="10">
        <f t="shared" si="58"/>
        <v>3654</v>
      </c>
      <c r="I3772" s="10">
        <v>119.8032786885246</v>
      </c>
      <c r="J3772" s="10">
        <v>119.8032786885246</v>
      </c>
      <c r="K3772" s="10">
        <v>119.8032786885246</v>
      </c>
      <c r="L3772" s="4" t="s">
        <v>259</v>
      </c>
      <c r="M3772" s="4">
        <v>3767</v>
      </c>
    </row>
    <row r="3773" spans="1:13" x14ac:dyDescent="0.25">
      <c r="A3773" s="4" t="s">
        <v>3569</v>
      </c>
      <c r="B3773" s="4" t="s">
        <v>3571</v>
      </c>
      <c r="C3773" s="9" t="s">
        <v>50</v>
      </c>
      <c r="D3773" s="10">
        <v>8.5</v>
      </c>
      <c r="E3773" s="11" t="s">
        <v>51</v>
      </c>
      <c r="F3773" s="10">
        <v>1044</v>
      </c>
      <c r="G3773" s="10">
        <v>0</v>
      </c>
      <c r="H3773" s="10">
        <f t="shared" si="58"/>
        <v>1044</v>
      </c>
      <c r="I3773" s="10">
        <v>122.8235294117647</v>
      </c>
      <c r="J3773" s="10">
        <v>122.8235294117647</v>
      </c>
      <c r="K3773" s="10">
        <v>122.8235294117647</v>
      </c>
      <c r="L3773" s="4" t="s">
        <v>259</v>
      </c>
      <c r="M3773" s="4">
        <v>3768</v>
      </c>
    </row>
    <row r="3774" spans="1:13" x14ac:dyDescent="0.25">
      <c r="A3774" s="4" t="s">
        <v>3569</v>
      </c>
      <c r="B3774" s="4" t="s">
        <v>3572</v>
      </c>
      <c r="C3774" s="9" t="s">
        <v>50</v>
      </c>
      <c r="D3774" s="10">
        <v>332</v>
      </c>
      <c r="E3774" s="11" t="s">
        <v>51</v>
      </c>
      <c r="F3774" s="10">
        <v>22620</v>
      </c>
      <c r="G3774" s="10">
        <v>0</v>
      </c>
      <c r="H3774" s="10">
        <f t="shared" si="58"/>
        <v>22620</v>
      </c>
      <c r="I3774" s="10"/>
      <c r="J3774" s="10"/>
      <c r="K3774" s="10"/>
      <c r="L3774" s="4" t="s">
        <v>52</v>
      </c>
      <c r="M3774" s="4">
        <v>3769</v>
      </c>
    </row>
    <row r="3775" spans="1:13" x14ac:dyDescent="0.25">
      <c r="A3775" s="4" t="s">
        <v>3569</v>
      </c>
      <c r="B3775" s="4" t="s">
        <v>3573</v>
      </c>
      <c r="C3775" s="9" t="s">
        <v>50</v>
      </c>
      <c r="D3775" s="10">
        <v>2171</v>
      </c>
      <c r="E3775" s="11" t="s">
        <v>51</v>
      </c>
      <c r="F3775" s="10">
        <v>144063.5</v>
      </c>
      <c r="G3775" s="10">
        <v>0</v>
      </c>
      <c r="H3775" s="10">
        <f t="shared" si="58"/>
        <v>144063.5</v>
      </c>
      <c r="I3775" s="10"/>
      <c r="J3775" s="10"/>
      <c r="K3775" s="10"/>
      <c r="L3775" s="4" t="s">
        <v>52</v>
      </c>
      <c r="M3775" s="4">
        <v>3770</v>
      </c>
    </row>
    <row r="3776" spans="1:13" x14ac:dyDescent="0.25">
      <c r="A3776" s="4" t="s">
        <v>3569</v>
      </c>
      <c r="B3776" s="4" t="s">
        <v>3574</v>
      </c>
      <c r="C3776" s="9" t="s">
        <v>50</v>
      </c>
      <c r="D3776" s="10">
        <v>21.5</v>
      </c>
      <c r="E3776" s="11" t="s">
        <v>51</v>
      </c>
      <c r="F3776" s="10">
        <v>2610</v>
      </c>
      <c r="G3776" s="10">
        <v>0</v>
      </c>
      <c r="H3776" s="10">
        <f t="shared" si="58"/>
        <v>2610</v>
      </c>
      <c r="I3776" s="10">
        <v>121.3953488372093</v>
      </c>
      <c r="J3776" s="10">
        <v>121.3953488372093</v>
      </c>
      <c r="K3776" s="10">
        <v>121.3953488372093</v>
      </c>
      <c r="L3776" s="4" t="s">
        <v>259</v>
      </c>
      <c r="M3776" s="4">
        <v>3771</v>
      </c>
    </row>
    <row r="3777" spans="1:13" x14ac:dyDescent="0.25">
      <c r="A3777" s="4" t="s">
        <v>3569</v>
      </c>
      <c r="B3777" s="4" t="s">
        <v>3575</v>
      </c>
      <c r="C3777" s="9" t="s">
        <v>50</v>
      </c>
      <c r="D3777" s="10">
        <v>21.5</v>
      </c>
      <c r="E3777" s="11" t="s">
        <v>51</v>
      </c>
      <c r="F3777" s="10">
        <v>2610</v>
      </c>
      <c r="G3777" s="10">
        <v>0</v>
      </c>
      <c r="H3777" s="10">
        <f t="shared" si="58"/>
        <v>2610</v>
      </c>
      <c r="I3777" s="10">
        <v>121.3953488372093</v>
      </c>
      <c r="J3777" s="10">
        <v>121.3953488372093</v>
      </c>
      <c r="K3777" s="10">
        <v>121.3953488372093</v>
      </c>
      <c r="L3777" s="4" t="s">
        <v>259</v>
      </c>
      <c r="M3777" s="4">
        <v>3772</v>
      </c>
    </row>
    <row r="3778" spans="1:13" x14ac:dyDescent="0.25">
      <c r="A3778" s="4" t="s">
        <v>3569</v>
      </c>
      <c r="B3778" s="4" t="s">
        <v>3576</v>
      </c>
      <c r="C3778" s="9" t="s">
        <v>50</v>
      </c>
      <c r="D3778" s="10">
        <v>506</v>
      </c>
      <c r="E3778" s="11" t="s">
        <v>51</v>
      </c>
      <c r="F3778" s="10">
        <v>33640</v>
      </c>
      <c r="G3778" s="10">
        <v>0</v>
      </c>
      <c r="H3778" s="10">
        <f t="shared" si="58"/>
        <v>33640</v>
      </c>
      <c r="I3778" s="10"/>
      <c r="J3778" s="10"/>
      <c r="K3778" s="10"/>
      <c r="L3778" s="4" t="s">
        <v>52</v>
      </c>
      <c r="M3778" s="4">
        <v>3773</v>
      </c>
    </row>
    <row r="3779" spans="1:13" x14ac:dyDescent="0.25">
      <c r="A3779" s="4" t="s">
        <v>3569</v>
      </c>
      <c r="B3779" s="4" t="s">
        <v>3577</v>
      </c>
      <c r="C3779" s="9" t="s">
        <v>50</v>
      </c>
      <c r="D3779" s="10">
        <v>1192.5</v>
      </c>
      <c r="E3779" s="11" t="s">
        <v>51</v>
      </c>
      <c r="F3779" s="10">
        <v>13920</v>
      </c>
      <c r="G3779" s="10">
        <v>0</v>
      </c>
      <c r="H3779" s="10">
        <f t="shared" si="58"/>
        <v>13920</v>
      </c>
      <c r="I3779" s="10"/>
      <c r="J3779" s="10"/>
      <c r="K3779" s="10"/>
      <c r="L3779" s="4" t="s">
        <v>52</v>
      </c>
      <c r="M3779" s="4">
        <v>3774</v>
      </c>
    </row>
    <row r="3780" spans="1:13" x14ac:dyDescent="0.25">
      <c r="A3780" s="4" t="s">
        <v>3578</v>
      </c>
      <c r="B3780" s="4" t="s">
        <v>3579</v>
      </c>
      <c r="C3780" s="9" t="s">
        <v>50</v>
      </c>
      <c r="D3780" s="10">
        <v>21.5</v>
      </c>
      <c r="E3780" s="11" t="s">
        <v>51</v>
      </c>
      <c r="F3780" s="10">
        <v>2610</v>
      </c>
      <c r="G3780" s="10">
        <v>0</v>
      </c>
      <c r="H3780" s="10">
        <f t="shared" si="58"/>
        <v>2610</v>
      </c>
      <c r="I3780" s="10">
        <v>121.3953488372093</v>
      </c>
      <c r="J3780" s="10">
        <v>121.3953488372093</v>
      </c>
      <c r="K3780" s="10">
        <v>121.3953488372093</v>
      </c>
      <c r="L3780" s="4" t="s">
        <v>259</v>
      </c>
      <c r="M3780" s="4">
        <v>3775</v>
      </c>
    </row>
    <row r="3781" spans="1:13" x14ac:dyDescent="0.25">
      <c r="A3781" s="4" t="s">
        <v>3578</v>
      </c>
      <c r="B3781" s="4" t="s">
        <v>3580</v>
      </c>
      <c r="C3781" s="9" t="s">
        <v>50</v>
      </c>
      <c r="D3781" s="10">
        <v>4</v>
      </c>
      <c r="E3781" s="11" t="s">
        <v>51</v>
      </c>
      <c r="F3781" s="10">
        <v>522</v>
      </c>
      <c r="G3781" s="10">
        <v>0</v>
      </c>
      <c r="H3781" s="10">
        <f t="shared" si="58"/>
        <v>522</v>
      </c>
      <c r="I3781" s="10">
        <v>130.5</v>
      </c>
      <c r="J3781" s="10">
        <v>130.5</v>
      </c>
      <c r="K3781" s="10">
        <v>130.5</v>
      </c>
      <c r="L3781" s="4" t="s">
        <v>259</v>
      </c>
      <c r="M3781" s="4">
        <v>3776</v>
      </c>
    </row>
    <row r="3782" spans="1:13" x14ac:dyDescent="0.25">
      <c r="A3782" s="4" t="s">
        <v>3578</v>
      </c>
      <c r="B3782" s="4" t="s">
        <v>3581</v>
      </c>
      <c r="C3782" s="9" t="s">
        <v>50</v>
      </c>
      <c r="D3782" s="10">
        <v>206</v>
      </c>
      <c r="E3782" s="11" t="s">
        <v>51</v>
      </c>
      <c r="F3782" s="10">
        <v>14500</v>
      </c>
      <c r="G3782" s="10">
        <v>0</v>
      </c>
      <c r="H3782" s="10">
        <f t="shared" ref="H3782:H3845" si="59">F3782-G3782</f>
        <v>14500</v>
      </c>
      <c r="I3782" s="10"/>
      <c r="J3782" s="10"/>
      <c r="K3782" s="10"/>
      <c r="L3782" s="4" t="s">
        <v>52</v>
      </c>
      <c r="M3782" s="4">
        <v>3777</v>
      </c>
    </row>
    <row r="3783" spans="1:13" x14ac:dyDescent="0.25">
      <c r="A3783" s="4" t="s">
        <v>3578</v>
      </c>
      <c r="B3783" s="4" t="s">
        <v>3582</v>
      </c>
      <c r="C3783" s="9" t="s">
        <v>50</v>
      </c>
      <c r="D3783" s="10">
        <v>1318</v>
      </c>
      <c r="E3783" s="11" t="s">
        <v>51</v>
      </c>
      <c r="F3783" s="10">
        <v>88213.25</v>
      </c>
      <c r="G3783" s="10">
        <v>0</v>
      </c>
      <c r="H3783" s="10">
        <f t="shared" si="59"/>
        <v>88213.25</v>
      </c>
      <c r="I3783" s="10"/>
      <c r="J3783" s="10"/>
      <c r="K3783" s="10"/>
      <c r="L3783" s="4" t="s">
        <v>52</v>
      </c>
      <c r="M3783" s="4">
        <v>3778</v>
      </c>
    </row>
    <row r="3784" spans="1:13" x14ac:dyDescent="0.25">
      <c r="A3784" s="4" t="s">
        <v>3578</v>
      </c>
      <c r="B3784" s="4" t="s">
        <v>3583</v>
      </c>
      <c r="C3784" s="9" t="s">
        <v>50</v>
      </c>
      <c r="D3784" s="10">
        <v>8.5</v>
      </c>
      <c r="E3784" s="11" t="s">
        <v>51</v>
      </c>
      <c r="F3784" s="10">
        <v>1044</v>
      </c>
      <c r="G3784" s="10">
        <v>0</v>
      </c>
      <c r="H3784" s="10">
        <f t="shared" si="59"/>
        <v>1044</v>
      </c>
      <c r="I3784" s="10">
        <v>122.8235294117647</v>
      </c>
      <c r="J3784" s="10">
        <v>122.8235294117647</v>
      </c>
      <c r="K3784" s="10">
        <v>122.8235294117647</v>
      </c>
      <c r="L3784" s="4" t="s">
        <v>259</v>
      </c>
      <c r="M3784" s="4">
        <v>3779</v>
      </c>
    </row>
    <row r="3785" spans="1:13" x14ac:dyDescent="0.25">
      <c r="A3785" s="4" t="s">
        <v>3578</v>
      </c>
      <c r="B3785" s="4" t="s">
        <v>3584</v>
      </c>
      <c r="C3785" s="9" t="s">
        <v>50</v>
      </c>
      <c r="D3785" s="10">
        <v>17.5</v>
      </c>
      <c r="E3785" s="11" t="s">
        <v>51</v>
      </c>
      <c r="F3785" s="10">
        <v>2088</v>
      </c>
      <c r="G3785" s="10">
        <v>0</v>
      </c>
      <c r="H3785" s="10">
        <f t="shared" si="59"/>
        <v>2088</v>
      </c>
      <c r="I3785" s="10">
        <v>119.3142857142857</v>
      </c>
      <c r="J3785" s="10">
        <v>119.3142857142857</v>
      </c>
      <c r="K3785" s="10">
        <v>119.3142857142857</v>
      </c>
      <c r="L3785" s="4" t="s">
        <v>259</v>
      </c>
      <c r="M3785" s="4">
        <v>3780</v>
      </c>
    </row>
    <row r="3786" spans="1:13" x14ac:dyDescent="0.25">
      <c r="A3786" s="4" t="s">
        <v>3578</v>
      </c>
      <c r="B3786" s="4" t="s">
        <v>3585</v>
      </c>
      <c r="C3786" s="9" t="s">
        <v>50</v>
      </c>
      <c r="D3786" s="10">
        <v>347</v>
      </c>
      <c r="E3786" s="11" t="s">
        <v>51</v>
      </c>
      <c r="F3786" s="10">
        <v>23237.25</v>
      </c>
      <c r="G3786" s="10">
        <v>0</v>
      </c>
      <c r="H3786" s="10">
        <f t="shared" si="59"/>
        <v>23237.25</v>
      </c>
      <c r="I3786" s="10"/>
      <c r="J3786" s="10"/>
      <c r="K3786" s="10"/>
      <c r="L3786" s="4" t="s">
        <v>52</v>
      </c>
      <c r="M3786" s="4">
        <v>3781</v>
      </c>
    </row>
    <row r="3787" spans="1:13" x14ac:dyDescent="0.25">
      <c r="A3787" s="4" t="s">
        <v>3578</v>
      </c>
      <c r="B3787" s="4" t="s">
        <v>3586</v>
      </c>
      <c r="C3787" s="9" t="s">
        <v>50</v>
      </c>
      <c r="D3787" s="10">
        <v>1076.5</v>
      </c>
      <c r="E3787" s="11" t="s">
        <v>51</v>
      </c>
      <c r="F3787" s="10">
        <v>6264</v>
      </c>
      <c r="G3787" s="10">
        <v>0</v>
      </c>
      <c r="H3787" s="10">
        <f t="shared" si="59"/>
        <v>6264</v>
      </c>
      <c r="I3787" s="10"/>
      <c r="J3787" s="10"/>
      <c r="K3787" s="10"/>
      <c r="L3787" s="4" t="s">
        <v>52</v>
      </c>
      <c r="M3787" s="4">
        <v>3782</v>
      </c>
    </row>
    <row r="3788" spans="1:13" x14ac:dyDescent="0.25">
      <c r="A3788" s="4" t="s">
        <v>3587</v>
      </c>
      <c r="B3788" s="4" t="s">
        <v>3588</v>
      </c>
      <c r="C3788" s="9" t="s">
        <v>50</v>
      </c>
      <c r="D3788" s="10">
        <v>21.5</v>
      </c>
      <c r="E3788" s="11" t="s">
        <v>51</v>
      </c>
      <c r="F3788" s="10">
        <v>2610</v>
      </c>
      <c r="G3788" s="10">
        <v>0</v>
      </c>
      <c r="H3788" s="10">
        <f t="shared" si="59"/>
        <v>2610</v>
      </c>
      <c r="I3788" s="10">
        <v>121.3953488372093</v>
      </c>
      <c r="J3788" s="10">
        <v>121.3953488372093</v>
      </c>
      <c r="K3788" s="10">
        <v>121.3953488372093</v>
      </c>
      <c r="L3788" s="4" t="s">
        <v>259</v>
      </c>
      <c r="M3788" s="4">
        <v>3783</v>
      </c>
    </row>
    <row r="3789" spans="1:13" x14ac:dyDescent="0.25">
      <c r="A3789" s="4" t="s">
        <v>3587</v>
      </c>
      <c r="B3789" s="4" t="s">
        <v>3589</v>
      </c>
      <c r="C3789" s="9" t="s">
        <v>50</v>
      </c>
      <c r="D3789" s="10">
        <v>4</v>
      </c>
      <c r="E3789" s="11" t="s">
        <v>51</v>
      </c>
      <c r="F3789" s="10">
        <v>522</v>
      </c>
      <c r="G3789" s="10">
        <v>0</v>
      </c>
      <c r="H3789" s="10">
        <f t="shared" si="59"/>
        <v>522</v>
      </c>
      <c r="I3789" s="10">
        <v>130.5</v>
      </c>
      <c r="J3789" s="10">
        <v>130.5</v>
      </c>
      <c r="K3789" s="10">
        <v>130.5</v>
      </c>
      <c r="L3789" s="4" t="s">
        <v>259</v>
      </c>
      <c r="M3789" s="4">
        <v>3784</v>
      </c>
    </row>
    <row r="3790" spans="1:13" x14ac:dyDescent="0.25">
      <c r="A3790" s="4" t="s">
        <v>3587</v>
      </c>
      <c r="B3790" s="4" t="s">
        <v>3590</v>
      </c>
      <c r="C3790" s="9" t="s">
        <v>50</v>
      </c>
      <c r="D3790" s="10">
        <v>206</v>
      </c>
      <c r="E3790" s="11" t="s">
        <v>51</v>
      </c>
      <c r="F3790" s="10">
        <v>14500</v>
      </c>
      <c r="G3790" s="10">
        <v>0</v>
      </c>
      <c r="H3790" s="10">
        <f t="shared" si="59"/>
        <v>14500</v>
      </c>
      <c r="I3790" s="10"/>
      <c r="J3790" s="10"/>
      <c r="K3790" s="10"/>
      <c r="L3790" s="4" t="s">
        <v>52</v>
      </c>
      <c r="M3790" s="4">
        <v>3785</v>
      </c>
    </row>
    <row r="3791" spans="1:13" x14ac:dyDescent="0.25">
      <c r="A3791" s="4" t="s">
        <v>3587</v>
      </c>
      <c r="B3791" s="4" t="s">
        <v>3591</v>
      </c>
      <c r="C3791" s="9" t="s">
        <v>50</v>
      </c>
      <c r="D3791" s="10">
        <v>1318</v>
      </c>
      <c r="E3791" s="11" t="s">
        <v>51</v>
      </c>
      <c r="F3791" s="10">
        <v>87803.5</v>
      </c>
      <c r="G3791" s="10">
        <v>0</v>
      </c>
      <c r="H3791" s="10">
        <f t="shared" si="59"/>
        <v>87803.5</v>
      </c>
      <c r="I3791" s="10"/>
      <c r="J3791" s="10"/>
      <c r="K3791" s="10"/>
      <c r="L3791" s="4" t="s">
        <v>52</v>
      </c>
      <c r="M3791" s="4">
        <v>3786</v>
      </c>
    </row>
    <row r="3792" spans="1:13" x14ac:dyDescent="0.25">
      <c r="A3792" s="4" t="s">
        <v>3587</v>
      </c>
      <c r="B3792" s="4" t="s">
        <v>3592</v>
      </c>
      <c r="C3792" s="9" t="s">
        <v>50</v>
      </c>
      <c r="D3792" s="10">
        <v>8.5</v>
      </c>
      <c r="E3792" s="11" t="s">
        <v>51</v>
      </c>
      <c r="F3792" s="10">
        <v>1044</v>
      </c>
      <c r="G3792" s="10">
        <v>0</v>
      </c>
      <c r="H3792" s="10">
        <f t="shared" si="59"/>
        <v>1044</v>
      </c>
      <c r="I3792" s="10">
        <v>122.8235294117647</v>
      </c>
      <c r="J3792" s="10">
        <v>122.8235294117647</v>
      </c>
      <c r="K3792" s="10">
        <v>122.8235294117647</v>
      </c>
      <c r="L3792" s="4" t="s">
        <v>259</v>
      </c>
      <c r="M3792" s="4">
        <v>3787</v>
      </c>
    </row>
    <row r="3793" spans="1:13" x14ac:dyDescent="0.25">
      <c r="A3793" s="4" t="s">
        <v>3587</v>
      </c>
      <c r="B3793" s="4" t="s">
        <v>3593</v>
      </c>
      <c r="C3793" s="9" t="s">
        <v>50</v>
      </c>
      <c r="D3793" s="10">
        <v>17.5</v>
      </c>
      <c r="E3793" s="11" t="s">
        <v>51</v>
      </c>
      <c r="F3793" s="10">
        <v>2088</v>
      </c>
      <c r="G3793" s="10">
        <v>0</v>
      </c>
      <c r="H3793" s="10">
        <f t="shared" si="59"/>
        <v>2088</v>
      </c>
      <c r="I3793" s="10">
        <v>119.3142857142857</v>
      </c>
      <c r="J3793" s="10">
        <v>119.3142857142857</v>
      </c>
      <c r="K3793" s="10">
        <v>119.3142857142857</v>
      </c>
      <c r="L3793" s="4" t="s">
        <v>259</v>
      </c>
      <c r="M3793" s="4">
        <v>3788</v>
      </c>
    </row>
    <row r="3794" spans="1:13" x14ac:dyDescent="0.25">
      <c r="A3794" s="4" t="s">
        <v>3587</v>
      </c>
      <c r="B3794" s="4" t="s">
        <v>3594</v>
      </c>
      <c r="C3794" s="9" t="s">
        <v>50</v>
      </c>
      <c r="D3794" s="10">
        <v>347</v>
      </c>
      <c r="E3794" s="11" t="s">
        <v>51</v>
      </c>
      <c r="F3794" s="10">
        <v>23349</v>
      </c>
      <c r="G3794" s="10">
        <v>0</v>
      </c>
      <c r="H3794" s="10">
        <f t="shared" si="59"/>
        <v>23349</v>
      </c>
      <c r="I3794" s="10"/>
      <c r="J3794" s="10"/>
      <c r="K3794" s="10"/>
      <c r="L3794" s="4" t="s">
        <v>52</v>
      </c>
      <c r="M3794" s="4">
        <v>3789</v>
      </c>
    </row>
    <row r="3795" spans="1:13" x14ac:dyDescent="0.25">
      <c r="A3795" s="4" t="s">
        <v>3587</v>
      </c>
      <c r="B3795" s="4" t="s">
        <v>3595</v>
      </c>
      <c r="C3795" s="9" t="s">
        <v>50</v>
      </c>
      <c r="D3795" s="10">
        <v>1045.5</v>
      </c>
      <c r="E3795" s="11" t="s">
        <v>51</v>
      </c>
      <c r="F3795" s="10">
        <v>6264</v>
      </c>
      <c r="G3795" s="10">
        <v>0</v>
      </c>
      <c r="H3795" s="10">
        <f t="shared" si="59"/>
        <v>6264</v>
      </c>
      <c r="I3795" s="10"/>
      <c r="J3795" s="10"/>
      <c r="K3795" s="10"/>
      <c r="L3795" s="4" t="s">
        <v>52</v>
      </c>
      <c r="M3795" s="4">
        <v>3790</v>
      </c>
    </row>
    <row r="3796" spans="1:13" x14ac:dyDescent="0.25">
      <c r="A3796" s="4" t="s">
        <v>3596</v>
      </c>
      <c r="B3796" s="4" t="s">
        <v>3597</v>
      </c>
      <c r="C3796" s="9" t="s">
        <v>50</v>
      </c>
      <c r="D3796" s="10">
        <v>17.5</v>
      </c>
      <c r="E3796" s="11" t="s">
        <v>51</v>
      </c>
      <c r="F3796" s="10">
        <v>2088</v>
      </c>
      <c r="G3796" s="10">
        <v>0</v>
      </c>
      <c r="H3796" s="10">
        <f t="shared" si="59"/>
        <v>2088</v>
      </c>
      <c r="I3796" s="10">
        <v>119.3142857142857</v>
      </c>
      <c r="J3796" s="10">
        <v>119.3142857142857</v>
      </c>
      <c r="K3796" s="10">
        <v>119.3142857142857</v>
      </c>
      <c r="L3796" s="4" t="s">
        <v>259</v>
      </c>
      <c r="M3796" s="4">
        <v>3791</v>
      </c>
    </row>
    <row r="3797" spans="1:13" x14ac:dyDescent="0.25">
      <c r="A3797" s="4" t="s">
        <v>3596</v>
      </c>
      <c r="B3797" s="4" t="s">
        <v>3598</v>
      </c>
      <c r="C3797" s="9" t="s">
        <v>50</v>
      </c>
      <c r="D3797" s="10">
        <v>4</v>
      </c>
      <c r="E3797" s="11" t="s">
        <v>51</v>
      </c>
      <c r="F3797" s="10">
        <v>522</v>
      </c>
      <c r="G3797" s="10">
        <v>0</v>
      </c>
      <c r="H3797" s="10">
        <f t="shared" si="59"/>
        <v>522</v>
      </c>
      <c r="I3797" s="10">
        <v>130.5</v>
      </c>
      <c r="J3797" s="10">
        <v>130.5</v>
      </c>
      <c r="K3797" s="10">
        <v>130.5</v>
      </c>
      <c r="L3797" s="4" t="s">
        <v>259</v>
      </c>
      <c r="M3797" s="4">
        <v>3792</v>
      </c>
    </row>
    <row r="3798" spans="1:13" x14ac:dyDescent="0.25">
      <c r="A3798" s="4" t="s">
        <v>3596</v>
      </c>
      <c r="B3798" s="4" t="s">
        <v>3599</v>
      </c>
      <c r="C3798" s="9" t="s">
        <v>50</v>
      </c>
      <c r="D3798" s="10">
        <v>189</v>
      </c>
      <c r="E3798" s="11" t="s">
        <v>51</v>
      </c>
      <c r="F3798" s="10">
        <v>13340</v>
      </c>
      <c r="G3798" s="10">
        <v>0</v>
      </c>
      <c r="H3798" s="10">
        <f t="shared" si="59"/>
        <v>13340</v>
      </c>
      <c r="I3798" s="10"/>
      <c r="J3798" s="10"/>
      <c r="K3798" s="10"/>
      <c r="L3798" s="4" t="s">
        <v>52</v>
      </c>
      <c r="M3798" s="4">
        <v>3793</v>
      </c>
    </row>
    <row r="3799" spans="1:13" x14ac:dyDescent="0.25">
      <c r="A3799" s="4" t="s">
        <v>3596</v>
      </c>
      <c r="B3799" s="4" t="s">
        <v>3600</v>
      </c>
      <c r="C3799" s="9" t="s">
        <v>50</v>
      </c>
      <c r="D3799" s="10">
        <v>1273</v>
      </c>
      <c r="E3799" s="11" t="s">
        <v>51</v>
      </c>
      <c r="F3799" s="10">
        <v>84680</v>
      </c>
      <c r="G3799" s="10">
        <v>0</v>
      </c>
      <c r="H3799" s="10">
        <f t="shared" si="59"/>
        <v>84680</v>
      </c>
      <c r="I3799" s="10"/>
      <c r="J3799" s="10"/>
      <c r="K3799" s="10"/>
      <c r="L3799" s="4" t="s">
        <v>52</v>
      </c>
      <c r="M3799" s="4">
        <v>3794</v>
      </c>
    </row>
    <row r="3800" spans="1:13" x14ac:dyDescent="0.25">
      <c r="A3800" s="4" t="s">
        <v>3596</v>
      </c>
      <c r="B3800" s="4" t="s">
        <v>3601</v>
      </c>
      <c r="C3800" s="9" t="s">
        <v>50</v>
      </c>
      <c r="D3800" s="10">
        <v>8.5</v>
      </c>
      <c r="E3800" s="11" t="s">
        <v>51</v>
      </c>
      <c r="F3800" s="10">
        <v>1044</v>
      </c>
      <c r="G3800" s="10">
        <v>0</v>
      </c>
      <c r="H3800" s="10">
        <f t="shared" si="59"/>
        <v>1044</v>
      </c>
      <c r="I3800" s="10">
        <v>122.8235294117647</v>
      </c>
      <c r="J3800" s="10">
        <v>122.8235294117647</v>
      </c>
      <c r="K3800" s="10">
        <v>122.8235294117647</v>
      </c>
      <c r="L3800" s="4" t="s">
        <v>259</v>
      </c>
      <c r="M3800" s="4">
        <v>3795</v>
      </c>
    </row>
    <row r="3801" spans="1:13" x14ac:dyDescent="0.25">
      <c r="A3801" s="4" t="s">
        <v>3596</v>
      </c>
      <c r="B3801" s="4" t="s">
        <v>3602</v>
      </c>
      <c r="C3801" s="9" t="s">
        <v>50</v>
      </c>
      <c r="D3801" s="10">
        <v>17.5</v>
      </c>
      <c r="E3801" s="11" t="s">
        <v>51</v>
      </c>
      <c r="F3801" s="10">
        <v>2088</v>
      </c>
      <c r="G3801" s="10">
        <v>0</v>
      </c>
      <c r="H3801" s="10">
        <f t="shared" si="59"/>
        <v>2088</v>
      </c>
      <c r="I3801" s="10">
        <v>119.3142857142857</v>
      </c>
      <c r="J3801" s="10">
        <v>119.3142857142857</v>
      </c>
      <c r="K3801" s="10">
        <v>119.3142857142857</v>
      </c>
      <c r="L3801" s="4" t="s">
        <v>259</v>
      </c>
      <c r="M3801" s="4">
        <v>3796</v>
      </c>
    </row>
    <row r="3802" spans="1:13" x14ac:dyDescent="0.25">
      <c r="A3802" s="4" t="s">
        <v>3596</v>
      </c>
      <c r="B3802" s="4" t="s">
        <v>3603</v>
      </c>
      <c r="C3802" s="9" t="s">
        <v>50</v>
      </c>
      <c r="D3802" s="10">
        <v>347</v>
      </c>
      <c r="E3802" s="11" t="s">
        <v>51</v>
      </c>
      <c r="F3802" s="10">
        <v>23200</v>
      </c>
      <c r="G3802" s="10">
        <v>0</v>
      </c>
      <c r="H3802" s="10">
        <f t="shared" si="59"/>
        <v>23200</v>
      </c>
      <c r="I3802" s="10"/>
      <c r="J3802" s="10"/>
      <c r="K3802" s="10"/>
      <c r="L3802" s="4" t="s">
        <v>52</v>
      </c>
      <c r="M3802" s="4">
        <v>3797</v>
      </c>
    </row>
    <row r="3803" spans="1:13" x14ac:dyDescent="0.25">
      <c r="A3803" s="4" t="s">
        <v>3596</v>
      </c>
      <c r="B3803" s="4" t="s">
        <v>3604</v>
      </c>
      <c r="C3803" s="9" t="s">
        <v>50</v>
      </c>
      <c r="D3803" s="10">
        <v>1050</v>
      </c>
      <c r="E3803" s="11" t="s">
        <v>51</v>
      </c>
      <c r="F3803" s="10">
        <v>6264</v>
      </c>
      <c r="G3803" s="10">
        <v>0</v>
      </c>
      <c r="H3803" s="10">
        <f t="shared" si="59"/>
        <v>6264</v>
      </c>
      <c r="I3803" s="10"/>
      <c r="J3803" s="10"/>
      <c r="K3803" s="10"/>
      <c r="L3803" s="4" t="s">
        <v>52</v>
      </c>
      <c r="M3803" s="4">
        <v>3798</v>
      </c>
    </row>
    <row r="3804" spans="1:13" x14ac:dyDescent="0.25">
      <c r="A3804" s="4" t="s">
        <v>3605</v>
      </c>
      <c r="B3804" s="4" t="s">
        <v>3606</v>
      </c>
      <c r="C3804" s="9" t="s">
        <v>50</v>
      </c>
      <c r="D3804" s="10">
        <v>17.5</v>
      </c>
      <c r="E3804" s="11" t="s">
        <v>51</v>
      </c>
      <c r="F3804" s="10">
        <v>2088</v>
      </c>
      <c r="G3804" s="10">
        <v>0</v>
      </c>
      <c r="H3804" s="10">
        <f t="shared" si="59"/>
        <v>2088</v>
      </c>
      <c r="I3804" s="10">
        <v>119.3142857142857</v>
      </c>
      <c r="J3804" s="10">
        <v>119.3142857142857</v>
      </c>
      <c r="K3804" s="10">
        <v>119.3142857142857</v>
      </c>
      <c r="L3804" s="4" t="s">
        <v>259</v>
      </c>
      <c r="M3804" s="4">
        <v>3799</v>
      </c>
    </row>
    <row r="3805" spans="1:13" x14ac:dyDescent="0.25">
      <c r="A3805" s="4" t="s">
        <v>3605</v>
      </c>
      <c r="B3805" s="4" t="s">
        <v>3607</v>
      </c>
      <c r="C3805" s="9" t="s">
        <v>50</v>
      </c>
      <c r="D3805" s="10">
        <v>4</v>
      </c>
      <c r="E3805" s="11" t="s">
        <v>51</v>
      </c>
      <c r="F3805" s="10">
        <v>522</v>
      </c>
      <c r="G3805" s="10">
        <v>0</v>
      </c>
      <c r="H3805" s="10">
        <f t="shared" si="59"/>
        <v>522</v>
      </c>
      <c r="I3805" s="10">
        <v>130.5</v>
      </c>
      <c r="J3805" s="10">
        <v>130.5</v>
      </c>
      <c r="K3805" s="10">
        <v>130.5</v>
      </c>
      <c r="L3805" s="4" t="s">
        <v>259</v>
      </c>
      <c r="M3805" s="4">
        <v>3800</v>
      </c>
    </row>
    <row r="3806" spans="1:13" x14ac:dyDescent="0.25">
      <c r="A3806" s="4" t="s">
        <v>3605</v>
      </c>
      <c r="B3806" s="4" t="s">
        <v>3608</v>
      </c>
      <c r="C3806" s="9" t="s">
        <v>50</v>
      </c>
      <c r="D3806" s="10">
        <v>198</v>
      </c>
      <c r="E3806" s="11" t="s">
        <v>51</v>
      </c>
      <c r="F3806" s="10">
        <v>13920</v>
      </c>
      <c r="G3806" s="10">
        <v>0</v>
      </c>
      <c r="H3806" s="10">
        <f t="shared" si="59"/>
        <v>13920</v>
      </c>
      <c r="I3806" s="10"/>
      <c r="J3806" s="10"/>
      <c r="K3806" s="10"/>
      <c r="L3806" s="4" t="s">
        <v>52</v>
      </c>
      <c r="M3806" s="4">
        <v>3801</v>
      </c>
    </row>
    <row r="3807" spans="1:13" x14ac:dyDescent="0.25">
      <c r="A3807" s="4" t="s">
        <v>3605</v>
      </c>
      <c r="B3807" s="4" t="s">
        <v>3609</v>
      </c>
      <c r="C3807" s="9" t="s">
        <v>50</v>
      </c>
      <c r="D3807" s="10">
        <v>1273</v>
      </c>
      <c r="E3807" s="11" t="s">
        <v>51</v>
      </c>
      <c r="F3807" s="10">
        <v>85574</v>
      </c>
      <c r="G3807" s="10">
        <v>0</v>
      </c>
      <c r="H3807" s="10">
        <f t="shared" si="59"/>
        <v>85574</v>
      </c>
      <c r="I3807" s="10"/>
      <c r="J3807" s="10"/>
      <c r="K3807" s="10"/>
      <c r="L3807" s="4" t="s">
        <v>52</v>
      </c>
      <c r="M3807" s="4">
        <v>3802</v>
      </c>
    </row>
    <row r="3808" spans="1:13" x14ac:dyDescent="0.25">
      <c r="A3808" s="4" t="s">
        <v>3605</v>
      </c>
      <c r="B3808" s="4" t="s">
        <v>3610</v>
      </c>
      <c r="C3808" s="9" t="s">
        <v>50</v>
      </c>
      <c r="D3808" s="10">
        <v>8.5</v>
      </c>
      <c r="E3808" s="11" t="s">
        <v>51</v>
      </c>
      <c r="F3808" s="10">
        <v>1044</v>
      </c>
      <c r="G3808" s="10">
        <v>0</v>
      </c>
      <c r="H3808" s="10">
        <f t="shared" si="59"/>
        <v>1044</v>
      </c>
      <c r="I3808" s="10">
        <v>122.8235294117647</v>
      </c>
      <c r="J3808" s="10">
        <v>122.8235294117647</v>
      </c>
      <c r="K3808" s="10">
        <v>122.8235294117647</v>
      </c>
      <c r="L3808" s="4" t="s">
        <v>259</v>
      </c>
      <c r="M3808" s="4">
        <v>3803</v>
      </c>
    </row>
    <row r="3809" spans="1:13" x14ac:dyDescent="0.25">
      <c r="A3809" s="4" t="s">
        <v>3605</v>
      </c>
      <c r="B3809" s="4" t="s">
        <v>3611</v>
      </c>
      <c r="C3809" s="9" t="s">
        <v>50</v>
      </c>
      <c r="D3809" s="10">
        <v>17.5</v>
      </c>
      <c r="E3809" s="11" t="s">
        <v>51</v>
      </c>
      <c r="F3809" s="10">
        <v>2088</v>
      </c>
      <c r="G3809" s="10">
        <v>0</v>
      </c>
      <c r="H3809" s="10">
        <f t="shared" si="59"/>
        <v>2088</v>
      </c>
      <c r="I3809" s="10">
        <v>119.3142857142857</v>
      </c>
      <c r="J3809" s="10">
        <v>119.3142857142857</v>
      </c>
      <c r="K3809" s="10">
        <v>119.3142857142857</v>
      </c>
      <c r="L3809" s="4" t="s">
        <v>259</v>
      </c>
      <c r="M3809" s="4">
        <v>3804</v>
      </c>
    </row>
    <row r="3810" spans="1:13" x14ac:dyDescent="0.25">
      <c r="A3810" s="4" t="s">
        <v>3605</v>
      </c>
      <c r="B3810" s="4" t="s">
        <v>3612</v>
      </c>
      <c r="C3810" s="9" t="s">
        <v>50</v>
      </c>
      <c r="D3810" s="10">
        <v>347</v>
      </c>
      <c r="E3810" s="11" t="s">
        <v>51</v>
      </c>
      <c r="F3810" s="10">
        <v>23200</v>
      </c>
      <c r="G3810" s="10">
        <v>0</v>
      </c>
      <c r="H3810" s="10">
        <f t="shared" si="59"/>
        <v>23200</v>
      </c>
      <c r="I3810" s="10"/>
      <c r="J3810" s="10"/>
      <c r="K3810" s="10"/>
      <c r="L3810" s="4" t="s">
        <v>52</v>
      </c>
      <c r="M3810" s="4">
        <v>3805</v>
      </c>
    </row>
    <row r="3811" spans="1:13" x14ac:dyDescent="0.25">
      <c r="A3811" s="4" t="s">
        <v>3605</v>
      </c>
      <c r="B3811" s="4" t="s">
        <v>3613</v>
      </c>
      <c r="C3811" s="9" t="s">
        <v>50</v>
      </c>
      <c r="D3811" s="10">
        <v>1072</v>
      </c>
      <c r="E3811" s="11" t="s">
        <v>51</v>
      </c>
      <c r="F3811" s="10">
        <v>6264</v>
      </c>
      <c r="G3811" s="10">
        <v>0</v>
      </c>
      <c r="H3811" s="10">
        <f t="shared" si="59"/>
        <v>6264</v>
      </c>
      <c r="I3811" s="10"/>
      <c r="J3811" s="10"/>
      <c r="K3811" s="10"/>
      <c r="L3811" s="4" t="s">
        <v>52</v>
      </c>
      <c r="M3811" s="4">
        <v>3806</v>
      </c>
    </row>
    <row r="3812" spans="1:13" x14ac:dyDescent="0.25">
      <c r="A3812" s="4" t="s">
        <v>3614</v>
      </c>
      <c r="B3812" s="4" t="s">
        <v>3615</v>
      </c>
      <c r="C3812" s="9" t="s">
        <v>50</v>
      </c>
      <c r="D3812" s="10">
        <v>21.5</v>
      </c>
      <c r="E3812" s="11" t="s">
        <v>51</v>
      </c>
      <c r="F3812" s="10">
        <v>2610</v>
      </c>
      <c r="G3812" s="10">
        <v>0</v>
      </c>
      <c r="H3812" s="10">
        <f t="shared" si="59"/>
        <v>2610</v>
      </c>
      <c r="I3812" s="10">
        <v>121.3953488372093</v>
      </c>
      <c r="J3812" s="10">
        <v>121.3953488372093</v>
      </c>
      <c r="K3812" s="10">
        <v>121.3953488372093</v>
      </c>
      <c r="L3812" s="4" t="s">
        <v>259</v>
      </c>
      <c r="M3812" s="4">
        <v>3807</v>
      </c>
    </row>
    <row r="3813" spans="1:13" x14ac:dyDescent="0.25">
      <c r="A3813" s="4" t="s">
        <v>3614</v>
      </c>
      <c r="B3813" s="4" t="s">
        <v>3616</v>
      </c>
      <c r="C3813" s="9" t="s">
        <v>50</v>
      </c>
      <c r="D3813" s="10">
        <v>4</v>
      </c>
      <c r="E3813" s="11" t="s">
        <v>51</v>
      </c>
      <c r="F3813" s="10">
        <v>522</v>
      </c>
      <c r="G3813" s="10">
        <v>0</v>
      </c>
      <c r="H3813" s="10">
        <f t="shared" si="59"/>
        <v>522</v>
      </c>
      <c r="I3813" s="10">
        <v>130.5</v>
      </c>
      <c r="J3813" s="10">
        <v>130.5</v>
      </c>
      <c r="K3813" s="10">
        <v>130.5</v>
      </c>
      <c r="L3813" s="4" t="s">
        <v>259</v>
      </c>
      <c r="M3813" s="4">
        <v>3808</v>
      </c>
    </row>
    <row r="3814" spans="1:13" x14ac:dyDescent="0.25">
      <c r="A3814" s="4" t="s">
        <v>3614</v>
      </c>
      <c r="B3814" s="4" t="s">
        <v>3617</v>
      </c>
      <c r="C3814" s="9" t="s">
        <v>50</v>
      </c>
      <c r="D3814" s="10">
        <v>206</v>
      </c>
      <c r="E3814" s="11" t="s">
        <v>51</v>
      </c>
      <c r="F3814" s="10">
        <v>14500</v>
      </c>
      <c r="G3814" s="10">
        <v>0</v>
      </c>
      <c r="H3814" s="10">
        <f t="shared" si="59"/>
        <v>14500</v>
      </c>
      <c r="I3814" s="10"/>
      <c r="J3814" s="10"/>
      <c r="K3814" s="10"/>
      <c r="L3814" s="4" t="s">
        <v>52</v>
      </c>
      <c r="M3814" s="4">
        <v>3809</v>
      </c>
    </row>
    <row r="3815" spans="1:13" x14ac:dyDescent="0.25">
      <c r="A3815" s="4" t="s">
        <v>3614</v>
      </c>
      <c r="B3815" s="4" t="s">
        <v>3618</v>
      </c>
      <c r="C3815" s="9" t="s">
        <v>50</v>
      </c>
      <c r="D3815" s="10">
        <v>1309</v>
      </c>
      <c r="E3815" s="11" t="s">
        <v>51</v>
      </c>
      <c r="F3815" s="10">
        <v>87149</v>
      </c>
      <c r="G3815" s="10">
        <v>0</v>
      </c>
      <c r="H3815" s="10">
        <f t="shared" si="59"/>
        <v>87149</v>
      </c>
      <c r="I3815" s="10"/>
      <c r="J3815" s="10"/>
      <c r="K3815" s="10"/>
      <c r="L3815" s="4" t="s">
        <v>52</v>
      </c>
      <c r="M3815" s="4">
        <v>3810</v>
      </c>
    </row>
    <row r="3816" spans="1:13" x14ac:dyDescent="0.25">
      <c r="A3816" s="4" t="s">
        <v>3614</v>
      </c>
      <c r="B3816" s="4" t="s">
        <v>3619</v>
      </c>
      <c r="C3816" s="9" t="s">
        <v>50</v>
      </c>
      <c r="D3816" s="10">
        <v>8.5</v>
      </c>
      <c r="E3816" s="11" t="s">
        <v>51</v>
      </c>
      <c r="F3816" s="10">
        <v>1044</v>
      </c>
      <c r="G3816" s="10">
        <v>0</v>
      </c>
      <c r="H3816" s="10">
        <f t="shared" si="59"/>
        <v>1044</v>
      </c>
      <c r="I3816" s="10">
        <v>122.8235294117647</v>
      </c>
      <c r="J3816" s="10">
        <v>122.8235294117647</v>
      </c>
      <c r="K3816" s="10">
        <v>122.8235294117647</v>
      </c>
      <c r="L3816" s="4" t="s">
        <v>259</v>
      </c>
      <c r="M3816" s="4">
        <v>3811</v>
      </c>
    </row>
    <row r="3817" spans="1:13" x14ac:dyDescent="0.25">
      <c r="A3817" s="4" t="s">
        <v>3614</v>
      </c>
      <c r="B3817" s="4" t="s">
        <v>3620</v>
      </c>
      <c r="C3817" s="9" t="s">
        <v>50</v>
      </c>
      <c r="D3817" s="10">
        <v>17.5</v>
      </c>
      <c r="E3817" s="11" t="s">
        <v>51</v>
      </c>
      <c r="F3817" s="10">
        <v>2088</v>
      </c>
      <c r="G3817" s="10">
        <v>0</v>
      </c>
      <c r="H3817" s="10">
        <f t="shared" si="59"/>
        <v>2088</v>
      </c>
      <c r="I3817" s="10">
        <v>119.3142857142857</v>
      </c>
      <c r="J3817" s="10">
        <v>119.3142857142857</v>
      </c>
      <c r="K3817" s="10">
        <v>119.3142857142857</v>
      </c>
      <c r="L3817" s="4" t="s">
        <v>259</v>
      </c>
      <c r="M3817" s="4">
        <v>3812</v>
      </c>
    </row>
    <row r="3818" spans="1:13" x14ac:dyDescent="0.25">
      <c r="A3818" s="4" t="s">
        <v>3614</v>
      </c>
      <c r="B3818" s="4" t="s">
        <v>3621</v>
      </c>
      <c r="C3818" s="9" t="s">
        <v>50</v>
      </c>
      <c r="D3818" s="10">
        <v>347</v>
      </c>
      <c r="E3818" s="11" t="s">
        <v>51</v>
      </c>
      <c r="F3818" s="10">
        <v>23200</v>
      </c>
      <c r="G3818" s="10">
        <v>0</v>
      </c>
      <c r="H3818" s="10">
        <f t="shared" si="59"/>
        <v>23200</v>
      </c>
      <c r="I3818" s="10"/>
      <c r="J3818" s="10"/>
      <c r="K3818" s="10"/>
      <c r="L3818" s="4" t="s">
        <v>52</v>
      </c>
      <c r="M3818" s="4">
        <v>3813</v>
      </c>
    </row>
    <row r="3819" spans="1:13" x14ac:dyDescent="0.25">
      <c r="A3819" s="4" t="s">
        <v>3614</v>
      </c>
      <c r="B3819" s="4" t="s">
        <v>3622</v>
      </c>
      <c r="C3819" s="9" t="s">
        <v>50</v>
      </c>
      <c r="D3819" s="10">
        <v>1099</v>
      </c>
      <c r="E3819" s="11" t="s">
        <v>51</v>
      </c>
      <c r="F3819" s="10">
        <v>6264</v>
      </c>
      <c r="G3819" s="10">
        <v>0</v>
      </c>
      <c r="H3819" s="10">
        <f t="shared" si="59"/>
        <v>6264</v>
      </c>
      <c r="I3819" s="10"/>
      <c r="J3819" s="10"/>
      <c r="K3819" s="10"/>
      <c r="L3819" s="4" t="s">
        <v>52</v>
      </c>
      <c r="M3819" s="4">
        <v>3814</v>
      </c>
    </row>
    <row r="3820" spans="1:13" x14ac:dyDescent="0.25">
      <c r="A3820" s="4" t="s">
        <v>3623</v>
      </c>
      <c r="B3820" s="4" t="s">
        <v>3624</v>
      </c>
      <c r="C3820" s="9" t="s">
        <v>50</v>
      </c>
      <c r="D3820" s="10">
        <v>21.5</v>
      </c>
      <c r="E3820" s="11" t="s">
        <v>51</v>
      </c>
      <c r="F3820" s="10">
        <v>2610</v>
      </c>
      <c r="G3820" s="10">
        <v>0</v>
      </c>
      <c r="H3820" s="10">
        <f t="shared" si="59"/>
        <v>2610</v>
      </c>
      <c r="I3820" s="10">
        <v>121.3953488372093</v>
      </c>
      <c r="J3820" s="10">
        <v>121.3953488372093</v>
      </c>
      <c r="K3820" s="10">
        <v>121.3953488372093</v>
      </c>
      <c r="L3820" s="4" t="s">
        <v>259</v>
      </c>
      <c r="M3820" s="4">
        <v>3815</v>
      </c>
    </row>
    <row r="3821" spans="1:13" x14ac:dyDescent="0.25">
      <c r="A3821" s="4" t="s">
        <v>3623</v>
      </c>
      <c r="B3821" s="4" t="s">
        <v>3625</v>
      </c>
      <c r="C3821" s="9" t="s">
        <v>50</v>
      </c>
      <c r="D3821" s="10">
        <v>4</v>
      </c>
      <c r="E3821" s="11" t="s">
        <v>51</v>
      </c>
      <c r="F3821" s="10">
        <v>522</v>
      </c>
      <c r="G3821" s="10">
        <v>0</v>
      </c>
      <c r="H3821" s="10">
        <f t="shared" si="59"/>
        <v>522</v>
      </c>
      <c r="I3821" s="10">
        <v>130.5</v>
      </c>
      <c r="J3821" s="10">
        <v>130.5</v>
      </c>
      <c r="K3821" s="10">
        <v>130.5</v>
      </c>
      <c r="L3821" s="4" t="s">
        <v>259</v>
      </c>
      <c r="M3821" s="4">
        <v>3816</v>
      </c>
    </row>
    <row r="3822" spans="1:13" x14ac:dyDescent="0.25">
      <c r="A3822" s="4" t="s">
        <v>3623</v>
      </c>
      <c r="B3822" s="4" t="s">
        <v>3626</v>
      </c>
      <c r="C3822" s="9" t="s">
        <v>50</v>
      </c>
      <c r="D3822" s="10">
        <v>260</v>
      </c>
      <c r="E3822" s="11" t="s">
        <v>51</v>
      </c>
      <c r="F3822" s="10">
        <v>17980</v>
      </c>
      <c r="G3822" s="10">
        <v>0</v>
      </c>
      <c r="H3822" s="10">
        <f t="shared" si="59"/>
        <v>17980</v>
      </c>
      <c r="I3822" s="10"/>
      <c r="J3822" s="10"/>
      <c r="K3822" s="10"/>
      <c r="L3822" s="4" t="s">
        <v>52</v>
      </c>
      <c r="M3822" s="4">
        <v>3817</v>
      </c>
    </row>
    <row r="3823" spans="1:13" x14ac:dyDescent="0.25">
      <c r="A3823" s="4" t="s">
        <v>3623</v>
      </c>
      <c r="B3823" s="4" t="s">
        <v>3627</v>
      </c>
      <c r="C3823" s="9" t="s">
        <v>50</v>
      </c>
      <c r="D3823" s="10">
        <v>1309</v>
      </c>
      <c r="E3823" s="11" t="s">
        <v>51</v>
      </c>
      <c r="F3823" s="10">
        <v>88601.75</v>
      </c>
      <c r="G3823" s="10">
        <v>0</v>
      </c>
      <c r="H3823" s="10">
        <f t="shared" si="59"/>
        <v>88601.75</v>
      </c>
      <c r="I3823" s="10"/>
      <c r="J3823" s="10"/>
      <c r="K3823" s="10"/>
      <c r="L3823" s="4" t="s">
        <v>52</v>
      </c>
      <c r="M3823" s="4">
        <v>3818</v>
      </c>
    </row>
    <row r="3824" spans="1:13" x14ac:dyDescent="0.25">
      <c r="A3824" s="4" t="s">
        <v>3623</v>
      </c>
      <c r="B3824" s="4" t="s">
        <v>3628</v>
      </c>
      <c r="C3824" s="9" t="s">
        <v>50</v>
      </c>
      <c r="D3824" s="10">
        <v>8.5</v>
      </c>
      <c r="E3824" s="11" t="s">
        <v>51</v>
      </c>
      <c r="F3824" s="10">
        <v>1044</v>
      </c>
      <c r="G3824" s="10">
        <v>0</v>
      </c>
      <c r="H3824" s="10">
        <f t="shared" si="59"/>
        <v>1044</v>
      </c>
      <c r="I3824" s="10">
        <v>122.8235294117647</v>
      </c>
      <c r="J3824" s="10">
        <v>122.8235294117647</v>
      </c>
      <c r="K3824" s="10">
        <v>122.8235294117647</v>
      </c>
      <c r="L3824" s="4" t="s">
        <v>259</v>
      </c>
      <c r="M3824" s="4">
        <v>3819</v>
      </c>
    </row>
    <row r="3825" spans="1:13" x14ac:dyDescent="0.25">
      <c r="A3825" s="4" t="s">
        <v>3623</v>
      </c>
      <c r="B3825" s="4" t="s">
        <v>3629</v>
      </c>
      <c r="C3825" s="9" t="s">
        <v>50</v>
      </c>
      <c r="D3825" s="10">
        <v>17.5</v>
      </c>
      <c r="E3825" s="11" t="s">
        <v>51</v>
      </c>
      <c r="F3825" s="10">
        <v>2088</v>
      </c>
      <c r="G3825" s="10">
        <v>0</v>
      </c>
      <c r="H3825" s="10">
        <f t="shared" si="59"/>
        <v>2088</v>
      </c>
      <c r="I3825" s="10">
        <v>119.3142857142857</v>
      </c>
      <c r="J3825" s="10">
        <v>119.3142857142857</v>
      </c>
      <c r="K3825" s="10">
        <v>119.3142857142857</v>
      </c>
      <c r="L3825" s="4" t="s">
        <v>259</v>
      </c>
      <c r="M3825" s="4">
        <v>3820</v>
      </c>
    </row>
    <row r="3826" spans="1:13" x14ac:dyDescent="0.25">
      <c r="A3826" s="4" t="s">
        <v>3623</v>
      </c>
      <c r="B3826" s="4" t="s">
        <v>3630</v>
      </c>
      <c r="C3826" s="9" t="s">
        <v>50</v>
      </c>
      <c r="D3826" s="10">
        <v>347</v>
      </c>
      <c r="E3826" s="11" t="s">
        <v>51</v>
      </c>
      <c r="F3826" s="10">
        <v>23796</v>
      </c>
      <c r="G3826" s="10">
        <v>0</v>
      </c>
      <c r="H3826" s="10">
        <f t="shared" si="59"/>
        <v>23796</v>
      </c>
      <c r="I3826" s="10"/>
      <c r="J3826" s="10"/>
      <c r="K3826" s="10"/>
      <c r="L3826" s="4" t="s">
        <v>52</v>
      </c>
      <c r="M3826" s="4">
        <v>3821</v>
      </c>
    </row>
    <row r="3827" spans="1:13" x14ac:dyDescent="0.25">
      <c r="A3827" s="4" t="s">
        <v>3623</v>
      </c>
      <c r="B3827" s="4" t="s">
        <v>3631</v>
      </c>
      <c r="C3827" s="9" t="s">
        <v>50</v>
      </c>
      <c r="D3827" s="10">
        <v>1006</v>
      </c>
      <c r="E3827" s="11" t="s">
        <v>51</v>
      </c>
      <c r="F3827" s="10">
        <v>6264</v>
      </c>
      <c r="G3827" s="10">
        <v>0</v>
      </c>
      <c r="H3827" s="10">
        <f t="shared" si="59"/>
        <v>6264</v>
      </c>
      <c r="I3827" s="10"/>
      <c r="J3827" s="10"/>
      <c r="K3827" s="10"/>
      <c r="L3827" s="4" t="s">
        <v>52</v>
      </c>
      <c r="M3827" s="4">
        <v>3822</v>
      </c>
    </row>
    <row r="3828" spans="1:13" x14ac:dyDescent="0.25">
      <c r="A3828" s="4" t="s">
        <v>3632</v>
      </c>
      <c r="B3828" s="4" t="s">
        <v>3633</v>
      </c>
      <c r="C3828" s="9" t="s">
        <v>50</v>
      </c>
      <c r="D3828" s="10">
        <v>17.5</v>
      </c>
      <c r="E3828" s="11" t="s">
        <v>51</v>
      </c>
      <c r="F3828" s="10">
        <v>2088</v>
      </c>
      <c r="G3828" s="10">
        <v>0</v>
      </c>
      <c r="H3828" s="10">
        <f t="shared" si="59"/>
        <v>2088</v>
      </c>
      <c r="I3828" s="10">
        <v>119.3142857142857</v>
      </c>
      <c r="J3828" s="10">
        <v>119.3142857142857</v>
      </c>
      <c r="K3828" s="10">
        <v>119.3142857142857</v>
      </c>
      <c r="L3828" s="4" t="s">
        <v>259</v>
      </c>
      <c r="M3828" s="4">
        <v>3823</v>
      </c>
    </row>
    <row r="3829" spans="1:13" x14ac:dyDescent="0.25">
      <c r="A3829" s="4" t="s">
        <v>3632</v>
      </c>
      <c r="B3829" s="4" t="s">
        <v>3634</v>
      </c>
      <c r="C3829" s="9" t="s">
        <v>50</v>
      </c>
      <c r="D3829" s="10">
        <v>4</v>
      </c>
      <c r="E3829" s="11" t="s">
        <v>51</v>
      </c>
      <c r="F3829" s="10">
        <v>522</v>
      </c>
      <c r="G3829" s="10">
        <v>0</v>
      </c>
      <c r="H3829" s="10">
        <f t="shared" si="59"/>
        <v>522</v>
      </c>
      <c r="I3829" s="10">
        <v>130.5</v>
      </c>
      <c r="J3829" s="10">
        <v>130.5</v>
      </c>
      <c r="K3829" s="10">
        <v>130.5</v>
      </c>
      <c r="L3829" s="4" t="s">
        <v>259</v>
      </c>
      <c r="M3829" s="4">
        <v>3824</v>
      </c>
    </row>
    <row r="3830" spans="1:13" x14ac:dyDescent="0.25">
      <c r="A3830" s="4" t="s">
        <v>3632</v>
      </c>
      <c r="B3830" s="4" t="s">
        <v>3635</v>
      </c>
      <c r="C3830" s="9" t="s">
        <v>50</v>
      </c>
      <c r="D3830" s="10">
        <v>288</v>
      </c>
      <c r="E3830" s="11" t="s">
        <v>51</v>
      </c>
      <c r="F3830" s="10">
        <v>19720</v>
      </c>
      <c r="G3830" s="10">
        <v>0</v>
      </c>
      <c r="H3830" s="10">
        <f t="shared" si="59"/>
        <v>19720</v>
      </c>
      <c r="I3830" s="10"/>
      <c r="J3830" s="10"/>
      <c r="K3830" s="10"/>
      <c r="L3830" s="4" t="s">
        <v>52</v>
      </c>
      <c r="M3830" s="4">
        <v>3825</v>
      </c>
    </row>
    <row r="3831" spans="1:13" x14ac:dyDescent="0.25">
      <c r="A3831" s="4" t="s">
        <v>3632</v>
      </c>
      <c r="B3831" s="4" t="s">
        <v>3636</v>
      </c>
      <c r="C3831" s="9" t="s">
        <v>50</v>
      </c>
      <c r="D3831" s="10">
        <v>1109</v>
      </c>
      <c r="E3831" s="11" t="s">
        <v>51</v>
      </c>
      <c r="F3831" s="10">
        <v>73660</v>
      </c>
      <c r="G3831" s="10">
        <v>0</v>
      </c>
      <c r="H3831" s="10">
        <f t="shared" si="59"/>
        <v>73660</v>
      </c>
      <c r="I3831" s="10"/>
      <c r="J3831" s="10"/>
      <c r="K3831" s="10"/>
      <c r="L3831" s="4" t="s">
        <v>52</v>
      </c>
      <c r="M3831" s="4">
        <v>3826</v>
      </c>
    </row>
    <row r="3832" spans="1:13" x14ac:dyDescent="0.25">
      <c r="A3832" s="4" t="s">
        <v>3632</v>
      </c>
      <c r="B3832" s="4" t="s">
        <v>3637</v>
      </c>
      <c r="C3832" s="9" t="s">
        <v>50</v>
      </c>
      <c r="D3832" s="10">
        <v>17.5</v>
      </c>
      <c r="E3832" s="11" t="s">
        <v>51</v>
      </c>
      <c r="F3832" s="10">
        <v>2088</v>
      </c>
      <c r="G3832" s="10">
        <v>0</v>
      </c>
      <c r="H3832" s="10">
        <f t="shared" si="59"/>
        <v>2088</v>
      </c>
      <c r="I3832" s="10">
        <v>119.3142857142857</v>
      </c>
      <c r="J3832" s="10">
        <v>119.3142857142857</v>
      </c>
      <c r="K3832" s="10">
        <v>119.3142857142857</v>
      </c>
      <c r="L3832" s="4" t="s">
        <v>259</v>
      </c>
      <c r="M3832" s="4">
        <v>3827</v>
      </c>
    </row>
    <row r="3833" spans="1:13" x14ac:dyDescent="0.25">
      <c r="A3833" s="4" t="s">
        <v>3632</v>
      </c>
      <c r="B3833" s="4" t="s">
        <v>3638</v>
      </c>
      <c r="C3833" s="9" t="s">
        <v>50</v>
      </c>
      <c r="D3833" s="10">
        <v>17.5</v>
      </c>
      <c r="E3833" s="11" t="s">
        <v>51</v>
      </c>
      <c r="F3833" s="10">
        <v>2088</v>
      </c>
      <c r="G3833" s="10">
        <v>0</v>
      </c>
      <c r="H3833" s="10">
        <f t="shared" si="59"/>
        <v>2088</v>
      </c>
      <c r="I3833" s="10">
        <v>119.3142857142857</v>
      </c>
      <c r="J3833" s="10">
        <v>119.3142857142857</v>
      </c>
      <c r="K3833" s="10">
        <v>119.3142857142857</v>
      </c>
      <c r="L3833" s="4" t="s">
        <v>259</v>
      </c>
      <c r="M3833" s="4">
        <v>3828</v>
      </c>
    </row>
    <row r="3834" spans="1:13" x14ac:dyDescent="0.25">
      <c r="A3834" s="4" t="s">
        <v>3632</v>
      </c>
      <c r="B3834" s="4" t="s">
        <v>3639</v>
      </c>
      <c r="C3834" s="9" t="s">
        <v>50</v>
      </c>
      <c r="D3834" s="10">
        <v>365</v>
      </c>
      <c r="E3834" s="11" t="s">
        <v>51</v>
      </c>
      <c r="F3834" s="10">
        <v>24598</v>
      </c>
      <c r="G3834" s="10">
        <v>0</v>
      </c>
      <c r="H3834" s="10">
        <f t="shared" si="59"/>
        <v>24598</v>
      </c>
      <c r="I3834" s="10"/>
      <c r="J3834" s="10"/>
      <c r="K3834" s="10"/>
      <c r="L3834" s="4" t="s">
        <v>52</v>
      </c>
      <c r="M3834" s="4">
        <v>3829</v>
      </c>
    </row>
    <row r="3835" spans="1:13" x14ac:dyDescent="0.25">
      <c r="A3835" s="4" t="s">
        <v>3632</v>
      </c>
      <c r="B3835" s="4" t="s">
        <v>3640</v>
      </c>
      <c r="C3835" s="9" t="s">
        <v>50</v>
      </c>
      <c r="D3835" s="10">
        <v>1399</v>
      </c>
      <c r="E3835" s="11" t="s">
        <v>51</v>
      </c>
      <c r="F3835" s="10">
        <v>4176</v>
      </c>
      <c r="G3835" s="10">
        <v>0</v>
      </c>
      <c r="H3835" s="10">
        <f t="shared" si="59"/>
        <v>4176</v>
      </c>
      <c r="I3835" s="10"/>
      <c r="J3835" s="10"/>
      <c r="K3835" s="10"/>
      <c r="L3835" s="4" t="s">
        <v>52</v>
      </c>
      <c r="M3835" s="4">
        <v>3830</v>
      </c>
    </row>
    <row r="3836" spans="1:13" x14ac:dyDescent="0.25">
      <c r="A3836" s="4" t="s">
        <v>3641</v>
      </c>
      <c r="B3836" s="4" t="s">
        <v>3642</v>
      </c>
      <c r="C3836" s="9" t="s">
        <v>50</v>
      </c>
      <c r="D3836" s="10">
        <v>30.5</v>
      </c>
      <c r="E3836" s="11" t="s">
        <v>51</v>
      </c>
      <c r="F3836" s="10">
        <v>3654</v>
      </c>
      <c r="G3836" s="10">
        <v>0</v>
      </c>
      <c r="H3836" s="10">
        <f t="shared" si="59"/>
        <v>3654</v>
      </c>
      <c r="I3836" s="10">
        <v>119.8032786885246</v>
      </c>
      <c r="J3836" s="10">
        <v>119.8032786885246</v>
      </c>
      <c r="K3836" s="10">
        <v>119.8032786885246</v>
      </c>
      <c r="L3836" s="4" t="s">
        <v>259</v>
      </c>
      <c r="M3836" s="4">
        <v>3831</v>
      </c>
    </row>
    <row r="3837" spans="1:13" x14ac:dyDescent="0.25">
      <c r="A3837" s="4" t="s">
        <v>3641</v>
      </c>
      <c r="B3837" s="4" t="s">
        <v>3643</v>
      </c>
      <c r="C3837" s="9" t="s">
        <v>50</v>
      </c>
      <c r="D3837" s="10">
        <v>8.5</v>
      </c>
      <c r="E3837" s="11" t="s">
        <v>51</v>
      </c>
      <c r="F3837" s="10">
        <v>1044</v>
      </c>
      <c r="G3837" s="10">
        <v>0</v>
      </c>
      <c r="H3837" s="10">
        <f t="shared" si="59"/>
        <v>1044</v>
      </c>
      <c r="I3837" s="10">
        <v>122.8235294117647</v>
      </c>
      <c r="J3837" s="10">
        <v>122.8235294117647</v>
      </c>
      <c r="K3837" s="10">
        <v>122.8235294117647</v>
      </c>
      <c r="L3837" s="4" t="s">
        <v>259</v>
      </c>
      <c r="M3837" s="4">
        <v>3832</v>
      </c>
    </row>
    <row r="3838" spans="1:13" x14ac:dyDescent="0.25">
      <c r="A3838" s="4" t="s">
        <v>3641</v>
      </c>
      <c r="B3838" s="4" t="s">
        <v>3644</v>
      </c>
      <c r="C3838" s="9" t="s">
        <v>50</v>
      </c>
      <c r="D3838" s="10">
        <v>332</v>
      </c>
      <c r="E3838" s="11" t="s">
        <v>51</v>
      </c>
      <c r="F3838" s="10">
        <v>22620</v>
      </c>
      <c r="G3838" s="10">
        <v>0</v>
      </c>
      <c r="H3838" s="10">
        <f t="shared" si="59"/>
        <v>22620</v>
      </c>
      <c r="I3838" s="10"/>
      <c r="J3838" s="10"/>
      <c r="K3838" s="10"/>
      <c r="L3838" s="4" t="s">
        <v>52</v>
      </c>
      <c r="M3838" s="4">
        <v>3833</v>
      </c>
    </row>
    <row r="3839" spans="1:13" x14ac:dyDescent="0.25">
      <c r="A3839" s="4" t="s">
        <v>3641</v>
      </c>
      <c r="B3839" s="4" t="s">
        <v>3645</v>
      </c>
      <c r="C3839" s="9" t="s">
        <v>50</v>
      </c>
      <c r="D3839" s="10">
        <v>1687</v>
      </c>
      <c r="E3839" s="11" t="s">
        <v>51</v>
      </c>
      <c r="F3839" s="10">
        <v>112610.5</v>
      </c>
      <c r="G3839" s="10">
        <v>0</v>
      </c>
      <c r="H3839" s="10">
        <f t="shared" si="59"/>
        <v>112610.5</v>
      </c>
      <c r="I3839" s="10"/>
      <c r="J3839" s="10"/>
      <c r="K3839" s="10"/>
      <c r="L3839" s="4" t="s">
        <v>52</v>
      </c>
      <c r="M3839" s="4">
        <v>3834</v>
      </c>
    </row>
    <row r="3840" spans="1:13" x14ac:dyDescent="0.25">
      <c r="A3840" s="4" t="s">
        <v>3641</v>
      </c>
      <c r="B3840" s="4" t="s">
        <v>3646</v>
      </c>
      <c r="C3840" s="9" t="s">
        <v>50</v>
      </c>
      <c r="D3840" s="10">
        <v>21.5</v>
      </c>
      <c r="E3840" s="11" t="s">
        <v>51</v>
      </c>
      <c r="F3840" s="10">
        <v>2610</v>
      </c>
      <c r="G3840" s="10">
        <v>0</v>
      </c>
      <c r="H3840" s="10">
        <f t="shared" si="59"/>
        <v>2610</v>
      </c>
      <c r="I3840" s="10">
        <v>121.3953488372093</v>
      </c>
      <c r="J3840" s="10">
        <v>121.3953488372093</v>
      </c>
      <c r="K3840" s="10">
        <v>121.3953488372093</v>
      </c>
      <c r="L3840" s="4" t="s">
        <v>259</v>
      </c>
      <c r="M3840" s="4">
        <v>3835</v>
      </c>
    </row>
    <row r="3841" spans="1:13" x14ac:dyDescent="0.25">
      <c r="A3841" s="4" t="s">
        <v>3641</v>
      </c>
      <c r="B3841" s="4" t="s">
        <v>3647</v>
      </c>
      <c r="C3841" s="9" t="s">
        <v>50</v>
      </c>
      <c r="D3841" s="10">
        <v>17.5</v>
      </c>
      <c r="E3841" s="11" t="s">
        <v>51</v>
      </c>
      <c r="F3841" s="10">
        <v>2088</v>
      </c>
      <c r="G3841" s="10">
        <v>0</v>
      </c>
      <c r="H3841" s="10">
        <f t="shared" si="59"/>
        <v>2088</v>
      </c>
      <c r="I3841" s="10">
        <v>119.3142857142857</v>
      </c>
      <c r="J3841" s="10">
        <v>119.3142857142857</v>
      </c>
      <c r="K3841" s="10">
        <v>119.3142857142857</v>
      </c>
      <c r="L3841" s="4" t="s">
        <v>259</v>
      </c>
      <c r="M3841" s="4">
        <v>3836</v>
      </c>
    </row>
    <row r="3842" spans="1:13" x14ac:dyDescent="0.25">
      <c r="A3842" s="4" t="s">
        <v>3641</v>
      </c>
      <c r="B3842" s="4" t="s">
        <v>3648</v>
      </c>
      <c r="C3842" s="9" t="s">
        <v>50</v>
      </c>
      <c r="D3842" s="10">
        <v>498</v>
      </c>
      <c r="E3842" s="11" t="s">
        <v>51</v>
      </c>
      <c r="F3842" s="10">
        <v>33358</v>
      </c>
      <c r="G3842" s="10">
        <v>0</v>
      </c>
      <c r="H3842" s="10">
        <f t="shared" si="59"/>
        <v>33358</v>
      </c>
      <c r="I3842" s="10"/>
      <c r="J3842" s="10"/>
      <c r="K3842" s="10"/>
      <c r="L3842" s="4" t="s">
        <v>52</v>
      </c>
      <c r="M3842" s="4">
        <v>3837</v>
      </c>
    </row>
    <row r="3843" spans="1:13" x14ac:dyDescent="0.25">
      <c r="A3843" s="4" t="s">
        <v>3641</v>
      </c>
      <c r="B3843" s="4" t="s">
        <v>3649</v>
      </c>
      <c r="C3843" s="9" t="s">
        <v>50</v>
      </c>
      <c r="D3843" s="10">
        <v>1551.5</v>
      </c>
      <c r="E3843" s="11" t="s">
        <v>51</v>
      </c>
      <c r="F3843" s="10">
        <v>10440</v>
      </c>
      <c r="G3843" s="10">
        <v>0</v>
      </c>
      <c r="H3843" s="10">
        <f t="shared" si="59"/>
        <v>10440</v>
      </c>
      <c r="I3843" s="10"/>
      <c r="J3843" s="10"/>
      <c r="K3843" s="10"/>
      <c r="L3843" s="4" t="s">
        <v>52</v>
      </c>
      <c r="M3843" s="4">
        <v>3838</v>
      </c>
    </row>
    <row r="3844" spans="1:13" x14ac:dyDescent="0.25">
      <c r="A3844" s="4" t="s">
        <v>3650</v>
      </c>
      <c r="B3844" s="4" t="s">
        <v>3651</v>
      </c>
      <c r="C3844" s="9" t="s">
        <v>50</v>
      </c>
      <c r="D3844" s="10">
        <v>30.5</v>
      </c>
      <c r="E3844" s="11" t="s">
        <v>51</v>
      </c>
      <c r="F3844" s="10">
        <v>3654</v>
      </c>
      <c r="G3844" s="10">
        <v>0</v>
      </c>
      <c r="H3844" s="10">
        <f t="shared" si="59"/>
        <v>3654</v>
      </c>
      <c r="I3844" s="10">
        <v>119.8032786885246</v>
      </c>
      <c r="J3844" s="10">
        <v>119.8032786885246</v>
      </c>
      <c r="K3844" s="10">
        <v>119.8032786885246</v>
      </c>
      <c r="L3844" s="4" t="s">
        <v>259</v>
      </c>
      <c r="M3844" s="4">
        <v>3839</v>
      </c>
    </row>
    <row r="3845" spans="1:13" x14ac:dyDescent="0.25">
      <c r="A3845" s="4" t="s">
        <v>3650</v>
      </c>
      <c r="B3845" s="4" t="s">
        <v>3652</v>
      </c>
      <c r="C3845" s="9" t="s">
        <v>50</v>
      </c>
      <c r="D3845" s="10">
        <v>8.5</v>
      </c>
      <c r="E3845" s="11" t="s">
        <v>51</v>
      </c>
      <c r="F3845" s="10">
        <v>1044</v>
      </c>
      <c r="G3845" s="10">
        <v>0</v>
      </c>
      <c r="H3845" s="10">
        <f t="shared" si="59"/>
        <v>1044</v>
      </c>
      <c r="I3845" s="10">
        <v>122.8235294117647</v>
      </c>
      <c r="J3845" s="10">
        <v>122.8235294117647</v>
      </c>
      <c r="K3845" s="10">
        <v>122.8235294117647</v>
      </c>
      <c r="L3845" s="4" t="s">
        <v>259</v>
      </c>
      <c r="M3845" s="4">
        <v>3840</v>
      </c>
    </row>
    <row r="3846" spans="1:13" x14ac:dyDescent="0.25">
      <c r="A3846" s="4" t="s">
        <v>3650</v>
      </c>
      <c r="B3846" s="4" t="s">
        <v>3653</v>
      </c>
      <c r="C3846" s="9" t="s">
        <v>50</v>
      </c>
      <c r="D3846" s="10">
        <v>314</v>
      </c>
      <c r="E3846" s="11" t="s">
        <v>51</v>
      </c>
      <c r="F3846" s="10">
        <v>21460</v>
      </c>
      <c r="G3846" s="10">
        <v>0</v>
      </c>
      <c r="H3846" s="10">
        <f t="shared" ref="H3846:H3909" si="60">F3846-G3846</f>
        <v>21460</v>
      </c>
      <c r="I3846" s="10"/>
      <c r="J3846" s="10"/>
      <c r="K3846" s="10"/>
      <c r="L3846" s="4" t="s">
        <v>52</v>
      </c>
      <c r="M3846" s="4">
        <v>3841</v>
      </c>
    </row>
    <row r="3847" spans="1:13" x14ac:dyDescent="0.25">
      <c r="A3847" s="4" t="s">
        <v>3650</v>
      </c>
      <c r="B3847" s="4" t="s">
        <v>3654</v>
      </c>
      <c r="C3847" s="9" t="s">
        <v>50</v>
      </c>
      <c r="D3847" s="10">
        <v>1819</v>
      </c>
      <c r="E3847" s="11" t="s">
        <v>51</v>
      </c>
      <c r="F3847" s="10">
        <v>121012.5</v>
      </c>
      <c r="G3847" s="10">
        <v>0</v>
      </c>
      <c r="H3847" s="10">
        <f t="shared" si="60"/>
        <v>121012.5</v>
      </c>
      <c r="I3847" s="10"/>
      <c r="J3847" s="10"/>
      <c r="K3847" s="10"/>
      <c r="L3847" s="4" t="s">
        <v>52</v>
      </c>
      <c r="M3847" s="4">
        <v>3842</v>
      </c>
    </row>
    <row r="3848" spans="1:13" x14ac:dyDescent="0.25">
      <c r="A3848" s="4" t="s">
        <v>3650</v>
      </c>
      <c r="B3848" s="4" t="s">
        <v>3655</v>
      </c>
      <c r="C3848" s="9" t="s">
        <v>50</v>
      </c>
      <c r="D3848" s="10">
        <v>17.5</v>
      </c>
      <c r="E3848" s="11" t="s">
        <v>51</v>
      </c>
      <c r="F3848" s="10">
        <v>2088</v>
      </c>
      <c r="G3848" s="10">
        <v>0</v>
      </c>
      <c r="H3848" s="10">
        <f t="shared" si="60"/>
        <v>2088</v>
      </c>
      <c r="I3848" s="10">
        <v>119.3142857142857</v>
      </c>
      <c r="J3848" s="10">
        <v>119.3142857142857</v>
      </c>
      <c r="K3848" s="10">
        <v>119.3142857142857</v>
      </c>
      <c r="L3848" s="4" t="s">
        <v>259</v>
      </c>
      <c r="M3848" s="4">
        <v>3843</v>
      </c>
    </row>
    <row r="3849" spans="1:13" x14ac:dyDescent="0.25">
      <c r="A3849" s="4" t="s">
        <v>3650</v>
      </c>
      <c r="B3849" s="4" t="s">
        <v>3656</v>
      </c>
      <c r="C3849" s="9" t="s">
        <v>50</v>
      </c>
      <c r="D3849" s="10">
        <v>17.5</v>
      </c>
      <c r="E3849" s="11" t="s">
        <v>51</v>
      </c>
      <c r="F3849" s="10">
        <v>2088</v>
      </c>
      <c r="G3849" s="10">
        <v>0</v>
      </c>
      <c r="H3849" s="10">
        <f t="shared" si="60"/>
        <v>2088</v>
      </c>
      <c r="I3849" s="10">
        <v>119.3142857142857</v>
      </c>
      <c r="J3849" s="10">
        <v>119.3142857142857</v>
      </c>
      <c r="K3849" s="10">
        <v>119.3142857142857</v>
      </c>
      <c r="L3849" s="4" t="s">
        <v>259</v>
      </c>
      <c r="M3849" s="4">
        <v>3844</v>
      </c>
    </row>
    <row r="3850" spans="1:13" x14ac:dyDescent="0.25">
      <c r="A3850" s="4" t="s">
        <v>3650</v>
      </c>
      <c r="B3850" s="4" t="s">
        <v>3657</v>
      </c>
      <c r="C3850" s="9" t="s">
        <v>50</v>
      </c>
      <c r="D3850" s="10">
        <v>481</v>
      </c>
      <c r="E3850" s="11" t="s">
        <v>51</v>
      </c>
      <c r="F3850" s="10">
        <v>31900</v>
      </c>
      <c r="G3850" s="10">
        <v>0</v>
      </c>
      <c r="H3850" s="10">
        <f t="shared" si="60"/>
        <v>31900</v>
      </c>
      <c r="I3850" s="10"/>
      <c r="J3850" s="10"/>
      <c r="K3850" s="10"/>
      <c r="L3850" s="4" t="s">
        <v>52</v>
      </c>
      <c r="M3850" s="4">
        <v>3845</v>
      </c>
    </row>
    <row r="3851" spans="1:13" x14ac:dyDescent="0.25">
      <c r="A3851" s="4" t="s">
        <v>3650</v>
      </c>
      <c r="B3851" s="4" t="s">
        <v>3658</v>
      </c>
      <c r="C3851" s="9" t="s">
        <v>50</v>
      </c>
      <c r="D3851" s="10">
        <v>385</v>
      </c>
      <c r="E3851" s="11" t="s">
        <v>51</v>
      </c>
      <c r="F3851" s="10">
        <v>11600</v>
      </c>
      <c r="G3851" s="10">
        <v>0</v>
      </c>
      <c r="H3851" s="10">
        <f t="shared" si="60"/>
        <v>11600</v>
      </c>
      <c r="I3851" s="10"/>
      <c r="J3851" s="10"/>
      <c r="K3851" s="10"/>
      <c r="L3851" s="4" t="s">
        <v>52</v>
      </c>
      <c r="M3851" s="4">
        <v>3846</v>
      </c>
    </row>
    <row r="3852" spans="1:13" x14ac:dyDescent="0.25">
      <c r="A3852" s="4" t="s">
        <v>3659</v>
      </c>
      <c r="B3852" s="4" t="s">
        <v>3660</v>
      </c>
      <c r="C3852" s="4" t="s">
        <v>65</v>
      </c>
      <c r="D3852" s="10">
        <v>139</v>
      </c>
      <c r="E3852" s="12" t="s">
        <v>66</v>
      </c>
      <c r="F3852" s="10">
        <v>19500</v>
      </c>
      <c r="G3852" s="10">
        <v>0</v>
      </c>
      <c r="H3852" s="10">
        <f t="shared" si="60"/>
        <v>19500</v>
      </c>
      <c r="I3852" s="10">
        <v>140.2877697841727</v>
      </c>
      <c r="J3852" s="10">
        <v>140.2877697841727</v>
      </c>
      <c r="K3852" s="10">
        <v>140.2877697841727</v>
      </c>
      <c r="L3852" s="4"/>
      <c r="M3852" s="4">
        <v>3847</v>
      </c>
    </row>
    <row r="3853" spans="1:13" x14ac:dyDescent="0.25">
      <c r="A3853" s="4" t="s">
        <v>3659</v>
      </c>
      <c r="B3853" s="4" t="s">
        <v>3661</v>
      </c>
      <c r="C3853" s="4" t="s">
        <v>65</v>
      </c>
      <c r="D3853" s="10">
        <v>115</v>
      </c>
      <c r="E3853" s="12" t="s">
        <v>66</v>
      </c>
      <c r="F3853" s="10">
        <v>10000</v>
      </c>
      <c r="G3853" s="10">
        <v>0</v>
      </c>
      <c r="H3853" s="10">
        <f t="shared" si="60"/>
        <v>10000</v>
      </c>
      <c r="I3853" s="10">
        <v>140.8450704225352</v>
      </c>
      <c r="J3853" s="10">
        <v>140.8450704225352</v>
      </c>
      <c r="K3853" s="10">
        <v>140.8450704225352</v>
      </c>
      <c r="L3853" s="4"/>
      <c r="M3853" s="4">
        <v>3848</v>
      </c>
    </row>
    <row r="3854" spans="1:13" x14ac:dyDescent="0.25">
      <c r="A3854" s="4" t="s">
        <v>3662</v>
      </c>
      <c r="B3854" s="4" t="s">
        <v>2325</v>
      </c>
      <c r="C3854" s="4" t="s">
        <v>65</v>
      </c>
      <c r="D3854" s="10">
        <v>24</v>
      </c>
      <c r="E3854" s="11" t="s">
        <v>51</v>
      </c>
      <c r="F3854" s="10"/>
      <c r="G3854" s="10">
        <v>0</v>
      </c>
      <c r="H3854" s="10">
        <f t="shared" si="60"/>
        <v>0</v>
      </c>
      <c r="I3854" s="10">
        <v>0</v>
      </c>
      <c r="J3854" s="10">
        <v>0</v>
      </c>
      <c r="K3854" s="10">
        <v>0</v>
      </c>
      <c r="L3854" s="4" t="s">
        <v>69</v>
      </c>
      <c r="M3854" s="4">
        <v>3849</v>
      </c>
    </row>
    <row r="3855" spans="1:13" x14ac:dyDescent="0.25">
      <c r="A3855" s="4" t="s">
        <v>3662</v>
      </c>
      <c r="B3855" s="4" t="s">
        <v>3663</v>
      </c>
      <c r="C3855" s="4" t="s">
        <v>68</v>
      </c>
      <c r="D3855" s="10">
        <v>44</v>
      </c>
      <c r="E3855" s="11" t="s">
        <v>51</v>
      </c>
      <c r="F3855" s="10"/>
      <c r="G3855" s="10">
        <v>0</v>
      </c>
      <c r="H3855" s="10">
        <f t="shared" si="60"/>
        <v>0</v>
      </c>
      <c r="I3855" s="10"/>
      <c r="J3855" s="10"/>
      <c r="K3855" s="10"/>
      <c r="L3855" s="4" t="s">
        <v>69</v>
      </c>
      <c r="M3855" s="4">
        <v>3850</v>
      </c>
    </row>
    <row r="3856" spans="1:13" x14ac:dyDescent="0.25">
      <c r="A3856" s="4" t="s">
        <v>3664</v>
      </c>
      <c r="B3856" s="4" t="s">
        <v>1320</v>
      </c>
      <c r="C3856" s="4" t="s">
        <v>68</v>
      </c>
      <c r="D3856" s="10">
        <v>109</v>
      </c>
      <c r="E3856" s="11" t="s">
        <v>51</v>
      </c>
      <c r="F3856" s="10">
        <v>2640</v>
      </c>
      <c r="G3856" s="10">
        <v>0</v>
      </c>
      <c r="H3856" s="10">
        <f t="shared" si="60"/>
        <v>2640</v>
      </c>
      <c r="I3856" s="10"/>
      <c r="J3856" s="10"/>
      <c r="K3856" s="10"/>
      <c r="L3856" s="4" t="s">
        <v>69</v>
      </c>
      <c r="M3856" s="4">
        <v>3851</v>
      </c>
    </row>
    <row r="3857" spans="1:13" x14ac:dyDescent="0.25">
      <c r="A3857" s="4" t="s">
        <v>3665</v>
      </c>
      <c r="B3857" s="4" t="s">
        <v>3666</v>
      </c>
      <c r="C3857" s="4" t="s">
        <v>68</v>
      </c>
      <c r="D3857" s="10">
        <v>50</v>
      </c>
      <c r="E3857" s="11" t="s">
        <v>51</v>
      </c>
      <c r="F3857" s="10">
        <v>3250</v>
      </c>
      <c r="G3857" s="10">
        <v>0</v>
      </c>
      <c r="H3857" s="10">
        <f t="shared" si="60"/>
        <v>3250</v>
      </c>
      <c r="I3857" s="10"/>
      <c r="J3857" s="10"/>
      <c r="K3857" s="10"/>
      <c r="L3857" s="4" t="s">
        <v>69</v>
      </c>
      <c r="M3857" s="4">
        <v>3852</v>
      </c>
    </row>
    <row r="3858" spans="1:13" x14ac:dyDescent="0.25">
      <c r="A3858" s="4" t="s">
        <v>3665</v>
      </c>
      <c r="B3858" s="4" t="s">
        <v>3455</v>
      </c>
      <c r="C3858" s="4" t="s">
        <v>68</v>
      </c>
      <c r="D3858" s="10">
        <v>75</v>
      </c>
      <c r="E3858" s="11" t="s">
        <v>51</v>
      </c>
      <c r="F3858" s="10">
        <v>2275</v>
      </c>
      <c r="G3858" s="10">
        <v>0</v>
      </c>
      <c r="H3858" s="10">
        <f t="shared" si="60"/>
        <v>2275</v>
      </c>
      <c r="I3858" s="10"/>
      <c r="J3858" s="10"/>
      <c r="K3858" s="10"/>
      <c r="L3858" s="4" t="s">
        <v>69</v>
      </c>
      <c r="M3858" s="4">
        <v>3853</v>
      </c>
    </row>
    <row r="3859" spans="1:13" x14ac:dyDescent="0.25">
      <c r="A3859" s="4" t="s">
        <v>3667</v>
      </c>
      <c r="B3859" s="4" t="s">
        <v>521</v>
      </c>
      <c r="C3859" s="4" t="s">
        <v>68</v>
      </c>
      <c r="D3859" s="10">
        <v>52</v>
      </c>
      <c r="E3859" s="11" t="s">
        <v>51</v>
      </c>
      <c r="F3859" s="10">
        <v>4400</v>
      </c>
      <c r="G3859" s="10">
        <v>0</v>
      </c>
      <c r="H3859" s="10">
        <f t="shared" si="60"/>
        <v>4400</v>
      </c>
      <c r="I3859" s="10"/>
      <c r="J3859" s="10"/>
      <c r="K3859" s="10"/>
      <c r="L3859" s="4" t="s">
        <v>69</v>
      </c>
      <c r="M3859" s="4">
        <v>3854</v>
      </c>
    </row>
    <row r="3860" spans="1:13" x14ac:dyDescent="0.25">
      <c r="A3860" s="4" t="s">
        <v>3668</v>
      </c>
      <c r="B3860" s="4" t="s">
        <v>3669</v>
      </c>
      <c r="C3860" s="4" t="s">
        <v>68</v>
      </c>
      <c r="D3860" s="10">
        <v>94</v>
      </c>
      <c r="E3860" s="11" t="s">
        <v>51</v>
      </c>
      <c r="F3860" s="10">
        <v>1500</v>
      </c>
      <c r="G3860" s="10">
        <v>0</v>
      </c>
      <c r="H3860" s="10">
        <f t="shared" si="60"/>
        <v>1500</v>
      </c>
      <c r="I3860" s="10"/>
      <c r="J3860" s="10"/>
      <c r="K3860" s="10"/>
      <c r="L3860" s="4" t="s">
        <v>69</v>
      </c>
      <c r="M3860" s="4">
        <v>3855</v>
      </c>
    </row>
    <row r="3861" spans="1:13" x14ac:dyDescent="0.25">
      <c r="A3861" s="4" t="s">
        <v>3670</v>
      </c>
      <c r="B3861" s="4" t="s">
        <v>2325</v>
      </c>
      <c r="C3861" s="4" t="s">
        <v>65</v>
      </c>
      <c r="D3861" s="10">
        <v>24</v>
      </c>
      <c r="E3861" s="12" t="s">
        <v>66</v>
      </c>
      <c r="F3861" s="10">
        <v>3100</v>
      </c>
      <c r="G3861" s="10">
        <v>0</v>
      </c>
      <c r="H3861" s="10">
        <f t="shared" si="60"/>
        <v>3100</v>
      </c>
      <c r="I3861" s="10">
        <v>129.16666666666671</v>
      </c>
      <c r="J3861" s="10">
        <v>129.16666666666671</v>
      </c>
      <c r="K3861" s="10">
        <v>129.16666666666671</v>
      </c>
      <c r="L3861" s="4"/>
      <c r="M3861" s="4">
        <v>3856</v>
      </c>
    </row>
    <row r="3862" spans="1:13" x14ac:dyDescent="0.25">
      <c r="A3862" s="4" t="s">
        <v>3670</v>
      </c>
      <c r="B3862" s="4" t="s">
        <v>3671</v>
      </c>
      <c r="C3862" s="4" t="s">
        <v>68</v>
      </c>
      <c r="D3862" s="10">
        <v>52</v>
      </c>
      <c r="E3862" s="11" t="s">
        <v>51</v>
      </c>
      <c r="F3862" s="10">
        <v>6120</v>
      </c>
      <c r="G3862" s="10">
        <v>0</v>
      </c>
      <c r="H3862" s="10">
        <f t="shared" si="60"/>
        <v>6120</v>
      </c>
      <c r="I3862" s="10"/>
      <c r="J3862" s="10"/>
      <c r="K3862" s="10"/>
      <c r="L3862" s="4" t="s">
        <v>69</v>
      </c>
      <c r="M3862" s="4">
        <v>3857</v>
      </c>
    </row>
    <row r="3863" spans="1:13" x14ac:dyDescent="0.25">
      <c r="A3863" s="4" t="s">
        <v>3670</v>
      </c>
      <c r="B3863" s="4" t="s">
        <v>3672</v>
      </c>
      <c r="C3863" s="4" t="s">
        <v>68</v>
      </c>
      <c r="D3863" s="10">
        <v>30</v>
      </c>
      <c r="E3863" s="11" t="s">
        <v>51</v>
      </c>
      <c r="F3863" s="10">
        <v>460</v>
      </c>
      <c r="G3863" s="10">
        <v>0</v>
      </c>
      <c r="H3863" s="10">
        <f t="shared" si="60"/>
        <v>460</v>
      </c>
      <c r="I3863" s="10"/>
      <c r="J3863" s="10"/>
      <c r="K3863" s="10"/>
      <c r="L3863" s="4" t="s">
        <v>69</v>
      </c>
      <c r="M3863" s="4">
        <v>3858</v>
      </c>
    </row>
    <row r="3864" spans="1:13" x14ac:dyDescent="0.25">
      <c r="A3864" s="4" t="s">
        <v>3673</v>
      </c>
      <c r="B3864" s="4" t="s">
        <v>3674</v>
      </c>
      <c r="C3864" s="4" t="s">
        <v>68</v>
      </c>
      <c r="D3864" s="10">
        <v>34</v>
      </c>
      <c r="E3864" s="11" t="s">
        <v>51</v>
      </c>
      <c r="F3864" s="10">
        <v>2880</v>
      </c>
      <c r="G3864" s="10">
        <v>0</v>
      </c>
      <c r="H3864" s="10">
        <f t="shared" si="60"/>
        <v>2880</v>
      </c>
      <c r="I3864" s="10"/>
      <c r="J3864" s="10"/>
      <c r="K3864" s="10"/>
      <c r="L3864" s="4" t="s">
        <v>69</v>
      </c>
      <c r="M3864" s="4">
        <v>3859</v>
      </c>
    </row>
    <row r="3865" spans="1:13" x14ac:dyDescent="0.25">
      <c r="A3865" s="4" t="s">
        <v>3675</v>
      </c>
      <c r="B3865" s="4" t="s">
        <v>2111</v>
      </c>
      <c r="C3865" s="4" t="s">
        <v>65</v>
      </c>
      <c r="D3865" s="10">
        <v>302</v>
      </c>
      <c r="E3865" s="12" t="s">
        <v>66</v>
      </c>
      <c r="F3865" s="10">
        <v>700</v>
      </c>
      <c r="G3865" s="10">
        <v>0</v>
      </c>
      <c r="H3865" s="10">
        <f t="shared" si="60"/>
        <v>700</v>
      </c>
      <c r="I3865" s="10">
        <v>70</v>
      </c>
      <c r="J3865" s="10">
        <v>70</v>
      </c>
      <c r="K3865" s="10">
        <v>70</v>
      </c>
      <c r="L3865" s="4"/>
      <c r="M3865" s="4">
        <v>3860</v>
      </c>
    </row>
    <row r="3866" spans="1:13" x14ac:dyDescent="0.25">
      <c r="A3866" s="4" t="s">
        <v>3676</v>
      </c>
      <c r="B3866" s="4" t="s">
        <v>2408</v>
      </c>
      <c r="C3866" s="4" t="s">
        <v>65</v>
      </c>
      <c r="D3866" s="10">
        <v>12</v>
      </c>
      <c r="E3866" s="12" t="s">
        <v>66</v>
      </c>
      <c r="F3866" s="10">
        <v>1399.22</v>
      </c>
      <c r="G3866" s="10">
        <v>0</v>
      </c>
      <c r="H3866" s="10">
        <f t="shared" si="60"/>
        <v>1399.22</v>
      </c>
      <c r="I3866" s="10">
        <v>116.6016666666667</v>
      </c>
      <c r="J3866" s="10">
        <v>116.6016666666667</v>
      </c>
      <c r="K3866" s="10">
        <v>116.6016666666667</v>
      </c>
      <c r="L3866" s="4"/>
      <c r="M3866" s="4">
        <v>3861</v>
      </c>
    </row>
    <row r="3867" spans="1:13" x14ac:dyDescent="0.25">
      <c r="A3867" s="4" t="s">
        <v>3676</v>
      </c>
      <c r="B3867" s="4" t="s">
        <v>3677</v>
      </c>
      <c r="C3867" s="4" t="s">
        <v>65</v>
      </c>
      <c r="D3867" s="10">
        <v>54.5</v>
      </c>
      <c r="E3867" s="12" t="s">
        <v>66</v>
      </c>
      <c r="F3867" s="10">
        <v>6296.49</v>
      </c>
      <c r="G3867" s="10">
        <v>0</v>
      </c>
      <c r="H3867" s="10">
        <f t="shared" si="60"/>
        <v>6296.49</v>
      </c>
      <c r="I3867" s="10">
        <v>115.53192660550459</v>
      </c>
      <c r="J3867" s="10">
        <v>115.53192660550459</v>
      </c>
      <c r="K3867" s="10">
        <v>115.53192660550459</v>
      </c>
      <c r="L3867" s="4"/>
      <c r="M3867" s="4">
        <v>3862</v>
      </c>
    </row>
    <row r="3868" spans="1:13" x14ac:dyDescent="0.25">
      <c r="A3868" s="4" t="s">
        <v>3676</v>
      </c>
      <c r="B3868" s="4" t="s">
        <v>3678</v>
      </c>
      <c r="C3868" s="4" t="s">
        <v>65</v>
      </c>
      <c r="D3868" s="10">
        <v>103</v>
      </c>
      <c r="E3868" s="12" t="s">
        <v>66</v>
      </c>
      <c r="F3868" s="10">
        <v>11893.37</v>
      </c>
      <c r="G3868" s="10">
        <v>0</v>
      </c>
      <c r="H3868" s="10">
        <f t="shared" si="60"/>
        <v>11893.37</v>
      </c>
      <c r="I3868" s="10">
        <v>115.4696116504854</v>
      </c>
      <c r="J3868" s="10">
        <v>115.4696116504854</v>
      </c>
      <c r="K3868" s="10">
        <v>115.4696116504854</v>
      </c>
      <c r="L3868" s="4"/>
      <c r="M3868" s="4">
        <v>3863</v>
      </c>
    </row>
    <row r="3869" spans="1:13" x14ac:dyDescent="0.25">
      <c r="A3869" s="4" t="s">
        <v>3676</v>
      </c>
      <c r="B3869" s="4" t="s">
        <v>3679</v>
      </c>
      <c r="C3869" s="4" t="s">
        <v>68</v>
      </c>
      <c r="D3869" s="10">
        <v>120.5</v>
      </c>
      <c r="E3869" s="11" t="s">
        <v>51</v>
      </c>
      <c r="F3869" s="10">
        <v>12025</v>
      </c>
      <c r="G3869" s="10">
        <v>0</v>
      </c>
      <c r="H3869" s="10">
        <f t="shared" si="60"/>
        <v>12025</v>
      </c>
      <c r="I3869" s="10"/>
      <c r="J3869" s="10"/>
      <c r="K3869" s="10"/>
      <c r="L3869" s="4" t="s">
        <v>69</v>
      </c>
      <c r="M3869" s="4">
        <v>3864</v>
      </c>
    </row>
    <row r="3870" spans="1:13" x14ac:dyDescent="0.25">
      <c r="A3870" s="4" t="s">
        <v>3676</v>
      </c>
      <c r="B3870" s="4" t="s">
        <v>3680</v>
      </c>
      <c r="C3870" s="4" t="s">
        <v>65</v>
      </c>
      <c r="D3870" s="10">
        <v>794.5</v>
      </c>
      <c r="E3870" s="12" t="s">
        <v>66</v>
      </c>
      <c r="F3870" s="10">
        <v>1399.22</v>
      </c>
      <c r="G3870" s="10">
        <v>0</v>
      </c>
      <c r="H3870" s="10">
        <f t="shared" si="60"/>
        <v>1399.22</v>
      </c>
      <c r="I3870" s="10">
        <v>116.6016666666667</v>
      </c>
      <c r="J3870" s="10">
        <v>116.6016666666667</v>
      </c>
      <c r="K3870" s="10">
        <v>116.6016666666667</v>
      </c>
      <c r="L3870" s="4"/>
      <c r="M3870" s="4">
        <v>3865</v>
      </c>
    </row>
    <row r="3871" spans="1:13" x14ac:dyDescent="0.25">
      <c r="A3871" s="4" t="s">
        <v>3681</v>
      </c>
      <c r="B3871" s="4" t="s">
        <v>2920</v>
      </c>
      <c r="C3871" s="4" t="s">
        <v>65</v>
      </c>
      <c r="D3871" s="10">
        <v>288</v>
      </c>
      <c r="E3871" s="12" t="s">
        <v>66</v>
      </c>
      <c r="F3871" s="10">
        <v>27986.23</v>
      </c>
      <c r="G3871" s="10">
        <v>0</v>
      </c>
      <c r="H3871" s="10">
        <f t="shared" si="60"/>
        <v>27986.23</v>
      </c>
      <c r="I3871" s="10">
        <v>97.174409722222222</v>
      </c>
      <c r="J3871" s="10">
        <v>97.174409722222222</v>
      </c>
      <c r="K3871" s="10">
        <v>97.174409722222222</v>
      </c>
      <c r="L3871" s="4"/>
      <c r="M3871" s="4">
        <v>3866</v>
      </c>
    </row>
    <row r="3872" spans="1:13" x14ac:dyDescent="0.25">
      <c r="A3872" s="4" t="s">
        <v>3681</v>
      </c>
      <c r="B3872" s="4" t="s">
        <v>3351</v>
      </c>
      <c r="C3872" s="4" t="s">
        <v>65</v>
      </c>
      <c r="D3872" s="10">
        <v>51.5</v>
      </c>
      <c r="E3872" s="12" t="s">
        <v>66</v>
      </c>
      <c r="F3872" s="10">
        <v>5974.14</v>
      </c>
      <c r="G3872" s="10">
        <v>0</v>
      </c>
      <c r="H3872" s="10">
        <f t="shared" si="60"/>
        <v>5974.14</v>
      </c>
      <c r="I3872" s="10">
        <v>116.0027184466019</v>
      </c>
      <c r="J3872" s="10">
        <v>116.0027184466019</v>
      </c>
      <c r="K3872" s="10">
        <v>116.0027184466019</v>
      </c>
      <c r="L3872" s="4"/>
      <c r="M3872" s="4">
        <v>3867</v>
      </c>
    </row>
    <row r="3873" spans="1:13" x14ac:dyDescent="0.25">
      <c r="A3873" s="4" t="s">
        <v>3681</v>
      </c>
      <c r="B3873" s="4" t="s">
        <v>3352</v>
      </c>
      <c r="C3873" s="4" t="s">
        <v>65</v>
      </c>
      <c r="D3873" s="10">
        <v>55</v>
      </c>
      <c r="E3873" s="12" t="s">
        <v>66</v>
      </c>
      <c r="F3873" s="10">
        <v>2389.66</v>
      </c>
      <c r="G3873" s="10">
        <v>0</v>
      </c>
      <c r="H3873" s="10">
        <f t="shared" si="60"/>
        <v>2389.66</v>
      </c>
      <c r="I3873" s="10">
        <v>43.448363636363631</v>
      </c>
      <c r="J3873" s="10">
        <v>43.448363636363631</v>
      </c>
      <c r="K3873" s="10">
        <v>43.448363636363631</v>
      </c>
      <c r="L3873" s="4"/>
      <c r="M3873" s="4">
        <v>3868</v>
      </c>
    </row>
    <row r="3874" spans="1:13" x14ac:dyDescent="0.25">
      <c r="A3874" s="4" t="s">
        <v>3681</v>
      </c>
      <c r="B3874" s="4" t="s">
        <v>2215</v>
      </c>
      <c r="C3874" s="4" t="s">
        <v>65</v>
      </c>
      <c r="D3874" s="10">
        <v>320</v>
      </c>
      <c r="E3874" s="12" t="s">
        <v>66</v>
      </c>
      <c r="F3874" s="10">
        <v>41819</v>
      </c>
      <c r="G3874" s="10">
        <v>0</v>
      </c>
      <c r="H3874" s="10">
        <f t="shared" si="60"/>
        <v>41819</v>
      </c>
      <c r="I3874" s="10">
        <v>107.7809278350515</v>
      </c>
      <c r="J3874" s="10">
        <v>107.7809278350515</v>
      </c>
      <c r="K3874" s="10">
        <v>107.7809278350515</v>
      </c>
      <c r="L3874" s="4"/>
      <c r="M3874" s="4">
        <v>3869</v>
      </c>
    </row>
    <row r="3875" spans="1:13" x14ac:dyDescent="0.25">
      <c r="A3875" s="4" t="s">
        <v>3682</v>
      </c>
      <c r="B3875" s="4" t="s">
        <v>3683</v>
      </c>
      <c r="C3875" s="4" t="s">
        <v>68</v>
      </c>
      <c r="D3875" s="10">
        <v>80</v>
      </c>
      <c r="E3875" s="11" t="s">
        <v>51</v>
      </c>
      <c r="F3875" s="10">
        <v>7000</v>
      </c>
      <c r="G3875" s="10">
        <v>0</v>
      </c>
      <c r="H3875" s="10">
        <f t="shared" si="60"/>
        <v>7000</v>
      </c>
      <c r="I3875" s="10"/>
      <c r="J3875" s="10"/>
      <c r="K3875" s="10"/>
      <c r="L3875" s="4" t="s">
        <v>69</v>
      </c>
      <c r="M3875" s="4">
        <v>3870</v>
      </c>
    </row>
    <row r="3876" spans="1:13" x14ac:dyDescent="0.25">
      <c r="A3876" s="4" t="s">
        <v>3682</v>
      </c>
      <c r="B3876" s="4" t="s">
        <v>3684</v>
      </c>
      <c r="C3876" s="4" t="s">
        <v>68</v>
      </c>
      <c r="D3876" s="10">
        <v>80</v>
      </c>
      <c r="E3876" s="11" t="s">
        <v>51</v>
      </c>
      <c r="F3876" s="10">
        <v>7000</v>
      </c>
      <c r="G3876" s="10">
        <v>0</v>
      </c>
      <c r="H3876" s="10">
        <f t="shared" si="60"/>
        <v>7000</v>
      </c>
      <c r="I3876" s="10"/>
      <c r="J3876" s="10"/>
      <c r="K3876" s="10"/>
      <c r="L3876" s="4" t="s">
        <v>69</v>
      </c>
      <c r="M3876" s="4">
        <v>3871</v>
      </c>
    </row>
    <row r="3877" spans="1:13" x14ac:dyDescent="0.25">
      <c r="A3877" s="4" t="s">
        <v>3682</v>
      </c>
      <c r="B3877" s="4" t="s">
        <v>3685</v>
      </c>
      <c r="C3877" s="4" t="s">
        <v>68</v>
      </c>
      <c r="D3877" s="10">
        <v>80</v>
      </c>
      <c r="E3877" s="11" t="s">
        <v>51</v>
      </c>
      <c r="F3877" s="10">
        <v>7000</v>
      </c>
      <c r="G3877" s="10">
        <v>0</v>
      </c>
      <c r="H3877" s="10">
        <f t="shared" si="60"/>
        <v>7000</v>
      </c>
      <c r="I3877" s="10"/>
      <c r="J3877" s="10"/>
      <c r="K3877" s="10"/>
      <c r="L3877" s="4" t="s">
        <v>69</v>
      </c>
      <c r="M3877" s="4">
        <v>3872</v>
      </c>
    </row>
    <row r="3878" spans="1:13" x14ac:dyDescent="0.25">
      <c r="A3878" s="4" t="s">
        <v>3682</v>
      </c>
      <c r="B3878" s="4" t="s">
        <v>3686</v>
      </c>
      <c r="C3878" s="4" t="s">
        <v>68</v>
      </c>
      <c r="D3878" s="10">
        <v>158</v>
      </c>
      <c r="E3878" s="11" t="s">
        <v>51</v>
      </c>
      <c r="F3878" s="10">
        <v>7000</v>
      </c>
      <c r="G3878" s="10">
        <v>0</v>
      </c>
      <c r="H3878" s="10">
        <f t="shared" si="60"/>
        <v>7000</v>
      </c>
      <c r="I3878" s="10"/>
      <c r="J3878" s="10"/>
      <c r="K3878" s="10"/>
      <c r="L3878" s="4" t="s">
        <v>69</v>
      </c>
      <c r="M3878" s="4">
        <v>3873</v>
      </c>
    </row>
    <row r="3879" spans="1:13" x14ac:dyDescent="0.25">
      <c r="A3879" s="4" t="s">
        <v>3687</v>
      </c>
      <c r="B3879" s="4" t="s">
        <v>2325</v>
      </c>
      <c r="C3879" s="4" t="s">
        <v>65</v>
      </c>
      <c r="D3879" s="10">
        <v>48</v>
      </c>
      <c r="E3879" s="12" t="s">
        <v>66</v>
      </c>
      <c r="F3879" s="10">
        <v>6250</v>
      </c>
      <c r="G3879" s="10">
        <v>0</v>
      </c>
      <c r="H3879" s="10">
        <f t="shared" si="60"/>
        <v>6250</v>
      </c>
      <c r="I3879" s="10">
        <v>130.20833333333329</v>
      </c>
      <c r="J3879" s="10">
        <v>130.20833333333329</v>
      </c>
      <c r="K3879" s="10">
        <v>130.20833333333329</v>
      </c>
      <c r="L3879" s="4"/>
      <c r="M3879" s="4">
        <v>3874</v>
      </c>
    </row>
    <row r="3880" spans="1:13" x14ac:dyDescent="0.25">
      <c r="A3880" s="4" t="s">
        <v>3687</v>
      </c>
      <c r="B3880" s="4" t="s">
        <v>3688</v>
      </c>
      <c r="C3880" s="4" t="s">
        <v>68</v>
      </c>
      <c r="D3880" s="10">
        <v>40</v>
      </c>
      <c r="E3880" s="11" t="s">
        <v>51</v>
      </c>
      <c r="F3880" s="10">
        <v>3750</v>
      </c>
      <c r="G3880" s="10">
        <v>0</v>
      </c>
      <c r="H3880" s="10">
        <f t="shared" si="60"/>
        <v>3750</v>
      </c>
      <c r="I3880" s="10"/>
      <c r="J3880" s="10"/>
      <c r="K3880" s="10"/>
      <c r="L3880" s="4" t="s">
        <v>69</v>
      </c>
      <c r="M3880" s="4">
        <v>3875</v>
      </c>
    </row>
    <row r="3881" spans="1:13" x14ac:dyDescent="0.25">
      <c r="A3881" s="4" t="s">
        <v>3689</v>
      </c>
      <c r="B3881" s="4" t="s">
        <v>3690</v>
      </c>
      <c r="C3881" s="4" t="s">
        <v>68</v>
      </c>
      <c r="D3881" s="10">
        <v>110</v>
      </c>
      <c r="E3881" s="11" t="s">
        <v>51</v>
      </c>
      <c r="F3881" s="10">
        <v>1250</v>
      </c>
      <c r="G3881" s="10">
        <v>0</v>
      </c>
      <c r="H3881" s="10">
        <f t="shared" si="60"/>
        <v>1250</v>
      </c>
      <c r="I3881" s="10"/>
      <c r="J3881" s="10"/>
      <c r="K3881" s="10"/>
      <c r="L3881" s="4" t="s">
        <v>69</v>
      </c>
      <c r="M3881" s="4">
        <v>3876</v>
      </c>
    </row>
    <row r="3882" spans="1:13" x14ac:dyDescent="0.25">
      <c r="A3882" s="4" t="s">
        <v>3691</v>
      </c>
      <c r="B3882" s="4" t="s">
        <v>3692</v>
      </c>
      <c r="C3882" s="4" t="s">
        <v>68</v>
      </c>
      <c r="D3882" s="10">
        <v>622</v>
      </c>
      <c r="E3882" s="11" t="s">
        <v>51</v>
      </c>
      <c r="F3882" s="10">
        <v>11000</v>
      </c>
      <c r="G3882" s="10">
        <v>0</v>
      </c>
      <c r="H3882" s="10">
        <f t="shared" si="60"/>
        <v>11000</v>
      </c>
      <c r="I3882" s="10"/>
      <c r="J3882" s="10"/>
      <c r="K3882" s="10"/>
      <c r="L3882" s="4" t="s">
        <v>69</v>
      </c>
      <c r="M3882" s="4">
        <v>3877</v>
      </c>
    </row>
    <row r="3883" spans="1:13" x14ac:dyDescent="0.25">
      <c r="A3883" s="4" t="s">
        <v>3693</v>
      </c>
      <c r="B3883" s="4" t="s">
        <v>3694</v>
      </c>
      <c r="C3883" s="4" t="s">
        <v>68</v>
      </c>
      <c r="D3883" s="10">
        <v>100</v>
      </c>
      <c r="E3883" s="11" t="s">
        <v>51</v>
      </c>
      <c r="F3883" s="10">
        <v>9800</v>
      </c>
      <c r="G3883" s="10">
        <v>0</v>
      </c>
      <c r="H3883" s="10">
        <f t="shared" si="60"/>
        <v>9800</v>
      </c>
      <c r="I3883" s="10"/>
      <c r="J3883" s="10"/>
      <c r="K3883" s="10"/>
      <c r="L3883" s="4" t="s">
        <v>69</v>
      </c>
      <c r="M3883" s="4">
        <v>3878</v>
      </c>
    </row>
    <row r="3884" spans="1:13" x14ac:dyDescent="0.25">
      <c r="A3884" s="4" t="s">
        <v>3693</v>
      </c>
      <c r="B3884" s="4" t="s">
        <v>3695</v>
      </c>
      <c r="C3884" s="4" t="s">
        <v>68</v>
      </c>
      <c r="D3884" s="10">
        <v>100</v>
      </c>
      <c r="E3884" s="11" t="s">
        <v>51</v>
      </c>
      <c r="F3884" s="10">
        <v>11000</v>
      </c>
      <c r="G3884" s="10">
        <v>0</v>
      </c>
      <c r="H3884" s="10">
        <f t="shared" si="60"/>
        <v>11000</v>
      </c>
      <c r="I3884" s="10"/>
      <c r="J3884" s="10"/>
      <c r="K3884" s="10"/>
      <c r="L3884" s="4" t="s">
        <v>69</v>
      </c>
      <c r="M3884" s="4">
        <v>3879</v>
      </c>
    </row>
    <row r="3885" spans="1:13" x14ac:dyDescent="0.25">
      <c r="A3885" s="4" t="s">
        <v>3693</v>
      </c>
      <c r="B3885" s="4" t="s">
        <v>3696</v>
      </c>
      <c r="C3885" s="4" t="s">
        <v>68</v>
      </c>
      <c r="D3885" s="10"/>
      <c r="E3885" s="11" t="s">
        <v>51</v>
      </c>
      <c r="F3885" s="10"/>
      <c r="G3885" s="10">
        <v>0</v>
      </c>
      <c r="H3885" s="10">
        <f t="shared" si="60"/>
        <v>0</v>
      </c>
      <c r="I3885" s="10"/>
      <c r="J3885" s="10"/>
      <c r="K3885" s="10"/>
      <c r="L3885" s="4" t="s">
        <v>69</v>
      </c>
      <c r="M3885" s="4">
        <v>3880</v>
      </c>
    </row>
    <row r="3886" spans="1:13" x14ac:dyDescent="0.25">
      <c r="A3886" s="4" t="s">
        <v>3693</v>
      </c>
      <c r="B3886" s="4" t="s">
        <v>3697</v>
      </c>
      <c r="C3886" s="4" t="s">
        <v>68</v>
      </c>
      <c r="D3886" s="10">
        <v>22</v>
      </c>
      <c r="E3886" s="11" t="s">
        <v>51</v>
      </c>
      <c r="F3886" s="10">
        <v>2970</v>
      </c>
      <c r="G3886" s="10">
        <v>0</v>
      </c>
      <c r="H3886" s="10">
        <f t="shared" si="60"/>
        <v>2970</v>
      </c>
      <c r="I3886" s="10"/>
      <c r="J3886" s="10"/>
      <c r="K3886" s="10"/>
      <c r="L3886" s="4" t="s">
        <v>69</v>
      </c>
      <c r="M3886" s="4">
        <v>3881</v>
      </c>
    </row>
    <row r="3887" spans="1:13" x14ac:dyDescent="0.25">
      <c r="A3887" s="4" t="s">
        <v>3693</v>
      </c>
      <c r="B3887" s="4" t="s">
        <v>3698</v>
      </c>
      <c r="C3887" s="4" t="s">
        <v>68</v>
      </c>
      <c r="D3887" s="10">
        <v>700</v>
      </c>
      <c r="E3887" s="11" t="s">
        <v>51</v>
      </c>
      <c r="F3887" s="10">
        <v>34900</v>
      </c>
      <c r="G3887" s="10">
        <v>0</v>
      </c>
      <c r="H3887" s="10">
        <f t="shared" si="60"/>
        <v>34900</v>
      </c>
      <c r="I3887" s="10"/>
      <c r="J3887" s="10"/>
      <c r="K3887" s="10"/>
      <c r="L3887" s="4" t="s">
        <v>69</v>
      </c>
      <c r="M3887" s="4">
        <v>3882</v>
      </c>
    </row>
    <row r="3888" spans="1:13" x14ac:dyDescent="0.25">
      <c r="A3888" s="4" t="s">
        <v>3699</v>
      </c>
      <c r="B3888" s="4" t="s">
        <v>3700</v>
      </c>
      <c r="C3888" s="4" t="s">
        <v>68</v>
      </c>
      <c r="D3888" s="10">
        <v>80</v>
      </c>
      <c r="E3888" s="11" t="s">
        <v>51</v>
      </c>
      <c r="F3888" s="10">
        <v>8800</v>
      </c>
      <c r="G3888" s="10">
        <v>0</v>
      </c>
      <c r="H3888" s="10">
        <f t="shared" si="60"/>
        <v>8800</v>
      </c>
      <c r="I3888" s="10"/>
      <c r="J3888" s="10"/>
      <c r="K3888" s="10"/>
      <c r="L3888" s="4" t="s">
        <v>69</v>
      </c>
      <c r="M3888" s="4">
        <v>3883</v>
      </c>
    </row>
    <row r="3889" spans="1:13" x14ac:dyDescent="0.25">
      <c r="A3889" s="4" t="s">
        <v>3699</v>
      </c>
      <c r="B3889" s="4" t="s">
        <v>3701</v>
      </c>
      <c r="C3889" s="4" t="s">
        <v>68</v>
      </c>
      <c r="D3889" s="10">
        <v>80</v>
      </c>
      <c r="E3889" s="11" t="s">
        <v>51</v>
      </c>
      <c r="F3889" s="10">
        <v>8800</v>
      </c>
      <c r="G3889" s="10">
        <v>0</v>
      </c>
      <c r="H3889" s="10">
        <f t="shared" si="60"/>
        <v>8800</v>
      </c>
      <c r="I3889" s="10"/>
      <c r="J3889" s="10"/>
      <c r="K3889" s="10"/>
      <c r="L3889" s="4" t="s">
        <v>69</v>
      </c>
      <c r="M3889" s="4">
        <v>3884</v>
      </c>
    </row>
    <row r="3890" spans="1:13" x14ac:dyDescent="0.25">
      <c r="A3890" s="4" t="s">
        <v>3699</v>
      </c>
      <c r="B3890" s="4" t="s">
        <v>3702</v>
      </c>
      <c r="C3890" s="4" t="s">
        <v>68</v>
      </c>
      <c r="D3890" s="10">
        <v>80</v>
      </c>
      <c r="E3890" s="11" t="s">
        <v>51</v>
      </c>
      <c r="F3890" s="10">
        <v>8800</v>
      </c>
      <c r="G3890" s="10">
        <v>0</v>
      </c>
      <c r="H3890" s="10">
        <f t="shared" si="60"/>
        <v>8800</v>
      </c>
      <c r="I3890" s="10"/>
      <c r="J3890" s="10"/>
      <c r="K3890" s="10"/>
      <c r="L3890" s="4" t="s">
        <v>69</v>
      </c>
      <c r="M3890" s="4">
        <v>3885</v>
      </c>
    </row>
    <row r="3891" spans="1:13" x14ac:dyDescent="0.25">
      <c r="A3891" s="4" t="s">
        <v>3699</v>
      </c>
      <c r="B3891" s="4" t="s">
        <v>3703</v>
      </c>
      <c r="C3891" s="4" t="s">
        <v>68</v>
      </c>
      <c r="D3891" s="10">
        <v>80</v>
      </c>
      <c r="E3891" s="11" t="s">
        <v>51</v>
      </c>
      <c r="F3891" s="10">
        <v>6800</v>
      </c>
      <c r="G3891" s="10">
        <v>0</v>
      </c>
      <c r="H3891" s="10">
        <f t="shared" si="60"/>
        <v>6800</v>
      </c>
      <c r="I3891" s="10"/>
      <c r="J3891" s="10"/>
      <c r="K3891" s="10"/>
      <c r="L3891" s="4" t="s">
        <v>69</v>
      </c>
      <c r="M3891" s="4">
        <v>3886</v>
      </c>
    </row>
    <row r="3892" spans="1:13" x14ac:dyDescent="0.25">
      <c r="A3892" s="4" t="s">
        <v>3699</v>
      </c>
      <c r="B3892" s="4" t="s">
        <v>3704</v>
      </c>
      <c r="C3892" s="4" t="s">
        <v>68</v>
      </c>
      <c r="D3892" s="10">
        <v>80</v>
      </c>
      <c r="E3892" s="11" t="s">
        <v>51</v>
      </c>
      <c r="F3892" s="10">
        <v>8800</v>
      </c>
      <c r="G3892" s="10">
        <v>0</v>
      </c>
      <c r="H3892" s="10">
        <f t="shared" si="60"/>
        <v>8800</v>
      </c>
      <c r="I3892" s="10"/>
      <c r="J3892" s="10"/>
      <c r="K3892" s="10"/>
      <c r="L3892" s="4" t="s">
        <v>69</v>
      </c>
      <c r="M3892" s="4">
        <v>3887</v>
      </c>
    </row>
    <row r="3893" spans="1:13" x14ac:dyDescent="0.25">
      <c r="A3893" s="4" t="s">
        <v>3705</v>
      </c>
      <c r="B3893" s="4" t="s">
        <v>3706</v>
      </c>
      <c r="C3893" s="4" t="s">
        <v>68</v>
      </c>
      <c r="D3893" s="10"/>
      <c r="E3893" s="11" t="s">
        <v>51</v>
      </c>
      <c r="F3893" s="10"/>
      <c r="G3893" s="10">
        <v>0</v>
      </c>
      <c r="H3893" s="10">
        <f t="shared" si="60"/>
        <v>0</v>
      </c>
      <c r="I3893" s="10"/>
      <c r="J3893" s="10"/>
      <c r="K3893" s="10"/>
      <c r="L3893" s="4" t="s">
        <v>69</v>
      </c>
      <c r="M3893" s="4">
        <v>3888</v>
      </c>
    </row>
    <row r="3894" spans="1:13" x14ac:dyDescent="0.25">
      <c r="A3894" s="4" t="s">
        <v>3707</v>
      </c>
      <c r="B3894" s="4" t="s">
        <v>3708</v>
      </c>
      <c r="C3894" s="4" t="s">
        <v>68</v>
      </c>
      <c r="D3894" s="10"/>
      <c r="E3894" s="11" t="s">
        <v>51</v>
      </c>
      <c r="F3894" s="10"/>
      <c r="G3894" s="10">
        <v>0</v>
      </c>
      <c r="H3894" s="10">
        <f t="shared" si="60"/>
        <v>0</v>
      </c>
      <c r="I3894" s="10"/>
      <c r="J3894" s="10"/>
      <c r="K3894" s="10"/>
      <c r="L3894" s="4" t="s">
        <v>69</v>
      </c>
      <c r="M3894" s="4">
        <v>3889</v>
      </c>
    </row>
    <row r="3895" spans="1:13" x14ac:dyDescent="0.25">
      <c r="A3895" s="4" t="s">
        <v>3709</v>
      </c>
      <c r="B3895" s="4" t="s">
        <v>3710</v>
      </c>
      <c r="C3895" s="4" t="s">
        <v>68</v>
      </c>
      <c r="D3895" s="10"/>
      <c r="E3895" s="11" t="s">
        <v>51</v>
      </c>
      <c r="F3895" s="10"/>
      <c r="G3895" s="10">
        <v>0</v>
      </c>
      <c r="H3895" s="10">
        <f t="shared" si="60"/>
        <v>0</v>
      </c>
      <c r="I3895" s="10"/>
      <c r="J3895" s="10"/>
      <c r="K3895" s="10"/>
      <c r="L3895" s="4" t="s">
        <v>69</v>
      </c>
      <c r="M3895" s="4">
        <v>3890</v>
      </c>
    </row>
    <row r="3896" spans="1:13" x14ac:dyDescent="0.25">
      <c r="A3896" s="4" t="s">
        <v>3711</v>
      </c>
      <c r="B3896" s="4" t="s">
        <v>3710</v>
      </c>
      <c r="C3896" s="4" t="s">
        <v>68</v>
      </c>
      <c r="D3896" s="10"/>
      <c r="E3896" s="11" t="s">
        <v>51</v>
      </c>
      <c r="F3896" s="10"/>
      <c r="G3896" s="10">
        <v>0</v>
      </c>
      <c r="H3896" s="10">
        <f t="shared" si="60"/>
        <v>0</v>
      </c>
      <c r="I3896" s="10"/>
      <c r="J3896" s="10"/>
      <c r="K3896" s="10"/>
      <c r="L3896" s="4" t="s">
        <v>69</v>
      </c>
      <c r="M3896" s="4">
        <v>3891</v>
      </c>
    </row>
    <row r="3897" spans="1:13" x14ac:dyDescent="0.25">
      <c r="A3897" s="4" t="s">
        <v>3712</v>
      </c>
      <c r="B3897" s="4" t="s">
        <v>3710</v>
      </c>
      <c r="C3897" s="4" t="s">
        <v>68</v>
      </c>
      <c r="D3897" s="10">
        <v>24</v>
      </c>
      <c r="E3897" s="11" t="s">
        <v>51</v>
      </c>
      <c r="F3897" s="10"/>
      <c r="G3897" s="10">
        <v>0</v>
      </c>
      <c r="H3897" s="10">
        <f t="shared" si="60"/>
        <v>0</v>
      </c>
      <c r="I3897" s="10"/>
      <c r="J3897" s="10"/>
      <c r="K3897" s="10"/>
      <c r="L3897" s="4" t="s">
        <v>69</v>
      </c>
      <c r="M3897" s="4">
        <v>3892</v>
      </c>
    </row>
    <row r="3898" spans="1:13" x14ac:dyDescent="0.25">
      <c r="A3898" s="4" t="s">
        <v>3713</v>
      </c>
      <c r="B3898" s="4" t="s">
        <v>3714</v>
      </c>
      <c r="C3898" s="4" t="s">
        <v>68</v>
      </c>
      <c r="D3898" s="10">
        <v>84</v>
      </c>
      <c r="E3898" s="11" t="s">
        <v>51</v>
      </c>
      <c r="F3898" s="10">
        <v>1920</v>
      </c>
      <c r="G3898" s="10">
        <v>0</v>
      </c>
      <c r="H3898" s="10">
        <f t="shared" si="60"/>
        <v>1920</v>
      </c>
      <c r="I3898" s="10"/>
      <c r="J3898" s="10"/>
      <c r="K3898" s="10"/>
      <c r="L3898" s="4" t="s">
        <v>69</v>
      </c>
      <c r="M3898" s="4">
        <v>3893</v>
      </c>
    </row>
    <row r="3899" spans="1:13" x14ac:dyDescent="0.25">
      <c r="A3899" s="4" t="s">
        <v>3715</v>
      </c>
      <c r="B3899" s="4" t="s">
        <v>3716</v>
      </c>
      <c r="C3899" s="4" t="s">
        <v>68</v>
      </c>
      <c r="D3899" s="10">
        <v>40</v>
      </c>
      <c r="E3899" s="11" t="s">
        <v>51</v>
      </c>
      <c r="F3899" s="10">
        <v>4800</v>
      </c>
      <c r="G3899" s="10">
        <v>0</v>
      </c>
      <c r="H3899" s="10">
        <f t="shared" si="60"/>
        <v>4800</v>
      </c>
      <c r="I3899" s="10"/>
      <c r="J3899" s="10"/>
      <c r="K3899" s="10"/>
      <c r="L3899" s="4" t="s">
        <v>69</v>
      </c>
      <c r="M3899" s="4">
        <v>3894</v>
      </c>
    </row>
    <row r="3900" spans="1:13" x14ac:dyDescent="0.25">
      <c r="A3900" s="4" t="s">
        <v>3715</v>
      </c>
      <c r="B3900" s="4" t="s">
        <v>3717</v>
      </c>
      <c r="C3900" s="4" t="s">
        <v>68</v>
      </c>
      <c r="D3900" s="10">
        <v>120</v>
      </c>
      <c r="E3900" s="11" t="s">
        <v>51</v>
      </c>
      <c r="F3900" s="10">
        <v>1600</v>
      </c>
      <c r="G3900" s="10">
        <v>0</v>
      </c>
      <c r="H3900" s="10">
        <f t="shared" si="60"/>
        <v>1600</v>
      </c>
      <c r="I3900" s="10"/>
      <c r="J3900" s="10"/>
      <c r="K3900" s="10"/>
      <c r="L3900" s="4" t="s">
        <v>69</v>
      </c>
      <c r="M3900" s="4">
        <v>3895</v>
      </c>
    </row>
    <row r="3901" spans="1:13" x14ac:dyDescent="0.25">
      <c r="A3901" s="4" t="s">
        <v>3718</v>
      </c>
      <c r="B3901" s="4" t="s">
        <v>3719</v>
      </c>
      <c r="C3901" s="4" t="s">
        <v>68</v>
      </c>
      <c r="D3901" s="10">
        <v>20</v>
      </c>
      <c r="E3901" s="11" t="s">
        <v>51</v>
      </c>
      <c r="F3901" s="10">
        <v>1600</v>
      </c>
      <c r="G3901" s="10">
        <v>0</v>
      </c>
      <c r="H3901" s="10">
        <f t="shared" si="60"/>
        <v>1600</v>
      </c>
      <c r="I3901" s="10"/>
      <c r="J3901" s="10"/>
      <c r="K3901" s="10"/>
      <c r="L3901" s="4" t="s">
        <v>69</v>
      </c>
      <c r="M3901" s="4">
        <v>3896</v>
      </c>
    </row>
    <row r="3902" spans="1:13" x14ac:dyDescent="0.25">
      <c r="A3902" s="4" t="s">
        <v>3718</v>
      </c>
      <c r="B3902" s="4" t="s">
        <v>3720</v>
      </c>
      <c r="C3902" s="4" t="s">
        <v>68</v>
      </c>
      <c r="D3902" s="10">
        <v>40</v>
      </c>
      <c r="E3902" s="11" t="s">
        <v>51</v>
      </c>
      <c r="F3902" s="10">
        <v>3200</v>
      </c>
      <c r="G3902" s="10">
        <v>0</v>
      </c>
      <c r="H3902" s="10">
        <f t="shared" si="60"/>
        <v>3200</v>
      </c>
      <c r="I3902" s="10"/>
      <c r="J3902" s="10"/>
      <c r="K3902" s="10"/>
      <c r="L3902" s="4" t="s">
        <v>69</v>
      </c>
      <c r="M3902" s="4">
        <v>3897</v>
      </c>
    </row>
    <row r="3903" spans="1:13" x14ac:dyDescent="0.25">
      <c r="A3903" s="4" t="s">
        <v>3718</v>
      </c>
      <c r="B3903" s="4" t="s">
        <v>3721</v>
      </c>
      <c r="C3903" s="4" t="s">
        <v>68</v>
      </c>
      <c r="D3903" s="10">
        <v>20</v>
      </c>
      <c r="E3903" s="11" t="s">
        <v>51</v>
      </c>
      <c r="F3903" s="10">
        <v>1600</v>
      </c>
      <c r="G3903" s="10">
        <v>0</v>
      </c>
      <c r="H3903" s="10">
        <f t="shared" si="60"/>
        <v>1600</v>
      </c>
      <c r="I3903" s="10"/>
      <c r="J3903" s="10"/>
      <c r="K3903" s="10"/>
      <c r="L3903" s="4" t="s">
        <v>69</v>
      </c>
      <c r="M3903" s="4">
        <v>3898</v>
      </c>
    </row>
    <row r="3904" spans="1:13" x14ac:dyDescent="0.25">
      <c r="A3904" s="4" t="s">
        <v>3718</v>
      </c>
      <c r="B3904" s="4" t="s">
        <v>3722</v>
      </c>
      <c r="C3904" s="4" t="s">
        <v>68</v>
      </c>
      <c r="D3904" s="10">
        <v>22</v>
      </c>
      <c r="E3904" s="11" t="s">
        <v>51</v>
      </c>
      <c r="F3904" s="10">
        <v>1760</v>
      </c>
      <c r="G3904" s="10">
        <v>0</v>
      </c>
      <c r="H3904" s="10">
        <f t="shared" si="60"/>
        <v>1760</v>
      </c>
      <c r="I3904" s="10"/>
      <c r="J3904" s="10"/>
      <c r="K3904" s="10"/>
      <c r="L3904" s="4" t="s">
        <v>69</v>
      </c>
      <c r="M3904" s="4">
        <v>3899</v>
      </c>
    </row>
    <row r="3905" spans="1:13" x14ac:dyDescent="0.25">
      <c r="A3905" s="4" t="s">
        <v>3718</v>
      </c>
      <c r="B3905" s="4" t="s">
        <v>3723</v>
      </c>
      <c r="C3905" s="4" t="s">
        <v>68</v>
      </c>
      <c r="D3905" s="10">
        <v>50</v>
      </c>
      <c r="E3905" s="11" t="s">
        <v>51</v>
      </c>
      <c r="F3905" s="10">
        <v>1440</v>
      </c>
      <c r="G3905" s="10">
        <v>0</v>
      </c>
      <c r="H3905" s="10">
        <f t="shared" si="60"/>
        <v>1440</v>
      </c>
      <c r="I3905" s="10"/>
      <c r="J3905" s="10"/>
      <c r="K3905" s="10"/>
      <c r="L3905" s="4" t="s">
        <v>69</v>
      </c>
      <c r="M3905" s="4">
        <v>3900</v>
      </c>
    </row>
    <row r="3906" spans="1:13" x14ac:dyDescent="0.25">
      <c r="A3906" s="4" t="s">
        <v>3724</v>
      </c>
      <c r="B3906" s="4" t="s">
        <v>3725</v>
      </c>
      <c r="C3906" s="4" t="s">
        <v>68</v>
      </c>
      <c r="D3906" s="10">
        <v>270</v>
      </c>
      <c r="E3906" s="11" t="s">
        <v>51</v>
      </c>
      <c r="F3906" s="10">
        <v>3840</v>
      </c>
      <c r="G3906" s="10">
        <v>0</v>
      </c>
      <c r="H3906" s="10">
        <f t="shared" si="60"/>
        <v>3840</v>
      </c>
      <c r="I3906" s="10"/>
      <c r="J3906" s="10"/>
      <c r="K3906" s="10"/>
      <c r="L3906" s="4" t="s">
        <v>69</v>
      </c>
      <c r="M3906" s="4">
        <v>3901</v>
      </c>
    </row>
    <row r="3907" spans="1:13" x14ac:dyDescent="0.25">
      <c r="A3907" s="4" t="s">
        <v>3726</v>
      </c>
      <c r="B3907" s="4" t="s">
        <v>3727</v>
      </c>
      <c r="C3907" s="4" t="s">
        <v>68</v>
      </c>
      <c r="D3907" s="10"/>
      <c r="E3907" s="11" t="s">
        <v>51</v>
      </c>
      <c r="F3907" s="10"/>
      <c r="G3907" s="10">
        <v>0</v>
      </c>
      <c r="H3907" s="10">
        <f t="shared" si="60"/>
        <v>0</v>
      </c>
      <c r="I3907" s="10"/>
      <c r="J3907" s="10"/>
      <c r="K3907" s="10"/>
      <c r="L3907" s="4" t="s">
        <v>69</v>
      </c>
      <c r="M3907" s="4">
        <v>3902</v>
      </c>
    </row>
    <row r="3908" spans="1:13" x14ac:dyDescent="0.25">
      <c r="A3908" s="4" t="s">
        <v>3726</v>
      </c>
      <c r="B3908" s="4" t="s">
        <v>3728</v>
      </c>
      <c r="C3908" s="4" t="s">
        <v>68</v>
      </c>
      <c r="D3908" s="10">
        <v>150</v>
      </c>
      <c r="E3908" s="11" t="s">
        <v>51</v>
      </c>
      <c r="F3908" s="10">
        <v>12000</v>
      </c>
      <c r="G3908" s="10">
        <v>0</v>
      </c>
      <c r="H3908" s="10">
        <f t="shared" si="60"/>
        <v>12000</v>
      </c>
      <c r="I3908" s="10"/>
      <c r="J3908" s="10"/>
      <c r="K3908" s="10"/>
      <c r="L3908" s="4" t="s">
        <v>69</v>
      </c>
      <c r="M3908" s="4">
        <v>3903</v>
      </c>
    </row>
    <row r="3909" spans="1:13" x14ac:dyDescent="0.25">
      <c r="A3909" s="4" t="s">
        <v>3726</v>
      </c>
      <c r="B3909" s="4" t="s">
        <v>3729</v>
      </c>
      <c r="C3909" s="4" t="s">
        <v>68</v>
      </c>
      <c r="D3909" s="10">
        <v>48</v>
      </c>
      <c r="E3909" s="11" t="s">
        <v>51</v>
      </c>
      <c r="F3909" s="10">
        <v>3840</v>
      </c>
      <c r="G3909" s="10">
        <v>0</v>
      </c>
      <c r="H3909" s="10">
        <f t="shared" si="60"/>
        <v>3840</v>
      </c>
      <c r="I3909" s="10"/>
      <c r="J3909" s="10"/>
      <c r="K3909" s="10"/>
      <c r="L3909" s="4" t="s">
        <v>69</v>
      </c>
      <c r="M3909" s="4">
        <v>3904</v>
      </c>
    </row>
    <row r="3910" spans="1:13" x14ac:dyDescent="0.25">
      <c r="A3910" s="4" t="s">
        <v>3726</v>
      </c>
      <c r="B3910" s="4" t="s">
        <v>3730</v>
      </c>
      <c r="C3910" s="4" t="s">
        <v>68</v>
      </c>
      <c r="D3910" s="10">
        <v>88</v>
      </c>
      <c r="E3910" s="11" t="s">
        <v>51</v>
      </c>
      <c r="F3910" s="10">
        <v>5760</v>
      </c>
      <c r="G3910" s="10">
        <v>0</v>
      </c>
      <c r="H3910" s="10">
        <f t="shared" ref="H3910:H3973" si="61">F3910-G3910</f>
        <v>5760</v>
      </c>
      <c r="I3910" s="10"/>
      <c r="J3910" s="10"/>
      <c r="K3910" s="10"/>
      <c r="L3910" s="4" t="s">
        <v>69</v>
      </c>
      <c r="M3910" s="4">
        <v>3905</v>
      </c>
    </row>
    <row r="3911" spans="1:13" x14ac:dyDescent="0.25">
      <c r="A3911" s="4" t="s">
        <v>3731</v>
      </c>
      <c r="B3911" s="4" t="s">
        <v>3022</v>
      </c>
      <c r="C3911" s="4" t="s">
        <v>68</v>
      </c>
      <c r="D3911" s="10">
        <v>16</v>
      </c>
      <c r="E3911" s="11" t="s">
        <v>51</v>
      </c>
      <c r="F3911" s="10">
        <v>1920</v>
      </c>
      <c r="G3911" s="10">
        <v>0</v>
      </c>
      <c r="H3911" s="10">
        <f t="shared" si="61"/>
        <v>1920</v>
      </c>
      <c r="I3911" s="10"/>
      <c r="J3911" s="10"/>
      <c r="K3911" s="10"/>
      <c r="L3911" s="4" t="s">
        <v>69</v>
      </c>
      <c r="M3911" s="4">
        <v>3906</v>
      </c>
    </row>
    <row r="3912" spans="1:13" x14ac:dyDescent="0.25">
      <c r="A3912" s="4" t="s">
        <v>3732</v>
      </c>
      <c r="B3912" s="4" t="s">
        <v>3733</v>
      </c>
      <c r="C3912" s="4" t="s">
        <v>68</v>
      </c>
      <c r="D3912" s="10">
        <v>24</v>
      </c>
      <c r="E3912" s="11" t="s">
        <v>51</v>
      </c>
      <c r="F3912" s="10"/>
      <c r="G3912" s="10">
        <v>0</v>
      </c>
      <c r="H3912" s="10">
        <f t="shared" si="61"/>
        <v>0</v>
      </c>
      <c r="I3912" s="10"/>
      <c r="J3912" s="10"/>
      <c r="K3912" s="10"/>
      <c r="L3912" s="4" t="s">
        <v>69</v>
      </c>
      <c r="M3912" s="4">
        <v>3907</v>
      </c>
    </row>
    <row r="3913" spans="1:13" x14ac:dyDescent="0.25">
      <c r="A3913" s="4" t="s">
        <v>3734</v>
      </c>
      <c r="B3913" s="4" t="s">
        <v>3733</v>
      </c>
      <c r="C3913" s="4" t="s">
        <v>68</v>
      </c>
      <c r="D3913" s="10">
        <v>24</v>
      </c>
      <c r="E3913" s="11" t="s">
        <v>51</v>
      </c>
      <c r="F3913" s="10">
        <v>1920</v>
      </c>
      <c r="G3913" s="10">
        <v>0</v>
      </c>
      <c r="H3913" s="10">
        <f t="shared" si="61"/>
        <v>1920</v>
      </c>
      <c r="I3913" s="10"/>
      <c r="J3913" s="10"/>
      <c r="K3913" s="10"/>
      <c r="L3913" s="4" t="s">
        <v>69</v>
      </c>
      <c r="M3913" s="4">
        <v>3908</v>
      </c>
    </row>
    <row r="3914" spans="1:13" x14ac:dyDescent="0.25">
      <c r="A3914" s="4" t="s">
        <v>3735</v>
      </c>
      <c r="B3914" s="4" t="s">
        <v>3733</v>
      </c>
      <c r="C3914" s="4" t="s">
        <v>68</v>
      </c>
      <c r="D3914" s="10"/>
      <c r="E3914" s="11" t="s">
        <v>51</v>
      </c>
      <c r="F3914" s="10"/>
      <c r="G3914" s="10">
        <v>0</v>
      </c>
      <c r="H3914" s="10">
        <f t="shared" si="61"/>
        <v>0</v>
      </c>
      <c r="I3914" s="10"/>
      <c r="J3914" s="10"/>
      <c r="K3914" s="10"/>
      <c r="L3914" s="4" t="s">
        <v>69</v>
      </c>
      <c r="M3914" s="4">
        <v>3909</v>
      </c>
    </row>
    <row r="3915" spans="1:13" x14ac:dyDescent="0.25">
      <c r="A3915" s="4" t="s">
        <v>3736</v>
      </c>
      <c r="B3915" s="4" t="s">
        <v>3727</v>
      </c>
      <c r="C3915" s="4" t="s">
        <v>68</v>
      </c>
      <c r="D3915" s="10"/>
      <c r="E3915" s="11" t="s">
        <v>51</v>
      </c>
      <c r="F3915" s="10"/>
      <c r="G3915" s="10">
        <v>0</v>
      </c>
      <c r="H3915" s="10">
        <f t="shared" si="61"/>
        <v>0</v>
      </c>
      <c r="I3915" s="10"/>
      <c r="J3915" s="10"/>
      <c r="K3915" s="10"/>
      <c r="L3915" s="4" t="s">
        <v>69</v>
      </c>
      <c r="M3915" s="4">
        <v>3910</v>
      </c>
    </row>
    <row r="3916" spans="1:13" x14ac:dyDescent="0.25">
      <c r="A3916" s="4" t="s">
        <v>3736</v>
      </c>
      <c r="B3916" s="4" t="s">
        <v>3729</v>
      </c>
      <c r="C3916" s="4" t="s">
        <v>68</v>
      </c>
      <c r="D3916" s="10"/>
      <c r="E3916" s="11" t="s">
        <v>51</v>
      </c>
      <c r="F3916" s="10"/>
      <c r="G3916" s="10">
        <v>0</v>
      </c>
      <c r="H3916" s="10">
        <f t="shared" si="61"/>
        <v>0</v>
      </c>
      <c r="I3916" s="10"/>
      <c r="J3916" s="10"/>
      <c r="K3916" s="10"/>
      <c r="L3916" s="4" t="s">
        <v>69</v>
      </c>
      <c r="M3916" s="4">
        <v>3911</v>
      </c>
    </row>
    <row r="3917" spans="1:13" x14ac:dyDescent="0.25">
      <c r="A3917" s="4" t="s">
        <v>3736</v>
      </c>
      <c r="B3917" s="4" t="s">
        <v>3730</v>
      </c>
      <c r="C3917" s="4" t="s">
        <v>68</v>
      </c>
      <c r="D3917" s="10"/>
      <c r="E3917" s="11" t="s">
        <v>51</v>
      </c>
      <c r="F3917" s="10"/>
      <c r="G3917" s="10">
        <v>0</v>
      </c>
      <c r="H3917" s="10">
        <f t="shared" si="61"/>
        <v>0</v>
      </c>
      <c r="I3917" s="10"/>
      <c r="J3917" s="10"/>
      <c r="K3917" s="10"/>
      <c r="L3917" s="4" t="s">
        <v>69</v>
      </c>
      <c r="M3917" s="4">
        <v>3912</v>
      </c>
    </row>
    <row r="3918" spans="1:13" x14ac:dyDescent="0.25">
      <c r="A3918" s="4" t="s">
        <v>3737</v>
      </c>
      <c r="B3918" s="4" t="s">
        <v>3727</v>
      </c>
      <c r="C3918" s="4" t="s">
        <v>68</v>
      </c>
      <c r="D3918" s="10"/>
      <c r="E3918" s="11" t="s">
        <v>51</v>
      </c>
      <c r="F3918" s="10"/>
      <c r="G3918" s="10">
        <v>0</v>
      </c>
      <c r="H3918" s="10">
        <f t="shared" si="61"/>
        <v>0</v>
      </c>
      <c r="I3918" s="10"/>
      <c r="J3918" s="10"/>
      <c r="K3918" s="10"/>
      <c r="L3918" s="4" t="s">
        <v>69</v>
      </c>
      <c r="M3918" s="4">
        <v>3913</v>
      </c>
    </row>
    <row r="3919" spans="1:13" x14ac:dyDescent="0.25">
      <c r="A3919" s="4" t="s">
        <v>3737</v>
      </c>
      <c r="B3919" s="4" t="s">
        <v>3729</v>
      </c>
      <c r="C3919" s="4" t="s">
        <v>68</v>
      </c>
      <c r="D3919" s="10"/>
      <c r="E3919" s="11" t="s">
        <v>51</v>
      </c>
      <c r="F3919" s="10"/>
      <c r="G3919" s="10">
        <v>0</v>
      </c>
      <c r="H3919" s="10">
        <f t="shared" si="61"/>
        <v>0</v>
      </c>
      <c r="I3919" s="10"/>
      <c r="J3919" s="10"/>
      <c r="K3919" s="10"/>
      <c r="L3919" s="4" t="s">
        <v>69</v>
      </c>
      <c r="M3919" s="4">
        <v>3914</v>
      </c>
    </row>
    <row r="3920" spans="1:13" x14ac:dyDescent="0.25">
      <c r="A3920" s="4" t="s">
        <v>3737</v>
      </c>
      <c r="B3920" s="4" t="s">
        <v>3730</v>
      </c>
      <c r="C3920" s="4" t="s">
        <v>68</v>
      </c>
      <c r="D3920" s="10">
        <v>20</v>
      </c>
      <c r="E3920" s="11" t="s">
        <v>51</v>
      </c>
      <c r="F3920" s="10"/>
      <c r="G3920" s="10">
        <v>0</v>
      </c>
      <c r="H3920" s="10">
        <f t="shared" si="61"/>
        <v>0</v>
      </c>
      <c r="I3920" s="10"/>
      <c r="J3920" s="10"/>
      <c r="K3920" s="10"/>
      <c r="L3920" s="4" t="s">
        <v>69</v>
      </c>
      <c r="M3920" s="4">
        <v>3915</v>
      </c>
    </row>
    <row r="3921" spans="1:13" x14ac:dyDescent="0.25">
      <c r="A3921" s="4" t="s">
        <v>3738</v>
      </c>
      <c r="B3921" s="4" t="s">
        <v>3739</v>
      </c>
      <c r="C3921" s="4" t="s">
        <v>68</v>
      </c>
      <c r="D3921" s="10">
        <v>20</v>
      </c>
      <c r="E3921" s="11" t="s">
        <v>51</v>
      </c>
      <c r="F3921" s="10">
        <v>1600</v>
      </c>
      <c r="G3921" s="10">
        <v>0</v>
      </c>
      <c r="H3921" s="10">
        <f t="shared" si="61"/>
        <v>1600</v>
      </c>
      <c r="I3921" s="10"/>
      <c r="J3921" s="10"/>
      <c r="K3921" s="10"/>
      <c r="L3921" s="4" t="s">
        <v>69</v>
      </c>
      <c r="M3921" s="4">
        <v>3916</v>
      </c>
    </row>
    <row r="3922" spans="1:13" x14ac:dyDescent="0.25">
      <c r="A3922" s="4" t="s">
        <v>3740</v>
      </c>
      <c r="B3922" s="4" t="s">
        <v>3741</v>
      </c>
      <c r="C3922" s="4" t="s">
        <v>68</v>
      </c>
      <c r="D3922" s="10">
        <v>10</v>
      </c>
      <c r="E3922" s="11" t="s">
        <v>51</v>
      </c>
      <c r="F3922" s="10"/>
      <c r="G3922" s="10">
        <v>0</v>
      </c>
      <c r="H3922" s="10">
        <f t="shared" si="61"/>
        <v>0</v>
      </c>
      <c r="I3922" s="10"/>
      <c r="J3922" s="10"/>
      <c r="K3922" s="10"/>
      <c r="L3922" s="4" t="s">
        <v>69</v>
      </c>
      <c r="M3922" s="4">
        <v>3917</v>
      </c>
    </row>
    <row r="3923" spans="1:13" x14ac:dyDescent="0.25">
      <c r="A3923" s="4" t="s">
        <v>3742</v>
      </c>
      <c r="B3923" s="4" t="s">
        <v>3743</v>
      </c>
      <c r="C3923" s="4" t="s">
        <v>65</v>
      </c>
      <c r="D3923" s="10">
        <v>30</v>
      </c>
      <c r="E3923" s="12" t="s">
        <v>66</v>
      </c>
      <c r="F3923" s="10">
        <v>1500</v>
      </c>
      <c r="G3923" s="10">
        <v>0</v>
      </c>
      <c r="H3923" s="10">
        <f t="shared" si="61"/>
        <v>1500</v>
      </c>
      <c r="I3923" s="10">
        <v>150</v>
      </c>
      <c r="J3923" s="10">
        <v>150</v>
      </c>
      <c r="K3923" s="10">
        <v>150</v>
      </c>
      <c r="L3923" s="4"/>
      <c r="M3923" s="4">
        <v>3918</v>
      </c>
    </row>
    <row r="3924" spans="1:13" x14ac:dyDescent="0.25">
      <c r="A3924" s="4" t="s">
        <v>3744</v>
      </c>
      <c r="B3924" s="4" t="s">
        <v>3745</v>
      </c>
      <c r="C3924" s="4" t="s">
        <v>65</v>
      </c>
      <c r="D3924" s="10">
        <v>8</v>
      </c>
      <c r="E3924" s="12" t="s">
        <v>66</v>
      </c>
      <c r="F3924" s="10">
        <v>1150</v>
      </c>
      <c r="G3924" s="10">
        <v>0</v>
      </c>
      <c r="H3924" s="10">
        <f t="shared" si="61"/>
        <v>1150</v>
      </c>
      <c r="I3924" s="10">
        <v>143.75</v>
      </c>
      <c r="J3924" s="10">
        <v>143.75</v>
      </c>
      <c r="K3924" s="10">
        <v>143.75</v>
      </c>
      <c r="L3924" s="4"/>
      <c r="M3924" s="4">
        <v>3919</v>
      </c>
    </row>
    <row r="3925" spans="1:13" x14ac:dyDescent="0.25">
      <c r="A3925" s="4" t="s">
        <v>3744</v>
      </c>
      <c r="B3925" s="4" t="s">
        <v>3746</v>
      </c>
      <c r="C3925" s="4" t="s">
        <v>65</v>
      </c>
      <c r="D3925" s="10">
        <v>4</v>
      </c>
      <c r="E3925" s="12" t="s">
        <v>66</v>
      </c>
      <c r="F3925" s="10">
        <v>350</v>
      </c>
      <c r="G3925" s="10">
        <v>0</v>
      </c>
      <c r="H3925" s="10">
        <f t="shared" si="61"/>
        <v>350</v>
      </c>
      <c r="I3925" s="10">
        <v>87.5</v>
      </c>
      <c r="J3925" s="10">
        <v>87.5</v>
      </c>
      <c r="K3925" s="10">
        <v>87.5</v>
      </c>
      <c r="L3925" s="4"/>
      <c r="M3925" s="4">
        <v>3920</v>
      </c>
    </row>
    <row r="3926" spans="1:13" x14ac:dyDescent="0.25">
      <c r="A3926" s="4" t="s">
        <v>3744</v>
      </c>
      <c r="B3926" s="4" t="s">
        <v>3747</v>
      </c>
      <c r="C3926" s="4" t="s">
        <v>68</v>
      </c>
      <c r="D3926" s="10">
        <v>8</v>
      </c>
      <c r="E3926" s="11" t="s">
        <v>51</v>
      </c>
      <c r="F3926" s="10">
        <v>1000</v>
      </c>
      <c r="G3926" s="10">
        <v>0</v>
      </c>
      <c r="H3926" s="10">
        <f t="shared" si="61"/>
        <v>1000</v>
      </c>
      <c r="I3926" s="10"/>
      <c r="J3926" s="10"/>
      <c r="K3926" s="10"/>
      <c r="L3926" s="4" t="s">
        <v>69</v>
      </c>
      <c r="M3926" s="4">
        <v>3921</v>
      </c>
    </row>
    <row r="3927" spans="1:13" x14ac:dyDescent="0.25">
      <c r="A3927" s="4" t="s">
        <v>3748</v>
      </c>
      <c r="B3927" s="4" t="s">
        <v>3749</v>
      </c>
      <c r="C3927" s="9" t="s">
        <v>50</v>
      </c>
      <c r="D3927" s="10">
        <v>13792</v>
      </c>
      <c r="E3927" s="11" t="s">
        <v>51</v>
      </c>
      <c r="F3927" s="10">
        <v>607200</v>
      </c>
      <c r="G3927" s="10">
        <v>0</v>
      </c>
      <c r="H3927" s="10">
        <f t="shared" si="61"/>
        <v>607200</v>
      </c>
      <c r="I3927" s="10"/>
      <c r="J3927" s="10"/>
      <c r="K3927" s="10"/>
      <c r="L3927" s="4" t="s">
        <v>52</v>
      </c>
      <c r="M3927" s="4">
        <v>3922</v>
      </c>
    </row>
    <row r="3928" spans="1:13" x14ac:dyDescent="0.25">
      <c r="A3928" s="4" t="s">
        <v>3750</v>
      </c>
      <c r="B3928" s="4" t="s">
        <v>3751</v>
      </c>
      <c r="C3928" s="4" t="s">
        <v>68</v>
      </c>
      <c r="D3928" s="10">
        <v>8312</v>
      </c>
      <c r="E3928" s="11" t="s">
        <v>51</v>
      </c>
      <c r="F3928" s="10">
        <v>909920</v>
      </c>
      <c r="G3928" s="10">
        <v>0</v>
      </c>
      <c r="H3928" s="10">
        <f t="shared" si="61"/>
        <v>909920</v>
      </c>
      <c r="I3928" s="10"/>
      <c r="J3928" s="10"/>
      <c r="K3928" s="10"/>
      <c r="L3928" s="4" t="s">
        <v>69</v>
      </c>
      <c r="M3928" s="4">
        <v>3923</v>
      </c>
    </row>
    <row r="3929" spans="1:13" x14ac:dyDescent="0.25">
      <c r="A3929" s="4" t="s">
        <v>3752</v>
      </c>
      <c r="B3929" s="4" t="s">
        <v>3753</v>
      </c>
      <c r="C3929" s="4" t="s">
        <v>68</v>
      </c>
      <c r="D3929" s="10">
        <v>10</v>
      </c>
      <c r="E3929" s="11" t="s">
        <v>51</v>
      </c>
      <c r="F3929" s="10"/>
      <c r="G3929" s="10">
        <v>0</v>
      </c>
      <c r="H3929" s="10">
        <f t="shared" si="61"/>
        <v>0</v>
      </c>
      <c r="I3929" s="10"/>
      <c r="J3929" s="10"/>
      <c r="K3929" s="10"/>
      <c r="L3929" s="4" t="s">
        <v>69</v>
      </c>
      <c r="M3929" s="4">
        <v>3924</v>
      </c>
    </row>
    <row r="3930" spans="1:13" x14ac:dyDescent="0.25">
      <c r="A3930" s="4" t="s">
        <v>3752</v>
      </c>
      <c r="B3930" s="4" t="s">
        <v>3754</v>
      </c>
      <c r="C3930" s="4" t="s">
        <v>68</v>
      </c>
      <c r="D3930" s="10">
        <v>10</v>
      </c>
      <c r="E3930" s="11" t="s">
        <v>51</v>
      </c>
      <c r="F3930" s="10"/>
      <c r="G3930" s="10">
        <v>0</v>
      </c>
      <c r="H3930" s="10">
        <f t="shared" si="61"/>
        <v>0</v>
      </c>
      <c r="I3930" s="10"/>
      <c r="J3930" s="10"/>
      <c r="K3930" s="10"/>
      <c r="L3930" s="4" t="s">
        <v>69</v>
      </c>
      <c r="M3930" s="4">
        <v>3925</v>
      </c>
    </row>
    <row r="3931" spans="1:13" x14ac:dyDescent="0.25">
      <c r="A3931" s="4" t="s">
        <v>3752</v>
      </c>
      <c r="B3931" s="4" t="s">
        <v>3755</v>
      </c>
      <c r="C3931" s="4" t="s">
        <v>68</v>
      </c>
      <c r="D3931" s="10">
        <v>10</v>
      </c>
      <c r="E3931" s="11" t="s">
        <v>51</v>
      </c>
      <c r="F3931" s="10"/>
      <c r="G3931" s="10">
        <v>0</v>
      </c>
      <c r="H3931" s="10">
        <f t="shared" si="61"/>
        <v>0</v>
      </c>
      <c r="I3931" s="10"/>
      <c r="J3931" s="10"/>
      <c r="K3931" s="10"/>
      <c r="L3931" s="4" t="s">
        <v>69</v>
      </c>
      <c r="M3931" s="4">
        <v>3926</v>
      </c>
    </row>
    <row r="3932" spans="1:13" x14ac:dyDescent="0.25">
      <c r="A3932" s="4" t="s">
        <v>3752</v>
      </c>
      <c r="B3932" s="4" t="s">
        <v>3756</v>
      </c>
      <c r="C3932" s="4" t="s">
        <v>68</v>
      </c>
      <c r="D3932" s="10">
        <v>57.5</v>
      </c>
      <c r="E3932" s="11" t="s">
        <v>51</v>
      </c>
      <c r="F3932" s="10"/>
      <c r="G3932" s="10">
        <v>0</v>
      </c>
      <c r="H3932" s="10">
        <f t="shared" si="61"/>
        <v>0</v>
      </c>
      <c r="I3932" s="10"/>
      <c r="J3932" s="10"/>
      <c r="K3932" s="10"/>
      <c r="L3932" s="4" t="s">
        <v>69</v>
      </c>
      <c r="M3932" s="4">
        <v>3927</v>
      </c>
    </row>
    <row r="3933" spans="1:13" x14ac:dyDescent="0.25">
      <c r="A3933" s="4" t="s">
        <v>3757</v>
      </c>
      <c r="B3933" s="4" t="s">
        <v>3758</v>
      </c>
      <c r="C3933" s="4" t="s">
        <v>65</v>
      </c>
      <c r="D3933" s="10">
        <v>10.5</v>
      </c>
      <c r="E3933" s="12" t="s">
        <v>66</v>
      </c>
      <c r="F3933" s="10">
        <v>600</v>
      </c>
      <c r="G3933" s="10">
        <v>0</v>
      </c>
      <c r="H3933" s="10">
        <f t="shared" si="61"/>
        <v>600</v>
      </c>
      <c r="I3933" s="10">
        <v>57.142857142857153</v>
      </c>
      <c r="J3933" s="10">
        <v>57.142857142857153</v>
      </c>
      <c r="K3933" s="10">
        <v>57.142857142857153</v>
      </c>
      <c r="L3933" s="4"/>
      <c r="M3933" s="4">
        <v>3928</v>
      </c>
    </row>
    <row r="3934" spans="1:13" x14ac:dyDescent="0.25">
      <c r="A3934" s="4" t="s">
        <v>3757</v>
      </c>
      <c r="B3934" s="4" t="s">
        <v>2043</v>
      </c>
      <c r="C3934" s="4" t="s">
        <v>65</v>
      </c>
      <c r="D3934" s="10">
        <v>71</v>
      </c>
      <c r="E3934" s="12" t="s">
        <v>66</v>
      </c>
      <c r="F3934" s="10">
        <v>2700</v>
      </c>
      <c r="G3934" s="10">
        <v>0</v>
      </c>
      <c r="H3934" s="10">
        <f t="shared" si="61"/>
        <v>2700</v>
      </c>
      <c r="I3934" s="10">
        <v>57.446808510638299</v>
      </c>
      <c r="J3934" s="10">
        <v>57.446808510638299</v>
      </c>
      <c r="K3934" s="10">
        <v>57.446808510638299</v>
      </c>
      <c r="L3934" s="4"/>
      <c r="M3934" s="4">
        <v>3929</v>
      </c>
    </row>
    <row r="3935" spans="1:13" x14ac:dyDescent="0.25">
      <c r="A3935" s="4" t="s">
        <v>3759</v>
      </c>
      <c r="B3935" s="4" t="s">
        <v>3760</v>
      </c>
      <c r="C3935" s="4" t="s">
        <v>68</v>
      </c>
      <c r="D3935" s="10">
        <v>129</v>
      </c>
      <c r="E3935" s="11" t="s">
        <v>51</v>
      </c>
      <c r="F3935" s="10">
        <v>2760</v>
      </c>
      <c r="G3935" s="10">
        <v>0</v>
      </c>
      <c r="H3935" s="10">
        <f t="shared" si="61"/>
        <v>2760</v>
      </c>
      <c r="I3935" s="10"/>
      <c r="J3935" s="10"/>
      <c r="K3935" s="10"/>
      <c r="L3935" s="4" t="s">
        <v>69</v>
      </c>
      <c r="M3935" s="4">
        <v>3930</v>
      </c>
    </row>
    <row r="3936" spans="1:13" x14ac:dyDescent="0.25">
      <c r="A3936" s="4" t="s">
        <v>3761</v>
      </c>
      <c r="B3936" s="4" t="s">
        <v>3762</v>
      </c>
      <c r="C3936" s="4" t="s">
        <v>65</v>
      </c>
      <c r="D3936" s="10">
        <v>65</v>
      </c>
      <c r="E3936" s="12" t="s">
        <v>66</v>
      </c>
      <c r="F3936" s="10">
        <v>7500</v>
      </c>
      <c r="G3936" s="10">
        <v>0</v>
      </c>
      <c r="H3936" s="10">
        <f t="shared" si="61"/>
        <v>7500</v>
      </c>
      <c r="I3936" s="10">
        <v>115.3846153846154</v>
      </c>
      <c r="J3936" s="10">
        <v>115.3846153846154</v>
      </c>
      <c r="K3936" s="10">
        <v>115.3846153846154</v>
      </c>
      <c r="L3936" s="4"/>
      <c r="M3936" s="4">
        <v>3931</v>
      </c>
    </row>
    <row r="3937" spans="1:13" x14ac:dyDescent="0.25">
      <c r="A3937" s="4" t="s">
        <v>3761</v>
      </c>
      <c r="B3937" s="4" t="s">
        <v>72</v>
      </c>
      <c r="C3937" s="4" t="s">
        <v>68</v>
      </c>
      <c r="D3937" s="10">
        <v>72</v>
      </c>
      <c r="E3937" s="11" t="s">
        <v>51</v>
      </c>
      <c r="F3937" s="10">
        <v>4600</v>
      </c>
      <c r="G3937" s="10">
        <v>0</v>
      </c>
      <c r="H3937" s="10">
        <f t="shared" si="61"/>
        <v>4600</v>
      </c>
      <c r="I3937" s="10"/>
      <c r="J3937" s="10"/>
      <c r="K3937" s="10"/>
      <c r="L3937" s="4" t="s">
        <v>69</v>
      </c>
      <c r="M3937" s="4">
        <v>3932</v>
      </c>
    </row>
    <row r="3938" spans="1:13" x14ac:dyDescent="0.25">
      <c r="A3938" s="4" t="s">
        <v>3763</v>
      </c>
      <c r="B3938" s="4" t="s">
        <v>3760</v>
      </c>
      <c r="C3938" s="4" t="s">
        <v>68</v>
      </c>
      <c r="D3938" s="10">
        <v>70</v>
      </c>
      <c r="E3938" s="11" t="s">
        <v>51</v>
      </c>
      <c r="F3938" s="10">
        <v>3680</v>
      </c>
      <c r="G3938" s="10">
        <v>0</v>
      </c>
      <c r="H3938" s="10">
        <f t="shared" si="61"/>
        <v>3680</v>
      </c>
      <c r="I3938" s="10"/>
      <c r="J3938" s="10"/>
      <c r="K3938" s="10"/>
      <c r="L3938" s="4" t="s">
        <v>69</v>
      </c>
      <c r="M3938" s="4">
        <v>3933</v>
      </c>
    </row>
    <row r="3939" spans="1:13" x14ac:dyDescent="0.25">
      <c r="A3939" s="4" t="s">
        <v>3764</v>
      </c>
      <c r="B3939" s="4" t="s">
        <v>3765</v>
      </c>
      <c r="C3939" s="9" t="s">
        <v>50</v>
      </c>
      <c r="D3939" s="10">
        <v>15</v>
      </c>
      <c r="E3939" s="11" t="s">
        <v>51</v>
      </c>
      <c r="F3939" s="10">
        <v>1650</v>
      </c>
      <c r="G3939" s="10">
        <v>0</v>
      </c>
      <c r="H3939" s="10">
        <f t="shared" si="61"/>
        <v>1650</v>
      </c>
      <c r="I3939" s="10"/>
      <c r="J3939" s="10"/>
      <c r="K3939" s="10"/>
      <c r="L3939" s="4" t="s">
        <v>52</v>
      </c>
      <c r="M3939" s="4">
        <v>3934</v>
      </c>
    </row>
    <row r="3940" spans="1:13" x14ac:dyDescent="0.25">
      <c r="A3940" s="4" t="s">
        <v>3764</v>
      </c>
      <c r="B3940" s="4" t="s">
        <v>3766</v>
      </c>
      <c r="C3940" s="9" t="s">
        <v>50</v>
      </c>
      <c r="D3940" s="10">
        <v>61</v>
      </c>
      <c r="E3940" s="11" t="s">
        <v>51</v>
      </c>
      <c r="F3940" s="10">
        <v>240</v>
      </c>
      <c r="G3940" s="10">
        <v>0</v>
      </c>
      <c r="H3940" s="10">
        <f t="shared" si="61"/>
        <v>240</v>
      </c>
      <c r="I3940" s="10"/>
      <c r="J3940" s="10"/>
      <c r="K3940" s="10"/>
      <c r="L3940" s="4" t="s">
        <v>52</v>
      </c>
      <c r="M3940" s="4">
        <v>3935</v>
      </c>
    </row>
    <row r="3941" spans="1:13" x14ac:dyDescent="0.25">
      <c r="A3941" s="4" t="s">
        <v>3767</v>
      </c>
      <c r="B3941" s="4" t="s">
        <v>3768</v>
      </c>
      <c r="C3941" s="4" t="s">
        <v>65</v>
      </c>
      <c r="D3941" s="10">
        <v>41</v>
      </c>
      <c r="E3941" s="12" t="s">
        <v>66</v>
      </c>
      <c r="F3941" s="10">
        <v>4550</v>
      </c>
      <c r="G3941" s="10">
        <v>0</v>
      </c>
      <c r="H3941" s="10">
        <f t="shared" si="61"/>
        <v>4550</v>
      </c>
      <c r="I3941" s="10">
        <v>110.9756097560976</v>
      </c>
      <c r="J3941" s="10">
        <v>110.9756097560976</v>
      </c>
      <c r="K3941" s="10">
        <v>110.9756097560976</v>
      </c>
      <c r="L3941" s="4"/>
      <c r="M3941" s="4">
        <v>3936</v>
      </c>
    </row>
    <row r="3942" spans="1:13" x14ac:dyDescent="0.25">
      <c r="A3942" s="4" t="s">
        <v>3767</v>
      </c>
      <c r="B3942" s="4" t="s">
        <v>248</v>
      </c>
      <c r="C3942" s="4" t="s">
        <v>68</v>
      </c>
      <c r="D3942" s="10">
        <v>24</v>
      </c>
      <c r="E3942" s="11" t="s">
        <v>51</v>
      </c>
      <c r="F3942" s="10">
        <v>2300</v>
      </c>
      <c r="G3942" s="10">
        <v>0</v>
      </c>
      <c r="H3942" s="10">
        <f t="shared" si="61"/>
        <v>2300</v>
      </c>
      <c r="I3942" s="10"/>
      <c r="J3942" s="10"/>
      <c r="K3942" s="10"/>
      <c r="L3942" s="4" t="s">
        <v>69</v>
      </c>
      <c r="M3942" s="4">
        <v>3937</v>
      </c>
    </row>
    <row r="3943" spans="1:13" x14ac:dyDescent="0.25">
      <c r="A3943" s="4" t="s">
        <v>3769</v>
      </c>
      <c r="B3943" s="4" t="s">
        <v>3770</v>
      </c>
      <c r="C3943" s="4" t="s">
        <v>65</v>
      </c>
      <c r="D3943" s="10">
        <v>12</v>
      </c>
      <c r="E3943" s="12" t="s">
        <v>66</v>
      </c>
      <c r="F3943" s="10">
        <v>1600</v>
      </c>
      <c r="G3943" s="10">
        <v>0</v>
      </c>
      <c r="H3943" s="10">
        <f t="shared" si="61"/>
        <v>1600</v>
      </c>
      <c r="I3943" s="10">
        <v>133.33333333333329</v>
      </c>
      <c r="J3943" s="10">
        <v>133.33333333333329</v>
      </c>
      <c r="K3943" s="10">
        <v>133.33333333333329</v>
      </c>
      <c r="L3943" s="4"/>
      <c r="M3943" s="4">
        <v>3938</v>
      </c>
    </row>
    <row r="3944" spans="1:13" x14ac:dyDescent="0.25">
      <c r="A3944" s="4" t="s">
        <v>3769</v>
      </c>
      <c r="B3944" s="4" t="s">
        <v>3771</v>
      </c>
      <c r="C3944" s="4" t="s">
        <v>68</v>
      </c>
      <c r="D3944" s="10">
        <v>12</v>
      </c>
      <c r="E3944" s="11" t="s">
        <v>51</v>
      </c>
      <c r="F3944" s="10">
        <v>1380</v>
      </c>
      <c r="G3944" s="10">
        <v>0</v>
      </c>
      <c r="H3944" s="10">
        <f t="shared" si="61"/>
        <v>1380</v>
      </c>
      <c r="I3944" s="10"/>
      <c r="J3944" s="10"/>
      <c r="K3944" s="10"/>
      <c r="L3944" s="4" t="s">
        <v>69</v>
      </c>
      <c r="M3944" s="4">
        <v>3939</v>
      </c>
    </row>
    <row r="3945" spans="1:13" x14ac:dyDescent="0.25">
      <c r="A3945" s="4" t="s">
        <v>3772</v>
      </c>
      <c r="B3945" s="4" t="s">
        <v>248</v>
      </c>
      <c r="C3945" s="4" t="s">
        <v>68</v>
      </c>
      <c r="D3945" s="10">
        <v>161</v>
      </c>
      <c r="E3945" s="11" t="s">
        <v>51</v>
      </c>
      <c r="F3945" s="10">
        <v>1320</v>
      </c>
      <c r="G3945" s="10">
        <v>0</v>
      </c>
      <c r="H3945" s="10">
        <f t="shared" si="61"/>
        <v>1320</v>
      </c>
      <c r="I3945" s="10"/>
      <c r="J3945" s="10"/>
      <c r="K3945" s="10"/>
      <c r="L3945" s="4" t="s">
        <v>69</v>
      </c>
      <c r="M3945" s="4">
        <v>3940</v>
      </c>
    </row>
    <row r="3946" spans="1:13" x14ac:dyDescent="0.25">
      <c r="A3946" s="4" t="s">
        <v>3773</v>
      </c>
      <c r="B3946" s="4" t="s">
        <v>3774</v>
      </c>
      <c r="C3946" s="4" t="s">
        <v>65</v>
      </c>
      <c r="D3946" s="10">
        <v>27</v>
      </c>
      <c r="E3946" s="12" t="s">
        <v>66</v>
      </c>
      <c r="F3946" s="10">
        <v>3800</v>
      </c>
      <c r="G3946" s="10">
        <v>0</v>
      </c>
      <c r="H3946" s="10">
        <f t="shared" si="61"/>
        <v>3800</v>
      </c>
      <c r="I3946" s="10">
        <v>140.7407407407407</v>
      </c>
      <c r="J3946" s="10">
        <v>140.7407407407407</v>
      </c>
      <c r="K3946" s="10">
        <v>140.7407407407407</v>
      </c>
      <c r="L3946" s="4"/>
      <c r="M3946" s="4">
        <v>3941</v>
      </c>
    </row>
    <row r="3947" spans="1:13" x14ac:dyDescent="0.25">
      <c r="A3947" s="4" t="s">
        <v>3773</v>
      </c>
      <c r="B3947" s="4" t="s">
        <v>3775</v>
      </c>
      <c r="C3947" s="4" t="s">
        <v>65</v>
      </c>
      <c r="D3947" s="10">
        <v>110</v>
      </c>
      <c r="E3947" s="12" t="s">
        <v>66</v>
      </c>
      <c r="F3947" s="10">
        <v>13000</v>
      </c>
      <c r="G3947" s="10">
        <v>0</v>
      </c>
      <c r="H3947" s="10">
        <f t="shared" si="61"/>
        <v>13000</v>
      </c>
      <c r="I3947" s="10">
        <v>118.1818181818182</v>
      </c>
      <c r="J3947" s="10">
        <v>118.1818181818182</v>
      </c>
      <c r="K3947" s="10">
        <v>118.1818181818182</v>
      </c>
      <c r="L3947" s="4"/>
      <c r="M3947" s="4">
        <v>3942</v>
      </c>
    </row>
    <row r="3948" spans="1:13" x14ac:dyDescent="0.25">
      <c r="A3948" s="4" t="s">
        <v>3773</v>
      </c>
      <c r="B3948" s="4" t="s">
        <v>3776</v>
      </c>
      <c r="C3948" s="4" t="s">
        <v>68</v>
      </c>
      <c r="D3948" s="10">
        <v>66</v>
      </c>
      <c r="E3948" s="11" t="s">
        <v>51</v>
      </c>
      <c r="F3948" s="10">
        <v>2880</v>
      </c>
      <c r="G3948" s="10">
        <v>0</v>
      </c>
      <c r="H3948" s="10">
        <f t="shared" si="61"/>
        <v>2880</v>
      </c>
      <c r="I3948" s="10"/>
      <c r="J3948" s="10"/>
      <c r="K3948" s="10"/>
      <c r="L3948" s="4" t="s">
        <v>69</v>
      </c>
      <c r="M3948" s="4">
        <v>3943</v>
      </c>
    </row>
    <row r="3949" spans="1:13" x14ac:dyDescent="0.25">
      <c r="A3949" s="4" t="s">
        <v>3777</v>
      </c>
      <c r="B3949" s="4" t="s">
        <v>3778</v>
      </c>
      <c r="C3949" s="4" t="s">
        <v>68</v>
      </c>
      <c r="D3949" s="10">
        <v>332</v>
      </c>
      <c r="E3949" s="11" t="s">
        <v>51</v>
      </c>
      <c r="F3949" s="10">
        <v>5040</v>
      </c>
      <c r="G3949" s="10">
        <v>0</v>
      </c>
      <c r="H3949" s="10">
        <f t="shared" si="61"/>
        <v>5040</v>
      </c>
      <c r="I3949" s="10"/>
      <c r="J3949" s="10"/>
      <c r="K3949" s="10"/>
      <c r="L3949" s="4" t="s">
        <v>69</v>
      </c>
      <c r="M3949" s="4">
        <v>3944</v>
      </c>
    </row>
    <row r="3950" spans="1:13" x14ac:dyDescent="0.25">
      <c r="A3950" s="4" t="s">
        <v>3779</v>
      </c>
      <c r="B3950" s="4" t="s">
        <v>3780</v>
      </c>
      <c r="C3950" s="4" t="s">
        <v>68</v>
      </c>
      <c r="D3950" s="10">
        <v>60</v>
      </c>
      <c r="E3950" s="11" t="s">
        <v>51</v>
      </c>
      <c r="F3950" s="10">
        <v>6600</v>
      </c>
      <c r="G3950" s="10">
        <v>0</v>
      </c>
      <c r="H3950" s="10">
        <f t="shared" si="61"/>
        <v>6600</v>
      </c>
      <c r="I3950" s="10"/>
      <c r="J3950" s="10"/>
      <c r="K3950" s="10"/>
      <c r="L3950" s="4" t="s">
        <v>69</v>
      </c>
      <c r="M3950" s="4">
        <v>3945</v>
      </c>
    </row>
    <row r="3951" spans="1:13" x14ac:dyDescent="0.25">
      <c r="A3951" s="4" t="s">
        <v>3779</v>
      </c>
      <c r="B3951" s="4" t="s">
        <v>3781</v>
      </c>
      <c r="C3951" s="4" t="s">
        <v>68</v>
      </c>
      <c r="D3951" s="10">
        <v>60</v>
      </c>
      <c r="E3951" s="11" t="s">
        <v>51</v>
      </c>
      <c r="F3951" s="10">
        <v>6600</v>
      </c>
      <c r="G3951" s="10">
        <v>0</v>
      </c>
      <c r="H3951" s="10">
        <f t="shared" si="61"/>
        <v>6600</v>
      </c>
      <c r="I3951" s="10"/>
      <c r="J3951" s="10"/>
      <c r="K3951" s="10"/>
      <c r="L3951" s="4" t="s">
        <v>69</v>
      </c>
      <c r="M3951" s="4">
        <v>3946</v>
      </c>
    </row>
    <row r="3952" spans="1:13" x14ac:dyDescent="0.25">
      <c r="A3952" s="4" t="s">
        <v>3779</v>
      </c>
      <c r="B3952" s="4" t="s">
        <v>3782</v>
      </c>
      <c r="C3952" s="4" t="s">
        <v>68</v>
      </c>
      <c r="D3952" s="10">
        <v>40</v>
      </c>
      <c r="E3952" s="11" t="s">
        <v>51</v>
      </c>
      <c r="F3952" s="10">
        <v>4400</v>
      </c>
      <c r="G3952" s="10">
        <v>0</v>
      </c>
      <c r="H3952" s="10">
        <f t="shared" si="61"/>
        <v>4400</v>
      </c>
      <c r="I3952" s="10"/>
      <c r="J3952" s="10"/>
      <c r="K3952" s="10"/>
      <c r="L3952" s="4" t="s">
        <v>69</v>
      </c>
      <c r="M3952" s="4">
        <v>3947</v>
      </c>
    </row>
    <row r="3953" spans="1:13" x14ac:dyDescent="0.25">
      <c r="A3953" s="4" t="s">
        <v>3779</v>
      </c>
      <c r="B3953" s="4" t="s">
        <v>3783</v>
      </c>
      <c r="C3953" s="4" t="s">
        <v>68</v>
      </c>
      <c r="D3953" s="10">
        <v>30</v>
      </c>
      <c r="E3953" s="11" t="s">
        <v>51</v>
      </c>
      <c r="F3953" s="10">
        <v>3300</v>
      </c>
      <c r="G3953" s="10">
        <v>0</v>
      </c>
      <c r="H3953" s="10">
        <f t="shared" si="61"/>
        <v>3300</v>
      </c>
      <c r="I3953" s="10"/>
      <c r="J3953" s="10"/>
      <c r="K3953" s="10"/>
      <c r="L3953" s="4" t="s">
        <v>69</v>
      </c>
      <c r="M3953" s="4">
        <v>3948</v>
      </c>
    </row>
    <row r="3954" spans="1:13" x14ac:dyDescent="0.25">
      <c r="A3954" s="4" t="s">
        <v>3779</v>
      </c>
      <c r="B3954" s="4" t="s">
        <v>3784</v>
      </c>
      <c r="C3954" s="4" t="s">
        <v>68</v>
      </c>
      <c r="D3954" s="10">
        <v>1920</v>
      </c>
      <c r="E3954" s="11" t="s">
        <v>51</v>
      </c>
      <c r="F3954" s="10">
        <v>11000</v>
      </c>
      <c r="G3954" s="10">
        <v>0</v>
      </c>
      <c r="H3954" s="10">
        <f t="shared" si="61"/>
        <v>11000</v>
      </c>
      <c r="I3954" s="10"/>
      <c r="J3954" s="10"/>
      <c r="K3954" s="10"/>
      <c r="L3954" s="4" t="s">
        <v>69</v>
      </c>
      <c r="M3954" s="4">
        <v>3949</v>
      </c>
    </row>
    <row r="3955" spans="1:13" x14ac:dyDescent="0.25">
      <c r="A3955" s="4" t="s">
        <v>3785</v>
      </c>
      <c r="B3955" s="4" t="s">
        <v>3786</v>
      </c>
      <c r="C3955" s="4" t="s">
        <v>65</v>
      </c>
      <c r="D3955" s="10">
        <v>7</v>
      </c>
      <c r="E3955" s="12" t="s">
        <v>66</v>
      </c>
      <c r="F3955" s="10">
        <v>1078.81</v>
      </c>
      <c r="G3955" s="10">
        <v>0</v>
      </c>
      <c r="H3955" s="10">
        <f t="shared" si="61"/>
        <v>1078.81</v>
      </c>
      <c r="I3955" s="10">
        <v>154.11571428571429</v>
      </c>
      <c r="J3955" s="10">
        <v>154.11571428571429</v>
      </c>
      <c r="K3955" s="10">
        <v>154.11571428571429</v>
      </c>
      <c r="L3955" s="4"/>
      <c r="M3955" s="4">
        <v>3950</v>
      </c>
    </row>
    <row r="3956" spans="1:13" x14ac:dyDescent="0.25">
      <c r="A3956" s="4" t="s">
        <v>3785</v>
      </c>
      <c r="B3956" s="4" t="s">
        <v>3787</v>
      </c>
      <c r="C3956" s="4" t="s">
        <v>65</v>
      </c>
      <c r="D3956" s="10">
        <v>36.5</v>
      </c>
      <c r="E3956" s="11" t="s">
        <v>51</v>
      </c>
      <c r="F3956" s="10"/>
      <c r="G3956" s="10">
        <v>0</v>
      </c>
      <c r="H3956" s="10">
        <f t="shared" si="61"/>
        <v>0</v>
      </c>
      <c r="I3956" s="10">
        <v>0</v>
      </c>
      <c r="J3956" s="10">
        <v>0</v>
      </c>
      <c r="K3956" s="10">
        <v>0</v>
      </c>
      <c r="L3956" s="4" t="s">
        <v>69</v>
      </c>
      <c r="M3956" s="4">
        <v>3951</v>
      </c>
    </row>
    <row r="3957" spans="1:13" x14ac:dyDescent="0.25">
      <c r="A3957" s="4" t="s">
        <v>3785</v>
      </c>
      <c r="B3957" s="4" t="s">
        <v>3788</v>
      </c>
      <c r="C3957" s="4" t="s">
        <v>65</v>
      </c>
      <c r="D3957" s="10">
        <v>108</v>
      </c>
      <c r="E3957" s="12" t="s">
        <v>66</v>
      </c>
      <c r="F3957" s="10">
        <v>16183.23</v>
      </c>
      <c r="G3957" s="10">
        <v>0</v>
      </c>
      <c r="H3957" s="10">
        <f t="shared" si="61"/>
        <v>16183.23</v>
      </c>
      <c r="I3957" s="10">
        <v>149.8447222222222</v>
      </c>
      <c r="J3957" s="10">
        <v>149.8447222222222</v>
      </c>
      <c r="K3957" s="10">
        <v>149.8447222222222</v>
      </c>
      <c r="L3957" s="4"/>
      <c r="M3957" s="4">
        <v>3952</v>
      </c>
    </row>
    <row r="3958" spans="1:13" x14ac:dyDescent="0.25">
      <c r="A3958" s="4" t="s">
        <v>3785</v>
      </c>
      <c r="B3958" s="4" t="s">
        <v>3789</v>
      </c>
      <c r="C3958" s="4" t="s">
        <v>65</v>
      </c>
      <c r="D3958" s="10"/>
      <c r="E3958" s="11" t="s">
        <v>51</v>
      </c>
      <c r="F3958" s="10"/>
      <c r="G3958" s="10">
        <v>0</v>
      </c>
      <c r="H3958" s="10">
        <f t="shared" si="61"/>
        <v>0</v>
      </c>
      <c r="I3958" s="10"/>
      <c r="J3958" s="10"/>
      <c r="K3958" s="10"/>
      <c r="L3958" s="4" t="s">
        <v>69</v>
      </c>
      <c r="M3958" s="4">
        <v>3953</v>
      </c>
    </row>
    <row r="3959" spans="1:13" x14ac:dyDescent="0.25">
      <c r="A3959" s="4" t="s">
        <v>3785</v>
      </c>
      <c r="B3959" s="4" t="s">
        <v>3790</v>
      </c>
      <c r="C3959" s="4" t="s">
        <v>65</v>
      </c>
      <c r="D3959" s="10">
        <v>137</v>
      </c>
      <c r="E3959" s="12" t="s">
        <v>66</v>
      </c>
      <c r="F3959" s="10">
        <v>20498.490000000002</v>
      </c>
      <c r="G3959" s="10">
        <v>0</v>
      </c>
      <c r="H3959" s="10">
        <f t="shared" si="61"/>
        <v>20498.490000000002</v>
      </c>
      <c r="I3959" s="10">
        <v>149.62401459854021</v>
      </c>
      <c r="J3959" s="10">
        <v>149.62401459854021</v>
      </c>
      <c r="K3959" s="10">
        <v>149.62401459854021</v>
      </c>
      <c r="L3959" s="4"/>
      <c r="M3959" s="4">
        <v>3954</v>
      </c>
    </row>
    <row r="3960" spans="1:13" x14ac:dyDescent="0.25">
      <c r="A3960" s="4" t="s">
        <v>3785</v>
      </c>
      <c r="B3960" s="4" t="s">
        <v>3791</v>
      </c>
      <c r="C3960" s="4" t="s">
        <v>65</v>
      </c>
      <c r="D3960" s="10"/>
      <c r="E3960" s="11" t="s">
        <v>51</v>
      </c>
      <c r="F3960" s="10"/>
      <c r="G3960" s="10">
        <v>0</v>
      </c>
      <c r="H3960" s="10">
        <f t="shared" si="61"/>
        <v>0</v>
      </c>
      <c r="I3960" s="10"/>
      <c r="J3960" s="10"/>
      <c r="K3960" s="10"/>
      <c r="L3960" s="4" t="s">
        <v>69</v>
      </c>
      <c r="M3960" s="4">
        <v>3955</v>
      </c>
    </row>
    <row r="3961" spans="1:13" x14ac:dyDescent="0.25">
      <c r="A3961" s="4" t="s">
        <v>3785</v>
      </c>
      <c r="B3961" s="4" t="s">
        <v>3792</v>
      </c>
      <c r="C3961" s="4" t="s">
        <v>65</v>
      </c>
      <c r="D3961" s="10">
        <v>165</v>
      </c>
      <c r="E3961" s="12" t="s">
        <v>66</v>
      </c>
      <c r="F3961" s="10">
        <v>16183.23</v>
      </c>
      <c r="G3961" s="10">
        <v>0</v>
      </c>
      <c r="H3961" s="10">
        <f t="shared" si="61"/>
        <v>16183.23</v>
      </c>
      <c r="I3961" s="10">
        <v>98.080181818181813</v>
      </c>
      <c r="J3961" s="10">
        <v>98.080181818181813</v>
      </c>
      <c r="K3961" s="10">
        <v>98.080181818181813</v>
      </c>
      <c r="L3961" s="4"/>
      <c r="M3961" s="4">
        <v>3956</v>
      </c>
    </row>
    <row r="3962" spans="1:13" x14ac:dyDescent="0.25">
      <c r="A3962" s="4" t="s">
        <v>3785</v>
      </c>
      <c r="B3962" s="4" t="s">
        <v>3793</v>
      </c>
      <c r="C3962" s="4" t="s">
        <v>65</v>
      </c>
      <c r="D3962" s="10">
        <v>913</v>
      </c>
      <c r="E3962" s="11" t="s">
        <v>51</v>
      </c>
      <c r="F3962" s="10"/>
      <c r="G3962" s="10">
        <v>0</v>
      </c>
      <c r="H3962" s="10">
        <f t="shared" si="61"/>
        <v>0</v>
      </c>
      <c r="I3962" s="10"/>
      <c r="J3962" s="10"/>
      <c r="K3962" s="10"/>
      <c r="L3962" s="4" t="s">
        <v>69</v>
      </c>
      <c r="M3962" s="4">
        <v>3957</v>
      </c>
    </row>
    <row r="3963" spans="1:13" x14ac:dyDescent="0.25">
      <c r="A3963" s="4" t="s">
        <v>3794</v>
      </c>
      <c r="B3963" s="4" t="s">
        <v>3795</v>
      </c>
      <c r="C3963" s="4" t="s">
        <v>65</v>
      </c>
      <c r="D3963" s="10">
        <v>23</v>
      </c>
      <c r="E3963" s="11" t="s">
        <v>51</v>
      </c>
      <c r="F3963" s="10"/>
      <c r="G3963" s="10">
        <v>0</v>
      </c>
      <c r="H3963" s="10">
        <f t="shared" si="61"/>
        <v>0</v>
      </c>
      <c r="I3963" s="10">
        <v>0</v>
      </c>
      <c r="J3963" s="10">
        <v>0</v>
      </c>
      <c r="K3963" s="10">
        <v>0</v>
      </c>
      <c r="L3963" s="4" t="s">
        <v>69</v>
      </c>
      <c r="M3963" s="4">
        <v>3958</v>
      </c>
    </row>
    <row r="3964" spans="1:13" x14ac:dyDescent="0.25">
      <c r="A3964" s="4" t="s">
        <v>3794</v>
      </c>
      <c r="B3964" s="4" t="s">
        <v>3796</v>
      </c>
      <c r="C3964" s="4" t="s">
        <v>65</v>
      </c>
      <c r="D3964" s="10"/>
      <c r="E3964" s="11" t="s">
        <v>51</v>
      </c>
      <c r="F3964" s="10"/>
      <c r="G3964" s="10">
        <v>0</v>
      </c>
      <c r="H3964" s="10">
        <f t="shared" si="61"/>
        <v>0</v>
      </c>
      <c r="I3964" s="10"/>
      <c r="J3964" s="10"/>
      <c r="K3964" s="10"/>
      <c r="L3964" s="4" t="s">
        <v>69</v>
      </c>
      <c r="M3964" s="4">
        <v>3959</v>
      </c>
    </row>
    <row r="3965" spans="1:13" x14ac:dyDescent="0.25">
      <c r="A3965" s="4" t="s">
        <v>3794</v>
      </c>
      <c r="B3965" s="4" t="s">
        <v>3797</v>
      </c>
      <c r="C3965" s="4" t="s">
        <v>65</v>
      </c>
      <c r="D3965" s="10">
        <v>349</v>
      </c>
      <c r="E3965" s="11" t="s">
        <v>51</v>
      </c>
      <c r="F3965" s="10"/>
      <c r="G3965" s="10">
        <v>0</v>
      </c>
      <c r="H3965" s="10">
        <f t="shared" si="61"/>
        <v>0</v>
      </c>
      <c r="I3965" s="10">
        <v>0</v>
      </c>
      <c r="J3965" s="10">
        <v>0</v>
      </c>
      <c r="K3965" s="10">
        <v>0</v>
      </c>
      <c r="L3965" s="4" t="s">
        <v>69</v>
      </c>
      <c r="M3965" s="4">
        <v>3960</v>
      </c>
    </row>
    <row r="3966" spans="1:13" x14ac:dyDescent="0.25">
      <c r="A3966" s="4" t="s">
        <v>3794</v>
      </c>
      <c r="B3966" s="4" t="s">
        <v>3798</v>
      </c>
      <c r="C3966" s="4" t="s">
        <v>65</v>
      </c>
      <c r="D3966" s="10"/>
      <c r="E3966" s="11" t="s">
        <v>51</v>
      </c>
      <c r="F3966" s="10"/>
      <c r="G3966" s="10">
        <v>0</v>
      </c>
      <c r="H3966" s="10">
        <f t="shared" si="61"/>
        <v>0</v>
      </c>
      <c r="I3966" s="10"/>
      <c r="J3966" s="10"/>
      <c r="K3966" s="10"/>
      <c r="L3966" s="4" t="s">
        <v>69</v>
      </c>
      <c r="M3966" s="4">
        <v>3961</v>
      </c>
    </row>
    <row r="3967" spans="1:13" x14ac:dyDescent="0.25">
      <c r="A3967" s="4" t="s">
        <v>3794</v>
      </c>
      <c r="B3967" s="4" t="s">
        <v>3799</v>
      </c>
      <c r="C3967" s="4" t="s">
        <v>65</v>
      </c>
      <c r="D3967" s="10">
        <v>442</v>
      </c>
      <c r="E3967" s="11" t="s">
        <v>51</v>
      </c>
      <c r="F3967" s="10"/>
      <c r="G3967" s="10">
        <v>0</v>
      </c>
      <c r="H3967" s="10">
        <f t="shared" si="61"/>
        <v>0</v>
      </c>
      <c r="I3967" s="10">
        <v>0</v>
      </c>
      <c r="J3967" s="10">
        <v>0</v>
      </c>
      <c r="K3967" s="10">
        <v>0</v>
      </c>
      <c r="L3967" s="4" t="s">
        <v>69</v>
      </c>
      <c r="M3967" s="4">
        <v>3962</v>
      </c>
    </row>
    <row r="3968" spans="1:13" x14ac:dyDescent="0.25">
      <c r="A3968" s="4" t="s">
        <v>3794</v>
      </c>
      <c r="B3968" s="4" t="s">
        <v>3800</v>
      </c>
      <c r="C3968" s="4" t="s">
        <v>65</v>
      </c>
      <c r="D3968" s="10"/>
      <c r="E3968" s="11" t="s">
        <v>51</v>
      </c>
      <c r="F3968" s="10"/>
      <c r="G3968" s="10">
        <v>0</v>
      </c>
      <c r="H3968" s="10">
        <f t="shared" si="61"/>
        <v>0</v>
      </c>
      <c r="I3968" s="10"/>
      <c r="J3968" s="10"/>
      <c r="K3968" s="10"/>
      <c r="L3968" s="4" t="s">
        <v>69</v>
      </c>
      <c r="M3968" s="4">
        <v>3963</v>
      </c>
    </row>
    <row r="3969" spans="1:13" x14ac:dyDescent="0.25">
      <c r="A3969" s="4" t="s">
        <v>3794</v>
      </c>
      <c r="B3969" s="4" t="s">
        <v>3801</v>
      </c>
      <c r="C3969" s="4" t="s">
        <v>65</v>
      </c>
      <c r="D3969" s="10">
        <v>349</v>
      </c>
      <c r="E3969" s="11" t="s">
        <v>51</v>
      </c>
      <c r="F3969" s="10"/>
      <c r="G3969" s="10">
        <v>0</v>
      </c>
      <c r="H3969" s="10">
        <f t="shared" si="61"/>
        <v>0</v>
      </c>
      <c r="I3969" s="10">
        <v>0</v>
      </c>
      <c r="J3969" s="10">
        <v>0</v>
      </c>
      <c r="K3969" s="10">
        <v>0</v>
      </c>
      <c r="L3969" s="4" t="s">
        <v>69</v>
      </c>
      <c r="M3969" s="4">
        <v>3964</v>
      </c>
    </row>
    <row r="3970" spans="1:13" x14ac:dyDescent="0.25">
      <c r="A3970" s="4" t="s">
        <v>3794</v>
      </c>
      <c r="B3970" s="4" t="s">
        <v>3802</v>
      </c>
      <c r="C3970" s="4" t="s">
        <v>65</v>
      </c>
      <c r="D3970" s="10"/>
      <c r="E3970" s="11" t="s">
        <v>51</v>
      </c>
      <c r="F3970" s="10"/>
      <c r="G3970" s="10">
        <v>0</v>
      </c>
      <c r="H3970" s="10">
        <f t="shared" si="61"/>
        <v>0</v>
      </c>
      <c r="I3970" s="10"/>
      <c r="J3970" s="10"/>
      <c r="K3970" s="10"/>
      <c r="L3970" s="4" t="s">
        <v>69</v>
      </c>
      <c r="M3970" s="4">
        <v>3965</v>
      </c>
    </row>
    <row r="3971" spans="1:13" x14ac:dyDescent="0.25">
      <c r="A3971" s="4" t="s">
        <v>3794</v>
      </c>
      <c r="B3971" s="4" t="s">
        <v>3803</v>
      </c>
      <c r="C3971" s="4" t="s">
        <v>65</v>
      </c>
      <c r="D3971" s="10"/>
      <c r="E3971" s="11" t="s">
        <v>51</v>
      </c>
      <c r="F3971" s="10"/>
      <c r="G3971" s="10">
        <v>0</v>
      </c>
      <c r="H3971" s="10">
        <f t="shared" si="61"/>
        <v>0</v>
      </c>
      <c r="I3971" s="10"/>
      <c r="J3971" s="10"/>
      <c r="K3971" s="10"/>
      <c r="L3971" s="4" t="s">
        <v>69</v>
      </c>
      <c r="M3971" s="4">
        <v>3966</v>
      </c>
    </row>
    <row r="3972" spans="1:13" x14ac:dyDescent="0.25">
      <c r="A3972" s="4" t="s">
        <v>3794</v>
      </c>
      <c r="B3972" s="4" t="s">
        <v>3804</v>
      </c>
      <c r="C3972" s="4" t="s">
        <v>65</v>
      </c>
      <c r="D3972" s="10"/>
      <c r="E3972" s="11" t="s">
        <v>51</v>
      </c>
      <c r="F3972" s="10"/>
      <c r="G3972" s="10">
        <v>0</v>
      </c>
      <c r="H3972" s="10">
        <f t="shared" si="61"/>
        <v>0</v>
      </c>
      <c r="I3972" s="10"/>
      <c r="J3972" s="10"/>
      <c r="K3972" s="10"/>
      <c r="L3972" s="4" t="s">
        <v>69</v>
      </c>
      <c r="M3972" s="4">
        <v>3967</v>
      </c>
    </row>
    <row r="3973" spans="1:13" x14ac:dyDescent="0.25">
      <c r="A3973" s="4" t="s">
        <v>3794</v>
      </c>
      <c r="B3973" s="4" t="s">
        <v>3805</v>
      </c>
      <c r="C3973" s="4" t="s">
        <v>65</v>
      </c>
      <c r="D3973" s="10"/>
      <c r="E3973" s="11" t="s">
        <v>51</v>
      </c>
      <c r="F3973" s="10"/>
      <c r="G3973" s="10">
        <v>0</v>
      </c>
      <c r="H3973" s="10">
        <f t="shared" si="61"/>
        <v>0</v>
      </c>
      <c r="I3973" s="10"/>
      <c r="J3973" s="10"/>
      <c r="K3973" s="10"/>
      <c r="L3973" s="4" t="s">
        <v>69</v>
      </c>
      <c r="M3973" s="4">
        <v>3968</v>
      </c>
    </row>
    <row r="3974" spans="1:13" x14ac:dyDescent="0.25">
      <c r="A3974" s="4" t="s">
        <v>3794</v>
      </c>
      <c r="B3974" s="4" t="s">
        <v>3806</v>
      </c>
      <c r="C3974" s="4" t="s">
        <v>65</v>
      </c>
      <c r="D3974" s="10"/>
      <c r="E3974" s="11" t="s">
        <v>51</v>
      </c>
      <c r="F3974" s="10"/>
      <c r="G3974" s="10">
        <v>0</v>
      </c>
      <c r="H3974" s="10">
        <f t="shared" ref="H3974:H4037" si="62">F3974-G3974</f>
        <v>0</v>
      </c>
      <c r="I3974" s="10"/>
      <c r="J3974" s="10"/>
      <c r="K3974" s="10"/>
      <c r="L3974" s="4" t="s">
        <v>69</v>
      </c>
      <c r="M3974" s="4">
        <v>3969</v>
      </c>
    </row>
    <row r="3975" spans="1:13" x14ac:dyDescent="0.25">
      <c r="A3975" s="4" t="s">
        <v>3794</v>
      </c>
      <c r="B3975" s="4" t="s">
        <v>3807</v>
      </c>
      <c r="C3975" s="4" t="s">
        <v>65</v>
      </c>
      <c r="D3975" s="10"/>
      <c r="E3975" s="11" t="s">
        <v>51</v>
      </c>
      <c r="F3975" s="10"/>
      <c r="G3975" s="10">
        <v>0</v>
      </c>
      <c r="H3975" s="10">
        <f t="shared" si="62"/>
        <v>0</v>
      </c>
      <c r="I3975" s="10"/>
      <c r="J3975" s="10"/>
      <c r="K3975" s="10"/>
      <c r="L3975" s="4" t="s">
        <v>69</v>
      </c>
      <c r="M3975" s="4">
        <v>3970</v>
      </c>
    </row>
    <row r="3976" spans="1:13" x14ac:dyDescent="0.25">
      <c r="A3976" s="4" t="s">
        <v>3794</v>
      </c>
      <c r="B3976" s="4" t="s">
        <v>3808</v>
      </c>
      <c r="C3976" s="4" t="s">
        <v>65</v>
      </c>
      <c r="D3976" s="10"/>
      <c r="E3976" s="11" t="s">
        <v>51</v>
      </c>
      <c r="F3976" s="10"/>
      <c r="G3976" s="10">
        <v>0</v>
      </c>
      <c r="H3976" s="10">
        <f t="shared" si="62"/>
        <v>0</v>
      </c>
      <c r="I3976" s="10"/>
      <c r="J3976" s="10"/>
      <c r="K3976" s="10"/>
      <c r="L3976" s="4" t="s">
        <v>69</v>
      </c>
      <c r="M3976" s="4">
        <v>3971</v>
      </c>
    </row>
    <row r="3977" spans="1:13" x14ac:dyDescent="0.25">
      <c r="A3977" s="4" t="s">
        <v>3794</v>
      </c>
      <c r="B3977" s="4" t="s">
        <v>3809</v>
      </c>
      <c r="C3977" s="4" t="s">
        <v>65</v>
      </c>
      <c r="D3977" s="10"/>
      <c r="E3977" s="11" t="s">
        <v>51</v>
      </c>
      <c r="F3977" s="10"/>
      <c r="G3977" s="10">
        <v>0</v>
      </c>
      <c r="H3977" s="10">
        <f t="shared" si="62"/>
        <v>0</v>
      </c>
      <c r="I3977" s="10"/>
      <c r="J3977" s="10"/>
      <c r="K3977" s="10"/>
      <c r="L3977" s="4" t="s">
        <v>69</v>
      </c>
      <c r="M3977" s="4">
        <v>3972</v>
      </c>
    </row>
    <row r="3978" spans="1:13" x14ac:dyDescent="0.25">
      <c r="A3978" s="4" t="s">
        <v>3794</v>
      </c>
      <c r="B3978" s="4" t="s">
        <v>3810</v>
      </c>
      <c r="C3978" s="4" t="s">
        <v>65</v>
      </c>
      <c r="D3978" s="10"/>
      <c r="E3978" s="11" t="s">
        <v>51</v>
      </c>
      <c r="F3978" s="10"/>
      <c r="G3978" s="10">
        <v>0</v>
      </c>
      <c r="H3978" s="10">
        <f t="shared" si="62"/>
        <v>0</v>
      </c>
      <c r="I3978" s="10"/>
      <c r="J3978" s="10"/>
      <c r="K3978" s="10"/>
      <c r="L3978" s="4" t="s">
        <v>69</v>
      </c>
      <c r="M3978" s="4">
        <v>3973</v>
      </c>
    </row>
    <row r="3979" spans="1:13" x14ac:dyDescent="0.25">
      <c r="A3979" s="4" t="s">
        <v>3811</v>
      </c>
      <c r="B3979" s="4" t="s">
        <v>3812</v>
      </c>
      <c r="C3979" s="9" t="s">
        <v>50</v>
      </c>
      <c r="D3979" s="10">
        <v>10</v>
      </c>
      <c r="E3979" s="11" t="s">
        <v>51</v>
      </c>
      <c r="F3979" s="10"/>
      <c r="G3979" s="10">
        <v>0</v>
      </c>
      <c r="H3979" s="10">
        <f t="shared" si="62"/>
        <v>0</v>
      </c>
      <c r="I3979" s="10"/>
      <c r="J3979" s="10"/>
      <c r="K3979" s="10"/>
      <c r="L3979" s="4" t="s">
        <v>52</v>
      </c>
      <c r="M3979" s="4">
        <v>3974</v>
      </c>
    </row>
    <row r="3980" spans="1:13" x14ac:dyDescent="0.25">
      <c r="A3980" s="4" t="s">
        <v>3813</v>
      </c>
      <c r="B3980" s="4" t="s">
        <v>3814</v>
      </c>
      <c r="C3980" s="4" t="s">
        <v>65</v>
      </c>
      <c r="D3980" s="10">
        <v>26</v>
      </c>
      <c r="E3980" s="12" t="s">
        <v>66</v>
      </c>
      <c r="F3980" s="10">
        <v>1500</v>
      </c>
      <c r="G3980" s="10">
        <v>0</v>
      </c>
      <c r="H3980" s="10">
        <f t="shared" si="62"/>
        <v>1500</v>
      </c>
      <c r="I3980" s="10">
        <v>150</v>
      </c>
      <c r="J3980" s="10">
        <v>150</v>
      </c>
      <c r="K3980" s="10">
        <v>150</v>
      </c>
      <c r="L3980" s="4"/>
      <c r="M3980" s="4">
        <v>3975</v>
      </c>
    </row>
    <row r="3981" spans="1:13" x14ac:dyDescent="0.25">
      <c r="A3981" s="4" t="s">
        <v>3815</v>
      </c>
      <c r="B3981" s="4" t="s">
        <v>3816</v>
      </c>
      <c r="C3981" s="4" t="s">
        <v>68</v>
      </c>
      <c r="D3981" s="10">
        <v>99</v>
      </c>
      <c r="E3981" s="11" t="s">
        <v>51</v>
      </c>
      <c r="F3981" s="10">
        <v>1600</v>
      </c>
      <c r="G3981" s="10">
        <v>0</v>
      </c>
      <c r="H3981" s="10">
        <f t="shared" si="62"/>
        <v>1600</v>
      </c>
      <c r="I3981" s="10"/>
      <c r="J3981" s="10"/>
      <c r="K3981" s="10"/>
      <c r="L3981" s="4" t="s">
        <v>69</v>
      </c>
      <c r="M3981" s="4">
        <v>3976</v>
      </c>
    </row>
    <row r="3982" spans="1:13" x14ac:dyDescent="0.25">
      <c r="A3982" s="4" t="s">
        <v>3817</v>
      </c>
      <c r="B3982" s="4" t="s">
        <v>3818</v>
      </c>
      <c r="C3982" s="4" t="s">
        <v>65</v>
      </c>
      <c r="D3982" s="10">
        <v>28</v>
      </c>
      <c r="E3982" s="12" t="s">
        <v>66</v>
      </c>
      <c r="F3982" s="10">
        <v>3500</v>
      </c>
      <c r="G3982" s="10">
        <v>0</v>
      </c>
      <c r="H3982" s="10">
        <f t="shared" si="62"/>
        <v>3500</v>
      </c>
      <c r="I3982" s="10">
        <v>125</v>
      </c>
      <c r="J3982" s="10">
        <v>125</v>
      </c>
      <c r="K3982" s="10">
        <v>125</v>
      </c>
      <c r="L3982" s="4"/>
      <c r="M3982" s="4">
        <v>3977</v>
      </c>
    </row>
    <row r="3983" spans="1:13" x14ac:dyDescent="0.25">
      <c r="A3983" s="4" t="s">
        <v>3817</v>
      </c>
      <c r="B3983" s="4" t="s">
        <v>3819</v>
      </c>
      <c r="C3983" s="4" t="s">
        <v>65</v>
      </c>
      <c r="D3983" s="10">
        <v>95</v>
      </c>
      <c r="E3983" s="12" t="s">
        <v>66</v>
      </c>
      <c r="F3983" s="10">
        <v>6815</v>
      </c>
      <c r="G3983" s="10">
        <v>0</v>
      </c>
      <c r="H3983" s="10">
        <f t="shared" si="62"/>
        <v>6815</v>
      </c>
      <c r="I3983" s="10">
        <v>123.90909090909091</v>
      </c>
      <c r="J3983" s="10">
        <v>123.90909090909091</v>
      </c>
      <c r="K3983" s="10">
        <v>123.90909090909091</v>
      </c>
      <c r="L3983" s="4"/>
      <c r="M3983" s="4">
        <v>3978</v>
      </c>
    </row>
    <row r="3984" spans="1:13" x14ac:dyDescent="0.25">
      <c r="A3984" s="4" t="s">
        <v>3820</v>
      </c>
      <c r="B3984" s="4" t="s">
        <v>3821</v>
      </c>
      <c r="C3984" s="4" t="s">
        <v>68</v>
      </c>
      <c r="D3984" s="10">
        <v>62</v>
      </c>
      <c r="E3984" s="11" t="s">
        <v>51</v>
      </c>
      <c r="F3984" s="10">
        <v>4000</v>
      </c>
      <c r="G3984" s="10">
        <v>0</v>
      </c>
      <c r="H3984" s="10">
        <f t="shared" si="62"/>
        <v>4000</v>
      </c>
      <c r="I3984" s="10"/>
      <c r="J3984" s="10"/>
      <c r="K3984" s="10"/>
      <c r="L3984" s="4" t="s">
        <v>69</v>
      </c>
      <c r="M3984" s="4">
        <v>3979</v>
      </c>
    </row>
    <row r="3985" spans="1:13" x14ac:dyDescent="0.25">
      <c r="A3985" s="4" t="s">
        <v>3822</v>
      </c>
      <c r="B3985" s="4" t="s">
        <v>3823</v>
      </c>
      <c r="C3985" s="4" t="s">
        <v>65</v>
      </c>
      <c r="D3985" s="10">
        <v>58</v>
      </c>
      <c r="E3985" s="12" t="s">
        <v>66</v>
      </c>
      <c r="F3985" s="10">
        <v>2600</v>
      </c>
      <c r="G3985" s="10">
        <v>0</v>
      </c>
      <c r="H3985" s="10">
        <f t="shared" si="62"/>
        <v>2600</v>
      </c>
      <c r="I3985" s="10">
        <v>118.1818181818182</v>
      </c>
      <c r="J3985" s="10">
        <v>118.1818181818182</v>
      </c>
      <c r="K3985" s="10">
        <v>118.1818181818182</v>
      </c>
      <c r="L3985" s="4"/>
      <c r="M3985" s="4">
        <v>3980</v>
      </c>
    </row>
    <row r="3986" spans="1:13" x14ac:dyDescent="0.25">
      <c r="A3986" s="4" t="s">
        <v>3824</v>
      </c>
      <c r="B3986" s="4" t="s">
        <v>3825</v>
      </c>
      <c r="C3986" s="4" t="s">
        <v>65</v>
      </c>
      <c r="D3986" s="10">
        <v>24</v>
      </c>
      <c r="E3986" s="12" t="s">
        <v>66</v>
      </c>
      <c r="F3986" s="10">
        <v>3300</v>
      </c>
      <c r="G3986" s="10">
        <v>0</v>
      </c>
      <c r="H3986" s="10">
        <f t="shared" si="62"/>
        <v>3300</v>
      </c>
      <c r="I3986" s="10">
        <v>137.5</v>
      </c>
      <c r="J3986" s="10">
        <v>137.5</v>
      </c>
      <c r="K3986" s="10">
        <v>137.5</v>
      </c>
      <c r="L3986" s="4"/>
      <c r="M3986" s="4">
        <v>3981</v>
      </c>
    </row>
    <row r="3987" spans="1:13" x14ac:dyDescent="0.25">
      <c r="A3987" s="4" t="s">
        <v>3824</v>
      </c>
      <c r="B3987" s="4" t="s">
        <v>3826</v>
      </c>
      <c r="C3987" s="4" t="s">
        <v>68</v>
      </c>
      <c r="D3987" s="10">
        <v>8.5</v>
      </c>
      <c r="E3987" s="11" t="s">
        <v>51</v>
      </c>
      <c r="F3987" s="10">
        <v>1500</v>
      </c>
      <c r="G3987" s="10">
        <v>0</v>
      </c>
      <c r="H3987" s="10">
        <f t="shared" si="62"/>
        <v>1500</v>
      </c>
      <c r="I3987" s="10"/>
      <c r="J3987" s="10"/>
      <c r="K3987" s="10"/>
      <c r="L3987" s="4" t="s">
        <v>69</v>
      </c>
      <c r="M3987" s="4">
        <v>3982</v>
      </c>
    </row>
    <row r="3988" spans="1:13" x14ac:dyDescent="0.25">
      <c r="A3988" s="4" t="s">
        <v>3827</v>
      </c>
      <c r="B3988" s="4" t="s">
        <v>3828</v>
      </c>
      <c r="C3988" s="4" t="s">
        <v>65</v>
      </c>
      <c r="D3988" s="10">
        <v>27.5</v>
      </c>
      <c r="E3988" s="12" t="s">
        <v>66</v>
      </c>
      <c r="F3988" s="10">
        <v>1050</v>
      </c>
      <c r="G3988" s="10">
        <v>0</v>
      </c>
      <c r="H3988" s="10">
        <f t="shared" si="62"/>
        <v>1050</v>
      </c>
      <c r="I3988" s="10">
        <v>123.5294117647059</v>
      </c>
      <c r="J3988" s="10">
        <v>123.5294117647059</v>
      </c>
      <c r="K3988" s="10">
        <v>123.5294117647059</v>
      </c>
      <c r="L3988" s="4"/>
      <c r="M3988" s="4">
        <v>3983</v>
      </c>
    </row>
    <row r="3989" spans="1:13" x14ac:dyDescent="0.25">
      <c r="A3989" s="4" t="s">
        <v>3829</v>
      </c>
      <c r="B3989" s="4" t="s">
        <v>3830</v>
      </c>
      <c r="C3989" s="4" t="s">
        <v>65</v>
      </c>
      <c r="D3989" s="10">
        <v>87</v>
      </c>
      <c r="E3989" s="12" t="s">
        <v>66</v>
      </c>
      <c r="F3989" s="10">
        <v>2350</v>
      </c>
      <c r="G3989" s="10">
        <v>0</v>
      </c>
      <c r="H3989" s="10">
        <f t="shared" si="62"/>
        <v>2350</v>
      </c>
      <c r="I3989" s="10">
        <v>123.68421052631579</v>
      </c>
      <c r="J3989" s="10">
        <v>123.68421052631579</v>
      </c>
      <c r="K3989" s="10">
        <v>123.68421052631579</v>
      </c>
      <c r="L3989" s="4"/>
      <c r="M3989" s="4">
        <v>3984</v>
      </c>
    </row>
    <row r="3990" spans="1:13" x14ac:dyDescent="0.25">
      <c r="A3990" s="4" t="s">
        <v>3831</v>
      </c>
      <c r="B3990" s="4" t="s">
        <v>3832</v>
      </c>
      <c r="C3990" s="4" t="s">
        <v>68</v>
      </c>
      <c r="D3990" s="10">
        <v>68</v>
      </c>
      <c r="E3990" s="11" t="s">
        <v>51</v>
      </c>
      <c r="F3990" s="10">
        <v>7820</v>
      </c>
      <c r="G3990" s="10">
        <v>0</v>
      </c>
      <c r="H3990" s="10">
        <f t="shared" si="62"/>
        <v>7820</v>
      </c>
      <c r="I3990" s="10"/>
      <c r="J3990" s="10"/>
      <c r="K3990" s="10"/>
      <c r="L3990" s="4" t="s">
        <v>69</v>
      </c>
      <c r="M3990" s="4">
        <v>3985</v>
      </c>
    </row>
    <row r="3991" spans="1:13" x14ac:dyDescent="0.25">
      <c r="A3991" s="4" t="s">
        <v>3831</v>
      </c>
      <c r="B3991" s="4" t="s">
        <v>3833</v>
      </c>
      <c r="C3991" s="4" t="s">
        <v>68</v>
      </c>
      <c r="D3991" s="10">
        <v>68</v>
      </c>
      <c r="E3991" s="11" t="s">
        <v>51</v>
      </c>
      <c r="F3991" s="10"/>
      <c r="G3991" s="10">
        <v>0</v>
      </c>
      <c r="H3991" s="10">
        <f t="shared" si="62"/>
        <v>0</v>
      </c>
      <c r="I3991" s="10"/>
      <c r="J3991" s="10"/>
      <c r="K3991" s="10"/>
      <c r="L3991" s="4" t="s">
        <v>69</v>
      </c>
      <c r="M3991" s="4">
        <v>3986</v>
      </c>
    </row>
    <row r="3992" spans="1:13" x14ac:dyDescent="0.25">
      <c r="A3992" s="4" t="s">
        <v>3834</v>
      </c>
      <c r="B3992" s="4" t="s">
        <v>3835</v>
      </c>
      <c r="C3992" s="4" t="s">
        <v>65</v>
      </c>
      <c r="D3992" s="10">
        <v>15</v>
      </c>
      <c r="E3992" s="12" t="s">
        <v>66</v>
      </c>
      <c r="F3992" s="10">
        <v>1800</v>
      </c>
      <c r="G3992" s="10">
        <v>0</v>
      </c>
      <c r="H3992" s="10">
        <f t="shared" si="62"/>
        <v>1800</v>
      </c>
      <c r="I3992" s="10">
        <v>120</v>
      </c>
      <c r="J3992" s="10">
        <v>120</v>
      </c>
      <c r="K3992" s="10">
        <v>120</v>
      </c>
      <c r="L3992" s="4"/>
      <c r="M3992" s="4">
        <v>3987</v>
      </c>
    </row>
    <row r="3993" spans="1:13" x14ac:dyDescent="0.25">
      <c r="A3993" s="4" t="s">
        <v>3834</v>
      </c>
      <c r="B3993" s="4" t="s">
        <v>3836</v>
      </c>
      <c r="C3993" s="4" t="s">
        <v>65</v>
      </c>
      <c r="D3993" s="10">
        <v>47</v>
      </c>
      <c r="E3993" s="12" t="s">
        <v>66</v>
      </c>
      <c r="F3993" s="10">
        <v>4700</v>
      </c>
      <c r="G3993" s="10">
        <v>0</v>
      </c>
      <c r="H3993" s="10">
        <f t="shared" si="62"/>
        <v>4700</v>
      </c>
      <c r="I3993" s="10">
        <v>100</v>
      </c>
      <c r="J3993" s="10">
        <v>100</v>
      </c>
      <c r="K3993" s="10">
        <v>100</v>
      </c>
      <c r="L3993" s="4"/>
      <c r="M3993" s="4">
        <v>3988</v>
      </c>
    </row>
    <row r="3994" spans="1:13" x14ac:dyDescent="0.25">
      <c r="A3994" s="4" t="s">
        <v>3834</v>
      </c>
      <c r="B3994" s="4" t="s">
        <v>3837</v>
      </c>
      <c r="C3994" s="4" t="s">
        <v>68</v>
      </c>
      <c r="D3994" s="10">
        <v>71</v>
      </c>
      <c r="E3994" s="11" t="s">
        <v>51</v>
      </c>
      <c r="F3994" s="10">
        <v>600</v>
      </c>
      <c r="G3994" s="10">
        <v>0</v>
      </c>
      <c r="H3994" s="10">
        <f t="shared" si="62"/>
        <v>600</v>
      </c>
      <c r="I3994" s="10"/>
      <c r="J3994" s="10"/>
      <c r="K3994" s="10"/>
      <c r="L3994" s="4" t="s">
        <v>69</v>
      </c>
      <c r="M3994" s="4">
        <v>3989</v>
      </c>
    </row>
    <row r="3995" spans="1:13" x14ac:dyDescent="0.25">
      <c r="A3995" s="4" t="s">
        <v>3838</v>
      </c>
      <c r="B3995" s="4" t="s">
        <v>2461</v>
      </c>
      <c r="C3995" s="4" t="s">
        <v>65</v>
      </c>
      <c r="D3995" s="10">
        <v>27</v>
      </c>
      <c r="E3995" s="12" t="s">
        <v>66</v>
      </c>
      <c r="F3995" s="10">
        <v>2200</v>
      </c>
      <c r="G3995" s="10">
        <v>0</v>
      </c>
      <c r="H3995" s="10">
        <f t="shared" si="62"/>
        <v>2200</v>
      </c>
      <c r="I3995" s="10">
        <v>81.481481481481481</v>
      </c>
      <c r="J3995" s="10">
        <v>81.481481481481481</v>
      </c>
      <c r="K3995" s="10">
        <v>81.481481481481481</v>
      </c>
      <c r="L3995" s="4"/>
      <c r="M3995" s="4">
        <v>3990</v>
      </c>
    </row>
    <row r="3996" spans="1:13" x14ac:dyDescent="0.25">
      <c r="A3996" s="4" t="s">
        <v>3838</v>
      </c>
      <c r="B3996" s="4" t="s">
        <v>3839</v>
      </c>
      <c r="C3996" s="4" t="s">
        <v>65</v>
      </c>
      <c r="D3996" s="10">
        <v>4</v>
      </c>
      <c r="E3996" s="12" t="s">
        <v>66</v>
      </c>
      <c r="F3996" s="10">
        <v>550</v>
      </c>
      <c r="G3996" s="10">
        <v>0</v>
      </c>
      <c r="H3996" s="10">
        <f t="shared" si="62"/>
        <v>550</v>
      </c>
      <c r="I3996" s="10">
        <v>137.5</v>
      </c>
      <c r="J3996" s="10">
        <v>137.5</v>
      </c>
      <c r="K3996" s="10">
        <v>137.5</v>
      </c>
      <c r="L3996" s="4"/>
      <c r="M3996" s="4">
        <v>3991</v>
      </c>
    </row>
    <row r="3997" spans="1:13" x14ac:dyDescent="0.25">
      <c r="A3997" s="4" t="s">
        <v>3838</v>
      </c>
      <c r="B3997" s="4" t="s">
        <v>3840</v>
      </c>
      <c r="C3997" s="4" t="s">
        <v>68</v>
      </c>
      <c r="D3997" s="10">
        <v>2994</v>
      </c>
      <c r="E3997" s="11" t="s">
        <v>51</v>
      </c>
      <c r="F3997" s="10">
        <v>3740</v>
      </c>
      <c r="G3997" s="10">
        <v>0</v>
      </c>
      <c r="H3997" s="10">
        <f t="shared" si="62"/>
        <v>3740</v>
      </c>
      <c r="I3997" s="10"/>
      <c r="J3997" s="10"/>
      <c r="K3997" s="10"/>
      <c r="L3997" s="4" t="s">
        <v>69</v>
      </c>
      <c r="M3997" s="4">
        <v>3992</v>
      </c>
    </row>
    <row r="3998" spans="1:13" x14ac:dyDescent="0.25">
      <c r="A3998" s="4" t="s">
        <v>3841</v>
      </c>
      <c r="B3998" s="4" t="s">
        <v>3842</v>
      </c>
      <c r="C3998" s="4" t="s">
        <v>68</v>
      </c>
      <c r="D3998" s="10">
        <v>500</v>
      </c>
      <c r="E3998" s="11" t="s">
        <v>51</v>
      </c>
      <c r="F3998" s="10">
        <v>48000</v>
      </c>
      <c r="G3998" s="10">
        <v>0</v>
      </c>
      <c r="H3998" s="10">
        <f t="shared" si="62"/>
        <v>48000</v>
      </c>
      <c r="I3998" s="10"/>
      <c r="J3998" s="10"/>
      <c r="K3998" s="10"/>
      <c r="L3998" s="4" t="s">
        <v>69</v>
      </c>
      <c r="M3998" s="4">
        <v>3993</v>
      </c>
    </row>
    <row r="3999" spans="1:13" x14ac:dyDescent="0.25">
      <c r="A3999" s="4" t="s">
        <v>3841</v>
      </c>
      <c r="B3999" s="4" t="s">
        <v>3843</v>
      </c>
      <c r="C3999" s="4" t="s">
        <v>68</v>
      </c>
      <c r="D3999" s="10">
        <v>450</v>
      </c>
      <c r="E3999" s="11" t="s">
        <v>51</v>
      </c>
      <c r="F3999" s="10">
        <v>29750</v>
      </c>
      <c r="G3999" s="10">
        <v>0</v>
      </c>
      <c r="H3999" s="10">
        <f t="shared" si="62"/>
        <v>29750</v>
      </c>
      <c r="I3999" s="10"/>
      <c r="J3999" s="10"/>
      <c r="K3999" s="10"/>
      <c r="L3999" s="4" t="s">
        <v>69</v>
      </c>
      <c r="M3999" s="4">
        <v>3994</v>
      </c>
    </row>
    <row r="4000" spans="1:13" x14ac:dyDescent="0.25">
      <c r="A4000" s="4" t="s">
        <v>3841</v>
      </c>
      <c r="B4000" s="4" t="s">
        <v>3844</v>
      </c>
      <c r="C4000" s="4" t="s">
        <v>68</v>
      </c>
      <c r="D4000" s="10"/>
      <c r="E4000" s="11" t="s">
        <v>51</v>
      </c>
      <c r="F4000" s="10">
        <v>12000</v>
      </c>
      <c r="G4000" s="10">
        <v>0</v>
      </c>
      <c r="H4000" s="10">
        <f t="shared" si="62"/>
        <v>12000</v>
      </c>
      <c r="I4000" s="10"/>
      <c r="J4000" s="10"/>
      <c r="K4000" s="10"/>
      <c r="L4000" s="4" t="s">
        <v>69</v>
      </c>
      <c r="M4000" s="4">
        <v>3995</v>
      </c>
    </row>
    <row r="4001" spans="1:13" x14ac:dyDescent="0.25">
      <c r="A4001" s="4" t="s">
        <v>3841</v>
      </c>
      <c r="B4001" s="4" t="s">
        <v>3845</v>
      </c>
      <c r="C4001" s="4" t="s">
        <v>68</v>
      </c>
      <c r="D4001" s="10"/>
      <c r="E4001" s="11" t="s">
        <v>51</v>
      </c>
      <c r="F4001" s="10">
        <v>12000</v>
      </c>
      <c r="G4001" s="10">
        <v>0</v>
      </c>
      <c r="H4001" s="10">
        <f t="shared" si="62"/>
        <v>12000</v>
      </c>
      <c r="I4001" s="10"/>
      <c r="J4001" s="10"/>
      <c r="K4001" s="10"/>
      <c r="L4001" s="4" t="s">
        <v>69</v>
      </c>
      <c r="M4001" s="4">
        <v>3996</v>
      </c>
    </row>
    <row r="4002" spans="1:13" x14ac:dyDescent="0.25">
      <c r="A4002" s="4" t="s">
        <v>3841</v>
      </c>
      <c r="B4002" s="4" t="s">
        <v>3846</v>
      </c>
      <c r="C4002" s="4" t="s">
        <v>68</v>
      </c>
      <c r="D4002" s="10">
        <v>130</v>
      </c>
      <c r="E4002" s="11" t="s">
        <v>51</v>
      </c>
      <c r="F4002" s="10">
        <v>33420</v>
      </c>
      <c r="G4002" s="10">
        <v>0</v>
      </c>
      <c r="H4002" s="10">
        <f t="shared" si="62"/>
        <v>33420</v>
      </c>
      <c r="I4002" s="10"/>
      <c r="J4002" s="10"/>
      <c r="K4002" s="10"/>
      <c r="L4002" s="4" t="s">
        <v>69</v>
      </c>
      <c r="M4002" s="4">
        <v>3997</v>
      </c>
    </row>
    <row r="4003" spans="1:13" x14ac:dyDescent="0.25">
      <c r="A4003" s="4" t="s">
        <v>3841</v>
      </c>
      <c r="B4003" s="4" t="s">
        <v>3847</v>
      </c>
      <c r="C4003" s="4" t="s">
        <v>68</v>
      </c>
      <c r="D4003" s="10">
        <v>94</v>
      </c>
      <c r="E4003" s="11" t="s">
        <v>51</v>
      </c>
      <c r="F4003" s="10">
        <v>68212.5</v>
      </c>
      <c r="G4003" s="10">
        <v>0</v>
      </c>
      <c r="H4003" s="10">
        <f t="shared" si="62"/>
        <v>68212.5</v>
      </c>
      <c r="I4003" s="10"/>
      <c r="J4003" s="10"/>
      <c r="K4003" s="10"/>
      <c r="L4003" s="4" t="s">
        <v>69</v>
      </c>
      <c r="M4003" s="4">
        <v>3998</v>
      </c>
    </row>
    <row r="4004" spans="1:13" x14ac:dyDescent="0.25">
      <c r="A4004" s="4" t="s">
        <v>3848</v>
      </c>
      <c r="B4004" s="4" t="s">
        <v>3849</v>
      </c>
      <c r="C4004" s="4" t="s">
        <v>68</v>
      </c>
      <c r="D4004" s="10">
        <v>64</v>
      </c>
      <c r="E4004" s="11" t="s">
        <v>51</v>
      </c>
      <c r="F4004" s="10">
        <v>7680</v>
      </c>
      <c r="G4004" s="10">
        <v>0</v>
      </c>
      <c r="H4004" s="10">
        <f t="shared" si="62"/>
        <v>7680</v>
      </c>
      <c r="I4004" s="10"/>
      <c r="J4004" s="10"/>
      <c r="K4004" s="10"/>
      <c r="L4004" s="4" t="s">
        <v>69</v>
      </c>
      <c r="M4004" s="4">
        <v>3999</v>
      </c>
    </row>
    <row r="4005" spans="1:13" x14ac:dyDescent="0.25">
      <c r="A4005" s="4" t="s">
        <v>3848</v>
      </c>
      <c r="B4005" s="4" t="s">
        <v>3850</v>
      </c>
      <c r="C4005" s="4" t="s">
        <v>68</v>
      </c>
      <c r="D4005" s="10">
        <v>915</v>
      </c>
      <c r="E4005" s="11" t="s">
        <v>51</v>
      </c>
      <c r="F4005" s="10">
        <v>3600</v>
      </c>
      <c r="G4005" s="10">
        <v>0</v>
      </c>
      <c r="H4005" s="10">
        <f t="shared" si="62"/>
        <v>3600</v>
      </c>
      <c r="I4005" s="10"/>
      <c r="J4005" s="10"/>
      <c r="K4005" s="10"/>
      <c r="L4005" s="4" t="s">
        <v>69</v>
      </c>
      <c r="M4005" s="4">
        <v>4000</v>
      </c>
    </row>
    <row r="4006" spans="1:13" x14ac:dyDescent="0.25">
      <c r="A4006" s="4" t="s">
        <v>3851</v>
      </c>
      <c r="B4006" s="4" t="s">
        <v>3852</v>
      </c>
      <c r="C4006" s="4" t="s">
        <v>65</v>
      </c>
      <c r="D4006" s="10">
        <v>4</v>
      </c>
      <c r="E4006" s="12" t="s">
        <v>66</v>
      </c>
      <c r="F4006" s="10">
        <v>450</v>
      </c>
      <c r="G4006" s="10">
        <v>0</v>
      </c>
      <c r="H4006" s="10">
        <f t="shared" si="62"/>
        <v>450</v>
      </c>
      <c r="I4006" s="10">
        <v>112.5</v>
      </c>
      <c r="J4006" s="10">
        <v>112.5</v>
      </c>
      <c r="K4006" s="10">
        <v>112.5</v>
      </c>
      <c r="L4006" s="4"/>
      <c r="M4006" s="4">
        <v>4001</v>
      </c>
    </row>
    <row r="4007" spans="1:13" x14ac:dyDescent="0.25">
      <c r="A4007" s="4" t="s">
        <v>3851</v>
      </c>
      <c r="B4007" s="4" t="s">
        <v>3853</v>
      </c>
      <c r="C4007" s="4" t="s">
        <v>65</v>
      </c>
      <c r="D4007" s="10">
        <v>56</v>
      </c>
      <c r="E4007" s="12" t="s">
        <v>66</v>
      </c>
      <c r="F4007" s="10">
        <v>6250</v>
      </c>
      <c r="G4007" s="10">
        <v>0</v>
      </c>
      <c r="H4007" s="10">
        <f t="shared" si="62"/>
        <v>6250</v>
      </c>
      <c r="I4007" s="10">
        <v>111.6071428571429</v>
      </c>
      <c r="J4007" s="10">
        <v>111.6071428571429</v>
      </c>
      <c r="K4007" s="10">
        <v>111.6071428571429</v>
      </c>
      <c r="L4007" s="4"/>
      <c r="M4007" s="4">
        <v>4002</v>
      </c>
    </row>
    <row r="4008" spans="1:13" x14ac:dyDescent="0.25">
      <c r="A4008" s="4" t="s">
        <v>3851</v>
      </c>
      <c r="B4008" s="4" t="s">
        <v>3854</v>
      </c>
      <c r="C4008" s="4" t="s">
        <v>65</v>
      </c>
      <c r="D4008" s="10"/>
      <c r="E4008" s="11" t="s">
        <v>51</v>
      </c>
      <c r="F4008" s="10"/>
      <c r="G4008" s="10">
        <v>0</v>
      </c>
      <c r="H4008" s="10">
        <f t="shared" si="62"/>
        <v>0</v>
      </c>
      <c r="I4008" s="10"/>
      <c r="J4008" s="10"/>
      <c r="K4008" s="10"/>
      <c r="L4008" s="4" t="s">
        <v>69</v>
      </c>
      <c r="M4008" s="4">
        <v>4003</v>
      </c>
    </row>
    <row r="4009" spans="1:13" x14ac:dyDescent="0.25">
      <c r="A4009" s="4" t="s">
        <v>3851</v>
      </c>
      <c r="B4009" s="4" t="s">
        <v>3855</v>
      </c>
      <c r="C4009" s="4" t="s">
        <v>65</v>
      </c>
      <c r="D4009" s="10">
        <v>1147</v>
      </c>
      <c r="E4009" s="11" t="s">
        <v>51</v>
      </c>
      <c r="F4009" s="10"/>
      <c r="G4009" s="10">
        <v>0</v>
      </c>
      <c r="H4009" s="10">
        <f t="shared" si="62"/>
        <v>0</v>
      </c>
      <c r="I4009" s="10"/>
      <c r="J4009" s="10"/>
      <c r="K4009" s="10"/>
      <c r="L4009" s="4" t="s">
        <v>69</v>
      </c>
      <c r="M4009" s="4">
        <v>4004</v>
      </c>
    </row>
    <row r="4010" spans="1:13" x14ac:dyDescent="0.25">
      <c r="A4010" s="4" t="s">
        <v>3851</v>
      </c>
      <c r="B4010" s="4" t="s">
        <v>3856</v>
      </c>
      <c r="C4010" s="9" t="s">
        <v>50</v>
      </c>
      <c r="D4010" s="10">
        <v>149</v>
      </c>
      <c r="E4010" s="11" t="s">
        <v>51</v>
      </c>
      <c r="F4010" s="10"/>
      <c r="G4010" s="10">
        <v>0</v>
      </c>
      <c r="H4010" s="10">
        <f t="shared" si="62"/>
        <v>0</v>
      </c>
      <c r="I4010" s="10"/>
      <c r="J4010" s="10"/>
      <c r="K4010" s="10"/>
      <c r="L4010" s="4" t="s">
        <v>52</v>
      </c>
      <c r="M4010" s="4">
        <v>4005</v>
      </c>
    </row>
    <row r="4011" spans="1:13" x14ac:dyDescent="0.25">
      <c r="A4011" s="4" t="s">
        <v>3851</v>
      </c>
      <c r="B4011" s="4" t="s">
        <v>3857</v>
      </c>
      <c r="C4011" s="4" t="s">
        <v>65</v>
      </c>
      <c r="D4011" s="10">
        <v>40</v>
      </c>
      <c r="E4011" s="11" t="s">
        <v>51</v>
      </c>
      <c r="F4011" s="10"/>
      <c r="G4011" s="10">
        <v>0</v>
      </c>
      <c r="H4011" s="10">
        <f t="shared" si="62"/>
        <v>0</v>
      </c>
      <c r="I4011" s="10">
        <v>0</v>
      </c>
      <c r="J4011" s="10">
        <v>0</v>
      </c>
      <c r="K4011" s="10">
        <v>0</v>
      </c>
      <c r="L4011" s="4" t="s">
        <v>69</v>
      </c>
      <c r="M4011" s="4">
        <v>4006</v>
      </c>
    </row>
    <row r="4012" spans="1:13" x14ac:dyDescent="0.25">
      <c r="A4012" s="4" t="s">
        <v>3851</v>
      </c>
      <c r="B4012" s="4" t="s">
        <v>3858</v>
      </c>
      <c r="C4012" s="9" t="s">
        <v>50</v>
      </c>
      <c r="D4012" s="10">
        <v>9</v>
      </c>
      <c r="E4012" s="11" t="s">
        <v>51</v>
      </c>
      <c r="F4012" s="10"/>
      <c r="G4012" s="10">
        <v>0</v>
      </c>
      <c r="H4012" s="10">
        <f t="shared" si="62"/>
        <v>0</v>
      </c>
      <c r="I4012" s="10"/>
      <c r="J4012" s="10"/>
      <c r="K4012" s="10"/>
      <c r="L4012" s="4" t="s">
        <v>52</v>
      </c>
      <c r="M4012" s="4">
        <v>4007</v>
      </c>
    </row>
    <row r="4013" spans="1:13" x14ac:dyDescent="0.25">
      <c r="A4013" s="4" t="s">
        <v>3851</v>
      </c>
      <c r="B4013" s="4" t="s">
        <v>3859</v>
      </c>
      <c r="C4013" s="9" t="s">
        <v>50</v>
      </c>
      <c r="D4013" s="10">
        <v>46</v>
      </c>
      <c r="E4013" s="11" t="s">
        <v>51</v>
      </c>
      <c r="F4013" s="10"/>
      <c r="G4013" s="10">
        <v>0</v>
      </c>
      <c r="H4013" s="10">
        <f t="shared" si="62"/>
        <v>0</v>
      </c>
      <c r="I4013" s="10"/>
      <c r="J4013" s="10"/>
      <c r="K4013" s="10"/>
      <c r="L4013" s="4" t="s">
        <v>52</v>
      </c>
      <c r="M4013" s="4">
        <v>4008</v>
      </c>
    </row>
    <row r="4014" spans="1:13" x14ac:dyDescent="0.25">
      <c r="A4014" s="4" t="s">
        <v>3851</v>
      </c>
      <c r="B4014" s="4" t="s">
        <v>3860</v>
      </c>
      <c r="C4014" s="9" t="s">
        <v>50</v>
      </c>
      <c r="D4014" s="10">
        <v>46</v>
      </c>
      <c r="E4014" s="11" t="s">
        <v>51</v>
      </c>
      <c r="F4014" s="10">
        <v>5150</v>
      </c>
      <c r="G4014" s="10">
        <v>0</v>
      </c>
      <c r="H4014" s="10">
        <f t="shared" si="62"/>
        <v>5150</v>
      </c>
      <c r="I4014" s="10"/>
      <c r="J4014" s="10"/>
      <c r="K4014" s="10"/>
      <c r="L4014" s="4" t="s">
        <v>52</v>
      </c>
      <c r="M4014" s="4">
        <v>4009</v>
      </c>
    </row>
    <row r="4015" spans="1:13" x14ac:dyDescent="0.25">
      <c r="A4015" s="4" t="s">
        <v>3851</v>
      </c>
      <c r="B4015" s="4" t="s">
        <v>3861</v>
      </c>
      <c r="C4015" s="9" t="s">
        <v>50</v>
      </c>
      <c r="D4015" s="10"/>
      <c r="E4015" s="11" t="s">
        <v>51</v>
      </c>
      <c r="F4015" s="10"/>
      <c r="G4015" s="10">
        <v>0</v>
      </c>
      <c r="H4015" s="10">
        <f t="shared" si="62"/>
        <v>0</v>
      </c>
      <c r="I4015" s="10"/>
      <c r="J4015" s="10"/>
      <c r="K4015" s="10"/>
      <c r="L4015" s="4" t="s">
        <v>52</v>
      </c>
      <c r="M4015" s="4">
        <v>4010</v>
      </c>
    </row>
    <row r="4016" spans="1:13" x14ac:dyDescent="0.25">
      <c r="A4016" s="4" t="s">
        <v>3851</v>
      </c>
      <c r="B4016" s="4" t="s">
        <v>3862</v>
      </c>
      <c r="C4016" s="9" t="s">
        <v>50</v>
      </c>
      <c r="D4016" s="10">
        <v>75</v>
      </c>
      <c r="E4016" s="11" t="s">
        <v>51</v>
      </c>
      <c r="F4016" s="10"/>
      <c r="G4016" s="10">
        <v>0</v>
      </c>
      <c r="H4016" s="10">
        <f t="shared" si="62"/>
        <v>0</v>
      </c>
      <c r="I4016" s="10"/>
      <c r="J4016" s="10"/>
      <c r="K4016" s="10"/>
      <c r="L4016" s="4" t="s">
        <v>52</v>
      </c>
      <c r="M4016" s="4">
        <v>4011</v>
      </c>
    </row>
    <row r="4017" spans="1:13" x14ac:dyDescent="0.25">
      <c r="A4017" s="4" t="s">
        <v>3851</v>
      </c>
      <c r="B4017" s="4" t="s">
        <v>3863</v>
      </c>
      <c r="C4017" s="9" t="s">
        <v>50</v>
      </c>
      <c r="D4017" s="10">
        <v>6</v>
      </c>
      <c r="E4017" s="11" t="s">
        <v>51</v>
      </c>
      <c r="F4017" s="10"/>
      <c r="G4017" s="10">
        <v>0</v>
      </c>
      <c r="H4017" s="10">
        <f t="shared" si="62"/>
        <v>0</v>
      </c>
      <c r="I4017" s="10"/>
      <c r="J4017" s="10"/>
      <c r="K4017" s="10"/>
      <c r="L4017" s="4" t="s">
        <v>52</v>
      </c>
      <c r="M4017" s="4">
        <v>4012</v>
      </c>
    </row>
    <row r="4018" spans="1:13" x14ac:dyDescent="0.25">
      <c r="A4018" s="4" t="s">
        <v>3851</v>
      </c>
      <c r="B4018" s="4" t="s">
        <v>3864</v>
      </c>
      <c r="C4018" s="9" t="s">
        <v>50</v>
      </c>
      <c r="D4018" s="10">
        <v>184</v>
      </c>
      <c r="E4018" s="11" t="s">
        <v>51</v>
      </c>
      <c r="F4018" s="10"/>
      <c r="G4018" s="10">
        <v>0</v>
      </c>
      <c r="H4018" s="10">
        <f t="shared" si="62"/>
        <v>0</v>
      </c>
      <c r="I4018" s="10"/>
      <c r="J4018" s="10"/>
      <c r="K4018" s="10"/>
      <c r="L4018" s="4" t="s">
        <v>52</v>
      </c>
      <c r="M4018" s="4">
        <v>4013</v>
      </c>
    </row>
    <row r="4019" spans="1:13" x14ac:dyDescent="0.25">
      <c r="A4019" s="4" t="s">
        <v>3851</v>
      </c>
      <c r="B4019" s="4" t="s">
        <v>3865</v>
      </c>
      <c r="C4019" s="9" t="s">
        <v>50</v>
      </c>
      <c r="D4019" s="10">
        <v>40</v>
      </c>
      <c r="E4019" s="11" t="s">
        <v>51</v>
      </c>
      <c r="F4019" s="10"/>
      <c r="G4019" s="10">
        <v>0</v>
      </c>
      <c r="H4019" s="10">
        <f t="shared" si="62"/>
        <v>0</v>
      </c>
      <c r="I4019" s="10"/>
      <c r="J4019" s="10"/>
      <c r="K4019" s="10"/>
      <c r="L4019" s="4" t="s">
        <v>52</v>
      </c>
      <c r="M4019" s="4">
        <v>4014</v>
      </c>
    </row>
    <row r="4020" spans="1:13" x14ac:dyDescent="0.25">
      <c r="A4020" s="4" t="s">
        <v>3851</v>
      </c>
      <c r="B4020" s="4" t="s">
        <v>3866</v>
      </c>
      <c r="C4020" s="9" t="s">
        <v>50</v>
      </c>
      <c r="D4020" s="10"/>
      <c r="E4020" s="11" t="s">
        <v>51</v>
      </c>
      <c r="F4020" s="10"/>
      <c r="G4020" s="10">
        <v>0</v>
      </c>
      <c r="H4020" s="10">
        <f t="shared" si="62"/>
        <v>0</v>
      </c>
      <c r="I4020" s="10"/>
      <c r="J4020" s="10"/>
      <c r="K4020" s="10"/>
      <c r="L4020" s="4" t="s">
        <v>52</v>
      </c>
      <c r="M4020" s="4">
        <v>4015</v>
      </c>
    </row>
    <row r="4021" spans="1:13" x14ac:dyDescent="0.25">
      <c r="A4021" s="4" t="s">
        <v>3851</v>
      </c>
      <c r="B4021" s="4" t="s">
        <v>3867</v>
      </c>
      <c r="C4021" s="9" t="s">
        <v>50</v>
      </c>
      <c r="D4021" s="10">
        <v>63</v>
      </c>
      <c r="E4021" s="11" t="s">
        <v>51</v>
      </c>
      <c r="F4021" s="10">
        <v>4250</v>
      </c>
      <c r="G4021" s="10">
        <v>0</v>
      </c>
      <c r="H4021" s="10">
        <f t="shared" si="62"/>
        <v>4250</v>
      </c>
      <c r="I4021" s="10"/>
      <c r="J4021" s="10"/>
      <c r="K4021" s="10"/>
      <c r="L4021" s="4" t="s">
        <v>52</v>
      </c>
      <c r="M4021" s="4">
        <v>4016</v>
      </c>
    </row>
    <row r="4022" spans="1:13" x14ac:dyDescent="0.25">
      <c r="A4022" s="4" t="s">
        <v>3851</v>
      </c>
      <c r="B4022" s="4" t="s">
        <v>3868</v>
      </c>
      <c r="C4022" s="9" t="s">
        <v>50</v>
      </c>
      <c r="D4022" s="10">
        <v>28</v>
      </c>
      <c r="E4022" s="11" t="s">
        <v>51</v>
      </c>
      <c r="F4022" s="10">
        <v>50650</v>
      </c>
      <c r="G4022" s="10">
        <v>0</v>
      </c>
      <c r="H4022" s="10">
        <f t="shared" si="62"/>
        <v>50650</v>
      </c>
      <c r="I4022" s="10"/>
      <c r="J4022" s="10"/>
      <c r="K4022" s="10"/>
      <c r="L4022" s="4" t="s">
        <v>52</v>
      </c>
      <c r="M4022" s="4">
        <v>4017</v>
      </c>
    </row>
    <row r="4023" spans="1:13" x14ac:dyDescent="0.25">
      <c r="A4023" s="4" t="s">
        <v>3851</v>
      </c>
      <c r="B4023" s="4" t="s">
        <v>3869</v>
      </c>
      <c r="C4023" s="9" t="s">
        <v>50</v>
      </c>
      <c r="D4023" s="10"/>
      <c r="E4023" s="11" t="s">
        <v>51</v>
      </c>
      <c r="F4023" s="10"/>
      <c r="G4023" s="10">
        <v>0</v>
      </c>
      <c r="H4023" s="10">
        <f t="shared" si="62"/>
        <v>0</v>
      </c>
      <c r="I4023" s="10"/>
      <c r="J4023" s="10"/>
      <c r="K4023" s="10"/>
      <c r="L4023" s="4" t="s">
        <v>52</v>
      </c>
      <c r="M4023" s="4">
        <v>4018</v>
      </c>
    </row>
    <row r="4024" spans="1:13" x14ac:dyDescent="0.25">
      <c r="A4024" s="4" t="s">
        <v>3851</v>
      </c>
      <c r="B4024" s="4" t="s">
        <v>3870</v>
      </c>
      <c r="C4024" s="9" t="s">
        <v>50</v>
      </c>
      <c r="D4024" s="10">
        <v>45</v>
      </c>
      <c r="E4024" s="11" t="s">
        <v>51</v>
      </c>
      <c r="F4024" s="10">
        <v>4050</v>
      </c>
      <c r="G4024" s="10">
        <v>0</v>
      </c>
      <c r="H4024" s="10">
        <f t="shared" si="62"/>
        <v>4050</v>
      </c>
      <c r="I4024" s="10"/>
      <c r="J4024" s="10"/>
      <c r="K4024" s="10"/>
      <c r="L4024" s="4" t="s">
        <v>52</v>
      </c>
      <c r="M4024" s="4">
        <v>4019</v>
      </c>
    </row>
    <row r="4025" spans="1:13" x14ac:dyDescent="0.25">
      <c r="A4025" s="4" t="s">
        <v>3851</v>
      </c>
      <c r="B4025" s="4" t="s">
        <v>3871</v>
      </c>
      <c r="C4025" s="4" t="s">
        <v>65</v>
      </c>
      <c r="D4025" s="10"/>
      <c r="E4025" s="11" t="s">
        <v>51</v>
      </c>
      <c r="F4025" s="10"/>
      <c r="G4025" s="10">
        <v>0</v>
      </c>
      <c r="H4025" s="10">
        <f t="shared" si="62"/>
        <v>0</v>
      </c>
      <c r="I4025" s="10"/>
      <c r="J4025" s="10"/>
      <c r="K4025" s="10"/>
      <c r="L4025" s="4" t="s">
        <v>69</v>
      </c>
      <c r="M4025" s="4">
        <v>4020</v>
      </c>
    </row>
    <row r="4026" spans="1:13" x14ac:dyDescent="0.25">
      <c r="A4026" s="4" t="s">
        <v>3851</v>
      </c>
      <c r="B4026" s="4" t="s">
        <v>3872</v>
      </c>
      <c r="C4026" s="4" t="s">
        <v>65</v>
      </c>
      <c r="D4026" s="10"/>
      <c r="E4026" s="11" t="s">
        <v>51</v>
      </c>
      <c r="F4026" s="10"/>
      <c r="G4026" s="10">
        <v>0</v>
      </c>
      <c r="H4026" s="10">
        <f t="shared" si="62"/>
        <v>0</v>
      </c>
      <c r="I4026" s="10"/>
      <c r="J4026" s="10"/>
      <c r="K4026" s="10"/>
      <c r="L4026" s="4" t="s">
        <v>69</v>
      </c>
      <c r="M4026" s="4">
        <v>4021</v>
      </c>
    </row>
    <row r="4027" spans="1:13" x14ac:dyDescent="0.25">
      <c r="A4027" s="4" t="s">
        <v>3851</v>
      </c>
      <c r="B4027" s="4" t="s">
        <v>3873</v>
      </c>
      <c r="C4027" s="9" t="s">
        <v>50</v>
      </c>
      <c r="D4027" s="10">
        <v>16</v>
      </c>
      <c r="E4027" s="11" t="s">
        <v>51</v>
      </c>
      <c r="F4027" s="10">
        <v>1800</v>
      </c>
      <c r="G4027" s="10">
        <v>0</v>
      </c>
      <c r="H4027" s="10">
        <f t="shared" si="62"/>
        <v>1800</v>
      </c>
      <c r="I4027" s="10"/>
      <c r="J4027" s="10"/>
      <c r="K4027" s="10"/>
      <c r="L4027" s="4" t="s">
        <v>52</v>
      </c>
      <c r="M4027" s="4">
        <v>4022</v>
      </c>
    </row>
    <row r="4028" spans="1:13" x14ac:dyDescent="0.25">
      <c r="A4028" s="4" t="s">
        <v>3851</v>
      </c>
      <c r="B4028" s="4" t="s">
        <v>3874</v>
      </c>
      <c r="C4028" s="9" t="s">
        <v>50</v>
      </c>
      <c r="D4028" s="10">
        <v>19</v>
      </c>
      <c r="E4028" s="11" t="s">
        <v>51</v>
      </c>
      <c r="F4028" s="10">
        <v>2100</v>
      </c>
      <c r="G4028" s="10">
        <v>0</v>
      </c>
      <c r="H4028" s="10">
        <f t="shared" si="62"/>
        <v>2100</v>
      </c>
      <c r="I4028" s="10"/>
      <c r="J4028" s="10"/>
      <c r="K4028" s="10"/>
      <c r="L4028" s="4" t="s">
        <v>52</v>
      </c>
      <c r="M4028" s="4">
        <v>4023</v>
      </c>
    </row>
    <row r="4029" spans="1:13" x14ac:dyDescent="0.25">
      <c r="A4029" s="4" t="s">
        <v>3851</v>
      </c>
      <c r="B4029" s="4" t="s">
        <v>3875</v>
      </c>
      <c r="C4029" s="9" t="s">
        <v>50</v>
      </c>
      <c r="D4029" s="10">
        <v>16</v>
      </c>
      <c r="E4029" s="11" t="s">
        <v>51</v>
      </c>
      <c r="F4029" s="10">
        <v>1800</v>
      </c>
      <c r="G4029" s="10">
        <v>0</v>
      </c>
      <c r="H4029" s="10">
        <f t="shared" si="62"/>
        <v>1800</v>
      </c>
      <c r="I4029" s="10"/>
      <c r="J4029" s="10"/>
      <c r="K4029" s="10"/>
      <c r="L4029" s="4" t="s">
        <v>52</v>
      </c>
      <c r="M4029" s="4">
        <v>4024</v>
      </c>
    </row>
    <row r="4030" spans="1:13" x14ac:dyDescent="0.25">
      <c r="A4030" s="4" t="s">
        <v>3851</v>
      </c>
      <c r="B4030" s="4" t="s">
        <v>3876</v>
      </c>
      <c r="C4030" s="9" t="s">
        <v>50</v>
      </c>
      <c r="D4030" s="10">
        <v>259</v>
      </c>
      <c r="E4030" s="11" t="s">
        <v>51</v>
      </c>
      <c r="F4030" s="10"/>
      <c r="G4030" s="10">
        <v>0</v>
      </c>
      <c r="H4030" s="10">
        <f t="shared" si="62"/>
        <v>0</v>
      </c>
      <c r="I4030" s="10"/>
      <c r="J4030" s="10"/>
      <c r="K4030" s="10"/>
      <c r="L4030" s="4" t="s">
        <v>52</v>
      </c>
      <c r="M4030" s="4">
        <v>4025</v>
      </c>
    </row>
    <row r="4031" spans="1:13" x14ac:dyDescent="0.25">
      <c r="A4031" s="4" t="s">
        <v>3851</v>
      </c>
      <c r="B4031" s="4" t="s">
        <v>3877</v>
      </c>
      <c r="C4031" s="9" t="s">
        <v>50</v>
      </c>
      <c r="D4031" s="10">
        <v>218</v>
      </c>
      <c r="E4031" s="11" t="s">
        <v>51</v>
      </c>
      <c r="F4031" s="10">
        <v>18850</v>
      </c>
      <c r="G4031" s="10">
        <v>0</v>
      </c>
      <c r="H4031" s="10">
        <f t="shared" si="62"/>
        <v>18850</v>
      </c>
      <c r="I4031" s="10"/>
      <c r="J4031" s="10"/>
      <c r="K4031" s="10"/>
      <c r="L4031" s="4" t="s">
        <v>52</v>
      </c>
      <c r="M4031" s="4">
        <v>4026</v>
      </c>
    </row>
    <row r="4032" spans="1:13" x14ac:dyDescent="0.25">
      <c r="A4032" s="4" t="s">
        <v>3851</v>
      </c>
      <c r="B4032" s="4" t="s">
        <v>3878</v>
      </c>
      <c r="C4032" s="9" t="s">
        <v>50</v>
      </c>
      <c r="D4032" s="10">
        <v>52</v>
      </c>
      <c r="E4032" s="11" t="s">
        <v>51</v>
      </c>
      <c r="F4032" s="10">
        <v>4650</v>
      </c>
      <c r="G4032" s="10">
        <v>0</v>
      </c>
      <c r="H4032" s="10">
        <f t="shared" si="62"/>
        <v>4650</v>
      </c>
      <c r="I4032" s="10"/>
      <c r="J4032" s="10"/>
      <c r="K4032" s="10"/>
      <c r="L4032" s="4" t="s">
        <v>52</v>
      </c>
      <c r="M4032" s="4">
        <v>4027</v>
      </c>
    </row>
    <row r="4033" spans="1:13" x14ac:dyDescent="0.25">
      <c r="A4033" s="4" t="s">
        <v>3851</v>
      </c>
      <c r="B4033" s="4" t="s">
        <v>3879</v>
      </c>
      <c r="C4033" s="9" t="s">
        <v>50</v>
      </c>
      <c r="D4033" s="10">
        <v>44</v>
      </c>
      <c r="E4033" s="11" t="s">
        <v>51</v>
      </c>
      <c r="F4033" s="10">
        <v>4100</v>
      </c>
      <c r="G4033" s="10">
        <v>0</v>
      </c>
      <c r="H4033" s="10">
        <f t="shared" si="62"/>
        <v>4100</v>
      </c>
      <c r="I4033" s="10"/>
      <c r="J4033" s="10"/>
      <c r="K4033" s="10"/>
      <c r="L4033" s="4" t="s">
        <v>52</v>
      </c>
      <c r="M4033" s="4">
        <v>4028</v>
      </c>
    </row>
    <row r="4034" spans="1:13" x14ac:dyDescent="0.25">
      <c r="A4034" s="4" t="s">
        <v>3851</v>
      </c>
      <c r="B4034" s="4" t="s">
        <v>3880</v>
      </c>
      <c r="C4034" s="9" t="s">
        <v>50</v>
      </c>
      <c r="D4034" s="10">
        <v>140</v>
      </c>
      <c r="E4034" s="11" t="s">
        <v>51</v>
      </c>
      <c r="F4034" s="10">
        <v>1300</v>
      </c>
      <c r="G4034" s="10">
        <v>0</v>
      </c>
      <c r="H4034" s="10">
        <f t="shared" si="62"/>
        <v>1300</v>
      </c>
      <c r="I4034" s="10"/>
      <c r="J4034" s="10"/>
      <c r="K4034" s="10"/>
      <c r="L4034" s="4" t="s">
        <v>52</v>
      </c>
      <c r="M4034" s="4">
        <v>4029</v>
      </c>
    </row>
    <row r="4035" spans="1:13" x14ac:dyDescent="0.25">
      <c r="A4035" s="4" t="s">
        <v>3881</v>
      </c>
      <c r="B4035" s="4" t="s">
        <v>3882</v>
      </c>
      <c r="C4035" s="9" t="s">
        <v>50</v>
      </c>
      <c r="D4035" s="10">
        <v>195</v>
      </c>
      <c r="E4035" s="11" t="s">
        <v>51</v>
      </c>
      <c r="F4035" s="10">
        <v>14225</v>
      </c>
      <c r="G4035" s="10">
        <v>0</v>
      </c>
      <c r="H4035" s="10">
        <f t="shared" si="62"/>
        <v>14225</v>
      </c>
      <c r="I4035" s="10"/>
      <c r="J4035" s="10"/>
      <c r="K4035" s="10"/>
      <c r="L4035" s="4" t="s">
        <v>52</v>
      </c>
      <c r="M4035" s="4">
        <v>4030</v>
      </c>
    </row>
    <row r="4036" spans="1:13" x14ac:dyDescent="0.25">
      <c r="A4036" s="4" t="s">
        <v>3883</v>
      </c>
      <c r="B4036" s="4" t="s">
        <v>3884</v>
      </c>
      <c r="C4036" s="4" t="s">
        <v>68</v>
      </c>
      <c r="D4036" s="10">
        <v>181</v>
      </c>
      <c r="E4036" s="11" t="s">
        <v>51</v>
      </c>
      <c r="F4036" s="10">
        <v>1250</v>
      </c>
      <c r="G4036" s="10">
        <v>0</v>
      </c>
      <c r="H4036" s="10">
        <f t="shared" si="62"/>
        <v>1250</v>
      </c>
      <c r="I4036" s="10"/>
      <c r="J4036" s="10"/>
      <c r="K4036" s="10"/>
      <c r="L4036" s="4" t="s">
        <v>69</v>
      </c>
      <c r="M4036" s="4">
        <v>4031</v>
      </c>
    </row>
    <row r="4037" spans="1:13" x14ac:dyDescent="0.25">
      <c r="A4037" s="4" t="s">
        <v>3885</v>
      </c>
      <c r="B4037" s="4" t="s">
        <v>634</v>
      </c>
      <c r="C4037" s="4" t="s">
        <v>65</v>
      </c>
      <c r="D4037" s="10">
        <v>107</v>
      </c>
      <c r="E4037" s="12" t="s">
        <v>66</v>
      </c>
      <c r="F4037" s="10">
        <v>10000</v>
      </c>
      <c r="G4037" s="10">
        <v>0</v>
      </c>
      <c r="H4037" s="10">
        <f t="shared" si="62"/>
        <v>10000</v>
      </c>
      <c r="I4037" s="10">
        <v>93.45794392523365</v>
      </c>
      <c r="J4037" s="10">
        <v>93.45794392523365</v>
      </c>
      <c r="K4037" s="10">
        <v>93.45794392523365</v>
      </c>
      <c r="L4037" s="4"/>
      <c r="M4037" s="4">
        <v>4032</v>
      </c>
    </row>
    <row r="4038" spans="1:13" x14ac:dyDescent="0.25">
      <c r="A4038" s="4" t="s">
        <v>3885</v>
      </c>
      <c r="B4038" s="4" t="s">
        <v>1563</v>
      </c>
      <c r="C4038" s="4" t="s">
        <v>65</v>
      </c>
      <c r="D4038" s="10">
        <v>16</v>
      </c>
      <c r="E4038" s="12" t="s">
        <v>66</v>
      </c>
      <c r="F4038" s="10">
        <v>2300</v>
      </c>
      <c r="G4038" s="10">
        <v>0</v>
      </c>
      <c r="H4038" s="10">
        <f t="shared" ref="H4038:H4101" si="63">F4038-G4038</f>
        <v>2300</v>
      </c>
      <c r="I4038" s="10">
        <v>143.75</v>
      </c>
      <c r="J4038" s="10">
        <v>143.75</v>
      </c>
      <c r="K4038" s="10">
        <v>143.75</v>
      </c>
      <c r="L4038" s="4"/>
      <c r="M4038" s="4">
        <v>4033</v>
      </c>
    </row>
    <row r="4039" spans="1:13" x14ac:dyDescent="0.25">
      <c r="A4039" s="4" t="s">
        <v>3885</v>
      </c>
      <c r="B4039" s="4" t="s">
        <v>3886</v>
      </c>
      <c r="C4039" s="4" t="s">
        <v>65</v>
      </c>
      <c r="D4039" s="10">
        <v>16</v>
      </c>
      <c r="E4039" s="12" t="s">
        <v>66</v>
      </c>
      <c r="F4039" s="10">
        <v>2300</v>
      </c>
      <c r="G4039" s="10">
        <v>0</v>
      </c>
      <c r="H4039" s="10">
        <f t="shared" si="63"/>
        <v>2300</v>
      </c>
      <c r="I4039" s="10">
        <v>143.75</v>
      </c>
      <c r="J4039" s="10">
        <v>143.75</v>
      </c>
      <c r="K4039" s="10">
        <v>143.75</v>
      </c>
      <c r="L4039" s="4"/>
      <c r="M4039" s="4">
        <v>4034</v>
      </c>
    </row>
    <row r="4040" spans="1:13" x14ac:dyDescent="0.25">
      <c r="A4040" s="4" t="s">
        <v>3885</v>
      </c>
      <c r="B4040" s="4" t="s">
        <v>3887</v>
      </c>
      <c r="C4040" s="9" t="s">
        <v>50</v>
      </c>
      <c r="D4040" s="10">
        <v>16</v>
      </c>
      <c r="E4040" s="11" t="s">
        <v>51</v>
      </c>
      <c r="F4040" s="10">
        <v>4600</v>
      </c>
      <c r="G4040" s="10">
        <v>0</v>
      </c>
      <c r="H4040" s="10">
        <f t="shared" si="63"/>
        <v>4600</v>
      </c>
      <c r="I4040" s="10"/>
      <c r="J4040" s="10"/>
      <c r="K4040" s="10"/>
      <c r="L4040" s="4" t="s">
        <v>52</v>
      </c>
      <c r="M4040" s="4">
        <v>4035</v>
      </c>
    </row>
    <row r="4041" spans="1:13" x14ac:dyDescent="0.25">
      <c r="A4041" s="4" t="s">
        <v>3888</v>
      </c>
      <c r="B4041" s="4" t="s">
        <v>3889</v>
      </c>
      <c r="C4041" s="4" t="s">
        <v>68</v>
      </c>
      <c r="D4041" s="10">
        <v>361</v>
      </c>
      <c r="E4041" s="11" t="s">
        <v>51</v>
      </c>
      <c r="F4041" s="10">
        <v>2000</v>
      </c>
      <c r="G4041" s="10">
        <v>0</v>
      </c>
      <c r="H4041" s="10">
        <f t="shared" si="63"/>
        <v>2000</v>
      </c>
      <c r="I4041" s="10"/>
      <c r="J4041" s="10"/>
      <c r="K4041" s="10"/>
      <c r="L4041" s="4" t="s">
        <v>69</v>
      </c>
      <c r="M4041" s="4">
        <v>4036</v>
      </c>
    </row>
    <row r="4042" spans="1:13" x14ac:dyDescent="0.25">
      <c r="A4042" s="4" t="s">
        <v>3890</v>
      </c>
      <c r="B4042" s="4" t="s">
        <v>3891</v>
      </c>
      <c r="C4042" s="4" t="s">
        <v>65</v>
      </c>
      <c r="D4042" s="10">
        <v>13.5</v>
      </c>
      <c r="E4042" s="12" t="s">
        <v>66</v>
      </c>
      <c r="F4042" s="10">
        <v>200</v>
      </c>
      <c r="G4042" s="10">
        <v>0</v>
      </c>
      <c r="H4042" s="10">
        <f t="shared" si="63"/>
        <v>200</v>
      </c>
      <c r="I4042" s="10">
        <v>133.33333333333329</v>
      </c>
      <c r="J4042" s="10">
        <v>133.33333333333329</v>
      </c>
      <c r="K4042" s="10">
        <v>133.33333333333329</v>
      </c>
      <c r="L4042" s="4"/>
      <c r="M4042" s="4">
        <v>4037</v>
      </c>
    </row>
    <row r="4043" spans="1:13" x14ac:dyDescent="0.25">
      <c r="A4043" s="4" t="s">
        <v>3890</v>
      </c>
      <c r="B4043" s="4" t="s">
        <v>3892</v>
      </c>
      <c r="C4043" s="9" t="s">
        <v>50</v>
      </c>
      <c r="D4043" s="10">
        <v>3.5</v>
      </c>
      <c r="E4043" s="11" t="s">
        <v>51</v>
      </c>
      <c r="F4043" s="10">
        <v>400</v>
      </c>
      <c r="G4043" s="10">
        <v>0</v>
      </c>
      <c r="H4043" s="10">
        <f t="shared" si="63"/>
        <v>400</v>
      </c>
      <c r="I4043" s="10"/>
      <c r="J4043" s="10"/>
      <c r="K4043" s="10"/>
      <c r="L4043" s="4" t="s">
        <v>52</v>
      </c>
      <c r="M4043" s="4">
        <v>4038</v>
      </c>
    </row>
    <row r="4044" spans="1:13" x14ac:dyDescent="0.25">
      <c r="A4044" s="4" t="s">
        <v>3890</v>
      </c>
      <c r="B4044" s="4" t="s">
        <v>3893</v>
      </c>
      <c r="C4044" s="9" t="s">
        <v>50</v>
      </c>
      <c r="D4044" s="10">
        <v>35.5</v>
      </c>
      <c r="E4044" s="11" t="s">
        <v>51</v>
      </c>
      <c r="F4044" s="10">
        <v>1100</v>
      </c>
      <c r="G4044" s="10">
        <v>0</v>
      </c>
      <c r="H4044" s="10">
        <f t="shared" si="63"/>
        <v>1100</v>
      </c>
      <c r="I4044" s="10"/>
      <c r="J4044" s="10"/>
      <c r="K4044" s="10"/>
      <c r="L4044" s="4" t="s">
        <v>52</v>
      </c>
      <c r="M4044" s="4">
        <v>4039</v>
      </c>
    </row>
    <row r="4045" spans="1:13" x14ac:dyDescent="0.25">
      <c r="A4045" s="4" t="s">
        <v>3890</v>
      </c>
      <c r="B4045" s="4" t="s">
        <v>3894</v>
      </c>
      <c r="C4045" s="4" t="s">
        <v>65</v>
      </c>
      <c r="D4045" s="10">
        <v>35.5</v>
      </c>
      <c r="E4045" s="11" t="s">
        <v>51</v>
      </c>
      <c r="F4045" s="10"/>
      <c r="G4045" s="10">
        <v>0</v>
      </c>
      <c r="H4045" s="10">
        <f t="shared" si="63"/>
        <v>0</v>
      </c>
      <c r="I4045" s="10"/>
      <c r="J4045" s="10"/>
      <c r="K4045" s="10"/>
      <c r="L4045" s="4" t="s">
        <v>69</v>
      </c>
      <c r="M4045" s="4">
        <v>4040</v>
      </c>
    </row>
    <row r="4046" spans="1:13" x14ac:dyDescent="0.25">
      <c r="A4046" s="4" t="s">
        <v>3890</v>
      </c>
      <c r="B4046" s="4" t="s">
        <v>3895</v>
      </c>
      <c r="C4046" s="9" t="s">
        <v>50</v>
      </c>
      <c r="D4046" s="10">
        <v>11.5</v>
      </c>
      <c r="E4046" s="11" t="s">
        <v>51</v>
      </c>
      <c r="F4046" s="10">
        <v>1300</v>
      </c>
      <c r="G4046" s="10">
        <v>0</v>
      </c>
      <c r="H4046" s="10">
        <f t="shared" si="63"/>
        <v>1300</v>
      </c>
      <c r="I4046" s="10"/>
      <c r="J4046" s="10"/>
      <c r="K4046" s="10"/>
      <c r="L4046" s="4" t="s">
        <v>52</v>
      </c>
      <c r="M4046" s="4">
        <v>4041</v>
      </c>
    </row>
    <row r="4047" spans="1:13" x14ac:dyDescent="0.25">
      <c r="A4047" s="4" t="s">
        <v>3890</v>
      </c>
      <c r="B4047" s="4" t="s">
        <v>3896</v>
      </c>
      <c r="C4047" s="9" t="s">
        <v>50</v>
      </c>
      <c r="D4047" s="10">
        <v>28</v>
      </c>
      <c r="E4047" s="11" t="s">
        <v>51</v>
      </c>
      <c r="F4047" s="10">
        <v>2600</v>
      </c>
      <c r="G4047" s="10">
        <v>0</v>
      </c>
      <c r="H4047" s="10">
        <f t="shared" si="63"/>
        <v>2600</v>
      </c>
      <c r="I4047" s="10"/>
      <c r="J4047" s="10"/>
      <c r="K4047" s="10"/>
      <c r="L4047" s="4" t="s">
        <v>52</v>
      </c>
      <c r="M4047" s="4">
        <v>4042</v>
      </c>
    </row>
    <row r="4048" spans="1:13" x14ac:dyDescent="0.25">
      <c r="A4048" s="4" t="s">
        <v>3890</v>
      </c>
      <c r="B4048" s="4" t="s">
        <v>3897</v>
      </c>
      <c r="C4048" s="9" t="s">
        <v>50</v>
      </c>
      <c r="D4048" s="10">
        <v>14.5</v>
      </c>
      <c r="E4048" s="11" t="s">
        <v>51</v>
      </c>
      <c r="F4048" s="10">
        <v>1600</v>
      </c>
      <c r="G4048" s="10">
        <v>0</v>
      </c>
      <c r="H4048" s="10">
        <f t="shared" si="63"/>
        <v>1600</v>
      </c>
      <c r="I4048" s="10"/>
      <c r="J4048" s="10"/>
      <c r="K4048" s="10"/>
      <c r="L4048" s="4" t="s">
        <v>52</v>
      </c>
      <c r="M4048" s="4">
        <v>4043</v>
      </c>
    </row>
    <row r="4049" spans="1:13" x14ac:dyDescent="0.25">
      <c r="A4049" s="4" t="s">
        <v>3890</v>
      </c>
      <c r="B4049" s="4" t="s">
        <v>3898</v>
      </c>
      <c r="C4049" s="9" t="s">
        <v>50</v>
      </c>
      <c r="D4049" s="10">
        <v>103</v>
      </c>
      <c r="E4049" s="11" t="s">
        <v>51</v>
      </c>
      <c r="F4049" s="10">
        <v>1500</v>
      </c>
      <c r="G4049" s="10">
        <v>0</v>
      </c>
      <c r="H4049" s="10">
        <f t="shared" si="63"/>
        <v>1500</v>
      </c>
      <c r="I4049" s="10"/>
      <c r="J4049" s="10"/>
      <c r="K4049" s="10"/>
      <c r="L4049" s="4" t="s">
        <v>52</v>
      </c>
      <c r="M4049" s="4">
        <v>4044</v>
      </c>
    </row>
    <row r="4050" spans="1:13" x14ac:dyDescent="0.25">
      <c r="A4050" s="4" t="s">
        <v>3890</v>
      </c>
      <c r="B4050" s="4" t="s">
        <v>3899</v>
      </c>
      <c r="C4050" s="9" t="s">
        <v>50</v>
      </c>
      <c r="D4050" s="10">
        <v>29</v>
      </c>
      <c r="E4050" s="11" t="s">
        <v>51</v>
      </c>
      <c r="F4050" s="10">
        <v>3200</v>
      </c>
      <c r="G4050" s="10">
        <v>0</v>
      </c>
      <c r="H4050" s="10">
        <f t="shared" si="63"/>
        <v>3200</v>
      </c>
      <c r="I4050" s="10"/>
      <c r="J4050" s="10"/>
      <c r="K4050" s="10"/>
      <c r="L4050" s="4" t="s">
        <v>52</v>
      </c>
      <c r="M4050" s="4">
        <v>4045</v>
      </c>
    </row>
    <row r="4051" spans="1:13" x14ac:dyDescent="0.25">
      <c r="A4051" s="4" t="s">
        <v>3890</v>
      </c>
      <c r="B4051" s="4" t="s">
        <v>3900</v>
      </c>
      <c r="C4051" s="9" t="s">
        <v>50</v>
      </c>
      <c r="D4051" s="10">
        <v>17</v>
      </c>
      <c r="E4051" s="11" t="s">
        <v>51</v>
      </c>
      <c r="F4051" s="10">
        <v>1900</v>
      </c>
      <c r="G4051" s="10">
        <v>0</v>
      </c>
      <c r="H4051" s="10">
        <f t="shared" si="63"/>
        <v>1900</v>
      </c>
      <c r="I4051" s="10"/>
      <c r="J4051" s="10"/>
      <c r="K4051" s="10"/>
      <c r="L4051" s="4" t="s">
        <v>52</v>
      </c>
      <c r="M4051" s="4">
        <v>4046</v>
      </c>
    </row>
    <row r="4052" spans="1:13" x14ac:dyDescent="0.25">
      <c r="A4052" s="4" t="s">
        <v>3890</v>
      </c>
      <c r="B4052" s="4" t="s">
        <v>3901</v>
      </c>
      <c r="C4052" s="9" t="s">
        <v>50</v>
      </c>
      <c r="D4052" s="10">
        <v>13.5</v>
      </c>
      <c r="E4052" s="11" t="s">
        <v>51</v>
      </c>
      <c r="F4052" s="10">
        <v>1500</v>
      </c>
      <c r="G4052" s="10">
        <v>0</v>
      </c>
      <c r="H4052" s="10">
        <f t="shared" si="63"/>
        <v>1500</v>
      </c>
      <c r="I4052" s="10"/>
      <c r="J4052" s="10"/>
      <c r="K4052" s="10"/>
      <c r="L4052" s="4" t="s">
        <v>52</v>
      </c>
      <c r="M4052" s="4">
        <v>4047</v>
      </c>
    </row>
    <row r="4053" spans="1:13" x14ac:dyDescent="0.25">
      <c r="A4053" s="4" t="s">
        <v>3890</v>
      </c>
      <c r="B4053" s="4" t="s">
        <v>1303</v>
      </c>
      <c r="C4053" s="4" t="s">
        <v>65</v>
      </c>
      <c r="D4053" s="10">
        <v>117</v>
      </c>
      <c r="E4053" s="12" t="s">
        <v>66</v>
      </c>
      <c r="F4053" s="10">
        <v>6900</v>
      </c>
      <c r="G4053" s="10">
        <v>0</v>
      </c>
      <c r="H4053" s="10">
        <f t="shared" si="63"/>
        <v>6900</v>
      </c>
      <c r="I4053" s="10">
        <v>110.4</v>
      </c>
      <c r="J4053" s="10">
        <v>110.4</v>
      </c>
      <c r="K4053" s="10">
        <v>110.4</v>
      </c>
      <c r="L4053" s="4"/>
      <c r="M4053" s="4">
        <v>4048</v>
      </c>
    </row>
    <row r="4054" spans="1:13" x14ac:dyDescent="0.25">
      <c r="A4054" s="4" t="s">
        <v>3902</v>
      </c>
      <c r="B4054" s="4" t="s">
        <v>3903</v>
      </c>
      <c r="C4054" s="4" t="s">
        <v>65</v>
      </c>
      <c r="D4054" s="10">
        <v>0.5</v>
      </c>
      <c r="E4054" s="12" t="s">
        <v>66</v>
      </c>
      <c r="F4054" s="10">
        <v>100</v>
      </c>
      <c r="G4054" s="10">
        <v>0</v>
      </c>
      <c r="H4054" s="10">
        <f t="shared" si="63"/>
        <v>100</v>
      </c>
      <c r="I4054" s="10">
        <v>200</v>
      </c>
      <c r="J4054" s="10">
        <v>200</v>
      </c>
      <c r="K4054" s="10">
        <v>200</v>
      </c>
      <c r="L4054" s="4"/>
      <c r="M4054" s="4">
        <v>4049</v>
      </c>
    </row>
    <row r="4055" spans="1:13" x14ac:dyDescent="0.25">
      <c r="A4055" s="4" t="s">
        <v>3902</v>
      </c>
      <c r="B4055" s="4" t="s">
        <v>3904</v>
      </c>
      <c r="C4055" s="4" t="s">
        <v>65</v>
      </c>
      <c r="D4055" s="10">
        <v>15</v>
      </c>
      <c r="E4055" s="12" t="s">
        <v>66</v>
      </c>
      <c r="F4055" s="10">
        <v>1700</v>
      </c>
      <c r="G4055" s="10">
        <v>0</v>
      </c>
      <c r="H4055" s="10">
        <f t="shared" si="63"/>
        <v>1700</v>
      </c>
      <c r="I4055" s="10">
        <v>113.3333333333333</v>
      </c>
      <c r="J4055" s="10">
        <v>113.3333333333333</v>
      </c>
      <c r="K4055" s="10">
        <v>113.3333333333333</v>
      </c>
      <c r="L4055" s="4"/>
      <c r="M4055" s="4">
        <v>4050</v>
      </c>
    </row>
    <row r="4056" spans="1:13" x14ac:dyDescent="0.25">
      <c r="A4056" s="4" t="s">
        <v>3902</v>
      </c>
      <c r="B4056" s="4" t="s">
        <v>3905</v>
      </c>
      <c r="C4056" s="4" t="s">
        <v>65</v>
      </c>
      <c r="D4056" s="10">
        <v>19.5</v>
      </c>
      <c r="E4056" s="12" t="s">
        <v>66</v>
      </c>
      <c r="F4056" s="10">
        <v>2150</v>
      </c>
      <c r="G4056" s="10">
        <v>0</v>
      </c>
      <c r="H4056" s="10">
        <f t="shared" si="63"/>
        <v>2150</v>
      </c>
      <c r="I4056" s="10">
        <v>110.25641025641031</v>
      </c>
      <c r="J4056" s="10">
        <v>110.25641025641031</v>
      </c>
      <c r="K4056" s="10">
        <v>110.25641025641031</v>
      </c>
      <c r="L4056" s="4"/>
      <c r="M4056" s="4">
        <v>4051</v>
      </c>
    </row>
    <row r="4057" spans="1:13" x14ac:dyDescent="0.25">
      <c r="A4057" s="4" t="s">
        <v>3902</v>
      </c>
      <c r="B4057" s="4" t="s">
        <v>3906</v>
      </c>
      <c r="C4057" s="4" t="s">
        <v>65</v>
      </c>
      <c r="D4057" s="10">
        <v>49</v>
      </c>
      <c r="E4057" s="12" t="s">
        <v>66</v>
      </c>
      <c r="F4057" s="10">
        <v>1700</v>
      </c>
      <c r="G4057" s="10">
        <v>0</v>
      </c>
      <c r="H4057" s="10">
        <f t="shared" si="63"/>
        <v>1700</v>
      </c>
      <c r="I4057" s="10">
        <v>87.179487179487182</v>
      </c>
      <c r="J4057" s="10">
        <v>87.179487179487182</v>
      </c>
      <c r="K4057" s="10">
        <v>87.179487179487182</v>
      </c>
      <c r="L4057" s="4"/>
      <c r="M4057" s="4">
        <v>4052</v>
      </c>
    </row>
    <row r="4058" spans="1:13" x14ac:dyDescent="0.25">
      <c r="A4058" s="4" t="s">
        <v>3907</v>
      </c>
      <c r="B4058" s="4" t="s">
        <v>3908</v>
      </c>
      <c r="C4058" s="4" t="s">
        <v>68</v>
      </c>
      <c r="D4058" s="10">
        <v>214</v>
      </c>
      <c r="E4058" s="11" t="s">
        <v>51</v>
      </c>
      <c r="F4058" s="10">
        <v>1100</v>
      </c>
      <c r="G4058" s="10">
        <v>0</v>
      </c>
      <c r="H4058" s="10">
        <f t="shared" si="63"/>
        <v>1100</v>
      </c>
      <c r="I4058" s="10"/>
      <c r="J4058" s="10"/>
      <c r="K4058" s="10"/>
      <c r="L4058" s="4" t="s">
        <v>69</v>
      </c>
      <c r="M4058" s="4">
        <v>4053</v>
      </c>
    </row>
    <row r="4059" spans="1:13" x14ac:dyDescent="0.25">
      <c r="A4059" s="4" t="s">
        <v>3909</v>
      </c>
      <c r="B4059" s="4" t="s">
        <v>3910</v>
      </c>
      <c r="C4059" s="4" t="s">
        <v>68</v>
      </c>
      <c r="D4059" s="10">
        <v>25</v>
      </c>
      <c r="E4059" s="11" t="s">
        <v>51</v>
      </c>
      <c r="F4059" s="10">
        <v>2375</v>
      </c>
      <c r="G4059" s="10">
        <v>0</v>
      </c>
      <c r="H4059" s="10">
        <f t="shared" si="63"/>
        <v>2375</v>
      </c>
      <c r="I4059" s="10"/>
      <c r="J4059" s="10"/>
      <c r="K4059" s="10"/>
      <c r="L4059" s="4" t="s">
        <v>69</v>
      </c>
      <c r="M4059" s="4">
        <v>4054</v>
      </c>
    </row>
    <row r="4060" spans="1:13" x14ac:dyDescent="0.25">
      <c r="A4060" s="4" t="s">
        <v>3909</v>
      </c>
      <c r="B4060" s="4" t="s">
        <v>3911</v>
      </c>
      <c r="C4060" s="4" t="s">
        <v>68</v>
      </c>
      <c r="D4060" s="10">
        <v>109</v>
      </c>
      <c r="E4060" s="11" t="s">
        <v>51</v>
      </c>
      <c r="F4060" s="10">
        <v>10355</v>
      </c>
      <c r="G4060" s="10">
        <v>0</v>
      </c>
      <c r="H4060" s="10">
        <f t="shared" si="63"/>
        <v>10355</v>
      </c>
      <c r="I4060" s="10"/>
      <c r="J4060" s="10"/>
      <c r="K4060" s="10"/>
      <c r="L4060" s="4" t="s">
        <v>69</v>
      </c>
      <c r="M4060" s="4">
        <v>4055</v>
      </c>
    </row>
    <row r="4061" spans="1:13" x14ac:dyDescent="0.25">
      <c r="A4061" s="4" t="s">
        <v>3909</v>
      </c>
      <c r="B4061" s="4" t="s">
        <v>3912</v>
      </c>
      <c r="C4061" s="4" t="s">
        <v>65</v>
      </c>
      <c r="D4061" s="10">
        <v>106</v>
      </c>
      <c r="E4061" s="12" t="s">
        <v>66</v>
      </c>
      <c r="F4061" s="10">
        <v>8750</v>
      </c>
      <c r="G4061" s="10">
        <v>0</v>
      </c>
      <c r="H4061" s="10">
        <f t="shared" si="63"/>
        <v>8750</v>
      </c>
      <c r="I4061" s="10">
        <v>109.375</v>
      </c>
      <c r="J4061" s="10">
        <v>109.375</v>
      </c>
      <c r="K4061" s="10">
        <v>109.375</v>
      </c>
      <c r="L4061" s="4"/>
      <c r="M4061" s="4">
        <v>4056</v>
      </c>
    </row>
    <row r="4062" spans="1:13" x14ac:dyDescent="0.25">
      <c r="A4062" s="4" t="s">
        <v>3913</v>
      </c>
      <c r="B4062" s="4" t="s">
        <v>3914</v>
      </c>
      <c r="C4062" s="4" t="s">
        <v>65</v>
      </c>
      <c r="D4062" s="10">
        <v>10</v>
      </c>
      <c r="E4062" s="12" t="s">
        <v>66</v>
      </c>
      <c r="F4062" s="10">
        <v>1000</v>
      </c>
      <c r="G4062" s="10">
        <v>0</v>
      </c>
      <c r="H4062" s="10">
        <f t="shared" si="63"/>
        <v>1000</v>
      </c>
      <c r="I4062" s="10">
        <v>100</v>
      </c>
      <c r="J4062" s="10">
        <v>100</v>
      </c>
      <c r="K4062" s="10">
        <v>100</v>
      </c>
      <c r="L4062" s="4"/>
      <c r="M4062" s="4">
        <v>4057</v>
      </c>
    </row>
    <row r="4063" spans="1:13" x14ac:dyDescent="0.25">
      <c r="A4063" s="4" t="s">
        <v>3913</v>
      </c>
      <c r="B4063" s="4" t="s">
        <v>3915</v>
      </c>
      <c r="C4063" s="4" t="s">
        <v>68</v>
      </c>
      <c r="D4063" s="10">
        <v>4</v>
      </c>
      <c r="E4063" s="11" t="s">
        <v>51</v>
      </c>
      <c r="F4063" s="10">
        <v>1586.56</v>
      </c>
      <c r="G4063" s="10">
        <v>0</v>
      </c>
      <c r="H4063" s="10">
        <f t="shared" si="63"/>
        <v>1586.56</v>
      </c>
      <c r="I4063" s="10"/>
      <c r="J4063" s="10"/>
      <c r="K4063" s="10"/>
      <c r="L4063" s="4" t="s">
        <v>69</v>
      </c>
      <c r="M4063" s="4">
        <v>4058</v>
      </c>
    </row>
    <row r="4064" spans="1:13" x14ac:dyDescent="0.25">
      <c r="A4064" s="4" t="s">
        <v>3916</v>
      </c>
      <c r="B4064" s="4" t="s">
        <v>3917</v>
      </c>
      <c r="C4064" s="4" t="s">
        <v>65</v>
      </c>
      <c r="D4064" s="10">
        <v>199</v>
      </c>
      <c r="E4064" s="12" t="s">
        <v>66</v>
      </c>
      <c r="F4064" s="10">
        <v>450</v>
      </c>
      <c r="G4064" s="10">
        <v>0</v>
      </c>
      <c r="H4064" s="10">
        <f t="shared" si="63"/>
        <v>450</v>
      </c>
      <c r="I4064" s="10">
        <v>112.5</v>
      </c>
      <c r="J4064" s="10">
        <v>112.5</v>
      </c>
      <c r="K4064" s="10">
        <v>112.5</v>
      </c>
      <c r="L4064" s="4"/>
      <c r="M4064" s="4">
        <v>4059</v>
      </c>
    </row>
    <row r="4065" spans="1:13" x14ac:dyDescent="0.25">
      <c r="A4065" s="4" t="s">
        <v>3918</v>
      </c>
      <c r="B4065" s="4" t="s">
        <v>3919</v>
      </c>
      <c r="C4065" s="4" t="s">
        <v>65</v>
      </c>
      <c r="D4065" s="10">
        <v>45</v>
      </c>
      <c r="E4065" s="12" t="s">
        <v>66</v>
      </c>
      <c r="F4065" s="10">
        <v>3150</v>
      </c>
      <c r="G4065" s="10">
        <v>0</v>
      </c>
      <c r="H4065" s="10">
        <f t="shared" si="63"/>
        <v>3150</v>
      </c>
      <c r="I4065" s="10">
        <v>70</v>
      </c>
      <c r="J4065" s="10">
        <v>70</v>
      </c>
      <c r="K4065" s="10">
        <v>70</v>
      </c>
      <c r="L4065" s="4"/>
      <c r="M4065" s="4">
        <v>4060</v>
      </c>
    </row>
    <row r="4066" spans="1:13" x14ac:dyDescent="0.25">
      <c r="A4066" s="4" t="s">
        <v>3918</v>
      </c>
      <c r="B4066" s="4" t="s">
        <v>3920</v>
      </c>
      <c r="C4066" s="4" t="s">
        <v>65</v>
      </c>
      <c r="D4066" s="10">
        <v>144</v>
      </c>
      <c r="E4066" s="12" t="s">
        <v>66</v>
      </c>
      <c r="F4066" s="10">
        <v>10500</v>
      </c>
      <c r="G4066" s="10">
        <v>0</v>
      </c>
      <c r="H4066" s="10">
        <f t="shared" si="63"/>
        <v>10500</v>
      </c>
      <c r="I4066" s="10">
        <v>70</v>
      </c>
      <c r="J4066" s="10">
        <v>70</v>
      </c>
      <c r="K4066" s="10">
        <v>70</v>
      </c>
      <c r="L4066" s="4"/>
      <c r="M4066" s="4">
        <v>4061</v>
      </c>
    </row>
    <row r="4067" spans="1:13" x14ac:dyDescent="0.25">
      <c r="A4067" s="4" t="s">
        <v>3921</v>
      </c>
      <c r="B4067" s="4" t="s">
        <v>3922</v>
      </c>
      <c r="C4067" s="4" t="s">
        <v>68</v>
      </c>
      <c r="D4067" s="10">
        <v>40</v>
      </c>
      <c r="E4067" s="11" t="s">
        <v>51</v>
      </c>
      <c r="F4067" s="10">
        <v>4600</v>
      </c>
      <c r="G4067" s="10">
        <v>0</v>
      </c>
      <c r="H4067" s="10">
        <f t="shared" si="63"/>
        <v>4600</v>
      </c>
      <c r="I4067" s="10"/>
      <c r="J4067" s="10"/>
      <c r="K4067" s="10"/>
      <c r="L4067" s="4" t="s">
        <v>69</v>
      </c>
      <c r="M4067" s="4">
        <v>4062</v>
      </c>
    </row>
    <row r="4068" spans="1:13" x14ac:dyDescent="0.25">
      <c r="A4068" s="4" t="s">
        <v>3921</v>
      </c>
      <c r="B4068" s="4" t="s">
        <v>1804</v>
      </c>
      <c r="C4068" s="4" t="s">
        <v>65</v>
      </c>
      <c r="D4068" s="10">
        <v>80</v>
      </c>
      <c r="E4068" s="12" t="s">
        <v>66</v>
      </c>
      <c r="F4068" s="10">
        <v>8500</v>
      </c>
      <c r="G4068" s="10">
        <v>0</v>
      </c>
      <c r="H4068" s="10">
        <f t="shared" si="63"/>
        <v>8500</v>
      </c>
      <c r="I4068" s="10">
        <v>106.25</v>
      </c>
      <c r="J4068" s="10">
        <v>106.25</v>
      </c>
      <c r="K4068" s="10">
        <v>106.25</v>
      </c>
      <c r="L4068" s="4"/>
      <c r="M4068" s="4">
        <v>4063</v>
      </c>
    </row>
    <row r="4069" spans="1:13" x14ac:dyDescent="0.25">
      <c r="A4069" s="4" t="s">
        <v>3921</v>
      </c>
      <c r="B4069" s="4" t="s">
        <v>3923</v>
      </c>
      <c r="C4069" s="4" t="s">
        <v>68</v>
      </c>
      <c r="D4069" s="10">
        <v>1551</v>
      </c>
      <c r="E4069" s="11" t="s">
        <v>51</v>
      </c>
      <c r="F4069" s="10">
        <v>2760</v>
      </c>
      <c r="G4069" s="10">
        <v>0</v>
      </c>
      <c r="H4069" s="10">
        <f t="shared" si="63"/>
        <v>2760</v>
      </c>
      <c r="I4069" s="10"/>
      <c r="J4069" s="10"/>
      <c r="K4069" s="10"/>
      <c r="L4069" s="4" t="s">
        <v>69</v>
      </c>
      <c r="M4069" s="4">
        <v>4064</v>
      </c>
    </row>
    <row r="4070" spans="1:13" x14ac:dyDescent="0.25">
      <c r="A4070" s="4" t="s">
        <v>3924</v>
      </c>
      <c r="B4070" s="4" t="s">
        <v>3925</v>
      </c>
      <c r="C4070" s="4" t="s">
        <v>65</v>
      </c>
      <c r="D4070" s="10">
        <v>937</v>
      </c>
      <c r="E4070" s="12" t="s">
        <v>66</v>
      </c>
      <c r="F4070" s="10">
        <v>91700</v>
      </c>
      <c r="G4070" s="10">
        <v>0</v>
      </c>
      <c r="H4070" s="10">
        <f t="shared" si="63"/>
        <v>91700</v>
      </c>
      <c r="I4070" s="10">
        <v>97.865528281750272</v>
      </c>
      <c r="J4070" s="10">
        <v>97.865528281750272</v>
      </c>
      <c r="K4070" s="10">
        <v>97.865528281750272</v>
      </c>
      <c r="L4070" s="4"/>
      <c r="M4070" s="4">
        <v>4065</v>
      </c>
    </row>
    <row r="4071" spans="1:13" x14ac:dyDescent="0.25">
      <c r="A4071" s="4" t="s">
        <v>3924</v>
      </c>
      <c r="B4071" s="4" t="s">
        <v>3926</v>
      </c>
      <c r="C4071" s="9" t="s">
        <v>50</v>
      </c>
      <c r="D4071" s="10">
        <v>644</v>
      </c>
      <c r="E4071" s="11" t="s">
        <v>51</v>
      </c>
      <c r="F4071" s="10">
        <v>60120</v>
      </c>
      <c r="G4071" s="10">
        <v>0</v>
      </c>
      <c r="H4071" s="10">
        <f t="shared" si="63"/>
        <v>60120</v>
      </c>
      <c r="I4071" s="10"/>
      <c r="J4071" s="10"/>
      <c r="K4071" s="10"/>
      <c r="L4071" s="4" t="s">
        <v>52</v>
      </c>
      <c r="M4071" s="4">
        <v>4066</v>
      </c>
    </row>
    <row r="4072" spans="1:13" x14ac:dyDescent="0.25">
      <c r="A4072" s="4" t="s">
        <v>3927</v>
      </c>
      <c r="B4072" s="4" t="s">
        <v>3928</v>
      </c>
      <c r="C4072" s="4" t="s">
        <v>65</v>
      </c>
      <c r="D4072" s="10">
        <v>28</v>
      </c>
      <c r="E4072" s="12" t="s">
        <v>66</v>
      </c>
      <c r="F4072" s="10">
        <v>3500</v>
      </c>
      <c r="G4072" s="10">
        <v>0</v>
      </c>
      <c r="H4072" s="10">
        <f t="shared" si="63"/>
        <v>3500</v>
      </c>
      <c r="I4072" s="10">
        <v>125</v>
      </c>
      <c r="J4072" s="10">
        <v>125</v>
      </c>
      <c r="K4072" s="10">
        <v>125</v>
      </c>
      <c r="L4072" s="4"/>
      <c r="M4072" s="4">
        <v>4067</v>
      </c>
    </row>
    <row r="4073" spans="1:13" x14ac:dyDescent="0.25">
      <c r="A4073" s="4" t="s">
        <v>3927</v>
      </c>
      <c r="B4073" s="4" t="s">
        <v>3369</v>
      </c>
      <c r="C4073" s="4" t="s">
        <v>65</v>
      </c>
      <c r="D4073" s="10">
        <v>2038</v>
      </c>
      <c r="E4073" s="12" t="s">
        <v>66</v>
      </c>
      <c r="F4073" s="10">
        <v>100</v>
      </c>
      <c r="G4073" s="10">
        <v>0</v>
      </c>
      <c r="H4073" s="10">
        <f t="shared" si="63"/>
        <v>100</v>
      </c>
      <c r="I4073" s="10">
        <v>50</v>
      </c>
      <c r="J4073" s="10">
        <v>50</v>
      </c>
      <c r="K4073" s="10">
        <v>50</v>
      </c>
      <c r="L4073" s="4"/>
      <c r="M4073" s="4">
        <v>4068</v>
      </c>
    </row>
    <row r="4074" spans="1:13" x14ac:dyDescent="0.25">
      <c r="A4074" s="4" t="s">
        <v>3929</v>
      </c>
      <c r="B4074" s="4" t="s">
        <v>3930</v>
      </c>
      <c r="C4074" s="4" t="s">
        <v>65</v>
      </c>
      <c r="D4074" s="10">
        <v>1339</v>
      </c>
      <c r="E4074" s="12" t="s">
        <v>66</v>
      </c>
      <c r="F4074" s="10">
        <v>130967.86</v>
      </c>
      <c r="G4074" s="10">
        <v>0</v>
      </c>
      <c r="H4074" s="10">
        <f t="shared" si="63"/>
        <v>130967.86</v>
      </c>
      <c r="I4074" s="10">
        <v>97.81020164301718</v>
      </c>
      <c r="J4074" s="10">
        <v>97.81020164301718</v>
      </c>
      <c r="K4074" s="10">
        <v>97.81020164301718</v>
      </c>
      <c r="L4074" s="4"/>
      <c r="M4074" s="4">
        <v>4069</v>
      </c>
    </row>
    <row r="4075" spans="1:13" x14ac:dyDescent="0.25">
      <c r="A4075" s="4" t="s">
        <v>3929</v>
      </c>
      <c r="B4075" s="4" t="s">
        <v>3931</v>
      </c>
      <c r="C4075" s="4" t="s">
        <v>65</v>
      </c>
      <c r="D4075" s="10">
        <v>3912</v>
      </c>
      <c r="E4075" s="12" t="s">
        <v>66</v>
      </c>
      <c r="F4075" s="10">
        <v>68453</v>
      </c>
      <c r="G4075" s="10">
        <v>0</v>
      </c>
      <c r="H4075" s="10">
        <f t="shared" si="63"/>
        <v>68453</v>
      </c>
      <c r="I4075" s="10">
        <v>97.929899856938491</v>
      </c>
      <c r="J4075" s="10">
        <v>97.929899856938491</v>
      </c>
      <c r="K4075" s="10">
        <v>97.929899856938491</v>
      </c>
      <c r="L4075" s="4"/>
      <c r="M4075" s="4">
        <v>4070</v>
      </c>
    </row>
    <row r="4076" spans="1:13" x14ac:dyDescent="0.25">
      <c r="A4076" s="4" t="s">
        <v>3932</v>
      </c>
      <c r="B4076" s="4" t="s">
        <v>3933</v>
      </c>
      <c r="C4076" s="4" t="s">
        <v>65</v>
      </c>
      <c r="D4076" s="10">
        <v>2133</v>
      </c>
      <c r="E4076" s="12" t="s">
        <v>66</v>
      </c>
      <c r="F4076" s="10">
        <v>208590</v>
      </c>
      <c r="G4076" s="10">
        <v>0</v>
      </c>
      <c r="H4076" s="10">
        <f t="shared" si="63"/>
        <v>208590</v>
      </c>
      <c r="I4076" s="10">
        <v>97.791842475386773</v>
      </c>
      <c r="J4076" s="10">
        <v>97.791842475386773</v>
      </c>
      <c r="K4076" s="10">
        <v>97.791842475386773</v>
      </c>
      <c r="L4076" s="4"/>
      <c r="M4076" s="4">
        <v>4071</v>
      </c>
    </row>
    <row r="4077" spans="1:13" x14ac:dyDescent="0.25">
      <c r="A4077" s="4" t="s">
        <v>3932</v>
      </c>
      <c r="B4077" s="4" t="s">
        <v>3931</v>
      </c>
      <c r="C4077" s="4" t="s">
        <v>65</v>
      </c>
      <c r="D4077" s="10">
        <v>1425</v>
      </c>
      <c r="E4077" s="12" t="s">
        <v>66</v>
      </c>
      <c r="F4077" s="10">
        <v>105664</v>
      </c>
      <c r="G4077" s="10">
        <v>0</v>
      </c>
      <c r="H4077" s="10">
        <f t="shared" si="63"/>
        <v>105664</v>
      </c>
      <c r="I4077" s="10">
        <v>97.837037037037035</v>
      </c>
      <c r="J4077" s="10">
        <v>97.837037037037035</v>
      </c>
      <c r="K4077" s="10">
        <v>97.837037037037035</v>
      </c>
      <c r="L4077" s="4"/>
      <c r="M4077" s="4">
        <v>4072</v>
      </c>
    </row>
    <row r="4078" spans="1:13" x14ac:dyDescent="0.25">
      <c r="A4078" s="4" t="s">
        <v>3934</v>
      </c>
      <c r="B4078" s="4" t="s">
        <v>3935</v>
      </c>
      <c r="C4078" s="4" t="s">
        <v>68</v>
      </c>
      <c r="D4078" s="10">
        <v>45</v>
      </c>
      <c r="E4078" s="11" t="s">
        <v>51</v>
      </c>
      <c r="F4078" s="10">
        <v>5400</v>
      </c>
      <c r="G4078" s="10">
        <v>0</v>
      </c>
      <c r="H4078" s="10">
        <f t="shared" si="63"/>
        <v>5400</v>
      </c>
      <c r="I4078" s="10"/>
      <c r="J4078" s="10"/>
      <c r="K4078" s="10"/>
      <c r="L4078" s="4" t="s">
        <v>69</v>
      </c>
      <c r="M4078" s="4">
        <v>4073</v>
      </c>
    </row>
    <row r="4079" spans="1:13" x14ac:dyDescent="0.25">
      <c r="A4079" s="4" t="s">
        <v>3934</v>
      </c>
      <c r="B4079" s="4" t="s">
        <v>3936</v>
      </c>
      <c r="C4079" s="4" t="s">
        <v>68</v>
      </c>
      <c r="D4079" s="10">
        <v>100</v>
      </c>
      <c r="E4079" s="11" t="s">
        <v>51</v>
      </c>
      <c r="F4079" s="10">
        <v>12000</v>
      </c>
      <c r="G4079" s="10">
        <v>0</v>
      </c>
      <c r="H4079" s="10">
        <f t="shared" si="63"/>
        <v>12000</v>
      </c>
      <c r="I4079" s="10"/>
      <c r="J4079" s="10"/>
      <c r="K4079" s="10"/>
      <c r="L4079" s="4" t="s">
        <v>69</v>
      </c>
      <c r="M4079" s="4">
        <v>4074</v>
      </c>
    </row>
    <row r="4080" spans="1:13" x14ac:dyDescent="0.25">
      <c r="A4080" s="4" t="s">
        <v>3934</v>
      </c>
      <c r="B4080" s="4" t="s">
        <v>3937</v>
      </c>
      <c r="C4080" s="4" t="s">
        <v>68</v>
      </c>
      <c r="D4080" s="10">
        <v>240</v>
      </c>
      <c r="E4080" s="11" t="s">
        <v>51</v>
      </c>
      <c r="F4080" s="10">
        <v>210</v>
      </c>
      <c r="G4080" s="10">
        <v>0</v>
      </c>
      <c r="H4080" s="10">
        <f t="shared" si="63"/>
        <v>210</v>
      </c>
      <c r="I4080" s="10"/>
      <c r="J4080" s="10"/>
      <c r="K4080" s="10"/>
      <c r="L4080" s="4" t="s">
        <v>69</v>
      </c>
      <c r="M4080" s="4">
        <v>4075</v>
      </c>
    </row>
    <row r="4081" spans="1:13" x14ac:dyDescent="0.25">
      <c r="A4081" s="4" t="s">
        <v>3938</v>
      </c>
      <c r="B4081" s="4" t="s">
        <v>1036</v>
      </c>
      <c r="C4081" s="4" t="s">
        <v>68</v>
      </c>
      <c r="D4081" s="10">
        <v>40</v>
      </c>
      <c r="E4081" s="11" t="s">
        <v>51</v>
      </c>
      <c r="F4081" s="10">
        <v>4800</v>
      </c>
      <c r="G4081" s="10">
        <v>0</v>
      </c>
      <c r="H4081" s="10">
        <f t="shared" si="63"/>
        <v>4800</v>
      </c>
      <c r="I4081" s="10"/>
      <c r="J4081" s="10"/>
      <c r="K4081" s="10"/>
      <c r="L4081" s="4" t="s">
        <v>69</v>
      </c>
      <c r="M4081" s="4">
        <v>4076</v>
      </c>
    </row>
    <row r="4082" spans="1:13" x14ac:dyDescent="0.25">
      <c r="A4082" s="4" t="s">
        <v>3939</v>
      </c>
      <c r="B4082" s="4" t="s">
        <v>3940</v>
      </c>
      <c r="C4082" s="4" t="s">
        <v>65</v>
      </c>
      <c r="D4082" s="10">
        <v>72</v>
      </c>
      <c r="E4082" s="11" t="s">
        <v>51</v>
      </c>
      <c r="F4082" s="10">
        <v>60000</v>
      </c>
      <c r="G4082" s="10">
        <v>0</v>
      </c>
      <c r="H4082" s="10">
        <f t="shared" si="63"/>
        <v>60000</v>
      </c>
      <c r="I4082" s="10"/>
      <c r="J4082" s="10"/>
      <c r="K4082" s="10"/>
      <c r="L4082" s="4" t="s">
        <v>69</v>
      </c>
      <c r="M4082" s="4">
        <v>4077</v>
      </c>
    </row>
    <row r="4083" spans="1:13" x14ac:dyDescent="0.25">
      <c r="A4083" s="4" t="s">
        <v>3941</v>
      </c>
      <c r="B4083" s="4" t="s">
        <v>3942</v>
      </c>
      <c r="C4083" s="4" t="s">
        <v>65</v>
      </c>
      <c r="D4083" s="10">
        <v>8</v>
      </c>
      <c r="E4083" s="12" t="s">
        <v>66</v>
      </c>
      <c r="F4083" s="10">
        <v>650</v>
      </c>
      <c r="G4083" s="10">
        <v>0</v>
      </c>
      <c r="H4083" s="10">
        <f t="shared" si="63"/>
        <v>650</v>
      </c>
      <c r="I4083" s="10">
        <v>81.25</v>
      </c>
      <c r="J4083" s="10">
        <v>81.25</v>
      </c>
      <c r="K4083" s="10">
        <v>81.25</v>
      </c>
      <c r="L4083" s="4"/>
      <c r="M4083" s="4">
        <v>4078</v>
      </c>
    </row>
    <row r="4084" spans="1:13" x14ac:dyDescent="0.25">
      <c r="A4084" s="4" t="s">
        <v>3941</v>
      </c>
      <c r="B4084" s="4" t="s">
        <v>649</v>
      </c>
      <c r="C4084" s="4" t="s">
        <v>65</v>
      </c>
      <c r="D4084" s="10">
        <v>637</v>
      </c>
      <c r="E4084" s="12" t="s">
        <v>66</v>
      </c>
      <c r="F4084" s="10">
        <v>5200</v>
      </c>
      <c r="G4084" s="10">
        <v>0</v>
      </c>
      <c r="H4084" s="10">
        <f t="shared" si="63"/>
        <v>5200</v>
      </c>
      <c r="I4084" s="10">
        <v>81.25</v>
      </c>
      <c r="J4084" s="10">
        <v>81.25</v>
      </c>
      <c r="K4084" s="10">
        <v>81.25</v>
      </c>
      <c r="L4084" s="4"/>
      <c r="M4084" s="4">
        <v>4079</v>
      </c>
    </row>
    <row r="4085" spans="1:13" x14ac:dyDescent="0.25">
      <c r="A4085" s="4" t="s">
        <v>3943</v>
      </c>
      <c r="B4085" s="4" t="s">
        <v>3944</v>
      </c>
      <c r="C4085" s="4" t="s">
        <v>65</v>
      </c>
      <c r="D4085" s="10">
        <v>89</v>
      </c>
      <c r="E4085" s="12" t="s">
        <v>66</v>
      </c>
      <c r="F4085" s="10">
        <v>10300</v>
      </c>
      <c r="G4085" s="10">
        <v>0</v>
      </c>
      <c r="H4085" s="10">
        <f t="shared" si="63"/>
        <v>10300</v>
      </c>
      <c r="I4085" s="10">
        <v>115.7303370786517</v>
      </c>
      <c r="J4085" s="10">
        <v>115.7303370786517</v>
      </c>
      <c r="K4085" s="10">
        <v>115.7303370786517</v>
      </c>
      <c r="L4085" s="4"/>
      <c r="M4085" s="4">
        <v>4080</v>
      </c>
    </row>
    <row r="4086" spans="1:13" x14ac:dyDescent="0.25">
      <c r="A4086" s="4" t="s">
        <v>3943</v>
      </c>
      <c r="B4086" s="4" t="s">
        <v>3945</v>
      </c>
      <c r="C4086" s="4" t="s">
        <v>68</v>
      </c>
      <c r="D4086" s="10">
        <v>80</v>
      </c>
      <c r="E4086" s="11" t="s">
        <v>51</v>
      </c>
      <c r="F4086" s="10">
        <v>9430</v>
      </c>
      <c r="G4086" s="10">
        <v>0</v>
      </c>
      <c r="H4086" s="10">
        <f t="shared" si="63"/>
        <v>9430</v>
      </c>
      <c r="I4086" s="10"/>
      <c r="J4086" s="10"/>
      <c r="K4086" s="10"/>
      <c r="L4086" s="4" t="s">
        <v>69</v>
      </c>
      <c r="M4086" s="4">
        <v>4081</v>
      </c>
    </row>
    <row r="4087" spans="1:13" x14ac:dyDescent="0.25">
      <c r="A4087" s="4" t="s">
        <v>3943</v>
      </c>
      <c r="B4087" s="4" t="s">
        <v>3946</v>
      </c>
      <c r="C4087" s="9" t="s">
        <v>50</v>
      </c>
      <c r="D4087" s="10">
        <v>20</v>
      </c>
      <c r="E4087" s="11" t="s">
        <v>51</v>
      </c>
      <c r="F4087" s="10">
        <v>2070</v>
      </c>
      <c r="G4087" s="10">
        <v>0</v>
      </c>
      <c r="H4087" s="10">
        <f t="shared" si="63"/>
        <v>2070</v>
      </c>
      <c r="I4087" s="10"/>
      <c r="J4087" s="10"/>
      <c r="K4087" s="10"/>
      <c r="L4087" s="4" t="s">
        <v>52</v>
      </c>
      <c r="M4087" s="4">
        <v>4082</v>
      </c>
    </row>
    <row r="4088" spans="1:13" x14ac:dyDescent="0.25">
      <c r="A4088" s="4" t="s">
        <v>3943</v>
      </c>
      <c r="B4088" s="4" t="s">
        <v>3947</v>
      </c>
      <c r="C4088" s="9" t="s">
        <v>50</v>
      </c>
      <c r="D4088" s="10"/>
      <c r="E4088" s="11" t="s">
        <v>51</v>
      </c>
      <c r="F4088" s="10"/>
      <c r="G4088" s="10">
        <v>0</v>
      </c>
      <c r="H4088" s="10">
        <f t="shared" si="63"/>
        <v>0</v>
      </c>
      <c r="I4088" s="10"/>
      <c r="J4088" s="10"/>
      <c r="K4088" s="10"/>
      <c r="L4088" s="4" t="s">
        <v>52</v>
      </c>
      <c r="M4088" s="4">
        <v>4083</v>
      </c>
    </row>
    <row r="4089" spans="1:13" x14ac:dyDescent="0.25">
      <c r="A4089" s="4" t="s">
        <v>3943</v>
      </c>
      <c r="B4089" s="4" t="s">
        <v>3948</v>
      </c>
      <c r="C4089" s="9" t="s">
        <v>50</v>
      </c>
      <c r="D4089" s="10"/>
      <c r="E4089" s="11" t="s">
        <v>51</v>
      </c>
      <c r="F4089" s="10"/>
      <c r="G4089" s="10">
        <v>0</v>
      </c>
      <c r="H4089" s="10">
        <f t="shared" si="63"/>
        <v>0</v>
      </c>
      <c r="I4089" s="10"/>
      <c r="J4089" s="10"/>
      <c r="K4089" s="10"/>
      <c r="L4089" s="4" t="s">
        <v>52</v>
      </c>
      <c r="M4089" s="4">
        <v>4084</v>
      </c>
    </row>
    <row r="4090" spans="1:13" x14ac:dyDescent="0.25">
      <c r="A4090" s="4" t="s">
        <v>3943</v>
      </c>
      <c r="B4090" s="4" t="s">
        <v>3949</v>
      </c>
      <c r="C4090" s="9" t="s">
        <v>50</v>
      </c>
      <c r="D4090" s="10">
        <v>231</v>
      </c>
      <c r="E4090" s="11" t="s">
        <v>51</v>
      </c>
      <c r="F4090" s="10">
        <v>22450</v>
      </c>
      <c r="G4090" s="10">
        <v>0</v>
      </c>
      <c r="H4090" s="10">
        <f t="shared" si="63"/>
        <v>22450</v>
      </c>
      <c r="I4090" s="10"/>
      <c r="J4090" s="10"/>
      <c r="K4090" s="10"/>
      <c r="L4090" s="4" t="s">
        <v>52</v>
      </c>
      <c r="M4090" s="4">
        <v>4085</v>
      </c>
    </row>
    <row r="4091" spans="1:13" x14ac:dyDescent="0.25">
      <c r="A4091" s="4" t="s">
        <v>3950</v>
      </c>
      <c r="B4091" s="4" t="s">
        <v>3951</v>
      </c>
      <c r="C4091" s="4" t="s">
        <v>65</v>
      </c>
      <c r="D4091" s="10">
        <v>58</v>
      </c>
      <c r="E4091" s="12" t="s">
        <v>66</v>
      </c>
      <c r="F4091" s="10">
        <v>4700</v>
      </c>
      <c r="G4091" s="10">
        <v>0</v>
      </c>
      <c r="H4091" s="10">
        <f t="shared" si="63"/>
        <v>4700</v>
      </c>
      <c r="I4091" s="10">
        <v>130.55555555555549</v>
      </c>
      <c r="J4091" s="10">
        <v>130.55555555555549</v>
      </c>
      <c r="K4091" s="10">
        <v>130.55555555555549</v>
      </c>
      <c r="L4091" s="4"/>
      <c r="M4091" s="4">
        <v>4086</v>
      </c>
    </row>
    <row r="4092" spans="1:13" x14ac:dyDescent="0.25">
      <c r="A4092" s="4" t="s">
        <v>3952</v>
      </c>
      <c r="B4092" s="4" t="s">
        <v>3953</v>
      </c>
      <c r="C4092" s="4" t="s">
        <v>65</v>
      </c>
      <c r="D4092" s="10">
        <v>34</v>
      </c>
      <c r="E4092" s="12" t="s">
        <v>66</v>
      </c>
      <c r="F4092" s="10">
        <v>3050</v>
      </c>
      <c r="G4092" s="10">
        <v>0</v>
      </c>
      <c r="H4092" s="10">
        <f t="shared" si="63"/>
        <v>3050</v>
      </c>
      <c r="I4092" s="10">
        <v>138.6363636363636</v>
      </c>
      <c r="J4092" s="10">
        <v>138.6363636363636</v>
      </c>
      <c r="K4092" s="10">
        <v>138.6363636363636</v>
      </c>
      <c r="L4092" s="4"/>
      <c r="M4092" s="4">
        <v>4087</v>
      </c>
    </row>
    <row r="4093" spans="1:13" x14ac:dyDescent="0.25">
      <c r="A4093" s="4" t="s">
        <v>3954</v>
      </c>
      <c r="B4093" s="4" t="s">
        <v>3955</v>
      </c>
      <c r="C4093" s="4" t="s">
        <v>65</v>
      </c>
      <c r="D4093" s="10">
        <v>104</v>
      </c>
      <c r="E4093" s="12" t="s">
        <v>66</v>
      </c>
      <c r="F4093" s="10">
        <v>1500</v>
      </c>
      <c r="G4093" s="10">
        <v>0</v>
      </c>
      <c r="H4093" s="10">
        <f t="shared" si="63"/>
        <v>1500</v>
      </c>
      <c r="I4093" s="10">
        <v>125</v>
      </c>
      <c r="J4093" s="10">
        <v>125</v>
      </c>
      <c r="K4093" s="10">
        <v>125</v>
      </c>
      <c r="L4093" s="4"/>
      <c r="M4093" s="4">
        <v>4088</v>
      </c>
    </row>
    <row r="4094" spans="1:13" x14ac:dyDescent="0.25">
      <c r="A4094" s="4" t="s">
        <v>3956</v>
      </c>
      <c r="B4094" s="4" t="s">
        <v>3957</v>
      </c>
      <c r="C4094" s="4" t="s">
        <v>68</v>
      </c>
      <c r="D4094" s="10">
        <v>20</v>
      </c>
      <c r="E4094" s="11" t="s">
        <v>51</v>
      </c>
      <c r="F4094" s="10">
        <v>2400</v>
      </c>
      <c r="G4094" s="10">
        <v>0</v>
      </c>
      <c r="H4094" s="10">
        <f t="shared" si="63"/>
        <v>2400</v>
      </c>
      <c r="I4094" s="10"/>
      <c r="J4094" s="10"/>
      <c r="K4094" s="10"/>
      <c r="L4094" s="4" t="s">
        <v>69</v>
      </c>
      <c r="M4094" s="4">
        <v>4089</v>
      </c>
    </row>
    <row r="4095" spans="1:13" x14ac:dyDescent="0.25">
      <c r="A4095" s="4" t="s">
        <v>3956</v>
      </c>
      <c r="B4095" s="4" t="s">
        <v>3958</v>
      </c>
      <c r="C4095" s="4" t="s">
        <v>68</v>
      </c>
      <c r="D4095" s="10">
        <v>40</v>
      </c>
      <c r="E4095" s="11" t="s">
        <v>51</v>
      </c>
      <c r="F4095" s="10">
        <v>4800</v>
      </c>
      <c r="G4095" s="10">
        <v>0</v>
      </c>
      <c r="H4095" s="10">
        <f t="shared" si="63"/>
        <v>4800</v>
      </c>
      <c r="I4095" s="10"/>
      <c r="J4095" s="10"/>
      <c r="K4095" s="10"/>
      <c r="L4095" s="4" t="s">
        <v>69</v>
      </c>
      <c r="M4095" s="4">
        <v>4090</v>
      </c>
    </row>
    <row r="4096" spans="1:13" x14ac:dyDescent="0.25">
      <c r="A4096" s="4" t="s">
        <v>3956</v>
      </c>
      <c r="B4096" s="4" t="s">
        <v>3959</v>
      </c>
      <c r="C4096" s="4" t="s">
        <v>68</v>
      </c>
      <c r="D4096" s="10">
        <v>16</v>
      </c>
      <c r="E4096" s="11" t="s">
        <v>51</v>
      </c>
      <c r="F4096" s="10">
        <v>1280</v>
      </c>
      <c r="G4096" s="10">
        <v>0</v>
      </c>
      <c r="H4096" s="10">
        <f t="shared" si="63"/>
        <v>1280</v>
      </c>
      <c r="I4096" s="10"/>
      <c r="J4096" s="10"/>
      <c r="K4096" s="10"/>
      <c r="L4096" s="4" t="s">
        <v>69</v>
      </c>
      <c r="M4096" s="4">
        <v>4091</v>
      </c>
    </row>
    <row r="4097" spans="1:13" x14ac:dyDescent="0.25">
      <c r="A4097" s="4" t="s">
        <v>3956</v>
      </c>
      <c r="B4097" s="4" t="s">
        <v>3960</v>
      </c>
      <c r="C4097" s="4" t="s">
        <v>68</v>
      </c>
      <c r="D4097" s="10">
        <v>66</v>
      </c>
      <c r="E4097" s="11" t="s">
        <v>51</v>
      </c>
      <c r="F4097" s="10">
        <v>1920</v>
      </c>
      <c r="G4097" s="10">
        <v>0</v>
      </c>
      <c r="H4097" s="10">
        <f t="shared" si="63"/>
        <v>1920</v>
      </c>
      <c r="I4097" s="10"/>
      <c r="J4097" s="10"/>
      <c r="K4097" s="10"/>
      <c r="L4097" s="4" t="s">
        <v>69</v>
      </c>
      <c r="M4097" s="4">
        <v>4092</v>
      </c>
    </row>
    <row r="4098" spans="1:13" x14ac:dyDescent="0.25">
      <c r="A4098" s="4" t="s">
        <v>3961</v>
      </c>
      <c r="B4098" s="4" t="s">
        <v>3962</v>
      </c>
      <c r="C4098" s="4" t="s">
        <v>68</v>
      </c>
      <c r="D4098" s="10">
        <v>85</v>
      </c>
      <c r="E4098" s="11" t="s">
        <v>51</v>
      </c>
      <c r="F4098" s="10">
        <v>6000</v>
      </c>
      <c r="G4098" s="10">
        <v>0</v>
      </c>
      <c r="H4098" s="10">
        <f t="shared" si="63"/>
        <v>6000</v>
      </c>
      <c r="I4098" s="10"/>
      <c r="J4098" s="10"/>
      <c r="K4098" s="10"/>
      <c r="L4098" s="4" t="s">
        <v>69</v>
      </c>
      <c r="M4098" s="4">
        <v>4093</v>
      </c>
    </row>
    <row r="4099" spans="1:13" x14ac:dyDescent="0.25">
      <c r="A4099" s="4" t="s">
        <v>3963</v>
      </c>
      <c r="B4099" s="4" t="s">
        <v>453</v>
      </c>
      <c r="C4099" s="4" t="s">
        <v>65</v>
      </c>
      <c r="D4099" s="10">
        <v>228</v>
      </c>
      <c r="E4099" s="12" t="s">
        <v>66</v>
      </c>
      <c r="F4099" s="10">
        <v>3550</v>
      </c>
      <c r="G4099" s="10">
        <v>0</v>
      </c>
      <c r="H4099" s="10">
        <f t="shared" si="63"/>
        <v>3550</v>
      </c>
      <c r="I4099" s="10">
        <v>101.4285714285714</v>
      </c>
      <c r="J4099" s="10">
        <v>101.4285714285714</v>
      </c>
      <c r="K4099" s="10">
        <v>101.4285714285714</v>
      </c>
      <c r="L4099" s="4"/>
      <c r="M4099" s="4">
        <v>4094</v>
      </c>
    </row>
    <row r="4100" spans="1:13" x14ac:dyDescent="0.25">
      <c r="A4100" s="4" t="s">
        <v>3964</v>
      </c>
      <c r="B4100" s="4" t="s">
        <v>3965</v>
      </c>
      <c r="C4100" s="9" t="s">
        <v>50</v>
      </c>
      <c r="D4100" s="10">
        <v>39</v>
      </c>
      <c r="E4100" s="11" t="s">
        <v>51</v>
      </c>
      <c r="F4100" s="10">
        <v>4273.46</v>
      </c>
      <c r="G4100" s="10">
        <v>0</v>
      </c>
      <c r="H4100" s="10">
        <f t="shared" si="63"/>
        <v>4273.46</v>
      </c>
      <c r="I4100" s="10"/>
      <c r="J4100" s="10"/>
      <c r="K4100" s="10"/>
      <c r="L4100" s="4" t="s">
        <v>52</v>
      </c>
      <c r="M4100" s="4">
        <v>4095</v>
      </c>
    </row>
    <row r="4101" spans="1:13" x14ac:dyDescent="0.25">
      <c r="A4101" s="4" t="s">
        <v>3964</v>
      </c>
      <c r="B4101" s="4" t="s">
        <v>3966</v>
      </c>
      <c r="C4101" s="9" t="s">
        <v>50</v>
      </c>
      <c r="D4101" s="10">
        <v>75</v>
      </c>
      <c r="E4101" s="11" t="s">
        <v>51</v>
      </c>
      <c r="F4101" s="10">
        <v>8182.71</v>
      </c>
      <c r="G4101" s="10">
        <v>0</v>
      </c>
      <c r="H4101" s="10">
        <f t="shared" si="63"/>
        <v>8182.71</v>
      </c>
      <c r="I4101" s="10"/>
      <c r="J4101" s="10"/>
      <c r="K4101" s="10"/>
      <c r="L4101" s="4" t="s">
        <v>52</v>
      </c>
      <c r="M4101" s="4">
        <v>4096</v>
      </c>
    </row>
    <row r="4102" spans="1:13" x14ac:dyDescent="0.25">
      <c r="A4102" s="4" t="s">
        <v>3964</v>
      </c>
      <c r="B4102" s="4" t="s">
        <v>3967</v>
      </c>
      <c r="C4102" s="9" t="s">
        <v>50</v>
      </c>
      <c r="D4102" s="10">
        <v>77</v>
      </c>
      <c r="E4102" s="11" t="s">
        <v>51</v>
      </c>
      <c r="F4102" s="10">
        <v>8498.3700000000008</v>
      </c>
      <c r="G4102" s="10">
        <v>0</v>
      </c>
      <c r="H4102" s="10">
        <f t="shared" ref="H4102:H4165" si="64">F4102-G4102</f>
        <v>8498.3700000000008</v>
      </c>
      <c r="I4102" s="10"/>
      <c r="J4102" s="10"/>
      <c r="K4102" s="10"/>
      <c r="L4102" s="4" t="s">
        <v>52</v>
      </c>
      <c r="M4102" s="4">
        <v>4097</v>
      </c>
    </row>
    <row r="4103" spans="1:13" x14ac:dyDescent="0.25">
      <c r="A4103" s="4" t="s">
        <v>3964</v>
      </c>
      <c r="B4103" s="4" t="s">
        <v>3968</v>
      </c>
      <c r="C4103" s="9" t="s">
        <v>50</v>
      </c>
      <c r="D4103" s="10"/>
      <c r="E4103" s="11" t="s">
        <v>51</v>
      </c>
      <c r="F4103" s="10"/>
      <c r="G4103" s="10">
        <v>0</v>
      </c>
      <c r="H4103" s="10">
        <f t="shared" si="64"/>
        <v>0</v>
      </c>
      <c r="I4103" s="10"/>
      <c r="J4103" s="10"/>
      <c r="K4103" s="10"/>
      <c r="L4103" s="4" t="s">
        <v>52</v>
      </c>
      <c r="M4103" s="4">
        <v>4098</v>
      </c>
    </row>
    <row r="4104" spans="1:13" x14ac:dyDescent="0.25">
      <c r="A4104" s="4" t="s">
        <v>3964</v>
      </c>
      <c r="B4104" s="4" t="s">
        <v>3969</v>
      </c>
      <c r="C4104" s="9" t="s">
        <v>50</v>
      </c>
      <c r="D4104" s="10">
        <v>1734</v>
      </c>
      <c r="E4104" s="11" t="s">
        <v>51</v>
      </c>
      <c r="F4104" s="10">
        <v>100</v>
      </c>
      <c r="G4104" s="10">
        <v>0</v>
      </c>
      <c r="H4104" s="10">
        <f t="shared" si="64"/>
        <v>100</v>
      </c>
      <c r="I4104" s="10"/>
      <c r="J4104" s="10"/>
      <c r="K4104" s="10"/>
      <c r="L4104" s="4" t="s">
        <v>52</v>
      </c>
      <c r="M4104" s="4">
        <v>4099</v>
      </c>
    </row>
    <row r="4105" spans="1:13" x14ac:dyDescent="0.25">
      <c r="A4105" s="4" t="s">
        <v>3970</v>
      </c>
      <c r="B4105" s="4" t="s">
        <v>3971</v>
      </c>
      <c r="C4105" s="4" t="s">
        <v>65</v>
      </c>
      <c r="D4105" s="10">
        <v>310</v>
      </c>
      <c r="E4105" s="12" t="s">
        <v>66</v>
      </c>
      <c r="F4105" s="10">
        <v>38450</v>
      </c>
      <c r="G4105" s="10">
        <v>0</v>
      </c>
      <c r="H4105" s="10">
        <f t="shared" si="64"/>
        <v>38450</v>
      </c>
      <c r="I4105" s="10">
        <v>124.0322580645161</v>
      </c>
      <c r="J4105" s="10">
        <v>124.0322580645161</v>
      </c>
      <c r="K4105" s="10">
        <v>124.0322580645161</v>
      </c>
      <c r="L4105" s="4"/>
      <c r="M4105" s="4">
        <v>4100</v>
      </c>
    </row>
    <row r="4106" spans="1:13" x14ac:dyDescent="0.25">
      <c r="A4106" s="4" t="s">
        <v>3970</v>
      </c>
      <c r="B4106" s="4" t="s">
        <v>3854</v>
      </c>
      <c r="C4106" s="4" t="s">
        <v>65</v>
      </c>
      <c r="D4106" s="10">
        <v>270</v>
      </c>
      <c r="E4106" s="12" t="s">
        <v>66</v>
      </c>
      <c r="F4106" s="10">
        <v>33450</v>
      </c>
      <c r="G4106" s="10">
        <v>0</v>
      </c>
      <c r="H4106" s="10">
        <f t="shared" si="64"/>
        <v>33450</v>
      </c>
      <c r="I4106" s="10">
        <v>123.8888888888889</v>
      </c>
      <c r="J4106" s="10">
        <v>123.8888888888889</v>
      </c>
      <c r="K4106" s="10">
        <v>123.8888888888889</v>
      </c>
      <c r="L4106" s="4"/>
      <c r="M4106" s="4">
        <v>4101</v>
      </c>
    </row>
    <row r="4107" spans="1:13" x14ac:dyDescent="0.25">
      <c r="A4107" s="4" t="s">
        <v>3970</v>
      </c>
      <c r="B4107" s="4" t="s">
        <v>3855</v>
      </c>
      <c r="C4107" s="4" t="s">
        <v>65</v>
      </c>
      <c r="D4107" s="10">
        <v>200</v>
      </c>
      <c r="E4107" s="12" t="s">
        <v>66</v>
      </c>
      <c r="F4107" s="10">
        <v>23700</v>
      </c>
      <c r="G4107" s="10">
        <v>0</v>
      </c>
      <c r="H4107" s="10">
        <f t="shared" si="64"/>
        <v>23700</v>
      </c>
      <c r="I4107" s="10">
        <v>118.5</v>
      </c>
      <c r="J4107" s="10">
        <v>118.5</v>
      </c>
      <c r="K4107" s="10">
        <v>118.5</v>
      </c>
      <c r="L4107" s="4"/>
      <c r="M4107" s="4">
        <v>4102</v>
      </c>
    </row>
    <row r="4108" spans="1:13" x14ac:dyDescent="0.25">
      <c r="A4108" s="4" t="s">
        <v>3970</v>
      </c>
      <c r="B4108" s="4" t="s">
        <v>3972</v>
      </c>
      <c r="C4108" s="4" t="s">
        <v>65</v>
      </c>
      <c r="D4108" s="10">
        <v>66</v>
      </c>
      <c r="E4108" s="12" t="s">
        <v>66</v>
      </c>
      <c r="F4108" s="10">
        <v>9450</v>
      </c>
      <c r="G4108" s="10">
        <v>0</v>
      </c>
      <c r="H4108" s="10">
        <f t="shared" si="64"/>
        <v>9450</v>
      </c>
      <c r="I4108" s="10">
        <v>143.18181818181819</v>
      </c>
      <c r="J4108" s="10">
        <v>143.18181818181819</v>
      </c>
      <c r="K4108" s="10">
        <v>143.18181818181819</v>
      </c>
      <c r="L4108" s="4"/>
      <c r="M4108" s="4">
        <v>4103</v>
      </c>
    </row>
    <row r="4109" spans="1:13" x14ac:dyDescent="0.25">
      <c r="A4109" s="4" t="s">
        <v>3970</v>
      </c>
      <c r="B4109" s="4" t="s">
        <v>3973</v>
      </c>
      <c r="C4109" s="4" t="s">
        <v>68</v>
      </c>
      <c r="D4109" s="10">
        <v>20</v>
      </c>
      <c r="E4109" s="11" t="s">
        <v>51</v>
      </c>
      <c r="F4109" s="10">
        <v>2500</v>
      </c>
      <c r="G4109" s="10">
        <v>0</v>
      </c>
      <c r="H4109" s="10">
        <f t="shared" si="64"/>
        <v>2500</v>
      </c>
      <c r="I4109" s="10"/>
      <c r="J4109" s="10"/>
      <c r="K4109" s="10"/>
      <c r="L4109" s="4" t="s">
        <v>69</v>
      </c>
      <c r="M4109" s="4">
        <v>4104</v>
      </c>
    </row>
    <row r="4110" spans="1:13" x14ac:dyDescent="0.25">
      <c r="A4110" s="4" t="s">
        <v>3970</v>
      </c>
      <c r="B4110" s="4" t="s">
        <v>3974</v>
      </c>
      <c r="C4110" s="4" t="s">
        <v>65</v>
      </c>
      <c r="D4110" s="10"/>
      <c r="E4110" s="11" t="s">
        <v>51</v>
      </c>
      <c r="F4110" s="10"/>
      <c r="G4110" s="10">
        <v>0</v>
      </c>
      <c r="H4110" s="10">
        <f t="shared" si="64"/>
        <v>0</v>
      </c>
      <c r="I4110" s="10"/>
      <c r="J4110" s="10"/>
      <c r="K4110" s="10"/>
      <c r="L4110" s="4" t="s">
        <v>69</v>
      </c>
      <c r="M4110" s="4">
        <v>4105</v>
      </c>
    </row>
    <row r="4111" spans="1:13" x14ac:dyDescent="0.25">
      <c r="A4111" s="4" t="s">
        <v>3970</v>
      </c>
      <c r="B4111" s="4" t="s">
        <v>3895</v>
      </c>
      <c r="C4111" s="9" t="s">
        <v>50</v>
      </c>
      <c r="D4111" s="10"/>
      <c r="E4111" s="11" t="s">
        <v>51</v>
      </c>
      <c r="F4111" s="10"/>
      <c r="G4111" s="10">
        <v>0</v>
      </c>
      <c r="H4111" s="10">
        <f t="shared" si="64"/>
        <v>0</v>
      </c>
      <c r="I4111" s="10"/>
      <c r="J4111" s="10"/>
      <c r="K4111" s="10"/>
      <c r="L4111" s="4" t="s">
        <v>52</v>
      </c>
      <c r="M4111" s="4">
        <v>4106</v>
      </c>
    </row>
    <row r="4112" spans="1:13" x14ac:dyDescent="0.25">
      <c r="A4112" s="4" t="s">
        <v>3970</v>
      </c>
      <c r="B4112" s="4" t="s">
        <v>3975</v>
      </c>
      <c r="C4112" s="9" t="s">
        <v>50</v>
      </c>
      <c r="D4112" s="10"/>
      <c r="E4112" s="11" t="s">
        <v>51</v>
      </c>
      <c r="F4112" s="10"/>
      <c r="G4112" s="10">
        <v>0</v>
      </c>
      <c r="H4112" s="10">
        <f t="shared" si="64"/>
        <v>0</v>
      </c>
      <c r="I4112" s="10"/>
      <c r="J4112" s="10"/>
      <c r="K4112" s="10"/>
      <c r="L4112" s="4" t="s">
        <v>52</v>
      </c>
      <c r="M4112" s="4">
        <v>4107</v>
      </c>
    </row>
    <row r="4113" spans="1:13" x14ac:dyDescent="0.25">
      <c r="A4113" s="4" t="s">
        <v>3970</v>
      </c>
      <c r="B4113" s="4" t="s">
        <v>3896</v>
      </c>
      <c r="C4113" s="9" t="s">
        <v>50</v>
      </c>
      <c r="D4113" s="10"/>
      <c r="E4113" s="11" t="s">
        <v>51</v>
      </c>
      <c r="F4113" s="10"/>
      <c r="G4113" s="10">
        <v>0</v>
      </c>
      <c r="H4113" s="10">
        <f t="shared" si="64"/>
        <v>0</v>
      </c>
      <c r="I4113" s="10"/>
      <c r="J4113" s="10"/>
      <c r="K4113" s="10"/>
      <c r="L4113" s="4" t="s">
        <v>52</v>
      </c>
      <c r="M4113" s="4">
        <v>4108</v>
      </c>
    </row>
    <row r="4114" spans="1:13" x14ac:dyDescent="0.25">
      <c r="A4114" s="4" t="s">
        <v>3970</v>
      </c>
      <c r="B4114" s="4" t="s">
        <v>3976</v>
      </c>
      <c r="C4114" s="9" t="s">
        <v>50</v>
      </c>
      <c r="D4114" s="10">
        <v>161</v>
      </c>
      <c r="E4114" s="11" t="s">
        <v>51</v>
      </c>
      <c r="F4114" s="10">
        <v>24000</v>
      </c>
      <c r="G4114" s="10">
        <v>0</v>
      </c>
      <c r="H4114" s="10">
        <f t="shared" si="64"/>
        <v>24000</v>
      </c>
      <c r="I4114" s="10">
        <v>149.06832298136649</v>
      </c>
      <c r="J4114" s="10">
        <v>149.06832298136649</v>
      </c>
      <c r="K4114" s="10">
        <v>149.06832298136649</v>
      </c>
      <c r="L4114" s="4" t="s">
        <v>259</v>
      </c>
      <c r="M4114" s="4">
        <v>4109</v>
      </c>
    </row>
    <row r="4115" spans="1:13" x14ac:dyDescent="0.25">
      <c r="A4115" s="4" t="s">
        <v>3970</v>
      </c>
      <c r="B4115" s="4" t="s">
        <v>3977</v>
      </c>
      <c r="C4115" s="9" t="s">
        <v>50</v>
      </c>
      <c r="D4115" s="10">
        <v>322</v>
      </c>
      <c r="E4115" s="11" t="s">
        <v>51</v>
      </c>
      <c r="F4115" s="10"/>
      <c r="G4115" s="10">
        <v>0</v>
      </c>
      <c r="H4115" s="10">
        <f t="shared" si="64"/>
        <v>0</v>
      </c>
      <c r="I4115" s="10"/>
      <c r="J4115" s="10"/>
      <c r="K4115" s="10"/>
      <c r="L4115" s="4" t="s">
        <v>52</v>
      </c>
      <c r="M4115" s="4">
        <v>4110</v>
      </c>
    </row>
    <row r="4116" spans="1:13" x14ac:dyDescent="0.25">
      <c r="A4116" s="4" t="s">
        <v>3978</v>
      </c>
      <c r="B4116" s="4" t="s">
        <v>3979</v>
      </c>
      <c r="C4116" s="4" t="s">
        <v>65</v>
      </c>
      <c r="D4116" s="10">
        <v>140</v>
      </c>
      <c r="E4116" s="12" t="s">
        <v>66</v>
      </c>
      <c r="F4116" s="10">
        <v>24000</v>
      </c>
      <c r="G4116" s="10">
        <v>0</v>
      </c>
      <c r="H4116" s="10">
        <f t="shared" si="64"/>
        <v>24000</v>
      </c>
      <c r="I4116" s="10">
        <v>171.42857142857139</v>
      </c>
      <c r="J4116" s="10">
        <v>171.42857142857139</v>
      </c>
      <c r="K4116" s="10">
        <v>171.42857142857139</v>
      </c>
      <c r="L4116" s="4"/>
      <c r="M4116" s="4">
        <v>4111</v>
      </c>
    </row>
    <row r="4117" spans="1:13" x14ac:dyDescent="0.25">
      <c r="A4117" s="4" t="s">
        <v>3978</v>
      </c>
      <c r="B4117" s="4" t="s">
        <v>3980</v>
      </c>
      <c r="C4117" s="4" t="s">
        <v>65</v>
      </c>
      <c r="D4117" s="10">
        <v>3</v>
      </c>
      <c r="E4117" s="12" t="s">
        <v>66</v>
      </c>
      <c r="F4117" s="10">
        <v>550</v>
      </c>
      <c r="G4117" s="10">
        <v>0</v>
      </c>
      <c r="H4117" s="10">
        <f t="shared" si="64"/>
        <v>550</v>
      </c>
      <c r="I4117" s="10">
        <v>183.33333333333329</v>
      </c>
      <c r="J4117" s="10">
        <v>183.33333333333329</v>
      </c>
      <c r="K4117" s="10">
        <v>183.33333333333329</v>
      </c>
      <c r="L4117" s="4"/>
      <c r="M4117" s="4">
        <v>4112</v>
      </c>
    </row>
    <row r="4118" spans="1:13" x14ac:dyDescent="0.25">
      <c r="A4118" s="4" t="s">
        <v>3978</v>
      </c>
      <c r="B4118" s="4" t="s">
        <v>3981</v>
      </c>
      <c r="C4118" s="4" t="s">
        <v>65</v>
      </c>
      <c r="D4118" s="10">
        <v>25</v>
      </c>
      <c r="E4118" s="12" t="s">
        <v>66</v>
      </c>
      <c r="F4118" s="10">
        <v>3200</v>
      </c>
      <c r="G4118" s="10">
        <v>0</v>
      </c>
      <c r="H4118" s="10">
        <f t="shared" si="64"/>
        <v>3200</v>
      </c>
      <c r="I4118" s="10">
        <v>177.7777777777778</v>
      </c>
      <c r="J4118" s="10">
        <v>177.7777777777778</v>
      </c>
      <c r="K4118" s="10">
        <v>177.7777777777778</v>
      </c>
      <c r="L4118" s="4"/>
      <c r="M4118" s="4">
        <v>4113</v>
      </c>
    </row>
    <row r="4119" spans="1:13" x14ac:dyDescent="0.25">
      <c r="A4119" s="4" t="s">
        <v>3982</v>
      </c>
      <c r="B4119" s="4" t="s">
        <v>3983</v>
      </c>
      <c r="C4119" s="4" t="s">
        <v>68</v>
      </c>
      <c r="D4119" s="10">
        <v>10</v>
      </c>
      <c r="E4119" s="11" t="s">
        <v>51</v>
      </c>
      <c r="F4119" s="10">
        <v>625</v>
      </c>
      <c r="G4119" s="10">
        <v>0</v>
      </c>
      <c r="H4119" s="10">
        <f t="shared" si="64"/>
        <v>625</v>
      </c>
      <c r="I4119" s="10"/>
      <c r="J4119" s="10"/>
      <c r="K4119" s="10"/>
      <c r="L4119" s="4" t="s">
        <v>69</v>
      </c>
      <c r="M4119" s="4">
        <v>4114</v>
      </c>
    </row>
    <row r="4120" spans="1:13" x14ac:dyDescent="0.25">
      <c r="A4120" s="4" t="s">
        <v>3982</v>
      </c>
      <c r="B4120" s="4" t="s">
        <v>3984</v>
      </c>
      <c r="C4120" s="4" t="s">
        <v>68</v>
      </c>
      <c r="D4120" s="10">
        <v>5</v>
      </c>
      <c r="E4120" s="11" t="s">
        <v>51</v>
      </c>
      <c r="F4120" s="10">
        <v>625</v>
      </c>
      <c r="G4120" s="10">
        <v>0</v>
      </c>
      <c r="H4120" s="10">
        <f t="shared" si="64"/>
        <v>625</v>
      </c>
      <c r="I4120" s="10"/>
      <c r="J4120" s="10"/>
      <c r="K4120" s="10"/>
      <c r="L4120" s="4" t="s">
        <v>69</v>
      </c>
      <c r="M4120" s="4">
        <v>4115</v>
      </c>
    </row>
    <row r="4121" spans="1:13" x14ac:dyDescent="0.25">
      <c r="A4121" s="4" t="s">
        <v>3982</v>
      </c>
      <c r="B4121" s="4" t="s">
        <v>3985</v>
      </c>
      <c r="C4121" s="4" t="s">
        <v>68</v>
      </c>
      <c r="D4121" s="10">
        <v>24</v>
      </c>
      <c r="E4121" s="11" t="s">
        <v>51</v>
      </c>
      <c r="F4121" s="10">
        <v>1250</v>
      </c>
      <c r="G4121" s="10">
        <v>0</v>
      </c>
      <c r="H4121" s="10">
        <f t="shared" si="64"/>
        <v>1250</v>
      </c>
      <c r="I4121" s="10"/>
      <c r="J4121" s="10"/>
      <c r="K4121" s="10"/>
      <c r="L4121" s="4" t="s">
        <v>69</v>
      </c>
      <c r="M4121" s="4">
        <v>4116</v>
      </c>
    </row>
    <row r="4122" spans="1:13" x14ac:dyDescent="0.25">
      <c r="A4122" s="4" t="s">
        <v>3986</v>
      </c>
      <c r="B4122" s="4" t="s">
        <v>248</v>
      </c>
      <c r="C4122" s="4" t="s">
        <v>68</v>
      </c>
      <c r="D4122" s="10">
        <v>24</v>
      </c>
      <c r="E4122" s="11" t="s">
        <v>51</v>
      </c>
      <c r="F4122" s="10">
        <v>3360</v>
      </c>
      <c r="G4122" s="10">
        <v>0</v>
      </c>
      <c r="H4122" s="10">
        <f t="shared" si="64"/>
        <v>3360</v>
      </c>
      <c r="I4122" s="10"/>
      <c r="J4122" s="10"/>
      <c r="K4122" s="10"/>
      <c r="L4122" s="4" t="s">
        <v>69</v>
      </c>
      <c r="M4122" s="4">
        <v>4117</v>
      </c>
    </row>
    <row r="4123" spans="1:13" x14ac:dyDescent="0.25">
      <c r="A4123" s="4" t="s">
        <v>3987</v>
      </c>
      <c r="B4123" s="4" t="s">
        <v>3988</v>
      </c>
      <c r="C4123" s="4" t="s">
        <v>65</v>
      </c>
      <c r="D4123" s="10">
        <v>30</v>
      </c>
      <c r="E4123" s="12" t="s">
        <v>66</v>
      </c>
      <c r="F4123" s="10">
        <v>1900</v>
      </c>
      <c r="G4123" s="10">
        <v>0</v>
      </c>
      <c r="H4123" s="10">
        <f t="shared" si="64"/>
        <v>1900</v>
      </c>
      <c r="I4123" s="10">
        <v>126.6666666666667</v>
      </c>
      <c r="J4123" s="10">
        <v>126.6666666666667</v>
      </c>
      <c r="K4123" s="10">
        <v>126.6666666666667</v>
      </c>
      <c r="L4123" s="4"/>
      <c r="M4123" s="4">
        <v>4118</v>
      </c>
    </row>
    <row r="4124" spans="1:13" x14ac:dyDescent="0.25">
      <c r="A4124" s="4" t="s">
        <v>3989</v>
      </c>
      <c r="B4124" s="4" t="s">
        <v>3988</v>
      </c>
      <c r="C4124" s="4" t="s">
        <v>65</v>
      </c>
      <c r="D4124" s="10">
        <v>27</v>
      </c>
      <c r="E4124" s="12" t="s">
        <v>66</v>
      </c>
      <c r="F4124" s="10">
        <v>1900</v>
      </c>
      <c r="G4124" s="10">
        <v>0</v>
      </c>
      <c r="H4124" s="10">
        <f t="shared" si="64"/>
        <v>1900</v>
      </c>
      <c r="I4124" s="10">
        <v>126.6666666666667</v>
      </c>
      <c r="J4124" s="10">
        <v>126.6666666666667</v>
      </c>
      <c r="K4124" s="10">
        <v>126.6666666666667</v>
      </c>
      <c r="L4124" s="4"/>
      <c r="M4124" s="4">
        <v>4119</v>
      </c>
    </row>
    <row r="4125" spans="1:13" x14ac:dyDescent="0.25">
      <c r="A4125" s="4" t="s">
        <v>3990</v>
      </c>
      <c r="B4125" s="4" t="s">
        <v>3991</v>
      </c>
      <c r="C4125" s="4" t="s">
        <v>68</v>
      </c>
      <c r="D4125" s="10">
        <v>82</v>
      </c>
      <c r="E4125" s="11" t="s">
        <v>51</v>
      </c>
      <c r="F4125" s="10">
        <v>1620</v>
      </c>
      <c r="G4125" s="10">
        <v>0</v>
      </c>
      <c r="H4125" s="10">
        <f t="shared" si="64"/>
        <v>1620</v>
      </c>
      <c r="I4125" s="10"/>
      <c r="J4125" s="10"/>
      <c r="K4125" s="10"/>
      <c r="L4125" s="4" t="s">
        <v>69</v>
      </c>
      <c r="M4125" s="4">
        <v>4120</v>
      </c>
    </row>
    <row r="4126" spans="1:13" x14ac:dyDescent="0.25">
      <c r="A4126" s="4" t="s">
        <v>3992</v>
      </c>
      <c r="B4126" s="4" t="s">
        <v>3993</v>
      </c>
      <c r="C4126" s="4" t="s">
        <v>68</v>
      </c>
      <c r="D4126" s="10">
        <v>40</v>
      </c>
      <c r="E4126" s="11" t="s">
        <v>51</v>
      </c>
      <c r="F4126" s="10">
        <v>4600</v>
      </c>
      <c r="G4126" s="10">
        <v>0</v>
      </c>
      <c r="H4126" s="10">
        <f t="shared" si="64"/>
        <v>4600</v>
      </c>
      <c r="I4126" s="10"/>
      <c r="J4126" s="10"/>
      <c r="K4126" s="10"/>
      <c r="L4126" s="4" t="s">
        <v>69</v>
      </c>
      <c r="M4126" s="4">
        <v>4121</v>
      </c>
    </row>
    <row r="4127" spans="1:13" x14ac:dyDescent="0.25">
      <c r="A4127" s="4" t="s">
        <v>3992</v>
      </c>
      <c r="B4127" s="4" t="s">
        <v>3994</v>
      </c>
      <c r="C4127" s="4" t="s">
        <v>68</v>
      </c>
      <c r="D4127" s="10">
        <v>24</v>
      </c>
      <c r="E4127" s="11" t="s">
        <v>51</v>
      </c>
      <c r="F4127" s="10">
        <v>3450</v>
      </c>
      <c r="G4127" s="10">
        <v>0</v>
      </c>
      <c r="H4127" s="10">
        <f t="shared" si="64"/>
        <v>3450</v>
      </c>
      <c r="I4127" s="10"/>
      <c r="J4127" s="10"/>
      <c r="K4127" s="10"/>
      <c r="L4127" s="4" t="s">
        <v>69</v>
      </c>
      <c r="M4127" s="4">
        <v>4122</v>
      </c>
    </row>
    <row r="4128" spans="1:13" x14ac:dyDescent="0.25">
      <c r="A4128" s="4" t="s">
        <v>3995</v>
      </c>
      <c r="B4128" s="4" t="s">
        <v>3996</v>
      </c>
      <c r="C4128" s="4" t="s">
        <v>65</v>
      </c>
      <c r="D4128" s="10">
        <v>10</v>
      </c>
      <c r="E4128" s="12" t="s">
        <v>66</v>
      </c>
      <c r="F4128" s="10">
        <v>1030.6400000000001</v>
      </c>
      <c r="G4128" s="10">
        <v>0</v>
      </c>
      <c r="H4128" s="10">
        <f t="shared" si="64"/>
        <v>1030.6400000000001</v>
      </c>
      <c r="I4128" s="10">
        <v>103.06399999999999</v>
      </c>
      <c r="J4128" s="10">
        <v>103.06399999999999</v>
      </c>
      <c r="K4128" s="10">
        <v>103.06399999999999</v>
      </c>
      <c r="L4128" s="4"/>
      <c r="M4128" s="4">
        <v>4123</v>
      </c>
    </row>
    <row r="4129" spans="1:13" x14ac:dyDescent="0.25">
      <c r="A4129" s="4" t="s">
        <v>3995</v>
      </c>
      <c r="B4129" s="4" t="s">
        <v>3997</v>
      </c>
      <c r="C4129" s="4" t="s">
        <v>68</v>
      </c>
      <c r="D4129" s="10">
        <v>4</v>
      </c>
      <c r="E4129" s="12" t="s">
        <v>66</v>
      </c>
      <c r="F4129" s="10">
        <v>403.36</v>
      </c>
      <c r="G4129" s="10">
        <v>0</v>
      </c>
      <c r="H4129" s="10">
        <f t="shared" si="64"/>
        <v>403.36</v>
      </c>
      <c r="I4129" s="10">
        <v>100.84</v>
      </c>
      <c r="J4129" s="10">
        <v>100.84</v>
      </c>
      <c r="K4129" s="10">
        <v>100.84</v>
      </c>
      <c r="L4129" s="4"/>
      <c r="M4129" s="4">
        <v>4124</v>
      </c>
    </row>
    <row r="4130" spans="1:13" x14ac:dyDescent="0.25">
      <c r="A4130" s="4" t="s">
        <v>3995</v>
      </c>
      <c r="B4130" s="4" t="s">
        <v>3998</v>
      </c>
      <c r="C4130" s="9" t="s">
        <v>50</v>
      </c>
      <c r="D4130" s="10">
        <v>183</v>
      </c>
      <c r="E4130" s="11" t="s">
        <v>51</v>
      </c>
      <c r="F4130" s="10">
        <v>2089.46</v>
      </c>
      <c r="G4130" s="10">
        <v>0</v>
      </c>
      <c r="H4130" s="10">
        <f t="shared" si="64"/>
        <v>2089.46</v>
      </c>
      <c r="I4130" s="10"/>
      <c r="J4130" s="10"/>
      <c r="K4130" s="10"/>
      <c r="L4130" s="4" t="s">
        <v>52</v>
      </c>
      <c r="M4130" s="4">
        <v>4125</v>
      </c>
    </row>
    <row r="4131" spans="1:13" x14ac:dyDescent="0.25">
      <c r="A4131" s="4" t="s">
        <v>3999</v>
      </c>
      <c r="B4131" s="4" t="s">
        <v>4000</v>
      </c>
      <c r="C4131" s="4" t="s">
        <v>68</v>
      </c>
      <c r="D4131" s="10">
        <v>874</v>
      </c>
      <c r="E4131" s="11" t="s">
        <v>51</v>
      </c>
      <c r="F4131" s="10">
        <v>24300</v>
      </c>
      <c r="G4131" s="10">
        <v>0</v>
      </c>
      <c r="H4131" s="10">
        <f t="shared" si="64"/>
        <v>24300</v>
      </c>
      <c r="I4131" s="10"/>
      <c r="J4131" s="10"/>
      <c r="K4131" s="10"/>
      <c r="L4131" s="4" t="s">
        <v>69</v>
      </c>
      <c r="M4131" s="4">
        <v>4126</v>
      </c>
    </row>
    <row r="4132" spans="1:13" x14ac:dyDescent="0.25">
      <c r="A4132" s="4" t="s">
        <v>4001</v>
      </c>
      <c r="B4132" s="4" t="s">
        <v>4002</v>
      </c>
      <c r="C4132" s="4" t="s">
        <v>68</v>
      </c>
      <c r="D4132" s="10">
        <v>867</v>
      </c>
      <c r="E4132" s="11" t="s">
        <v>51</v>
      </c>
      <c r="F4132" s="10">
        <v>95175</v>
      </c>
      <c r="G4132" s="10">
        <v>0</v>
      </c>
      <c r="H4132" s="10">
        <f t="shared" si="64"/>
        <v>95175</v>
      </c>
      <c r="I4132" s="10"/>
      <c r="J4132" s="10"/>
      <c r="K4132" s="10"/>
      <c r="L4132" s="4" t="s">
        <v>69</v>
      </c>
      <c r="M4132" s="4">
        <v>4127</v>
      </c>
    </row>
    <row r="4133" spans="1:13" x14ac:dyDescent="0.25">
      <c r="A4133" s="4" t="s">
        <v>4003</v>
      </c>
      <c r="B4133" s="4" t="s">
        <v>378</v>
      </c>
      <c r="C4133" s="4" t="s">
        <v>65</v>
      </c>
      <c r="D4133" s="10">
        <v>50</v>
      </c>
      <c r="E4133" s="12" t="s">
        <v>66</v>
      </c>
      <c r="F4133" s="10">
        <v>7000</v>
      </c>
      <c r="G4133" s="10">
        <v>0</v>
      </c>
      <c r="H4133" s="10">
        <f t="shared" si="64"/>
        <v>7000</v>
      </c>
      <c r="I4133" s="10">
        <v>140</v>
      </c>
      <c r="J4133" s="10">
        <v>140</v>
      </c>
      <c r="K4133" s="10">
        <v>140</v>
      </c>
      <c r="L4133" s="4"/>
      <c r="M4133" s="4">
        <v>4128</v>
      </c>
    </row>
    <row r="4134" spans="1:13" x14ac:dyDescent="0.25">
      <c r="A4134" s="4" t="s">
        <v>4003</v>
      </c>
      <c r="B4134" s="4" t="s">
        <v>4004</v>
      </c>
      <c r="C4134" s="4" t="s">
        <v>68</v>
      </c>
      <c r="D4134" s="10">
        <v>80</v>
      </c>
      <c r="E4134" s="11" t="s">
        <v>51</v>
      </c>
      <c r="F4134" s="10">
        <v>9600</v>
      </c>
      <c r="G4134" s="10">
        <v>0</v>
      </c>
      <c r="H4134" s="10">
        <f t="shared" si="64"/>
        <v>9600</v>
      </c>
      <c r="I4134" s="10"/>
      <c r="J4134" s="10"/>
      <c r="K4134" s="10"/>
      <c r="L4134" s="4" t="s">
        <v>69</v>
      </c>
      <c r="M4134" s="4">
        <v>4129</v>
      </c>
    </row>
    <row r="4135" spans="1:13" x14ac:dyDescent="0.25">
      <c r="A4135" s="4" t="s">
        <v>4003</v>
      </c>
      <c r="B4135" s="4" t="s">
        <v>4005</v>
      </c>
      <c r="C4135" s="4" t="s">
        <v>68</v>
      </c>
      <c r="D4135" s="10">
        <v>244</v>
      </c>
      <c r="E4135" s="11" t="s">
        <v>51</v>
      </c>
      <c r="F4135" s="10">
        <v>2240</v>
      </c>
      <c r="G4135" s="10">
        <v>0</v>
      </c>
      <c r="H4135" s="10">
        <f t="shared" si="64"/>
        <v>2240</v>
      </c>
      <c r="I4135" s="10"/>
      <c r="J4135" s="10"/>
      <c r="K4135" s="10"/>
      <c r="L4135" s="4" t="s">
        <v>69</v>
      </c>
      <c r="M4135" s="4">
        <v>4130</v>
      </c>
    </row>
    <row r="4136" spans="1:13" x14ac:dyDescent="0.25">
      <c r="A4136" s="4" t="s">
        <v>4006</v>
      </c>
      <c r="B4136" s="4" t="s">
        <v>4007</v>
      </c>
      <c r="C4136" s="4" t="s">
        <v>65</v>
      </c>
      <c r="D4136" s="10">
        <v>3</v>
      </c>
      <c r="E4136" s="12" t="s">
        <v>66</v>
      </c>
      <c r="F4136" s="10">
        <v>400</v>
      </c>
      <c r="G4136" s="10">
        <v>0</v>
      </c>
      <c r="H4136" s="10">
        <f t="shared" si="64"/>
        <v>400</v>
      </c>
      <c r="I4136" s="10">
        <v>133.33333333333329</v>
      </c>
      <c r="J4136" s="10">
        <v>133.33333333333329</v>
      </c>
      <c r="K4136" s="10">
        <v>133.33333333333329</v>
      </c>
      <c r="L4136" s="4"/>
      <c r="M4136" s="4">
        <v>4131</v>
      </c>
    </row>
    <row r="4137" spans="1:13" x14ac:dyDescent="0.25">
      <c r="A4137" s="4" t="s">
        <v>4006</v>
      </c>
      <c r="B4137" s="4" t="s">
        <v>3677</v>
      </c>
      <c r="C4137" s="4" t="s">
        <v>65</v>
      </c>
      <c r="D4137" s="10">
        <v>26.5</v>
      </c>
      <c r="E4137" s="12" t="s">
        <v>66</v>
      </c>
      <c r="F4137" s="10">
        <v>2900</v>
      </c>
      <c r="G4137" s="10">
        <v>0</v>
      </c>
      <c r="H4137" s="10">
        <f t="shared" si="64"/>
        <v>2900</v>
      </c>
      <c r="I4137" s="10">
        <v>109.43396226415091</v>
      </c>
      <c r="J4137" s="10">
        <v>109.43396226415091</v>
      </c>
      <c r="K4137" s="10">
        <v>109.43396226415091</v>
      </c>
      <c r="L4137" s="4"/>
      <c r="M4137" s="4">
        <v>4132</v>
      </c>
    </row>
    <row r="4138" spans="1:13" x14ac:dyDescent="0.25">
      <c r="A4138" s="4" t="s">
        <v>4006</v>
      </c>
      <c r="B4138" s="4" t="s">
        <v>3678</v>
      </c>
      <c r="C4138" s="4" t="s">
        <v>65</v>
      </c>
      <c r="D4138" s="10">
        <v>41</v>
      </c>
      <c r="E4138" s="12" t="s">
        <v>66</v>
      </c>
      <c r="F4138" s="10">
        <v>4400</v>
      </c>
      <c r="G4138" s="10">
        <v>0</v>
      </c>
      <c r="H4138" s="10">
        <f t="shared" si="64"/>
        <v>4400</v>
      </c>
      <c r="I4138" s="10">
        <v>107.3170731707317</v>
      </c>
      <c r="J4138" s="10">
        <v>107.3170731707317</v>
      </c>
      <c r="K4138" s="10">
        <v>107.3170731707317</v>
      </c>
      <c r="L4138" s="4"/>
      <c r="M4138" s="4">
        <v>4133</v>
      </c>
    </row>
    <row r="4139" spans="1:13" x14ac:dyDescent="0.25">
      <c r="A4139" s="4" t="s">
        <v>4006</v>
      </c>
      <c r="B4139" s="4" t="s">
        <v>3680</v>
      </c>
      <c r="C4139" s="4" t="s">
        <v>65</v>
      </c>
      <c r="D4139" s="10">
        <v>47</v>
      </c>
      <c r="E4139" s="12" t="s">
        <v>66</v>
      </c>
      <c r="F4139" s="10">
        <v>4200</v>
      </c>
      <c r="G4139" s="10">
        <v>0</v>
      </c>
      <c r="H4139" s="10">
        <f t="shared" si="64"/>
        <v>4200</v>
      </c>
      <c r="I4139" s="10">
        <v>89.361702127659569</v>
      </c>
      <c r="J4139" s="10">
        <v>89.361702127659569</v>
      </c>
      <c r="K4139" s="10">
        <v>89.361702127659569</v>
      </c>
      <c r="L4139" s="4"/>
      <c r="M4139" s="4">
        <v>4134</v>
      </c>
    </row>
    <row r="4140" spans="1:13" x14ac:dyDescent="0.25">
      <c r="A4140" s="4" t="s">
        <v>4006</v>
      </c>
      <c r="B4140" s="4" t="s">
        <v>3136</v>
      </c>
      <c r="C4140" s="4" t="s">
        <v>65</v>
      </c>
      <c r="D4140" s="10">
        <v>89.5</v>
      </c>
      <c r="E4140" s="12" t="s">
        <v>66</v>
      </c>
      <c r="F4140" s="10">
        <v>9650</v>
      </c>
      <c r="G4140" s="10">
        <v>0</v>
      </c>
      <c r="H4140" s="10">
        <f t="shared" si="64"/>
        <v>9650</v>
      </c>
      <c r="I4140" s="10">
        <v>107.8212290502793</v>
      </c>
      <c r="J4140" s="10">
        <v>107.8212290502793</v>
      </c>
      <c r="K4140" s="10">
        <v>107.8212290502793</v>
      </c>
      <c r="L4140" s="4"/>
      <c r="M4140" s="4">
        <v>4135</v>
      </c>
    </row>
    <row r="4141" spans="1:13" x14ac:dyDescent="0.25">
      <c r="A4141" s="4" t="s">
        <v>4006</v>
      </c>
      <c r="B4141" s="4" t="s">
        <v>3351</v>
      </c>
      <c r="C4141" s="4" t="s">
        <v>65</v>
      </c>
      <c r="D4141" s="10">
        <v>2.5</v>
      </c>
      <c r="E4141" s="12" t="s">
        <v>66</v>
      </c>
      <c r="F4141" s="10">
        <v>300</v>
      </c>
      <c r="G4141" s="10">
        <v>0</v>
      </c>
      <c r="H4141" s="10">
        <f t="shared" si="64"/>
        <v>300</v>
      </c>
      <c r="I4141" s="10">
        <v>120</v>
      </c>
      <c r="J4141" s="10">
        <v>120</v>
      </c>
      <c r="K4141" s="10">
        <v>120</v>
      </c>
      <c r="L4141" s="4"/>
      <c r="M4141" s="4">
        <v>4136</v>
      </c>
    </row>
    <row r="4142" spans="1:13" x14ac:dyDescent="0.25">
      <c r="A4142" s="4" t="s">
        <v>4006</v>
      </c>
      <c r="B4142" s="4" t="s">
        <v>3352</v>
      </c>
      <c r="C4142" s="4" t="s">
        <v>65</v>
      </c>
      <c r="D4142" s="10">
        <v>126.5</v>
      </c>
      <c r="E4142" s="12" t="s">
        <v>66</v>
      </c>
      <c r="F4142" s="10">
        <v>300</v>
      </c>
      <c r="G4142" s="10">
        <v>0</v>
      </c>
      <c r="H4142" s="10">
        <f t="shared" si="64"/>
        <v>300</v>
      </c>
      <c r="I4142" s="10">
        <v>120</v>
      </c>
      <c r="J4142" s="10">
        <v>120</v>
      </c>
      <c r="K4142" s="10">
        <v>120</v>
      </c>
      <c r="L4142" s="4"/>
      <c r="M4142" s="4">
        <v>4137</v>
      </c>
    </row>
    <row r="4143" spans="1:13" x14ac:dyDescent="0.25">
      <c r="A4143" s="4" t="s">
        <v>4008</v>
      </c>
      <c r="B4143" s="4" t="s">
        <v>4009</v>
      </c>
      <c r="C4143" s="4" t="s">
        <v>68</v>
      </c>
      <c r="D4143" s="10">
        <v>60</v>
      </c>
      <c r="E4143" s="11" t="s">
        <v>51</v>
      </c>
      <c r="F4143" s="10">
        <v>6600</v>
      </c>
      <c r="G4143" s="10">
        <v>0</v>
      </c>
      <c r="H4143" s="10">
        <f t="shared" si="64"/>
        <v>6600</v>
      </c>
      <c r="I4143" s="10"/>
      <c r="J4143" s="10"/>
      <c r="K4143" s="10"/>
      <c r="L4143" s="4" t="s">
        <v>69</v>
      </c>
      <c r="M4143" s="4">
        <v>4138</v>
      </c>
    </row>
    <row r="4144" spans="1:13" x14ac:dyDescent="0.25">
      <c r="A4144" s="4" t="s">
        <v>4008</v>
      </c>
      <c r="B4144" s="4" t="s">
        <v>4010</v>
      </c>
      <c r="C4144" s="4" t="s">
        <v>68</v>
      </c>
      <c r="D4144" s="10">
        <v>24</v>
      </c>
      <c r="E4144" s="11" t="s">
        <v>51</v>
      </c>
      <c r="F4144" s="10">
        <v>1560</v>
      </c>
      <c r="G4144" s="10">
        <v>0</v>
      </c>
      <c r="H4144" s="10">
        <f t="shared" si="64"/>
        <v>1560</v>
      </c>
      <c r="I4144" s="10"/>
      <c r="J4144" s="10"/>
      <c r="K4144" s="10"/>
      <c r="L4144" s="4" t="s">
        <v>69</v>
      </c>
      <c r="M4144" s="4">
        <v>4139</v>
      </c>
    </row>
    <row r="4145" spans="1:13" x14ac:dyDescent="0.25">
      <c r="A4145" s="4" t="s">
        <v>4008</v>
      </c>
      <c r="B4145" s="4" t="s">
        <v>4011</v>
      </c>
      <c r="C4145" s="4" t="s">
        <v>68</v>
      </c>
      <c r="D4145" s="10">
        <v>243</v>
      </c>
      <c r="E4145" s="11" t="s">
        <v>51</v>
      </c>
      <c r="F4145" s="10">
        <v>4400</v>
      </c>
      <c r="G4145" s="10">
        <v>0</v>
      </c>
      <c r="H4145" s="10">
        <f t="shared" si="64"/>
        <v>4400</v>
      </c>
      <c r="I4145" s="10"/>
      <c r="J4145" s="10"/>
      <c r="K4145" s="10"/>
      <c r="L4145" s="4" t="s">
        <v>69</v>
      </c>
      <c r="M4145" s="4">
        <v>4140</v>
      </c>
    </row>
    <row r="4146" spans="1:13" x14ac:dyDescent="0.25">
      <c r="A4146" s="4" t="s">
        <v>4012</v>
      </c>
      <c r="B4146" s="4" t="s">
        <v>4013</v>
      </c>
      <c r="C4146" s="4" t="s">
        <v>65</v>
      </c>
      <c r="D4146" s="10">
        <v>23</v>
      </c>
      <c r="E4146" s="12" t="s">
        <v>66</v>
      </c>
      <c r="F4146" s="10">
        <v>1814.24</v>
      </c>
      <c r="G4146" s="10">
        <v>0</v>
      </c>
      <c r="H4146" s="10">
        <f t="shared" si="64"/>
        <v>1814.24</v>
      </c>
      <c r="I4146" s="10">
        <v>78.88</v>
      </c>
      <c r="J4146" s="10">
        <v>78.88</v>
      </c>
      <c r="K4146" s="10">
        <v>78.88</v>
      </c>
      <c r="L4146" s="4"/>
      <c r="M4146" s="4">
        <v>4141</v>
      </c>
    </row>
    <row r="4147" spans="1:13" x14ac:dyDescent="0.25">
      <c r="A4147" s="4" t="s">
        <v>4012</v>
      </c>
      <c r="B4147" s="4" t="s">
        <v>4014</v>
      </c>
      <c r="C4147" s="4" t="s">
        <v>65</v>
      </c>
      <c r="D4147" s="10">
        <v>14</v>
      </c>
      <c r="E4147" s="12" t="s">
        <v>66</v>
      </c>
      <c r="F4147" s="10">
        <v>1414.09</v>
      </c>
      <c r="G4147" s="10">
        <v>0</v>
      </c>
      <c r="H4147" s="10">
        <f t="shared" si="64"/>
        <v>1414.09</v>
      </c>
      <c r="I4147" s="10">
        <v>101.0064285714286</v>
      </c>
      <c r="J4147" s="10">
        <v>101.0064285714286</v>
      </c>
      <c r="K4147" s="10">
        <v>101.0064285714286</v>
      </c>
      <c r="L4147" s="4"/>
      <c r="M4147" s="4">
        <v>4142</v>
      </c>
    </row>
    <row r="4148" spans="1:13" x14ac:dyDescent="0.25">
      <c r="A4148" s="4" t="s">
        <v>4012</v>
      </c>
      <c r="B4148" s="4" t="s">
        <v>4015</v>
      </c>
      <c r="C4148" s="4" t="s">
        <v>65</v>
      </c>
      <c r="D4148" s="10">
        <v>29</v>
      </c>
      <c r="E4148" s="12" t="s">
        <v>66</v>
      </c>
      <c r="F4148" s="10">
        <v>2694.64</v>
      </c>
      <c r="G4148" s="10">
        <v>0</v>
      </c>
      <c r="H4148" s="10">
        <f t="shared" si="64"/>
        <v>2694.64</v>
      </c>
      <c r="I4148" s="10">
        <v>92.918620689655171</v>
      </c>
      <c r="J4148" s="10">
        <v>92.918620689655171</v>
      </c>
      <c r="K4148" s="10">
        <v>92.918620689655171</v>
      </c>
      <c r="L4148" s="4"/>
      <c r="M4148" s="4">
        <v>4143</v>
      </c>
    </row>
    <row r="4149" spans="1:13" x14ac:dyDescent="0.25">
      <c r="A4149" s="4" t="s">
        <v>4012</v>
      </c>
      <c r="B4149" s="4" t="s">
        <v>4016</v>
      </c>
      <c r="C4149" s="4" t="s">
        <v>65</v>
      </c>
      <c r="D4149" s="10">
        <v>49</v>
      </c>
      <c r="E4149" s="12" t="s">
        <v>66</v>
      </c>
      <c r="F4149" s="10">
        <v>4956.68</v>
      </c>
      <c r="G4149" s="10">
        <v>0</v>
      </c>
      <c r="H4149" s="10">
        <f t="shared" si="64"/>
        <v>4956.68</v>
      </c>
      <c r="I4149" s="10">
        <v>101.1567346938776</v>
      </c>
      <c r="J4149" s="10">
        <v>101.1567346938776</v>
      </c>
      <c r="K4149" s="10">
        <v>101.1567346938776</v>
      </c>
      <c r="L4149" s="4"/>
      <c r="M4149" s="4">
        <v>4144</v>
      </c>
    </row>
    <row r="4150" spans="1:13" x14ac:dyDescent="0.25">
      <c r="A4150" s="4" t="s">
        <v>4012</v>
      </c>
      <c r="B4150" s="4" t="s">
        <v>4017</v>
      </c>
      <c r="C4150" s="4" t="s">
        <v>65</v>
      </c>
      <c r="D4150" s="10">
        <v>11</v>
      </c>
      <c r="E4150" s="12" t="s">
        <v>66</v>
      </c>
      <c r="F4150" s="10">
        <v>1099.8499999999999</v>
      </c>
      <c r="G4150" s="10">
        <v>0</v>
      </c>
      <c r="H4150" s="10">
        <f t="shared" si="64"/>
        <v>1099.8499999999999</v>
      </c>
      <c r="I4150" s="10">
        <v>99.986363636363635</v>
      </c>
      <c r="J4150" s="10">
        <v>99.986363636363635</v>
      </c>
      <c r="K4150" s="10">
        <v>99.986363636363635</v>
      </c>
      <c r="L4150" s="4"/>
      <c r="M4150" s="4">
        <v>4145</v>
      </c>
    </row>
    <row r="4151" spans="1:13" x14ac:dyDescent="0.25">
      <c r="A4151" s="4" t="s">
        <v>4012</v>
      </c>
      <c r="B4151" s="4" t="s">
        <v>4018</v>
      </c>
      <c r="C4151" s="4" t="s">
        <v>65</v>
      </c>
      <c r="D4151" s="10">
        <v>6</v>
      </c>
      <c r="E4151" s="12" t="s">
        <v>66</v>
      </c>
      <c r="F4151" s="10">
        <v>589.21</v>
      </c>
      <c r="G4151" s="10">
        <v>0</v>
      </c>
      <c r="H4151" s="10">
        <f t="shared" si="64"/>
        <v>589.21</v>
      </c>
      <c r="I4151" s="10">
        <v>98.201666666666668</v>
      </c>
      <c r="J4151" s="10">
        <v>98.201666666666668</v>
      </c>
      <c r="K4151" s="10">
        <v>98.201666666666668</v>
      </c>
      <c r="L4151" s="4"/>
      <c r="M4151" s="4">
        <v>4146</v>
      </c>
    </row>
    <row r="4152" spans="1:13" x14ac:dyDescent="0.25">
      <c r="A4152" s="4" t="s">
        <v>4012</v>
      </c>
      <c r="B4152" s="4" t="s">
        <v>4019</v>
      </c>
      <c r="C4152" s="4" t="s">
        <v>65</v>
      </c>
      <c r="D4152" s="10">
        <v>71</v>
      </c>
      <c r="E4152" s="12" t="s">
        <v>66</v>
      </c>
      <c r="F4152" s="10">
        <v>6980.7</v>
      </c>
      <c r="G4152" s="10">
        <v>0</v>
      </c>
      <c r="H4152" s="10">
        <f t="shared" si="64"/>
        <v>6980.7</v>
      </c>
      <c r="I4152" s="10">
        <v>98.319718309859155</v>
      </c>
      <c r="J4152" s="10">
        <v>98.319718309859155</v>
      </c>
      <c r="K4152" s="10">
        <v>98.319718309859155</v>
      </c>
      <c r="L4152" s="4"/>
      <c r="M4152" s="4">
        <v>4147</v>
      </c>
    </row>
    <row r="4153" spans="1:13" x14ac:dyDescent="0.25">
      <c r="A4153" s="4" t="s">
        <v>4012</v>
      </c>
      <c r="B4153" s="4" t="s">
        <v>4020</v>
      </c>
      <c r="C4153" s="4" t="s">
        <v>65</v>
      </c>
      <c r="D4153" s="10">
        <v>12</v>
      </c>
      <c r="E4153" s="11" t="s">
        <v>51</v>
      </c>
      <c r="F4153" s="10"/>
      <c r="G4153" s="10">
        <v>0</v>
      </c>
      <c r="H4153" s="10">
        <f t="shared" si="64"/>
        <v>0</v>
      </c>
      <c r="I4153" s="10"/>
      <c r="J4153" s="10"/>
      <c r="K4153" s="10"/>
      <c r="L4153" s="4" t="s">
        <v>69</v>
      </c>
      <c r="M4153" s="4">
        <v>4148</v>
      </c>
    </row>
    <row r="4154" spans="1:13" x14ac:dyDescent="0.25">
      <c r="A4154" s="4" t="s">
        <v>4021</v>
      </c>
      <c r="B4154" s="4" t="s">
        <v>4022</v>
      </c>
      <c r="C4154" s="4" t="s">
        <v>68</v>
      </c>
      <c r="D4154" s="10">
        <v>7155.75</v>
      </c>
      <c r="E4154" s="11" t="s">
        <v>51</v>
      </c>
      <c r="F4154" s="10">
        <v>1500</v>
      </c>
      <c r="G4154" s="10">
        <v>0</v>
      </c>
      <c r="H4154" s="10">
        <f t="shared" si="64"/>
        <v>1500</v>
      </c>
      <c r="I4154" s="10"/>
      <c r="J4154" s="10"/>
      <c r="K4154" s="10"/>
      <c r="L4154" s="4" t="s">
        <v>69</v>
      </c>
      <c r="M4154" s="4">
        <v>4149</v>
      </c>
    </row>
    <row r="4155" spans="1:13" x14ac:dyDescent="0.25">
      <c r="A4155" s="4" t="s">
        <v>4023</v>
      </c>
      <c r="B4155" s="4" t="s">
        <v>4024</v>
      </c>
      <c r="C4155" s="4" t="s">
        <v>68</v>
      </c>
      <c r="D4155" s="10">
        <v>1216</v>
      </c>
      <c r="E4155" s="11" t="s">
        <v>51</v>
      </c>
      <c r="F4155" s="10">
        <v>142880</v>
      </c>
      <c r="G4155" s="10">
        <v>0</v>
      </c>
      <c r="H4155" s="10">
        <f t="shared" si="64"/>
        <v>142880</v>
      </c>
      <c r="I4155" s="10"/>
      <c r="J4155" s="10"/>
      <c r="K4155" s="10"/>
      <c r="L4155" s="4" t="s">
        <v>69</v>
      </c>
      <c r="M4155" s="4">
        <v>4150</v>
      </c>
    </row>
    <row r="4156" spans="1:13" x14ac:dyDescent="0.25">
      <c r="A4156" s="4" t="s">
        <v>4023</v>
      </c>
      <c r="B4156" s="4" t="s">
        <v>4025</v>
      </c>
      <c r="C4156" s="4" t="s">
        <v>65</v>
      </c>
      <c r="D4156" s="10">
        <v>60.75</v>
      </c>
      <c r="E4156" s="12" t="s">
        <v>66</v>
      </c>
      <c r="F4156" s="10">
        <v>7030</v>
      </c>
      <c r="G4156" s="10">
        <v>0</v>
      </c>
      <c r="H4156" s="10">
        <f t="shared" si="64"/>
        <v>7030</v>
      </c>
      <c r="I4156" s="10">
        <v>115.7201646090535</v>
      </c>
      <c r="J4156" s="10">
        <v>115.7201646090535</v>
      </c>
      <c r="K4156" s="10">
        <v>115.7201646090535</v>
      </c>
      <c r="L4156" s="4"/>
      <c r="M4156" s="4">
        <v>4151</v>
      </c>
    </row>
    <row r="4157" spans="1:13" x14ac:dyDescent="0.25">
      <c r="A4157" s="4" t="s">
        <v>4023</v>
      </c>
      <c r="B4157" s="4" t="s">
        <v>4026</v>
      </c>
      <c r="C4157" s="4" t="s">
        <v>68</v>
      </c>
      <c r="D4157" s="10">
        <v>456</v>
      </c>
      <c r="E4157" s="11" t="s">
        <v>51</v>
      </c>
      <c r="F4157" s="10">
        <v>48735</v>
      </c>
      <c r="G4157" s="10">
        <v>0</v>
      </c>
      <c r="H4157" s="10">
        <f t="shared" si="64"/>
        <v>48735</v>
      </c>
      <c r="I4157" s="10"/>
      <c r="J4157" s="10"/>
      <c r="K4157" s="10"/>
      <c r="L4157" s="4" t="s">
        <v>69</v>
      </c>
      <c r="M4157" s="4">
        <v>4152</v>
      </c>
    </row>
    <row r="4158" spans="1:13" x14ac:dyDescent="0.25">
      <c r="A4158" s="4" t="s">
        <v>4023</v>
      </c>
      <c r="B4158" s="4" t="s">
        <v>4027</v>
      </c>
      <c r="C4158" s="4" t="s">
        <v>65</v>
      </c>
      <c r="D4158" s="10">
        <v>237.5</v>
      </c>
      <c r="E4158" s="12" t="s">
        <v>66</v>
      </c>
      <c r="F4158" s="10">
        <v>29925</v>
      </c>
      <c r="G4158" s="10">
        <v>0</v>
      </c>
      <c r="H4158" s="10">
        <f t="shared" si="64"/>
        <v>29925</v>
      </c>
      <c r="I4158" s="10">
        <v>126</v>
      </c>
      <c r="J4158" s="10">
        <v>126</v>
      </c>
      <c r="K4158" s="10">
        <v>126</v>
      </c>
      <c r="L4158" s="4"/>
      <c r="M4158" s="4">
        <v>4153</v>
      </c>
    </row>
    <row r="4159" spans="1:13" x14ac:dyDescent="0.25">
      <c r="A4159" s="4" t="s">
        <v>4023</v>
      </c>
      <c r="B4159" s="4" t="s">
        <v>4028</v>
      </c>
      <c r="C4159" s="4" t="s">
        <v>65</v>
      </c>
      <c r="D4159" s="10">
        <v>237.5</v>
      </c>
      <c r="E4159" s="12" t="s">
        <v>66</v>
      </c>
      <c r="F4159" s="10">
        <v>31825</v>
      </c>
      <c r="G4159" s="10">
        <v>0</v>
      </c>
      <c r="H4159" s="10">
        <f t="shared" si="64"/>
        <v>31825</v>
      </c>
      <c r="I4159" s="10">
        <v>134</v>
      </c>
      <c r="J4159" s="10">
        <v>134</v>
      </c>
      <c r="K4159" s="10">
        <v>134</v>
      </c>
      <c r="L4159" s="4"/>
      <c r="M4159" s="4">
        <v>4154</v>
      </c>
    </row>
    <row r="4160" spans="1:13" x14ac:dyDescent="0.25">
      <c r="A4160" s="4" t="s">
        <v>4023</v>
      </c>
      <c r="B4160" s="4" t="s">
        <v>4029</v>
      </c>
      <c r="C4160" s="4" t="s">
        <v>65</v>
      </c>
      <c r="D4160" s="10">
        <v>600</v>
      </c>
      <c r="E4160" s="12" t="s">
        <v>66</v>
      </c>
      <c r="F4160" s="10">
        <v>76000</v>
      </c>
      <c r="G4160" s="10">
        <v>0</v>
      </c>
      <c r="H4160" s="10">
        <f t="shared" si="64"/>
        <v>76000</v>
      </c>
      <c r="I4160" s="10">
        <v>126.6666666666667</v>
      </c>
      <c r="J4160" s="10">
        <v>126.6666666666667</v>
      </c>
      <c r="K4160" s="10">
        <v>126.6666666666667</v>
      </c>
      <c r="L4160" s="4"/>
      <c r="M4160" s="4">
        <v>4155</v>
      </c>
    </row>
    <row r="4161" spans="1:13" x14ac:dyDescent="0.25">
      <c r="A4161" s="4" t="s">
        <v>4023</v>
      </c>
      <c r="B4161" s="4" t="s">
        <v>4030</v>
      </c>
      <c r="C4161" s="4" t="s">
        <v>65</v>
      </c>
      <c r="D4161" s="10">
        <v>190</v>
      </c>
      <c r="E4161" s="12" t="s">
        <v>66</v>
      </c>
      <c r="F4161" s="10">
        <v>23750</v>
      </c>
      <c r="G4161" s="10">
        <v>0</v>
      </c>
      <c r="H4161" s="10">
        <f t="shared" si="64"/>
        <v>23750</v>
      </c>
      <c r="I4161" s="10">
        <v>125</v>
      </c>
      <c r="J4161" s="10">
        <v>125</v>
      </c>
      <c r="K4161" s="10">
        <v>125</v>
      </c>
      <c r="L4161" s="4"/>
      <c r="M4161" s="4">
        <v>4156</v>
      </c>
    </row>
    <row r="4162" spans="1:13" x14ac:dyDescent="0.25">
      <c r="A4162" s="4" t="s">
        <v>4023</v>
      </c>
      <c r="B4162" s="4" t="s">
        <v>4031</v>
      </c>
      <c r="C4162" s="9" t="s">
        <v>50</v>
      </c>
      <c r="D4162" s="10">
        <v>1150</v>
      </c>
      <c r="E4162" s="11" t="s">
        <v>51</v>
      </c>
      <c r="F4162" s="10">
        <v>131195</v>
      </c>
      <c r="G4162" s="10">
        <v>0</v>
      </c>
      <c r="H4162" s="10">
        <f t="shared" si="64"/>
        <v>131195</v>
      </c>
      <c r="I4162" s="10"/>
      <c r="J4162" s="10"/>
      <c r="K4162" s="10"/>
      <c r="L4162" s="4" t="s">
        <v>52</v>
      </c>
      <c r="M4162" s="4">
        <v>4157</v>
      </c>
    </row>
    <row r="4163" spans="1:13" x14ac:dyDescent="0.25">
      <c r="A4163" s="4" t="s">
        <v>4023</v>
      </c>
      <c r="B4163" s="4" t="s">
        <v>4032</v>
      </c>
      <c r="C4163" s="9" t="s">
        <v>50</v>
      </c>
      <c r="D4163" s="10">
        <v>3013</v>
      </c>
      <c r="E4163" s="11" t="s">
        <v>51</v>
      </c>
      <c r="F4163" s="10">
        <v>343140</v>
      </c>
      <c r="G4163" s="10">
        <v>0</v>
      </c>
      <c r="H4163" s="10">
        <f t="shared" si="64"/>
        <v>343140</v>
      </c>
      <c r="I4163" s="10"/>
      <c r="J4163" s="10"/>
      <c r="K4163" s="10"/>
      <c r="L4163" s="4" t="s">
        <v>52</v>
      </c>
      <c r="M4163" s="4">
        <v>4158</v>
      </c>
    </row>
    <row r="4164" spans="1:13" x14ac:dyDescent="0.25">
      <c r="A4164" s="4" t="s">
        <v>4033</v>
      </c>
      <c r="B4164" s="4" t="s">
        <v>4034</v>
      </c>
      <c r="C4164" s="4" t="s">
        <v>65</v>
      </c>
      <c r="D4164" s="10">
        <v>17</v>
      </c>
      <c r="E4164" s="12" t="s">
        <v>66</v>
      </c>
      <c r="F4164" s="10">
        <v>2200</v>
      </c>
      <c r="G4164" s="10">
        <v>0</v>
      </c>
      <c r="H4164" s="10">
        <f t="shared" si="64"/>
        <v>2200</v>
      </c>
      <c r="I4164" s="10">
        <v>129.41176470588229</v>
      </c>
      <c r="J4164" s="10">
        <v>129.41176470588229</v>
      </c>
      <c r="K4164" s="10">
        <v>129.41176470588229</v>
      </c>
      <c r="L4164" s="4"/>
      <c r="M4164" s="4">
        <v>4159</v>
      </c>
    </row>
    <row r="4165" spans="1:13" x14ac:dyDescent="0.25">
      <c r="A4165" s="4" t="s">
        <v>4035</v>
      </c>
      <c r="B4165" s="4" t="s">
        <v>4036</v>
      </c>
      <c r="C4165" s="4" t="s">
        <v>65</v>
      </c>
      <c r="D4165" s="10">
        <v>26</v>
      </c>
      <c r="E4165" s="12" t="s">
        <v>66</v>
      </c>
      <c r="F4165" s="10">
        <v>1100</v>
      </c>
      <c r="G4165" s="10">
        <v>0</v>
      </c>
      <c r="H4165" s="10">
        <f t="shared" si="64"/>
        <v>1100</v>
      </c>
      <c r="I4165" s="10">
        <v>100</v>
      </c>
      <c r="J4165" s="10">
        <v>100</v>
      </c>
      <c r="K4165" s="10">
        <v>100</v>
      </c>
      <c r="L4165" s="4"/>
      <c r="M4165" s="4">
        <v>4160</v>
      </c>
    </row>
    <row r="4166" spans="1:13" x14ac:dyDescent="0.25">
      <c r="A4166" s="4" t="s">
        <v>4037</v>
      </c>
      <c r="B4166" s="4" t="s">
        <v>4038</v>
      </c>
      <c r="C4166" s="4" t="s">
        <v>65</v>
      </c>
      <c r="D4166" s="10">
        <v>26</v>
      </c>
      <c r="E4166" s="12" t="s">
        <v>66</v>
      </c>
      <c r="F4166" s="10">
        <v>1900</v>
      </c>
      <c r="G4166" s="10">
        <v>0</v>
      </c>
      <c r="H4166" s="10">
        <f t="shared" ref="H4166:H4229" si="65">F4166-G4166</f>
        <v>1900</v>
      </c>
      <c r="I4166" s="10">
        <v>126.6666666666667</v>
      </c>
      <c r="J4166" s="10">
        <v>126.6666666666667</v>
      </c>
      <c r="K4166" s="10">
        <v>126.6666666666667</v>
      </c>
      <c r="L4166" s="4"/>
      <c r="M4166" s="4">
        <v>4161</v>
      </c>
    </row>
    <row r="4167" spans="1:13" x14ac:dyDescent="0.25">
      <c r="A4167" s="4" t="s">
        <v>4039</v>
      </c>
      <c r="B4167" s="4" t="s">
        <v>4040</v>
      </c>
      <c r="C4167" s="4" t="s">
        <v>65</v>
      </c>
      <c r="D4167" s="10">
        <v>22</v>
      </c>
      <c r="E4167" s="12" t="s">
        <v>66</v>
      </c>
      <c r="F4167" s="10">
        <v>1100</v>
      </c>
      <c r="G4167" s="10">
        <v>0</v>
      </c>
      <c r="H4167" s="10">
        <f t="shared" si="65"/>
        <v>1100</v>
      </c>
      <c r="I4167" s="10">
        <v>100</v>
      </c>
      <c r="J4167" s="10">
        <v>100</v>
      </c>
      <c r="K4167" s="10">
        <v>100</v>
      </c>
      <c r="L4167" s="4"/>
      <c r="M4167" s="4">
        <v>4162</v>
      </c>
    </row>
    <row r="4168" spans="1:13" x14ac:dyDescent="0.25">
      <c r="A4168" s="4" t="s">
        <v>4041</v>
      </c>
      <c r="B4168" s="4" t="s">
        <v>4040</v>
      </c>
      <c r="C4168" s="4" t="s">
        <v>65</v>
      </c>
      <c r="D4168" s="10">
        <v>253</v>
      </c>
      <c r="E4168" s="12" t="s">
        <v>66</v>
      </c>
      <c r="F4168" s="10">
        <v>1100</v>
      </c>
      <c r="G4168" s="10">
        <v>0</v>
      </c>
      <c r="H4168" s="10">
        <f t="shared" si="65"/>
        <v>1100</v>
      </c>
      <c r="I4168" s="10">
        <v>100</v>
      </c>
      <c r="J4168" s="10">
        <v>100</v>
      </c>
      <c r="K4168" s="10">
        <v>100</v>
      </c>
      <c r="L4168" s="4"/>
      <c r="M4168" s="4">
        <v>4163</v>
      </c>
    </row>
    <row r="4169" spans="1:13" x14ac:dyDescent="0.25">
      <c r="A4169" s="4" t="s">
        <v>4042</v>
      </c>
      <c r="B4169" s="4" t="s">
        <v>4043</v>
      </c>
      <c r="C4169" s="4" t="s">
        <v>68</v>
      </c>
      <c r="D4169" s="10">
        <v>38</v>
      </c>
      <c r="E4169" s="11" t="s">
        <v>51</v>
      </c>
      <c r="F4169" s="10">
        <v>4180</v>
      </c>
      <c r="G4169" s="10">
        <v>0</v>
      </c>
      <c r="H4169" s="10">
        <f t="shared" si="65"/>
        <v>4180</v>
      </c>
      <c r="I4169" s="10"/>
      <c r="J4169" s="10"/>
      <c r="K4169" s="10"/>
      <c r="L4169" s="4" t="s">
        <v>69</v>
      </c>
      <c r="M4169" s="4">
        <v>4164</v>
      </c>
    </row>
    <row r="4170" spans="1:13" x14ac:dyDescent="0.25">
      <c r="A4170" s="4" t="s">
        <v>4042</v>
      </c>
      <c r="B4170" s="4" t="s">
        <v>4044</v>
      </c>
      <c r="C4170" s="4" t="s">
        <v>65</v>
      </c>
      <c r="D4170" s="10">
        <v>31</v>
      </c>
      <c r="E4170" s="12" t="s">
        <v>66</v>
      </c>
      <c r="F4170" s="10">
        <v>3650</v>
      </c>
      <c r="G4170" s="10">
        <v>0</v>
      </c>
      <c r="H4170" s="10">
        <f t="shared" si="65"/>
        <v>3650</v>
      </c>
      <c r="I4170" s="10">
        <v>117.741935483871</v>
      </c>
      <c r="J4170" s="10">
        <v>117.741935483871</v>
      </c>
      <c r="K4170" s="10">
        <v>117.741935483871</v>
      </c>
      <c r="L4170" s="4"/>
      <c r="M4170" s="4">
        <v>4165</v>
      </c>
    </row>
    <row r="4171" spans="1:13" x14ac:dyDescent="0.25">
      <c r="A4171" s="4" t="s">
        <v>4042</v>
      </c>
      <c r="B4171" s="4" t="s">
        <v>4045</v>
      </c>
      <c r="C4171" s="4" t="s">
        <v>65</v>
      </c>
      <c r="D4171" s="10">
        <v>58</v>
      </c>
      <c r="E4171" s="12" t="s">
        <v>66</v>
      </c>
      <c r="F4171" s="10">
        <v>6850</v>
      </c>
      <c r="G4171" s="10">
        <v>0</v>
      </c>
      <c r="H4171" s="10">
        <f t="shared" si="65"/>
        <v>6850</v>
      </c>
      <c r="I4171" s="10">
        <v>118.10344827586211</v>
      </c>
      <c r="J4171" s="10">
        <v>118.10344827586211</v>
      </c>
      <c r="K4171" s="10">
        <v>118.10344827586211</v>
      </c>
      <c r="L4171" s="4"/>
      <c r="M4171" s="4">
        <v>4166</v>
      </c>
    </row>
    <row r="4172" spans="1:13" x14ac:dyDescent="0.25">
      <c r="A4172" s="4" t="s">
        <v>4042</v>
      </c>
      <c r="B4172" s="4" t="s">
        <v>4046</v>
      </c>
      <c r="C4172" s="4" t="s">
        <v>68</v>
      </c>
      <c r="D4172" s="10">
        <v>25</v>
      </c>
      <c r="E4172" s="11" t="s">
        <v>51</v>
      </c>
      <c r="F4172" s="10">
        <v>2750</v>
      </c>
      <c r="G4172" s="10">
        <v>0</v>
      </c>
      <c r="H4172" s="10">
        <f t="shared" si="65"/>
        <v>2750</v>
      </c>
      <c r="I4172" s="10"/>
      <c r="J4172" s="10"/>
      <c r="K4172" s="10"/>
      <c r="L4172" s="4" t="s">
        <v>69</v>
      </c>
      <c r="M4172" s="4">
        <v>4167</v>
      </c>
    </row>
    <row r="4173" spans="1:13" x14ac:dyDescent="0.25">
      <c r="A4173" s="4" t="s">
        <v>4042</v>
      </c>
      <c r="B4173" s="4" t="s">
        <v>4047</v>
      </c>
      <c r="C4173" s="4" t="s">
        <v>68</v>
      </c>
      <c r="D4173" s="10">
        <v>70</v>
      </c>
      <c r="E4173" s="11" t="s">
        <v>51</v>
      </c>
      <c r="F4173" s="10">
        <v>7700</v>
      </c>
      <c r="G4173" s="10">
        <v>0</v>
      </c>
      <c r="H4173" s="10">
        <f t="shared" si="65"/>
        <v>7700</v>
      </c>
      <c r="I4173" s="10"/>
      <c r="J4173" s="10"/>
      <c r="K4173" s="10"/>
      <c r="L4173" s="4" t="s">
        <v>69</v>
      </c>
      <c r="M4173" s="4">
        <v>4168</v>
      </c>
    </row>
    <row r="4174" spans="1:13" x14ac:dyDescent="0.25">
      <c r="A4174" s="4" t="s">
        <v>4042</v>
      </c>
      <c r="B4174" s="4" t="s">
        <v>4048</v>
      </c>
      <c r="C4174" s="4" t="s">
        <v>65</v>
      </c>
      <c r="D4174" s="10">
        <v>132</v>
      </c>
      <c r="E4174" s="12" t="s">
        <v>66</v>
      </c>
      <c r="F4174" s="10">
        <v>2550</v>
      </c>
      <c r="G4174" s="10">
        <v>0</v>
      </c>
      <c r="H4174" s="10">
        <f t="shared" si="65"/>
        <v>2550</v>
      </c>
      <c r="I4174" s="10">
        <v>127.5</v>
      </c>
      <c r="J4174" s="10">
        <v>127.5</v>
      </c>
      <c r="K4174" s="10">
        <v>127.5</v>
      </c>
      <c r="L4174" s="4"/>
      <c r="M4174" s="4">
        <v>4169</v>
      </c>
    </row>
    <row r="4175" spans="1:13" x14ac:dyDescent="0.25">
      <c r="A4175" s="4" t="s">
        <v>4049</v>
      </c>
      <c r="B4175" s="4" t="s">
        <v>4050</v>
      </c>
      <c r="C4175" s="4" t="s">
        <v>65</v>
      </c>
      <c r="D4175" s="10">
        <v>21</v>
      </c>
      <c r="E4175" s="12" t="s">
        <v>66</v>
      </c>
      <c r="F4175" s="10">
        <v>1700</v>
      </c>
      <c r="G4175" s="10">
        <v>0</v>
      </c>
      <c r="H4175" s="10">
        <f t="shared" si="65"/>
        <v>1700</v>
      </c>
      <c r="I4175" s="10">
        <v>80.952380952380949</v>
      </c>
      <c r="J4175" s="10">
        <v>80.952380952380949</v>
      </c>
      <c r="K4175" s="10">
        <v>80.952380952380949</v>
      </c>
      <c r="L4175" s="4"/>
      <c r="M4175" s="4">
        <v>4170</v>
      </c>
    </row>
    <row r="4176" spans="1:13" x14ac:dyDescent="0.25">
      <c r="A4176" s="4" t="s">
        <v>4049</v>
      </c>
      <c r="B4176" s="4" t="s">
        <v>4051</v>
      </c>
      <c r="C4176" s="4" t="s">
        <v>65</v>
      </c>
      <c r="D4176" s="10">
        <v>270</v>
      </c>
      <c r="E4176" s="12" t="s">
        <v>66</v>
      </c>
      <c r="F4176" s="10">
        <v>2450</v>
      </c>
      <c r="G4176" s="10">
        <v>0</v>
      </c>
      <c r="H4176" s="10">
        <f t="shared" si="65"/>
        <v>2450</v>
      </c>
      <c r="I4176" s="10">
        <v>70</v>
      </c>
      <c r="J4176" s="10">
        <v>70</v>
      </c>
      <c r="K4176" s="10">
        <v>70</v>
      </c>
      <c r="L4176" s="4"/>
      <c r="M4176" s="4">
        <v>4171</v>
      </c>
    </row>
    <row r="4177" spans="1:13" x14ac:dyDescent="0.25">
      <c r="A4177" s="4" t="s">
        <v>4052</v>
      </c>
      <c r="B4177" s="4" t="s">
        <v>4053</v>
      </c>
      <c r="C4177" s="4" t="s">
        <v>65</v>
      </c>
      <c r="D4177" s="10">
        <v>146</v>
      </c>
      <c r="E4177" s="12" t="s">
        <v>66</v>
      </c>
      <c r="F4177" s="10">
        <v>18550</v>
      </c>
      <c r="G4177" s="10">
        <v>0</v>
      </c>
      <c r="H4177" s="10">
        <f t="shared" si="65"/>
        <v>18550</v>
      </c>
      <c r="I4177" s="10">
        <v>127.0547945205479</v>
      </c>
      <c r="J4177" s="10">
        <v>127.0547945205479</v>
      </c>
      <c r="K4177" s="10">
        <v>127.0547945205479</v>
      </c>
      <c r="L4177" s="4"/>
      <c r="M4177" s="4">
        <v>4172</v>
      </c>
    </row>
    <row r="4178" spans="1:13" x14ac:dyDescent="0.25">
      <c r="A4178" s="4" t="s">
        <v>4052</v>
      </c>
      <c r="B4178" s="4" t="s">
        <v>4054</v>
      </c>
      <c r="C4178" s="4" t="s">
        <v>65</v>
      </c>
      <c r="D4178" s="10">
        <v>9</v>
      </c>
      <c r="E4178" s="12" t="s">
        <v>66</v>
      </c>
      <c r="F4178" s="10">
        <v>1210</v>
      </c>
      <c r="G4178" s="10">
        <v>0</v>
      </c>
      <c r="H4178" s="10">
        <f t="shared" si="65"/>
        <v>1210</v>
      </c>
      <c r="I4178" s="10">
        <v>134.44444444444451</v>
      </c>
      <c r="J4178" s="10">
        <v>134.44444444444451</v>
      </c>
      <c r="K4178" s="10">
        <v>134.44444444444451</v>
      </c>
      <c r="L4178" s="4"/>
      <c r="M4178" s="4">
        <v>4173</v>
      </c>
    </row>
    <row r="4179" spans="1:13" x14ac:dyDescent="0.25">
      <c r="A4179" s="4" t="s">
        <v>4052</v>
      </c>
      <c r="B4179" s="4" t="s">
        <v>4055</v>
      </c>
      <c r="C4179" s="4" t="s">
        <v>68</v>
      </c>
      <c r="D4179" s="10">
        <v>159.5</v>
      </c>
      <c r="E4179" s="11" t="s">
        <v>51</v>
      </c>
      <c r="F4179" s="10">
        <v>9600</v>
      </c>
      <c r="G4179" s="10">
        <v>0</v>
      </c>
      <c r="H4179" s="10">
        <f t="shared" si="65"/>
        <v>9600</v>
      </c>
      <c r="I4179" s="10"/>
      <c r="J4179" s="10"/>
      <c r="K4179" s="10"/>
      <c r="L4179" s="4" t="s">
        <v>69</v>
      </c>
      <c r="M4179" s="4">
        <v>4174</v>
      </c>
    </row>
    <row r="4180" spans="1:13" x14ac:dyDescent="0.25">
      <c r="A4180" s="4" t="s">
        <v>4056</v>
      </c>
      <c r="B4180" s="4" t="s">
        <v>4057</v>
      </c>
      <c r="C4180" s="4" t="s">
        <v>68</v>
      </c>
      <c r="D4180" s="10">
        <v>16</v>
      </c>
      <c r="E4180" s="11" t="s">
        <v>51</v>
      </c>
      <c r="F4180" s="10">
        <v>1840</v>
      </c>
      <c r="G4180" s="10">
        <v>0</v>
      </c>
      <c r="H4180" s="10">
        <f t="shared" si="65"/>
        <v>1840</v>
      </c>
      <c r="I4180" s="10"/>
      <c r="J4180" s="10"/>
      <c r="K4180" s="10"/>
      <c r="L4180" s="4" t="s">
        <v>69</v>
      </c>
      <c r="M4180" s="4">
        <v>4175</v>
      </c>
    </row>
    <row r="4181" spans="1:13" x14ac:dyDescent="0.25">
      <c r="A4181" s="4" t="s">
        <v>4056</v>
      </c>
      <c r="B4181" s="4" t="s">
        <v>4058</v>
      </c>
      <c r="C4181" s="4" t="s">
        <v>65</v>
      </c>
      <c r="D4181" s="10">
        <v>23.5</v>
      </c>
      <c r="E4181" s="12" t="s">
        <v>66</v>
      </c>
      <c r="F4181" s="10">
        <v>3200</v>
      </c>
      <c r="G4181" s="10">
        <v>0</v>
      </c>
      <c r="H4181" s="10">
        <f t="shared" si="65"/>
        <v>3200</v>
      </c>
      <c r="I4181" s="10">
        <v>136.17021276595739</v>
      </c>
      <c r="J4181" s="10">
        <v>136.17021276595739</v>
      </c>
      <c r="K4181" s="10">
        <v>136.17021276595739</v>
      </c>
      <c r="L4181" s="4"/>
      <c r="M4181" s="4">
        <v>4176</v>
      </c>
    </row>
    <row r="4182" spans="1:13" x14ac:dyDescent="0.25">
      <c r="A4182" s="4" t="s">
        <v>4056</v>
      </c>
      <c r="B4182" s="4" t="s">
        <v>4059</v>
      </c>
      <c r="C4182" s="4" t="s">
        <v>65</v>
      </c>
      <c r="D4182" s="10">
        <v>18</v>
      </c>
      <c r="E4182" s="12" t="s">
        <v>66</v>
      </c>
      <c r="F4182" s="10">
        <v>2500</v>
      </c>
      <c r="G4182" s="10">
        <v>0</v>
      </c>
      <c r="H4182" s="10">
        <f t="shared" si="65"/>
        <v>2500</v>
      </c>
      <c r="I4182" s="10">
        <v>138.88888888888891</v>
      </c>
      <c r="J4182" s="10">
        <v>138.88888888888891</v>
      </c>
      <c r="K4182" s="10">
        <v>138.88888888888891</v>
      </c>
      <c r="L4182" s="4"/>
      <c r="M4182" s="4">
        <v>4177</v>
      </c>
    </row>
    <row r="4183" spans="1:13" x14ac:dyDescent="0.25">
      <c r="A4183" s="4" t="s">
        <v>4056</v>
      </c>
      <c r="B4183" s="4" t="s">
        <v>4060</v>
      </c>
      <c r="C4183" s="4" t="s">
        <v>65</v>
      </c>
      <c r="D4183" s="10">
        <v>146</v>
      </c>
      <c r="E4183" s="12" t="s">
        <v>66</v>
      </c>
      <c r="F4183" s="10">
        <v>3000</v>
      </c>
      <c r="G4183" s="10">
        <v>0</v>
      </c>
      <c r="H4183" s="10">
        <f t="shared" si="65"/>
        <v>3000</v>
      </c>
      <c r="I4183" s="10">
        <v>136.3636363636364</v>
      </c>
      <c r="J4183" s="10">
        <v>136.3636363636364</v>
      </c>
      <c r="K4183" s="10">
        <v>136.3636363636364</v>
      </c>
      <c r="L4183" s="4"/>
      <c r="M4183" s="4">
        <v>4178</v>
      </c>
    </row>
    <row r="4184" spans="1:13" x14ac:dyDescent="0.25">
      <c r="A4184" s="4" t="s">
        <v>4061</v>
      </c>
      <c r="B4184" s="4" t="s">
        <v>4062</v>
      </c>
      <c r="C4184" s="4" t="s">
        <v>68</v>
      </c>
      <c r="D4184" s="10">
        <v>16</v>
      </c>
      <c r="E4184" s="11" t="s">
        <v>51</v>
      </c>
      <c r="F4184" s="10">
        <v>1840</v>
      </c>
      <c r="G4184" s="10">
        <v>0</v>
      </c>
      <c r="H4184" s="10">
        <f t="shared" si="65"/>
        <v>1840</v>
      </c>
      <c r="I4184" s="10"/>
      <c r="J4184" s="10"/>
      <c r="K4184" s="10"/>
      <c r="L4184" s="4" t="s">
        <v>69</v>
      </c>
      <c r="M4184" s="4">
        <v>4179</v>
      </c>
    </row>
    <row r="4185" spans="1:13" x14ac:dyDescent="0.25">
      <c r="A4185" s="4" t="s">
        <v>4061</v>
      </c>
      <c r="B4185" s="4" t="s">
        <v>4058</v>
      </c>
      <c r="C4185" s="4" t="s">
        <v>65</v>
      </c>
      <c r="D4185" s="10">
        <v>39.5</v>
      </c>
      <c r="E4185" s="12" t="s">
        <v>66</v>
      </c>
      <c r="F4185" s="10">
        <v>5350</v>
      </c>
      <c r="G4185" s="10">
        <v>0</v>
      </c>
      <c r="H4185" s="10">
        <f t="shared" si="65"/>
        <v>5350</v>
      </c>
      <c r="I4185" s="10">
        <v>135.44303797468351</v>
      </c>
      <c r="J4185" s="10">
        <v>135.44303797468351</v>
      </c>
      <c r="K4185" s="10">
        <v>135.44303797468351</v>
      </c>
      <c r="L4185" s="4"/>
      <c r="M4185" s="4">
        <v>4180</v>
      </c>
    </row>
    <row r="4186" spans="1:13" x14ac:dyDescent="0.25">
      <c r="A4186" s="4" t="s">
        <v>4061</v>
      </c>
      <c r="B4186" s="4" t="s">
        <v>4059</v>
      </c>
      <c r="C4186" s="4" t="s">
        <v>65</v>
      </c>
      <c r="D4186" s="10">
        <v>31</v>
      </c>
      <c r="E4186" s="12" t="s">
        <v>66</v>
      </c>
      <c r="F4186" s="10">
        <v>4250</v>
      </c>
      <c r="G4186" s="10">
        <v>0</v>
      </c>
      <c r="H4186" s="10">
        <f t="shared" si="65"/>
        <v>4250</v>
      </c>
      <c r="I4186" s="10">
        <v>137.09677419354841</v>
      </c>
      <c r="J4186" s="10">
        <v>137.09677419354841</v>
      </c>
      <c r="K4186" s="10">
        <v>137.09677419354841</v>
      </c>
      <c r="L4186" s="4"/>
      <c r="M4186" s="4">
        <v>4181</v>
      </c>
    </row>
    <row r="4187" spans="1:13" x14ac:dyDescent="0.25">
      <c r="A4187" s="4" t="s">
        <v>4061</v>
      </c>
      <c r="B4187" s="4" t="s">
        <v>4060</v>
      </c>
      <c r="C4187" s="4" t="s">
        <v>65</v>
      </c>
      <c r="D4187" s="10">
        <v>225.08</v>
      </c>
      <c r="E4187" s="12" t="s">
        <v>66</v>
      </c>
      <c r="F4187" s="10">
        <v>5100</v>
      </c>
      <c r="G4187" s="10">
        <v>0</v>
      </c>
      <c r="H4187" s="10">
        <f t="shared" si="65"/>
        <v>5100</v>
      </c>
      <c r="I4187" s="10">
        <v>136</v>
      </c>
      <c r="J4187" s="10">
        <v>136</v>
      </c>
      <c r="K4187" s="10">
        <v>136</v>
      </c>
      <c r="L4187" s="4"/>
      <c r="M4187" s="4">
        <v>4182</v>
      </c>
    </row>
    <row r="4188" spans="1:13" x14ac:dyDescent="0.25">
      <c r="A4188" s="4" t="s">
        <v>4063</v>
      </c>
      <c r="B4188" s="4" t="s">
        <v>4064</v>
      </c>
      <c r="C4188" s="4" t="s">
        <v>68</v>
      </c>
      <c r="D4188" s="10">
        <v>16</v>
      </c>
      <c r="E4188" s="11" t="s">
        <v>51</v>
      </c>
      <c r="F4188" s="10">
        <v>1840</v>
      </c>
      <c r="G4188" s="10">
        <v>0</v>
      </c>
      <c r="H4188" s="10">
        <f t="shared" si="65"/>
        <v>1840</v>
      </c>
      <c r="I4188" s="10"/>
      <c r="J4188" s="10"/>
      <c r="K4188" s="10"/>
      <c r="L4188" s="4" t="s">
        <v>69</v>
      </c>
      <c r="M4188" s="4">
        <v>4183</v>
      </c>
    </row>
    <row r="4189" spans="1:13" x14ac:dyDescent="0.25">
      <c r="A4189" s="4" t="s">
        <v>4063</v>
      </c>
      <c r="B4189" s="4" t="s">
        <v>4065</v>
      </c>
      <c r="C4189" s="9" t="s">
        <v>50</v>
      </c>
      <c r="D4189" s="10">
        <v>62.5</v>
      </c>
      <c r="E4189" s="11" t="s">
        <v>51</v>
      </c>
      <c r="F4189" s="10">
        <v>8500</v>
      </c>
      <c r="G4189" s="10">
        <v>0</v>
      </c>
      <c r="H4189" s="10">
        <f t="shared" si="65"/>
        <v>8500</v>
      </c>
      <c r="I4189" s="10"/>
      <c r="J4189" s="10"/>
      <c r="K4189" s="10"/>
      <c r="L4189" s="4" t="s">
        <v>52</v>
      </c>
      <c r="M4189" s="4">
        <v>4184</v>
      </c>
    </row>
    <row r="4190" spans="1:13" x14ac:dyDescent="0.25">
      <c r="A4190" s="4" t="s">
        <v>4063</v>
      </c>
      <c r="B4190" s="4" t="s">
        <v>4059</v>
      </c>
      <c r="C4190" s="4" t="s">
        <v>65</v>
      </c>
      <c r="D4190" s="10">
        <v>49.58</v>
      </c>
      <c r="E4190" s="12" t="s">
        <v>66</v>
      </c>
      <c r="F4190" s="10">
        <v>6700</v>
      </c>
      <c r="G4190" s="10">
        <v>0</v>
      </c>
      <c r="H4190" s="10">
        <f t="shared" si="65"/>
        <v>6700</v>
      </c>
      <c r="I4190" s="10">
        <v>135.1351351351351</v>
      </c>
      <c r="J4190" s="10">
        <v>135.1351351351351</v>
      </c>
      <c r="K4190" s="10">
        <v>135.1351351351351</v>
      </c>
      <c r="L4190" s="4"/>
      <c r="M4190" s="4">
        <v>4185</v>
      </c>
    </row>
    <row r="4191" spans="1:13" x14ac:dyDescent="0.25">
      <c r="A4191" s="4" t="s">
        <v>4063</v>
      </c>
      <c r="B4191" s="4" t="s">
        <v>4060</v>
      </c>
      <c r="C4191" s="4" t="s">
        <v>65</v>
      </c>
      <c r="D4191" s="10">
        <v>781.5</v>
      </c>
      <c r="E4191" s="12" t="s">
        <v>66</v>
      </c>
      <c r="F4191" s="10">
        <v>8050</v>
      </c>
      <c r="G4191" s="10">
        <v>0</v>
      </c>
      <c r="H4191" s="10">
        <f t="shared" si="65"/>
        <v>8050</v>
      </c>
      <c r="I4191" s="10">
        <v>135.29411764705881</v>
      </c>
      <c r="J4191" s="10">
        <v>135.29411764705881</v>
      </c>
      <c r="K4191" s="10">
        <v>135.29411764705881</v>
      </c>
      <c r="L4191" s="4"/>
      <c r="M4191" s="4">
        <v>4186</v>
      </c>
    </row>
    <row r="4192" spans="1:13" x14ac:dyDescent="0.25">
      <c r="A4192" s="4" t="s">
        <v>4066</v>
      </c>
      <c r="B4192" s="4" t="s">
        <v>4067</v>
      </c>
      <c r="C4192" s="9" t="s">
        <v>50</v>
      </c>
      <c r="D4192" s="10">
        <v>3.5</v>
      </c>
      <c r="E4192" s="11" t="s">
        <v>51</v>
      </c>
      <c r="F4192" s="10">
        <v>447.37</v>
      </c>
      <c r="G4192" s="10">
        <v>0</v>
      </c>
      <c r="H4192" s="10">
        <f t="shared" si="65"/>
        <v>447.37</v>
      </c>
      <c r="I4192" s="10"/>
      <c r="J4192" s="10"/>
      <c r="K4192" s="10"/>
      <c r="L4192" s="4" t="s">
        <v>52</v>
      </c>
      <c r="M4192" s="4">
        <v>4187</v>
      </c>
    </row>
    <row r="4193" spans="1:13" x14ac:dyDescent="0.25">
      <c r="A4193" s="4" t="s">
        <v>4066</v>
      </c>
      <c r="B4193" s="4" t="s">
        <v>4068</v>
      </c>
      <c r="C4193" s="9" t="s">
        <v>50</v>
      </c>
      <c r="D4193" s="10">
        <v>88</v>
      </c>
      <c r="E4193" s="11" t="s">
        <v>51</v>
      </c>
      <c r="F4193" s="10">
        <v>8660.5499999999993</v>
      </c>
      <c r="G4193" s="10">
        <v>0</v>
      </c>
      <c r="H4193" s="10">
        <f t="shared" si="65"/>
        <v>8660.5499999999993</v>
      </c>
      <c r="I4193" s="10"/>
      <c r="J4193" s="10"/>
      <c r="K4193" s="10"/>
      <c r="L4193" s="4" t="s">
        <v>52</v>
      </c>
      <c r="M4193" s="4">
        <v>4188</v>
      </c>
    </row>
    <row r="4194" spans="1:13" x14ac:dyDescent="0.25">
      <c r="A4194" s="4" t="s">
        <v>4066</v>
      </c>
      <c r="B4194" s="4" t="s">
        <v>4069</v>
      </c>
      <c r="C4194" s="9" t="s">
        <v>50</v>
      </c>
      <c r="D4194" s="10">
        <v>73.5</v>
      </c>
      <c r="E4194" s="11" t="s">
        <v>51</v>
      </c>
      <c r="F4194" s="10">
        <v>8500.0300000000007</v>
      </c>
      <c r="G4194" s="10">
        <v>0</v>
      </c>
      <c r="H4194" s="10">
        <f t="shared" si="65"/>
        <v>8500.0300000000007</v>
      </c>
      <c r="I4194" s="10"/>
      <c r="J4194" s="10"/>
      <c r="K4194" s="10"/>
      <c r="L4194" s="4" t="s">
        <v>52</v>
      </c>
      <c r="M4194" s="4">
        <v>4189</v>
      </c>
    </row>
    <row r="4195" spans="1:13" x14ac:dyDescent="0.25">
      <c r="A4195" s="4" t="s">
        <v>4066</v>
      </c>
      <c r="B4195" s="4" t="s">
        <v>4070</v>
      </c>
      <c r="C4195" s="9" t="s">
        <v>50</v>
      </c>
      <c r="D4195" s="10">
        <v>58</v>
      </c>
      <c r="E4195" s="11" t="s">
        <v>51</v>
      </c>
      <c r="F4195" s="10">
        <v>6710.55</v>
      </c>
      <c r="G4195" s="10">
        <v>0</v>
      </c>
      <c r="H4195" s="10">
        <f t="shared" si="65"/>
        <v>6710.55</v>
      </c>
      <c r="I4195" s="10"/>
      <c r="J4195" s="10"/>
      <c r="K4195" s="10"/>
      <c r="L4195" s="4" t="s">
        <v>52</v>
      </c>
      <c r="M4195" s="4">
        <v>4190</v>
      </c>
    </row>
    <row r="4196" spans="1:13" x14ac:dyDescent="0.25">
      <c r="A4196" s="4" t="s">
        <v>4066</v>
      </c>
      <c r="B4196" s="4" t="s">
        <v>4071</v>
      </c>
      <c r="C4196" s="9" t="s">
        <v>50</v>
      </c>
      <c r="D4196" s="10">
        <v>70</v>
      </c>
      <c r="E4196" s="11" t="s">
        <v>51</v>
      </c>
      <c r="F4196" s="10">
        <v>8052.66</v>
      </c>
      <c r="G4196" s="10">
        <v>0</v>
      </c>
      <c r="H4196" s="10">
        <f t="shared" si="65"/>
        <v>8052.66</v>
      </c>
      <c r="I4196" s="10"/>
      <c r="J4196" s="10"/>
      <c r="K4196" s="10"/>
      <c r="L4196" s="4" t="s">
        <v>52</v>
      </c>
      <c r="M4196" s="4">
        <v>4191</v>
      </c>
    </row>
    <row r="4197" spans="1:13" x14ac:dyDescent="0.25">
      <c r="A4197" s="4" t="s">
        <v>4066</v>
      </c>
      <c r="B4197" s="4" t="s">
        <v>4072</v>
      </c>
      <c r="C4197" s="9" t="s">
        <v>50</v>
      </c>
      <c r="D4197" s="10">
        <v>124</v>
      </c>
      <c r="E4197" s="11" t="s">
        <v>51</v>
      </c>
      <c r="F4197" s="10">
        <v>14315.84</v>
      </c>
      <c r="G4197" s="10">
        <v>0</v>
      </c>
      <c r="H4197" s="10">
        <f t="shared" si="65"/>
        <v>14315.84</v>
      </c>
      <c r="I4197" s="10"/>
      <c r="J4197" s="10"/>
      <c r="K4197" s="10"/>
      <c r="L4197" s="4" t="s">
        <v>52</v>
      </c>
      <c r="M4197" s="4">
        <v>4192</v>
      </c>
    </row>
    <row r="4198" spans="1:13" x14ac:dyDescent="0.25">
      <c r="A4198" s="4" t="s">
        <v>4066</v>
      </c>
      <c r="B4198" s="4" t="s">
        <v>4073</v>
      </c>
      <c r="C4198" s="9" t="s">
        <v>50</v>
      </c>
      <c r="D4198" s="10">
        <v>6.5</v>
      </c>
      <c r="E4198" s="11" t="s">
        <v>51</v>
      </c>
      <c r="F4198" s="10">
        <v>750</v>
      </c>
      <c r="G4198" s="10">
        <v>0</v>
      </c>
      <c r="H4198" s="10">
        <f t="shared" si="65"/>
        <v>750</v>
      </c>
      <c r="I4198" s="10"/>
      <c r="J4198" s="10"/>
      <c r="K4198" s="10"/>
      <c r="L4198" s="4" t="s">
        <v>52</v>
      </c>
      <c r="M4198" s="4">
        <v>4193</v>
      </c>
    </row>
    <row r="4199" spans="1:13" x14ac:dyDescent="0.25">
      <c r="A4199" s="4" t="s">
        <v>4066</v>
      </c>
      <c r="B4199" s="4" t="s">
        <v>4074</v>
      </c>
      <c r="C4199" s="9" t="s">
        <v>50</v>
      </c>
      <c r="D4199" s="10">
        <v>8.5</v>
      </c>
      <c r="E4199" s="11" t="s">
        <v>51</v>
      </c>
      <c r="F4199" s="10">
        <v>1000</v>
      </c>
      <c r="G4199" s="10">
        <v>0</v>
      </c>
      <c r="H4199" s="10">
        <f t="shared" si="65"/>
        <v>1000</v>
      </c>
      <c r="I4199" s="10"/>
      <c r="J4199" s="10"/>
      <c r="K4199" s="10"/>
      <c r="L4199" s="4" t="s">
        <v>52</v>
      </c>
      <c r="M4199" s="4">
        <v>4194</v>
      </c>
    </row>
    <row r="4200" spans="1:13" x14ac:dyDescent="0.25">
      <c r="A4200" s="4" t="s">
        <v>4066</v>
      </c>
      <c r="B4200" s="4" t="s">
        <v>4075</v>
      </c>
      <c r="C4200" s="9" t="s">
        <v>50</v>
      </c>
      <c r="D4200" s="10">
        <v>8.5</v>
      </c>
      <c r="E4200" s="11" t="s">
        <v>51</v>
      </c>
      <c r="F4200" s="10">
        <v>1000</v>
      </c>
      <c r="G4200" s="10">
        <v>0</v>
      </c>
      <c r="H4200" s="10">
        <f t="shared" si="65"/>
        <v>1000</v>
      </c>
      <c r="I4200" s="10"/>
      <c r="J4200" s="10"/>
      <c r="K4200" s="10"/>
      <c r="L4200" s="4" t="s">
        <v>52</v>
      </c>
      <c r="M4200" s="4">
        <v>4195</v>
      </c>
    </row>
    <row r="4201" spans="1:13" x14ac:dyDescent="0.25">
      <c r="A4201" s="4" t="s">
        <v>4066</v>
      </c>
      <c r="B4201" s="4" t="s">
        <v>4076</v>
      </c>
      <c r="C4201" s="9" t="s">
        <v>50</v>
      </c>
      <c r="D4201" s="10">
        <v>4</v>
      </c>
      <c r="E4201" s="11" t="s">
        <v>51</v>
      </c>
      <c r="F4201" s="10">
        <v>500</v>
      </c>
      <c r="G4201" s="10">
        <v>0</v>
      </c>
      <c r="H4201" s="10">
        <f t="shared" si="65"/>
        <v>500</v>
      </c>
      <c r="I4201" s="10"/>
      <c r="J4201" s="10"/>
      <c r="K4201" s="10"/>
      <c r="L4201" s="4" t="s">
        <v>52</v>
      </c>
      <c r="M4201" s="4">
        <v>4196</v>
      </c>
    </row>
    <row r="4202" spans="1:13" x14ac:dyDescent="0.25">
      <c r="A4202" s="4" t="s">
        <v>4066</v>
      </c>
      <c r="B4202" s="4" t="s">
        <v>4077</v>
      </c>
      <c r="C4202" s="9" t="s">
        <v>50</v>
      </c>
      <c r="D4202" s="10">
        <v>184.5</v>
      </c>
      <c r="E4202" s="11" t="s">
        <v>51</v>
      </c>
      <c r="F4202" s="10">
        <v>15400</v>
      </c>
      <c r="G4202" s="10">
        <v>0</v>
      </c>
      <c r="H4202" s="10">
        <f t="shared" si="65"/>
        <v>15400</v>
      </c>
      <c r="I4202" s="10"/>
      <c r="J4202" s="10"/>
      <c r="K4202" s="10"/>
      <c r="L4202" s="4" t="s">
        <v>52</v>
      </c>
      <c r="M4202" s="4">
        <v>4197</v>
      </c>
    </row>
    <row r="4203" spans="1:13" x14ac:dyDescent="0.25">
      <c r="A4203" s="4" t="s">
        <v>4066</v>
      </c>
      <c r="B4203" s="4" t="s">
        <v>4078</v>
      </c>
      <c r="C4203" s="4" t="s">
        <v>65</v>
      </c>
      <c r="D4203" s="10">
        <v>69</v>
      </c>
      <c r="E4203" s="12" t="s">
        <v>66</v>
      </c>
      <c r="F4203" s="10">
        <v>7750</v>
      </c>
      <c r="G4203" s="10">
        <v>0</v>
      </c>
      <c r="H4203" s="10">
        <f t="shared" si="65"/>
        <v>7750</v>
      </c>
      <c r="I4203" s="10">
        <v>112.3188405797101</v>
      </c>
      <c r="J4203" s="10">
        <v>112.3188405797101</v>
      </c>
      <c r="K4203" s="10">
        <v>112.3188405797101</v>
      </c>
      <c r="L4203" s="4"/>
      <c r="M4203" s="4">
        <v>4198</v>
      </c>
    </row>
    <row r="4204" spans="1:13" x14ac:dyDescent="0.25">
      <c r="A4204" s="4" t="s">
        <v>4066</v>
      </c>
      <c r="B4204" s="4" t="s">
        <v>4079</v>
      </c>
      <c r="C4204" s="4" t="s">
        <v>68</v>
      </c>
      <c r="D4204" s="10">
        <v>35</v>
      </c>
      <c r="E4204" s="11" t="s">
        <v>51</v>
      </c>
      <c r="F4204" s="10">
        <v>2760</v>
      </c>
      <c r="G4204" s="10">
        <v>0</v>
      </c>
      <c r="H4204" s="10">
        <f t="shared" si="65"/>
        <v>2760</v>
      </c>
      <c r="I4204" s="10"/>
      <c r="J4204" s="10"/>
      <c r="K4204" s="10"/>
      <c r="L4204" s="4" t="s">
        <v>69</v>
      </c>
      <c r="M4204" s="4">
        <v>4199</v>
      </c>
    </row>
    <row r="4205" spans="1:13" x14ac:dyDescent="0.25">
      <c r="A4205" s="4" t="s">
        <v>4080</v>
      </c>
      <c r="B4205" s="4" t="s">
        <v>4081</v>
      </c>
      <c r="C4205" s="4" t="s">
        <v>65</v>
      </c>
      <c r="D4205" s="10">
        <v>123</v>
      </c>
      <c r="E4205" s="12" t="s">
        <v>66</v>
      </c>
      <c r="F4205" s="10">
        <v>1600</v>
      </c>
      <c r="G4205" s="10">
        <v>0</v>
      </c>
      <c r="H4205" s="10">
        <f t="shared" si="65"/>
        <v>1600</v>
      </c>
      <c r="I4205" s="10">
        <v>145.4545454545455</v>
      </c>
      <c r="J4205" s="10">
        <v>145.4545454545455</v>
      </c>
      <c r="K4205" s="10">
        <v>145.4545454545455</v>
      </c>
      <c r="L4205" s="4"/>
      <c r="M4205" s="4">
        <v>4200</v>
      </c>
    </row>
    <row r="4206" spans="1:13" x14ac:dyDescent="0.25">
      <c r="A4206" s="4" t="s">
        <v>4082</v>
      </c>
      <c r="B4206" s="4" t="s">
        <v>4083</v>
      </c>
      <c r="C4206" s="4" t="s">
        <v>68</v>
      </c>
      <c r="D4206" s="10">
        <v>48</v>
      </c>
      <c r="E4206" s="11" t="s">
        <v>51</v>
      </c>
      <c r="F4206" s="10">
        <v>3360</v>
      </c>
      <c r="G4206" s="10">
        <v>0</v>
      </c>
      <c r="H4206" s="10">
        <f t="shared" si="65"/>
        <v>3360</v>
      </c>
      <c r="I4206" s="10"/>
      <c r="J4206" s="10"/>
      <c r="K4206" s="10"/>
      <c r="L4206" s="4" t="s">
        <v>69</v>
      </c>
      <c r="M4206" s="4">
        <v>4201</v>
      </c>
    </row>
    <row r="4207" spans="1:13" x14ac:dyDescent="0.25">
      <c r="A4207" s="4" t="s">
        <v>4082</v>
      </c>
      <c r="B4207" s="4" t="s">
        <v>4084</v>
      </c>
      <c r="C4207" s="4" t="s">
        <v>68</v>
      </c>
      <c r="D4207" s="10">
        <v>32</v>
      </c>
      <c r="E4207" s="11" t="s">
        <v>51</v>
      </c>
      <c r="F4207" s="10">
        <v>2240</v>
      </c>
      <c r="G4207" s="10">
        <v>0</v>
      </c>
      <c r="H4207" s="10">
        <f t="shared" si="65"/>
        <v>2240</v>
      </c>
      <c r="I4207" s="10"/>
      <c r="J4207" s="10"/>
      <c r="K4207" s="10"/>
      <c r="L4207" s="4" t="s">
        <v>69</v>
      </c>
      <c r="M4207" s="4">
        <v>4202</v>
      </c>
    </row>
    <row r="4208" spans="1:13" x14ac:dyDescent="0.25">
      <c r="A4208" s="4" t="s">
        <v>4082</v>
      </c>
      <c r="B4208" s="4" t="s">
        <v>4085</v>
      </c>
      <c r="C4208" s="4" t="s">
        <v>68</v>
      </c>
      <c r="D4208" s="10">
        <v>60</v>
      </c>
      <c r="E4208" s="11" t="s">
        <v>51</v>
      </c>
      <c r="F4208" s="10">
        <v>2240</v>
      </c>
      <c r="G4208" s="10">
        <v>0</v>
      </c>
      <c r="H4208" s="10">
        <f t="shared" si="65"/>
        <v>2240</v>
      </c>
      <c r="I4208" s="10"/>
      <c r="J4208" s="10"/>
      <c r="K4208" s="10"/>
      <c r="L4208" s="4" t="s">
        <v>69</v>
      </c>
      <c r="M4208" s="4">
        <v>4203</v>
      </c>
    </row>
    <row r="4209" spans="1:13" x14ac:dyDescent="0.25">
      <c r="A4209" s="4" t="s">
        <v>4086</v>
      </c>
      <c r="B4209" s="4" t="s">
        <v>2539</v>
      </c>
      <c r="C4209" s="9" t="s">
        <v>50</v>
      </c>
      <c r="D4209" s="10">
        <v>15</v>
      </c>
      <c r="E4209" s="11" t="s">
        <v>51</v>
      </c>
      <c r="F4209" s="10">
        <v>1950</v>
      </c>
      <c r="G4209" s="10">
        <v>0</v>
      </c>
      <c r="H4209" s="10">
        <f t="shared" si="65"/>
        <v>1950</v>
      </c>
      <c r="I4209" s="10"/>
      <c r="J4209" s="10"/>
      <c r="K4209" s="10"/>
      <c r="L4209" s="4" t="s">
        <v>52</v>
      </c>
      <c r="M4209" s="4">
        <v>4204</v>
      </c>
    </row>
    <row r="4210" spans="1:13" x14ac:dyDescent="0.25">
      <c r="A4210" s="4" t="s">
        <v>4086</v>
      </c>
      <c r="B4210" s="4" t="s">
        <v>2540</v>
      </c>
      <c r="C4210" s="9" t="s">
        <v>50</v>
      </c>
      <c r="D4210" s="10">
        <v>105.5</v>
      </c>
      <c r="E4210" s="11" t="s">
        <v>51</v>
      </c>
      <c r="F4210" s="10">
        <v>1050</v>
      </c>
      <c r="G4210" s="10">
        <v>0</v>
      </c>
      <c r="H4210" s="10">
        <f t="shared" si="65"/>
        <v>1050</v>
      </c>
      <c r="I4210" s="10"/>
      <c r="J4210" s="10"/>
      <c r="K4210" s="10"/>
      <c r="L4210" s="4" t="s">
        <v>52</v>
      </c>
      <c r="M4210" s="4">
        <v>4205</v>
      </c>
    </row>
    <row r="4211" spans="1:13" x14ac:dyDescent="0.25">
      <c r="A4211" s="4" t="s">
        <v>4087</v>
      </c>
      <c r="B4211" s="4" t="s">
        <v>4088</v>
      </c>
      <c r="C4211" s="4" t="s">
        <v>65</v>
      </c>
      <c r="D4211" s="10">
        <v>1.5</v>
      </c>
      <c r="E4211" s="12" t="s">
        <v>66</v>
      </c>
      <c r="F4211" s="10">
        <v>250</v>
      </c>
      <c r="G4211" s="10">
        <v>0</v>
      </c>
      <c r="H4211" s="10">
        <f t="shared" si="65"/>
        <v>250</v>
      </c>
      <c r="I4211" s="10">
        <v>166.66666666666671</v>
      </c>
      <c r="J4211" s="10">
        <v>166.66666666666671</v>
      </c>
      <c r="K4211" s="10">
        <v>166.66666666666671</v>
      </c>
      <c r="L4211" s="4"/>
      <c r="M4211" s="4">
        <v>4206</v>
      </c>
    </row>
    <row r="4212" spans="1:13" x14ac:dyDescent="0.25">
      <c r="A4212" s="4" t="s">
        <v>4087</v>
      </c>
      <c r="B4212" s="4" t="s">
        <v>4089</v>
      </c>
      <c r="C4212" s="4" t="s">
        <v>65</v>
      </c>
      <c r="D4212" s="10">
        <v>27</v>
      </c>
      <c r="E4212" s="12" t="s">
        <v>66</v>
      </c>
      <c r="F4212" s="10">
        <v>3900</v>
      </c>
      <c r="G4212" s="10">
        <v>0</v>
      </c>
      <c r="H4212" s="10">
        <f t="shared" si="65"/>
        <v>3900</v>
      </c>
      <c r="I4212" s="10">
        <v>144.44444444444451</v>
      </c>
      <c r="J4212" s="10">
        <v>144.44444444444451</v>
      </c>
      <c r="K4212" s="10">
        <v>144.44444444444451</v>
      </c>
      <c r="L4212" s="4"/>
      <c r="M4212" s="4">
        <v>4207</v>
      </c>
    </row>
    <row r="4213" spans="1:13" x14ac:dyDescent="0.25">
      <c r="A4213" s="4" t="s">
        <v>4087</v>
      </c>
      <c r="B4213" s="4" t="s">
        <v>2589</v>
      </c>
      <c r="C4213" s="4" t="s">
        <v>65</v>
      </c>
      <c r="D4213" s="10">
        <v>34.5</v>
      </c>
      <c r="E4213" s="12" t="s">
        <v>66</v>
      </c>
      <c r="F4213" s="10">
        <v>5000</v>
      </c>
      <c r="G4213" s="10">
        <v>0</v>
      </c>
      <c r="H4213" s="10">
        <f t="shared" si="65"/>
        <v>5000</v>
      </c>
      <c r="I4213" s="10">
        <v>144.92753623188409</v>
      </c>
      <c r="J4213" s="10">
        <v>144.92753623188409</v>
      </c>
      <c r="K4213" s="10">
        <v>144.92753623188409</v>
      </c>
      <c r="L4213" s="4"/>
      <c r="M4213" s="4">
        <v>4208</v>
      </c>
    </row>
    <row r="4214" spans="1:13" x14ac:dyDescent="0.25">
      <c r="A4214" s="4" t="s">
        <v>4087</v>
      </c>
      <c r="B4214" s="4" t="s">
        <v>2590</v>
      </c>
      <c r="C4214" s="4" t="s">
        <v>65</v>
      </c>
      <c r="D4214" s="10">
        <v>82.5</v>
      </c>
      <c r="E4214" s="12" t="s">
        <v>66</v>
      </c>
      <c r="F4214" s="10">
        <v>3900</v>
      </c>
      <c r="G4214" s="10">
        <v>0</v>
      </c>
      <c r="H4214" s="10">
        <f t="shared" si="65"/>
        <v>3900</v>
      </c>
      <c r="I4214" s="10">
        <v>91.764705882352942</v>
      </c>
      <c r="J4214" s="10">
        <v>91.764705882352942</v>
      </c>
      <c r="K4214" s="10">
        <v>91.764705882352942</v>
      </c>
      <c r="L4214" s="4"/>
      <c r="M4214" s="4">
        <v>4209</v>
      </c>
    </row>
    <row r="4215" spans="1:13" x14ac:dyDescent="0.25">
      <c r="A4215" s="4" t="s">
        <v>4090</v>
      </c>
      <c r="B4215" s="4" t="s">
        <v>248</v>
      </c>
      <c r="C4215" s="4" t="s">
        <v>68</v>
      </c>
      <c r="D4215" s="10">
        <v>16</v>
      </c>
      <c r="E4215" s="11" t="s">
        <v>51</v>
      </c>
      <c r="F4215" s="10">
        <v>5200</v>
      </c>
      <c r="G4215" s="10">
        <v>0</v>
      </c>
      <c r="H4215" s="10">
        <f t="shared" si="65"/>
        <v>5200</v>
      </c>
      <c r="I4215" s="10"/>
      <c r="J4215" s="10"/>
      <c r="K4215" s="10"/>
      <c r="L4215" s="4" t="s">
        <v>69</v>
      </c>
      <c r="M4215" s="4">
        <v>4210</v>
      </c>
    </row>
    <row r="4216" spans="1:13" x14ac:dyDescent="0.25">
      <c r="A4216" s="4" t="s">
        <v>4091</v>
      </c>
      <c r="B4216" s="4" t="s">
        <v>4092</v>
      </c>
      <c r="C4216" s="4" t="s">
        <v>68</v>
      </c>
      <c r="D4216" s="10">
        <v>28</v>
      </c>
      <c r="E4216" s="11" t="s">
        <v>51</v>
      </c>
      <c r="F4216" s="10">
        <v>1653.12</v>
      </c>
      <c r="G4216" s="10">
        <v>0</v>
      </c>
      <c r="H4216" s="10">
        <f t="shared" si="65"/>
        <v>1653.12</v>
      </c>
      <c r="I4216" s="10"/>
      <c r="J4216" s="10"/>
      <c r="K4216" s="10"/>
      <c r="L4216" s="4" t="s">
        <v>69</v>
      </c>
      <c r="M4216" s="4">
        <v>4211</v>
      </c>
    </row>
    <row r="4217" spans="1:13" x14ac:dyDescent="0.25">
      <c r="A4217" s="4" t="s">
        <v>4093</v>
      </c>
      <c r="B4217" s="4" t="s">
        <v>4094</v>
      </c>
      <c r="C4217" s="4" t="s">
        <v>68</v>
      </c>
      <c r="D4217" s="10">
        <v>12</v>
      </c>
      <c r="E4217" s="11" t="s">
        <v>51</v>
      </c>
      <c r="F4217" s="10">
        <v>840</v>
      </c>
      <c r="G4217" s="10">
        <v>0</v>
      </c>
      <c r="H4217" s="10">
        <f t="shared" si="65"/>
        <v>840</v>
      </c>
      <c r="I4217" s="10"/>
      <c r="J4217" s="10"/>
      <c r="K4217" s="10"/>
      <c r="L4217" s="4" t="s">
        <v>69</v>
      </c>
      <c r="M4217" s="4">
        <v>4212</v>
      </c>
    </row>
    <row r="4218" spans="1:13" x14ac:dyDescent="0.25">
      <c r="A4218" s="4" t="s">
        <v>4093</v>
      </c>
      <c r="B4218" s="4" t="s">
        <v>4095</v>
      </c>
      <c r="C4218" s="4" t="s">
        <v>65</v>
      </c>
      <c r="D4218" s="10">
        <v>2</v>
      </c>
      <c r="E4218" s="12" t="s">
        <v>66</v>
      </c>
      <c r="F4218" s="10">
        <v>150</v>
      </c>
      <c r="G4218" s="10">
        <v>0</v>
      </c>
      <c r="H4218" s="10">
        <f t="shared" si="65"/>
        <v>150</v>
      </c>
      <c r="I4218" s="10">
        <v>75</v>
      </c>
      <c r="J4218" s="10">
        <v>75</v>
      </c>
      <c r="K4218" s="10">
        <v>75</v>
      </c>
      <c r="L4218" s="4"/>
      <c r="M4218" s="4">
        <v>4213</v>
      </c>
    </row>
    <row r="4219" spans="1:13" x14ac:dyDescent="0.25">
      <c r="A4219" s="4" t="s">
        <v>4093</v>
      </c>
      <c r="B4219" s="4" t="s">
        <v>4096</v>
      </c>
      <c r="C4219" s="9" t="s">
        <v>50</v>
      </c>
      <c r="D4219" s="10">
        <v>17</v>
      </c>
      <c r="E4219" s="11" t="s">
        <v>51</v>
      </c>
      <c r="F4219" s="10"/>
      <c r="G4219" s="10">
        <v>0</v>
      </c>
      <c r="H4219" s="10">
        <f t="shared" si="65"/>
        <v>0</v>
      </c>
      <c r="I4219" s="10"/>
      <c r="J4219" s="10"/>
      <c r="K4219" s="10"/>
      <c r="L4219" s="4" t="s">
        <v>52</v>
      </c>
      <c r="M4219" s="4">
        <v>4214</v>
      </c>
    </row>
    <row r="4220" spans="1:13" x14ac:dyDescent="0.25">
      <c r="A4220" s="4" t="s">
        <v>4097</v>
      </c>
      <c r="B4220" s="4" t="s">
        <v>4098</v>
      </c>
      <c r="C4220" s="4" t="s">
        <v>65</v>
      </c>
      <c r="D4220" s="10">
        <v>34</v>
      </c>
      <c r="E4220" s="12" t="s">
        <v>66</v>
      </c>
      <c r="F4220" s="10">
        <v>2000</v>
      </c>
      <c r="G4220" s="10">
        <v>0</v>
      </c>
      <c r="H4220" s="10">
        <f t="shared" si="65"/>
        <v>2000</v>
      </c>
      <c r="I4220" s="10">
        <v>117.64705882352941</v>
      </c>
      <c r="J4220" s="10">
        <v>117.64705882352941</v>
      </c>
      <c r="K4220" s="10">
        <v>117.64705882352941</v>
      </c>
      <c r="L4220" s="4"/>
      <c r="M4220" s="4">
        <v>4215</v>
      </c>
    </row>
    <row r="4221" spans="1:13" x14ac:dyDescent="0.25">
      <c r="A4221" s="4" t="s">
        <v>4099</v>
      </c>
      <c r="B4221" s="4" t="s">
        <v>4100</v>
      </c>
      <c r="C4221" s="4" t="s">
        <v>65</v>
      </c>
      <c r="D4221" s="10"/>
      <c r="E4221" s="11" t="s">
        <v>51</v>
      </c>
      <c r="F4221" s="10"/>
      <c r="G4221" s="10">
        <v>0</v>
      </c>
      <c r="H4221" s="10">
        <f t="shared" si="65"/>
        <v>0</v>
      </c>
      <c r="I4221" s="10"/>
      <c r="J4221" s="10"/>
      <c r="K4221" s="10"/>
      <c r="L4221" s="4" t="s">
        <v>69</v>
      </c>
      <c r="M4221" s="4">
        <v>4216</v>
      </c>
    </row>
    <row r="4222" spans="1:13" x14ac:dyDescent="0.25">
      <c r="A4222" s="4" t="s">
        <v>4099</v>
      </c>
      <c r="B4222" s="4" t="s">
        <v>4098</v>
      </c>
      <c r="C4222" s="4" t="s">
        <v>65</v>
      </c>
      <c r="D4222" s="10">
        <v>191</v>
      </c>
      <c r="E4222" s="12" t="s">
        <v>66</v>
      </c>
      <c r="F4222" s="10">
        <v>2000</v>
      </c>
      <c r="G4222" s="10">
        <v>0</v>
      </c>
      <c r="H4222" s="10">
        <f t="shared" si="65"/>
        <v>2000</v>
      </c>
      <c r="I4222" s="10">
        <v>117.64705882352941</v>
      </c>
      <c r="J4222" s="10">
        <v>117.64705882352941</v>
      </c>
      <c r="K4222" s="10">
        <v>117.64705882352941</v>
      </c>
      <c r="L4222" s="4"/>
      <c r="M4222" s="4">
        <v>4217</v>
      </c>
    </row>
    <row r="4223" spans="1:13" x14ac:dyDescent="0.25">
      <c r="A4223" s="4" t="s">
        <v>4101</v>
      </c>
      <c r="B4223" s="4" t="s">
        <v>378</v>
      </c>
      <c r="C4223" s="4" t="s">
        <v>65</v>
      </c>
      <c r="D4223" s="10">
        <v>134</v>
      </c>
      <c r="E4223" s="12" t="s">
        <v>66</v>
      </c>
      <c r="F4223" s="10">
        <v>17250</v>
      </c>
      <c r="G4223" s="10">
        <v>0</v>
      </c>
      <c r="H4223" s="10">
        <f t="shared" si="65"/>
        <v>17250</v>
      </c>
      <c r="I4223" s="10">
        <v>128.73134328358211</v>
      </c>
      <c r="J4223" s="10">
        <v>128.73134328358211</v>
      </c>
      <c r="K4223" s="10">
        <v>128.73134328358211</v>
      </c>
      <c r="L4223" s="4"/>
      <c r="M4223" s="4">
        <v>4218</v>
      </c>
    </row>
    <row r="4224" spans="1:13" x14ac:dyDescent="0.25">
      <c r="A4224" s="4" t="s">
        <v>4101</v>
      </c>
      <c r="B4224" s="4" t="s">
        <v>4102</v>
      </c>
      <c r="C4224" s="4" t="s">
        <v>68</v>
      </c>
      <c r="D4224" s="10">
        <v>56</v>
      </c>
      <c r="E4224" s="11" t="s">
        <v>51</v>
      </c>
      <c r="F4224" s="10">
        <v>4800</v>
      </c>
      <c r="G4224" s="10">
        <v>0</v>
      </c>
      <c r="H4224" s="10">
        <f t="shared" si="65"/>
        <v>4800</v>
      </c>
      <c r="I4224" s="10"/>
      <c r="J4224" s="10"/>
      <c r="K4224" s="10"/>
      <c r="L4224" s="4" t="s">
        <v>69</v>
      </c>
      <c r="M4224" s="4">
        <v>4219</v>
      </c>
    </row>
    <row r="4225" spans="1:13" x14ac:dyDescent="0.25">
      <c r="A4225" s="4" t="s">
        <v>4103</v>
      </c>
      <c r="B4225" s="4" t="s">
        <v>4104</v>
      </c>
      <c r="C4225" s="4" t="s">
        <v>68</v>
      </c>
      <c r="D4225" s="10">
        <v>60</v>
      </c>
      <c r="E4225" s="11" t="s">
        <v>51</v>
      </c>
      <c r="F4225" s="10">
        <v>2080</v>
      </c>
      <c r="G4225" s="10">
        <v>0</v>
      </c>
      <c r="H4225" s="10">
        <f t="shared" si="65"/>
        <v>2080</v>
      </c>
      <c r="I4225" s="10"/>
      <c r="J4225" s="10"/>
      <c r="K4225" s="10"/>
      <c r="L4225" s="4" t="s">
        <v>69</v>
      </c>
      <c r="M4225" s="4">
        <v>4220</v>
      </c>
    </row>
    <row r="4226" spans="1:13" x14ac:dyDescent="0.25">
      <c r="A4226" s="4" t="s">
        <v>4105</v>
      </c>
      <c r="B4226" s="4" t="s">
        <v>4106</v>
      </c>
      <c r="C4226" s="4" t="s">
        <v>65</v>
      </c>
      <c r="D4226" s="10">
        <v>28</v>
      </c>
      <c r="E4226" s="12" t="s">
        <v>66</v>
      </c>
      <c r="F4226" s="10">
        <v>3360</v>
      </c>
      <c r="G4226" s="10">
        <v>0</v>
      </c>
      <c r="H4226" s="10">
        <f t="shared" si="65"/>
        <v>3360</v>
      </c>
      <c r="I4226" s="10">
        <v>120</v>
      </c>
      <c r="J4226" s="10">
        <v>120</v>
      </c>
      <c r="K4226" s="10">
        <v>120</v>
      </c>
      <c r="L4226" s="4"/>
      <c r="M4226" s="4">
        <v>4221</v>
      </c>
    </row>
    <row r="4227" spans="1:13" x14ac:dyDescent="0.25">
      <c r="A4227" s="4" t="s">
        <v>4105</v>
      </c>
      <c r="B4227" s="4" t="s">
        <v>4107</v>
      </c>
      <c r="C4227" s="4" t="s">
        <v>68</v>
      </c>
      <c r="D4227" s="10">
        <v>40</v>
      </c>
      <c r="E4227" s="11" t="s">
        <v>51</v>
      </c>
      <c r="F4227" s="10">
        <v>1920</v>
      </c>
      <c r="G4227" s="10">
        <v>0</v>
      </c>
      <c r="H4227" s="10">
        <f t="shared" si="65"/>
        <v>1920</v>
      </c>
      <c r="I4227" s="10"/>
      <c r="J4227" s="10"/>
      <c r="K4227" s="10"/>
      <c r="L4227" s="4" t="s">
        <v>69</v>
      </c>
      <c r="M4227" s="4">
        <v>4222</v>
      </c>
    </row>
    <row r="4228" spans="1:13" x14ac:dyDescent="0.25">
      <c r="A4228" s="4" t="s">
        <v>4108</v>
      </c>
      <c r="B4228" s="4" t="s">
        <v>248</v>
      </c>
      <c r="C4228" s="4" t="s">
        <v>68</v>
      </c>
      <c r="D4228" s="10">
        <v>139</v>
      </c>
      <c r="E4228" s="11" t="s">
        <v>51</v>
      </c>
      <c r="F4228" s="10">
        <v>3360</v>
      </c>
      <c r="G4228" s="10">
        <v>0</v>
      </c>
      <c r="H4228" s="10">
        <f t="shared" si="65"/>
        <v>3360</v>
      </c>
      <c r="I4228" s="10"/>
      <c r="J4228" s="10"/>
      <c r="K4228" s="10"/>
      <c r="L4228" s="4" t="s">
        <v>69</v>
      </c>
      <c r="M4228" s="4">
        <v>4223</v>
      </c>
    </row>
    <row r="4229" spans="1:13" x14ac:dyDescent="0.25">
      <c r="A4229" s="4" t="s">
        <v>4109</v>
      </c>
      <c r="B4229" s="4" t="s">
        <v>4110</v>
      </c>
      <c r="C4229" s="9" t="s">
        <v>50</v>
      </c>
      <c r="D4229" s="10">
        <v>80</v>
      </c>
      <c r="E4229" s="11" t="s">
        <v>51</v>
      </c>
      <c r="F4229" s="10">
        <v>5576.76</v>
      </c>
      <c r="G4229" s="10">
        <v>0</v>
      </c>
      <c r="H4229" s="10">
        <f t="shared" si="65"/>
        <v>5576.76</v>
      </c>
      <c r="I4229" s="10"/>
      <c r="J4229" s="10"/>
      <c r="K4229" s="10"/>
      <c r="L4229" s="4" t="s">
        <v>52</v>
      </c>
      <c r="M4229" s="4">
        <v>4224</v>
      </c>
    </row>
    <row r="4230" spans="1:13" x14ac:dyDescent="0.25">
      <c r="A4230" s="4" t="s">
        <v>4109</v>
      </c>
      <c r="B4230" s="4" t="s">
        <v>4111</v>
      </c>
      <c r="C4230" s="9" t="s">
        <v>50</v>
      </c>
      <c r="D4230" s="10">
        <v>108</v>
      </c>
      <c r="E4230" s="11" t="s">
        <v>51</v>
      </c>
      <c r="F4230" s="10">
        <v>11000</v>
      </c>
      <c r="G4230" s="10">
        <v>0</v>
      </c>
      <c r="H4230" s="10">
        <f t="shared" ref="H4230:H4293" si="66">F4230-G4230</f>
        <v>11000</v>
      </c>
      <c r="I4230" s="10"/>
      <c r="J4230" s="10"/>
      <c r="K4230" s="10"/>
      <c r="L4230" s="4" t="s">
        <v>52</v>
      </c>
      <c r="M4230" s="4">
        <v>4225</v>
      </c>
    </row>
    <row r="4231" spans="1:13" x14ac:dyDescent="0.25">
      <c r="A4231" s="4" t="s">
        <v>4112</v>
      </c>
      <c r="B4231" s="4" t="s">
        <v>4113</v>
      </c>
      <c r="C4231" s="9" t="s">
        <v>50</v>
      </c>
      <c r="D4231" s="10">
        <v>9</v>
      </c>
      <c r="E4231" s="11" t="s">
        <v>51</v>
      </c>
      <c r="F4231" s="10"/>
      <c r="G4231" s="10">
        <v>0</v>
      </c>
      <c r="H4231" s="10">
        <f t="shared" si="66"/>
        <v>0</v>
      </c>
      <c r="I4231" s="10"/>
      <c r="J4231" s="10"/>
      <c r="K4231" s="10"/>
      <c r="L4231" s="4" t="s">
        <v>52</v>
      </c>
      <c r="M4231" s="4">
        <v>4226</v>
      </c>
    </row>
    <row r="4232" spans="1:13" x14ac:dyDescent="0.25">
      <c r="A4232" s="4" t="s">
        <v>4114</v>
      </c>
      <c r="B4232" s="4" t="s">
        <v>3988</v>
      </c>
      <c r="C4232" s="4" t="s">
        <v>65</v>
      </c>
      <c r="D4232" s="10"/>
      <c r="E4232" s="11" t="s">
        <v>51</v>
      </c>
      <c r="F4232" s="10"/>
      <c r="G4232" s="10">
        <v>0</v>
      </c>
      <c r="H4232" s="10">
        <f t="shared" si="66"/>
        <v>0</v>
      </c>
      <c r="I4232" s="10"/>
      <c r="J4232" s="10"/>
      <c r="K4232" s="10"/>
      <c r="L4232" s="4" t="s">
        <v>69</v>
      </c>
      <c r="M4232" s="4">
        <v>4227</v>
      </c>
    </row>
    <row r="4233" spans="1:13" x14ac:dyDescent="0.25">
      <c r="A4233" s="4" t="s">
        <v>4114</v>
      </c>
      <c r="B4233" s="4" t="s">
        <v>4115</v>
      </c>
      <c r="C4233" s="4" t="s">
        <v>65</v>
      </c>
      <c r="D4233" s="10"/>
      <c r="E4233" s="11" t="s">
        <v>51</v>
      </c>
      <c r="F4233" s="10"/>
      <c r="G4233" s="10">
        <v>0</v>
      </c>
      <c r="H4233" s="10">
        <f t="shared" si="66"/>
        <v>0</v>
      </c>
      <c r="I4233" s="10"/>
      <c r="J4233" s="10"/>
      <c r="K4233" s="10"/>
      <c r="L4233" s="4" t="s">
        <v>69</v>
      </c>
      <c r="M4233" s="4">
        <v>4228</v>
      </c>
    </row>
    <row r="4234" spans="1:13" x14ac:dyDescent="0.25">
      <c r="A4234" s="4" t="s">
        <v>4114</v>
      </c>
      <c r="B4234" s="4" t="s">
        <v>4116</v>
      </c>
      <c r="C4234" s="4" t="s">
        <v>65</v>
      </c>
      <c r="D4234" s="10"/>
      <c r="E4234" s="11" t="s">
        <v>51</v>
      </c>
      <c r="F4234" s="10"/>
      <c r="G4234" s="10">
        <v>0</v>
      </c>
      <c r="H4234" s="10">
        <f t="shared" si="66"/>
        <v>0</v>
      </c>
      <c r="I4234" s="10"/>
      <c r="J4234" s="10"/>
      <c r="K4234" s="10"/>
      <c r="L4234" s="4" t="s">
        <v>69</v>
      </c>
      <c r="M4234" s="4">
        <v>4229</v>
      </c>
    </row>
    <row r="4235" spans="1:13" x14ac:dyDescent="0.25">
      <c r="A4235" s="4" t="s">
        <v>4114</v>
      </c>
      <c r="B4235" s="4" t="s">
        <v>4117</v>
      </c>
      <c r="C4235" s="4" t="s">
        <v>65</v>
      </c>
      <c r="D4235" s="10"/>
      <c r="E4235" s="11" t="s">
        <v>51</v>
      </c>
      <c r="F4235" s="10"/>
      <c r="G4235" s="10">
        <v>0</v>
      </c>
      <c r="H4235" s="10">
        <f t="shared" si="66"/>
        <v>0</v>
      </c>
      <c r="I4235" s="10"/>
      <c r="J4235" s="10"/>
      <c r="K4235" s="10"/>
      <c r="L4235" s="4" t="s">
        <v>69</v>
      </c>
      <c r="M4235" s="4">
        <v>4230</v>
      </c>
    </row>
    <row r="4236" spans="1:13" x14ac:dyDescent="0.25">
      <c r="A4236" s="4" t="s">
        <v>4114</v>
      </c>
      <c r="B4236" s="4" t="s">
        <v>4118</v>
      </c>
      <c r="C4236" s="4" t="s">
        <v>65</v>
      </c>
      <c r="D4236" s="10"/>
      <c r="E4236" s="11" t="s">
        <v>51</v>
      </c>
      <c r="F4236" s="10"/>
      <c r="G4236" s="10">
        <v>0</v>
      </c>
      <c r="H4236" s="10">
        <f t="shared" si="66"/>
        <v>0</v>
      </c>
      <c r="I4236" s="10"/>
      <c r="J4236" s="10"/>
      <c r="K4236" s="10"/>
      <c r="L4236" s="4" t="s">
        <v>69</v>
      </c>
      <c r="M4236" s="4">
        <v>4231</v>
      </c>
    </row>
    <row r="4237" spans="1:13" x14ac:dyDescent="0.25">
      <c r="A4237" s="4" t="s">
        <v>4114</v>
      </c>
      <c r="B4237" s="4" t="s">
        <v>4119</v>
      </c>
      <c r="C4237" s="4" t="s">
        <v>65</v>
      </c>
      <c r="D4237" s="10">
        <v>11</v>
      </c>
      <c r="E4237" s="11" t="s">
        <v>51</v>
      </c>
      <c r="F4237" s="10"/>
      <c r="G4237" s="10">
        <v>0</v>
      </c>
      <c r="H4237" s="10">
        <f t="shared" si="66"/>
        <v>0</v>
      </c>
      <c r="I4237" s="10"/>
      <c r="J4237" s="10"/>
      <c r="K4237" s="10"/>
      <c r="L4237" s="4" t="s">
        <v>69</v>
      </c>
      <c r="M4237" s="4">
        <v>4232</v>
      </c>
    </row>
    <row r="4238" spans="1:13" x14ac:dyDescent="0.25">
      <c r="A4238" s="4" t="s">
        <v>4120</v>
      </c>
      <c r="B4238" s="4" t="s">
        <v>4121</v>
      </c>
      <c r="C4238" s="4" t="s">
        <v>65</v>
      </c>
      <c r="D4238" s="10">
        <v>22</v>
      </c>
      <c r="E4238" s="12" t="s">
        <v>66</v>
      </c>
      <c r="F4238" s="10">
        <v>1500</v>
      </c>
      <c r="G4238" s="10">
        <v>0</v>
      </c>
      <c r="H4238" s="10">
        <f t="shared" si="66"/>
        <v>1500</v>
      </c>
      <c r="I4238" s="10">
        <v>136.3636363636364</v>
      </c>
      <c r="J4238" s="10">
        <v>136.3636363636364</v>
      </c>
      <c r="K4238" s="10">
        <v>136.3636363636364</v>
      </c>
      <c r="L4238" s="4"/>
      <c r="M4238" s="4">
        <v>4233</v>
      </c>
    </row>
    <row r="4239" spans="1:13" x14ac:dyDescent="0.25">
      <c r="A4239" s="4" t="s">
        <v>4122</v>
      </c>
      <c r="B4239" s="4" t="s">
        <v>4117</v>
      </c>
      <c r="C4239" s="4" t="s">
        <v>65</v>
      </c>
      <c r="D4239" s="10">
        <v>22</v>
      </c>
      <c r="E4239" s="12" t="s">
        <v>66</v>
      </c>
      <c r="F4239" s="10">
        <v>1500</v>
      </c>
      <c r="G4239" s="10">
        <v>0</v>
      </c>
      <c r="H4239" s="10">
        <f t="shared" si="66"/>
        <v>1500</v>
      </c>
      <c r="I4239" s="10">
        <v>136.3636363636364</v>
      </c>
      <c r="J4239" s="10">
        <v>136.3636363636364</v>
      </c>
      <c r="K4239" s="10">
        <v>136.3636363636364</v>
      </c>
      <c r="L4239" s="4"/>
      <c r="M4239" s="4">
        <v>4234</v>
      </c>
    </row>
    <row r="4240" spans="1:13" x14ac:dyDescent="0.25">
      <c r="A4240" s="4" t="s">
        <v>4123</v>
      </c>
      <c r="B4240" s="4" t="s">
        <v>4117</v>
      </c>
      <c r="C4240" s="4" t="s">
        <v>65</v>
      </c>
      <c r="D4240" s="10">
        <v>22</v>
      </c>
      <c r="E4240" s="12" t="s">
        <v>66</v>
      </c>
      <c r="F4240" s="10">
        <v>1500</v>
      </c>
      <c r="G4240" s="10">
        <v>0</v>
      </c>
      <c r="H4240" s="10">
        <f t="shared" si="66"/>
        <v>1500</v>
      </c>
      <c r="I4240" s="10">
        <v>136.3636363636364</v>
      </c>
      <c r="J4240" s="10">
        <v>136.3636363636364</v>
      </c>
      <c r="K4240" s="10">
        <v>136.3636363636364</v>
      </c>
      <c r="L4240" s="4"/>
      <c r="M4240" s="4">
        <v>4235</v>
      </c>
    </row>
    <row r="4241" spans="1:13" x14ac:dyDescent="0.25">
      <c r="A4241" s="4" t="s">
        <v>4124</v>
      </c>
      <c r="B4241" s="4" t="s">
        <v>4117</v>
      </c>
      <c r="C4241" s="4" t="s">
        <v>65</v>
      </c>
      <c r="D4241" s="10">
        <v>22</v>
      </c>
      <c r="E4241" s="12" t="s">
        <v>66</v>
      </c>
      <c r="F4241" s="10">
        <v>1500</v>
      </c>
      <c r="G4241" s="10">
        <v>0</v>
      </c>
      <c r="H4241" s="10">
        <f t="shared" si="66"/>
        <v>1500</v>
      </c>
      <c r="I4241" s="10">
        <v>136.3636363636364</v>
      </c>
      <c r="J4241" s="10">
        <v>136.3636363636364</v>
      </c>
      <c r="K4241" s="10">
        <v>136.3636363636364</v>
      </c>
      <c r="L4241" s="4"/>
      <c r="M4241" s="4">
        <v>4236</v>
      </c>
    </row>
    <row r="4242" spans="1:13" x14ac:dyDescent="0.25">
      <c r="A4242" s="4" t="s">
        <v>4125</v>
      </c>
      <c r="B4242" s="4" t="s">
        <v>4117</v>
      </c>
      <c r="C4242" s="4" t="s">
        <v>65</v>
      </c>
      <c r="D4242" s="10">
        <v>22</v>
      </c>
      <c r="E4242" s="12" t="s">
        <v>66</v>
      </c>
      <c r="F4242" s="10">
        <v>1500</v>
      </c>
      <c r="G4242" s="10">
        <v>0</v>
      </c>
      <c r="H4242" s="10">
        <f t="shared" si="66"/>
        <v>1500</v>
      </c>
      <c r="I4242" s="10">
        <v>136.3636363636364</v>
      </c>
      <c r="J4242" s="10">
        <v>136.3636363636364</v>
      </c>
      <c r="K4242" s="10">
        <v>136.3636363636364</v>
      </c>
      <c r="L4242" s="4"/>
      <c r="M4242" s="4">
        <v>4237</v>
      </c>
    </row>
    <row r="4243" spans="1:13" x14ac:dyDescent="0.25">
      <c r="A4243" s="4" t="s">
        <v>4126</v>
      </c>
      <c r="B4243" s="4" t="s">
        <v>4117</v>
      </c>
      <c r="C4243" s="4" t="s">
        <v>65</v>
      </c>
      <c r="D4243" s="10">
        <v>22</v>
      </c>
      <c r="E4243" s="12" t="s">
        <v>66</v>
      </c>
      <c r="F4243" s="10">
        <v>1500</v>
      </c>
      <c r="G4243" s="10">
        <v>0</v>
      </c>
      <c r="H4243" s="10">
        <f t="shared" si="66"/>
        <v>1500</v>
      </c>
      <c r="I4243" s="10">
        <v>136.3636363636364</v>
      </c>
      <c r="J4243" s="10">
        <v>136.3636363636364</v>
      </c>
      <c r="K4243" s="10">
        <v>136.3636363636364</v>
      </c>
      <c r="L4243" s="4"/>
      <c r="M4243" s="4">
        <v>4238</v>
      </c>
    </row>
    <row r="4244" spans="1:13" x14ac:dyDescent="0.25">
      <c r="A4244" s="4" t="s">
        <v>4127</v>
      </c>
      <c r="B4244" s="4" t="s">
        <v>4117</v>
      </c>
      <c r="C4244" s="4" t="s">
        <v>65</v>
      </c>
      <c r="D4244" s="10">
        <v>91</v>
      </c>
      <c r="E4244" s="12" t="s">
        <v>66</v>
      </c>
      <c r="F4244" s="10">
        <v>1500</v>
      </c>
      <c r="G4244" s="10">
        <v>0</v>
      </c>
      <c r="H4244" s="10">
        <f t="shared" si="66"/>
        <v>1500</v>
      </c>
      <c r="I4244" s="10">
        <v>136.3636363636364</v>
      </c>
      <c r="J4244" s="10">
        <v>136.3636363636364</v>
      </c>
      <c r="K4244" s="10">
        <v>136.3636363636364</v>
      </c>
      <c r="L4244" s="4"/>
      <c r="M4244" s="4">
        <v>4239</v>
      </c>
    </row>
    <row r="4245" spans="1:13" x14ac:dyDescent="0.25">
      <c r="A4245" s="4" t="s">
        <v>4128</v>
      </c>
      <c r="B4245" s="4" t="s">
        <v>4129</v>
      </c>
      <c r="C4245" s="9" t="s">
        <v>50</v>
      </c>
      <c r="D4245" s="10">
        <v>104</v>
      </c>
      <c r="E4245" s="11" t="s">
        <v>51</v>
      </c>
      <c r="F4245" s="10">
        <v>9200</v>
      </c>
      <c r="G4245" s="10">
        <v>0</v>
      </c>
      <c r="H4245" s="10">
        <f t="shared" si="66"/>
        <v>9200</v>
      </c>
      <c r="I4245" s="10"/>
      <c r="J4245" s="10"/>
      <c r="K4245" s="10"/>
      <c r="L4245" s="4" t="s">
        <v>52</v>
      </c>
      <c r="M4245" s="4">
        <v>4240</v>
      </c>
    </row>
    <row r="4246" spans="1:13" x14ac:dyDescent="0.25">
      <c r="A4246" s="4" t="s">
        <v>4130</v>
      </c>
      <c r="B4246" s="4" t="s">
        <v>4131</v>
      </c>
      <c r="C4246" s="4" t="s">
        <v>65</v>
      </c>
      <c r="D4246" s="10">
        <v>142</v>
      </c>
      <c r="E4246" s="12" t="s">
        <v>66</v>
      </c>
      <c r="F4246" s="10">
        <v>3360</v>
      </c>
      <c r="G4246" s="10">
        <v>0</v>
      </c>
      <c r="H4246" s="10">
        <f t="shared" si="66"/>
        <v>3360</v>
      </c>
      <c r="I4246" s="10">
        <v>140</v>
      </c>
      <c r="J4246" s="10">
        <v>140</v>
      </c>
      <c r="K4246" s="10">
        <v>140</v>
      </c>
      <c r="L4246" s="4"/>
      <c r="M4246" s="4">
        <v>4241</v>
      </c>
    </row>
    <row r="4247" spans="1:13" x14ac:dyDescent="0.25">
      <c r="A4247" s="4" t="s">
        <v>4132</v>
      </c>
      <c r="B4247" s="4" t="s">
        <v>4133</v>
      </c>
      <c r="C4247" s="4" t="s">
        <v>68</v>
      </c>
      <c r="D4247" s="10">
        <v>30</v>
      </c>
      <c r="E4247" s="11" t="s">
        <v>51</v>
      </c>
      <c r="F4247" s="10">
        <v>3600</v>
      </c>
      <c r="G4247" s="10">
        <v>0</v>
      </c>
      <c r="H4247" s="10">
        <f t="shared" si="66"/>
        <v>3600</v>
      </c>
      <c r="I4247" s="10"/>
      <c r="J4247" s="10"/>
      <c r="K4247" s="10"/>
      <c r="L4247" s="4" t="s">
        <v>69</v>
      </c>
      <c r="M4247" s="4">
        <v>4242</v>
      </c>
    </row>
    <row r="4248" spans="1:13" x14ac:dyDescent="0.25">
      <c r="A4248" s="4" t="s">
        <v>4132</v>
      </c>
      <c r="B4248" s="4" t="s">
        <v>4134</v>
      </c>
      <c r="C4248" s="4" t="s">
        <v>65</v>
      </c>
      <c r="D4248" s="10">
        <v>72</v>
      </c>
      <c r="E4248" s="12" t="s">
        <v>66</v>
      </c>
      <c r="F4248" s="10">
        <v>8300</v>
      </c>
      <c r="G4248" s="10">
        <v>0</v>
      </c>
      <c r="H4248" s="10">
        <f t="shared" si="66"/>
        <v>8300</v>
      </c>
      <c r="I4248" s="10">
        <v>115.2777777777778</v>
      </c>
      <c r="J4248" s="10">
        <v>115.2777777777778</v>
      </c>
      <c r="K4248" s="10">
        <v>115.2777777777778</v>
      </c>
      <c r="L4248" s="4"/>
      <c r="M4248" s="4">
        <v>4243</v>
      </c>
    </row>
    <row r="4249" spans="1:13" x14ac:dyDescent="0.25">
      <c r="A4249" s="4" t="s">
        <v>4132</v>
      </c>
      <c r="B4249" s="4" t="s">
        <v>4135</v>
      </c>
      <c r="C4249" s="4" t="s">
        <v>68</v>
      </c>
      <c r="D4249" s="10">
        <v>110</v>
      </c>
      <c r="E4249" s="11" t="s">
        <v>51</v>
      </c>
      <c r="F4249" s="10">
        <v>4800</v>
      </c>
      <c r="G4249" s="10">
        <v>0</v>
      </c>
      <c r="H4249" s="10">
        <f t="shared" si="66"/>
        <v>4800</v>
      </c>
      <c r="I4249" s="10"/>
      <c r="J4249" s="10"/>
      <c r="K4249" s="10"/>
      <c r="L4249" s="4" t="s">
        <v>69</v>
      </c>
      <c r="M4249" s="4">
        <v>4244</v>
      </c>
    </row>
    <row r="4250" spans="1:13" x14ac:dyDescent="0.25">
      <c r="A4250" s="4" t="s">
        <v>4136</v>
      </c>
      <c r="B4250" s="4" t="s">
        <v>4137</v>
      </c>
      <c r="C4250" s="4" t="s">
        <v>68</v>
      </c>
      <c r="D4250" s="10">
        <v>136</v>
      </c>
      <c r="E4250" s="11" t="s">
        <v>51</v>
      </c>
      <c r="F4250" s="10">
        <v>8400</v>
      </c>
      <c r="G4250" s="10">
        <v>0</v>
      </c>
      <c r="H4250" s="10">
        <f t="shared" si="66"/>
        <v>8400</v>
      </c>
      <c r="I4250" s="10"/>
      <c r="J4250" s="10"/>
      <c r="K4250" s="10"/>
      <c r="L4250" s="4" t="s">
        <v>69</v>
      </c>
      <c r="M4250" s="4">
        <v>4245</v>
      </c>
    </row>
    <row r="4251" spans="1:13" x14ac:dyDescent="0.25">
      <c r="A4251" s="4" t="s">
        <v>4138</v>
      </c>
      <c r="B4251" s="4" t="s">
        <v>3825</v>
      </c>
      <c r="C4251" s="4" t="s">
        <v>65</v>
      </c>
      <c r="D4251" s="10">
        <v>30</v>
      </c>
      <c r="E4251" s="12" t="s">
        <v>66</v>
      </c>
      <c r="F4251" s="10">
        <v>3900</v>
      </c>
      <c r="G4251" s="10">
        <v>0</v>
      </c>
      <c r="H4251" s="10">
        <f t="shared" si="66"/>
        <v>3900</v>
      </c>
      <c r="I4251" s="10">
        <v>130</v>
      </c>
      <c r="J4251" s="10">
        <v>130</v>
      </c>
      <c r="K4251" s="10">
        <v>130</v>
      </c>
      <c r="L4251" s="4"/>
      <c r="M4251" s="4">
        <v>4246</v>
      </c>
    </row>
    <row r="4252" spans="1:13" x14ac:dyDescent="0.25">
      <c r="A4252" s="4" t="s">
        <v>4138</v>
      </c>
      <c r="B4252" s="4" t="s">
        <v>4139</v>
      </c>
      <c r="C4252" s="4" t="s">
        <v>65</v>
      </c>
      <c r="D4252" s="10">
        <v>12</v>
      </c>
      <c r="E4252" s="12" t="s">
        <v>66</v>
      </c>
      <c r="F4252" s="10">
        <v>1000</v>
      </c>
      <c r="G4252" s="10">
        <v>0</v>
      </c>
      <c r="H4252" s="10">
        <f t="shared" si="66"/>
        <v>1000</v>
      </c>
      <c r="I4252" s="10">
        <v>83.333333333333329</v>
      </c>
      <c r="J4252" s="10">
        <v>83.333333333333329</v>
      </c>
      <c r="K4252" s="10">
        <v>83.333333333333329</v>
      </c>
      <c r="L4252" s="4"/>
      <c r="M4252" s="4">
        <v>4247</v>
      </c>
    </row>
    <row r="4253" spans="1:13" x14ac:dyDescent="0.25">
      <c r="A4253" s="4" t="s">
        <v>4138</v>
      </c>
      <c r="B4253" s="4" t="s">
        <v>4140</v>
      </c>
      <c r="C4253" s="4" t="s">
        <v>68</v>
      </c>
      <c r="D4253" s="10">
        <v>238</v>
      </c>
      <c r="E4253" s="11" t="s">
        <v>51</v>
      </c>
      <c r="F4253" s="10">
        <v>2880</v>
      </c>
      <c r="G4253" s="10">
        <v>0</v>
      </c>
      <c r="H4253" s="10">
        <f t="shared" si="66"/>
        <v>2880</v>
      </c>
      <c r="I4253" s="10"/>
      <c r="J4253" s="10"/>
      <c r="K4253" s="10"/>
      <c r="L4253" s="4" t="s">
        <v>69</v>
      </c>
      <c r="M4253" s="4">
        <v>4248</v>
      </c>
    </row>
    <row r="4254" spans="1:13" x14ac:dyDescent="0.25">
      <c r="A4254" s="4" t="s">
        <v>4141</v>
      </c>
      <c r="B4254" s="4" t="s">
        <v>4142</v>
      </c>
      <c r="C4254" s="9" t="s">
        <v>50</v>
      </c>
      <c r="D4254" s="10">
        <v>524</v>
      </c>
      <c r="E4254" s="11" t="s">
        <v>51</v>
      </c>
      <c r="F4254" s="10">
        <v>29999</v>
      </c>
      <c r="G4254" s="10">
        <v>0</v>
      </c>
      <c r="H4254" s="10">
        <f t="shared" si="66"/>
        <v>29999</v>
      </c>
      <c r="I4254" s="10"/>
      <c r="J4254" s="10"/>
      <c r="K4254" s="10"/>
      <c r="L4254" s="4" t="s">
        <v>52</v>
      </c>
      <c r="M4254" s="4">
        <v>4249</v>
      </c>
    </row>
    <row r="4255" spans="1:13" x14ac:dyDescent="0.25">
      <c r="A4255" s="4" t="s">
        <v>4143</v>
      </c>
      <c r="B4255" s="4" t="s">
        <v>4144</v>
      </c>
      <c r="C4255" s="4" t="s">
        <v>68</v>
      </c>
      <c r="D4255" s="10">
        <v>32</v>
      </c>
      <c r="E4255" s="11" t="s">
        <v>51</v>
      </c>
      <c r="F4255" s="10">
        <v>2720</v>
      </c>
      <c r="G4255" s="10">
        <v>0</v>
      </c>
      <c r="H4255" s="10">
        <f t="shared" si="66"/>
        <v>2720</v>
      </c>
      <c r="I4255" s="10"/>
      <c r="J4255" s="10"/>
      <c r="K4255" s="10"/>
      <c r="L4255" s="4" t="s">
        <v>69</v>
      </c>
      <c r="M4255" s="4">
        <v>4250</v>
      </c>
    </row>
    <row r="4256" spans="1:13" x14ac:dyDescent="0.25">
      <c r="A4256" s="4" t="s">
        <v>4143</v>
      </c>
      <c r="B4256" s="4" t="s">
        <v>4145</v>
      </c>
      <c r="C4256" s="4" t="s">
        <v>68</v>
      </c>
      <c r="D4256" s="10">
        <v>16</v>
      </c>
      <c r="E4256" s="11" t="s">
        <v>51</v>
      </c>
      <c r="F4256" s="10">
        <v>1360</v>
      </c>
      <c r="G4256" s="10">
        <v>0</v>
      </c>
      <c r="H4256" s="10">
        <f t="shared" si="66"/>
        <v>1360</v>
      </c>
      <c r="I4256" s="10"/>
      <c r="J4256" s="10"/>
      <c r="K4256" s="10"/>
      <c r="L4256" s="4" t="s">
        <v>69</v>
      </c>
      <c r="M4256" s="4">
        <v>4251</v>
      </c>
    </row>
    <row r="4257" spans="1:13" x14ac:dyDescent="0.25">
      <c r="A4257" s="4" t="s">
        <v>4143</v>
      </c>
      <c r="B4257" s="4" t="s">
        <v>4146</v>
      </c>
      <c r="C4257" s="4" t="s">
        <v>68</v>
      </c>
      <c r="D4257" s="10">
        <v>24</v>
      </c>
      <c r="E4257" s="11" t="s">
        <v>51</v>
      </c>
      <c r="F4257" s="10">
        <v>3120</v>
      </c>
      <c r="G4257" s="10">
        <v>0</v>
      </c>
      <c r="H4257" s="10">
        <f t="shared" si="66"/>
        <v>3120</v>
      </c>
      <c r="I4257" s="10"/>
      <c r="J4257" s="10"/>
      <c r="K4257" s="10"/>
      <c r="L4257" s="4" t="s">
        <v>69</v>
      </c>
      <c r="M4257" s="4">
        <v>4252</v>
      </c>
    </row>
    <row r="4258" spans="1:13" x14ac:dyDescent="0.25">
      <c r="A4258" s="4" t="s">
        <v>4143</v>
      </c>
      <c r="B4258" s="4" t="s">
        <v>4147</v>
      </c>
      <c r="C4258" s="4" t="s">
        <v>68</v>
      </c>
      <c r="D4258" s="10">
        <v>18</v>
      </c>
      <c r="E4258" s="11" t="s">
        <v>51</v>
      </c>
      <c r="F4258" s="10">
        <v>3120</v>
      </c>
      <c r="G4258" s="10">
        <v>0</v>
      </c>
      <c r="H4258" s="10">
        <f t="shared" si="66"/>
        <v>3120</v>
      </c>
      <c r="I4258" s="10"/>
      <c r="J4258" s="10"/>
      <c r="K4258" s="10"/>
      <c r="L4258" s="4" t="s">
        <v>69</v>
      </c>
      <c r="M4258" s="4">
        <v>4253</v>
      </c>
    </row>
    <row r="4259" spans="1:13" x14ac:dyDescent="0.25">
      <c r="A4259" s="4" t="s">
        <v>4148</v>
      </c>
      <c r="B4259" s="4" t="s">
        <v>4149</v>
      </c>
      <c r="C4259" s="4" t="s">
        <v>65</v>
      </c>
      <c r="D4259" s="10">
        <v>10</v>
      </c>
      <c r="E4259" s="12" t="s">
        <v>66</v>
      </c>
      <c r="F4259" s="10">
        <v>1250</v>
      </c>
      <c r="G4259" s="10">
        <v>0</v>
      </c>
      <c r="H4259" s="10">
        <f t="shared" si="66"/>
        <v>1250</v>
      </c>
      <c r="I4259" s="10">
        <v>125</v>
      </c>
      <c r="J4259" s="10">
        <v>125</v>
      </c>
      <c r="K4259" s="10">
        <v>125</v>
      </c>
      <c r="L4259" s="4"/>
      <c r="M4259" s="4">
        <v>4254</v>
      </c>
    </row>
    <row r="4260" spans="1:13" x14ac:dyDescent="0.25">
      <c r="A4260" s="4" t="s">
        <v>4148</v>
      </c>
      <c r="B4260" s="4" t="s">
        <v>615</v>
      </c>
      <c r="C4260" s="4" t="s">
        <v>68</v>
      </c>
      <c r="D4260" s="10">
        <v>54</v>
      </c>
      <c r="E4260" s="11" t="s">
        <v>51</v>
      </c>
      <c r="F4260" s="10">
        <v>880</v>
      </c>
      <c r="G4260" s="10">
        <v>0</v>
      </c>
      <c r="H4260" s="10">
        <f t="shared" si="66"/>
        <v>880</v>
      </c>
      <c r="I4260" s="10"/>
      <c r="J4260" s="10"/>
      <c r="K4260" s="10"/>
      <c r="L4260" s="4" t="s">
        <v>69</v>
      </c>
      <c r="M4260" s="4">
        <v>4255</v>
      </c>
    </row>
    <row r="4261" spans="1:13" x14ac:dyDescent="0.25">
      <c r="A4261" s="4" t="s">
        <v>4150</v>
      </c>
      <c r="B4261" s="4" t="s">
        <v>4151</v>
      </c>
      <c r="C4261" s="4" t="s">
        <v>65</v>
      </c>
      <c r="D4261" s="10">
        <v>50</v>
      </c>
      <c r="E4261" s="12" t="s">
        <v>66</v>
      </c>
      <c r="F4261" s="10">
        <v>6200</v>
      </c>
      <c r="G4261" s="10">
        <v>0</v>
      </c>
      <c r="H4261" s="10">
        <f t="shared" si="66"/>
        <v>6200</v>
      </c>
      <c r="I4261" s="10">
        <v>134.78260869565219</v>
      </c>
      <c r="J4261" s="10">
        <v>134.78260869565219</v>
      </c>
      <c r="K4261" s="10">
        <v>134.78260869565219</v>
      </c>
      <c r="L4261" s="4"/>
      <c r="M4261" s="4">
        <v>4256</v>
      </c>
    </row>
    <row r="4262" spans="1:13" x14ac:dyDescent="0.25">
      <c r="A4262" s="4" t="s">
        <v>4152</v>
      </c>
      <c r="B4262" s="4" t="s">
        <v>4153</v>
      </c>
      <c r="C4262" s="4" t="s">
        <v>68</v>
      </c>
      <c r="D4262" s="10">
        <v>16</v>
      </c>
      <c r="E4262" s="11" t="s">
        <v>51</v>
      </c>
      <c r="F4262" s="10">
        <v>400</v>
      </c>
      <c r="G4262" s="10">
        <v>0</v>
      </c>
      <c r="H4262" s="10">
        <f t="shared" si="66"/>
        <v>400</v>
      </c>
      <c r="I4262" s="10"/>
      <c r="J4262" s="10"/>
      <c r="K4262" s="10"/>
      <c r="L4262" s="4" t="s">
        <v>69</v>
      </c>
      <c r="M4262" s="4">
        <v>4257</v>
      </c>
    </row>
    <row r="4263" spans="1:13" x14ac:dyDescent="0.25">
      <c r="A4263" s="4" t="s">
        <v>4154</v>
      </c>
      <c r="B4263" s="4" t="s">
        <v>4155</v>
      </c>
      <c r="C4263" s="4" t="s">
        <v>68</v>
      </c>
      <c r="D4263" s="10">
        <v>86</v>
      </c>
      <c r="E4263" s="11" t="s">
        <v>51</v>
      </c>
      <c r="F4263" s="10">
        <v>1920</v>
      </c>
      <c r="G4263" s="10">
        <v>0</v>
      </c>
      <c r="H4263" s="10">
        <f t="shared" si="66"/>
        <v>1920</v>
      </c>
      <c r="I4263" s="10"/>
      <c r="J4263" s="10"/>
      <c r="K4263" s="10"/>
      <c r="L4263" s="4" t="s">
        <v>69</v>
      </c>
      <c r="M4263" s="4">
        <v>4258</v>
      </c>
    </row>
    <row r="4264" spans="1:13" x14ac:dyDescent="0.25">
      <c r="A4264" s="4" t="s">
        <v>4156</v>
      </c>
      <c r="B4264" s="4" t="s">
        <v>4155</v>
      </c>
      <c r="C4264" s="4" t="s">
        <v>68</v>
      </c>
      <c r="D4264" s="10">
        <v>16</v>
      </c>
      <c r="E4264" s="11" t="s">
        <v>51</v>
      </c>
      <c r="F4264" s="10">
        <v>1920</v>
      </c>
      <c r="G4264" s="10">
        <v>0</v>
      </c>
      <c r="H4264" s="10">
        <f t="shared" si="66"/>
        <v>1920</v>
      </c>
      <c r="I4264" s="10"/>
      <c r="J4264" s="10"/>
      <c r="K4264" s="10"/>
      <c r="L4264" s="4" t="s">
        <v>69</v>
      </c>
      <c r="M4264" s="4">
        <v>4259</v>
      </c>
    </row>
    <row r="4265" spans="1:13" x14ac:dyDescent="0.25">
      <c r="A4265" s="4" t="s">
        <v>4156</v>
      </c>
      <c r="B4265" s="4" t="s">
        <v>4157</v>
      </c>
      <c r="C4265" s="4" t="s">
        <v>65</v>
      </c>
      <c r="D4265" s="10">
        <v>156</v>
      </c>
      <c r="E4265" s="12" t="s">
        <v>66</v>
      </c>
      <c r="F4265" s="10">
        <v>8400</v>
      </c>
      <c r="G4265" s="10">
        <v>0</v>
      </c>
      <c r="H4265" s="10">
        <f t="shared" si="66"/>
        <v>8400</v>
      </c>
      <c r="I4265" s="10">
        <v>120</v>
      </c>
      <c r="J4265" s="10">
        <v>120</v>
      </c>
      <c r="K4265" s="10">
        <v>120</v>
      </c>
      <c r="L4265" s="4"/>
      <c r="M4265" s="4">
        <v>4260</v>
      </c>
    </row>
    <row r="4266" spans="1:13" x14ac:dyDescent="0.25">
      <c r="A4266" s="4" t="s">
        <v>4158</v>
      </c>
      <c r="B4266" s="4" t="s">
        <v>4155</v>
      </c>
      <c r="C4266" s="4" t="s">
        <v>68</v>
      </c>
      <c r="D4266" s="10">
        <v>16</v>
      </c>
      <c r="E4266" s="11" t="s">
        <v>51</v>
      </c>
      <c r="F4266" s="10">
        <v>1920</v>
      </c>
      <c r="G4266" s="10">
        <v>0</v>
      </c>
      <c r="H4266" s="10">
        <f t="shared" si="66"/>
        <v>1920</v>
      </c>
      <c r="I4266" s="10"/>
      <c r="J4266" s="10"/>
      <c r="K4266" s="10"/>
      <c r="L4266" s="4" t="s">
        <v>69</v>
      </c>
      <c r="M4266" s="4">
        <v>4261</v>
      </c>
    </row>
    <row r="4267" spans="1:13" x14ac:dyDescent="0.25">
      <c r="A4267" s="4" t="s">
        <v>4158</v>
      </c>
      <c r="B4267" s="4" t="s">
        <v>378</v>
      </c>
      <c r="C4267" s="4" t="s">
        <v>65</v>
      </c>
      <c r="D4267" s="10">
        <v>156</v>
      </c>
      <c r="E4267" s="12" t="s">
        <v>66</v>
      </c>
      <c r="F4267" s="10">
        <v>8400</v>
      </c>
      <c r="G4267" s="10">
        <v>0</v>
      </c>
      <c r="H4267" s="10">
        <f t="shared" si="66"/>
        <v>8400</v>
      </c>
      <c r="I4267" s="10">
        <v>120</v>
      </c>
      <c r="J4267" s="10">
        <v>120</v>
      </c>
      <c r="K4267" s="10">
        <v>120</v>
      </c>
      <c r="L4267" s="4"/>
      <c r="M4267" s="4">
        <v>4262</v>
      </c>
    </row>
    <row r="4268" spans="1:13" x14ac:dyDescent="0.25">
      <c r="A4268" s="4" t="s">
        <v>4159</v>
      </c>
      <c r="B4268" s="4" t="s">
        <v>4155</v>
      </c>
      <c r="C4268" s="4" t="s">
        <v>68</v>
      </c>
      <c r="D4268" s="10">
        <v>16</v>
      </c>
      <c r="E4268" s="11" t="s">
        <v>51</v>
      </c>
      <c r="F4268" s="10">
        <v>1920</v>
      </c>
      <c r="G4268" s="10">
        <v>0</v>
      </c>
      <c r="H4268" s="10">
        <f t="shared" si="66"/>
        <v>1920</v>
      </c>
      <c r="I4268" s="10"/>
      <c r="J4268" s="10"/>
      <c r="K4268" s="10"/>
      <c r="L4268" s="4" t="s">
        <v>69</v>
      </c>
      <c r="M4268" s="4">
        <v>4263</v>
      </c>
    </row>
    <row r="4269" spans="1:13" x14ac:dyDescent="0.25">
      <c r="A4269" s="4" t="s">
        <v>4159</v>
      </c>
      <c r="B4269" s="4" t="s">
        <v>378</v>
      </c>
      <c r="C4269" s="4" t="s">
        <v>65</v>
      </c>
      <c r="D4269" s="10">
        <v>114.75</v>
      </c>
      <c r="E4269" s="12" t="s">
        <v>66</v>
      </c>
      <c r="F4269" s="10">
        <v>8400</v>
      </c>
      <c r="G4269" s="10">
        <v>0</v>
      </c>
      <c r="H4269" s="10">
        <f t="shared" si="66"/>
        <v>8400</v>
      </c>
      <c r="I4269" s="10">
        <v>120</v>
      </c>
      <c r="J4269" s="10">
        <v>120</v>
      </c>
      <c r="K4269" s="10">
        <v>120</v>
      </c>
      <c r="L4269" s="4"/>
      <c r="M4269" s="4">
        <v>4264</v>
      </c>
    </row>
    <row r="4270" spans="1:13" x14ac:dyDescent="0.25">
      <c r="A4270" s="4" t="s">
        <v>4160</v>
      </c>
      <c r="B4270" s="4" t="s">
        <v>4161</v>
      </c>
      <c r="C4270" s="4" t="s">
        <v>65</v>
      </c>
      <c r="D4270" s="10">
        <v>66.75</v>
      </c>
      <c r="E4270" s="12" t="s">
        <v>66</v>
      </c>
      <c r="F4270" s="10">
        <v>5635</v>
      </c>
      <c r="G4270" s="10">
        <v>0</v>
      </c>
      <c r="H4270" s="10">
        <f t="shared" si="66"/>
        <v>5635</v>
      </c>
      <c r="I4270" s="10">
        <v>125.9217877094972</v>
      </c>
      <c r="J4270" s="10">
        <v>125.9217877094972</v>
      </c>
      <c r="K4270" s="10">
        <v>125.9217877094972</v>
      </c>
      <c r="L4270" s="4"/>
      <c r="M4270" s="4">
        <v>4265</v>
      </c>
    </row>
    <row r="4271" spans="1:13" x14ac:dyDescent="0.25">
      <c r="A4271" s="4" t="s">
        <v>4162</v>
      </c>
      <c r="B4271" s="4" t="s">
        <v>4163</v>
      </c>
      <c r="C4271" s="4" t="s">
        <v>68</v>
      </c>
      <c r="D4271" s="10">
        <v>10</v>
      </c>
      <c r="E4271" s="11" t="s">
        <v>51</v>
      </c>
      <c r="F4271" s="10">
        <v>1400</v>
      </c>
      <c r="G4271" s="10">
        <v>0</v>
      </c>
      <c r="H4271" s="10">
        <f t="shared" si="66"/>
        <v>1400</v>
      </c>
      <c r="I4271" s="10"/>
      <c r="J4271" s="10"/>
      <c r="K4271" s="10"/>
      <c r="L4271" s="4" t="s">
        <v>69</v>
      </c>
      <c r="M4271" s="4">
        <v>4266</v>
      </c>
    </row>
    <row r="4272" spans="1:13" x14ac:dyDescent="0.25">
      <c r="A4272" s="4" t="s">
        <v>4162</v>
      </c>
      <c r="B4272" s="4" t="s">
        <v>4164</v>
      </c>
      <c r="C4272" s="4" t="s">
        <v>68</v>
      </c>
      <c r="D4272" s="10">
        <v>24</v>
      </c>
      <c r="E4272" s="11" t="s">
        <v>51</v>
      </c>
      <c r="F4272" s="10">
        <v>960</v>
      </c>
      <c r="G4272" s="10">
        <v>0</v>
      </c>
      <c r="H4272" s="10">
        <f t="shared" si="66"/>
        <v>960</v>
      </c>
      <c r="I4272" s="10"/>
      <c r="J4272" s="10"/>
      <c r="K4272" s="10"/>
      <c r="L4272" s="4" t="s">
        <v>69</v>
      </c>
      <c r="M4272" s="4">
        <v>4267</v>
      </c>
    </row>
    <row r="4273" spans="1:13" x14ac:dyDescent="0.25">
      <c r="A4273" s="4" t="s">
        <v>4165</v>
      </c>
      <c r="B4273" s="4" t="s">
        <v>4166</v>
      </c>
      <c r="C4273" s="4" t="s">
        <v>68</v>
      </c>
      <c r="D4273" s="10">
        <v>46</v>
      </c>
      <c r="E4273" s="11" t="s">
        <v>51</v>
      </c>
      <c r="F4273" s="10"/>
      <c r="G4273" s="10">
        <v>0</v>
      </c>
      <c r="H4273" s="10">
        <f t="shared" si="66"/>
        <v>0</v>
      </c>
      <c r="I4273" s="10"/>
      <c r="J4273" s="10"/>
      <c r="K4273" s="10"/>
      <c r="L4273" s="4" t="s">
        <v>69</v>
      </c>
      <c r="M4273" s="4">
        <v>4268</v>
      </c>
    </row>
    <row r="4274" spans="1:13" x14ac:dyDescent="0.25">
      <c r="A4274" s="4" t="s">
        <v>4167</v>
      </c>
      <c r="B4274" s="4" t="s">
        <v>4168</v>
      </c>
      <c r="C4274" s="4" t="s">
        <v>65</v>
      </c>
      <c r="D4274" s="10">
        <v>38</v>
      </c>
      <c r="E4274" s="12" t="s">
        <v>66</v>
      </c>
      <c r="F4274" s="10">
        <v>5200</v>
      </c>
      <c r="G4274" s="10">
        <v>0</v>
      </c>
      <c r="H4274" s="10">
        <f t="shared" si="66"/>
        <v>5200</v>
      </c>
      <c r="I4274" s="10">
        <v>136.84210526315789</v>
      </c>
      <c r="J4274" s="10">
        <v>136.84210526315789</v>
      </c>
      <c r="K4274" s="10">
        <v>136.84210526315789</v>
      </c>
      <c r="L4274" s="4"/>
      <c r="M4274" s="4">
        <v>4269</v>
      </c>
    </row>
    <row r="4275" spans="1:13" x14ac:dyDescent="0.25">
      <c r="A4275" s="4" t="s">
        <v>4167</v>
      </c>
      <c r="B4275" s="4" t="s">
        <v>4169</v>
      </c>
      <c r="C4275" s="4" t="s">
        <v>68</v>
      </c>
      <c r="D4275" s="10">
        <v>8</v>
      </c>
      <c r="E4275" s="11" t="s">
        <v>51</v>
      </c>
      <c r="F4275" s="10">
        <v>1040</v>
      </c>
      <c r="G4275" s="10">
        <v>0</v>
      </c>
      <c r="H4275" s="10">
        <f t="shared" si="66"/>
        <v>1040</v>
      </c>
      <c r="I4275" s="10"/>
      <c r="J4275" s="10"/>
      <c r="K4275" s="10"/>
      <c r="L4275" s="4" t="s">
        <v>69</v>
      </c>
      <c r="M4275" s="4">
        <v>4270</v>
      </c>
    </row>
    <row r="4276" spans="1:13" x14ac:dyDescent="0.25">
      <c r="A4276" s="4" t="s">
        <v>4170</v>
      </c>
      <c r="B4276" s="4" t="s">
        <v>270</v>
      </c>
      <c r="C4276" s="9" t="s">
        <v>50</v>
      </c>
      <c r="D4276" s="10"/>
      <c r="E4276" s="11" t="s">
        <v>51</v>
      </c>
      <c r="F4276" s="10"/>
      <c r="G4276" s="10">
        <v>0</v>
      </c>
      <c r="H4276" s="10">
        <f t="shared" si="66"/>
        <v>0</v>
      </c>
      <c r="I4276" s="10"/>
      <c r="J4276" s="10"/>
      <c r="K4276" s="10"/>
      <c r="L4276" s="4" t="s">
        <v>52</v>
      </c>
      <c r="M4276" s="4">
        <v>4271</v>
      </c>
    </row>
    <row r="4277" spans="1:13" x14ac:dyDescent="0.25">
      <c r="A4277" s="4" t="s">
        <v>4170</v>
      </c>
      <c r="B4277" s="4" t="s">
        <v>136</v>
      </c>
      <c r="C4277" s="9" t="s">
        <v>50</v>
      </c>
      <c r="D4277" s="10"/>
      <c r="E4277" s="11" t="s">
        <v>51</v>
      </c>
      <c r="F4277" s="10"/>
      <c r="G4277" s="10">
        <v>0</v>
      </c>
      <c r="H4277" s="10">
        <f t="shared" si="66"/>
        <v>0</v>
      </c>
      <c r="I4277" s="10"/>
      <c r="J4277" s="10"/>
      <c r="K4277" s="10"/>
      <c r="L4277" s="4" t="s">
        <v>52</v>
      </c>
      <c r="M4277" s="4">
        <v>4272</v>
      </c>
    </row>
    <row r="4278" spans="1:13" x14ac:dyDescent="0.25">
      <c r="A4278" s="4" t="s">
        <v>4170</v>
      </c>
      <c r="B4278" s="4" t="s">
        <v>82</v>
      </c>
      <c r="C4278" s="9" t="s">
        <v>50</v>
      </c>
      <c r="D4278" s="10"/>
      <c r="E4278" s="11" t="s">
        <v>51</v>
      </c>
      <c r="F4278" s="10"/>
      <c r="G4278" s="10">
        <v>0</v>
      </c>
      <c r="H4278" s="10">
        <f t="shared" si="66"/>
        <v>0</v>
      </c>
      <c r="I4278" s="10"/>
      <c r="J4278" s="10"/>
      <c r="K4278" s="10"/>
      <c r="L4278" s="4" t="s">
        <v>52</v>
      </c>
      <c r="M4278" s="4">
        <v>4273</v>
      </c>
    </row>
    <row r="4279" spans="1:13" x14ac:dyDescent="0.25">
      <c r="A4279" s="4" t="s">
        <v>4170</v>
      </c>
      <c r="B4279" s="4" t="s">
        <v>88</v>
      </c>
      <c r="C4279" s="9" t="s">
        <v>50</v>
      </c>
      <c r="D4279" s="10"/>
      <c r="E4279" s="11" t="s">
        <v>51</v>
      </c>
      <c r="F4279" s="10"/>
      <c r="G4279" s="10">
        <v>0</v>
      </c>
      <c r="H4279" s="10">
        <f t="shared" si="66"/>
        <v>0</v>
      </c>
      <c r="I4279" s="10"/>
      <c r="J4279" s="10"/>
      <c r="K4279" s="10"/>
      <c r="L4279" s="4" t="s">
        <v>52</v>
      </c>
      <c r="M4279" s="4">
        <v>4274</v>
      </c>
    </row>
    <row r="4280" spans="1:13" x14ac:dyDescent="0.25">
      <c r="A4280" s="4" t="s">
        <v>4170</v>
      </c>
      <c r="B4280" s="4" t="s">
        <v>137</v>
      </c>
      <c r="C4280" s="9" t="s">
        <v>50</v>
      </c>
      <c r="D4280" s="10"/>
      <c r="E4280" s="11" t="s">
        <v>51</v>
      </c>
      <c r="F4280" s="10"/>
      <c r="G4280" s="10">
        <v>0</v>
      </c>
      <c r="H4280" s="10">
        <f t="shared" si="66"/>
        <v>0</v>
      </c>
      <c r="I4280" s="10"/>
      <c r="J4280" s="10"/>
      <c r="K4280" s="10"/>
      <c r="L4280" s="4" t="s">
        <v>52</v>
      </c>
      <c r="M4280" s="4">
        <v>4275</v>
      </c>
    </row>
    <row r="4281" spans="1:13" x14ac:dyDescent="0.25">
      <c r="A4281" s="4" t="s">
        <v>4170</v>
      </c>
      <c r="B4281" s="4" t="s">
        <v>106</v>
      </c>
      <c r="C4281" s="9" t="s">
        <v>50</v>
      </c>
      <c r="D4281" s="10"/>
      <c r="E4281" s="11" t="s">
        <v>51</v>
      </c>
      <c r="F4281" s="10"/>
      <c r="G4281" s="10">
        <v>0</v>
      </c>
      <c r="H4281" s="10">
        <f t="shared" si="66"/>
        <v>0</v>
      </c>
      <c r="I4281" s="10"/>
      <c r="J4281" s="10"/>
      <c r="K4281" s="10"/>
      <c r="L4281" s="4" t="s">
        <v>52</v>
      </c>
      <c r="M4281" s="4">
        <v>4276</v>
      </c>
    </row>
    <row r="4282" spans="1:13" x14ac:dyDescent="0.25">
      <c r="A4282" s="4" t="s">
        <v>4170</v>
      </c>
      <c r="B4282" s="4" t="s">
        <v>271</v>
      </c>
      <c r="C4282" s="9" t="s">
        <v>50</v>
      </c>
      <c r="D4282" s="10"/>
      <c r="E4282" s="11" t="s">
        <v>51</v>
      </c>
      <c r="F4282" s="10"/>
      <c r="G4282" s="10">
        <v>0</v>
      </c>
      <c r="H4282" s="10">
        <f t="shared" si="66"/>
        <v>0</v>
      </c>
      <c r="I4282" s="10"/>
      <c r="J4282" s="10"/>
      <c r="K4282" s="10"/>
      <c r="L4282" s="4" t="s">
        <v>52</v>
      </c>
      <c r="M4282" s="4">
        <v>4277</v>
      </c>
    </row>
    <row r="4283" spans="1:13" x14ac:dyDescent="0.25">
      <c r="A4283" s="4" t="s">
        <v>4170</v>
      </c>
      <c r="B4283" s="4" t="s">
        <v>272</v>
      </c>
      <c r="C4283" s="9" t="s">
        <v>50</v>
      </c>
      <c r="D4283" s="10"/>
      <c r="E4283" s="11" t="s">
        <v>51</v>
      </c>
      <c r="F4283" s="10"/>
      <c r="G4283" s="10">
        <v>0</v>
      </c>
      <c r="H4283" s="10">
        <f t="shared" si="66"/>
        <v>0</v>
      </c>
      <c r="I4283" s="10"/>
      <c r="J4283" s="10"/>
      <c r="K4283" s="10"/>
      <c r="L4283" s="4" t="s">
        <v>52</v>
      </c>
      <c r="M4283" s="4">
        <v>4278</v>
      </c>
    </row>
    <row r="4284" spans="1:13" x14ac:dyDescent="0.25">
      <c r="A4284" s="4" t="s">
        <v>4170</v>
      </c>
      <c r="B4284" s="4" t="s">
        <v>107</v>
      </c>
      <c r="C4284" s="9" t="s">
        <v>50</v>
      </c>
      <c r="D4284" s="10"/>
      <c r="E4284" s="11" t="s">
        <v>51</v>
      </c>
      <c r="F4284" s="10"/>
      <c r="G4284" s="10">
        <v>0</v>
      </c>
      <c r="H4284" s="10">
        <f t="shared" si="66"/>
        <v>0</v>
      </c>
      <c r="I4284" s="10"/>
      <c r="J4284" s="10"/>
      <c r="K4284" s="10"/>
      <c r="L4284" s="4" t="s">
        <v>52</v>
      </c>
      <c r="M4284" s="4">
        <v>4279</v>
      </c>
    </row>
    <row r="4285" spans="1:13" x14ac:dyDescent="0.25">
      <c r="A4285" s="4" t="s">
        <v>4170</v>
      </c>
      <c r="B4285" s="4" t="s">
        <v>128</v>
      </c>
      <c r="C4285" s="9" t="s">
        <v>50</v>
      </c>
      <c r="D4285" s="10">
        <v>60</v>
      </c>
      <c r="E4285" s="11" t="s">
        <v>51</v>
      </c>
      <c r="F4285" s="10"/>
      <c r="G4285" s="10">
        <v>0</v>
      </c>
      <c r="H4285" s="10">
        <f t="shared" si="66"/>
        <v>0</v>
      </c>
      <c r="I4285" s="10"/>
      <c r="J4285" s="10"/>
      <c r="K4285" s="10"/>
      <c r="L4285" s="4" t="s">
        <v>52</v>
      </c>
      <c r="M4285" s="4">
        <v>4280</v>
      </c>
    </row>
    <row r="4286" spans="1:13" x14ac:dyDescent="0.25">
      <c r="A4286" s="4" t="s">
        <v>4171</v>
      </c>
      <c r="B4286" s="4" t="s">
        <v>4172</v>
      </c>
      <c r="C4286" s="4" t="s">
        <v>68</v>
      </c>
      <c r="D4286" s="10">
        <v>60</v>
      </c>
      <c r="E4286" s="11" t="s">
        <v>51</v>
      </c>
      <c r="F4286" s="10">
        <v>6600</v>
      </c>
      <c r="G4286" s="10">
        <v>0</v>
      </c>
      <c r="H4286" s="10">
        <f t="shared" si="66"/>
        <v>6600</v>
      </c>
      <c r="I4286" s="10"/>
      <c r="J4286" s="10"/>
      <c r="K4286" s="10"/>
      <c r="L4286" s="4" t="s">
        <v>69</v>
      </c>
      <c r="M4286" s="4">
        <v>4281</v>
      </c>
    </row>
    <row r="4287" spans="1:13" x14ac:dyDescent="0.25">
      <c r="A4287" s="4" t="s">
        <v>4173</v>
      </c>
      <c r="B4287" s="4" t="s">
        <v>2029</v>
      </c>
      <c r="C4287" s="4" t="s">
        <v>68</v>
      </c>
      <c r="D4287" s="10">
        <v>750</v>
      </c>
      <c r="E4287" s="11" t="s">
        <v>51</v>
      </c>
      <c r="F4287" s="10">
        <v>6600</v>
      </c>
      <c r="G4287" s="10">
        <v>0</v>
      </c>
      <c r="H4287" s="10">
        <f t="shared" si="66"/>
        <v>6600</v>
      </c>
      <c r="I4287" s="10"/>
      <c r="J4287" s="10"/>
      <c r="K4287" s="10"/>
      <c r="L4287" s="4" t="s">
        <v>69</v>
      </c>
      <c r="M4287" s="4">
        <v>4282</v>
      </c>
    </row>
    <row r="4288" spans="1:13" x14ac:dyDescent="0.25">
      <c r="A4288" s="4" t="s">
        <v>4174</v>
      </c>
      <c r="B4288" s="4" t="s">
        <v>4175</v>
      </c>
      <c r="C4288" s="4" t="s">
        <v>65</v>
      </c>
      <c r="D4288" s="10">
        <v>180</v>
      </c>
      <c r="E4288" s="12" t="s">
        <v>66</v>
      </c>
      <c r="F4288" s="10">
        <v>22817</v>
      </c>
      <c r="G4288" s="10">
        <v>0</v>
      </c>
      <c r="H4288" s="10">
        <f t="shared" si="66"/>
        <v>22817</v>
      </c>
      <c r="I4288" s="10">
        <v>126.76111111111111</v>
      </c>
      <c r="J4288" s="10">
        <v>126.76111111111111</v>
      </c>
      <c r="K4288" s="10">
        <v>126.76111111111111</v>
      </c>
      <c r="L4288" s="4"/>
      <c r="M4288" s="4">
        <v>4283</v>
      </c>
    </row>
    <row r="4289" spans="1:13" x14ac:dyDescent="0.25">
      <c r="A4289" s="4" t="s">
        <v>4174</v>
      </c>
      <c r="B4289" s="4" t="s">
        <v>4176</v>
      </c>
      <c r="C4289" s="4" t="s">
        <v>65</v>
      </c>
      <c r="D4289" s="10">
        <v>360</v>
      </c>
      <c r="E4289" s="12" t="s">
        <v>66</v>
      </c>
      <c r="F4289" s="10">
        <v>46000</v>
      </c>
      <c r="G4289" s="10">
        <v>0</v>
      </c>
      <c r="H4289" s="10">
        <f t="shared" si="66"/>
        <v>46000</v>
      </c>
      <c r="I4289" s="10">
        <v>127.7777777777778</v>
      </c>
      <c r="J4289" s="10">
        <v>127.7777777777778</v>
      </c>
      <c r="K4289" s="10">
        <v>127.7777777777778</v>
      </c>
      <c r="L4289" s="4"/>
      <c r="M4289" s="4">
        <v>4284</v>
      </c>
    </row>
    <row r="4290" spans="1:13" x14ac:dyDescent="0.25">
      <c r="A4290" s="4" t="s">
        <v>4174</v>
      </c>
      <c r="B4290" s="4" t="s">
        <v>4177</v>
      </c>
      <c r="C4290" s="4" t="s">
        <v>68</v>
      </c>
      <c r="D4290" s="10">
        <v>402</v>
      </c>
      <c r="E4290" s="11" t="s">
        <v>51</v>
      </c>
      <c r="F4290" s="10">
        <v>18750</v>
      </c>
      <c r="G4290" s="10">
        <v>0</v>
      </c>
      <c r="H4290" s="10">
        <f t="shared" si="66"/>
        <v>18750</v>
      </c>
      <c r="I4290" s="10"/>
      <c r="J4290" s="10"/>
      <c r="K4290" s="10"/>
      <c r="L4290" s="4" t="s">
        <v>69</v>
      </c>
      <c r="M4290" s="4">
        <v>4285</v>
      </c>
    </row>
    <row r="4291" spans="1:13" x14ac:dyDescent="0.25">
      <c r="A4291" s="4" t="s">
        <v>4178</v>
      </c>
      <c r="B4291" s="4" t="s">
        <v>4179</v>
      </c>
      <c r="C4291" s="4" t="s">
        <v>65</v>
      </c>
      <c r="D4291" s="10">
        <v>194</v>
      </c>
      <c r="E4291" s="12" t="s">
        <v>66</v>
      </c>
      <c r="F4291" s="10">
        <v>26500</v>
      </c>
      <c r="G4291" s="10">
        <v>0</v>
      </c>
      <c r="H4291" s="10">
        <f t="shared" si="66"/>
        <v>26500</v>
      </c>
      <c r="I4291" s="10">
        <v>136.5979381443299</v>
      </c>
      <c r="J4291" s="10">
        <v>136.5979381443299</v>
      </c>
      <c r="K4291" s="10">
        <v>136.5979381443299</v>
      </c>
      <c r="L4291" s="4"/>
      <c r="M4291" s="4">
        <v>4286</v>
      </c>
    </row>
    <row r="4292" spans="1:13" x14ac:dyDescent="0.25">
      <c r="A4292" s="4" t="s">
        <v>4178</v>
      </c>
      <c r="B4292" s="4" t="s">
        <v>4180</v>
      </c>
      <c r="C4292" s="4" t="s">
        <v>65</v>
      </c>
      <c r="D4292" s="10">
        <v>62</v>
      </c>
      <c r="E4292" s="12" t="s">
        <v>66</v>
      </c>
      <c r="F4292" s="10">
        <v>8200</v>
      </c>
      <c r="G4292" s="10">
        <v>0</v>
      </c>
      <c r="H4292" s="10">
        <f t="shared" si="66"/>
        <v>8200</v>
      </c>
      <c r="I4292" s="10">
        <v>132.258064516129</v>
      </c>
      <c r="J4292" s="10">
        <v>132.258064516129</v>
      </c>
      <c r="K4292" s="10">
        <v>132.258064516129</v>
      </c>
      <c r="L4292" s="4"/>
      <c r="M4292" s="4">
        <v>4287</v>
      </c>
    </row>
    <row r="4293" spans="1:13" x14ac:dyDescent="0.25">
      <c r="A4293" s="4" t="s">
        <v>4178</v>
      </c>
      <c r="B4293" s="4" t="s">
        <v>4181</v>
      </c>
      <c r="C4293" s="4" t="s">
        <v>68</v>
      </c>
      <c r="D4293" s="10">
        <v>40</v>
      </c>
      <c r="E4293" s="11" t="s">
        <v>51</v>
      </c>
      <c r="F4293" s="10">
        <v>5200</v>
      </c>
      <c r="G4293" s="10">
        <v>0</v>
      </c>
      <c r="H4293" s="10">
        <f t="shared" si="66"/>
        <v>5200</v>
      </c>
      <c r="I4293" s="10"/>
      <c r="J4293" s="10"/>
      <c r="K4293" s="10"/>
      <c r="L4293" s="4" t="s">
        <v>69</v>
      </c>
      <c r="M4293" s="4">
        <v>4288</v>
      </c>
    </row>
    <row r="4294" spans="1:13" x14ac:dyDescent="0.25">
      <c r="A4294" s="4" t="s">
        <v>4178</v>
      </c>
      <c r="B4294" s="4" t="s">
        <v>1765</v>
      </c>
      <c r="C4294" s="4" t="s">
        <v>65</v>
      </c>
      <c r="D4294" s="10">
        <v>30</v>
      </c>
      <c r="E4294" s="12" t="s">
        <v>66</v>
      </c>
      <c r="F4294" s="10">
        <v>2800</v>
      </c>
      <c r="G4294" s="10">
        <v>0</v>
      </c>
      <c r="H4294" s="10">
        <f t="shared" ref="H4294:H4357" si="67">F4294-G4294</f>
        <v>2800</v>
      </c>
      <c r="I4294" s="10">
        <v>93.333333333333329</v>
      </c>
      <c r="J4294" s="10">
        <v>93.333333333333329</v>
      </c>
      <c r="K4294" s="10">
        <v>93.333333333333329</v>
      </c>
      <c r="L4294" s="4"/>
      <c r="M4294" s="4">
        <v>4289</v>
      </c>
    </row>
    <row r="4295" spans="1:13" x14ac:dyDescent="0.25">
      <c r="A4295" s="4" t="s">
        <v>4178</v>
      </c>
      <c r="B4295" s="4" t="s">
        <v>4182</v>
      </c>
      <c r="C4295" s="4" t="s">
        <v>65</v>
      </c>
      <c r="D4295" s="10">
        <v>64</v>
      </c>
      <c r="E4295" s="12" t="s">
        <v>66</v>
      </c>
      <c r="F4295" s="10">
        <v>5900</v>
      </c>
      <c r="G4295" s="10">
        <v>0</v>
      </c>
      <c r="H4295" s="10">
        <f t="shared" si="67"/>
        <v>5900</v>
      </c>
      <c r="I4295" s="10">
        <v>92.1875</v>
      </c>
      <c r="J4295" s="10">
        <v>92.1875</v>
      </c>
      <c r="K4295" s="10">
        <v>92.1875</v>
      </c>
      <c r="L4295" s="4"/>
      <c r="M4295" s="4">
        <v>4290</v>
      </c>
    </row>
    <row r="4296" spans="1:13" x14ac:dyDescent="0.25">
      <c r="A4296" s="4" t="s">
        <v>4178</v>
      </c>
      <c r="B4296" s="4" t="s">
        <v>4183</v>
      </c>
      <c r="C4296" s="4" t="s">
        <v>65</v>
      </c>
      <c r="D4296" s="10">
        <v>137</v>
      </c>
      <c r="E4296" s="12" t="s">
        <v>66</v>
      </c>
      <c r="F4296" s="10">
        <v>1300</v>
      </c>
      <c r="G4296" s="10">
        <v>0</v>
      </c>
      <c r="H4296" s="10">
        <f t="shared" si="67"/>
        <v>1300</v>
      </c>
      <c r="I4296" s="10">
        <v>108.3333333333333</v>
      </c>
      <c r="J4296" s="10">
        <v>108.3333333333333</v>
      </c>
      <c r="K4296" s="10">
        <v>108.3333333333333</v>
      </c>
      <c r="L4296" s="4"/>
      <c r="M4296" s="4">
        <v>4291</v>
      </c>
    </row>
    <row r="4297" spans="1:13" x14ac:dyDescent="0.25">
      <c r="A4297" s="4" t="s">
        <v>4184</v>
      </c>
      <c r="B4297" s="4" t="s">
        <v>316</v>
      </c>
      <c r="C4297" s="4" t="s">
        <v>65</v>
      </c>
      <c r="D4297" s="10">
        <v>90</v>
      </c>
      <c r="E4297" s="12" t="s">
        <v>66</v>
      </c>
      <c r="F4297" s="10">
        <v>10750</v>
      </c>
      <c r="G4297" s="10">
        <v>0</v>
      </c>
      <c r="H4297" s="10">
        <f t="shared" si="67"/>
        <v>10750</v>
      </c>
      <c r="I4297" s="10">
        <v>119.4444444444444</v>
      </c>
      <c r="J4297" s="10">
        <v>119.4444444444444</v>
      </c>
      <c r="K4297" s="10">
        <v>119.4444444444444</v>
      </c>
      <c r="L4297" s="4"/>
      <c r="M4297" s="4">
        <v>4292</v>
      </c>
    </row>
    <row r="4298" spans="1:13" x14ac:dyDescent="0.25">
      <c r="A4298" s="4" t="s">
        <v>4184</v>
      </c>
      <c r="B4298" s="4" t="s">
        <v>4185</v>
      </c>
      <c r="C4298" s="4" t="s">
        <v>68</v>
      </c>
      <c r="D4298" s="10">
        <v>195</v>
      </c>
      <c r="E4298" s="11" t="s">
        <v>51</v>
      </c>
      <c r="F4298" s="10">
        <v>4200</v>
      </c>
      <c r="G4298" s="10">
        <v>0</v>
      </c>
      <c r="H4298" s="10">
        <f t="shared" si="67"/>
        <v>4200</v>
      </c>
      <c r="I4298" s="10"/>
      <c r="J4298" s="10"/>
      <c r="K4298" s="10"/>
      <c r="L4298" s="4" t="s">
        <v>69</v>
      </c>
      <c r="M4298" s="4">
        <v>4293</v>
      </c>
    </row>
    <row r="4299" spans="1:13" x14ac:dyDescent="0.25">
      <c r="A4299" s="4" t="s">
        <v>4186</v>
      </c>
      <c r="B4299" s="4" t="s">
        <v>4187</v>
      </c>
      <c r="C4299" s="9" t="s">
        <v>50</v>
      </c>
      <c r="D4299" s="10">
        <v>60</v>
      </c>
      <c r="E4299" s="11" t="s">
        <v>51</v>
      </c>
      <c r="F4299" s="10">
        <v>7020</v>
      </c>
      <c r="G4299" s="10">
        <v>0</v>
      </c>
      <c r="H4299" s="10">
        <f t="shared" si="67"/>
        <v>7020</v>
      </c>
      <c r="I4299" s="10"/>
      <c r="J4299" s="10"/>
      <c r="K4299" s="10"/>
      <c r="L4299" s="4" t="s">
        <v>52</v>
      </c>
      <c r="M4299" s="4">
        <v>4294</v>
      </c>
    </row>
    <row r="4300" spans="1:13" x14ac:dyDescent="0.25">
      <c r="A4300" s="4" t="s">
        <v>4186</v>
      </c>
      <c r="B4300" s="4" t="s">
        <v>4188</v>
      </c>
      <c r="C4300" s="9" t="s">
        <v>50</v>
      </c>
      <c r="D4300" s="10">
        <v>30</v>
      </c>
      <c r="E4300" s="11" t="s">
        <v>51</v>
      </c>
      <c r="F4300" s="10">
        <v>3510</v>
      </c>
      <c r="G4300" s="10">
        <v>0</v>
      </c>
      <c r="H4300" s="10">
        <f t="shared" si="67"/>
        <v>3510</v>
      </c>
      <c r="I4300" s="10"/>
      <c r="J4300" s="10"/>
      <c r="K4300" s="10"/>
      <c r="L4300" s="4" t="s">
        <v>52</v>
      </c>
      <c r="M4300" s="4">
        <v>4295</v>
      </c>
    </row>
    <row r="4301" spans="1:13" x14ac:dyDescent="0.25">
      <c r="A4301" s="4" t="s">
        <v>4186</v>
      </c>
      <c r="B4301" s="4" t="s">
        <v>4189</v>
      </c>
      <c r="C4301" s="9" t="s">
        <v>50</v>
      </c>
      <c r="D4301" s="10"/>
      <c r="E4301" s="11" t="s">
        <v>51</v>
      </c>
      <c r="F4301" s="10"/>
      <c r="G4301" s="10">
        <v>0</v>
      </c>
      <c r="H4301" s="10">
        <f t="shared" si="67"/>
        <v>0</v>
      </c>
      <c r="I4301" s="10"/>
      <c r="J4301" s="10"/>
      <c r="K4301" s="10"/>
      <c r="L4301" s="4" t="s">
        <v>52</v>
      </c>
      <c r="M4301" s="4">
        <v>4296</v>
      </c>
    </row>
    <row r="4302" spans="1:13" x14ac:dyDescent="0.25">
      <c r="A4302" s="4" t="s">
        <v>4186</v>
      </c>
      <c r="B4302" s="4" t="s">
        <v>4190</v>
      </c>
      <c r="C4302" s="9" t="s">
        <v>50</v>
      </c>
      <c r="D4302" s="10">
        <v>40</v>
      </c>
      <c r="E4302" s="11" t="s">
        <v>51</v>
      </c>
      <c r="F4302" s="10">
        <v>3510</v>
      </c>
      <c r="G4302" s="10">
        <v>0</v>
      </c>
      <c r="H4302" s="10">
        <f t="shared" si="67"/>
        <v>3510</v>
      </c>
      <c r="I4302" s="10"/>
      <c r="J4302" s="10"/>
      <c r="K4302" s="10"/>
      <c r="L4302" s="4" t="s">
        <v>52</v>
      </c>
      <c r="M4302" s="4">
        <v>4297</v>
      </c>
    </row>
    <row r="4303" spans="1:13" x14ac:dyDescent="0.25">
      <c r="A4303" s="4" t="s">
        <v>4186</v>
      </c>
      <c r="B4303" s="4" t="s">
        <v>4191</v>
      </c>
      <c r="C4303" s="9" t="s">
        <v>50</v>
      </c>
      <c r="D4303" s="10">
        <v>90</v>
      </c>
      <c r="E4303" s="11" t="s">
        <v>51</v>
      </c>
      <c r="F4303" s="10">
        <v>3510</v>
      </c>
      <c r="G4303" s="10">
        <v>0</v>
      </c>
      <c r="H4303" s="10">
        <f t="shared" si="67"/>
        <v>3510</v>
      </c>
      <c r="I4303" s="10"/>
      <c r="J4303" s="10"/>
      <c r="K4303" s="10"/>
      <c r="L4303" s="4" t="s">
        <v>52</v>
      </c>
      <c r="M4303" s="4">
        <v>4298</v>
      </c>
    </row>
    <row r="4304" spans="1:13" x14ac:dyDescent="0.25">
      <c r="A4304" s="4" t="s">
        <v>4192</v>
      </c>
      <c r="B4304" s="4" t="s">
        <v>4193</v>
      </c>
      <c r="C4304" s="9" t="s">
        <v>50</v>
      </c>
      <c r="D4304" s="10">
        <v>140</v>
      </c>
      <c r="E4304" s="11" t="s">
        <v>51</v>
      </c>
      <c r="F4304" s="10">
        <v>3510</v>
      </c>
      <c r="G4304" s="10">
        <v>0</v>
      </c>
      <c r="H4304" s="10">
        <f t="shared" si="67"/>
        <v>3510</v>
      </c>
      <c r="I4304" s="10"/>
      <c r="J4304" s="10"/>
      <c r="K4304" s="10"/>
      <c r="L4304" s="4" t="s">
        <v>52</v>
      </c>
      <c r="M4304" s="4">
        <v>4299</v>
      </c>
    </row>
    <row r="4305" spans="1:13" x14ac:dyDescent="0.25">
      <c r="A4305" s="4" t="s">
        <v>4194</v>
      </c>
      <c r="B4305" s="4" t="s">
        <v>4195</v>
      </c>
      <c r="C4305" s="4" t="s">
        <v>68</v>
      </c>
      <c r="D4305" s="10">
        <v>10</v>
      </c>
      <c r="E4305" s="11" t="s">
        <v>51</v>
      </c>
      <c r="F4305" s="10">
        <v>1170</v>
      </c>
      <c r="G4305" s="10">
        <v>0</v>
      </c>
      <c r="H4305" s="10">
        <f t="shared" si="67"/>
        <v>1170</v>
      </c>
      <c r="I4305" s="10"/>
      <c r="J4305" s="10"/>
      <c r="K4305" s="10"/>
      <c r="L4305" s="4" t="s">
        <v>69</v>
      </c>
      <c r="M4305" s="4">
        <v>4300</v>
      </c>
    </row>
    <row r="4306" spans="1:13" x14ac:dyDescent="0.25">
      <c r="A4306" s="4" t="s">
        <v>4194</v>
      </c>
      <c r="B4306" s="4" t="s">
        <v>4196</v>
      </c>
      <c r="C4306" s="4" t="s">
        <v>68</v>
      </c>
      <c r="D4306" s="10">
        <v>45</v>
      </c>
      <c r="E4306" s="11" t="s">
        <v>51</v>
      </c>
      <c r="F4306" s="10">
        <v>4560</v>
      </c>
      <c r="G4306" s="10">
        <v>0</v>
      </c>
      <c r="H4306" s="10">
        <f t="shared" si="67"/>
        <v>4560</v>
      </c>
      <c r="I4306" s="10"/>
      <c r="J4306" s="10"/>
      <c r="K4306" s="10"/>
      <c r="L4306" s="4" t="s">
        <v>69</v>
      </c>
      <c r="M4306" s="4">
        <v>4301</v>
      </c>
    </row>
    <row r="4307" spans="1:13" x14ac:dyDescent="0.25">
      <c r="A4307" s="4" t="s">
        <v>4194</v>
      </c>
      <c r="B4307" s="4" t="s">
        <v>4197</v>
      </c>
      <c r="C4307" s="4" t="s">
        <v>68</v>
      </c>
      <c r="D4307" s="10">
        <v>10</v>
      </c>
      <c r="E4307" s="11" t="s">
        <v>51</v>
      </c>
      <c r="F4307" s="10">
        <v>1170</v>
      </c>
      <c r="G4307" s="10">
        <v>0</v>
      </c>
      <c r="H4307" s="10">
        <f t="shared" si="67"/>
        <v>1170</v>
      </c>
      <c r="I4307" s="10"/>
      <c r="J4307" s="10"/>
      <c r="K4307" s="10"/>
      <c r="L4307" s="4" t="s">
        <v>69</v>
      </c>
      <c r="M4307" s="4">
        <v>4302</v>
      </c>
    </row>
    <row r="4308" spans="1:13" x14ac:dyDescent="0.25">
      <c r="A4308" s="4" t="s">
        <v>4194</v>
      </c>
      <c r="B4308" s="4" t="s">
        <v>4198</v>
      </c>
      <c r="C4308" s="4" t="s">
        <v>68</v>
      </c>
      <c r="D4308" s="10">
        <v>15</v>
      </c>
      <c r="E4308" s="11" t="s">
        <v>51</v>
      </c>
      <c r="F4308" s="10">
        <v>1755</v>
      </c>
      <c r="G4308" s="10">
        <v>0</v>
      </c>
      <c r="H4308" s="10">
        <f t="shared" si="67"/>
        <v>1755</v>
      </c>
      <c r="I4308" s="10"/>
      <c r="J4308" s="10"/>
      <c r="K4308" s="10"/>
      <c r="L4308" s="4" t="s">
        <v>69</v>
      </c>
      <c r="M4308" s="4">
        <v>4303</v>
      </c>
    </row>
    <row r="4309" spans="1:13" x14ac:dyDescent="0.25">
      <c r="A4309" s="4" t="s">
        <v>4194</v>
      </c>
      <c r="B4309" s="4" t="s">
        <v>4199</v>
      </c>
      <c r="C4309" s="4" t="s">
        <v>68</v>
      </c>
      <c r="D4309" s="10">
        <v>10</v>
      </c>
      <c r="E4309" s="11" t="s">
        <v>51</v>
      </c>
      <c r="F4309" s="10">
        <v>1170</v>
      </c>
      <c r="G4309" s="10">
        <v>0</v>
      </c>
      <c r="H4309" s="10">
        <f t="shared" si="67"/>
        <v>1170</v>
      </c>
      <c r="I4309" s="10"/>
      <c r="J4309" s="10"/>
      <c r="K4309" s="10"/>
      <c r="L4309" s="4" t="s">
        <v>69</v>
      </c>
      <c r="M4309" s="4">
        <v>4304</v>
      </c>
    </row>
    <row r="4310" spans="1:13" x14ac:dyDescent="0.25">
      <c r="A4310" s="4" t="s">
        <v>4194</v>
      </c>
      <c r="B4310" s="4" t="s">
        <v>4200</v>
      </c>
      <c r="C4310" s="4" t="s">
        <v>68</v>
      </c>
      <c r="D4310" s="10">
        <v>10</v>
      </c>
      <c r="E4310" s="11" t="s">
        <v>51</v>
      </c>
      <c r="F4310" s="10">
        <v>1170</v>
      </c>
      <c r="G4310" s="10">
        <v>0</v>
      </c>
      <c r="H4310" s="10">
        <f t="shared" si="67"/>
        <v>1170</v>
      </c>
      <c r="I4310" s="10"/>
      <c r="J4310" s="10"/>
      <c r="K4310" s="10"/>
      <c r="L4310" s="4" t="s">
        <v>69</v>
      </c>
      <c r="M4310" s="4">
        <v>4305</v>
      </c>
    </row>
    <row r="4311" spans="1:13" x14ac:dyDescent="0.25">
      <c r="A4311" s="4" t="s">
        <v>4194</v>
      </c>
      <c r="B4311" s="4" t="s">
        <v>4201</v>
      </c>
      <c r="C4311" s="4" t="s">
        <v>68</v>
      </c>
      <c r="D4311" s="10">
        <v>10</v>
      </c>
      <c r="E4311" s="11" t="s">
        <v>51</v>
      </c>
      <c r="F4311" s="10">
        <v>1170</v>
      </c>
      <c r="G4311" s="10">
        <v>0</v>
      </c>
      <c r="H4311" s="10">
        <f t="shared" si="67"/>
        <v>1170</v>
      </c>
      <c r="I4311" s="10"/>
      <c r="J4311" s="10"/>
      <c r="K4311" s="10"/>
      <c r="L4311" s="4" t="s">
        <v>69</v>
      </c>
      <c r="M4311" s="4">
        <v>4306</v>
      </c>
    </row>
    <row r="4312" spans="1:13" x14ac:dyDescent="0.25">
      <c r="A4312" s="4" t="s">
        <v>4194</v>
      </c>
      <c r="B4312" s="4" t="s">
        <v>4202</v>
      </c>
      <c r="C4312" s="4" t="s">
        <v>68</v>
      </c>
      <c r="D4312" s="10">
        <v>10</v>
      </c>
      <c r="E4312" s="11" t="s">
        <v>51</v>
      </c>
      <c r="F4312" s="10">
        <v>1170</v>
      </c>
      <c r="G4312" s="10">
        <v>0</v>
      </c>
      <c r="H4312" s="10">
        <f t="shared" si="67"/>
        <v>1170</v>
      </c>
      <c r="I4312" s="10"/>
      <c r="J4312" s="10"/>
      <c r="K4312" s="10"/>
      <c r="L4312" s="4" t="s">
        <v>69</v>
      </c>
      <c r="M4312" s="4">
        <v>4307</v>
      </c>
    </row>
    <row r="4313" spans="1:13" x14ac:dyDescent="0.25">
      <c r="A4313" s="4" t="s">
        <v>4194</v>
      </c>
      <c r="B4313" s="4" t="s">
        <v>4203</v>
      </c>
      <c r="C4313" s="4" t="s">
        <v>68</v>
      </c>
      <c r="D4313" s="10">
        <v>10</v>
      </c>
      <c r="E4313" s="11" t="s">
        <v>51</v>
      </c>
      <c r="F4313" s="10">
        <v>1170</v>
      </c>
      <c r="G4313" s="10">
        <v>0</v>
      </c>
      <c r="H4313" s="10">
        <f t="shared" si="67"/>
        <v>1170</v>
      </c>
      <c r="I4313" s="10"/>
      <c r="J4313" s="10"/>
      <c r="K4313" s="10"/>
      <c r="L4313" s="4" t="s">
        <v>69</v>
      </c>
      <c r="M4313" s="4">
        <v>4308</v>
      </c>
    </row>
    <row r="4314" spans="1:13" x14ac:dyDescent="0.25">
      <c r="A4314" s="4" t="s">
        <v>4194</v>
      </c>
      <c r="B4314" s="4" t="s">
        <v>4204</v>
      </c>
      <c r="C4314" s="4" t="s">
        <v>68</v>
      </c>
      <c r="D4314" s="10">
        <v>210</v>
      </c>
      <c r="E4314" s="11" t="s">
        <v>51</v>
      </c>
      <c r="F4314" s="10">
        <v>1170</v>
      </c>
      <c r="G4314" s="10">
        <v>0</v>
      </c>
      <c r="H4314" s="10">
        <f t="shared" si="67"/>
        <v>1170</v>
      </c>
      <c r="I4314" s="10"/>
      <c r="J4314" s="10"/>
      <c r="K4314" s="10"/>
      <c r="L4314" s="4" t="s">
        <v>69</v>
      </c>
      <c r="M4314" s="4">
        <v>4309</v>
      </c>
    </row>
    <row r="4315" spans="1:13" x14ac:dyDescent="0.25">
      <c r="A4315" s="4" t="s">
        <v>4205</v>
      </c>
      <c r="B4315" s="4" t="s">
        <v>4206</v>
      </c>
      <c r="C4315" s="9" t="s">
        <v>50</v>
      </c>
      <c r="D4315" s="10">
        <v>80</v>
      </c>
      <c r="E4315" s="11" t="s">
        <v>51</v>
      </c>
      <c r="F4315" s="10">
        <v>6120</v>
      </c>
      <c r="G4315" s="10">
        <v>0</v>
      </c>
      <c r="H4315" s="10">
        <f t="shared" si="67"/>
        <v>6120</v>
      </c>
      <c r="I4315" s="10"/>
      <c r="J4315" s="10"/>
      <c r="K4315" s="10"/>
      <c r="L4315" s="4" t="s">
        <v>52</v>
      </c>
      <c r="M4315" s="4">
        <v>4310</v>
      </c>
    </row>
    <row r="4316" spans="1:13" x14ac:dyDescent="0.25">
      <c r="A4316" s="4" t="s">
        <v>4205</v>
      </c>
      <c r="B4316" s="4" t="s">
        <v>4207</v>
      </c>
      <c r="C4316" s="9" t="s">
        <v>50</v>
      </c>
      <c r="D4316" s="10">
        <v>182</v>
      </c>
      <c r="E4316" s="11" t="s">
        <v>51</v>
      </c>
      <c r="F4316" s="10">
        <v>8640</v>
      </c>
      <c r="G4316" s="10">
        <v>0</v>
      </c>
      <c r="H4316" s="10">
        <f t="shared" si="67"/>
        <v>8640</v>
      </c>
      <c r="I4316" s="10"/>
      <c r="J4316" s="10"/>
      <c r="K4316" s="10"/>
      <c r="L4316" s="4" t="s">
        <v>52</v>
      </c>
      <c r="M4316" s="4">
        <v>4311</v>
      </c>
    </row>
    <row r="4317" spans="1:13" x14ac:dyDescent="0.25">
      <c r="A4317" s="4" t="s">
        <v>4208</v>
      </c>
      <c r="B4317" s="4" t="s">
        <v>4209</v>
      </c>
      <c r="C4317" s="4" t="s">
        <v>68</v>
      </c>
      <c r="D4317" s="10">
        <v>30</v>
      </c>
      <c r="E4317" s="11" t="s">
        <v>51</v>
      </c>
      <c r="F4317" s="10">
        <v>3126</v>
      </c>
      <c r="G4317" s="10">
        <v>0</v>
      </c>
      <c r="H4317" s="10">
        <f t="shared" si="67"/>
        <v>3126</v>
      </c>
      <c r="I4317" s="10"/>
      <c r="J4317" s="10"/>
      <c r="K4317" s="10"/>
      <c r="L4317" s="4" t="s">
        <v>69</v>
      </c>
      <c r="M4317" s="4">
        <v>4312</v>
      </c>
    </row>
    <row r="4318" spans="1:13" x14ac:dyDescent="0.25">
      <c r="A4318" s="4" t="s">
        <v>4208</v>
      </c>
      <c r="B4318" s="4" t="s">
        <v>4210</v>
      </c>
      <c r="C4318" s="4" t="s">
        <v>68</v>
      </c>
      <c r="D4318" s="10">
        <v>722</v>
      </c>
      <c r="E4318" s="11" t="s">
        <v>51</v>
      </c>
      <c r="F4318" s="10">
        <v>3334.4</v>
      </c>
      <c r="G4318" s="10">
        <v>0</v>
      </c>
      <c r="H4318" s="10">
        <f t="shared" si="67"/>
        <v>3334.4</v>
      </c>
      <c r="I4318" s="10"/>
      <c r="J4318" s="10"/>
      <c r="K4318" s="10"/>
      <c r="L4318" s="4" t="s">
        <v>69</v>
      </c>
      <c r="M4318" s="4">
        <v>4313</v>
      </c>
    </row>
    <row r="4319" spans="1:13" x14ac:dyDescent="0.25">
      <c r="A4319" s="4" t="s">
        <v>4211</v>
      </c>
      <c r="B4319" s="4" t="s">
        <v>4212</v>
      </c>
      <c r="C4319" s="9" t="s">
        <v>50</v>
      </c>
      <c r="D4319" s="10">
        <v>4</v>
      </c>
      <c r="E4319" s="11" t="s">
        <v>51</v>
      </c>
      <c r="F4319" s="10">
        <v>435.81</v>
      </c>
      <c r="G4319" s="10">
        <v>0</v>
      </c>
      <c r="H4319" s="10">
        <f t="shared" si="67"/>
        <v>435.81</v>
      </c>
      <c r="I4319" s="10"/>
      <c r="J4319" s="10"/>
      <c r="K4319" s="10"/>
      <c r="L4319" s="4" t="s">
        <v>52</v>
      </c>
      <c r="M4319" s="4">
        <v>4314</v>
      </c>
    </row>
    <row r="4320" spans="1:13" x14ac:dyDescent="0.25">
      <c r="A4320" s="4" t="s">
        <v>4211</v>
      </c>
      <c r="B4320" s="4" t="s">
        <v>4213</v>
      </c>
      <c r="C4320" s="9" t="s">
        <v>50</v>
      </c>
      <c r="D4320" s="10">
        <v>84</v>
      </c>
      <c r="E4320" s="11" t="s">
        <v>51</v>
      </c>
      <c r="F4320" s="10">
        <v>6537.19</v>
      </c>
      <c r="G4320" s="10">
        <v>0</v>
      </c>
      <c r="H4320" s="10">
        <f t="shared" si="67"/>
        <v>6537.19</v>
      </c>
      <c r="I4320" s="10"/>
      <c r="J4320" s="10"/>
      <c r="K4320" s="10"/>
      <c r="L4320" s="4" t="s">
        <v>52</v>
      </c>
      <c r="M4320" s="4">
        <v>4315</v>
      </c>
    </row>
    <row r="4321" spans="1:13" x14ac:dyDescent="0.25">
      <c r="A4321" s="4" t="s">
        <v>4211</v>
      </c>
      <c r="B4321" s="4" t="s">
        <v>4214</v>
      </c>
      <c r="C4321" s="9" t="s">
        <v>50</v>
      </c>
      <c r="D4321" s="10">
        <v>106.5</v>
      </c>
      <c r="E4321" s="11" t="s">
        <v>51</v>
      </c>
      <c r="F4321" s="10">
        <v>8280.44</v>
      </c>
      <c r="G4321" s="10">
        <v>0</v>
      </c>
      <c r="H4321" s="10">
        <f t="shared" si="67"/>
        <v>8280.44</v>
      </c>
      <c r="I4321" s="10"/>
      <c r="J4321" s="10"/>
      <c r="K4321" s="10"/>
      <c r="L4321" s="4" t="s">
        <v>52</v>
      </c>
      <c r="M4321" s="4">
        <v>4316</v>
      </c>
    </row>
    <row r="4322" spans="1:13" x14ac:dyDescent="0.25">
      <c r="A4322" s="4" t="s">
        <v>4211</v>
      </c>
      <c r="B4322" s="4" t="s">
        <v>4215</v>
      </c>
      <c r="C4322" s="9" t="s">
        <v>50</v>
      </c>
      <c r="D4322" s="10">
        <v>144</v>
      </c>
      <c r="E4322" s="11" t="s">
        <v>51</v>
      </c>
      <c r="F4322" s="10">
        <v>6537.19</v>
      </c>
      <c r="G4322" s="10">
        <v>0</v>
      </c>
      <c r="H4322" s="10">
        <f t="shared" si="67"/>
        <v>6537.19</v>
      </c>
      <c r="I4322" s="10"/>
      <c r="J4322" s="10"/>
      <c r="K4322" s="10"/>
      <c r="L4322" s="4" t="s">
        <v>52</v>
      </c>
      <c r="M4322" s="4">
        <v>4317</v>
      </c>
    </row>
    <row r="4323" spans="1:13" x14ac:dyDescent="0.25">
      <c r="A4323" s="4" t="s">
        <v>4211</v>
      </c>
      <c r="B4323" s="4" t="s">
        <v>4216</v>
      </c>
      <c r="C4323" s="9" t="s">
        <v>50</v>
      </c>
      <c r="D4323" s="10"/>
      <c r="E4323" s="11" t="s">
        <v>51</v>
      </c>
      <c r="F4323" s="10"/>
      <c r="G4323" s="10">
        <v>0</v>
      </c>
      <c r="H4323" s="10">
        <f t="shared" si="67"/>
        <v>0</v>
      </c>
      <c r="I4323" s="10"/>
      <c r="J4323" s="10"/>
      <c r="K4323" s="10"/>
      <c r="L4323" s="4" t="s">
        <v>52</v>
      </c>
      <c r="M4323" s="4">
        <v>4318</v>
      </c>
    </row>
    <row r="4324" spans="1:13" x14ac:dyDescent="0.25">
      <c r="A4324" s="4" t="s">
        <v>4211</v>
      </c>
      <c r="B4324" s="4" t="s">
        <v>4217</v>
      </c>
      <c r="C4324" s="9" t="s">
        <v>50</v>
      </c>
      <c r="D4324" s="10"/>
      <c r="E4324" s="11" t="s">
        <v>51</v>
      </c>
      <c r="F4324" s="10"/>
      <c r="G4324" s="10">
        <v>0</v>
      </c>
      <c r="H4324" s="10">
        <f t="shared" si="67"/>
        <v>0</v>
      </c>
      <c r="I4324" s="10"/>
      <c r="J4324" s="10"/>
      <c r="K4324" s="10"/>
      <c r="L4324" s="4" t="s">
        <v>52</v>
      </c>
      <c r="M4324" s="4">
        <v>4319</v>
      </c>
    </row>
    <row r="4325" spans="1:13" x14ac:dyDescent="0.25">
      <c r="A4325" s="4" t="s">
        <v>4211</v>
      </c>
      <c r="B4325" s="4" t="s">
        <v>4218</v>
      </c>
      <c r="C4325" s="9" t="s">
        <v>50</v>
      </c>
      <c r="D4325" s="10"/>
      <c r="E4325" s="11" t="s">
        <v>51</v>
      </c>
      <c r="F4325" s="10"/>
      <c r="G4325" s="10">
        <v>0</v>
      </c>
      <c r="H4325" s="10">
        <f t="shared" si="67"/>
        <v>0</v>
      </c>
      <c r="I4325" s="10"/>
      <c r="J4325" s="10"/>
      <c r="K4325" s="10"/>
      <c r="L4325" s="4" t="s">
        <v>52</v>
      </c>
      <c r="M4325" s="4">
        <v>4320</v>
      </c>
    </row>
    <row r="4326" spans="1:13" x14ac:dyDescent="0.25">
      <c r="A4326" s="4" t="s">
        <v>4211</v>
      </c>
      <c r="B4326" s="4" t="s">
        <v>4219</v>
      </c>
      <c r="C4326" s="9" t="s">
        <v>50</v>
      </c>
      <c r="D4326" s="10">
        <v>83.5</v>
      </c>
      <c r="E4326" s="11" t="s">
        <v>51</v>
      </c>
      <c r="F4326" s="10"/>
      <c r="G4326" s="10">
        <v>0</v>
      </c>
      <c r="H4326" s="10">
        <f t="shared" si="67"/>
        <v>0</v>
      </c>
      <c r="I4326" s="10"/>
      <c r="J4326" s="10"/>
      <c r="K4326" s="10"/>
      <c r="L4326" s="4" t="s">
        <v>52</v>
      </c>
      <c r="M4326" s="4">
        <v>4321</v>
      </c>
    </row>
    <row r="4327" spans="1:13" x14ac:dyDescent="0.25">
      <c r="A4327" s="4" t="s">
        <v>4211</v>
      </c>
      <c r="B4327" s="4" t="s">
        <v>4220</v>
      </c>
      <c r="C4327" s="4" t="s">
        <v>65</v>
      </c>
      <c r="D4327" s="10">
        <v>16.5</v>
      </c>
      <c r="E4327" s="12" t="s">
        <v>66</v>
      </c>
      <c r="F4327" s="10">
        <v>1272</v>
      </c>
      <c r="G4327" s="10">
        <v>0</v>
      </c>
      <c r="H4327" s="10">
        <f t="shared" si="67"/>
        <v>1272</v>
      </c>
      <c r="I4327" s="10">
        <v>77.090909090909093</v>
      </c>
      <c r="J4327" s="10">
        <v>77.090909090909093</v>
      </c>
      <c r="K4327" s="10">
        <v>77.090909090909093</v>
      </c>
      <c r="L4327" s="4"/>
      <c r="M4327" s="4">
        <v>4322</v>
      </c>
    </row>
    <row r="4328" spans="1:13" x14ac:dyDescent="0.25">
      <c r="A4328" s="4" t="s">
        <v>4211</v>
      </c>
      <c r="B4328" s="4" t="s">
        <v>4221</v>
      </c>
      <c r="C4328" s="4" t="s">
        <v>68</v>
      </c>
      <c r="D4328" s="10"/>
      <c r="E4328" s="11" t="s">
        <v>51</v>
      </c>
      <c r="F4328" s="10"/>
      <c r="G4328" s="10">
        <v>0</v>
      </c>
      <c r="H4328" s="10">
        <f t="shared" si="67"/>
        <v>0</v>
      </c>
      <c r="I4328" s="10"/>
      <c r="J4328" s="10"/>
      <c r="K4328" s="10"/>
      <c r="L4328" s="4" t="s">
        <v>69</v>
      </c>
      <c r="M4328" s="4">
        <v>4323</v>
      </c>
    </row>
    <row r="4329" spans="1:13" x14ac:dyDescent="0.25">
      <c r="A4329" s="4" t="s">
        <v>4211</v>
      </c>
      <c r="B4329" s="4" t="s">
        <v>4222</v>
      </c>
      <c r="C4329" s="4" t="s">
        <v>68</v>
      </c>
      <c r="D4329" s="10"/>
      <c r="E4329" s="11" t="s">
        <v>51</v>
      </c>
      <c r="F4329" s="10"/>
      <c r="G4329" s="10">
        <v>0</v>
      </c>
      <c r="H4329" s="10">
        <f t="shared" si="67"/>
        <v>0</v>
      </c>
      <c r="I4329" s="10"/>
      <c r="J4329" s="10"/>
      <c r="K4329" s="10"/>
      <c r="L4329" s="4" t="s">
        <v>69</v>
      </c>
      <c r="M4329" s="4">
        <v>4324</v>
      </c>
    </row>
    <row r="4330" spans="1:13" x14ac:dyDescent="0.25">
      <c r="A4330" s="4" t="s">
        <v>4211</v>
      </c>
      <c r="B4330" s="4" t="s">
        <v>4223</v>
      </c>
      <c r="C4330" s="9" t="s">
        <v>50</v>
      </c>
      <c r="D4330" s="10"/>
      <c r="E4330" s="11" t="s">
        <v>51</v>
      </c>
      <c r="F4330" s="10"/>
      <c r="G4330" s="10">
        <v>0</v>
      </c>
      <c r="H4330" s="10">
        <f t="shared" si="67"/>
        <v>0</v>
      </c>
      <c r="I4330" s="10"/>
      <c r="J4330" s="10"/>
      <c r="K4330" s="10"/>
      <c r="L4330" s="4" t="s">
        <v>52</v>
      </c>
      <c r="M4330" s="4">
        <v>4325</v>
      </c>
    </row>
    <row r="4331" spans="1:13" x14ac:dyDescent="0.25">
      <c r="A4331" s="4" t="s">
        <v>4211</v>
      </c>
      <c r="B4331" s="4" t="s">
        <v>4224</v>
      </c>
      <c r="C4331" s="4" t="s">
        <v>65</v>
      </c>
      <c r="D4331" s="10">
        <v>12.5</v>
      </c>
      <c r="E4331" s="11" t="s">
        <v>51</v>
      </c>
      <c r="F4331" s="10"/>
      <c r="G4331" s="10">
        <v>0</v>
      </c>
      <c r="H4331" s="10">
        <f t="shared" si="67"/>
        <v>0</v>
      </c>
      <c r="I4331" s="10">
        <v>0</v>
      </c>
      <c r="J4331" s="10">
        <v>0</v>
      </c>
      <c r="K4331" s="10">
        <v>0</v>
      </c>
      <c r="L4331" s="4" t="s">
        <v>69</v>
      </c>
      <c r="M4331" s="4">
        <v>4326</v>
      </c>
    </row>
    <row r="4332" spans="1:13" x14ac:dyDescent="0.25">
      <c r="A4332" s="4" t="s">
        <v>4211</v>
      </c>
      <c r="B4332" s="4" t="s">
        <v>4225</v>
      </c>
      <c r="C4332" s="4" t="s">
        <v>65</v>
      </c>
      <c r="D4332" s="10">
        <v>76.5</v>
      </c>
      <c r="E4332" s="12" t="s">
        <v>66</v>
      </c>
      <c r="F4332" s="10">
        <v>1500</v>
      </c>
      <c r="G4332" s="10">
        <v>0</v>
      </c>
      <c r="H4332" s="10">
        <f t="shared" si="67"/>
        <v>1500</v>
      </c>
      <c r="I4332" s="10">
        <v>19.6078431372549</v>
      </c>
      <c r="J4332" s="10">
        <v>19.6078431372549</v>
      </c>
      <c r="K4332" s="10">
        <v>19.6078431372549</v>
      </c>
      <c r="L4332" s="4"/>
      <c r="M4332" s="4">
        <v>4327</v>
      </c>
    </row>
    <row r="4333" spans="1:13" x14ac:dyDescent="0.25">
      <c r="A4333" s="4" t="s">
        <v>4211</v>
      </c>
      <c r="B4333" s="4" t="s">
        <v>4226</v>
      </c>
      <c r="C4333" s="4" t="s">
        <v>65</v>
      </c>
      <c r="D4333" s="10">
        <v>91</v>
      </c>
      <c r="E4333" s="11" t="s">
        <v>51</v>
      </c>
      <c r="F4333" s="10">
        <v>10176</v>
      </c>
      <c r="G4333" s="10">
        <v>0</v>
      </c>
      <c r="H4333" s="10">
        <f t="shared" si="67"/>
        <v>10176</v>
      </c>
      <c r="I4333" s="10"/>
      <c r="J4333" s="10"/>
      <c r="K4333" s="10"/>
      <c r="L4333" s="4" t="s">
        <v>69</v>
      </c>
      <c r="M4333" s="4">
        <v>4328</v>
      </c>
    </row>
    <row r="4334" spans="1:13" x14ac:dyDescent="0.25">
      <c r="A4334" s="4" t="s">
        <v>4227</v>
      </c>
      <c r="B4334" s="4" t="s">
        <v>4228</v>
      </c>
      <c r="C4334" s="4" t="s">
        <v>68</v>
      </c>
      <c r="D4334" s="10">
        <v>35</v>
      </c>
      <c r="E4334" s="11" t="s">
        <v>51</v>
      </c>
      <c r="F4334" s="10">
        <v>4200</v>
      </c>
      <c r="G4334" s="10">
        <v>0</v>
      </c>
      <c r="H4334" s="10">
        <f t="shared" si="67"/>
        <v>4200</v>
      </c>
      <c r="I4334" s="10"/>
      <c r="J4334" s="10"/>
      <c r="K4334" s="10"/>
      <c r="L4334" s="4" t="s">
        <v>69</v>
      </c>
      <c r="M4334" s="4">
        <v>4329</v>
      </c>
    </row>
    <row r="4335" spans="1:13" x14ac:dyDescent="0.25">
      <c r="A4335" s="4" t="s">
        <v>4227</v>
      </c>
      <c r="B4335" s="4" t="s">
        <v>2907</v>
      </c>
      <c r="C4335" s="4" t="s">
        <v>68</v>
      </c>
      <c r="D4335" s="10">
        <v>40</v>
      </c>
      <c r="E4335" s="11" t="s">
        <v>51</v>
      </c>
      <c r="F4335" s="10">
        <v>4800</v>
      </c>
      <c r="G4335" s="10">
        <v>0</v>
      </c>
      <c r="H4335" s="10">
        <f t="shared" si="67"/>
        <v>4800</v>
      </c>
      <c r="I4335" s="10"/>
      <c r="J4335" s="10"/>
      <c r="K4335" s="10"/>
      <c r="L4335" s="4" t="s">
        <v>69</v>
      </c>
      <c r="M4335" s="4">
        <v>4330</v>
      </c>
    </row>
    <row r="4336" spans="1:13" x14ac:dyDescent="0.25">
      <c r="A4336" s="4" t="s">
        <v>4227</v>
      </c>
      <c r="B4336" s="4" t="s">
        <v>4229</v>
      </c>
      <c r="C4336" s="4" t="s">
        <v>68</v>
      </c>
      <c r="D4336" s="10">
        <v>141.5</v>
      </c>
      <c r="E4336" s="11" t="s">
        <v>51</v>
      </c>
      <c r="F4336" s="10">
        <v>1120</v>
      </c>
      <c r="G4336" s="10">
        <v>0</v>
      </c>
      <c r="H4336" s="10">
        <f t="shared" si="67"/>
        <v>1120</v>
      </c>
      <c r="I4336" s="10"/>
      <c r="J4336" s="10"/>
      <c r="K4336" s="10"/>
      <c r="L4336" s="4" t="s">
        <v>69</v>
      </c>
      <c r="M4336" s="4">
        <v>4331</v>
      </c>
    </row>
    <row r="4337" spans="1:13" x14ac:dyDescent="0.25">
      <c r="A4337" s="4" t="s">
        <v>4230</v>
      </c>
      <c r="B4337" s="4" t="s">
        <v>4231</v>
      </c>
      <c r="C4337" s="4" t="s">
        <v>65</v>
      </c>
      <c r="D4337" s="10">
        <v>1.5</v>
      </c>
      <c r="E4337" s="12" t="s">
        <v>66</v>
      </c>
      <c r="F4337" s="10">
        <v>225</v>
      </c>
      <c r="G4337" s="10">
        <v>0</v>
      </c>
      <c r="H4337" s="10">
        <f t="shared" si="67"/>
        <v>225</v>
      </c>
      <c r="I4337" s="10">
        <v>150</v>
      </c>
      <c r="J4337" s="10">
        <v>150</v>
      </c>
      <c r="K4337" s="10">
        <v>150</v>
      </c>
      <c r="L4337" s="4"/>
      <c r="M4337" s="4">
        <v>4332</v>
      </c>
    </row>
    <row r="4338" spans="1:13" x14ac:dyDescent="0.25">
      <c r="A4338" s="4" t="s">
        <v>4230</v>
      </c>
      <c r="B4338" s="4" t="s">
        <v>4232</v>
      </c>
      <c r="C4338" s="4" t="s">
        <v>65</v>
      </c>
      <c r="D4338" s="10">
        <v>30.5</v>
      </c>
      <c r="E4338" s="12" t="s">
        <v>66</v>
      </c>
      <c r="F4338" s="10">
        <v>3960</v>
      </c>
      <c r="G4338" s="10">
        <v>0</v>
      </c>
      <c r="H4338" s="10">
        <f t="shared" si="67"/>
        <v>3960</v>
      </c>
      <c r="I4338" s="10">
        <v>129.8360655737705</v>
      </c>
      <c r="J4338" s="10">
        <v>129.8360655737705</v>
      </c>
      <c r="K4338" s="10">
        <v>129.8360655737705</v>
      </c>
      <c r="L4338" s="4"/>
      <c r="M4338" s="4">
        <v>4333</v>
      </c>
    </row>
    <row r="4339" spans="1:13" x14ac:dyDescent="0.25">
      <c r="A4339" s="4" t="s">
        <v>4230</v>
      </c>
      <c r="B4339" s="4" t="s">
        <v>4233</v>
      </c>
      <c r="C4339" s="4" t="s">
        <v>65</v>
      </c>
      <c r="D4339" s="10">
        <v>38.5</v>
      </c>
      <c r="E4339" s="12" t="s">
        <v>66</v>
      </c>
      <c r="F4339" s="10">
        <v>5040</v>
      </c>
      <c r="G4339" s="10">
        <v>0</v>
      </c>
      <c r="H4339" s="10">
        <f t="shared" si="67"/>
        <v>5040</v>
      </c>
      <c r="I4339" s="10">
        <v>130.90909090909091</v>
      </c>
      <c r="J4339" s="10">
        <v>130.90909090909091</v>
      </c>
      <c r="K4339" s="10">
        <v>130.90909090909091</v>
      </c>
      <c r="L4339" s="4"/>
      <c r="M4339" s="4">
        <v>4334</v>
      </c>
    </row>
    <row r="4340" spans="1:13" x14ac:dyDescent="0.25">
      <c r="A4340" s="4" t="s">
        <v>4230</v>
      </c>
      <c r="B4340" s="4" t="s">
        <v>4234</v>
      </c>
      <c r="C4340" s="4" t="s">
        <v>65</v>
      </c>
      <c r="D4340" s="10">
        <v>30.5</v>
      </c>
      <c r="E4340" s="12" t="s">
        <v>66</v>
      </c>
      <c r="F4340" s="10">
        <v>3960</v>
      </c>
      <c r="G4340" s="10">
        <v>0</v>
      </c>
      <c r="H4340" s="10">
        <f t="shared" si="67"/>
        <v>3960</v>
      </c>
      <c r="I4340" s="10">
        <v>129.8360655737705</v>
      </c>
      <c r="J4340" s="10">
        <v>129.8360655737705</v>
      </c>
      <c r="K4340" s="10">
        <v>129.8360655737705</v>
      </c>
      <c r="L4340" s="4"/>
      <c r="M4340" s="4">
        <v>4335</v>
      </c>
    </row>
    <row r="4341" spans="1:13" x14ac:dyDescent="0.25">
      <c r="A4341" s="4" t="s">
        <v>4230</v>
      </c>
      <c r="B4341" s="4" t="s">
        <v>4235</v>
      </c>
      <c r="C4341" s="4" t="s">
        <v>65</v>
      </c>
      <c r="D4341" s="10">
        <v>113.5</v>
      </c>
      <c r="E4341" s="12" t="s">
        <v>66</v>
      </c>
      <c r="F4341" s="10">
        <v>5300</v>
      </c>
      <c r="G4341" s="10">
        <v>0</v>
      </c>
      <c r="H4341" s="10">
        <f t="shared" si="67"/>
        <v>5300</v>
      </c>
      <c r="I4341" s="10">
        <v>130.8641975308642</v>
      </c>
      <c r="J4341" s="10">
        <v>130.8641975308642</v>
      </c>
      <c r="K4341" s="10">
        <v>130.8641975308642</v>
      </c>
      <c r="L4341" s="4"/>
      <c r="M4341" s="4">
        <v>4336</v>
      </c>
    </row>
    <row r="4342" spans="1:13" x14ac:dyDescent="0.25">
      <c r="A4342" s="4" t="s">
        <v>4236</v>
      </c>
      <c r="B4342" s="4" t="s">
        <v>4237</v>
      </c>
      <c r="C4342" s="4" t="s">
        <v>65</v>
      </c>
      <c r="D4342" s="10">
        <v>95.5</v>
      </c>
      <c r="E4342" s="12" t="s">
        <v>66</v>
      </c>
      <c r="F4342" s="10">
        <v>9450</v>
      </c>
      <c r="G4342" s="10">
        <v>0</v>
      </c>
      <c r="H4342" s="10">
        <f t="shared" si="67"/>
        <v>9450</v>
      </c>
      <c r="I4342" s="10">
        <v>129.45205479452051</v>
      </c>
      <c r="J4342" s="10">
        <v>129.45205479452051</v>
      </c>
      <c r="K4342" s="10">
        <v>129.45205479452051</v>
      </c>
      <c r="L4342" s="4"/>
      <c r="M4342" s="4">
        <v>4337</v>
      </c>
    </row>
    <row r="4343" spans="1:13" x14ac:dyDescent="0.25">
      <c r="A4343" s="4" t="s">
        <v>4238</v>
      </c>
      <c r="B4343" s="4" t="s">
        <v>4239</v>
      </c>
      <c r="C4343" s="4" t="s">
        <v>68</v>
      </c>
      <c r="D4343" s="10">
        <v>4</v>
      </c>
      <c r="E4343" s="11" t="s">
        <v>51</v>
      </c>
      <c r="F4343" s="10">
        <v>520</v>
      </c>
      <c r="G4343" s="10">
        <v>0</v>
      </c>
      <c r="H4343" s="10">
        <f t="shared" si="67"/>
        <v>520</v>
      </c>
      <c r="I4343" s="10"/>
      <c r="J4343" s="10"/>
      <c r="K4343" s="10"/>
      <c r="L4343" s="4" t="s">
        <v>69</v>
      </c>
      <c r="M4343" s="4">
        <v>4338</v>
      </c>
    </row>
    <row r="4344" spans="1:13" x14ac:dyDescent="0.25">
      <c r="A4344" s="4" t="s">
        <v>4238</v>
      </c>
      <c r="B4344" s="4" t="s">
        <v>4240</v>
      </c>
      <c r="C4344" s="4" t="s">
        <v>65</v>
      </c>
      <c r="D4344" s="10">
        <v>7.5</v>
      </c>
      <c r="E4344" s="12" t="s">
        <v>66</v>
      </c>
      <c r="F4344" s="10">
        <v>1200</v>
      </c>
      <c r="G4344" s="10">
        <v>0</v>
      </c>
      <c r="H4344" s="10">
        <f t="shared" si="67"/>
        <v>1200</v>
      </c>
      <c r="I4344" s="10">
        <v>160</v>
      </c>
      <c r="J4344" s="10">
        <v>160</v>
      </c>
      <c r="K4344" s="10">
        <v>160</v>
      </c>
      <c r="L4344" s="4"/>
      <c r="M4344" s="4">
        <v>4339</v>
      </c>
    </row>
    <row r="4345" spans="1:13" x14ac:dyDescent="0.25">
      <c r="A4345" s="4" t="s">
        <v>4238</v>
      </c>
      <c r="B4345" s="4" t="s">
        <v>4241</v>
      </c>
      <c r="C4345" s="4" t="s">
        <v>65</v>
      </c>
      <c r="D4345" s="10">
        <v>1.5</v>
      </c>
      <c r="E4345" s="12" t="s">
        <v>66</v>
      </c>
      <c r="F4345" s="10">
        <v>300</v>
      </c>
      <c r="G4345" s="10">
        <v>0</v>
      </c>
      <c r="H4345" s="10">
        <f t="shared" si="67"/>
        <v>300</v>
      </c>
      <c r="I4345" s="10">
        <v>200</v>
      </c>
      <c r="J4345" s="10">
        <v>200</v>
      </c>
      <c r="K4345" s="10">
        <v>200</v>
      </c>
      <c r="L4345" s="4"/>
      <c r="M4345" s="4">
        <v>4340</v>
      </c>
    </row>
    <row r="4346" spans="1:13" x14ac:dyDescent="0.25">
      <c r="A4346" s="4" t="s">
        <v>4238</v>
      </c>
      <c r="B4346" s="4" t="s">
        <v>4242</v>
      </c>
      <c r="C4346" s="4" t="s">
        <v>65</v>
      </c>
      <c r="D4346" s="10">
        <v>25.5</v>
      </c>
      <c r="E4346" s="12" t="s">
        <v>66</v>
      </c>
      <c r="F4346" s="10">
        <v>1500</v>
      </c>
      <c r="G4346" s="10">
        <v>0</v>
      </c>
      <c r="H4346" s="10">
        <f t="shared" si="67"/>
        <v>1500</v>
      </c>
      <c r="I4346" s="10">
        <v>157.89473684210529</v>
      </c>
      <c r="J4346" s="10">
        <v>157.89473684210529</v>
      </c>
      <c r="K4346" s="10">
        <v>157.89473684210529</v>
      </c>
      <c r="L4346" s="4"/>
      <c r="M4346" s="4">
        <v>4341</v>
      </c>
    </row>
    <row r="4347" spans="1:13" x14ac:dyDescent="0.25">
      <c r="A4347" s="4" t="s">
        <v>4243</v>
      </c>
      <c r="B4347" s="4" t="s">
        <v>4244</v>
      </c>
      <c r="C4347" s="4" t="s">
        <v>68</v>
      </c>
      <c r="D4347" s="10">
        <v>16</v>
      </c>
      <c r="E4347" s="11" t="s">
        <v>51</v>
      </c>
      <c r="F4347" s="10">
        <v>1840</v>
      </c>
      <c r="G4347" s="10">
        <v>0</v>
      </c>
      <c r="H4347" s="10">
        <f t="shared" si="67"/>
        <v>1840</v>
      </c>
      <c r="I4347" s="10"/>
      <c r="J4347" s="10"/>
      <c r="K4347" s="10"/>
      <c r="L4347" s="4" t="s">
        <v>69</v>
      </c>
      <c r="M4347" s="4">
        <v>4342</v>
      </c>
    </row>
    <row r="4348" spans="1:13" x14ac:dyDescent="0.25">
      <c r="A4348" s="4" t="s">
        <v>4245</v>
      </c>
      <c r="B4348" s="4" t="s">
        <v>3880</v>
      </c>
      <c r="C4348" s="9" t="s">
        <v>50</v>
      </c>
      <c r="D4348" s="10">
        <v>61</v>
      </c>
      <c r="E4348" s="11" t="s">
        <v>51</v>
      </c>
      <c r="F4348" s="10"/>
      <c r="G4348" s="10">
        <v>0</v>
      </c>
      <c r="H4348" s="10">
        <f t="shared" si="67"/>
        <v>0</v>
      </c>
      <c r="I4348" s="10"/>
      <c r="J4348" s="10"/>
      <c r="K4348" s="10"/>
      <c r="L4348" s="4" t="s">
        <v>52</v>
      </c>
      <c r="M4348" s="4">
        <v>4343</v>
      </c>
    </row>
    <row r="4349" spans="1:13" x14ac:dyDescent="0.25">
      <c r="A4349" s="4" t="s">
        <v>4246</v>
      </c>
      <c r="B4349" s="4" t="s">
        <v>4247</v>
      </c>
      <c r="C4349" s="9" t="s">
        <v>50</v>
      </c>
      <c r="D4349" s="10">
        <v>169</v>
      </c>
      <c r="E4349" s="11" t="s">
        <v>51</v>
      </c>
      <c r="F4349" s="10">
        <v>8048.17</v>
      </c>
      <c r="G4349" s="10">
        <v>0</v>
      </c>
      <c r="H4349" s="10">
        <f t="shared" si="67"/>
        <v>8048.17</v>
      </c>
      <c r="I4349" s="10"/>
      <c r="J4349" s="10"/>
      <c r="K4349" s="10"/>
      <c r="L4349" s="4" t="s">
        <v>52</v>
      </c>
      <c r="M4349" s="4">
        <v>4344</v>
      </c>
    </row>
    <row r="4350" spans="1:13" x14ac:dyDescent="0.25">
      <c r="A4350" s="4" t="s">
        <v>4248</v>
      </c>
      <c r="B4350" s="4" t="s">
        <v>4249</v>
      </c>
      <c r="C4350" s="9" t="s">
        <v>50</v>
      </c>
      <c r="D4350" s="10">
        <v>171</v>
      </c>
      <c r="E4350" s="11" t="s">
        <v>51</v>
      </c>
      <c r="F4350" s="10">
        <v>11197.53</v>
      </c>
      <c r="G4350" s="10">
        <v>0</v>
      </c>
      <c r="H4350" s="10">
        <f t="shared" si="67"/>
        <v>11197.53</v>
      </c>
      <c r="I4350" s="10"/>
      <c r="J4350" s="10"/>
      <c r="K4350" s="10"/>
      <c r="L4350" s="4" t="s">
        <v>52</v>
      </c>
      <c r="M4350" s="4">
        <v>4345</v>
      </c>
    </row>
    <row r="4351" spans="1:13" x14ac:dyDescent="0.25">
      <c r="A4351" s="4" t="s">
        <v>4250</v>
      </c>
      <c r="B4351" s="4" t="s">
        <v>4251</v>
      </c>
      <c r="C4351" s="9" t="s">
        <v>50</v>
      </c>
      <c r="D4351" s="10">
        <v>106.5</v>
      </c>
      <c r="E4351" s="11" t="s">
        <v>51</v>
      </c>
      <c r="F4351" s="10">
        <v>7010</v>
      </c>
      <c r="G4351" s="10">
        <v>0</v>
      </c>
      <c r="H4351" s="10">
        <f t="shared" si="67"/>
        <v>7010</v>
      </c>
      <c r="I4351" s="10"/>
      <c r="J4351" s="10"/>
      <c r="K4351" s="10"/>
      <c r="L4351" s="4" t="s">
        <v>52</v>
      </c>
      <c r="M4351" s="4">
        <v>4346</v>
      </c>
    </row>
    <row r="4352" spans="1:13" x14ac:dyDescent="0.25">
      <c r="A4352" s="4" t="s">
        <v>4252</v>
      </c>
      <c r="B4352" s="4" t="s">
        <v>4253</v>
      </c>
      <c r="C4352" s="9" t="s">
        <v>50</v>
      </c>
      <c r="D4352" s="10">
        <v>64.5</v>
      </c>
      <c r="E4352" s="11" t="s">
        <v>51</v>
      </c>
      <c r="F4352" s="10">
        <v>4240.6899999999996</v>
      </c>
      <c r="G4352" s="10">
        <v>0</v>
      </c>
      <c r="H4352" s="10">
        <f t="shared" si="67"/>
        <v>4240.6899999999996</v>
      </c>
      <c r="I4352" s="10"/>
      <c r="J4352" s="10"/>
      <c r="K4352" s="10"/>
      <c r="L4352" s="4" t="s">
        <v>52</v>
      </c>
      <c r="M4352" s="4">
        <v>4347</v>
      </c>
    </row>
    <row r="4353" spans="1:13" x14ac:dyDescent="0.25">
      <c r="A4353" s="4" t="s">
        <v>4254</v>
      </c>
      <c r="B4353" s="4" t="s">
        <v>4255</v>
      </c>
      <c r="C4353" s="9" t="s">
        <v>50</v>
      </c>
      <c r="D4353" s="10">
        <v>10</v>
      </c>
      <c r="E4353" s="11" t="s">
        <v>51</v>
      </c>
      <c r="F4353" s="10">
        <v>1050</v>
      </c>
      <c r="G4353" s="10">
        <v>0</v>
      </c>
      <c r="H4353" s="10">
        <f t="shared" si="67"/>
        <v>1050</v>
      </c>
      <c r="I4353" s="10"/>
      <c r="J4353" s="10"/>
      <c r="K4353" s="10"/>
      <c r="L4353" s="4" t="s">
        <v>52</v>
      </c>
      <c r="M4353" s="4">
        <v>4348</v>
      </c>
    </row>
    <row r="4354" spans="1:13" x14ac:dyDescent="0.25">
      <c r="A4354" s="4" t="s">
        <v>4254</v>
      </c>
      <c r="B4354" s="4" t="s">
        <v>4256</v>
      </c>
      <c r="C4354" s="9" t="s">
        <v>50</v>
      </c>
      <c r="D4354" s="10">
        <v>20</v>
      </c>
      <c r="E4354" s="11" t="s">
        <v>51</v>
      </c>
      <c r="F4354" s="10">
        <v>1050</v>
      </c>
      <c r="G4354" s="10">
        <v>0</v>
      </c>
      <c r="H4354" s="10">
        <f t="shared" si="67"/>
        <v>1050</v>
      </c>
      <c r="I4354" s="10"/>
      <c r="J4354" s="10"/>
      <c r="K4354" s="10"/>
      <c r="L4354" s="4" t="s">
        <v>52</v>
      </c>
      <c r="M4354" s="4">
        <v>4349</v>
      </c>
    </row>
    <row r="4355" spans="1:13" x14ac:dyDescent="0.25">
      <c r="A4355" s="4" t="s">
        <v>4257</v>
      </c>
      <c r="B4355" s="4" t="s">
        <v>4255</v>
      </c>
      <c r="C4355" s="9" t="s">
        <v>50</v>
      </c>
      <c r="D4355" s="10">
        <v>10</v>
      </c>
      <c r="E4355" s="11" t="s">
        <v>51</v>
      </c>
      <c r="F4355" s="10">
        <v>1050</v>
      </c>
      <c r="G4355" s="10">
        <v>0</v>
      </c>
      <c r="H4355" s="10">
        <f t="shared" si="67"/>
        <v>1050</v>
      </c>
      <c r="I4355" s="10"/>
      <c r="J4355" s="10"/>
      <c r="K4355" s="10"/>
      <c r="L4355" s="4" t="s">
        <v>52</v>
      </c>
      <c r="M4355" s="4">
        <v>4350</v>
      </c>
    </row>
    <row r="4356" spans="1:13" x14ac:dyDescent="0.25">
      <c r="A4356" s="4" t="s">
        <v>4257</v>
      </c>
      <c r="B4356" s="4" t="s">
        <v>4256</v>
      </c>
      <c r="C4356" s="9" t="s">
        <v>50</v>
      </c>
      <c r="D4356" s="10">
        <v>193</v>
      </c>
      <c r="E4356" s="11" t="s">
        <v>51</v>
      </c>
      <c r="F4356" s="10">
        <v>1050</v>
      </c>
      <c r="G4356" s="10">
        <v>0</v>
      </c>
      <c r="H4356" s="10">
        <f t="shared" si="67"/>
        <v>1050</v>
      </c>
      <c r="I4356" s="10"/>
      <c r="J4356" s="10"/>
      <c r="K4356" s="10"/>
      <c r="L4356" s="4" t="s">
        <v>52</v>
      </c>
      <c r="M4356" s="4">
        <v>4351</v>
      </c>
    </row>
    <row r="4357" spans="1:13" x14ac:dyDescent="0.25">
      <c r="A4357" s="4" t="s">
        <v>4258</v>
      </c>
      <c r="B4357" s="4" t="s">
        <v>4259</v>
      </c>
      <c r="C4357" s="4" t="s">
        <v>65</v>
      </c>
      <c r="D4357" s="10">
        <v>1.5</v>
      </c>
      <c r="E4357" s="12" t="s">
        <v>66</v>
      </c>
      <c r="F4357" s="10">
        <v>250</v>
      </c>
      <c r="G4357" s="10">
        <v>0</v>
      </c>
      <c r="H4357" s="10">
        <f t="shared" si="67"/>
        <v>250</v>
      </c>
      <c r="I4357" s="10">
        <v>166.66666666666671</v>
      </c>
      <c r="J4357" s="10">
        <v>166.66666666666671</v>
      </c>
      <c r="K4357" s="10">
        <v>166.66666666666671</v>
      </c>
      <c r="L4357" s="4"/>
      <c r="M4357" s="4">
        <v>4352</v>
      </c>
    </row>
    <row r="4358" spans="1:13" x14ac:dyDescent="0.25">
      <c r="A4358" s="4" t="s">
        <v>4258</v>
      </c>
      <c r="B4358" s="4" t="s">
        <v>4260</v>
      </c>
      <c r="C4358" s="4" t="s">
        <v>65</v>
      </c>
      <c r="D4358" s="10">
        <v>6.5</v>
      </c>
      <c r="E4358" s="12" t="s">
        <v>66</v>
      </c>
      <c r="F4358" s="10">
        <v>1050</v>
      </c>
      <c r="G4358" s="10">
        <v>0</v>
      </c>
      <c r="H4358" s="10">
        <f t="shared" ref="H4358:H4421" si="68">F4358-G4358</f>
        <v>1050</v>
      </c>
      <c r="I4358" s="10">
        <v>161.53846153846149</v>
      </c>
      <c r="J4358" s="10">
        <v>161.53846153846149</v>
      </c>
      <c r="K4358" s="10">
        <v>161.53846153846149</v>
      </c>
      <c r="L4358" s="4"/>
      <c r="M4358" s="4">
        <v>4353</v>
      </c>
    </row>
    <row r="4359" spans="1:13" x14ac:dyDescent="0.25">
      <c r="A4359" s="4" t="s">
        <v>4258</v>
      </c>
      <c r="B4359" s="4" t="s">
        <v>4261</v>
      </c>
      <c r="C4359" s="4" t="s">
        <v>65</v>
      </c>
      <c r="D4359" s="10">
        <v>28</v>
      </c>
      <c r="E4359" s="12" t="s">
        <v>66</v>
      </c>
      <c r="F4359" s="10">
        <v>4300</v>
      </c>
      <c r="G4359" s="10">
        <v>0</v>
      </c>
      <c r="H4359" s="10">
        <f t="shared" si="68"/>
        <v>4300</v>
      </c>
      <c r="I4359" s="10">
        <v>153.57142857142861</v>
      </c>
      <c r="J4359" s="10">
        <v>153.57142857142861</v>
      </c>
      <c r="K4359" s="10">
        <v>153.57142857142861</v>
      </c>
      <c r="L4359" s="4"/>
      <c r="M4359" s="4">
        <v>4354</v>
      </c>
    </row>
    <row r="4360" spans="1:13" x14ac:dyDescent="0.25">
      <c r="A4360" s="4" t="s">
        <v>4258</v>
      </c>
      <c r="B4360" s="4" t="s">
        <v>4262</v>
      </c>
      <c r="C4360" s="4" t="s">
        <v>65</v>
      </c>
      <c r="D4360" s="10">
        <v>35.5</v>
      </c>
      <c r="E4360" s="12" t="s">
        <v>66</v>
      </c>
      <c r="F4360" s="10">
        <v>5450</v>
      </c>
      <c r="G4360" s="10">
        <v>0</v>
      </c>
      <c r="H4360" s="10">
        <f t="shared" si="68"/>
        <v>5450</v>
      </c>
      <c r="I4360" s="10">
        <v>153.52112676056339</v>
      </c>
      <c r="J4360" s="10">
        <v>153.52112676056339</v>
      </c>
      <c r="K4360" s="10">
        <v>153.52112676056339</v>
      </c>
      <c r="L4360" s="4"/>
      <c r="M4360" s="4">
        <v>4355</v>
      </c>
    </row>
    <row r="4361" spans="1:13" x14ac:dyDescent="0.25">
      <c r="A4361" s="4" t="s">
        <v>4258</v>
      </c>
      <c r="B4361" s="4" t="s">
        <v>4263</v>
      </c>
      <c r="C4361" s="4" t="s">
        <v>65</v>
      </c>
      <c r="D4361" s="10">
        <v>28</v>
      </c>
      <c r="E4361" s="12" t="s">
        <v>66</v>
      </c>
      <c r="F4361" s="10">
        <v>4300</v>
      </c>
      <c r="G4361" s="10">
        <v>0</v>
      </c>
      <c r="H4361" s="10">
        <f t="shared" si="68"/>
        <v>4300</v>
      </c>
      <c r="I4361" s="10">
        <v>153.57142857142861</v>
      </c>
      <c r="J4361" s="10">
        <v>153.57142857142861</v>
      </c>
      <c r="K4361" s="10">
        <v>153.57142857142861</v>
      </c>
      <c r="L4361" s="4"/>
      <c r="M4361" s="4">
        <v>4356</v>
      </c>
    </row>
    <row r="4362" spans="1:13" x14ac:dyDescent="0.25">
      <c r="A4362" s="4" t="s">
        <v>4258</v>
      </c>
      <c r="B4362" s="4" t="s">
        <v>4264</v>
      </c>
      <c r="C4362" s="4" t="s">
        <v>65</v>
      </c>
      <c r="D4362" s="10">
        <v>33.5</v>
      </c>
      <c r="E4362" s="12" t="s">
        <v>66</v>
      </c>
      <c r="F4362" s="10">
        <v>5150</v>
      </c>
      <c r="G4362" s="10">
        <v>0</v>
      </c>
      <c r="H4362" s="10">
        <f t="shared" si="68"/>
        <v>5150</v>
      </c>
      <c r="I4362" s="10">
        <v>153.73134328358211</v>
      </c>
      <c r="J4362" s="10">
        <v>153.73134328358211</v>
      </c>
      <c r="K4362" s="10">
        <v>153.73134328358211</v>
      </c>
      <c r="L4362" s="4"/>
      <c r="M4362" s="4">
        <v>4357</v>
      </c>
    </row>
    <row r="4363" spans="1:13" x14ac:dyDescent="0.25">
      <c r="A4363" s="4" t="s">
        <v>4258</v>
      </c>
      <c r="B4363" s="4" t="s">
        <v>4265</v>
      </c>
      <c r="C4363" s="4" t="s">
        <v>65</v>
      </c>
      <c r="D4363" s="10">
        <v>108</v>
      </c>
      <c r="E4363" s="12" t="s">
        <v>66</v>
      </c>
      <c r="F4363" s="10">
        <v>9200</v>
      </c>
      <c r="G4363" s="10">
        <v>0</v>
      </c>
      <c r="H4363" s="10">
        <f t="shared" si="68"/>
        <v>9200</v>
      </c>
      <c r="I4363" s="10">
        <v>153.33333333333329</v>
      </c>
      <c r="J4363" s="10">
        <v>153.33333333333329</v>
      </c>
      <c r="K4363" s="10">
        <v>153.33333333333329</v>
      </c>
      <c r="L4363" s="4"/>
      <c r="M4363" s="4">
        <v>4358</v>
      </c>
    </row>
    <row r="4364" spans="1:13" x14ac:dyDescent="0.25">
      <c r="A4364" s="4" t="s">
        <v>4266</v>
      </c>
      <c r="B4364" s="4" t="s">
        <v>4267</v>
      </c>
      <c r="C4364" s="4" t="s">
        <v>65</v>
      </c>
      <c r="D4364" s="10">
        <v>32</v>
      </c>
      <c r="E4364" s="12" t="s">
        <v>66</v>
      </c>
      <c r="F4364" s="10">
        <v>4300</v>
      </c>
      <c r="G4364" s="10">
        <v>0</v>
      </c>
      <c r="H4364" s="10">
        <f t="shared" si="68"/>
        <v>4300</v>
      </c>
      <c r="I4364" s="10">
        <v>134.375</v>
      </c>
      <c r="J4364" s="10">
        <v>134.375</v>
      </c>
      <c r="K4364" s="10">
        <v>134.375</v>
      </c>
      <c r="L4364" s="4"/>
      <c r="M4364" s="4">
        <v>4359</v>
      </c>
    </row>
    <row r="4365" spans="1:13" x14ac:dyDescent="0.25">
      <c r="A4365" s="4" t="s">
        <v>4266</v>
      </c>
      <c r="B4365" s="4" t="s">
        <v>4268</v>
      </c>
      <c r="C4365" s="4" t="s">
        <v>68</v>
      </c>
      <c r="D4365" s="10">
        <v>376</v>
      </c>
      <c r="E4365" s="11" t="s">
        <v>51</v>
      </c>
      <c r="F4365" s="10">
        <v>2080</v>
      </c>
      <c r="G4365" s="10">
        <v>0</v>
      </c>
      <c r="H4365" s="10">
        <f t="shared" si="68"/>
        <v>2080</v>
      </c>
      <c r="I4365" s="10"/>
      <c r="J4365" s="10"/>
      <c r="K4365" s="10"/>
      <c r="L4365" s="4" t="s">
        <v>69</v>
      </c>
      <c r="M4365" s="4">
        <v>4360</v>
      </c>
    </row>
    <row r="4366" spans="1:13" x14ac:dyDescent="0.25">
      <c r="A4366" s="4" t="s">
        <v>4269</v>
      </c>
      <c r="B4366" s="4" t="s">
        <v>4270</v>
      </c>
      <c r="C4366" s="4" t="s">
        <v>68</v>
      </c>
      <c r="D4366" s="10">
        <v>40</v>
      </c>
      <c r="E4366" s="11" t="s">
        <v>51</v>
      </c>
      <c r="F4366" s="10">
        <v>3600</v>
      </c>
      <c r="G4366" s="10">
        <v>0</v>
      </c>
      <c r="H4366" s="10">
        <f t="shared" si="68"/>
        <v>3600</v>
      </c>
      <c r="I4366" s="10"/>
      <c r="J4366" s="10"/>
      <c r="K4366" s="10"/>
      <c r="L4366" s="4" t="s">
        <v>69</v>
      </c>
      <c r="M4366" s="4">
        <v>4361</v>
      </c>
    </row>
    <row r="4367" spans="1:13" x14ac:dyDescent="0.25">
      <c r="A4367" s="4" t="s">
        <v>4269</v>
      </c>
      <c r="B4367" s="4" t="s">
        <v>4271</v>
      </c>
      <c r="C4367" s="4" t="s">
        <v>68</v>
      </c>
      <c r="D4367" s="10">
        <v>360</v>
      </c>
      <c r="E4367" s="11" t="s">
        <v>51</v>
      </c>
      <c r="F4367" s="10">
        <v>24480</v>
      </c>
      <c r="G4367" s="10">
        <v>0</v>
      </c>
      <c r="H4367" s="10">
        <f t="shared" si="68"/>
        <v>24480</v>
      </c>
      <c r="I4367" s="10"/>
      <c r="J4367" s="10"/>
      <c r="K4367" s="10"/>
      <c r="L4367" s="4" t="s">
        <v>69</v>
      </c>
      <c r="M4367" s="4">
        <v>4362</v>
      </c>
    </row>
    <row r="4368" spans="1:13" x14ac:dyDescent="0.25">
      <c r="A4368" s="4" t="s">
        <v>4272</v>
      </c>
      <c r="B4368" s="4" t="s">
        <v>248</v>
      </c>
      <c r="C4368" s="4" t="s">
        <v>68</v>
      </c>
      <c r="D4368" s="10">
        <v>80</v>
      </c>
      <c r="E4368" s="11" t="s">
        <v>51</v>
      </c>
      <c r="F4368" s="10">
        <v>4400</v>
      </c>
      <c r="G4368" s="10">
        <v>0</v>
      </c>
      <c r="H4368" s="10">
        <f t="shared" si="68"/>
        <v>4400</v>
      </c>
      <c r="I4368" s="10"/>
      <c r="J4368" s="10"/>
      <c r="K4368" s="10"/>
      <c r="L4368" s="4" t="s">
        <v>69</v>
      </c>
      <c r="M4368" s="4">
        <v>4363</v>
      </c>
    </row>
    <row r="4369" spans="1:13" x14ac:dyDescent="0.25">
      <c r="A4369" s="4" t="s">
        <v>4273</v>
      </c>
      <c r="B4369" s="4" t="s">
        <v>4274</v>
      </c>
      <c r="C4369" s="4" t="s">
        <v>68</v>
      </c>
      <c r="D4369" s="10">
        <v>41</v>
      </c>
      <c r="E4369" s="11" t="s">
        <v>51</v>
      </c>
      <c r="F4369" s="10">
        <v>8800</v>
      </c>
      <c r="G4369" s="10">
        <v>0</v>
      </c>
      <c r="H4369" s="10">
        <f t="shared" si="68"/>
        <v>8800</v>
      </c>
      <c r="I4369" s="10"/>
      <c r="J4369" s="10"/>
      <c r="K4369" s="10"/>
      <c r="L4369" s="4" t="s">
        <v>69</v>
      </c>
      <c r="M4369" s="4">
        <v>4364</v>
      </c>
    </row>
    <row r="4370" spans="1:13" x14ac:dyDescent="0.25">
      <c r="A4370" s="4" t="s">
        <v>4275</v>
      </c>
      <c r="B4370" s="4" t="s">
        <v>4276</v>
      </c>
      <c r="C4370" s="4" t="s">
        <v>68</v>
      </c>
      <c r="D4370" s="10">
        <v>32</v>
      </c>
      <c r="E4370" s="11" t="s">
        <v>51</v>
      </c>
      <c r="F4370" s="10">
        <v>3520</v>
      </c>
      <c r="G4370" s="10">
        <v>0</v>
      </c>
      <c r="H4370" s="10">
        <f t="shared" si="68"/>
        <v>3520</v>
      </c>
      <c r="I4370" s="10"/>
      <c r="J4370" s="10"/>
      <c r="K4370" s="10"/>
      <c r="L4370" s="4" t="s">
        <v>69</v>
      </c>
      <c r="M4370" s="4">
        <v>4365</v>
      </c>
    </row>
    <row r="4371" spans="1:13" x14ac:dyDescent="0.25">
      <c r="A4371" s="4" t="s">
        <v>4275</v>
      </c>
      <c r="B4371" s="4" t="s">
        <v>4277</v>
      </c>
      <c r="C4371" s="4" t="s">
        <v>68</v>
      </c>
      <c r="D4371" s="10">
        <v>236.5</v>
      </c>
      <c r="E4371" s="11" t="s">
        <v>51</v>
      </c>
      <c r="F4371" s="10">
        <v>1000</v>
      </c>
      <c r="G4371" s="10">
        <v>0</v>
      </c>
      <c r="H4371" s="10">
        <f t="shared" si="68"/>
        <v>1000</v>
      </c>
      <c r="I4371" s="10"/>
      <c r="J4371" s="10"/>
      <c r="K4371" s="10"/>
      <c r="L4371" s="4" t="s">
        <v>69</v>
      </c>
      <c r="M4371" s="4">
        <v>4366</v>
      </c>
    </row>
    <row r="4372" spans="1:13" x14ac:dyDescent="0.25">
      <c r="A4372" s="4" t="s">
        <v>4278</v>
      </c>
      <c r="B4372" s="4" t="s">
        <v>3678</v>
      </c>
      <c r="C4372" s="4" t="s">
        <v>65</v>
      </c>
      <c r="D4372" s="10">
        <v>49.5</v>
      </c>
      <c r="E4372" s="12" t="s">
        <v>66</v>
      </c>
      <c r="F4372" s="10">
        <v>6572.4</v>
      </c>
      <c r="G4372" s="10">
        <v>0</v>
      </c>
      <c r="H4372" s="10">
        <f t="shared" si="68"/>
        <v>6572.4</v>
      </c>
      <c r="I4372" s="10">
        <v>132.77575757575761</v>
      </c>
      <c r="J4372" s="10">
        <v>132.77575757575761</v>
      </c>
      <c r="K4372" s="10">
        <v>132.77575757575761</v>
      </c>
      <c r="L4372" s="4"/>
      <c r="M4372" s="4">
        <v>4367</v>
      </c>
    </row>
    <row r="4373" spans="1:13" x14ac:dyDescent="0.25">
      <c r="A4373" s="4" t="s">
        <v>4278</v>
      </c>
      <c r="B4373" s="4" t="s">
        <v>3680</v>
      </c>
      <c r="C4373" s="4" t="s">
        <v>65</v>
      </c>
      <c r="D4373" s="10">
        <v>57.5</v>
      </c>
      <c r="E4373" s="12" t="s">
        <v>66</v>
      </c>
      <c r="F4373" s="10">
        <v>5184.6000000000004</v>
      </c>
      <c r="G4373" s="10">
        <v>0</v>
      </c>
      <c r="H4373" s="10">
        <f t="shared" si="68"/>
        <v>5184.6000000000004</v>
      </c>
      <c r="I4373" s="10">
        <v>90.166956521739138</v>
      </c>
      <c r="J4373" s="10">
        <v>90.166956521739138</v>
      </c>
      <c r="K4373" s="10">
        <v>90.166956521739138</v>
      </c>
      <c r="L4373" s="4"/>
      <c r="M4373" s="4">
        <v>4368</v>
      </c>
    </row>
    <row r="4374" spans="1:13" x14ac:dyDescent="0.25">
      <c r="A4374" s="4" t="s">
        <v>4278</v>
      </c>
      <c r="B4374" s="4" t="s">
        <v>3136</v>
      </c>
      <c r="C4374" s="4" t="s">
        <v>65</v>
      </c>
      <c r="D4374" s="10">
        <v>46.5</v>
      </c>
      <c r="E4374" s="12" t="s">
        <v>66</v>
      </c>
      <c r="F4374" s="10">
        <v>6221.4</v>
      </c>
      <c r="G4374" s="10">
        <v>0</v>
      </c>
      <c r="H4374" s="10">
        <f t="shared" si="68"/>
        <v>6221.4</v>
      </c>
      <c r="I4374" s="10">
        <v>133.79354838709679</v>
      </c>
      <c r="J4374" s="10">
        <v>133.79354838709679</v>
      </c>
      <c r="K4374" s="10">
        <v>133.79354838709679</v>
      </c>
      <c r="L4374" s="4"/>
      <c r="M4374" s="4">
        <v>4369</v>
      </c>
    </row>
    <row r="4375" spans="1:13" x14ac:dyDescent="0.25">
      <c r="A4375" s="4" t="s">
        <v>4278</v>
      </c>
      <c r="B4375" s="4" t="s">
        <v>2215</v>
      </c>
      <c r="C4375" s="4" t="s">
        <v>65</v>
      </c>
      <c r="D4375" s="10">
        <v>83</v>
      </c>
      <c r="E4375" s="12" t="s">
        <v>66</v>
      </c>
      <c r="F4375" s="10">
        <v>11060.4</v>
      </c>
      <c r="G4375" s="10">
        <v>0</v>
      </c>
      <c r="H4375" s="10">
        <f t="shared" si="68"/>
        <v>11060.4</v>
      </c>
      <c r="I4375" s="10">
        <v>133.2578313253012</v>
      </c>
      <c r="J4375" s="10">
        <v>133.2578313253012</v>
      </c>
      <c r="K4375" s="10">
        <v>133.2578313253012</v>
      </c>
      <c r="L4375" s="4"/>
      <c r="M4375" s="4">
        <v>4370</v>
      </c>
    </row>
    <row r="4376" spans="1:13" x14ac:dyDescent="0.25">
      <c r="A4376" s="4" t="s">
        <v>4278</v>
      </c>
      <c r="B4376" s="4" t="s">
        <v>3880</v>
      </c>
      <c r="C4376" s="9" t="s">
        <v>50</v>
      </c>
      <c r="D4376" s="10">
        <v>134</v>
      </c>
      <c r="E4376" s="11" t="s">
        <v>51</v>
      </c>
      <c r="F4376" s="10"/>
      <c r="G4376" s="10">
        <v>0</v>
      </c>
      <c r="H4376" s="10">
        <f t="shared" si="68"/>
        <v>0</v>
      </c>
      <c r="I4376" s="10"/>
      <c r="J4376" s="10"/>
      <c r="K4376" s="10"/>
      <c r="L4376" s="4" t="s">
        <v>52</v>
      </c>
      <c r="M4376" s="4">
        <v>4371</v>
      </c>
    </row>
    <row r="4377" spans="1:13" x14ac:dyDescent="0.25">
      <c r="A4377" s="4" t="s">
        <v>4279</v>
      </c>
      <c r="B4377" s="4" t="s">
        <v>4280</v>
      </c>
      <c r="C4377" s="4" t="s">
        <v>68</v>
      </c>
      <c r="D4377" s="10">
        <v>12</v>
      </c>
      <c r="E4377" s="11" t="s">
        <v>51</v>
      </c>
      <c r="F4377" s="10">
        <v>1500</v>
      </c>
      <c r="G4377" s="10">
        <v>0</v>
      </c>
      <c r="H4377" s="10">
        <f t="shared" si="68"/>
        <v>1500</v>
      </c>
      <c r="I4377" s="10"/>
      <c r="J4377" s="10"/>
      <c r="K4377" s="10"/>
      <c r="L4377" s="4" t="s">
        <v>69</v>
      </c>
      <c r="M4377" s="4">
        <v>4372</v>
      </c>
    </row>
    <row r="4378" spans="1:13" x14ac:dyDescent="0.25">
      <c r="A4378" s="4" t="s">
        <v>4279</v>
      </c>
      <c r="B4378" s="4" t="s">
        <v>4281</v>
      </c>
      <c r="C4378" s="4" t="s">
        <v>65</v>
      </c>
      <c r="D4378" s="10">
        <v>61</v>
      </c>
      <c r="E4378" s="12" t="s">
        <v>66</v>
      </c>
      <c r="F4378" s="10">
        <v>8975</v>
      </c>
      <c r="G4378" s="10">
        <v>0</v>
      </c>
      <c r="H4378" s="10">
        <f t="shared" si="68"/>
        <v>8975</v>
      </c>
      <c r="I4378" s="10">
        <v>147.13114754098359</v>
      </c>
      <c r="J4378" s="10">
        <v>147.13114754098359</v>
      </c>
      <c r="K4378" s="10">
        <v>147.13114754098359</v>
      </c>
      <c r="L4378" s="4"/>
      <c r="M4378" s="4">
        <v>4373</v>
      </c>
    </row>
    <row r="4379" spans="1:13" x14ac:dyDescent="0.25">
      <c r="A4379" s="4" t="s">
        <v>4279</v>
      </c>
      <c r="B4379" s="4" t="s">
        <v>4282</v>
      </c>
      <c r="C4379" s="4" t="s">
        <v>65</v>
      </c>
      <c r="D4379" s="10">
        <v>27</v>
      </c>
      <c r="E4379" s="12" t="s">
        <v>66</v>
      </c>
      <c r="F4379" s="10">
        <v>2300</v>
      </c>
      <c r="G4379" s="10">
        <v>0</v>
      </c>
      <c r="H4379" s="10">
        <f t="shared" si="68"/>
        <v>2300</v>
      </c>
      <c r="I4379" s="10">
        <v>85.18518518518519</v>
      </c>
      <c r="J4379" s="10">
        <v>85.18518518518519</v>
      </c>
      <c r="K4379" s="10">
        <v>85.18518518518519</v>
      </c>
      <c r="L4379" s="4"/>
      <c r="M4379" s="4">
        <v>4374</v>
      </c>
    </row>
    <row r="4380" spans="1:13" x14ac:dyDescent="0.25">
      <c r="A4380" s="4" t="s">
        <v>4279</v>
      </c>
      <c r="B4380" s="4" t="s">
        <v>4283</v>
      </c>
      <c r="C4380" s="4" t="s">
        <v>68</v>
      </c>
      <c r="D4380" s="10">
        <v>12</v>
      </c>
      <c r="E4380" s="11" t="s">
        <v>51</v>
      </c>
      <c r="F4380" s="10">
        <v>1500</v>
      </c>
      <c r="G4380" s="10">
        <v>0</v>
      </c>
      <c r="H4380" s="10">
        <f t="shared" si="68"/>
        <v>1500</v>
      </c>
      <c r="I4380" s="10"/>
      <c r="J4380" s="10"/>
      <c r="K4380" s="10"/>
      <c r="L4380" s="4" t="s">
        <v>69</v>
      </c>
      <c r="M4380" s="4">
        <v>4375</v>
      </c>
    </row>
    <row r="4381" spans="1:13" x14ac:dyDescent="0.25">
      <c r="A4381" s="4" t="s">
        <v>4279</v>
      </c>
      <c r="B4381" s="4" t="s">
        <v>4284</v>
      </c>
      <c r="C4381" s="4" t="s">
        <v>68</v>
      </c>
      <c r="D4381" s="10">
        <v>12</v>
      </c>
      <c r="E4381" s="11" t="s">
        <v>51</v>
      </c>
      <c r="F4381" s="10">
        <v>840</v>
      </c>
      <c r="G4381" s="10">
        <v>0</v>
      </c>
      <c r="H4381" s="10">
        <f t="shared" si="68"/>
        <v>840</v>
      </c>
      <c r="I4381" s="10"/>
      <c r="J4381" s="10"/>
      <c r="K4381" s="10"/>
      <c r="L4381" s="4" t="s">
        <v>69</v>
      </c>
      <c r="M4381" s="4">
        <v>4376</v>
      </c>
    </row>
    <row r="4382" spans="1:13" x14ac:dyDescent="0.25">
      <c r="A4382" s="4" t="s">
        <v>4279</v>
      </c>
      <c r="B4382" s="4" t="s">
        <v>4285</v>
      </c>
      <c r="C4382" s="9" t="s">
        <v>50</v>
      </c>
      <c r="D4382" s="10"/>
      <c r="E4382" s="11" t="s">
        <v>51</v>
      </c>
      <c r="F4382" s="10"/>
      <c r="G4382" s="10">
        <v>0</v>
      </c>
      <c r="H4382" s="10">
        <f t="shared" si="68"/>
        <v>0</v>
      </c>
      <c r="I4382" s="10"/>
      <c r="J4382" s="10"/>
      <c r="K4382" s="10"/>
      <c r="L4382" s="4" t="s">
        <v>52</v>
      </c>
      <c r="M4382" s="4">
        <v>4377</v>
      </c>
    </row>
    <row r="4383" spans="1:13" x14ac:dyDescent="0.25">
      <c r="A4383" s="4" t="s">
        <v>4279</v>
      </c>
      <c r="B4383" s="4" t="s">
        <v>4286</v>
      </c>
      <c r="C4383" s="4" t="s">
        <v>68</v>
      </c>
      <c r="D4383" s="10">
        <v>20</v>
      </c>
      <c r="E4383" s="11" t="s">
        <v>51</v>
      </c>
      <c r="F4383" s="10">
        <v>700</v>
      </c>
      <c r="G4383" s="10">
        <v>0</v>
      </c>
      <c r="H4383" s="10">
        <f t="shared" si="68"/>
        <v>700</v>
      </c>
      <c r="I4383" s="10"/>
      <c r="J4383" s="10"/>
      <c r="K4383" s="10"/>
      <c r="L4383" s="4" t="s">
        <v>69</v>
      </c>
      <c r="M4383" s="4">
        <v>4378</v>
      </c>
    </row>
    <row r="4384" spans="1:13" x14ac:dyDescent="0.25">
      <c r="A4384" s="4" t="s">
        <v>4287</v>
      </c>
      <c r="B4384" s="4" t="s">
        <v>4288</v>
      </c>
      <c r="C4384" s="4" t="s">
        <v>68</v>
      </c>
      <c r="D4384" s="10">
        <v>74</v>
      </c>
      <c r="E4384" s="11" t="s">
        <v>51</v>
      </c>
      <c r="F4384" s="10">
        <v>1900</v>
      </c>
      <c r="G4384" s="10">
        <v>0</v>
      </c>
      <c r="H4384" s="10">
        <f t="shared" si="68"/>
        <v>1900</v>
      </c>
      <c r="I4384" s="10"/>
      <c r="J4384" s="10"/>
      <c r="K4384" s="10"/>
      <c r="L4384" s="4" t="s">
        <v>69</v>
      </c>
      <c r="M4384" s="4">
        <v>4379</v>
      </c>
    </row>
    <row r="4385" spans="1:13" x14ac:dyDescent="0.25">
      <c r="A4385" s="4" t="s">
        <v>4289</v>
      </c>
      <c r="B4385" s="4" t="s">
        <v>4290</v>
      </c>
      <c r="C4385" s="9" t="s">
        <v>50</v>
      </c>
      <c r="D4385" s="10">
        <v>134</v>
      </c>
      <c r="E4385" s="11" t="s">
        <v>51</v>
      </c>
      <c r="F4385" s="10">
        <v>7550</v>
      </c>
      <c r="G4385" s="10">
        <v>0</v>
      </c>
      <c r="H4385" s="10">
        <f t="shared" si="68"/>
        <v>7550</v>
      </c>
      <c r="I4385" s="10"/>
      <c r="J4385" s="10"/>
      <c r="K4385" s="10"/>
      <c r="L4385" s="4" t="s">
        <v>52</v>
      </c>
      <c r="M4385" s="4">
        <v>4380</v>
      </c>
    </row>
    <row r="4386" spans="1:13" x14ac:dyDescent="0.25">
      <c r="A4386" s="4" t="s">
        <v>4291</v>
      </c>
      <c r="B4386" s="4" t="s">
        <v>3825</v>
      </c>
      <c r="C4386" s="4" t="s">
        <v>65</v>
      </c>
      <c r="D4386" s="10">
        <v>50</v>
      </c>
      <c r="E4386" s="12" t="s">
        <v>66</v>
      </c>
      <c r="F4386" s="10">
        <v>6750</v>
      </c>
      <c r="G4386" s="10">
        <v>0</v>
      </c>
      <c r="H4386" s="10">
        <f t="shared" si="68"/>
        <v>6750</v>
      </c>
      <c r="I4386" s="10">
        <v>135</v>
      </c>
      <c r="J4386" s="10">
        <v>135</v>
      </c>
      <c r="K4386" s="10">
        <v>135</v>
      </c>
      <c r="L4386" s="4"/>
      <c r="M4386" s="4">
        <v>4381</v>
      </c>
    </row>
    <row r="4387" spans="1:13" x14ac:dyDescent="0.25">
      <c r="A4387" s="4" t="s">
        <v>4291</v>
      </c>
      <c r="B4387" s="4" t="s">
        <v>4292</v>
      </c>
      <c r="C4387" s="4" t="s">
        <v>68</v>
      </c>
      <c r="D4387" s="10">
        <v>110</v>
      </c>
      <c r="E4387" s="11" t="s">
        <v>51</v>
      </c>
      <c r="F4387" s="10">
        <v>3750</v>
      </c>
      <c r="G4387" s="10">
        <v>0</v>
      </c>
      <c r="H4387" s="10">
        <f t="shared" si="68"/>
        <v>3750</v>
      </c>
      <c r="I4387" s="10"/>
      <c r="J4387" s="10"/>
      <c r="K4387" s="10"/>
      <c r="L4387" s="4" t="s">
        <v>69</v>
      </c>
      <c r="M4387" s="4">
        <v>4382</v>
      </c>
    </row>
    <row r="4388" spans="1:13" x14ac:dyDescent="0.25">
      <c r="A4388" s="4" t="s">
        <v>4293</v>
      </c>
      <c r="B4388" s="4" t="s">
        <v>4294</v>
      </c>
      <c r="C4388" s="4" t="s">
        <v>68</v>
      </c>
      <c r="D4388" s="10">
        <v>129</v>
      </c>
      <c r="E4388" s="11" t="s">
        <v>51</v>
      </c>
      <c r="F4388" s="10">
        <v>9600</v>
      </c>
      <c r="G4388" s="10">
        <v>0</v>
      </c>
      <c r="H4388" s="10">
        <f t="shared" si="68"/>
        <v>9600</v>
      </c>
      <c r="I4388" s="10"/>
      <c r="J4388" s="10"/>
      <c r="K4388" s="10"/>
      <c r="L4388" s="4" t="s">
        <v>69</v>
      </c>
      <c r="M4388" s="4">
        <v>4383</v>
      </c>
    </row>
    <row r="4389" spans="1:13" x14ac:dyDescent="0.25">
      <c r="A4389" s="4" t="s">
        <v>4295</v>
      </c>
      <c r="B4389" s="4" t="s">
        <v>4296</v>
      </c>
      <c r="C4389" s="4" t="s">
        <v>68</v>
      </c>
      <c r="D4389" s="10">
        <v>24</v>
      </c>
      <c r="E4389" s="11" t="s">
        <v>51</v>
      </c>
      <c r="F4389" s="10">
        <v>2880</v>
      </c>
      <c r="G4389" s="10">
        <v>0</v>
      </c>
      <c r="H4389" s="10">
        <f t="shared" si="68"/>
        <v>2880</v>
      </c>
      <c r="I4389" s="10"/>
      <c r="J4389" s="10"/>
      <c r="K4389" s="10"/>
      <c r="L4389" s="4" t="s">
        <v>69</v>
      </c>
      <c r="M4389" s="4">
        <v>4384</v>
      </c>
    </row>
    <row r="4390" spans="1:13" x14ac:dyDescent="0.25">
      <c r="A4390" s="4" t="s">
        <v>4295</v>
      </c>
      <c r="B4390" s="4" t="s">
        <v>4297</v>
      </c>
      <c r="C4390" s="4" t="s">
        <v>65</v>
      </c>
      <c r="D4390" s="10">
        <v>96</v>
      </c>
      <c r="E4390" s="12" t="s">
        <v>66</v>
      </c>
      <c r="F4390" s="10">
        <v>3450</v>
      </c>
      <c r="G4390" s="10">
        <v>0</v>
      </c>
      <c r="H4390" s="10">
        <f t="shared" si="68"/>
        <v>3450</v>
      </c>
      <c r="I4390" s="10">
        <v>138</v>
      </c>
      <c r="J4390" s="10">
        <v>138</v>
      </c>
      <c r="K4390" s="10">
        <v>138</v>
      </c>
      <c r="L4390" s="4"/>
      <c r="M4390" s="4">
        <v>4385</v>
      </c>
    </row>
    <row r="4391" spans="1:13" x14ac:dyDescent="0.25">
      <c r="A4391" s="4" t="s">
        <v>4298</v>
      </c>
      <c r="B4391" s="4" t="s">
        <v>846</v>
      </c>
      <c r="C4391" s="4" t="s">
        <v>65</v>
      </c>
      <c r="D4391" s="10">
        <v>55</v>
      </c>
      <c r="E4391" s="12" t="s">
        <v>66</v>
      </c>
      <c r="F4391" s="10">
        <v>7100</v>
      </c>
      <c r="G4391" s="10">
        <v>0</v>
      </c>
      <c r="H4391" s="10">
        <f t="shared" si="68"/>
        <v>7100</v>
      </c>
      <c r="I4391" s="10">
        <v>129.09090909090909</v>
      </c>
      <c r="J4391" s="10">
        <v>129.09090909090909</v>
      </c>
      <c r="K4391" s="10">
        <v>129.09090909090909</v>
      </c>
      <c r="L4391" s="4"/>
      <c r="M4391" s="4">
        <v>4386</v>
      </c>
    </row>
    <row r="4392" spans="1:13" x14ac:dyDescent="0.25">
      <c r="A4392" s="4" t="s">
        <v>4298</v>
      </c>
      <c r="B4392" s="4" t="s">
        <v>4299</v>
      </c>
      <c r="C4392" s="4" t="s">
        <v>68</v>
      </c>
      <c r="D4392" s="10">
        <v>300</v>
      </c>
      <c r="E4392" s="11" t="s">
        <v>51</v>
      </c>
      <c r="F4392" s="10">
        <v>1920</v>
      </c>
      <c r="G4392" s="10">
        <v>0</v>
      </c>
      <c r="H4392" s="10">
        <f t="shared" si="68"/>
        <v>1920</v>
      </c>
      <c r="I4392" s="10"/>
      <c r="J4392" s="10"/>
      <c r="K4392" s="10"/>
      <c r="L4392" s="4" t="s">
        <v>69</v>
      </c>
      <c r="M4392" s="4">
        <v>4387</v>
      </c>
    </row>
    <row r="4393" spans="1:13" x14ac:dyDescent="0.25">
      <c r="A4393" s="4" t="s">
        <v>4300</v>
      </c>
      <c r="B4393" s="4" t="s">
        <v>4301</v>
      </c>
      <c r="C4393" s="4" t="s">
        <v>68</v>
      </c>
      <c r="D4393" s="10">
        <v>51</v>
      </c>
      <c r="E4393" s="11" t="s">
        <v>51</v>
      </c>
      <c r="F4393" s="10">
        <v>35000</v>
      </c>
      <c r="G4393" s="10">
        <v>0</v>
      </c>
      <c r="H4393" s="10">
        <f t="shared" si="68"/>
        <v>35000</v>
      </c>
      <c r="I4393" s="10"/>
      <c r="J4393" s="10"/>
      <c r="K4393" s="10"/>
      <c r="L4393" s="4" t="s">
        <v>69</v>
      </c>
      <c r="M4393" s="4">
        <v>4388</v>
      </c>
    </row>
    <row r="4394" spans="1:13" x14ac:dyDescent="0.25">
      <c r="A4394" s="4" t="s">
        <v>4302</v>
      </c>
      <c r="B4394" s="4" t="s">
        <v>4303</v>
      </c>
      <c r="C4394" s="4" t="s">
        <v>65</v>
      </c>
      <c r="D4394" s="10">
        <v>31</v>
      </c>
      <c r="E4394" s="12" t="s">
        <v>66</v>
      </c>
      <c r="F4394" s="10">
        <v>4100</v>
      </c>
      <c r="G4394" s="10">
        <v>0</v>
      </c>
      <c r="H4394" s="10">
        <f t="shared" si="68"/>
        <v>4100</v>
      </c>
      <c r="I4394" s="10">
        <v>132.258064516129</v>
      </c>
      <c r="J4394" s="10">
        <v>132.258064516129</v>
      </c>
      <c r="K4394" s="10">
        <v>132.258064516129</v>
      </c>
      <c r="L4394" s="4"/>
      <c r="M4394" s="4">
        <v>4389</v>
      </c>
    </row>
    <row r="4395" spans="1:13" x14ac:dyDescent="0.25">
      <c r="A4395" s="4" t="s">
        <v>4302</v>
      </c>
      <c r="B4395" s="4" t="s">
        <v>1810</v>
      </c>
      <c r="C4395" s="4" t="s">
        <v>68</v>
      </c>
      <c r="D4395" s="10">
        <v>300</v>
      </c>
      <c r="E4395" s="11" t="s">
        <v>51</v>
      </c>
      <c r="F4395" s="10">
        <v>2400</v>
      </c>
      <c r="G4395" s="10">
        <v>0</v>
      </c>
      <c r="H4395" s="10">
        <f t="shared" si="68"/>
        <v>2400</v>
      </c>
      <c r="I4395" s="10"/>
      <c r="J4395" s="10"/>
      <c r="K4395" s="10"/>
      <c r="L4395" s="4" t="s">
        <v>69</v>
      </c>
      <c r="M4395" s="4">
        <v>4390</v>
      </c>
    </row>
    <row r="4396" spans="1:13" x14ac:dyDescent="0.25">
      <c r="A4396" s="4" t="s">
        <v>4304</v>
      </c>
      <c r="B4396" s="4" t="s">
        <v>4305</v>
      </c>
      <c r="C4396" s="4" t="s">
        <v>68</v>
      </c>
      <c r="D4396" s="10">
        <v>100</v>
      </c>
      <c r="E4396" s="11" t="s">
        <v>51</v>
      </c>
      <c r="F4396" s="10">
        <v>7000</v>
      </c>
      <c r="G4396" s="10">
        <v>0</v>
      </c>
      <c r="H4396" s="10">
        <f t="shared" si="68"/>
        <v>7000</v>
      </c>
      <c r="I4396" s="10"/>
      <c r="J4396" s="10"/>
      <c r="K4396" s="10"/>
      <c r="L4396" s="4" t="s">
        <v>69</v>
      </c>
      <c r="M4396" s="4">
        <v>4391</v>
      </c>
    </row>
    <row r="4397" spans="1:13" x14ac:dyDescent="0.25">
      <c r="A4397" s="4" t="s">
        <v>4304</v>
      </c>
      <c r="B4397" s="4" t="s">
        <v>4306</v>
      </c>
      <c r="C4397" s="4" t="s">
        <v>68</v>
      </c>
      <c r="D4397" s="10">
        <v>100</v>
      </c>
      <c r="E4397" s="11" t="s">
        <v>51</v>
      </c>
      <c r="F4397" s="10">
        <v>7000</v>
      </c>
      <c r="G4397" s="10">
        <v>0</v>
      </c>
      <c r="H4397" s="10">
        <f t="shared" si="68"/>
        <v>7000</v>
      </c>
      <c r="I4397" s="10"/>
      <c r="J4397" s="10"/>
      <c r="K4397" s="10"/>
      <c r="L4397" s="4" t="s">
        <v>69</v>
      </c>
      <c r="M4397" s="4">
        <v>4392</v>
      </c>
    </row>
    <row r="4398" spans="1:13" x14ac:dyDescent="0.25">
      <c r="A4398" s="4" t="s">
        <v>4304</v>
      </c>
      <c r="B4398" s="4" t="s">
        <v>4307</v>
      </c>
      <c r="C4398" s="4" t="s">
        <v>68</v>
      </c>
      <c r="D4398" s="10">
        <v>78</v>
      </c>
      <c r="E4398" s="11" t="s">
        <v>51</v>
      </c>
      <c r="F4398" s="10">
        <v>7000</v>
      </c>
      <c r="G4398" s="10">
        <v>0</v>
      </c>
      <c r="H4398" s="10">
        <f t="shared" si="68"/>
        <v>7000</v>
      </c>
      <c r="I4398" s="10"/>
      <c r="J4398" s="10"/>
      <c r="K4398" s="10"/>
      <c r="L4398" s="4" t="s">
        <v>69</v>
      </c>
      <c r="M4398" s="4">
        <v>4393</v>
      </c>
    </row>
    <row r="4399" spans="1:13" x14ac:dyDescent="0.25">
      <c r="A4399" s="4" t="s">
        <v>4308</v>
      </c>
      <c r="B4399" s="4" t="s">
        <v>4309</v>
      </c>
      <c r="C4399" s="4" t="s">
        <v>65</v>
      </c>
      <c r="D4399" s="10">
        <v>31</v>
      </c>
      <c r="E4399" s="12" t="s">
        <v>66</v>
      </c>
      <c r="F4399" s="10">
        <v>3600</v>
      </c>
      <c r="G4399" s="10">
        <v>0</v>
      </c>
      <c r="H4399" s="10">
        <f t="shared" si="68"/>
        <v>3600</v>
      </c>
      <c r="I4399" s="10">
        <v>116.1290322580645</v>
      </c>
      <c r="J4399" s="10">
        <v>116.1290322580645</v>
      </c>
      <c r="K4399" s="10">
        <v>116.1290322580645</v>
      </c>
      <c r="L4399" s="4"/>
      <c r="M4399" s="4">
        <v>4394</v>
      </c>
    </row>
    <row r="4400" spans="1:13" x14ac:dyDescent="0.25">
      <c r="A4400" s="4" t="s">
        <v>4308</v>
      </c>
      <c r="B4400" s="4" t="s">
        <v>4310</v>
      </c>
      <c r="C4400" s="4" t="s">
        <v>68</v>
      </c>
      <c r="D4400" s="10">
        <v>19</v>
      </c>
      <c r="E4400" s="11" t="s">
        <v>51</v>
      </c>
      <c r="F4400" s="10">
        <v>2200</v>
      </c>
      <c r="G4400" s="10">
        <v>0</v>
      </c>
      <c r="H4400" s="10">
        <f t="shared" si="68"/>
        <v>2200</v>
      </c>
      <c r="I4400" s="10"/>
      <c r="J4400" s="10"/>
      <c r="K4400" s="10"/>
      <c r="L4400" s="4" t="s">
        <v>69</v>
      </c>
      <c r="M4400" s="4">
        <v>4395</v>
      </c>
    </row>
    <row r="4401" spans="1:13" x14ac:dyDescent="0.25">
      <c r="A4401" s="4" t="s">
        <v>4308</v>
      </c>
      <c r="B4401" s="4" t="s">
        <v>4311</v>
      </c>
      <c r="C4401" s="4" t="s">
        <v>68</v>
      </c>
      <c r="D4401" s="10">
        <v>39</v>
      </c>
      <c r="E4401" s="11" t="s">
        <v>51</v>
      </c>
      <c r="F4401" s="10">
        <v>2100</v>
      </c>
      <c r="G4401" s="10">
        <v>0</v>
      </c>
      <c r="H4401" s="10">
        <f t="shared" si="68"/>
        <v>2100</v>
      </c>
      <c r="I4401" s="10"/>
      <c r="J4401" s="10"/>
      <c r="K4401" s="10"/>
      <c r="L4401" s="4" t="s">
        <v>69</v>
      </c>
      <c r="M4401" s="4">
        <v>4396</v>
      </c>
    </row>
    <row r="4402" spans="1:13" x14ac:dyDescent="0.25">
      <c r="A4402" s="4" t="s">
        <v>4312</v>
      </c>
      <c r="B4402" s="4" t="s">
        <v>4313</v>
      </c>
      <c r="C4402" s="4" t="s">
        <v>68</v>
      </c>
      <c r="D4402" s="10">
        <v>111</v>
      </c>
      <c r="E4402" s="11" t="s">
        <v>51</v>
      </c>
      <c r="F4402" s="10">
        <v>1144</v>
      </c>
      <c r="G4402" s="10">
        <v>0</v>
      </c>
      <c r="H4402" s="10">
        <f t="shared" si="68"/>
        <v>1144</v>
      </c>
      <c r="I4402" s="10"/>
      <c r="J4402" s="10"/>
      <c r="K4402" s="10"/>
      <c r="L4402" s="4" t="s">
        <v>69</v>
      </c>
      <c r="M4402" s="4">
        <v>4397</v>
      </c>
    </row>
    <row r="4403" spans="1:13" x14ac:dyDescent="0.25">
      <c r="A4403" s="4" t="s">
        <v>4314</v>
      </c>
      <c r="B4403" s="4" t="s">
        <v>4315</v>
      </c>
      <c r="C4403" s="4" t="s">
        <v>65</v>
      </c>
      <c r="D4403" s="10">
        <v>24</v>
      </c>
      <c r="E4403" s="12" t="s">
        <v>66</v>
      </c>
      <c r="F4403" s="10">
        <v>16100</v>
      </c>
      <c r="G4403" s="10">
        <v>0</v>
      </c>
      <c r="H4403" s="10">
        <f t="shared" si="68"/>
        <v>16100</v>
      </c>
      <c r="I4403" s="10">
        <v>161</v>
      </c>
      <c r="J4403" s="10">
        <v>161</v>
      </c>
      <c r="K4403" s="10">
        <v>161</v>
      </c>
      <c r="L4403" s="4"/>
      <c r="M4403" s="4">
        <v>4398</v>
      </c>
    </row>
    <row r="4404" spans="1:13" x14ac:dyDescent="0.25">
      <c r="A4404" s="4" t="s">
        <v>4316</v>
      </c>
      <c r="B4404" s="4" t="s">
        <v>4317</v>
      </c>
      <c r="C4404" s="4" t="s">
        <v>68</v>
      </c>
      <c r="D4404" s="10">
        <v>56</v>
      </c>
      <c r="E4404" s="11" t="s">
        <v>51</v>
      </c>
      <c r="F4404" s="10">
        <v>2880</v>
      </c>
      <c r="G4404" s="10">
        <v>0</v>
      </c>
      <c r="H4404" s="10">
        <f t="shared" si="68"/>
        <v>2880</v>
      </c>
      <c r="I4404" s="10"/>
      <c r="J4404" s="10"/>
      <c r="K4404" s="10"/>
      <c r="L4404" s="4" t="s">
        <v>69</v>
      </c>
      <c r="M4404" s="4">
        <v>4399</v>
      </c>
    </row>
    <row r="4405" spans="1:13" x14ac:dyDescent="0.25">
      <c r="A4405" s="4" t="s">
        <v>4318</v>
      </c>
      <c r="B4405" s="4" t="s">
        <v>2651</v>
      </c>
      <c r="C4405" s="4" t="s">
        <v>65</v>
      </c>
      <c r="D4405" s="10">
        <v>40</v>
      </c>
      <c r="E4405" s="12" t="s">
        <v>66</v>
      </c>
      <c r="F4405" s="10">
        <v>3000</v>
      </c>
      <c r="G4405" s="10">
        <v>0</v>
      </c>
      <c r="H4405" s="10">
        <f t="shared" si="68"/>
        <v>3000</v>
      </c>
      <c r="I4405" s="10">
        <v>93.75</v>
      </c>
      <c r="J4405" s="10">
        <v>93.75</v>
      </c>
      <c r="K4405" s="10">
        <v>93.75</v>
      </c>
      <c r="L4405" s="4"/>
      <c r="M4405" s="4">
        <v>4400</v>
      </c>
    </row>
    <row r="4406" spans="1:13" x14ac:dyDescent="0.25">
      <c r="A4406" s="4" t="s">
        <v>4319</v>
      </c>
      <c r="B4406" s="4" t="s">
        <v>4320</v>
      </c>
      <c r="C4406" s="4" t="s">
        <v>68</v>
      </c>
      <c r="D4406" s="10">
        <v>28</v>
      </c>
      <c r="E4406" s="11" t="s">
        <v>51</v>
      </c>
      <c r="F4406" s="10">
        <v>1000</v>
      </c>
      <c r="G4406" s="10">
        <v>0</v>
      </c>
      <c r="H4406" s="10">
        <f t="shared" si="68"/>
        <v>1000</v>
      </c>
      <c r="I4406" s="10"/>
      <c r="J4406" s="10"/>
      <c r="K4406" s="10"/>
      <c r="L4406" s="4" t="s">
        <v>69</v>
      </c>
      <c r="M4406" s="4">
        <v>4401</v>
      </c>
    </row>
    <row r="4407" spans="1:13" x14ac:dyDescent="0.25">
      <c r="A4407" s="4" t="s">
        <v>4321</v>
      </c>
      <c r="B4407" s="4" t="s">
        <v>4322</v>
      </c>
      <c r="C4407" s="4" t="s">
        <v>65</v>
      </c>
      <c r="D4407" s="10">
        <v>44</v>
      </c>
      <c r="E4407" s="12" t="s">
        <v>66</v>
      </c>
      <c r="F4407" s="10">
        <v>3250</v>
      </c>
      <c r="G4407" s="10">
        <v>0</v>
      </c>
      <c r="H4407" s="10">
        <f t="shared" si="68"/>
        <v>3250</v>
      </c>
      <c r="I4407" s="10">
        <v>162.5</v>
      </c>
      <c r="J4407" s="10">
        <v>162.5</v>
      </c>
      <c r="K4407" s="10">
        <v>162.5</v>
      </c>
      <c r="L4407" s="4"/>
      <c r="M4407" s="4">
        <v>4402</v>
      </c>
    </row>
    <row r="4408" spans="1:13" x14ac:dyDescent="0.25">
      <c r="A4408" s="4" t="s">
        <v>4323</v>
      </c>
      <c r="B4408" s="4" t="s">
        <v>4324</v>
      </c>
      <c r="C4408" s="4" t="s">
        <v>68</v>
      </c>
      <c r="D4408" s="10">
        <v>32</v>
      </c>
      <c r="E4408" s="11" t="s">
        <v>51</v>
      </c>
      <c r="F4408" s="10">
        <v>3000</v>
      </c>
      <c r="G4408" s="10">
        <v>0</v>
      </c>
      <c r="H4408" s="10">
        <f t="shared" si="68"/>
        <v>3000</v>
      </c>
      <c r="I4408" s="10"/>
      <c r="J4408" s="10"/>
      <c r="K4408" s="10"/>
      <c r="L4408" s="4" t="s">
        <v>69</v>
      </c>
      <c r="M4408" s="4">
        <v>4403</v>
      </c>
    </row>
    <row r="4409" spans="1:13" x14ac:dyDescent="0.25">
      <c r="A4409" s="4" t="s">
        <v>4325</v>
      </c>
      <c r="B4409" s="4" t="s">
        <v>4326</v>
      </c>
      <c r="C4409" s="4" t="s">
        <v>65</v>
      </c>
      <c r="D4409" s="10">
        <v>19</v>
      </c>
      <c r="E4409" s="12" t="s">
        <v>66</v>
      </c>
      <c r="F4409" s="10">
        <v>650</v>
      </c>
      <c r="G4409" s="10">
        <v>0</v>
      </c>
      <c r="H4409" s="10">
        <f t="shared" si="68"/>
        <v>650</v>
      </c>
      <c r="I4409" s="10">
        <v>81.25</v>
      </c>
      <c r="J4409" s="10">
        <v>81.25</v>
      </c>
      <c r="K4409" s="10">
        <v>81.25</v>
      </c>
      <c r="L4409" s="4"/>
      <c r="M4409" s="4">
        <v>4404</v>
      </c>
    </row>
    <row r="4410" spans="1:13" x14ac:dyDescent="0.25">
      <c r="A4410" s="4" t="s">
        <v>4327</v>
      </c>
      <c r="B4410" s="4" t="s">
        <v>1261</v>
      </c>
      <c r="C4410" s="4" t="s">
        <v>65</v>
      </c>
      <c r="D4410" s="10">
        <v>34</v>
      </c>
      <c r="E4410" s="12" t="s">
        <v>66</v>
      </c>
      <c r="F4410" s="10">
        <v>1500</v>
      </c>
      <c r="G4410" s="10">
        <v>0</v>
      </c>
      <c r="H4410" s="10">
        <f t="shared" si="68"/>
        <v>1500</v>
      </c>
      <c r="I4410" s="10">
        <v>136.3636363636364</v>
      </c>
      <c r="J4410" s="10">
        <v>136.3636363636364</v>
      </c>
      <c r="K4410" s="10">
        <v>136.3636363636364</v>
      </c>
      <c r="L4410" s="4"/>
      <c r="M4410" s="4">
        <v>4405</v>
      </c>
    </row>
    <row r="4411" spans="1:13" x14ac:dyDescent="0.25">
      <c r="A4411" s="4" t="s">
        <v>4328</v>
      </c>
      <c r="B4411" s="4" t="s">
        <v>846</v>
      </c>
      <c r="C4411" s="4" t="s">
        <v>65</v>
      </c>
      <c r="D4411" s="10">
        <v>43</v>
      </c>
      <c r="E4411" s="12" t="s">
        <v>66</v>
      </c>
      <c r="F4411" s="10">
        <v>2700</v>
      </c>
      <c r="G4411" s="10">
        <v>0</v>
      </c>
      <c r="H4411" s="10">
        <f t="shared" si="68"/>
        <v>2700</v>
      </c>
      <c r="I4411" s="10">
        <v>117.39130434782609</v>
      </c>
      <c r="J4411" s="10">
        <v>117.39130434782609</v>
      </c>
      <c r="K4411" s="10">
        <v>117.39130434782609</v>
      </c>
      <c r="L4411" s="4"/>
      <c r="M4411" s="4">
        <v>4406</v>
      </c>
    </row>
    <row r="4412" spans="1:13" x14ac:dyDescent="0.25">
      <c r="A4412" s="4" t="s">
        <v>4329</v>
      </c>
      <c r="B4412" s="4" t="s">
        <v>846</v>
      </c>
      <c r="C4412" s="4" t="s">
        <v>65</v>
      </c>
      <c r="D4412" s="10">
        <v>51</v>
      </c>
      <c r="E4412" s="12" t="s">
        <v>66</v>
      </c>
      <c r="F4412" s="10">
        <v>2350</v>
      </c>
      <c r="G4412" s="10">
        <v>0</v>
      </c>
      <c r="H4412" s="10">
        <f t="shared" si="68"/>
        <v>2350</v>
      </c>
      <c r="I4412" s="10">
        <v>117.5</v>
      </c>
      <c r="J4412" s="10">
        <v>117.5</v>
      </c>
      <c r="K4412" s="10">
        <v>117.5</v>
      </c>
      <c r="L4412" s="4"/>
      <c r="M4412" s="4">
        <v>4407</v>
      </c>
    </row>
    <row r="4413" spans="1:13" x14ac:dyDescent="0.25">
      <c r="A4413" s="4" t="s">
        <v>4330</v>
      </c>
      <c r="B4413" s="4" t="s">
        <v>846</v>
      </c>
      <c r="C4413" s="4" t="s">
        <v>65</v>
      </c>
      <c r="D4413" s="10">
        <v>55</v>
      </c>
      <c r="E4413" s="12" t="s">
        <v>66</v>
      </c>
      <c r="F4413" s="10">
        <v>3150</v>
      </c>
      <c r="G4413" s="10">
        <v>0</v>
      </c>
      <c r="H4413" s="10">
        <f t="shared" si="68"/>
        <v>3150</v>
      </c>
      <c r="I4413" s="10">
        <v>101.61290322580641</v>
      </c>
      <c r="J4413" s="10">
        <v>101.61290322580641</v>
      </c>
      <c r="K4413" s="10">
        <v>101.61290322580641</v>
      </c>
      <c r="L4413" s="4"/>
      <c r="M4413" s="4">
        <v>4408</v>
      </c>
    </row>
    <row r="4414" spans="1:13" x14ac:dyDescent="0.25">
      <c r="A4414" s="4" t="s">
        <v>4331</v>
      </c>
      <c r="B4414" s="4" t="s">
        <v>4332</v>
      </c>
      <c r="C4414" s="4" t="s">
        <v>68</v>
      </c>
      <c r="D4414" s="10">
        <v>43</v>
      </c>
      <c r="E4414" s="11" t="s">
        <v>51</v>
      </c>
      <c r="F4414" s="10"/>
      <c r="G4414" s="10">
        <v>0</v>
      </c>
      <c r="H4414" s="10">
        <f t="shared" si="68"/>
        <v>0</v>
      </c>
      <c r="I4414" s="10"/>
      <c r="J4414" s="10"/>
      <c r="K4414" s="10"/>
      <c r="L4414" s="4" t="s">
        <v>69</v>
      </c>
      <c r="M4414" s="4">
        <v>4409</v>
      </c>
    </row>
    <row r="4415" spans="1:13" x14ac:dyDescent="0.25">
      <c r="A4415" s="4" t="s">
        <v>4333</v>
      </c>
      <c r="B4415" s="4" t="s">
        <v>4332</v>
      </c>
      <c r="C4415" s="4" t="s">
        <v>68</v>
      </c>
      <c r="D4415" s="10">
        <v>67</v>
      </c>
      <c r="E4415" s="11" t="s">
        <v>51</v>
      </c>
      <c r="F4415" s="10">
        <v>5500</v>
      </c>
      <c r="G4415" s="10">
        <v>0</v>
      </c>
      <c r="H4415" s="10">
        <f t="shared" si="68"/>
        <v>5500</v>
      </c>
      <c r="I4415" s="10"/>
      <c r="J4415" s="10"/>
      <c r="K4415" s="10"/>
      <c r="L4415" s="4" t="s">
        <v>69</v>
      </c>
      <c r="M4415" s="4">
        <v>4410</v>
      </c>
    </row>
    <row r="4416" spans="1:13" x14ac:dyDescent="0.25">
      <c r="A4416" s="4" t="s">
        <v>4334</v>
      </c>
      <c r="B4416" s="4" t="s">
        <v>846</v>
      </c>
      <c r="C4416" s="4" t="s">
        <v>65</v>
      </c>
      <c r="D4416" s="10">
        <v>173</v>
      </c>
      <c r="E4416" s="12" t="s">
        <v>66</v>
      </c>
      <c r="F4416" s="10">
        <v>2750</v>
      </c>
      <c r="G4416" s="10">
        <v>0</v>
      </c>
      <c r="H4416" s="10">
        <f t="shared" si="68"/>
        <v>2750</v>
      </c>
      <c r="I4416" s="10">
        <v>114.5833333333333</v>
      </c>
      <c r="J4416" s="10">
        <v>114.5833333333333</v>
      </c>
      <c r="K4416" s="10">
        <v>114.5833333333333</v>
      </c>
      <c r="L4416" s="4"/>
      <c r="M4416" s="4">
        <v>4411</v>
      </c>
    </row>
    <row r="4417" spans="1:13" x14ac:dyDescent="0.25">
      <c r="A4417" s="4" t="s">
        <v>4335</v>
      </c>
      <c r="B4417" s="4" t="s">
        <v>4336</v>
      </c>
      <c r="C4417" s="4" t="s">
        <v>65</v>
      </c>
      <c r="D4417" s="10">
        <v>7</v>
      </c>
      <c r="E4417" s="12" t="s">
        <v>66</v>
      </c>
      <c r="F4417" s="10">
        <v>1124.2</v>
      </c>
      <c r="G4417" s="10">
        <v>0</v>
      </c>
      <c r="H4417" s="10">
        <f t="shared" si="68"/>
        <v>1124.2</v>
      </c>
      <c r="I4417" s="10">
        <v>160.6</v>
      </c>
      <c r="J4417" s="10">
        <v>160.6</v>
      </c>
      <c r="K4417" s="10">
        <v>160.6</v>
      </c>
      <c r="L4417" s="4"/>
      <c r="M4417" s="4">
        <v>4412</v>
      </c>
    </row>
    <row r="4418" spans="1:13" x14ac:dyDescent="0.25">
      <c r="A4418" s="4" t="s">
        <v>4335</v>
      </c>
      <c r="B4418" s="4" t="s">
        <v>4337</v>
      </c>
      <c r="C4418" s="4" t="s">
        <v>65</v>
      </c>
      <c r="D4418" s="10">
        <v>96</v>
      </c>
      <c r="E4418" s="12" t="s">
        <v>66</v>
      </c>
      <c r="F4418" s="10">
        <v>12366.16</v>
      </c>
      <c r="G4418" s="10">
        <v>0</v>
      </c>
      <c r="H4418" s="10">
        <f t="shared" si="68"/>
        <v>12366.16</v>
      </c>
      <c r="I4418" s="10">
        <v>128.81416666666669</v>
      </c>
      <c r="J4418" s="10">
        <v>128.81416666666669</v>
      </c>
      <c r="K4418" s="10">
        <v>128.81416666666669</v>
      </c>
      <c r="L4418" s="4"/>
      <c r="M4418" s="4">
        <v>4413</v>
      </c>
    </row>
    <row r="4419" spans="1:13" x14ac:dyDescent="0.25">
      <c r="A4419" s="4" t="s">
        <v>4335</v>
      </c>
      <c r="B4419" s="4" t="s">
        <v>4338</v>
      </c>
      <c r="C4419" s="4" t="s">
        <v>65</v>
      </c>
      <c r="D4419" s="10">
        <v>27</v>
      </c>
      <c r="E4419" s="12" t="s">
        <v>66</v>
      </c>
      <c r="F4419" s="10">
        <v>3934.69</v>
      </c>
      <c r="G4419" s="10">
        <v>0</v>
      </c>
      <c r="H4419" s="10">
        <f t="shared" si="68"/>
        <v>3934.69</v>
      </c>
      <c r="I4419" s="10">
        <v>145.72925925925929</v>
      </c>
      <c r="J4419" s="10">
        <v>145.72925925925929</v>
      </c>
      <c r="K4419" s="10">
        <v>145.72925925925929</v>
      </c>
      <c r="L4419" s="4"/>
      <c r="M4419" s="4">
        <v>4414</v>
      </c>
    </row>
    <row r="4420" spans="1:13" x14ac:dyDescent="0.25">
      <c r="A4420" s="4" t="s">
        <v>4335</v>
      </c>
      <c r="B4420" s="4" t="s">
        <v>4339</v>
      </c>
      <c r="C4420" s="4" t="s">
        <v>65</v>
      </c>
      <c r="D4420" s="10">
        <v>19</v>
      </c>
      <c r="E4420" s="12" t="s">
        <v>66</v>
      </c>
      <c r="F4420" s="10">
        <v>2810.5</v>
      </c>
      <c r="G4420" s="10">
        <v>0</v>
      </c>
      <c r="H4420" s="10">
        <f t="shared" si="68"/>
        <v>2810.5</v>
      </c>
      <c r="I4420" s="10">
        <v>147.92105263157899</v>
      </c>
      <c r="J4420" s="10">
        <v>147.92105263157899</v>
      </c>
      <c r="K4420" s="10">
        <v>147.92105263157899</v>
      </c>
      <c r="L4420" s="4"/>
      <c r="M4420" s="4">
        <v>4415</v>
      </c>
    </row>
    <row r="4421" spans="1:13" x14ac:dyDescent="0.25">
      <c r="A4421" s="4" t="s">
        <v>4335</v>
      </c>
      <c r="B4421" s="4" t="s">
        <v>4340</v>
      </c>
      <c r="C4421" s="9" t="s">
        <v>50</v>
      </c>
      <c r="D4421" s="10">
        <v>10</v>
      </c>
      <c r="E4421" s="11" t="s">
        <v>51</v>
      </c>
      <c r="F4421" s="10"/>
      <c r="G4421" s="10">
        <v>0</v>
      </c>
      <c r="H4421" s="10">
        <f t="shared" si="68"/>
        <v>0</v>
      </c>
      <c r="I4421" s="10"/>
      <c r="J4421" s="10"/>
      <c r="K4421" s="10"/>
      <c r="L4421" s="4" t="s">
        <v>52</v>
      </c>
      <c r="M4421" s="4">
        <v>4416</v>
      </c>
    </row>
    <row r="4422" spans="1:13" x14ac:dyDescent="0.25">
      <c r="A4422" s="4" t="s">
        <v>4341</v>
      </c>
      <c r="B4422" s="4" t="s">
        <v>4342</v>
      </c>
      <c r="C4422" s="4" t="s">
        <v>68</v>
      </c>
      <c r="D4422" s="10">
        <v>30</v>
      </c>
      <c r="E4422" s="11" t="s">
        <v>51</v>
      </c>
      <c r="F4422" s="10">
        <v>1200</v>
      </c>
      <c r="G4422" s="10">
        <v>0</v>
      </c>
      <c r="H4422" s="10">
        <f t="shared" ref="H4422:H4485" si="69">F4422-G4422</f>
        <v>1200</v>
      </c>
      <c r="I4422" s="10"/>
      <c r="J4422" s="10"/>
      <c r="K4422" s="10"/>
      <c r="L4422" s="4" t="s">
        <v>69</v>
      </c>
      <c r="M4422" s="4">
        <v>4417</v>
      </c>
    </row>
    <row r="4423" spans="1:13" x14ac:dyDescent="0.25">
      <c r="A4423" s="4" t="s">
        <v>4343</v>
      </c>
      <c r="B4423" s="4" t="s">
        <v>4344</v>
      </c>
      <c r="C4423" s="4" t="s">
        <v>68</v>
      </c>
      <c r="D4423" s="10">
        <v>44</v>
      </c>
      <c r="E4423" s="11" t="s">
        <v>51</v>
      </c>
      <c r="F4423" s="10">
        <v>2400</v>
      </c>
      <c r="G4423" s="10">
        <v>0</v>
      </c>
      <c r="H4423" s="10">
        <f t="shared" si="69"/>
        <v>2400</v>
      </c>
      <c r="I4423" s="10"/>
      <c r="J4423" s="10"/>
      <c r="K4423" s="10"/>
      <c r="L4423" s="4" t="s">
        <v>69</v>
      </c>
      <c r="M4423" s="4">
        <v>4418</v>
      </c>
    </row>
    <row r="4424" spans="1:13" x14ac:dyDescent="0.25">
      <c r="A4424" s="4" t="s">
        <v>4345</v>
      </c>
      <c r="B4424" s="4" t="s">
        <v>4346</v>
      </c>
      <c r="C4424" s="4" t="s">
        <v>65</v>
      </c>
      <c r="D4424" s="10">
        <v>60</v>
      </c>
      <c r="E4424" s="12" t="s">
        <v>66</v>
      </c>
      <c r="F4424" s="10">
        <v>3200</v>
      </c>
      <c r="G4424" s="10">
        <v>0</v>
      </c>
      <c r="H4424" s="10">
        <f t="shared" si="69"/>
        <v>3200</v>
      </c>
      <c r="I4424" s="10">
        <v>133.33333333333329</v>
      </c>
      <c r="J4424" s="10">
        <v>133.33333333333329</v>
      </c>
      <c r="K4424" s="10">
        <v>133.33333333333329</v>
      </c>
      <c r="L4424" s="4"/>
      <c r="M4424" s="4">
        <v>4419</v>
      </c>
    </row>
    <row r="4425" spans="1:13" x14ac:dyDescent="0.25">
      <c r="A4425" s="4" t="s">
        <v>4347</v>
      </c>
      <c r="B4425" s="4" t="s">
        <v>4348</v>
      </c>
      <c r="C4425" s="9" t="s">
        <v>50</v>
      </c>
      <c r="D4425" s="10">
        <v>36</v>
      </c>
      <c r="E4425" s="11" t="s">
        <v>51</v>
      </c>
      <c r="F4425" s="10">
        <v>4800</v>
      </c>
      <c r="G4425" s="10">
        <v>0</v>
      </c>
      <c r="H4425" s="10">
        <f t="shared" si="69"/>
        <v>4800</v>
      </c>
      <c r="I4425" s="10"/>
      <c r="J4425" s="10"/>
      <c r="K4425" s="10"/>
      <c r="L4425" s="4" t="s">
        <v>52</v>
      </c>
      <c r="M4425" s="4">
        <v>4420</v>
      </c>
    </row>
    <row r="4426" spans="1:13" x14ac:dyDescent="0.25">
      <c r="A4426" s="4" t="s">
        <v>4347</v>
      </c>
      <c r="B4426" s="4" t="s">
        <v>4209</v>
      </c>
      <c r="C4426" s="4" t="s">
        <v>68</v>
      </c>
      <c r="D4426" s="10"/>
      <c r="E4426" s="11" t="s">
        <v>51</v>
      </c>
      <c r="F4426" s="10"/>
      <c r="G4426" s="10">
        <v>0</v>
      </c>
      <c r="H4426" s="10">
        <f t="shared" si="69"/>
        <v>0</v>
      </c>
      <c r="I4426" s="10"/>
      <c r="J4426" s="10"/>
      <c r="K4426" s="10"/>
      <c r="L4426" s="4" t="s">
        <v>69</v>
      </c>
      <c r="M4426" s="4">
        <v>4421</v>
      </c>
    </row>
    <row r="4427" spans="1:13" x14ac:dyDescent="0.25">
      <c r="A4427" s="4" t="s">
        <v>4347</v>
      </c>
      <c r="B4427" s="4" t="s">
        <v>4210</v>
      </c>
      <c r="C4427" s="4" t="s">
        <v>68</v>
      </c>
      <c r="D4427" s="10">
        <v>163.5</v>
      </c>
      <c r="E4427" s="11" t="s">
        <v>51</v>
      </c>
      <c r="F4427" s="10"/>
      <c r="G4427" s="10">
        <v>0</v>
      </c>
      <c r="H4427" s="10">
        <f t="shared" si="69"/>
        <v>0</v>
      </c>
      <c r="I4427" s="10"/>
      <c r="J4427" s="10"/>
      <c r="K4427" s="10"/>
      <c r="L4427" s="4" t="s">
        <v>69</v>
      </c>
      <c r="M4427" s="4">
        <v>4422</v>
      </c>
    </row>
    <row r="4428" spans="1:13" x14ac:dyDescent="0.25">
      <c r="A4428" s="4" t="s">
        <v>4349</v>
      </c>
      <c r="B4428" s="4" t="s">
        <v>3903</v>
      </c>
      <c r="C4428" s="4" t="s">
        <v>65</v>
      </c>
      <c r="D4428" s="10">
        <v>2</v>
      </c>
      <c r="E4428" s="12" t="s">
        <v>66</v>
      </c>
      <c r="F4428" s="10">
        <v>300</v>
      </c>
      <c r="G4428" s="10">
        <v>0</v>
      </c>
      <c r="H4428" s="10">
        <f t="shared" si="69"/>
        <v>300</v>
      </c>
      <c r="I4428" s="10">
        <v>150</v>
      </c>
      <c r="J4428" s="10">
        <v>150</v>
      </c>
      <c r="K4428" s="10">
        <v>150</v>
      </c>
      <c r="L4428" s="4"/>
      <c r="M4428" s="4">
        <v>4423</v>
      </c>
    </row>
    <row r="4429" spans="1:13" x14ac:dyDescent="0.25">
      <c r="A4429" s="4" t="s">
        <v>4349</v>
      </c>
      <c r="B4429" s="4" t="s">
        <v>3904</v>
      </c>
      <c r="C4429" s="4" t="s">
        <v>65</v>
      </c>
      <c r="D4429" s="10">
        <v>31.5</v>
      </c>
      <c r="E4429" s="12" t="s">
        <v>66</v>
      </c>
      <c r="F4429" s="10">
        <v>4700</v>
      </c>
      <c r="G4429" s="10">
        <v>0</v>
      </c>
      <c r="H4429" s="10">
        <f t="shared" si="69"/>
        <v>4700</v>
      </c>
      <c r="I4429" s="10">
        <v>149.20634920634919</v>
      </c>
      <c r="J4429" s="10">
        <v>149.20634920634919</v>
      </c>
      <c r="K4429" s="10">
        <v>149.20634920634919</v>
      </c>
      <c r="L4429" s="4"/>
      <c r="M4429" s="4">
        <v>4424</v>
      </c>
    </row>
    <row r="4430" spans="1:13" x14ac:dyDescent="0.25">
      <c r="A4430" s="4" t="s">
        <v>4349</v>
      </c>
      <c r="B4430" s="4" t="s">
        <v>4350</v>
      </c>
      <c r="C4430" s="4" t="s">
        <v>65</v>
      </c>
      <c r="D4430" s="10">
        <v>8</v>
      </c>
      <c r="E4430" s="12" t="s">
        <v>66</v>
      </c>
      <c r="F4430" s="10">
        <v>1000</v>
      </c>
      <c r="G4430" s="10">
        <v>0</v>
      </c>
      <c r="H4430" s="10">
        <f t="shared" si="69"/>
        <v>1000</v>
      </c>
      <c r="I4430" s="10">
        <v>125</v>
      </c>
      <c r="J4430" s="10">
        <v>125</v>
      </c>
      <c r="K4430" s="10">
        <v>125</v>
      </c>
      <c r="L4430" s="4"/>
      <c r="M4430" s="4">
        <v>4425</v>
      </c>
    </row>
    <row r="4431" spans="1:13" x14ac:dyDescent="0.25">
      <c r="A4431" s="4" t="s">
        <v>4349</v>
      </c>
      <c r="B4431" s="4" t="s">
        <v>3905</v>
      </c>
      <c r="C4431" s="4" t="s">
        <v>65</v>
      </c>
      <c r="D4431" s="10">
        <v>40</v>
      </c>
      <c r="E4431" s="12" t="s">
        <v>66</v>
      </c>
      <c r="F4431" s="10">
        <v>5950</v>
      </c>
      <c r="G4431" s="10">
        <v>0</v>
      </c>
      <c r="H4431" s="10">
        <f t="shared" si="69"/>
        <v>5950</v>
      </c>
      <c r="I4431" s="10">
        <v>148.75</v>
      </c>
      <c r="J4431" s="10">
        <v>148.75</v>
      </c>
      <c r="K4431" s="10">
        <v>148.75</v>
      </c>
      <c r="L4431" s="4"/>
      <c r="M4431" s="4">
        <v>4426</v>
      </c>
    </row>
    <row r="4432" spans="1:13" x14ac:dyDescent="0.25">
      <c r="A4432" s="4" t="s">
        <v>4349</v>
      </c>
      <c r="B4432" s="4" t="s">
        <v>3906</v>
      </c>
      <c r="C4432" s="4" t="s">
        <v>65</v>
      </c>
      <c r="D4432" s="10">
        <v>35.5</v>
      </c>
      <c r="E4432" s="12" t="s">
        <v>66</v>
      </c>
      <c r="F4432" s="10">
        <v>5250</v>
      </c>
      <c r="G4432" s="10">
        <v>0</v>
      </c>
      <c r="H4432" s="10">
        <f t="shared" si="69"/>
        <v>5250</v>
      </c>
      <c r="I4432" s="10">
        <v>147.88732394366201</v>
      </c>
      <c r="J4432" s="10">
        <v>147.88732394366201</v>
      </c>
      <c r="K4432" s="10">
        <v>147.88732394366201</v>
      </c>
      <c r="L4432" s="4"/>
      <c r="M4432" s="4">
        <v>4427</v>
      </c>
    </row>
    <row r="4433" spans="1:13" x14ac:dyDescent="0.25">
      <c r="A4433" s="4" t="s">
        <v>4349</v>
      </c>
      <c r="B4433" s="4" t="s">
        <v>2571</v>
      </c>
      <c r="C4433" s="4" t="s">
        <v>65</v>
      </c>
      <c r="D4433" s="10">
        <v>42.5</v>
      </c>
      <c r="E4433" s="12" t="s">
        <v>66</v>
      </c>
      <c r="F4433" s="10">
        <v>6300</v>
      </c>
      <c r="G4433" s="10">
        <v>0</v>
      </c>
      <c r="H4433" s="10">
        <f t="shared" si="69"/>
        <v>6300</v>
      </c>
      <c r="I4433" s="10">
        <v>148.2352941176471</v>
      </c>
      <c r="J4433" s="10">
        <v>148.2352941176471</v>
      </c>
      <c r="K4433" s="10">
        <v>148.2352941176471</v>
      </c>
      <c r="L4433" s="4"/>
      <c r="M4433" s="4">
        <v>4428</v>
      </c>
    </row>
    <row r="4434" spans="1:13" x14ac:dyDescent="0.25">
      <c r="A4434" s="4" t="s">
        <v>4349</v>
      </c>
      <c r="B4434" s="4" t="s">
        <v>4351</v>
      </c>
      <c r="C4434" s="4" t="s">
        <v>68</v>
      </c>
      <c r="D4434" s="10">
        <v>53</v>
      </c>
      <c r="E4434" s="11" t="s">
        <v>51</v>
      </c>
      <c r="F4434" s="10">
        <v>500</v>
      </c>
      <c r="G4434" s="10">
        <v>0</v>
      </c>
      <c r="H4434" s="10">
        <f t="shared" si="69"/>
        <v>500</v>
      </c>
      <c r="I4434" s="10"/>
      <c r="J4434" s="10"/>
      <c r="K4434" s="10"/>
      <c r="L4434" s="4" t="s">
        <v>69</v>
      </c>
      <c r="M4434" s="4">
        <v>4429</v>
      </c>
    </row>
    <row r="4435" spans="1:13" x14ac:dyDescent="0.25">
      <c r="A4435" s="4" t="s">
        <v>4352</v>
      </c>
      <c r="B4435" s="4" t="s">
        <v>4353</v>
      </c>
      <c r="C4435" s="4" t="s">
        <v>65</v>
      </c>
      <c r="D4435" s="10">
        <v>76</v>
      </c>
      <c r="E4435" s="12" t="s">
        <v>66</v>
      </c>
      <c r="F4435" s="10">
        <v>6150</v>
      </c>
      <c r="G4435" s="10">
        <v>0</v>
      </c>
      <c r="H4435" s="10">
        <f t="shared" si="69"/>
        <v>6150</v>
      </c>
      <c r="I4435" s="10">
        <v>125.51020408163269</v>
      </c>
      <c r="J4435" s="10">
        <v>125.51020408163269</v>
      </c>
      <c r="K4435" s="10">
        <v>125.51020408163269</v>
      </c>
      <c r="L4435" s="4"/>
      <c r="M4435" s="4">
        <v>4430</v>
      </c>
    </row>
    <row r="4436" spans="1:13" x14ac:dyDescent="0.25">
      <c r="A4436" s="4" t="s">
        <v>4354</v>
      </c>
      <c r="B4436" s="4" t="s">
        <v>4355</v>
      </c>
      <c r="C4436" s="4" t="s">
        <v>65</v>
      </c>
      <c r="D4436" s="10">
        <v>33</v>
      </c>
      <c r="E4436" s="12" t="s">
        <v>66</v>
      </c>
      <c r="F4436" s="10">
        <v>3110</v>
      </c>
      <c r="G4436" s="10">
        <v>0</v>
      </c>
      <c r="H4436" s="10">
        <f t="shared" si="69"/>
        <v>3110</v>
      </c>
      <c r="I4436" s="10">
        <v>115.1851851851852</v>
      </c>
      <c r="J4436" s="10">
        <v>115.1851851851852</v>
      </c>
      <c r="K4436" s="10">
        <v>115.1851851851852</v>
      </c>
      <c r="L4436" s="4"/>
      <c r="M4436" s="4">
        <v>4431</v>
      </c>
    </row>
    <row r="4437" spans="1:13" x14ac:dyDescent="0.25">
      <c r="A4437" s="4" t="s">
        <v>4356</v>
      </c>
      <c r="B4437" s="4" t="s">
        <v>4357</v>
      </c>
      <c r="C4437" s="4" t="s">
        <v>65</v>
      </c>
      <c r="D4437" s="10">
        <v>36</v>
      </c>
      <c r="E4437" s="12" t="s">
        <v>66</v>
      </c>
      <c r="F4437" s="10">
        <v>560</v>
      </c>
      <c r="G4437" s="10">
        <v>0</v>
      </c>
      <c r="H4437" s="10">
        <f t="shared" si="69"/>
        <v>560</v>
      </c>
      <c r="I4437" s="10">
        <v>93.333333333333329</v>
      </c>
      <c r="J4437" s="10">
        <v>93.333333333333329</v>
      </c>
      <c r="K4437" s="10">
        <v>93.333333333333329</v>
      </c>
      <c r="L4437" s="4"/>
      <c r="M4437" s="4">
        <v>4432</v>
      </c>
    </row>
    <row r="4438" spans="1:13" x14ac:dyDescent="0.25">
      <c r="A4438" s="4" t="s">
        <v>4358</v>
      </c>
      <c r="B4438" s="4" t="s">
        <v>4359</v>
      </c>
      <c r="C4438" s="4" t="s">
        <v>68</v>
      </c>
      <c r="D4438" s="10">
        <v>89</v>
      </c>
      <c r="E4438" s="11" t="s">
        <v>51</v>
      </c>
      <c r="F4438" s="10">
        <v>3450</v>
      </c>
      <c r="G4438" s="10">
        <v>0</v>
      </c>
      <c r="H4438" s="10">
        <f t="shared" si="69"/>
        <v>3450</v>
      </c>
      <c r="I4438" s="10"/>
      <c r="J4438" s="10"/>
      <c r="K4438" s="10"/>
      <c r="L4438" s="4" t="s">
        <v>69</v>
      </c>
      <c r="M4438" s="4">
        <v>4433</v>
      </c>
    </row>
    <row r="4439" spans="1:13" x14ac:dyDescent="0.25">
      <c r="A4439" s="4" t="s">
        <v>4360</v>
      </c>
      <c r="B4439" s="4" t="s">
        <v>4361</v>
      </c>
      <c r="C4439" s="4" t="s">
        <v>68</v>
      </c>
      <c r="D4439" s="10">
        <v>19</v>
      </c>
      <c r="E4439" s="11" t="s">
        <v>51</v>
      </c>
      <c r="F4439" s="10">
        <v>2090</v>
      </c>
      <c r="G4439" s="10">
        <v>0</v>
      </c>
      <c r="H4439" s="10">
        <f t="shared" si="69"/>
        <v>2090</v>
      </c>
      <c r="I4439" s="10"/>
      <c r="J4439" s="10"/>
      <c r="K4439" s="10"/>
      <c r="L4439" s="4" t="s">
        <v>69</v>
      </c>
      <c r="M4439" s="4">
        <v>4434</v>
      </c>
    </row>
    <row r="4440" spans="1:13" x14ac:dyDescent="0.25">
      <c r="A4440" s="4" t="s">
        <v>4360</v>
      </c>
      <c r="B4440" s="4" t="s">
        <v>4362</v>
      </c>
      <c r="C4440" s="4" t="s">
        <v>65</v>
      </c>
      <c r="D4440" s="10">
        <v>87</v>
      </c>
      <c r="E4440" s="12" t="s">
        <v>66</v>
      </c>
      <c r="F4440" s="10">
        <v>4550</v>
      </c>
      <c r="G4440" s="10">
        <v>0</v>
      </c>
      <c r="H4440" s="10">
        <f t="shared" si="69"/>
        <v>4550</v>
      </c>
      <c r="I4440" s="10">
        <v>113.75</v>
      </c>
      <c r="J4440" s="10">
        <v>113.75</v>
      </c>
      <c r="K4440" s="10">
        <v>113.75</v>
      </c>
      <c r="L4440" s="4"/>
      <c r="M4440" s="4">
        <v>4435</v>
      </c>
    </row>
    <row r="4441" spans="1:13" x14ac:dyDescent="0.25">
      <c r="A4441" s="4" t="s">
        <v>4363</v>
      </c>
      <c r="B4441" s="4" t="s">
        <v>4361</v>
      </c>
      <c r="C4441" s="4" t="s">
        <v>68</v>
      </c>
      <c r="D4441" s="10">
        <v>20</v>
      </c>
      <c r="E4441" s="11" t="s">
        <v>51</v>
      </c>
      <c r="F4441" s="10">
        <v>2200</v>
      </c>
      <c r="G4441" s="10">
        <v>0</v>
      </c>
      <c r="H4441" s="10">
        <f t="shared" si="69"/>
        <v>2200</v>
      </c>
      <c r="I4441" s="10"/>
      <c r="J4441" s="10"/>
      <c r="K4441" s="10"/>
      <c r="L4441" s="4" t="s">
        <v>69</v>
      </c>
      <c r="M4441" s="4">
        <v>4436</v>
      </c>
    </row>
    <row r="4442" spans="1:13" x14ac:dyDescent="0.25">
      <c r="A4442" s="4" t="s">
        <v>4363</v>
      </c>
      <c r="B4442" s="4" t="s">
        <v>4362</v>
      </c>
      <c r="C4442" s="4" t="s">
        <v>65</v>
      </c>
      <c r="D4442" s="10">
        <v>40.5</v>
      </c>
      <c r="E4442" s="12" t="s">
        <v>66</v>
      </c>
      <c r="F4442" s="10">
        <v>3100</v>
      </c>
      <c r="G4442" s="10">
        <v>0</v>
      </c>
      <c r="H4442" s="10">
        <f t="shared" si="69"/>
        <v>3100</v>
      </c>
      <c r="I4442" s="10">
        <v>114.8148148148148</v>
      </c>
      <c r="J4442" s="10">
        <v>114.8148148148148</v>
      </c>
      <c r="K4442" s="10">
        <v>114.8148148148148</v>
      </c>
      <c r="L4442" s="4"/>
      <c r="M4442" s="4">
        <v>4437</v>
      </c>
    </row>
    <row r="4443" spans="1:13" x14ac:dyDescent="0.25">
      <c r="A4443" s="4" t="s">
        <v>4364</v>
      </c>
      <c r="B4443" s="4" t="s">
        <v>4365</v>
      </c>
      <c r="C4443" s="4" t="s">
        <v>65</v>
      </c>
      <c r="D4443" s="10">
        <v>5.5</v>
      </c>
      <c r="E4443" s="12" t="s">
        <v>66</v>
      </c>
      <c r="F4443" s="10">
        <v>450</v>
      </c>
      <c r="G4443" s="10">
        <v>0</v>
      </c>
      <c r="H4443" s="10">
        <f t="shared" si="69"/>
        <v>450</v>
      </c>
      <c r="I4443" s="10">
        <v>81.818181818181813</v>
      </c>
      <c r="J4443" s="10">
        <v>81.818181818181813</v>
      </c>
      <c r="K4443" s="10">
        <v>81.818181818181813</v>
      </c>
      <c r="L4443" s="4"/>
      <c r="M4443" s="4">
        <v>4438</v>
      </c>
    </row>
    <row r="4444" spans="1:13" x14ac:dyDescent="0.25">
      <c r="A4444" s="4" t="s">
        <v>4364</v>
      </c>
      <c r="B4444" s="4" t="s">
        <v>4366</v>
      </c>
      <c r="C4444" s="4" t="s">
        <v>65</v>
      </c>
      <c r="D4444" s="10">
        <v>65.5</v>
      </c>
      <c r="E4444" s="12" t="s">
        <v>66</v>
      </c>
      <c r="F4444" s="10">
        <v>450</v>
      </c>
      <c r="G4444" s="10">
        <v>0</v>
      </c>
      <c r="H4444" s="10">
        <f t="shared" si="69"/>
        <v>450</v>
      </c>
      <c r="I4444" s="10">
        <v>56.25</v>
      </c>
      <c r="J4444" s="10">
        <v>56.25</v>
      </c>
      <c r="K4444" s="10">
        <v>56.25</v>
      </c>
      <c r="L4444" s="4"/>
      <c r="M4444" s="4">
        <v>4439</v>
      </c>
    </row>
    <row r="4445" spans="1:13" x14ac:dyDescent="0.25">
      <c r="A4445" s="4" t="s">
        <v>4367</v>
      </c>
      <c r="B4445" s="4" t="s">
        <v>4368</v>
      </c>
      <c r="C4445" s="4" t="s">
        <v>65</v>
      </c>
      <c r="D4445" s="10">
        <v>9.5</v>
      </c>
      <c r="E4445" s="12" t="s">
        <v>66</v>
      </c>
      <c r="F4445" s="10">
        <v>1200</v>
      </c>
      <c r="G4445" s="10">
        <v>0</v>
      </c>
      <c r="H4445" s="10">
        <f t="shared" si="69"/>
        <v>1200</v>
      </c>
      <c r="I4445" s="10">
        <v>126.31578947368421</v>
      </c>
      <c r="J4445" s="10">
        <v>126.31578947368421</v>
      </c>
      <c r="K4445" s="10">
        <v>126.31578947368421</v>
      </c>
      <c r="L4445" s="4"/>
      <c r="M4445" s="4">
        <v>4440</v>
      </c>
    </row>
    <row r="4446" spans="1:13" x14ac:dyDescent="0.25">
      <c r="A4446" s="4" t="s">
        <v>4367</v>
      </c>
      <c r="B4446" s="4" t="s">
        <v>4369</v>
      </c>
      <c r="C4446" s="4" t="s">
        <v>65</v>
      </c>
      <c r="D4446" s="10">
        <v>14</v>
      </c>
      <c r="E4446" s="12" t="s">
        <v>66</v>
      </c>
      <c r="F4446" s="10">
        <v>1800</v>
      </c>
      <c r="G4446" s="10">
        <v>0</v>
      </c>
      <c r="H4446" s="10">
        <f t="shared" si="69"/>
        <v>1800</v>
      </c>
      <c r="I4446" s="10">
        <v>128.57142857142861</v>
      </c>
      <c r="J4446" s="10">
        <v>128.57142857142861</v>
      </c>
      <c r="K4446" s="10">
        <v>128.57142857142861</v>
      </c>
      <c r="L4446" s="4"/>
      <c r="M4446" s="4">
        <v>4441</v>
      </c>
    </row>
    <row r="4447" spans="1:13" x14ac:dyDescent="0.25">
      <c r="A4447" s="4" t="s">
        <v>4367</v>
      </c>
      <c r="B4447" s="4" t="s">
        <v>4370</v>
      </c>
      <c r="C4447" s="4" t="s">
        <v>68</v>
      </c>
      <c r="D4447" s="10">
        <v>135</v>
      </c>
      <c r="E4447" s="11" t="s">
        <v>51</v>
      </c>
      <c r="F4447" s="10">
        <v>4220</v>
      </c>
      <c r="G4447" s="10">
        <v>0</v>
      </c>
      <c r="H4447" s="10">
        <f t="shared" si="69"/>
        <v>4220</v>
      </c>
      <c r="I4447" s="10"/>
      <c r="J4447" s="10"/>
      <c r="K4447" s="10"/>
      <c r="L4447" s="4" t="s">
        <v>69</v>
      </c>
      <c r="M4447" s="4">
        <v>4442</v>
      </c>
    </row>
    <row r="4448" spans="1:13" x14ac:dyDescent="0.25">
      <c r="A4448" s="4" t="s">
        <v>4371</v>
      </c>
      <c r="B4448" s="4" t="s">
        <v>3903</v>
      </c>
      <c r="C4448" s="4" t="s">
        <v>65</v>
      </c>
      <c r="D4448" s="10"/>
      <c r="E4448" s="11" t="s">
        <v>51</v>
      </c>
      <c r="F4448" s="10"/>
      <c r="G4448" s="10">
        <v>0</v>
      </c>
      <c r="H4448" s="10">
        <f t="shared" si="69"/>
        <v>0</v>
      </c>
      <c r="I4448" s="10"/>
      <c r="J4448" s="10"/>
      <c r="K4448" s="10"/>
      <c r="L4448" s="4" t="s">
        <v>69</v>
      </c>
      <c r="M4448" s="4">
        <v>4443</v>
      </c>
    </row>
    <row r="4449" spans="1:13" x14ac:dyDescent="0.25">
      <c r="A4449" s="4" t="s">
        <v>4371</v>
      </c>
      <c r="B4449" s="4" t="s">
        <v>3904</v>
      </c>
      <c r="C4449" s="4" t="s">
        <v>65</v>
      </c>
      <c r="D4449" s="10">
        <v>8</v>
      </c>
      <c r="E4449" s="12" t="s">
        <v>66</v>
      </c>
      <c r="F4449" s="10">
        <v>1150</v>
      </c>
      <c r="G4449" s="10">
        <v>0</v>
      </c>
      <c r="H4449" s="10">
        <f t="shared" si="69"/>
        <v>1150</v>
      </c>
      <c r="I4449" s="10">
        <v>143.75</v>
      </c>
      <c r="J4449" s="10">
        <v>143.75</v>
      </c>
      <c r="K4449" s="10">
        <v>143.75</v>
      </c>
      <c r="L4449" s="4"/>
      <c r="M4449" s="4">
        <v>4444</v>
      </c>
    </row>
    <row r="4450" spans="1:13" x14ac:dyDescent="0.25">
      <c r="A4450" s="4" t="s">
        <v>4371</v>
      </c>
      <c r="B4450" s="4" t="s">
        <v>3905</v>
      </c>
      <c r="C4450" s="4" t="s">
        <v>65</v>
      </c>
      <c r="D4450" s="10">
        <v>12</v>
      </c>
      <c r="E4450" s="12" t="s">
        <v>66</v>
      </c>
      <c r="F4450" s="10">
        <v>1750</v>
      </c>
      <c r="G4450" s="10">
        <v>0</v>
      </c>
      <c r="H4450" s="10">
        <f t="shared" si="69"/>
        <v>1750</v>
      </c>
      <c r="I4450" s="10">
        <v>145.83333333333329</v>
      </c>
      <c r="J4450" s="10">
        <v>145.83333333333329</v>
      </c>
      <c r="K4450" s="10">
        <v>145.83333333333329</v>
      </c>
      <c r="L4450" s="4"/>
      <c r="M4450" s="4">
        <v>4445</v>
      </c>
    </row>
    <row r="4451" spans="1:13" x14ac:dyDescent="0.25">
      <c r="A4451" s="4" t="s">
        <v>4371</v>
      </c>
      <c r="B4451" s="4" t="s">
        <v>3906</v>
      </c>
      <c r="C4451" s="4" t="s">
        <v>65</v>
      </c>
      <c r="D4451" s="10">
        <v>44</v>
      </c>
      <c r="E4451" s="12" t="s">
        <v>66</v>
      </c>
      <c r="F4451" s="10">
        <v>1500</v>
      </c>
      <c r="G4451" s="10">
        <v>0</v>
      </c>
      <c r="H4451" s="10">
        <f t="shared" si="69"/>
        <v>1500</v>
      </c>
      <c r="I4451" s="10">
        <v>68.181818181818187</v>
      </c>
      <c r="J4451" s="10">
        <v>68.181818181818187</v>
      </c>
      <c r="K4451" s="10">
        <v>68.181818181818187</v>
      </c>
      <c r="L4451" s="4"/>
      <c r="M4451" s="4">
        <v>4446</v>
      </c>
    </row>
    <row r="4452" spans="1:13" x14ac:dyDescent="0.25">
      <c r="A4452" s="4" t="s">
        <v>4371</v>
      </c>
      <c r="B4452" s="4" t="s">
        <v>4372</v>
      </c>
      <c r="C4452" s="9" t="s">
        <v>50</v>
      </c>
      <c r="D4452" s="10">
        <v>75</v>
      </c>
      <c r="E4452" s="11" t="s">
        <v>51</v>
      </c>
      <c r="F4452" s="10">
        <v>5100</v>
      </c>
      <c r="G4452" s="10">
        <v>0</v>
      </c>
      <c r="H4452" s="10">
        <f t="shared" si="69"/>
        <v>5100</v>
      </c>
      <c r="I4452" s="10"/>
      <c r="J4452" s="10"/>
      <c r="K4452" s="10"/>
      <c r="L4452" s="4" t="s">
        <v>52</v>
      </c>
      <c r="M4452" s="4">
        <v>4447</v>
      </c>
    </row>
    <row r="4453" spans="1:13" x14ac:dyDescent="0.25">
      <c r="A4453" s="4" t="s">
        <v>4373</v>
      </c>
      <c r="B4453" s="4" t="s">
        <v>846</v>
      </c>
      <c r="C4453" s="4" t="s">
        <v>65</v>
      </c>
      <c r="D4453" s="10">
        <v>47</v>
      </c>
      <c r="E4453" s="12" t="s">
        <v>66</v>
      </c>
      <c r="F4453" s="10">
        <v>2900</v>
      </c>
      <c r="G4453" s="10">
        <v>0</v>
      </c>
      <c r="H4453" s="10">
        <f t="shared" si="69"/>
        <v>2900</v>
      </c>
      <c r="I4453" s="10">
        <v>120.8333333333333</v>
      </c>
      <c r="J4453" s="10">
        <v>120.8333333333333</v>
      </c>
      <c r="K4453" s="10">
        <v>120.8333333333333</v>
      </c>
      <c r="L4453" s="4"/>
      <c r="M4453" s="4">
        <v>4448</v>
      </c>
    </row>
    <row r="4454" spans="1:13" x14ac:dyDescent="0.25">
      <c r="A4454" s="4" t="s">
        <v>4374</v>
      </c>
      <c r="B4454" s="4" t="s">
        <v>846</v>
      </c>
      <c r="C4454" s="4" t="s">
        <v>65</v>
      </c>
      <c r="D4454" s="10">
        <v>46</v>
      </c>
      <c r="E4454" s="12" t="s">
        <v>66</v>
      </c>
      <c r="F4454" s="10">
        <v>2550</v>
      </c>
      <c r="G4454" s="10">
        <v>0</v>
      </c>
      <c r="H4454" s="10">
        <f t="shared" si="69"/>
        <v>2550</v>
      </c>
      <c r="I4454" s="10">
        <v>110.8695652173913</v>
      </c>
      <c r="J4454" s="10">
        <v>110.8695652173913</v>
      </c>
      <c r="K4454" s="10">
        <v>110.8695652173913</v>
      </c>
      <c r="L4454" s="4"/>
      <c r="M4454" s="4">
        <v>4449</v>
      </c>
    </row>
    <row r="4455" spans="1:13" x14ac:dyDescent="0.25">
      <c r="A4455" s="4" t="s">
        <v>4375</v>
      </c>
      <c r="B4455" s="4" t="s">
        <v>846</v>
      </c>
      <c r="C4455" s="4" t="s">
        <v>65</v>
      </c>
      <c r="D4455" s="10">
        <v>47</v>
      </c>
      <c r="E4455" s="12" t="s">
        <v>66</v>
      </c>
      <c r="F4455" s="10">
        <v>2550</v>
      </c>
      <c r="G4455" s="10">
        <v>0</v>
      </c>
      <c r="H4455" s="10">
        <f t="shared" si="69"/>
        <v>2550</v>
      </c>
      <c r="I4455" s="10">
        <v>110.8695652173913</v>
      </c>
      <c r="J4455" s="10">
        <v>110.8695652173913</v>
      </c>
      <c r="K4455" s="10">
        <v>110.8695652173913</v>
      </c>
      <c r="L4455" s="4"/>
      <c r="M4455" s="4">
        <v>4450</v>
      </c>
    </row>
    <row r="4456" spans="1:13" x14ac:dyDescent="0.25">
      <c r="A4456" s="4" t="s">
        <v>4376</v>
      </c>
      <c r="B4456" s="4" t="s">
        <v>4377</v>
      </c>
      <c r="C4456" s="4" t="s">
        <v>68</v>
      </c>
      <c r="D4456" s="10">
        <v>16</v>
      </c>
      <c r="E4456" s="11" t="s">
        <v>51</v>
      </c>
      <c r="F4456" s="10">
        <v>1680</v>
      </c>
      <c r="G4456" s="10">
        <v>0</v>
      </c>
      <c r="H4456" s="10">
        <f t="shared" si="69"/>
        <v>1680</v>
      </c>
      <c r="I4456" s="10"/>
      <c r="J4456" s="10"/>
      <c r="K4456" s="10"/>
      <c r="L4456" s="4" t="s">
        <v>69</v>
      </c>
      <c r="M4456" s="4">
        <v>4451</v>
      </c>
    </row>
    <row r="4457" spans="1:13" x14ac:dyDescent="0.25">
      <c r="A4457" s="4" t="s">
        <v>4378</v>
      </c>
      <c r="B4457" s="4" t="s">
        <v>470</v>
      </c>
      <c r="C4457" s="4" t="s">
        <v>68</v>
      </c>
      <c r="D4457" s="10">
        <v>77</v>
      </c>
      <c r="E4457" s="11" t="s">
        <v>51</v>
      </c>
      <c r="F4457" s="10">
        <v>1920</v>
      </c>
      <c r="G4457" s="10">
        <v>0</v>
      </c>
      <c r="H4457" s="10">
        <f t="shared" si="69"/>
        <v>1920</v>
      </c>
      <c r="I4457" s="10"/>
      <c r="J4457" s="10"/>
      <c r="K4457" s="10"/>
      <c r="L4457" s="4" t="s">
        <v>69</v>
      </c>
      <c r="M4457" s="4">
        <v>4452</v>
      </c>
    </row>
    <row r="4458" spans="1:13" x14ac:dyDescent="0.25">
      <c r="A4458" s="4" t="s">
        <v>4379</v>
      </c>
      <c r="B4458" s="4" t="s">
        <v>4380</v>
      </c>
      <c r="C4458" s="4" t="s">
        <v>65</v>
      </c>
      <c r="D4458" s="10">
        <v>13</v>
      </c>
      <c r="E4458" s="12" t="s">
        <v>66</v>
      </c>
      <c r="F4458" s="10">
        <v>1600</v>
      </c>
      <c r="G4458" s="10">
        <v>0</v>
      </c>
      <c r="H4458" s="10">
        <f t="shared" si="69"/>
        <v>1600</v>
      </c>
      <c r="I4458" s="10">
        <v>123.07692307692309</v>
      </c>
      <c r="J4458" s="10">
        <v>123.07692307692309</v>
      </c>
      <c r="K4458" s="10">
        <v>123.07692307692309</v>
      </c>
      <c r="L4458" s="4"/>
      <c r="M4458" s="4">
        <v>4453</v>
      </c>
    </row>
    <row r="4459" spans="1:13" x14ac:dyDescent="0.25">
      <c r="A4459" s="4" t="s">
        <v>4379</v>
      </c>
      <c r="B4459" s="4" t="s">
        <v>4381</v>
      </c>
      <c r="C4459" s="4" t="s">
        <v>68</v>
      </c>
      <c r="D4459" s="10">
        <v>7</v>
      </c>
      <c r="E4459" s="11" t="s">
        <v>51</v>
      </c>
      <c r="F4459" s="10">
        <v>7360</v>
      </c>
      <c r="G4459" s="10">
        <v>0</v>
      </c>
      <c r="H4459" s="10">
        <f t="shared" si="69"/>
        <v>7360</v>
      </c>
      <c r="I4459" s="10"/>
      <c r="J4459" s="10"/>
      <c r="K4459" s="10"/>
      <c r="L4459" s="4" t="s">
        <v>69</v>
      </c>
      <c r="M4459" s="4">
        <v>4454</v>
      </c>
    </row>
    <row r="4460" spans="1:13" x14ac:dyDescent="0.25">
      <c r="A4460" s="4" t="s">
        <v>4382</v>
      </c>
      <c r="B4460" s="4" t="s">
        <v>4383</v>
      </c>
      <c r="C4460" s="4" t="s">
        <v>65</v>
      </c>
      <c r="D4460" s="10">
        <v>91</v>
      </c>
      <c r="E4460" s="12" t="s">
        <v>66</v>
      </c>
      <c r="F4460" s="10">
        <v>850</v>
      </c>
      <c r="G4460" s="10">
        <v>0</v>
      </c>
      <c r="H4460" s="10">
        <f t="shared" si="69"/>
        <v>850</v>
      </c>
      <c r="I4460" s="10">
        <v>121.4285714285714</v>
      </c>
      <c r="J4460" s="10">
        <v>121.4285714285714</v>
      </c>
      <c r="K4460" s="10">
        <v>121.4285714285714</v>
      </c>
      <c r="L4460" s="4"/>
      <c r="M4460" s="4">
        <v>4455</v>
      </c>
    </row>
    <row r="4461" spans="1:13" x14ac:dyDescent="0.25">
      <c r="A4461" s="4" t="s">
        <v>4384</v>
      </c>
      <c r="B4461" s="4" t="s">
        <v>3903</v>
      </c>
      <c r="C4461" s="4" t="s">
        <v>65</v>
      </c>
      <c r="D4461" s="10">
        <v>18</v>
      </c>
      <c r="E4461" s="12" t="s">
        <v>66</v>
      </c>
      <c r="F4461" s="10">
        <v>2700</v>
      </c>
      <c r="G4461" s="10">
        <v>0</v>
      </c>
      <c r="H4461" s="10">
        <f t="shared" si="69"/>
        <v>2700</v>
      </c>
      <c r="I4461" s="10">
        <v>150</v>
      </c>
      <c r="J4461" s="10">
        <v>150</v>
      </c>
      <c r="K4461" s="10">
        <v>150</v>
      </c>
      <c r="L4461" s="4"/>
      <c r="M4461" s="4">
        <v>4456</v>
      </c>
    </row>
    <row r="4462" spans="1:13" x14ac:dyDescent="0.25">
      <c r="A4462" s="4" t="s">
        <v>4384</v>
      </c>
      <c r="B4462" s="4" t="s">
        <v>3904</v>
      </c>
      <c r="C4462" s="4" t="s">
        <v>65</v>
      </c>
      <c r="D4462" s="10">
        <v>66</v>
      </c>
      <c r="E4462" s="12" t="s">
        <v>66</v>
      </c>
      <c r="F4462" s="10">
        <v>9200</v>
      </c>
      <c r="G4462" s="10">
        <v>0</v>
      </c>
      <c r="H4462" s="10">
        <f t="shared" si="69"/>
        <v>9200</v>
      </c>
      <c r="I4462" s="10">
        <v>139.39393939393941</v>
      </c>
      <c r="J4462" s="10">
        <v>139.39393939393941</v>
      </c>
      <c r="K4462" s="10">
        <v>139.39393939393941</v>
      </c>
      <c r="L4462" s="4"/>
      <c r="M4462" s="4">
        <v>4457</v>
      </c>
    </row>
    <row r="4463" spans="1:13" x14ac:dyDescent="0.25">
      <c r="A4463" s="4" t="s">
        <v>4384</v>
      </c>
      <c r="B4463" s="4" t="s">
        <v>3905</v>
      </c>
      <c r="C4463" s="4" t="s">
        <v>65</v>
      </c>
      <c r="D4463" s="10"/>
      <c r="E4463" s="11" t="s">
        <v>51</v>
      </c>
      <c r="F4463" s="10"/>
      <c r="G4463" s="10">
        <v>0</v>
      </c>
      <c r="H4463" s="10">
        <f t="shared" si="69"/>
        <v>0</v>
      </c>
      <c r="I4463" s="10"/>
      <c r="J4463" s="10"/>
      <c r="K4463" s="10"/>
      <c r="L4463" s="4" t="s">
        <v>69</v>
      </c>
      <c r="M4463" s="4">
        <v>4458</v>
      </c>
    </row>
    <row r="4464" spans="1:13" x14ac:dyDescent="0.25">
      <c r="A4464" s="4" t="s">
        <v>4384</v>
      </c>
      <c r="B4464" s="4" t="s">
        <v>3906</v>
      </c>
      <c r="C4464" s="4" t="s">
        <v>65</v>
      </c>
      <c r="D4464" s="10">
        <v>36</v>
      </c>
      <c r="E4464" s="11" t="s">
        <v>51</v>
      </c>
      <c r="F4464" s="10"/>
      <c r="G4464" s="10">
        <v>0</v>
      </c>
      <c r="H4464" s="10">
        <f t="shared" si="69"/>
        <v>0</v>
      </c>
      <c r="I4464" s="10"/>
      <c r="J4464" s="10"/>
      <c r="K4464" s="10"/>
      <c r="L4464" s="4" t="s">
        <v>69</v>
      </c>
      <c r="M4464" s="4">
        <v>4459</v>
      </c>
    </row>
    <row r="4465" spans="1:13" x14ac:dyDescent="0.25">
      <c r="A4465" s="4" t="s">
        <v>4385</v>
      </c>
      <c r="B4465" s="4" t="s">
        <v>3951</v>
      </c>
      <c r="C4465" s="4" t="s">
        <v>65</v>
      </c>
      <c r="D4465" s="10">
        <v>2229.66</v>
      </c>
      <c r="E4465" s="12" t="s">
        <v>66</v>
      </c>
      <c r="F4465" s="10">
        <v>4700</v>
      </c>
      <c r="G4465" s="10">
        <v>0</v>
      </c>
      <c r="H4465" s="10">
        <f t="shared" si="69"/>
        <v>4700</v>
      </c>
      <c r="I4465" s="10">
        <v>130.55555555555549</v>
      </c>
      <c r="J4465" s="10">
        <v>130.55555555555549</v>
      </c>
      <c r="K4465" s="10">
        <v>130.55555555555549</v>
      </c>
      <c r="L4465" s="4"/>
      <c r="M4465" s="4">
        <v>4460</v>
      </c>
    </row>
    <row r="4466" spans="1:13" x14ac:dyDescent="0.25">
      <c r="A4466" s="4" t="s">
        <v>4386</v>
      </c>
      <c r="B4466" s="4" t="s">
        <v>270</v>
      </c>
      <c r="C4466" s="9" t="s">
        <v>50</v>
      </c>
      <c r="D4466" s="10"/>
      <c r="E4466" s="11" t="s">
        <v>51</v>
      </c>
      <c r="F4466" s="10"/>
      <c r="G4466" s="10">
        <v>0</v>
      </c>
      <c r="H4466" s="10">
        <f t="shared" si="69"/>
        <v>0</v>
      </c>
      <c r="I4466" s="10"/>
      <c r="J4466" s="10"/>
      <c r="K4466" s="10"/>
      <c r="L4466" s="4" t="s">
        <v>52</v>
      </c>
      <c r="M4466" s="4">
        <v>4461</v>
      </c>
    </row>
    <row r="4467" spans="1:13" x14ac:dyDescent="0.25">
      <c r="A4467" s="4" t="s">
        <v>4386</v>
      </c>
      <c r="B4467" s="4" t="s">
        <v>3013</v>
      </c>
      <c r="C4467" s="9" t="s">
        <v>50</v>
      </c>
      <c r="D4467" s="10">
        <v>46.489999999999988</v>
      </c>
      <c r="E4467" s="11" t="s">
        <v>51</v>
      </c>
      <c r="F4467" s="10">
        <v>5769.84</v>
      </c>
      <c r="G4467" s="10">
        <v>0</v>
      </c>
      <c r="H4467" s="10">
        <f t="shared" si="69"/>
        <v>5769.84</v>
      </c>
      <c r="I4467" s="10"/>
      <c r="J4467" s="10"/>
      <c r="K4467" s="10"/>
      <c r="L4467" s="4" t="s">
        <v>52</v>
      </c>
      <c r="M4467" s="4">
        <v>4462</v>
      </c>
    </row>
    <row r="4468" spans="1:13" x14ac:dyDescent="0.25">
      <c r="A4468" s="4" t="s">
        <v>4386</v>
      </c>
      <c r="B4468" s="4" t="s">
        <v>3014</v>
      </c>
      <c r="C4468" s="9" t="s">
        <v>50</v>
      </c>
      <c r="D4468" s="10">
        <v>318.8</v>
      </c>
      <c r="E4468" s="11" t="s">
        <v>51</v>
      </c>
      <c r="F4468" s="10">
        <v>35629</v>
      </c>
      <c r="G4468" s="10">
        <v>0</v>
      </c>
      <c r="H4468" s="10">
        <f t="shared" si="69"/>
        <v>35629</v>
      </c>
      <c r="I4468" s="10"/>
      <c r="J4468" s="10"/>
      <c r="K4468" s="10"/>
      <c r="L4468" s="4" t="s">
        <v>52</v>
      </c>
      <c r="M4468" s="4">
        <v>4463</v>
      </c>
    </row>
    <row r="4469" spans="1:13" x14ac:dyDescent="0.25">
      <c r="A4469" s="4" t="s">
        <v>4386</v>
      </c>
      <c r="B4469" s="4" t="s">
        <v>3015</v>
      </c>
      <c r="C4469" s="9" t="s">
        <v>50</v>
      </c>
      <c r="D4469" s="10">
        <v>580.88</v>
      </c>
      <c r="E4469" s="11" t="s">
        <v>51</v>
      </c>
      <c r="F4469" s="10">
        <v>44445.32</v>
      </c>
      <c r="G4469" s="10">
        <v>0</v>
      </c>
      <c r="H4469" s="10">
        <f t="shared" si="69"/>
        <v>44445.32</v>
      </c>
      <c r="I4469" s="10"/>
      <c r="J4469" s="10"/>
      <c r="K4469" s="10"/>
      <c r="L4469" s="4" t="s">
        <v>52</v>
      </c>
      <c r="M4469" s="4">
        <v>4464</v>
      </c>
    </row>
    <row r="4470" spans="1:13" x14ac:dyDescent="0.25">
      <c r="A4470" s="4" t="s">
        <v>4386</v>
      </c>
      <c r="B4470" s="4" t="s">
        <v>3017</v>
      </c>
      <c r="C4470" s="9" t="s">
        <v>50</v>
      </c>
      <c r="D4470" s="10">
        <v>658.12000000000012</v>
      </c>
      <c r="E4470" s="11" t="s">
        <v>51</v>
      </c>
      <c r="F4470" s="10">
        <v>27074.45</v>
      </c>
      <c r="G4470" s="10">
        <v>0</v>
      </c>
      <c r="H4470" s="10">
        <f t="shared" si="69"/>
        <v>27074.45</v>
      </c>
      <c r="I4470" s="10"/>
      <c r="J4470" s="10"/>
      <c r="K4470" s="10"/>
      <c r="L4470" s="4" t="s">
        <v>52</v>
      </c>
      <c r="M4470" s="4">
        <v>4465</v>
      </c>
    </row>
    <row r="4471" spans="1:13" x14ac:dyDescent="0.25">
      <c r="A4471" s="4" t="s">
        <v>4386</v>
      </c>
      <c r="B4471" s="4" t="s">
        <v>4387</v>
      </c>
      <c r="C4471" s="9" t="s">
        <v>50</v>
      </c>
      <c r="D4471" s="10">
        <v>305</v>
      </c>
      <c r="E4471" s="11" t="s">
        <v>51</v>
      </c>
      <c r="F4471" s="10">
        <v>13402.23</v>
      </c>
      <c r="G4471" s="10">
        <v>0</v>
      </c>
      <c r="H4471" s="10">
        <f t="shared" si="69"/>
        <v>13402.23</v>
      </c>
      <c r="I4471" s="10"/>
      <c r="J4471" s="10"/>
      <c r="K4471" s="10"/>
      <c r="L4471" s="4" t="s">
        <v>52</v>
      </c>
      <c r="M4471" s="4">
        <v>4466</v>
      </c>
    </row>
    <row r="4472" spans="1:13" x14ac:dyDescent="0.25">
      <c r="A4472" s="4" t="s">
        <v>4386</v>
      </c>
      <c r="B4472" s="4" t="s">
        <v>4388</v>
      </c>
      <c r="C4472" s="9" t="s">
        <v>50</v>
      </c>
      <c r="D4472" s="10">
        <v>367</v>
      </c>
      <c r="E4472" s="11" t="s">
        <v>51</v>
      </c>
      <c r="F4472" s="10">
        <v>13156.05</v>
      </c>
      <c r="G4472" s="10">
        <v>0</v>
      </c>
      <c r="H4472" s="10">
        <f t="shared" si="69"/>
        <v>13156.05</v>
      </c>
      <c r="I4472" s="10"/>
      <c r="J4472" s="10"/>
      <c r="K4472" s="10"/>
      <c r="L4472" s="4" t="s">
        <v>52</v>
      </c>
      <c r="M4472" s="4">
        <v>4467</v>
      </c>
    </row>
    <row r="4473" spans="1:13" x14ac:dyDescent="0.25">
      <c r="A4473" s="4" t="s">
        <v>4386</v>
      </c>
      <c r="B4473" s="4" t="s">
        <v>3018</v>
      </c>
      <c r="C4473" s="9" t="s">
        <v>50</v>
      </c>
      <c r="D4473" s="10">
        <v>615</v>
      </c>
      <c r="E4473" s="11" t="s">
        <v>51</v>
      </c>
      <c r="F4473" s="10">
        <v>52401.69</v>
      </c>
      <c r="G4473" s="10">
        <v>0</v>
      </c>
      <c r="H4473" s="10">
        <f t="shared" si="69"/>
        <v>52401.69</v>
      </c>
      <c r="I4473" s="10"/>
      <c r="J4473" s="10"/>
      <c r="K4473" s="10"/>
      <c r="L4473" s="4" t="s">
        <v>52</v>
      </c>
      <c r="M4473" s="4">
        <v>4468</v>
      </c>
    </row>
    <row r="4474" spans="1:13" x14ac:dyDescent="0.25">
      <c r="A4474" s="4" t="s">
        <v>4386</v>
      </c>
      <c r="B4474" s="4" t="s">
        <v>4389</v>
      </c>
      <c r="C4474" s="4" t="s">
        <v>68</v>
      </c>
      <c r="D4474" s="10">
        <v>181</v>
      </c>
      <c r="E4474" s="11" t="s">
        <v>51</v>
      </c>
      <c r="F4474" s="10">
        <v>450</v>
      </c>
      <c r="G4474" s="10">
        <v>0</v>
      </c>
      <c r="H4474" s="10">
        <f t="shared" si="69"/>
        <v>450</v>
      </c>
      <c r="I4474" s="10"/>
      <c r="J4474" s="10"/>
      <c r="K4474" s="10"/>
      <c r="L4474" s="4" t="s">
        <v>69</v>
      </c>
      <c r="M4474" s="4">
        <v>4469</v>
      </c>
    </row>
    <row r="4475" spans="1:13" x14ac:dyDescent="0.25">
      <c r="A4475" s="4" t="s">
        <v>4390</v>
      </c>
      <c r="B4475" s="4" t="s">
        <v>4355</v>
      </c>
      <c r="C4475" s="4" t="s">
        <v>65</v>
      </c>
      <c r="D4475" s="10">
        <v>42</v>
      </c>
      <c r="E4475" s="12" t="s">
        <v>66</v>
      </c>
      <c r="F4475" s="10">
        <v>2400</v>
      </c>
      <c r="G4475" s="10">
        <v>0</v>
      </c>
      <c r="H4475" s="10">
        <f t="shared" si="69"/>
        <v>2400</v>
      </c>
      <c r="I4475" s="10">
        <v>114.28571428571431</v>
      </c>
      <c r="J4475" s="10">
        <v>114.28571428571431</v>
      </c>
      <c r="K4475" s="10">
        <v>114.28571428571431</v>
      </c>
      <c r="L4475" s="4"/>
      <c r="M4475" s="4">
        <v>4470</v>
      </c>
    </row>
    <row r="4476" spans="1:13" x14ac:dyDescent="0.25">
      <c r="A4476" s="4" t="s">
        <v>4391</v>
      </c>
      <c r="B4476" s="4" t="s">
        <v>4392</v>
      </c>
      <c r="C4476" s="4" t="s">
        <v>65</v>
      </c>
      <c r="D4476" s="10">
        <v>43</v>
      </c>
      <c r="E4476" s="12" t="s">
        <v>66</v>
      </c>
      <c r="F4476" s="10">
        <v>2500</v>
      </c>
      <c r="G4476" s="10">
        <v>0</v>
      </c>
      <c r="H4476" s="10">
        <f t="shared" si="69"/>
        <v>2500</v>
      </c>
      <c r="I4476" s="10">
        <v>119.04761904761909</v>
      </c>
      <c r="J4476" s="10">
        <v>119.04761904761909</v>
      </c>
      <c r="K4476" s="10">
        <v>119.04761904761909</v>
      </c>
      <c r="L4476" s="4"/>
      <c r="M4476" s="4">
        <v>4471</v>
      </c>
    </row>
    <row r="4477" spans="1:13" x14ac:dyDescent="0.25">
      <c r="A4477" s="4" t="s">
        <v>4393</v>
      </c>
      <c r="B4477" s="4" t="s">
        <v>4355</v>
      </c>
      <c r="C4477" s="4" t="s">
        <v>65</v>
      </c>
      <c r="D4477" s="10">
        <v>290.5</v>
      </c>
      <c r="E4477" s="12" t="s">
        <v>66</v>
      </c>
      <c r="F4477" s="10">
        <v>2800</v>
      </c>
      <c r="G4477" s="10">
        <v>0</v>
      </c>
      <c r="H4477" s="10">
        <f t="shared" si="69"/>
        <v>2800</v>
      </c>
      <c r="I4477" s="10">
        <v>127.27272727272729</v>
      </c>
      <c r="J4477" s="10">
        <v>127.27272727272729</v>
      </c>
      <c r="K4477" s="10">
        <v>127.27272727272729</v>
      </c>
      <c r="L4477" s="4"/>
      <c r="M4477" s="4">
        <v>4472</v>
      </c>
    </row>
    <row r="4478" spans="1:13" x14ac:dyDescent="0.25">
      <c r="A4478" s="4" t="s">
        <v>4394</v>
      </c>
      <c r="B4478" s="4" t="s">
        <v>4395</v>
      </c>
      <c r="C4478" s="4" t="s">
        <v>68</v>
      </c>
      <c r="D4478" s="10">
        <v>80</v>
      </c>
      <c r="E4478" s="11" t="s">
        <v>51</v>
      </c>
      <c r="F4478" s="10">
        <v>11200</v>
      </c>
      <c r="G4478" s="10">
        <v>0</v>
      </c>
      <c r="H4478" s="10">
        <f t="shared" si="69"/>
        <v>11200</v>
      </c>
      <c r="I4478" s="10"/>
      <c r="J4478" s="10"/>
      <c r="K4478" s="10"/>
      <c r="L4478" s="4" t="s">
        <v>69</v>
      </c>
      <c r="M4478" s="4">
        <v>4473</v>
      </c>
    </row>
    <row r="4479" spans="1:13" x14ac:dyDescent="0.25">
      <c r="A4479" s="4" t="s">
        <v>4394</v>
      </c>
      <c r="B4479" s="4" t="s">
        <v>4396</v>
      </c>
      <c r="C4479" s="4" t="s">
        <v>68</v>
      </c>
      <c r="D4479" s="10">
        <v>24</v>
      </c>
      <c r="E4479" s="11" t="s">
        <v>51</v>
      </c>
      <c r="F4479" s="10">
        <v>1920</v>
      </c>
      <c r="G4479" s="10">
        <v>0</v>
      </c>
      <c r="H4479" s="10">
        <f t="shared" si="69"/>
        <v>1920</v>
      </c>
      <c r="I4479" s="10"/>
      <c r="J4479" s="10"/>
      <c r="K4479" s="10"/>
      <c r="L4479" s="4" t="s">
        <v>69</v>
      </c>
      <c r="M4479" s="4">
        <v>4474</v>
      </c>
    </row>
    <row r="4480" spans="1:13" x14ac:dyDescent="0.25">
      <c r="A4480" s="4" t="s">
        <v>4394</v>
      </c>
      <c r="B4480" s="4" t="s">
        <v>4397</v>
      </c>
      <c r="C4480" s="9" t="s">
        <v>50</v>
      </c>
      <c r="D4480" s="10">
        <v>536</v>
      </c>
      <c r="E4480" s="11" t="s">
        <v>51</v>
      </c>
      <c r="F4480" s="10">
        <v>23080</v>
      </c>
      <c r="G4480" s="10">
        <v>0</v>
      </c>
      <c r="H4480" s="10">
        <f t="shared" si="69"/>
        <v>23080</v>
      </c>
      <c r="I4480" s="10"/>
      <c r="J4480" s="10"/>
      <c r="K4480" s="10"/>
      <c r="L4480" s="4" t="s">
        <v>52</v>
      </c>
      <c r="M4480" s="4">
        <v>4475</v>
      </c>
    </row>
    <row r="4481" spans="1:13" x14ac:dyDescent="0.25">
      <c r="A4481" s="4" t="s">
        <v>4398</v>
      </c>
      <c r="B4481" s="4" t="s">
        <v>378</v>
      </c>
      <c r="C4481" s="4" t="s">
        <v>65</v>
      </c>
      <c r="D4481" s="10">
        <v>159</v>
      </c>
      <c r="E4481" s="12" t="s">
        <v>66</v>
      </c>
      <c r="F4481" s="10">
        <v>19600</v>
      </c>
      <c r="G4481" s="10">
        <v>0</v>
      </c>
      <c r="H4481" s="10">
        <f t="shared" si="69"/>
        <v>19600</v>
      </c>
      <c r="I4481" s="10">
        <v>123.2704402515723</v>
      </c>
      <c r="J4481" s="10">
        <v>123.2704402515723</v>
      </c>
      <c r="K4481" s="10">
        <v>123.2704402515723</v>
      </c>
      <c r="L4481" s="4"/>
      <c r="M4481" s="4">
        <v>4476</v>
      </c>
    </row>
    <row r="4482" spans="1:13" x14ac:dyDescent="0.25">
      <c r="A4482" s="4" t="s">
        <v>4398</v>
      </c>
      <c r="B4482" s="4" t="s">
        <v>4399</v>
      </c>
      <c r="C4482" s="4" t="s">
        <v>68</v>
      </c>
      <c r="D4482" s="10">
        <v>133</v>
      </c>
      <c r="E4482" s="11" t="s">
        <v>51</v>
      </c>
      <c r="F4482" s="10">
        <v>5760</v>
      </c>
      <c r="G4482" s="10">
        <v>0</v>
      </c>
      <c r="H4482" s="10">
        <f t="shared" si="69"/>
        <v>5760</v>
      </c>
      <c r="I4482" s="10"/>
      <c r="J4482" s="10"/>
      <c r="K4482" s="10"/>
      <c r="L4482" s="4" t="s">
        <v>69</v>
      </c>
      <c r="M4482" s="4">
        <v>4477</v>
      </c>
    </row>
    <row r="4483" spans="1:13" x14ac:dyDescent="0.25">
      <c r="A4483" s="4" t="s">
        <v>4400</v>
      </c>
      <c r="B4483" s="4" t="s">
        <v>378</v>
      </c>
      <c r="C4483" s="4" t="s">
        <v>65</v>
      </c>
      <c r="D4483" s="10">
        <v>107</v>
      </c>
      <c r="E4483" s="12" t="s">
        <v>66</v>
      </c>
      <c r="F4483" s="10">
        <v>11000</v>
      </c>
      <c r="G4483" s="10">
        <v>0</v>
      </c>
      <c r="H4483" s="10">
        <f t="shared" si="69"/>
        <v>11000</v>
      </c>
      <c r="I4483" s="10">
        <v>129.41176470588229</v>
      </c>
      <c r="J4483" s="10">
        <v>129.41176470588229</v>
      </c>
      <c r="K4483" s="10">
        <v>129.41176470588229</v>
      </c>
      <c r="L4483" s="4"/>
      <c r="M4483" s="4">
        <v>4478</v>
      </c>
    </row>
    <row r="4484" spans="1:13" x14ac:dyDescent="0.25">
      <c r="A4484" s="4" t="s">
        <v>4401</v>
      </c>
      <c r="B4484" s="4" t="s">
        <v>4355</v>
      </c>
      <c r="C4484" s="4" t="s">
        <v>65</v>
      </c>
      <c r="D4484" s="10">
        <v>44</v>
      </c>
      <c r="E4484" s="12" t="s">
        <v>66</v>
      </c>
      <c r="F4484" s="10">
        <v>2800</v>
      </c>
      <c r="G4484" s="10">
        <v>0</v>
      </c>
      <c r="H4484" s="10">
        <f t="shared" si="69"/>
        <v>2800</v>
      </c>
      <c r="I4484" s="10">
        <v>127.27272727272729</v>
      </c>
      <c r="J4484" s="10">
        <v>127.27272727272729</v>
      </c>
      <c r="K4484" s="10">
        <v>127.27272727272729</v>
      </c>
      <c r="L4484" s="4"/>
      <c r="M4484" s="4">
        <v>4479</v>
      </c>
    </row>
    <row r="4485" spans="1:13" x14ac:dyDescent="0.25">
      <c r="A4485" s="4" t="s">
        <v>4402</v>
      </c>
      <c r="B4485" s="4" t="s">
        <v>4355</v>
      </c>
      <c r="C4485" s="4" t="s">
        <v>65</v>
      </c>
      <c r="D4485" s="10">
        <v>82</v>
      </c>
      <c r="E4485" s="12" t="s">
        <v>66</v>
      </c>
      <c r="F4485" s="10">
        <v>2800</v>
      </c>
      <c r="G4485" s="10">
        <v>0</v>
      </c>
      <c r="H4485" s="10">
        <f t="shared" si="69"/>
        <v>2800</v>
      </c>
      <c r="I4485" s="10">
        <v>127.27272727272729</v>
      </c>
      <c r="J4485" s="10">
        <v>127.27272727272729</v>
      </c>
      <c r="K4485" s="10">
        <v>127.27272727272729</v>
      </c>
      <c r="L4485" s="4"/>
      <c r="M4485" s="4">
        <v>4480</v>
      </c>
    </row>
    <row r="4486" spans="1:13" x14ac:dyDescent="0.25">
      <c r="A4486" s="4" t="s">
        <v>4403</v>
      </c>
      <c r="B4486" s="4" t="s">
        <v>4404</v>
      </c>
      <c r="C4486" s="9" t="s">
        <v>50</v>
      </c>
      <c r="D4486" s="10">
        <v>15</v>
      </c>
      <c r="E4486" s="11" t="s">
        <v>51</v>
      </c>
      <c r="F4486" s="10">
        <v>1800</v>
      </c>
      <c r="G4486" s="10">
        <v>0</v>
      </c>
      <c r="H4486" s="10">
        <f t="shared" ref="H4486:H4549" si="70">F4486-G4486</f>
        <v>1800</v>
      </c>
      <c r="I4486" s="10"/>
      <c r="J4486" s="10"/>
      <c r="K4486" s="10"/>
      <c r="L4486" s="4" t="s">
        <v>52</v>
      </c>
      <c r="M4486" s="4">
        <v>4481</v>
      </c>
    </row>
    <row r="4487" spans="1:13" x14ac:dyDescent="0.25">
      <c r="A4487" s="4" t="s">
        <v>4403</v>
      </c>
      <c r="B4487" s="4" t="s">
        <v>4405</v>
      </c>
      <c r="C4487" s="9" t="s">
        <v>50</v>
      </c>
      <c r="D4487" s="10">
        <v>15</v>
      </c>
      <c r="E4487" s="11" t="s">
        <v>51</v>
      </c>
      <c r="F4487" s="10">
        <v>1800</v>
      </c>
      <c r="G4487" s="10">
        <v>0</v>
      </c>
      <c r="H4487" s="10">
        <f t="shared" si="70"/>
        <v>1800</v>
      </c>
      <c r="I4487" s="10"/>
      <c r="J4487" s="10"/>
      <c r="K4487" s="10"/>
      <c r="L4487" s="4" t="s">
        <v>52</v>
      </c>
      <c r="M4487" s="4">
        <v>4482</v>
      </c>
    </row>
    <row r="4488" spans="1:13" x14ac:dyDescent="0.25">
      <c r="A4488" s="4" t="s">
        <v>4403</v>
      </c>
      <c r="B4488" s="4" t="s">
        <v>4406</v>
      </c>
      <c r="C4488" s="9" t="s">
        <v>50</v>
      </c>
      <c r="D4488" s="10">
        <v>130</v>
      </c>
      <c r="E4488" s="11" t="s">
        <v>51</v>
      </c>
      <c r="F4488" s="10">
        <v>2550</v>
      </c>
      <c r="G4488" s="10">
        <v>0</v>
      </c>
      <c r="H4488" s="10">
        <f t="shared" si="70"/>
        <v>2550</v>
      </c>
      <c r="I4488" s="10"/>
      <c r="J4488" s="10"/>
      <c r="K4488" s="10"/>
      <c r="L4488" s="4" t="s">
        <v>52</v>
      </c>
      <c r="M4488" s="4">
        <v>4483</v>
      </c>
    </row>
    <row r="4489" spans="1:13" x14ac:dyDescent="0.25">
      <c r="A4489" s="4" t="s">
        <v>4407</v>
      </c>
      <c r="B4489" s="4" t="s">
        <v>4408</v>
      </c>
      <c r="C4489" s="4" t="s">
        <v>68</v>
      </c>
      <c r="D4489" s="10">
        <v>205</v>
      </c>
      <c r="E4489" s="11" t="s">
        <v>51</v>
      </c>
      <c r="F4489" s="10">
        <v>8640</v>
      </c>
      <c r="G4489" s="10">
        <v>0</v>
      </c>
      <c r="H4489" s="10">
        <f t="shared" si="70"/>
        <v>8640</v>
      </c>
      <c r="I4489" s="10"/>
      <c r="J4489" s="10"/>
      <c r="K4489" s="10"/>
      <c r="L4489" s="4" t="s">
        <v>69</v>
      </c>
      <c r="M4489" s="4">
        <v>4484</v>
      </c>
    </row>
    <row r="4490" spans="1:13" x14ac:dyDescent="0.25">
      <c r="A4490" s="4" t="s">
        <v>4409</v>
      </c>
      <c r="B4490" s="4" t="s">
        <v>4410</v>
      </c>
      <c r="C4490" s="4" t="s">
        <v>68</v>
      </c>
      <c r="D4490" s="10">
        <v>40</v>
      </c>
      <c r="E4490" s="11" t="s">
        <v>51</v>
      </c>
      <c r="F4490" s="10">
        <v>5400</v>
      </c>
      <c r="G4490" s="10">
        <v>0</v>
      </c>
      <c r="H4490" s="10">
        <f t="shared" si="70"/>
        <v>5400</v>
      </c>
      <c r="I4490" s="10"/>
      <c r="J4490" s="10"/>
      <c r="K4490" s="10"/>
      <c r="L4490" s="4" t="s">
        <v>69</v>
      </c>
      <c r="M4490" s="4">
        <v>4485</v>
      </c>
    </row>
    <row r="4491" spans="1:13" x14ac:dyDescent="0.25">
      <c r="A4491" s="4" t="s">
        <v>4409</v>
      </c>
      <c r="B4491" s="4" t="s">
        <v>4411</v>
      </c>
      <c r="C4491" s="4" t="s">
        <v>65</v>
      </c>
      <c r="D4491" s="10">
        <v>45</v>
      </c>
      <c r="E4491" s="12" t="s">
        <v>66</v>
      </c>
      <c r="F4491" s="10">
        <v>4000</v>
      </c>
      <c r="G4491" s="10">
        <v>0</v>
      </c>
      <c r="H4491" s="10">
        <f t="shared" si="70"/>
        <v>4000</v>
      </c>
      <c r="I4491" s="10">
        <v>88.888888888888886</v>
      </c>
      <c r="J4491" s="10">
        <v>88.888888888888886</v>
      </c>
      <c r="K4491" s="10">
        <v>88.888888888888886</v>
      </c>
      <c r="L4491" s="4"/>
      <c r="M4491" s="4">
        <v>4486</v>
      </c>
    </row>
    <row r="4492" spans="1:13" x14ac:dyDescent="0.25">
      <c r="A4492" s="4" t="s">
        <v>4409</v>
      </c>
      <c r="B4492" s="4" t="s">
        <v>4412</v>
      </c>
      <c r="C4492" s="4" t="s">
        <v>65</v>
      </c>
      <c r="D4492" s="10">
        <v>204</v>
      </c>
      <c r="E4492" s="12" t="s">
        <v>66</v>
      </c>
      <c r="F4492" s="10">
        <v>1750</v>
      </c>
      <c r="G4492" s="10">
        <v>0</v>
      </c>
      <c r="H4492" s="10">
        <f t="shared" si="70"/>
        <v>1750</v>
      </c>
      <c r="I4492" s="10">
        <v>87.5</v>
      </c>
      <c r="J4492" s="10">
        <v>87.5</v>
      </c>
      <c r="K4492" s="10">
        <v>87.5</v>
      </c>
      <c r="L4492" s="4"/>
      <c r="M4492" s="4">
        <v>4487</v>
      </c>
    </row>
    <row r="4493" spans="1:13" x14ac:dyDescent="0.25">
      <c r="A4493" s="4" t="s">
        <v>4413</v>
      </c>
      <c r="B4493" s="4" t="s">
        <v>4414</v>
      </c>
      <c r="C4493" s="4" t="s">
        <v>68</v>
      </c>
      <c r="D4493" s="10">
        <v>20</v>
      </c>
      <c r="E4493" s="11" t="s">
        <v>51</v>
      </c>
      <c r="F4493" s="10">
        <v>2800</v>
      </c>
      <c r="G4493" s="10">
        <v>0</v>
      </c>
      <c r="H4493" s="10">
        <f t="shared" si="70"/>
        <v>2800</v>
      </c>
      <c r="I4493" s="10"/>
      <c r="J4493" s="10"/>
      <c r="K4493" s="10"/>
      <c r="L4493" s="4" t="s">
        <v>69</v>
      </c>
      <c r="M4493" s="4">
        <v>4488</v>
      </c>
    </row>
    <row r="4494" spans="1:13" x14ac:dyDescent="0.25">
      <c r="A4494" s="4" t="s">
        <v>4413</v>
      </c>
      <c r="B4494" s="4" t="s">
        <v>4415</v>
      </c>
      <c r="C4494" s="9" t="s">
        <v>50</v>
      </c>
      <c r="D4494" s="10">
        <v>144</v>
      </c>
      <c r="E4494" s="11" t="s">
        <v>51</v>
      </c>
      <c r="F4494" s="10">
        <v>20160</v>
      </c>
      <c r="G4494" s="10">
        <v>0</v>
      </c>
      <c r="H4494" s="10">
        <f t="shared" si="70"/>
        <v>20160</v>
      </c>
      <c r="I4494" s="10"/>
      <c r="J4494" s="10"/>
      <c r="K4494" s="10"/>
      <c r="L4494" s="4" t="s">
        <v>52</v>
      </c>
      <c r="M4494" s="4">
        <v>4489</v>
      </c>
    </row>
    <row r="4495" spans="1:13" x14ac:dyDescent="0.25">
      <c r="A4495" s="4" t="s">
        <v>4413</v>
      </c>
      <c r="B4495" s="4" t="s">
        <v>4416</v>
      </c>
      <c r="C4495" s="4" t="s">
        <v>68</v>
      </c>
      <c r="D4495" s="10">
        <v>95</v>
      </c>
      <c r="E4495" s="11" t="s">
        <v>51</v>
      </c>
      <c r="F4495" s="10">
        <v>2800</v>
      </c>
      <c r="G4495" s="10">
        <v>0</v>
      </c>
      <c r="H4495" s="10">
        <f t="shared" si="70"/>
        <v>2800</v>
      </c>
      <c r="I4495" s="10"/>
      <c r="J4495" s="10"/>
      <c r="K4495" s="10"/>
      <c r="L4495" s="4" t="s">
        <v>69</v>
      </c>
      <c r="M4495" s="4">
        <v>4490</v>
      </c>
    </row>
    <row r="4496" spans="1:13" x14ac:dyDescent="0.25">
      <c r="A4496" s="4" t="s">
        <v>4417</v>
      </c>
      <c r="B4496" s="4" t="s">
        <v>1320</v>
      </c>
      <c r="C4496" s="4" t="s">
        <v>68</v>
      </c>
      <c r="D4496" s="10">
        <v>30</v>
      </c>
      <c r="E4496" s="11" t="s">
        <v>51</v>
      </c>
      <c r="F4496" s="10">
        <v>12350</v>
      </c>
      <c r="G4496" s="10">
        <v>0</v>
      </c>
      <c r="H4496" s="10">
        <f t="shared" si="70"/>
        <v>12350</v>
      </c>
      <c r="I4496" s="10"/>
      <c r="J4496" s="10"/>
      <c r="K4496" s="10"/>
      <c r="L4496" s="4" t="s">
        <v>69</v>
      </c>
      <c r="M4496" s="4">
        <v>4491</v>
      </c>
    </row>
    <row r="4497" spans="1:13" x14ac:dyDescent="0.25">
      <c r="A4497" s="4" t="s">
        <v>4418</v>
      </c>
      <c r="B4497" s="4" t="s">
        <v>248</v>
      </c>
      <c r="C4497" s="4" t="s">
        <v>68</v>
      </c>
      <c r="D4497" s="10">
        <v>10</v>
      </c>
      <c r="E4497" s="11" t="s">
        <v>51</v>
      </c>
      <c r="F4497" s="10">
        <v>3900</v>
      </c>
      <c r="G4497" s="10">
        <v>0</v>
      </c>
      <c r="H4497" s="10">
        <f t="shared" si="70"/>
        <v>3900</v>
      </c>
      <c r="I4497" s="10"/>
      <c r="J4497" s="10"/>
      <c r="K4497" s="10"/>
      <c r="L4497" s="4" t="s">
        <v>69</v>
      </c>
      <c r="M4497" s="4">
        <v>4492</v>
      </c>
    </row>
    <row r="4498" spans="1:13" x14ac:dyDescent="0.25">
      <c r="A4498" s="4" t="s">
        <v>4419</v>
      </c>
      <c r="B4498" s="4" t="s">
        <v>4420</v>
      </c>
      <c r="C4498" s="4" t="s">
        <v>65</v>
      </c>
      <c r="D4498" s="10">
        <v>10</v>
      </c>
      <c r="E4498" s="12" t="s">
        <v>66</v>
      </c>
      <c r="F4498" s="10">
        <v>1000</v>
      </c>
      <c r="G4498" s="10">
        <v>0</v>
      </c>
      <c r="H4498" s="10">
        <f t="shared" si="70"/>
        <v>1000</v>
      </c>
      <c r="I4498" s="10">
        <v>100</v>
      </c>
      <c r="J4498" s="10">
        <v>100</v>
      </c>
      <c r="K4498" s="10">
        <v>100</v>
      </c>
      <c r="L4498" s="4"/>
      <c r="M4498" s="4">
        <v>4493</v>
      </c>
    </row>
    <row r="4499" spans="1:13" x14ac:dyDescent="0.25">
      <c r="A4499" s="4" t="s">
        <v>4421</v>
      </c>
      <c r="B4499" s="4" t="s">
        <v>4422</v>
      </c>
      <c r="C4499" s="4" t="s">
        <v>68</v>
      </c>
      <c r="D4499" s="10">
        <v>28</v>
      </c>
      <c r="E4499" s="11" t="s">
        <v>51</v>
      </c>
      <c r="F4499" s="10">
        <v>8336</v>
      </c>
      <c r="G4499" s="10">
        <v>0</v>
      </c>
      <c r="H4499" s="10">
        <f t="shared" si="70"/>
        <v>8336</v>
      </c>
      <c r="I4499" s="10"/>
      <c r="J4499" s="10"/>
      <c r="K4499" s="10"/>
      <c r="L4499" s="4" t="s">
        <v>69</v>
      </c>
      <c r="M4499" s="4">
        <v>4494</v>
      </c>
    </row>
    <row r="4500" spans="1:13" x14ac:dyDescent="0.25">
      <c r="A4500" s="4" t="s">
        <v>4423</v>
      </c>
      <c r="B4500" s="4" t="s">
        <v>3825</v>
      </c>
      <c r="C4500" s="4" t="s">
        <v>65</v>
      </c>
      <c r="D4500" s="10">
        <v>16</v>
      </c>
      <c r="E4500" s="12" t="s">
        <v>66</v>
      </c>
      <c r="F4500" s="10">
        <v>2200</v>
      </c>
      <c r="G4500" s="10">
        <v>0</v>
      </c>
      <c r="H4500" s="10">
        <f t="shared" si="70"/>
        <v>2200</v>
      </c>
      <c r="I4500" s="10">
        <v>137.5</v>
      </c>
      <c r="J4500" s="10">
        <v>137.5</v>
      </c>
      <c r="K4500" s="10">
        <v>137.5</v>
      </c>
      <c r="L4500" s="4"/>
      <c r="M4500" s="4">
        <v>4495</v>
      </c>
    </row>
    <row r="4501" spans="1:13" x14ac:dyDescent="0.25">
      <c r="A4501" s="4" t="s">
        <v>4423</v>
      </c>
      <c r="B4501" s="4" t="s">
        <v>4424</v>
      </c>
      <c r="C4501" s="4" t="s">
        <v>68</v>
      </c>
      <c r="D4501" s="10">
        <v>32</v>
      </c>
      <c r="E4501" s="11" t="s">
        <v>51</v>
      </c>
      <c r="F4501" s="10">
        <v>1440</v>
      </c>
      <c r="G4501" s="10">
        <v>0</v>
      </c>
      <c r="H4501" s="10">
        <f t="shared" si="70"/>
        <v>1440</v>
      </c>
      <c r="I4501" s="10"/>
      <c r="J4501" s="10"/>
      <c r="K4501" s="10"/>
      <c r="L4501" s="4" t="s">
        <v>69</v>
      </c>
      <c r="M4501" s="4">
        <v>4496</v>
      </c>
    </row>
    <row r="4502" spans="1:13" x14ac:dyDescent="0.25">
      <c r="A4502" s="4" t="s">
        <v>4425</v>
      </c>
      <c r="B4502" s="4" t="s">
        <v>2054</v>
      </c>
      <c r="C4502" s="4" t="s">
        <v>68</v>
      </c>
      <c r="D4502" s="10">
        <v>60</v>
      </c>
      <c r="E4502" s="11" t="s">
        <v>51</v>
      </c>
      <c r="F4502" s="10">
        <v>2800</v>
      </c>
      <c r="G4502" s="10">
        <v>0</v>
      </c>
      <c r="H4502" s="10">
        <f t="shared" si="70"/>
        <v>2800</v>
      </c>
      <c r="I4502" s="10"/>
      <c r="J4502" s="10"/>
      <c r="K4502" s="10"/>
      <c r="L4502" s="4" t="s">
        <v>69</v>
      </c>
      <c r="M4502" s="4">
        <v>4497</v>
      </c>
    </row>
    <row r="4503" spans="1:13" x14ac:dyDescent="0.25">
      <c r="A4503" s="4" t="s">
        <v>4426</v>
      </c>
      <c r="B4503" s="4" t="s">
        <v>4427</v>
      </c>
      <c r="C4503" s="9" t="s">
        <v>50</v>
      </c>
      <c r="D4503" s="10">
        <v>150</v>
      </c>
      <c r="E4503" s="11" t="s">
        <v>51</v>
      </c>
      <c r="F4503" s="10">
        <v>4800</v>
      </c>
      <c r="G4503" s="10">
        <v>0</v>
      </c>
      <c r="H4503" s="10">
        <f t="shared" si="70"/>
        <v>4800</v>
      </c>
      <c r="I4503" s="10"/>
      <c r="J4503" s="10"/>
      <c r="K4503" s="10"/>
      <c r="L4503" s="4" t="s">
        <v>52</v>
      </c>
      <c r="M4503" s="4">
        <v>4498</v>
      </c>
    </row>
    <row r="4504" spans="1:13" x14ac:dyDescent="0.25">
      <c r="A4504" s="4" t="s">
        <v>4428</v>
      </c>
      <c r="B4504" s="4" t="s">
        <v>521</v>
      </c>
      <c r="C4504" s="4" t="s">
        <v>68</v>
      </c>
      <c r="D4504" s="10">
        <v>150</v>
      </c>
      <c r="E4504" s="11" t="s">
        <v>51</v>
      </c>
      <c r="F4504" s="10">
        <v>17500</v>
      </c>
      <c r="G4504" s="10">
        <v>0</v>
      </c>
      <c r="H4504" s="10">
        <f t="shared" si="70"/>
        <v>17500</v>
      </c>
      <c r="I4504" s="10"/>
      <c r="J4504" s="10"/>
      <c r="K4504" s="10"/>
      <c r="L4504" s="4" t="s">
        <v>69</v>
      </c>
      <c r="M4504" s="4">
        <v>4499</v>
      </c>
    </row>
    <row r="4505" spans="1:13" x14ac:dyDescent="0.25">
      <c r="A4505" s="4" t="s">
        <v>4429</v>
      </c>
      <c r="B4505" s="4" t="s">
        <v>4430</v>
      </c>
      <c r="C4505" s="9" t="s">
        <v>50</v>
      </c>
      <c r="D4505" s="10"/>
      <c r="E4505" s="11" t="s">
        <v>51</v>
      </c>
      <c r="F4505" s="10"/>
      <c r="G4505" s="10">
        <v>0</v>
      </c>
      <c r="H4505" s="10">
        <f t="shared" si="70"/>
        <v>0</v>
      </c>
      <c r="I4505" s="10"/>
      <c r="J4505" s="10"/>
      <c r="K4505" s="10"/>
      <c r="L4505" s="4" t="s">
        <v>52</v>
      </c>
      <c r="M4505" s="4">
        <v>4500</v>
      </c>
    </row>
    <row r="4506" spans="1:13" x14ac:dyDescent="0.25">
      <c r="A4506" s="4" t="s">
        <v>4429</v>
      </c>
      <c r="B4506" s="4" t="s">
        <v>4431</v>
      </c>
      <c r="C4506" s="9" t="s">
        <v>50</v>
      </c>
      <c r="D4506" s="10"/>
      <c r="E4506" s="11" t="s">
        <v>51</v>
      </c>
      <c r="F4506" s="10"/>
      <c r="G4506" s="10">
        <v>0</v>
      </c>
      <c r="H4506" s="10">
        <f t="shared" si="70"/>
        <v>0</v>
      </c>
      <c r="I4506" s="10"/>
      <c r="J4506" s="10"/>
      <c r="K4506" s="10"/>
      <c r="L4506" s="4" t="s">
        <v>52</v>
      </c>
      <c r="M4506" s="4">
        <v>4501</v>
      </c>
    </row>
    <row r="4507" spans="1:13" x14ac:dyDescent="0.25">
      <c r="A4507" s="4" t="s">
        <v>4429</v>
      </c>
      <c r="B4507" s="4" t="s">
        <v>4432</v>
      </c>
      <c r="C4507" s="9" t="s">
        <v>50</v>
      </c>
      <c r="D4507" s="10"/>
      <c r="E4507" s="11" t="s">
        <v>51</v>
      </c>
      <c r="F4507" s="10"/>
      <c r="G4507" s="10">
        <v>0</v>
      </c>
      <c r="H4507" s="10">
        <f t="shared" si="70"/>
        <v>0</v>
      </c>
      <c r="I4507" s="10"/>
      <c r="J4507" s="10"/>
      <c r="K4507" s="10"/>
      <c r="L4507" s="4" t="s">
        <v>52</v>
      </c>
      <c r="M4507" s="4">
        <v>4502</v>
      </c>
    </row>
    <row r="4508" spans="1:13" x14ac:dyDescent="0.25">
      <c r="A4508" s="4" t="s">
        <v>4429</v>
      </c>
      <c r="B4508" s="4" t="s">
        <v>4433</v>
      </c>
      <c r="C4508" s="9" t="s">
        <v>50</v>
      </c>
      <c r="D4508" s="10"/>
      <c r="E4508" s="11" t="s">
        <v>51</v>
      </c>
      <c r="F4508" s="10"/>
      <c r="G4508" s="10">
        <v>0</v>
      </c>
      <c r="H4508" s="10">
        <f t="shared" si="70"/>
        <v>0</v>
      </c>
      <c r="I4508" s="10"/>
      <c r="J4508" s="10"/>
      <c r="K4508" s="10"/>
      <c r="L4508" s="4" t="s">
        <v>52</v>
      </c>
      <c r="M4508" s="4">
        <v>4503</v>
      </c>
    </row>
    <row r="4509" spans="1:13" x14ac:dyDescent="0.25">
      <c r="A4509" s="4" t="s">
        <v>4429</v>
      </c>
      <c r="B4509" s="4" t="s">
        <v>4434</v>
      </c>
      <c r="C4509" s="9" t="s">
        <v>50</v>
      </c>
      <c r="D4509" s="10"/>
      <c r="E4509" s="11" t="s">
        <v>51</v>
      </c>
      <c r="F4509" s="10"/>
      <c r="G4509" s="10">
        <v>0</v>
      </c>
      <c r="H4509" s="10">
        <f t="shared" si="70"/>
        <v>0</v>
      </c>
      <c r="I4509" s="10"/>
      <c r="J4509" s="10"/>
      <c r="K4509" s="10"/>
      <c r="L4509" s="4" t="s">
        <v>52</v>
      </c>
      <c r="M4509" s="4">
        <v>4504</v>
      </c>
    </row>
    <row r="4510" spans="1:13" x14ac:dyDescent="0.25">
      <c r="A4510" s="4" t="s">
        <v>4429</v>
      </c>
      <c r="B4510" s="4" t="s">
        <v>4435</v>
      </c>
      <c r="C4510" s="9" t="s">
        <v>50</v>
      </c>
      <c r="D4510" s="10"/>
      <c r="E4510" s="11" t="s">
        <v>51</v>
      </c>
      <c r="F4510" s="10"/>
      <c r="G4510" s="10">
        <v>0</v>
      </c>
      <c r="H4510" s="10">
        <f t="shared" si="70"/>
        <v>0</v>
      </c>
      <c r="I4510" s="10"/>
      <c r="J4510" s="10"/>
      <c r="K4510" s="10"/>
      <c r="L4510" s="4" t="s">
        <v>52</v>
      </c>
      <c r="M4510" s="4">
        <v>4505</v>
      </c>
    </row>
    <row r="4511" spans="1:13" x14ac:dyDescent="0.25">
      <c r="A4511" s="4" t="s">
        <v>4429</v>
      </c>
      <c r="B4511" s="4" t="s">
        <v>4436</v>
      </c>
      <c r="C4511" s="9" t="s">
        <v>50</v>
      </c>
      <c r="D4511" s="10"/>
      <c r="E4511" s="11" t="s">
        <v>51</v>
      </c>
      <c r="F4511" s="10"/>
      <c r="G4511" s="10">
        <v>0</v>
      </c>
      <c r="H4511" s="10">
        <f t="shared" si="70"/>
        <v>0</v>
      </c>
      <c r="I4511" s="10"/>
      <c r="J4511" s="10"/>
      <c r="K4511" s="10"/>
      <c r="L4511" s="4" t="s">
        <v>52</v>
      </c>
      <c r="M4511" s="4">
        <v>4506</v>
      </c>
    </row>
    <row r="4512" spans="1:13" x14ac:dyDescent="0.25">
      <c r="A4512" s="4" t="s">
        <v>4429</v>
      </c>
      <c r="B4512" s="4" t="s">
        <v>4437</v>
      </c>
      <c r="C4512" s="9" t="s">
        <v>50</v>
      </c>
      <c r="D4512" s="10"/>
      <c r="E4512" s="11" t="s">
        <v>51</v>
      </c>
      <c r="F4512" s="10"/>
      <c r="G4512" s="10">
        <v>0</v>
      </c>
      <c r="H4512" s="10">
        <f t="shared" si="70"/>
        <v>0</v>
      </c>
      <c r="I4512" s="10"/>
      <c r="J4512" s="10"/>
      <c r="K4512" s="10"/>
      <c r="L4512" s="4" t="s">
        <v>52</v>
      </c>
      <c r="M4512" s="4">
        <v>4507</v>
      </c>
    </row>
    <row r="4513" spans="1:13" x14ac:dyDescent="0.25">
      <c r="A4513" s="4" t="s">
        <v>4429</v>
      </c>
      <c r="B4513" s="4" t="s">
        <v>4438</v>
      </c>
      <c r="C4513" s="9" t="s">
        <v>50</v>
      </c>
      <c r="D4513" s="10"/>
      <c r="E4513" s="11" t="s">
        <v>51</v>
      </c>
      <c r="F4513" s="10"/>
      <c r="G4513" s="10">
        <v>0</v>
      </c>
      <c r="H4513" s="10">
        <f t="shared" si="70"/>
        <v>0</v>
      </c>
      <c r="I4513" s="10"/>
      <c r="J4513" s="10"/>
      <c r="K4513" s="10"/>
      <c r="L4513" s="4" t="s">
        <v>52</v>
      </c>
      <c r="M4513" s="4">
        <v>4508</v>
      </c>
    </row>
    <row r="4514" spans="1:13" x14ac:dyDescent="0.25">
      <c r="A4514" s="4" t="s">
        <v>4429</v>
      </c>
      <c r="B4514" s="4" t="s">
        <v>4439</v>
      </c>
      <c r="C4514" s="9" t="s">
        <v>50</v>
      </c>
      <c r="D4514" s="10"/>
      <c r="E4514" s="11" t="s">
        <v>51</v>
      </c>
      <c r="F4514" s="10"/>
      <c r="G4514" s="10">
        <v>0</v>
      </c>
      <c r="H4514" s="10">
        <f t="shared" si="70"/>
        <v>0</v>
      </c>
      <c r="I4514" s="10"/>
      <c r="J4514" s="10"/>
      <c r="K4514" s="10"/>
      <c r="L4514" s="4" t="s">
        <v>52</v>
      </c>
      <c r="M4514" s="4">
        <v>4509</v>
      </c>
    </row>
    <row r="4515" spans="1:13" x14ac:dyDescent="0.25">
      <c r="A4515" s="4" t="s">
        <v>4429</v>
      </c>
      <c r="B4515" s="4" t="s">
        <v>4440</v>
      </c>
      <c r="C4515" s="9" t="s">
        <v>50</v>
      </c>
      <c r="D4515" s="10"/>
      <c r="E4515" s="11" t="s">
        <v>51</v>
      </c>
      <c r="F4515" s="10"/>
      <c r="G4515" s="10">
        <v>0</v>
      </c>
      <c r="H4515" s="10">
        <f t="shared" si="70"/>
        <v>0</v>
      </c>
      <c r="I4515" s="10"/>
      <c r="J4515" s="10"/>
      <c r="K4515" s="10"/>
      <c r="L4515" s="4" t="s">
        <v>52</v>
      </c>
      <c r="M4515" s="4">
        <v>4510</v>
      </c>
    </row>
    <row r="4516" spans="1:13" x14ac:dyDescent="0.25">
      <c r="A4516" s="4" t="s">
        <v>4429</v>
      </c>
      <c r="B4516" s="4" t="s">
        <v>4441</v>
      </c>
      <c r="C4516" s="9" t="s">
        <v>50</v>
      </c>
      <c r="D4516" s="10"/>
      <c r="E4516" s="11" t="s">
        <v>51</v>
      </c>
      <c r="F4516" s="10"/>
      <c r="G4516" s="10">
        <v>0</v>
      </c>
      <c r="H4516" s="10">
        <f t="shared" si="70"/>
        <v>0</v>
      </c>
      <c r="I4516" s="10"/>
      <c r="J4516" s="10"/>
      <c r="K4516" s="10"/>
      <c r="L4516" s="4" t="s">
        <v>52</v>
      </c>
      <c r="M4516" s="4">
        <v>4511</v>
      </c>
    </row>
    <row r="4517" spans="1:13" x14ac:dyDescent="0.25">
      <c r="A4517" s="4" t="s">
        <v>4429</v>
      </c>
      <c r="B4517" s="4" t="s">
        <v>4442</v>
      </c>
      <c r="C4517" s="9" t="s">
        <v>50</v>
      </c>
      <c r="D4517" s="10"/>
      <c r="E4517" s="11" t="s">
        <v>51</v>
      </c>
      <c r="F4517" s="10"/>
      <c r="G4517" s="10">
        <v>0</v>
      </c>
      <c r="H4517" s="10">
        <f t="shared" si="70"/>
        <v>0</v>
      </c>
      <c r="I4517" s="10"/>
      <c r="J4517" s="10"/>
      <c r="K4517" s="10"/>
      <c r="L4517" s="4" t="s">
        <v>52</v>
      </c>
      <c r="M4517" s="4">
        <v>4512</v>
      </c>
    </row>
    <row r="4518" spans="1:13" x14ac:dyDescent="0.25">
      <c r="A4518" s="4" t="s">
        <v>4429</v>
      </c>
      <c r="B4518" s="4" t="s">
        <v>4443</v>
      </c>
      <c r="C4518" s="9" t="s">
        <v>50</v>
      </c>
      <c r="D4518" s="10"/>
      <c r="E4518" s="11" t="s">
        <v>51</v>
      </c>
      <c r="F4518" s="10"/>
      <c r="G4518" s="10">
        <v>0</v>
      </c>
      <c r="H4518" s="10">
        <f t="shared" si="70"/>
        <v>0</v>
      </c>
      <c r="I4518" s="10"/>
      <c r="J4518" s="10"/>
      <c r="K4518" s="10"/>
      <c r="L4518" s="4" t="s">
        <v>52</v>
      </c>
      <c r="M4518" s="4">
        <v>4513</v>
      </c>
    </row>
    <row r="4519" spans="1:13" x14ac:dyDescent="0.25">
      <c r="A4519" s="4" t="s">
        <v>4429</v>
      </c>
      <c r="B4519" s="4" t="s">
        <v>4444</v>
      </c>
      <c r="C4519" s="9" t="s">
        <v>50</v>
      </c>
      <c r="D4519" s="10"/>
      <c r="E4519" s="11" t="s">
        <v>51</v>
      </c>
      <c r="F4519" s="10"/>
      <c r="G4519" s="10">
        <v>0</v>
      </c>
      <c r="H4519" s="10">
        <f t="shared" si="70"/>
        <v>0</v>
      </c>
      <c r="I4519" s="10"/>
      <c r="J4519" s="10"/>
      <c r="K4519" s="10"/>
      <c r="L4519" s="4" t="s">
        <v>52</v>
      </c>
      <c r="M4519" s="4">
        <v>4514</v>
      </c>
    </row>
    <row r="4520" spans="1:13" x14ac:dyDescent="0.25">
      <c r="A4520" s="4" t="s">
        <v>4429</v>
      </c>
      <c r="B4520" s="4" t="s">
        <v>4445</v>
      </c>
      <c r="C4520" s="9" t="s">
        <v>50</v>
      </c>
      <c r="D4520" s="10"/>
      <c r="E4520" s="11" t="s">
        <v>51</v>
      </c>
      <c r="F4520" s="10"/>
      <c r="G4520" s="10">
        <v>0</v>
      </c>
      <c r="H4520" s="10">
        <f t="shared" si="70"/>
        <v>0</v>
      </c>
      <c r="I4520" s="10"/>
      <c r="J4520" s="10"/>
      <c r="K4520" s="10"/>
      <c r="L4520" s="4" t="s">
        <v>52</v>
      </c>
      <c r="M4520" s="4">
        <v>4515</v>
      </c>
    </row>
    <row r="4521" spans="1:13" x14ac:dyDescent="0.25">
      <c r="A4521" s="4" t="s">
        <v>4429</v>
      </c>
      <c r="B4521" s="4" t="s">
        <v>4446</v>
      </c>
      <c r="C4521" s="9" t="s">
        <v>50</v>
      </c>
      <c r="D4521" s="10"/>
      <c r="E4521" s="11" t="s">
        <v>51</v>
      </c>
      <c r="F4521" s="10"/>
      <c r="G4521" s="10">
        <v>0</v>
      </c>
      <c r="H4521" s="10">
        <f t="shared" si="70"/>
        <v>0</v>
      </c>
      <c r="I4521" s="10"/>
      <c r="J4521" s="10"/>
      <c r="K4521" s="10"/>
      <c r="L4521" s="4" t="s">
        <v>52</v>
      </c>
      <c r="M4521" s="4">
        <v>4516</v>
      </c>
    </row>
    <row r="4522" spans="1:13" x14ac:dyDescent="0.25">
      <c r="A4522" s="4" t="s">
        <v>4429</v>
      </c>
      <c r="B4522" s="4" t="s">
        <v>4447</v>
      </c>
      <c r="C4522" s="9" t="s">
        <v>50</v>
      </c>
      <c r="D4522" s="10">
        <v>291.5</v>
      </c>
      <c r="E4522" s="11" t="s">
        <v>51</v>
      </c>
      <c r="F4522" s="10"/>
      <c r="G4522" s="10">
        <v>0</v>
      </c>
      <c r="H4522" s="10">
        <f t="shared" si="70"/>
        <v>0</v>
      </c>
      <c r="I4522" s="10"/>
      <c r="J4522" s="10"/>
      <c r="K4522" s="10"/>
      <c r="L4522" s="4" t="s">
        <v>52</v>
      </c>
      <c r="M4522" s="4">
        <v>4517</v>
      </c>
    </row>
    <row r="4523" spans="1:13" x14ac:dyDescent="0.25">
      <c r="A4523" s="4" t="s">
        <v>4448</v>
      </c>
      <c r="B4523" s="4" t="s">
        <v>4449</v>
      </c>
      <c r="C4523" s="4" t="s">
        <v>65</v>
      </c>
      <c r="D4523" s="10">
        <v>5.5</v>
      </c>
      <c r="E4523" s="12" t="s">
        <v>66</v>
      </c>
      <c r="F4523" s="10">
        <v>825.45</v>
      </c>
      <c r="G4523" s="10">
        <v>0</v>
      </c>
      <c r="H4523" s="10">
        <f t="shared" si="70"/>
        <v>825.45</v>
      </c>
      <c r="I4523" s="10">
        <v>150.08181818181819</v>
      </c>
      <c r="J4523" s="10">
        <v>150.08181818181819</v>
      </c>
      <c r="K4523" s="10">
        <v>150.08181818181819</v>
      </c>
      <c r="L4523" s="4"/>
      <c r="M4523" s="4">
        <v>4518</v>
      </c>
    </row>
    <row r="4524" spans="1:13" x14ac:dyDescent="0.25">
      <c r="A4524" s="4" t="s">
        <v>4448</v>
      </c>
      <c r="B4524" s="4" t="s">
        <v>4450</v>
      </c>
      <c r="C4524" s="4" t="s">
        <v>65</v>
      </c>
      <c r="D4524" s="10">
        <v>87.5</v>
      </c>
      <c r="E4524" s="12" t="s">
        <v>66</v>
      </c>
      <c r="F4524" s="10">
        <v>12375.45</v>
      </c>
      <c r="G4524" s="10">
        <v>0</v>
      </c>
      <c r="H4524" s="10">
        <f t="shared" si="70"/>
        <v>12375.45</v>
      </c>
      <c r="I4524" s="10">
        <v>141.4337142857143</v>
      </c>
      <c r="J4524" s="10">
        <v>141.4337142857143</v>
      </c>
      <c r="K4524" s="10">
        <v>141.4337142857143</v>
      </c>
      <c r="L4524" s="4"/>
      <c r="M4524" s="4">
        <v>4519</v>
      </c>
    </row>
    <row r="4525" spans="1:13" x14ac:dyDescent="0.25">
      <c r="A4525" s="4" t="s">
        <v>4448</v>
      </c>
      <c r="B4525" s="4" t="s">
        <v>4451</v>
      </c>
      <c r="C4525" s="4" t="s">
        <v>65</v>
      </c>
      <c r="D4525" s="10">
        <v>111</v>
      </c>
      <c r="E4525" s="12" t="s">
        <v>66</v>
      </c>
      <c r="F4525" s="10">
        <v>15675.45</v>
      </c>
      <c r="G4525" s="10">
        <v>0</v>
      </c>
      <c r="H4525" s="10">
        <f t="shared" si="70"/>
        <v>15675.45</v>
      </c>
      <c r="I4525" s="10">
        <v>141.2202702702703</v>
      </c>
      <c r="J4525" s="10">
        <v>141.2202702702703</v>
      </c>
      <c r="K4525" s="10">
        <v>141.2202702702703</v>
      </c>
      <c r="L4525" s="4"/>
      <c r="M4525" s="4">
        <v>4520</v>
      </c>
    </row>
    <row r="4526" spans="1:13" x14ac:dyDescent="0.25">
      <c r="A4526" s="4" t="s">
        <v>4448</v>
      </c>
      <c r="B4526" s="4" t="s">
        <v>4452</v>
      </c>
      <c r="C4526" s="4" t="s">
        <v>65</v>
      </c>
      <c r="D4526" s="10">
        <v>202.5</v>
      </c>
      <c r="E4526" s="12" t="s">
        <v>66</v>
      </c>
      <c r="F4526" s="10">
        <v>12375.45</v>
      </c>
      <c r="G4526" s="10">
        <v>0</v>
      </c>
      <c r="H4526" s="10">
        <f t="shared" si="70"/>
        <v>12375.45</v>
      </c>
      <c r="I4526" s="10">
        <v>141.4337142857143</v>
      </c>
      <c r="J4526" s="10">
        <v>141.4337142857143</v>
      </c>
      <c r="K4526" s="10">
        <v>141.4337142857143</v>
      </c>
      <c r="L4526" s="4"/>
      <c r="M4526" s="4">
        <v>4521</v>
      </c>
    </row>
    <row r="4527" spans="1:13" x14ac:dyDescent="0.25">
      <c r="A4527" s="4" t="s">
        <v>4453</v>
      </c>
      <c r="B4527" s="4" t="s">
        <v>4454</v>
      </c>
      <c r="C4527" s="9" t="s">
        <v>50</v>
      </c>
      <c r="D4527" s="10">
        <v>72</v>
      </c>
      <c r="E4527" s="11" t="s">
        <v>51</v>
      </c>
      <c r="F4527" s="10">
        <v>10486</v>
      </c>
      <c r="G4527" s="10">
        <v>0</v>
      </c>
      <c r="H4527" s="10">
        <f t="shared" si="70"/>
        <v>10486</v>
      </c>
      <c r="I4527" s="10"/>
      <c r="J4527" s="10"/>
      <c r="K4527" s="10"/>
      <c r="L4527" s="4" t="s">
        <v>52</v>
      </c>
      <c r="M4527" s="4">
        <v>4522</v>
      </c>
    </row>
    <row r="4528" spans="1:13" x14ac:dyDescent="0.25">
      <c r="A4528" s="4" t="s">
        <v>4453</v>
      </c>
      <c r="B4528" s="4" t="s">
        <v>4455</v>
      </c>
      <c r="C4528" s="9" t="s">
        <v>50</v>
      </c>
      <c r="D4528" s="10">
        <v>71</v>
      </c>
      <c r="E4528" s="11" t="s">
        <v>51</v>
      </c>
      <c r="F4528" s="10">
        <v>3800</v>
      </c>
      <c r="G4528" s="10">
        <v>0</v>
      </c>
      <c r="H4528" s="10">
        <f t="shared" si="70"/>
        <v>3800</v>
      </c>
      <c r="I4528" s="10"/>
      <c r="J4528" s="10"/>
      <c r="K4528" s="10"/>
      <c r="L4528" s="4" t="s">
        <v>52</v>
      </c>
      <c r="M4528" s="4">
        <v>4523</v>
      </c>
    </row>
    <row r="4529" spans="1:13" x14ac:dyDescent="0.25">
      <c r="A4529" s="4" t="s">
        <v>4456</v>
      </c>
      <c r="B4529" s="4" t="s">
        <v>4457</v>
      </c>
      <c r="C4529" s="4" t="s">
        <v>68</v>
      </c>
      <c r="D4529" s="10">
        <v>16</v>
      </c>
      <c r="E4529" s="11" t="s">
        <v>51</v>
      </c>
      <c r="F4529" s="10">
        <v>1920</v>
      </c>
      <c r="G4529" s="10">
        <v>0</v>
      </c>
      <c r="H4529" s="10">
        <f t="shared" si="70"/>
        <v>1920</v>
      </c>
      <c r="I4529" s="10"/>
      <c r="J4529" s="10"/>
      <c r="K4529" s="10"/>
      <c r="L4529" s="4" t="s">
        <v>69</v>
      </c>
      <c r="M4529" s="4">
        <v>4524</v>
      </c>
    </row>
    <row r="4530" spans="1:13" x14ac:dyDescent="0.25">
      <c r="A4530" s="4" t="s">
        <v>4456</v>
      </c>
      <c r="B4530" s="4" t="s">
        <v>4458</v>
      </c>
      <c r="C4530" s="4" t="s">
        <v>68</v>
      </c>
      <c r="D4530" s="10">
        <v>4</v>
      </c>
      <c r="E4530" s="11" t="s">
        <v>51</v>
      </c>
      <c r="F4530" s="10">
        <v>480</v>
      </c>
      <c r="G4530" s="10">
        <v>0</v>
      </c>
      <c r="H4530" s="10">
        <f t="shared" si="70"/>
        <v>480</v>
      </c>
      <c r="I4530" s="10"/>
      <c r="J4530" s="10"/>
      <c r="K4530" s="10"/>
      <c r="L4530" s="4" t="s">
        <v>69</v>
      </c>
      <c r="M4530" s="4">
        <v>4525</v>
      </c>
    </row>
    <row r="4531" spans="1:13" x14ac:dyDescent="0.25">
      <c r="A4531" s="4" t="s">
        <v>4456</v>
      </c>
      <c r="B4531" s="4" t="s">
        <v>4459</v>
      </c>
      <c r="C4531" s="4" t="s">
        <v>68</v>
      </c>
      <c r="D4531" s="10">
        <v>4</v>
      </c>
      <c r="E4531" s="11" t="s">
        <v>51</v>
      </c>
      <c r="F4531" s="10">
        <v>480</v>
      </c>
      <c r="G4531" s="10">
        <v>0</v>
      </c>
      <c r="H4531" s="10">
        <f t="shared" si="70"/>
        <v>480</v>
      </c>
      <c r="I4531" s="10"/>
      <c r="J4531" s="10"/>
      <c r="K4531" s="10"/>
      <c r="L4531" s="4" t="s">
        <v>69</v>
      </c>
      <c r="M4531" s="4">
        <v>4526</v>
      </c>
    </row>
    <row r="4532" spans="1:13" x14ac:dyDescent="0.25">
      <c r="A4532" s="4" t="s">
        <v>4456</v>
      </c>
      <c r="B4532" s="4" t="s">
        <v>4460</v>
      </c>
      <c r="C4532" s="4" t="s">
        <v>68</v>
      </c>
      <c r="D4532" s="10">
        <v>204</v>
      </c>
      <c r="E4532" s="11" t="s">
        <v>51</v>
      </c>
      <c r="F4532" s="10">
        <v>480</v>
      </c>
      <c r="G4532" s="10">
        <v>0</v>
      </c>
      <c r="H4532" s="10">
        <f t="shared" si="70"/>
        <v>480</v>
      </c>
      <c r="I4532" s="10"/>
      <c r="J4532" s="10"/>
      <c r="K4532" s="10"/>
      <c r="L4532" s="4" t="s">
        <v>69</v>
      </c>
      <c r="M4532" s="4">
        <v>4527</v>
      </c>
    </row>
    <row r="4533" spans="1:13" x14ac:dyDescent="0.25">
      <c r="A4533" s="4" t="s">
        <v>4461</v>
      </c>
      <c r="B4533" s="4" t="s">
        <v>4462</v>
      </c>
      <c r="C4533" s="4" t="s">
        <v>68</v>
      </c>
      <c r="D4533" s="10">
        <v>100</v>
      </c>
      <c r="E4533" s="11" t="s">
        <v>51</v>
      </c>
      <c r="F4533" s="10">
        <v>13500</v>
      </c>
      <c r="G4533" s="10">
        <v>0</v>
      </c>
      <c r="H4533" s="10">
        <f t="shared" si="70"/>
        <v>13500</v>
      </c>
      <c r="I4533" s="10"/>
      <c r="J4533" s="10"/>
      <c r="K4533" s="10"/>
      <c r="L4533" s="4" t="s">
        <v>69</v>
      </c>
      <c r="M4533" s="4">
        <v>4528</v>
      </c>
    </row>
    <row r="4534" spans="1:13" x14ac:dyDescent="0.25">
      <c r="A4534" s="4" t="s">
        <v>4461</v>
      </c>
      <c r="B4534" s="4" t="s">
        <v>4463</v>
      </c>
      <c r="C4534" s="4" t="s">
        <v>68</v>
      </c>
      <c r="D4534" s="10"/>
      <c r="E4534" s="11" t="s">
        <v>51</v>
      </c>
      <c r="F4534" s="10"/>
      <c r="G4534" s="10">
        <v>0</v>
      </c>
      <c r="H4534" s="10">
        <f t="shared" si="70"/>
        <v>0</v>
      </c>
      <c r="I4534" s="10"/>
      <c r="J4534" s="10"/>
      <c r="K4534" s="10"/>
      <c r="L4534" s="4" t="s">
        <v>69</v>
      </c>
      <c r="M4534" s="4">
        <v>4529</v>
      </c>
    </row>
    <row r="4535" spans="1:13" x14ac:dyDescent="0.25">
      <c r="A4535" s="4" t="s">
        <v>4461</v>
      </c>
      <c r="B4535" s="4" t="s">
        <v>4464</v>
      </c>
      <c r="C4535" s="4" t="s">
        <v>68</v>
      </c>
      <c r="D4535" s="10">
        <v>98</v>
      </c>
      <c r="E4535" s="11" t="s">
        <v>51</v>
      </c>
      <c r="F4535" s="10">
        <v>16000</v>
      </c>
      <c r="G4535" s="10">
        <v>0</v>
      </c>
      <c r="H4535" s="10">
        <f t="shared" si="70"/>
        <v>16000</v>
      </c>
      <c r="I4535" s="10"/>
      <c r="J4535" s="10"/>
      <c r="K4535" s="10"/>
      <c r="L4535" s="4" t="s">
        <v>69</v>
      </c>
      <c r="M4535" s="4">
        <v>4530</v>
      </c>
    </row>
    <row r="4536" spans="1:13" x14ac:dyDescent="0.25">
      <c r="A4536" s="4" t="s">
        <v>4465</v>
      </c>
      <c r="B4536" s="4" t="s">
        <v>4466</v>
      </c>
      <c r="C4536" s="4" t="s">
        <v>65</v>
      </c>
      <c r="D4536" s="10">
        <v>25</v>
      </c>
      <c r="E4536" s="12" t="s">
        <v>66</v>
      </c>
      <c r="F4536" s="10">
        <v>3270</v>
      </c>
      <c r="G4536" s="10">
        <v>0</v>
      </c>
      <c r="H4536" s="10">
        <f t="shared" si="70"/>
        <v>3270</v>
      </c>
      <c r="I4536" s="10">
        <v>130.80000000000001</v>
      </c>
      <c r="J4536" s="10">
        <v>130.80000000000001</v>
      </c>
      <c r="K4536" s="10">
        <v>130.80000000000001</v>
      </c>
      <c r="L4536" s="4"/>
      <c r="M4536" s="4">
        <v>4531</v>
      </c>
    </row>
    <row r="4537" spans="1:13" x14ac:dyDescent="0.25">
      <c r="A4537" s="4" t="s">
        <v>4465</v>
      </c>
      <c r="B4537" s="4" t="s">
        <v>4467</v>
      </c>
      <c r="C4537" s="4" t="s">
        <v>65</v>
      </c>
      <c r="D4537" s="10">
        <v>17</v>
      </c>
      <c r="E4537" s="12" t="s">
        <v>66</v>
      </c>
      <c r="F4537" s="10">
        <v>2430</v>
      </c>
      <c r="G4537" s="10">
        <v>0</v>
      </c>
      <c r="H4537" s="10">
        <f t="shared" si="70"/>
        <v>2430</v>
      </c>
      <c r="I4537" s="10">
        <v>142.9411764705882</v>
      </c>
      <c r="J4537" s="10">
        <v>142.9411764705882</v>
      </c>
      <c r="K4537" s="10">
        <v>142.9411764705882</v>
      </c>
      <c r="L4537" s="4"/>
      <c r="M4537" s="4">
        <v>4532</v>
      </c>
    </row>
    <row r="4538" spans="1:13" x14ac:dyDescent="0.25">
      <c r="A4538" s="4" t="s">
        <v>4465</v>
      </c>
      <c r="B4538" s="4" t="s">
        <v>4468</v>
      </c>
      <c r="C4538" s="4" t="s">
        <v>65</v>
      </c>
      <c r="D4538" s="10">
        <v>26</v>
      </c>
      <c r="E4538" s="12" t="s">
        <v>66</v>
      </c>
      <c r="F4538" s="10">
        <v>4000</v>
      </c>
      <c r="G4538" s="10">
        <v>0</v>
      </c>
      <c r="H4538" s="10">
        <f t="shared" si="70"/>
        <v>4000</v>
      </c>
      <c r="I4538" s="10">
        <v>153.84615384615381</v>
      </c>
      <c r="J4538" s="10">
        <v>153.84615384615381</v>
      </c>
      <c r="K4538" s="10">
        <v>153.84615384615381</v>
      </c>
      <c r="L4538" s="4"/>
      <c r="M4538" s="4">
        <v>4533</v>
      </c>
    </row>
    <row r="4539" spans="1:13" x14ac:dyDescent="0.25">
      <c r="A4539" s="4" t="s">
        <v>4465</v>
      </c>
      <c r="B4539" s="4" t="s">
        <v>4469</v>
      </c>
      <c r="C4539" s="4" t="s">
        <v>65</v>
      </c>
      <c r="D4539" s="10">
        <v>18</v>
      </c>
      <c r="E4539" s="12" t="s">
        <v>66</v>
      </c>
      <c r="F4539" s="10">
        <v>2800</v>
      </c>
      <c r="G4539" s="10">
        <v>0</v>
      </c>
      <c r="H4539" s="10">
        <f t="shared" si="70"/>
        <v>2800</v>
      </c>
      <c r="I4539" s="10">
        <v>155.55555555555549</v>
      </c>
      <c r="J4539" s="10">
        <v>155.55555555555549</v>
      </c>
      <c r="K4539" s="10">
        <v>155.55555555555549</v>
      </c>
      <c r="L4539" s="4"/>
      <c r="M4539" s="4">
        <v>4534</v>
      </c>
    </row>
    <row r="4540" spans="1:13" x14ac:dyDescent="0.25">
      <c r="A4540" s="4" t="s">
        <v>4465</v>
      </c>
      <c r="B4540" s="4" t="s">
        <v>4470</v>
      </c>
      <c r="C4540" s="4" t="s">
        <v>65</v>
      </c>
      <c r="D4540" s="10">
        <v>8</v>
      </c>
      <c r="E4540" s="12" t="s">
        <v>66</v>
      </c>
      <c r="F4540" s="10">
        <v>1250</v>
      </c>
      <c r="G4540" s="10">
        <v>0</v>
      </c>
      <c r="H4540" s="10">
        <f t="shared" si="70"/>
        <v>1250</v>
      </c>
      <c r="I4540" s="10">
        <v>156.25</v>
      </c>
      <c r="J4540" s="10">
        <v>156.25</v>
      </c>
      <c r="K4540" s="10">
        <v>156.25</v>
      </c>
      <c r="L4540" s="4"/>
      <c r="M4540" s="4">
        <v>4535</v>
      </c>
    </row>
    <row r="4541" spans="1:13" x14ac:dyDescent="0.25">
      <c r="A4541" s="4" t="s">
        <v>4465</v>
      </c>
      <c r="B4541" s="4" t="s">
        <v>4471</v>
      </c>
      <c r="C4541" s="4" t="s">
        <v>65</v>
      </c>
      <c r="D4541" s="10">
        <v>121</v>
      </c>
      <c r="E4541" s="12" t="s">
        <v>66</v>
      </c>
      <c r="F4541" s="10">
        <v>650</v>
      </c>
      <c r="G4541" s="10">
        <v>0</v>
      </c>
      <c r="H4541" s="10">
        <f t="shared" si="70"/>
        <v>650</v>
      </c>
      <c r="I4541" s="10">
        <v>162.5</v>
      </c>
      <c r="J4541" s="10">
        <v>162.5</v>
      </c>
      <c r="K4541" s="10">
        <v>162.5</v>
      </c>
      <c r="L4541" s="4"/>
      <c r="M4541" s="4">
        <v>4536</v>
      </c>
    </row>
    <row r="4542" spans="1:13" x14ac:dyDescent="0.25">
      <c r="A4542" s="4" t="s">
        <v>4472</v>
      </c>
      <c r="B4542" s="4" t="s">
        <v>4088</v>
      </c>
      <c r="C4542" s="4" t="s">
        <v>65</v>
      </c>
      <c r="D4542" s="10">
        <v>5</v>
      </c>
      <c r="E4542" s="12" t="s">
        <v>66</v>
      </c>
      <c r="F4542" s="10">
        <v>650</v>
      </c>
      <c r="G4542" s="10">
        <v>0</v>
      </c>
      <c r="H4542" s="10">
        <f t="shared" si="70"/>
        <v>650</v>
      </c>
      <c r="I4542" s="10">
        <v>130</v>
      </c>
      <c r="J4542" s="10">
        <v>130</v>
      </c>
      <c r="K4542" s="10">
        <v>130</v>
      </c>
      <c r="L4542" s="4"/>
      <c r="M4542" s="4">
        <v>4537</v>
      </c>
    </row>
    <row r="4543" spans="1:13" x14ac:dyDescent="0.25">
      <c r="A4543" s="4" t="s">
        <v>4472</v>
      </c>
      <c r="B4543" s="4" t="s">
        <v>4473</v>
      </c>
      <c r="C4543" s="4" t="s">
        <v>65</v>
      </c>
      <c r="D4543" s="10">
        <v>69</v>
      </c>
      <c r="E4543" s="12" t="s">
        <v>66</v>
      </c>
      <c r="F4543" s="10">
        <v>8800</v>
      </c>
      <c r="G4543" s="10">
        <v>0</v>
      </c>
      <c r="H4543" s="10">
        <f t="shared" si="70"/>
        <v>8800</v>
      </c>
      <c r="I4543" s="10">
        <v>127.536231884058</v>
      </c>
      <c r="J4543" s="10">
        <v>127.536231884058</v>
      </c>
      <c r="K4543" s="10">
        <v>127.536231884058</v>
      </c>
      <c r="L4543" s="4"/>
      <c r="M4543" s="4">
        <v>4538</v>
      </c>
    </row>
    <row r="4544" spans="1:13" x14ac:dyDescent="0.25">
      <c r="A4544" s="4" t="s">
        <v>4472</v>
      </c>
      <c r="B4544" s="4" t="s">
        <v>4474</v>
      </c>
      <c r="C4544" s="4" t="s">
        <v>65</v>
      </c>
      <c r="D4544" s="10">
        <v>220</v>
      </c>
      <c r="E4544" s="12" t="s">
        <v>66</v>
      </c>
      <c r="F4544" s="10">
        <v>5500</v>
      </c>
      <c r="G4544" s="10">
        <v>0</v>
      </c>
      <c r="H4544" s="10">
        <f t="shared" si="70"/>
        <v>5500</v>
      </c>
      <c r="I4544" s="10">
        <v>127.9069767441861</v>
      </c>
      <c r="J4544" s="10">
        <v>127.9069767441861</v>
      </c>
      <c r="K4544" s="10">
        <v>127.9069767441861</v>
      </c>
      <c r="L4544" s="4"/>
      <c r="M4544" s="4">
        <v>4539</v>
      </c>
    </row>
    <row r="4545" spans="1:13" x14ac:dyDescent="0.25">
      <c r="A4545" s="4" t="s">
        <v>4475</v>
      </c>
      <c r="B4545" s="4" t="s">
        <v>4476</v>
      </c>
      <c r="C4545" s="9" t="s">
        <v>50</v>
      </c>
      <c r="D4545" s="10">
        <v>1</v>
      </c>
      <c r="E4545" s="11" t="s">
        <v>51</v>
      </c>
      <c r="F4545" s="10">
        <v>150</v>
      </c>
      <c r="G4545" s="10">
        <v>0</v>
      </c>
      <c r="H4545" s="10">
        <f t="shared" si="70"/>
        <v>150</v>
      </c>
      <c r="I4545" s="10"/>
      <c r="J4545" s="10"/>
      <c r="K4545" s="10"/>
      <c r="L4545" s="4" t="s">
        <v>52</v>
      </c>
      <c r="M4545" s="4">
        <v>4540</v>
      </c>
    </row>
    <row r="4546" spans="1:13" x14ac:dyDescent="0.25">
      <c r="A4546" s="4" t="s">
        <v>4475</v>
      </c>
      <c r="B4546" s="4" t="s">
        <v>4477</v>
      </c>
      <c r="C4546" s="9" t="s">
        <v>50</v>
      </c>
      <c r="D4546" s="10">
        <v>10</v>
      </c>
      <c r="E4546" s="11" t="s">
        <v>51</v>
      </c>
      <c r="F4546" s="10">
        <v>1250</v>
      </c>
      <c r="G4546" s="10">
        <v>0</v>
      </c>
      <c r="H4546" s="10">
        <f t="shared" si="70"/>
        <v>1250</v>
      </c>
      <c r="I4546" s="10"/>
      <c r="J4546" s="10"/>
      <c r="K4546" s="10"/>
      <c r="L4546" s="4" t="s">
        <v>52</v>
      </c>
      <c r="M4546" s="4">
        <v>4541</v>
      </c>
    </row>
    <row r="4547" spans="1:13" x14ac:dyDescent="0.25">
      <c r="A4547" s="4" t="s">
        <v>4475</v>
      </c>
      <c r="B4547" s="4" t="s">
        <v>4478</v>
      </c>
      <c r="C4547" s="9" t="s">
        <v>50</v>
      </c>
      <c r="D4547" s="10">
        <v>15</v>
      </c>
      <c r="E4547" s="11" t="s">
        <v>51</v>
      </c>
      <c r="F4547" s="10">
        <v>1900</v>
      </c>
      <c r="G4547" s="10">
        <v>0</v>
      </c>
      <c r="H4547" s="10">
        <f t="shared" si="70"/>
        <v>1900</v>
      </c>
      <c r="I4547" s="10"/>
      <c r="J4547" s="10"/>
      <c r="K4547" s="10"/>
      <c r="L4547" s="4" t="s">
        <v>52</v>
      </c>
      <c r="M4547" s="4">
        <v>4542</v>
      </c>
    </row>
    <row r="4548" spans="1:13" x14ac:dyDescent="0.25">
      <c r="A4548" s="4" t="s">
        <v>4475</v>
      </c>
      <c r="B4548" s="4" t="s">
        <v>4479</v>
      </c>
      <c r="C4548" s="9" t="s">
        <v>50</v>
      </c>
      <c r="D4548" s="10">
        <v>8.5</v>
      </c>
      <c r="E4548" s="11" t="s">
        <v>51</v>
      </c>
      <c r="F4548" s="10">
        <v>1100</v>
      </c>
      <c r="G4548" s="10">
        <v>0</v>
      </c>
      <c r="H4548" s="10">
        <f t="shared" si="70"/>
        <v>1100</v>
      </c>
      <c r="I4548" s="10"/>
      <c r="J4548" s="10"/>
      <c r="K4548" s="10"/>
      <c r="L4548" s="4" t="s">
        <v>52</v>
      </c>
      <c r="M4548" s="4">
        <v>4543</v>
      </c>
    </row>
    <row r="4549" spans="1:13" x14ac:dyDescent="0.25">
      <c r="A4549" s="4" t="s">
        <v>4475</v>
      </c>
      <c r="B4549" s="4" t="s">
        <v>2665</v>
      </c>
      <c r="C4549" s="9" t="s">
        <v>50</v>
      </c>
      <c r="D4549" s="10">
        <v>19.5</v>
      </c>
      <c r="E4549" s="11" t="s">
        <v>51</v>
      </c>
      <c r="F4549" s="10">
        <v>2500</v>
      </c>
      <c r="G4549" s="10">
        <v>0</v>
      </c>
      <c r="H4549" s="10">
        <f t="shared" si="70"/>
        <v>2500</v>
      </c>
      <c r="I4549" s="10"/>
      <c r="J4549" s="10"/>
      <c r="K4549" s="10"/>
      <c r="L4549" s="4" t="s">
        <v>52</v>
      </c>
      <c r="M4549" s="4">
        <v>4544</v>
      </c>
    </row>
    <row r="4550" spans="1:13" x14ac:dyDescent="0.25">
      <c r="A4550" s="4" t="s">
        <v>4475</v>
      </c>
      <c r="B4550" s="4" t="s">
        <v>4480</v>
      </c>
      <c r="C4550" s="9" t="s">
        <v>50</v>
      </c>
      <c r="D4550" s="10">
        <v>21.5</v>
      </c>
      <c r="E4550" s="11" t="s">
        <v>51</v>
      </c>
      <c r="F4550" s="10">
        <v>1900</v>
      </c>
      <c r="G4550" s="10">
        <v>0</v>
      </c>
      <c r="H4550" s="10">
        <f t="shared" ref="H4550:H4613" si="71">F4550-G4550</f>
        <v>1900</v>
      </c>
      <c r="I4550" s="10"/>
      <c r="J4550" s="10"/>
      <c r="K4550" s="10"/>
      <c r="L4550" s="4" t="s">
        <v>52</v>
      </c>
      <c r="M4550" s="4">
        <v>4545</v>
      </c>
    </row>
    <row r="4551" spans="1:13" x14ac:dyDescent="0.25">
      <c r="A4551" s="4" t="s">
        <v>4475</v>
      </c>
      <c r="B4551" s="4" t="s">
        <v>4481</v>
      </c>
      <c r="C4551" s="9" t="s">
        <v>50</v>
      </c>
      <c r="D4551" s="10">
        <v>44.5</v>
      </c>
      <c r="E4551" s="11" t="s">
        <v>51</v>
      </c>
      <c r="F4551" s="10">
        <v>4600</v>
      </c>
      <c r="G4551" s="10">
        <v>0</v>
      </c>
      <c r="H4551" s="10">
        <f t="shared" si="71"/>
        <v>4600</v>
      </c>
      <c r="I4551" s="10"/>
      <c r="J4551" s="10"/>
      <c r="K4551" s="10"/>
      <c r="L4551" s="4" t="s">
        <v>52</v>
      </c>
      <c r="M4551" s="4">
        <v>4546</v>
      </c>
    </row>
    <row r="4552" spans="1:13" x14ac:dyDescent="0.25">
      <c r="A4552" s="4" t="s">
        <v>4475</v>
      </c>
      <c r="B4552" s="4" t="s">
        <v>4482</v>
      </c>
      <c r="C4552" s="9" t="s">
        <v>50</v>
      </c>
      <c r="D4552" s="10">
        <v>17</v>
      </c>
      <c r="E4552" s="11" t="s">
        <v>51</v>
      </c>
      <c r="F4552" s="10">
        <v>2200</v>
      </c>
      <c r="G4552" s="10">
        <v>0</v>
      </c>
      <c r="H4552" s="10">
        <f t="shared" si="71"/>
        <v>2200</v>
      </c>
      <c r="I4552" s="10"/>
      <c r="J4552" s="10"/>
      <c r="K4552" s="10"/>
      <c r="L4552" s="4" t="s">
        <v>52</v>
      </c>
      <c r="M4552" s="4">
        <v>4547</v>
      </c>
    </row>
    <row r="4553" spans="1:13" x14ac:dyDescent="0.25">
      <c r="A4553" s="4" t="s">
        <v>4475</v>
      </c>
      <c r="B4553" s="4" t="s">
        <v>4483</v>
      </c>
      <c r="C4553" s="9" t="s">
        <v>50</v>
      </c>
      <c r="D4553" s="10">
        <v>25</v>
      </c>
      <c r="E4553" s="11" t="s">
        <v>51</v>
      </c>
      <c r="F4553" s="10">
        <v>3200</v>
      </c>
      <c r="G4553" s="10">
        <v>0</v>
      </c>
      <c r="H4553" s="10">
        <f t="shared" si="71"/>
        <v>3200</v>
      </c>
      <c r="I4553" s="10"/>
      <c r="J4553" s="10"/>
      <c r="K4553" s="10"/>
      <c r="L4553" s="4" t="s">
        <v>52</v>
      </c>
      <c r="M4553" s="4">
        <v>4548</v>
      </c>
    </row>
    <row r="4554" spans="1:13" x14ac:dyDescent="0.25">
      <c r="A4554" s="4" t="s">
        <v>4475</v>
      </c>
      <c r="B4554" s="4" t="s">
        <v>4484</v>
      </c>
      <c r="C4554" s="9" t="s">
        <v>50</v>
      </c>
      <c r="D4554" s="10">
        <v>89</v>
      </c>
      <c r="E4554" s="11" t="s">
        <v>51</v>
      </c>
      <c r="F4554" s="10">
        <v>1900</v>
      </c>
      <c r="G4554" s="10">
        <v>0</v>
      </c>
      <c r="H4554" s="10">
        <f t="shared" si="71"/>
        <v>1900</v>
      </c>
      <c r="I4554" s="10"/>
      <c r="J4554" s="10"/>
      <c r="K4554" s="10"/>
      <c r="L4554" s="4" t="s">
        <v>52</v>
      </c>
      <c r="M4554" s="4">
        <v>4549</v>
      </c>
    </row>
    <row r="4555" spans="1:13" x14ac:dyDescent="0.25">
      <c r="A4555" s="4" t="s">
        <v>4485</v>
      </c>
      <c r="B4555" s="4" t="s">
        <v>4486</v>
      </c>
      <c r="C4555" s="4" t="s">
        <v>65</v>
      </c>
      <c r="D4555" s="10">
        <v>82</v>
      </c>
      <c r="E4555" s="12" t="s">
        <v>66</v>
      </c>
      <c r="F4555" s="10">
        <v>9250</v>
      </c>
      <c r="G4555" s="10">
        <v>0</v>
      </c>
      <c r="H4555" s="10">
        <f t="shared" si="71"/>
        <v>9250</v>
      </c>
      <c r="I4555" s="10">
        <v>125</v>
      </c>
      <c r="J4555" s="10">
        <v>125</v>
      </c>
      <c r="K4555" s="10">
        <v>125</v>
      </c>
      <c r="L4555" s="4"/>
      <c r="M4555" s="4">
        <v>4550</v>
      </c>
    </row>
    <row r="4556" spans="1:13" x14ac:dyDescent="0.25">
      <c r="A4556" s="4" t="s">
        <v>4487</v>
      </c>
      <c r="B4556" s="4" t="s">
        <v>4488</v>
      </c>
      <c r="C4556" s="4" t="s">
        <v>65</v>
      </c>
      <c r="D4556" s="10">
        <v>18</v>
      </c>
      <c r="E4556" s="12" t="s">
        <v>66</v>
      </c>
      <c r="F4556" s="10">
        <v>1050</v>
      </c>
      <c r="G4556" s="10">
        <v>0</v>
      </c>
      <c r="H4556" s="10">
        <f t="shared" si="71"/>
        <v>1050</v>
      </c>
      <c r="I4556" s="10">
        <v>131.25</v>
      </c>
      <c r="J4556" s="10">
        <v>131.25</v>
      </c>
      <c r="K4556" s="10">
        <v>131.25</v>
      </c>
      <c r="L4556" s="4"/>
      <c r="M4556" s="4">
        <v>4551</v>
      </c>
    </row>
    <row r="4557" spans="1:13" x14ac:dyDescent="0.25">
      <c r="A4557" s="4" t="s">
        <v>4489</v>
      </c>
      <c r="B4557" s="4" t="s">
        <v>4490</v>
      </c>
      <c r="C4557" s="4" t="s">
        <v>65</v>
      </c>
      <c r="D4557" s="10">
        <v>56</v>
      </c>
      <c r="E4557" s="12" t="s">
        <v>66</v>
      </c>
      <c r="F4557" s="10">
        <v>1000</v>
      </c>
      <c r="G4557" s="10">
        <v>0</v>
      </c>
      <c r="H4557" s="10">
        <f t="shared" si="71"/>
        <v>1000</v>
      </c>
      <c r="I4557" s="10">
        <v>100</v>
      </c>
      <c r="J4557" s="10">
        <v>100</v>
      </c>
      <c r="K4557" s="10">
        <v>100</v>
      </c>
      <c r="L4557" s="4"/>
      <c r="M4557" s="4">
        <v>4552</v>
      </c>
    </row>
    <row r="4558" spans="1:13" x14ac:dyDescent="0.25">
      <c r="A4558" s="4" t="s">
        <v>4491</v>
      </c>
      <c r="B4558" s="4" t="s">
        <v>4361</v>
      </c>
      <c r="C4558" s="4" t="s">
        <v>68</v>
      </c>
      <c r="D4558" s="10"/>
      <c r="E4558" s="11" t="s">
        <v>51</v>
      </c>
      <c r="F4558" s="10">
        <v>3850</v>
      </c>
      <c r="G4558" s="10">
        <v>0</v>
      </c>
      <c r="H4558" s="10">
        <f t="shared" si="71"/>
        <v>3850</v>
      </c>
      <c r="I4558" s="10"/>
      <c r="J4558" s="10"/>
      <c r="K4558" s="10"/>
      <c r="L4558" s="4" t="s">
        <v>69</v>
      </c>
      <c r="M4558" s="4">
        <v>4553</v>
      </c>
    </row>
    <row r="4559" spans="1:13" x14ac:dyDescent="0.25">
      <c r="A4559" s="4" t="s">
        <v>4491</v>
      </c>
      <c r="B4559" s="4" t="s">
        <v>4492</v>
      </c>
      <c r="C4559" s="4" t="s">
        <v>65</v>
      </c>
      <c r="D4559" s="10">
        <v>81</v>
      </c>
      <c r="E4559" s="12" t="s">
        <v>66</v>
      </c>
      <c r="F4559" s="10">
        <v>6400</v>
      </c>
      <c r="G4559" s="10">
        <v>0</v>
      </c>
      <c r="H4559" s="10">
        <f t="shared" si="71"/>
        <v>6400</v>
      </c>
      <c r="I4559" s="10">
        <v>114.28571428571431</v>
      </c>
      <c r="J4559" s="10">
        <v>114.28571428571431</v>
      </c>
      <c r="K4559" s="10">
        <v>114.28571428571431</v>
      </c>
      <c r="L4559" s="4"/>
      <c r="M4559" s="4">
        <v>4554</v>
      </c>
    </row>
    <row r="4560" spans="1:13" x14ac:dyDescent="0.25">
      <c r="A4560" s="4" t="s">
        <v>4493</v>
      </c>
      <c r="B4560" s="4" t="s">
        <v>4494</v>
      </c>
      <c r="C4560" s="4" t="s">
        <v>68</v>
      </c>
      <c r="D4560" s="10">
        <v>151</v>
      </c>
      <c r="E4560" s="11" t="s">
        <v>51</v>
      </c>
      <c r="F4560" s="10">
        <v>3000</v>
      </c>
      <c r="G4560" s="10">
        <v>0</v>
      </c>
      <c r="H4560" s="10">
        <f t="shared" si="71"/>
        <v>3000</v>
      </c>
      <c r="I4560" s="10"/>
      <c r="J4560" s="10"/>
      <c r="K4560" s="10"/>
      <c r="L4560" s="4" t="s">
        <v>69</v>
      </c>
      <c r="M4560" s="4">
        <v>4555</v>
      </c>
    </row>
    <row r="4561" spans="1:13" x14ac:dyDescent="0.25">
      <c r="A4561" s="4" t="s">
        <v>4495</v>
      </c>
      <c r="B4561" s="4" t="s">
        <v>4496</v>
      </c>
      <c r="C4561" s="4" t="s">
        <v>65</v>
      </c>
      <c r="D4561" s="10">
        <v>80</v>
      </c>
      <c r="E4561" s="12" t="s">
        <v>66</v>
      </c>
      <c r="F4561" s="10">
        <v>9750</v>
      </c>
      <c r="G4561" s="10">
        <v>0</v>
      </c>
      <c r="H4561" s="10">
        <f t="shared" si="71"/>
        <v>9750</v>
      </c>
      <c r="I4561" s="10">
        <v>121.875</v>
      </c>
      <c r="J4561" s="10">
        <v>121.875</v>
      </c>
      <c r="K4561" s="10">
        <v>121.875</v>
      </c>
      <c r="L4561" s="4"/>
      <c r="M4561" s="4">
        <v>4556</v>
      </c>
    </row>
    <row r="4562" spans="1:13" x14ac:dyDescent="0.25">
      <c r="A4562" s="4" t="s">
        <v>4495</v>
      </c>
      <c r="B4562" s="4" t="s">
        <v>4497</v>
      </c>
      <c r="C4562" s="4" t="s">
        <v>65</v>
      </c>
      <c r="D4562" s="10">
        <v>29</v>
      </c>
      <c r="E4562" s="12" t="s">
        <v>66</v>
      </c>
      <c r="F4562" s="10">
        <v>2700</v>
      </c>
      <c r="G4562" s="10">
        <v>0</v>
      </c>
      <c r="H4562" s="10">
        <f t="shared" si="71"/>
        <v>2700</v>
      </c>
      <c r="I4562" s="10">
        <v>93.103448275862064</v>
      </c>
      <c r="J4562" s="10">
        <v>93.103448275862064</v>
      </c>
      <c r="K4562" s="10">
        <v>93.103448275862064</v>
      </c>
      <c r="L4562" s="4"/>
      <c r="M4562" s="4">
        <v>4557</v>
      </c>
    </row>
    <row r="4563" spans="1:13" x14ac:dyDescent="0.25">
      <c r="A4563" s="4" t="s">
        <v>4495</v>
      </c>
      <c r="B4563" s="4" t="s">
        <v>4498</v>
      </c>
      <c r="C4563" s="4" t="s">
        <v>65</v>
      </c>
      <c r="D4563" s="10">
        <v>213</v>
      </c>
      <c r="E4563" s="12" t="s">
        <v>66</v>
      </c>
      <c r="F4563" s="10">
        <v>1550</v>
      </c>
      <c r="G4563" s="10">
        <v>0</v>
      </c>
      <c r="H4563" s="10">
        <f t="shared" si="71"/>
        <v>1550</v>
      </c>
      <c r="I4563" s="10">
        <v>91.17647058823529</v>
      </c>
      <c r="J4563" s="10">
        <v>91.17647058823529</v>
      </c>
      <c r="K4563" s="10">
        <v>91.17647058823529</v>
      </c>
      <c r="L4563" s="4"/>
      <c r="M4563" s="4">
        <v>4558</v>
      </c>
    </row>
    <row r="4564" spans="1:13" x14ac:dyDescent="0.25">
      <c r="A4564" s="4" t="s">
        <v>4499</v>
      </c>
      <c r="B4564" s="4" t="s">
        <v>4500</v>
      </c>
      <c r="C4564" s="9" t="s">
        <v>50</v>
      </c>
      <c r="D4564" s="10">
        <v>29.5</v>
      </c>
      <c r="E4564" s="11" t="s">
        <v>51</v>
      </c>
      <c r="F4564" s="10">
        <v>4375</v>
      </c>
      <c r="G4564" s="10">
        <v>0</v>
      </c>
      <c r="H4564" s="10">
        <f t="shared" si="71"/>
        <v>4375</v>
      </c>
      <c r="I4564" s="10"/>
      <c r="J4564" s="10"/>
      <c r="K4564" s="10"/>
      <c r="L4564" s="4" t="s">
        <v>52</v>
      </c>
      <c r="M4564" s="4">
        <v>4559</v>
      </c>
    </row>
    <row r="4565" spans="1:13" x14ac:dyDescent="0.25">
      <c r="A4565" s="4" t="s">
        <v>4499</v>
      </c>
      <c r="B4565" s="4" t="s">
        <v>4501</v>
      </c>
      <c r="C4565" s="9" t="s">
        <v>50</v>
      </c>
      <c r="D4565" s="10">
        <v>32.5</v>
      </c>
      <c r="E4565" s="11" t="s">
        <v>51</v>
      </c>
      <c r="F4565" s="10">
        <v>4812.93</v>
      </c>
      <c r="G4565" s="10">
        <v>0</v>
      </c>
      <c r="H4565" s="10">
        <f t="shared" si="71"/>
        <v>4812.93</v>
      </c>
      <c r="I4565" s="10"/>
      <c r="J4565" s="10"/>
      <c r="K4565" s="10"/>
      <c r="L4565" s="4" t="s">
        <v>52</v>
      </c>
      <c r="M4565" s="4">
        <v>4560</v>
      </c>
    </row>
    <row r="4566" spans="1:13" x14ac:dyDescent="0.25">
      <c r="A4566" s="4" t="s">
        <v>4499</v>
      </c>
      <c r="B4566" s="4" t="s">
        <v>4502</v>
      </c>
      <c r="C4566" s="9" t="s">
        <v>50</v>
      </c>
      <c r="D4566" s="10">
        <v>33</v>
      </c>
      <c r="E4566" s="11" t="s">
        <v>51</v>
      </c>
      <c r="F4566" s="10">
        <v>4987.57</v>
      </c>
      <c r="G4566" s="10">
        <v>0</v>
      </c>
      <c r="H4566" s="10">
        <f t="shared" si="71"/>
        <v>4987.57</v>
      </c>
      <c r="I4566" s="10"/>
      <c r="J4566" s="10"/>
      <c r="K4566" s="10"/>
      <c r="L4566" s="4" t="s">
        <v>52</v>
      </c>
      <c r="M4566" s="4">
        <v>4561</v>
      </c>
    </row>
    <row r="4567" spans="1:13" x14ac:dyDescent="0.25">
      <c r="A4567" s="4" t="s">
        <v>4499</v>
      </c>
      <c r="B4567" s="4" t="s">
        <v>4503</v>
      </c>
      <c r="C4567" s="9" t="s">
        <v>50</v>
      </c>
      <c r="D4567" s="10">
        <v>64.5</v>
      </c>
      <c r="E4567" s="11" t="s">
        <v>51</v>
      </c>
      <c r="F4567" s="10">
        <v>9625.4599999999991</v>
      </c>
      <c r="G4567" s="10">
        <v>0</v>
      </c>
      <c r="H4567" s="10">
        <f t="shared" si="71"/>
        <v>9625.4599999999991</v>
      </c>
      <c r="I4567" s="10"/>
      <c r="J4567" s="10"/>
      <c r="K4567" s="10"/>
      <c r="L4567" s="4" t="s">
        <v>52</v>
      </c>
      <c r="M4567" s="4">
        <v>4562</v>
      </c>
    </row>
    <row r="4568" spans="1:13" x14ac:dyDescent="0.25">
      <c r="A4568" s="4" t="s">
        <v>4499</v>
      </c>
      <c r="B4568" s="4" t="s">
        <v>4504</v>
      </c>
      <c r="C4568" s="9" t="s">
        <v>50</v>
      </c>
      <c r="D4568" s="10">
        <v>14.5</v>
      </c>
      <c r="E4568" s="11" t="s">
        <v>51</v>
      </c>
      <c r="F4568" s="10">
        <v>2169.7800000000002</v>
      </c>
      <c r="G4568" s="10">
        <v>0</v>
      </c>
      <c r="H4568" s="10">
        <f t="shared" si="71"/>
        <v>2169.7800000000002</v>
      </c>
      <c r="I4568" s="10"/>
      <c r="J4568" s="10"/>
      <c r="K4568" s="10"/>
      <c r="L4568" s="4" t="s">
        <v>52</v>
      </c>
      <c r="M4568" s="4">
        <v>4563</v>
      </c>
    </row>
    <row r="4569" spans="1:13" x14ac:dyDescent="0.25">
      <c r="A4569" s="4" t="s">
        <v>4499</v>
      </c>
      <c r="B4569" s="4" t="s">
        <v>4505</v>
      </c>
      <c r="C4569" s="9" t="s">
        <v>50</v>
      </c>
      <c r="D4569" s="10">
        <v>22</v>
      </c>
      <c r="E4569" s="11" t="s">
        <v>51</v>
      </c>
      <c r="F4569" s="10">
        <v>3324.99</v>
      </c>
      <c r="G4569" s="10">
        <v>0</v>
      </c>
      <c r="H4569" s="10">
        <f t="shared" si="71"/>
        <v>3324.99</v>
      </c>
      <c r="I4569" s="10"/>
      <c r="J4569" s="10"/>
      <c r="K4569" s="10"/>
      <c r="L4569" s="4" t="s">
        <v>52</v>
      </c>
      <c r="M4569" s="4">
        <v>4564</v>
      </c>
    </row>
    <row r="4570" spans="1:13" x14ac:dyDescent="0.25">
      <c r="A4570" s="4" t="s">
        <v>4499</v>
      </c>
      <c r="B4570" s="4" t="s">
        <v>4506</v>
      </c>
      <c r="C4570" s="9" t="s">
        <v>50</v>
      </c>
      <c r="D4570" s="10">
        <v>50</v>
      </c>
      <c r="E4570" s="11" t="s">
        <v>51</v>
      </c>
      <c r="F4570" s="10"/>
      <c r="G4570" s="10">
        <v>0</v>
      </c>
      <c r="H4570" s="10">
        <f t="shared" si="71"/>
        <v>0</v>
      </c>
      <c r="I4570" s="10"/>
      <c r="J4570" s="10"/>
      <c r="K4570" s="10"/>
      <c r="L4570" s="4" t="s">
        <v>52</v>
      </c>
      <c r="M4570" s="4">
        <v>4565</v>
      </c>
    </row>
    <row r="4571" spans="1:13" x14ac:dyDescent="0.25">
      <c r="A4571" s="4" t="s">
        <v>4507</v>
      </c>
      <c r="B4571" s="4" t="s">
        <v>4508</v>
      </c>
      <c r="C4571" s="4" t="s">
        <v>68</v>
      </c>
      <c r="D4571" s="10">
        <v>77</v>
      </c>
      <c r="E4571" s="11" t="s">
        <v>51</v>
      </c>
      <c r="F4571" s="10">
        <v>6750</v>
      </c>
      <c r="G4571" s="10">
        <v>0</v>
      </c>
      <c r="H4571" s="10">
        <f t="shared" si="71"/>
        <v>6750</v>
      </c>
      <c r="I4571" s="10"/>
      <c r="J4571" s="10"/>
      <c r="K4571" s="10"/>
      <c r="L4571" s="4" t="s">
        <v>69</v>
      </c>
      <c r="M4571" s="4">
        <v>4566</v>
      </c>
    </row>
    <row r="4572" spans="1:13" x14ac:dyDescent="0.25">
      <c r="A4572" s="4" t="s">
        <v>4509</v>
      </c>
      <c r="B4572" s="4" t="s">
        <v>4510</v>
      </c>
      <c r="C4572" s="4" t="s">
        <v>65</v>
      </c>
      <c r="D4572" s="10">
        <v>57</v>
      </c>
      <c r="E4572" s="12" t="s">
        <v>66</v>
      </c>
      <c r="F4572" s="10">
        <v>4200</v>
      </c>
      <c r="G4572" s="10">
        <v>0</v>
      </c>
      <c r="H4572" s="10">
        <f t="shared" si="71"/>
        <v>4200</v>
      </c>
      <c r="I4572" s="10">
        <v>155.55555555555549</v>
      </c>
      <c r="J4572" s="10">
        <v>155.55555555555549</v>
      </c>
      <c r="K4572" s="10">
        <v>155.55555555555549</v>
      </c>
      <c r="L4572" s="4"/>
      <c r="M4572" s="4">
        <v>4567</v>
      </c>
    </row>
    <row r="4573" spans="1:13" x14ac:dyDescent="0.25">
      <c r="A4573" s="4" t="s">
        <v>4511</v>
      </c>
      <c r="B4573" s="4" t="s">
        <v>4512</v>
      </c>
      <c r="C4573" s="4" t="s">
        <v>68</v>
      </c>
      <c r="D4573" s="10">
        <v>30</v>
      </c>
      <c r="E4573" s="11" t="s">
        <v>51</v>
      </c>
      <c r="F4573" s="10">
        <v>3600</v>
      </c>
      <c r="G4573" s="10">
        <v>0</v>
      </c>
      <c r="H4573" s="10">
        <f t="shared" si="71"/>
        <v>3600</v>
      </c>
      <c r="I4573" s="10"/>
      <c r="J4573" s="10"/>
      <c r="K4573" s="10"/>
      <c r="L4573" s="4" t="s">
        <v>69</v>
      </c>
      <c r="M4573" s="4">
        <v>4568</v>
      </c>
    </row>
    <row r="4574" spans="1:13" x14ac:dyDescent="0.25">
      <c r="A4574" s="4" t="s">
        <v>4511</v>
      </c>
      <c r="B4574" s="4" t="s">
        <v>4513</v>
      </c>
      <c r="C4574" s="4" t="s">
        <v>68</v>
      </c>
      <c r="D4574" s="10">
        <v>40</v>
      </c>
      <c r="E4574" s="11" t="s">
        <v>51</v>
      </c>
      <c r="F4574" s="10"/>
      <c r="G4574" s="10">
        <v>0</v>
      </c>
      <c r="H4574" s="10">
        <f t="shared" si="71"/>
        <v>0</v>
      </c>
      <c r="I4574" s="10"/>
      <c r="J4574" s="10"/>
      <c r="K4574" s="10"/>
      <c r="L4574" s="4" t="s">
        <v>69</v>
      </c>
      <c r="M4574" s="4">
        <v>4569</v>
      </c>
    </row>
    <row r="4575" spans="1:13" x14ac:dyDescent="0.25">
      <c r="A4575" s="4" t="s">
        <v>4514</v>
      </c>
      <c r="B4575" s="4" t="s">
        <v>4515</v>
      </c>
      <c r="C4575" s="4" t="s">
        <v>65</v>
      </c>
      <c r="D4575" s="10">
        <v>136</v>
      </c>
      <c r="E4575" s="12" t="s">
        <v>66</v>
      </c>
      <c r="F4575" s="10">
        <v>5000</v>
      </c>
      <c r="G4575" s="10">
        <v>0</v>
      </c>
      <c r="H4575" s="10">
        <f t="shared" si="71"/>
        <v>5000</v>
      </c>
      <c r="I4575" s="10">
        <v>125</v>
      </c>
      <c r="J4575" s="10">
        <v>125</v>
      </c>
      <c r="K4575" s="10">
        <v>125</v>
      </c>
      <c r="L4575" s="4"/>
      <c r="M4575" s="4">
        <v>4570</v>
      </c>
    </row>
    <row r="4576" spans="1:13" x14ac:dyDescent="0.25">
      <c r="A4576" s="4" t="s">
        <v>4516</v>
      </c>
      <c r="B4576" s="4" t="s">
        <v>4517</v>
      </c>
      <c r="C4576" s="4" t="s">
        <v>68</v>
      </c>
      <c r="D4576" s="10">
        <v>156</v>
      </c>
      <c r="E4576" s="11" t="s">
        <v>51</v>
      </c>
      <c r="F4576" s="10">
        <v>8928</v>
      </c>
      <c r="G4576" s="10">
        <v>0</v>
      </c>
      <c r="H4576" s="10">
        <f t="shared" si="71"/>
        <v>8928</v>
      </c>
      <c r="I4576" s="10"/>
      <c r="J4576" s="10"/>
      <c r="K4576" s="10"/>
      <c r="L4576" s="4" t="s">
        <v>69</v>
      </c>
      <c r="M4576" s="4">
        <v>4571</v>
      </c>
    </row>
    <row r="4577" spans="1:13" x14ac:dyDescent="0.25">
      <c r="A4577" s="4" t="s">
        <v>4518</v>
      </c>
      <c r="B4577" s="4" t="s">
        <v>4519</v>
      </c>
      <c r="C4577" s="4" t="s">
        <v>68</v>
      </c>
      <c r="D4577" s="10">
        <v>20</v>
      </c>
      <c r="E4577" s="11" t="s">
        <v>51</v>
      </c>
      <c r="F4577" s="10">
        <v>2800</v>
      </c>
      <c r="G4577" s="10">
        <v>0</v>
      </c>
      <c r="H4577" s="10">
        <f t="shared" si="71"/>
        <v>2800</v>
      </c>
      <c r="I4577" s="10"/>
      <c r="J4577" s="10"/>
      <c r="K4577" s="10"/>
      <c r="L4577" s="4" t="s">
        <v>69</v>
      </c>
      <c r="M4577" s="4">
        <v>4572</v>
      </c>
    </row>
    <row r="4578" spans="1:13" x14ac:dyDescent="0.25">
      <c r="A4578" s="4" t="s">
        <v>4518</v>
      </c>
      <c r="B4578" s="4" t="s">
        <v>4520</v>
      </c>
      <c r="C4578" s="4" t="s">
        <v>68</v>
      </c>
      <c r="D4578" s="10">
        <v>20</v>
      </c>
      <c r="E4578" s="11" t="s">
        <v>51</v>
      </c>
      <c r="F4578" s="10">
        <v>2800</v>
      </c>
      <c r="G4578" s="10">
        <v>0</v>
      </c>
      <c r="H4578" s="10">
        <f t="shared" si="71"/>
        <v>2800</v>
      </c>
      <c r="I4578" s="10"/>
      <c r="J4578" s="10"/>
      <c r="K4578" s="10"/>
      <c r="L4578" s="4" t="s">
        <v>69</v>
      </c>
      <c r="M4578" s="4">
        <v>4573</v>
      </c>
    </row>
    <row r="4579" spans="1:13" x14ac:dyDescent="0.25">
      <c r="A4579" s="4" t="s">
        <v>4518</v>
      </c>
      <c r="B4579" s="4" t="s">
        <v>4521</v>
      </c>
      <c r="C4579" s="4" t="s">
        <v>68</v>
      </c>
      <c r="D4579" s="10">
        <v>25.5</v>
      </c>
      <c r="E4579" s="11" t="s">
        <v>51</v>
      </c>
      <c r="F4579" s="10">
        <v>2800</v>
      </c>
      <c r="G4579" s="10">
        <v>0</v>
      </c>
      <c r="H4579" s="10">
        <f t="shared" si="71"/>
        <v>2800</v>
      </c>
      <c r="I4579" s="10"/>
      <c r="J4579" s="10"/>
      <c r="K4579" s="10"/>
      <c r="L4579" s="4" t="s">
        <v>69</v>
      </c>
      <c r="M4579" s="4">
        <v>4574</v>
      </c>
    </row>
    <row r="4580" spans="1:13" x14ac:dyDescent="0.25">
      <c r="A4580" s="4" t="s">
        <v>4522</v>
      </c>
      <c r="B4580" s="4" t="s">
        <v>4088</v>
      </c>
      <c r="C4580" s="4" t="s">
        <v>65</v>
      </c>
      <c r="D4580" s="10">
        <v>0.5</v>
      </c>
      <c r="E4580" s="12" t="s">
        <v>66</v>
      </c>
      <c r="F4580" s="10">
        <v>50</v>
      </c>
      <c r="G4580" s="10">
        <v>0</v>
      </c>
      <c r="H4580" s="10">
        <f t="shared" si="71"/>
        <v>50</v>
      </c>
      <c r="I4580" s="10">
        <v>100</v>
      </c>
      <c r="J4580" s="10">
        <v>100</v>
      </c>
      <c r="K4580" s="10">
        <v>100</v>
      </c>
      <c r="L4580" s="4"/>
      <c r="M4580" s="4">
        <v>4575</v>
      </c>
    </row>
    <row r="4581" spans="1:13" x14ac:dyDescent="0.25">
      <c r="A4581" s="4" t="s">
        <v>4522</v>
      </c>
      <c r="B4581" s="4" t="s">
        <v>4089</v>
      </c>
      <c r="C4581" s="4" t="s">
        <v>65</v>
      </c>
      <c r="D4581" s="10">
        <v>5</v>
      </c>
      <c r="E4581" s="12" t="s">
        <v>66</v>
      </c>
      <c r="F4581" s="10">
        <v>800</v>
      </c>
      <c r="G4581" s="10">
        <v>0</v>
      </c>
      <c r="H4581" s="10">
        <f t="shared" si="71"/>
        <v>800</v>
      </c>
      <c r="I4581" s="10">
        <v>160</v>
      </c>
      <c r="J4581" s="10">
        <v>160</v>
      </c>
      <c r="K4581" s="10">
        <v>160</v>
      </c>
      <c r="L4581" s="4"/>
      <c r="M4581" s="4">
        <v>4576</v>
      </c>
    </row>
    <row r="4582" spans="1:13" x14ac:dyDescent="0.25">
      <c r="A4582" s="4" t="s">
        <v>4522</v>
      </c>
      <c r="B4582" s="4" t="s">
        <v>2589</v>
      </c>
      <c r="C4582" s="4" t="s">
        <v>65</v>
      </c>
      <c r="D4582" s="10">
        <v>11</v>
      </c>
      <c r="E4582" s="12" t="s">
        <v>66</v>
      </c>
      <c r="F4582" s="10">
        <v>1800</v>
      </c>
      <c r="G4582" s="10">
        <v>0</v>
      </c>
      <c r="H4582" s="10">
        <f t="shared" si="71"/>
        <v>1800</v>
      </c>
      <c r="I4582" s="10">
        <v>163.6363636363636</v>
      </c>
      <c r="J4582" s="10">
        <v>163.6363636363636</v>
      </c>
      <c r="K4582" s="10">
        <v>163.6363636363636</v>
      </c>
      <c r="L4582" s="4"/>
      <c r="M4582" s="4">
        <v>4577</v>
      </c>
    </row>
    <row r="4583" spans="1:13" x14ac:dyDescent="0.25">
      <c r="A4583" s="4" t="s">
        <v>4522</v>
      </c>
      <c r="B4583" s="4" t="s">
        <v>2590</v>
      </c>
      <c r="C4583" s="4" t="s">
        <v>65</v>
      </c>
      <c r="D4583" s="10">
        <v>39.5</v>
      </c>
      <c r="E4583" s="12" t="s">
        <v>66</v>
      </c>
      <c r="F4583" s="10">
        <v>1000</v>
      </c>
      <c r="G4583" s="10">
        <v>0</v>
      </c>
      <c r="H4583" s="10">
        <f t="shared" si="71"/>
        <v>1000</v>
      </c>
      <c r="I4583" s="10">
        <v>111.1111111111111</v>
      </c>
      <c r="J4583" s="10">
        <v>111.1111111111111</v>
      </c>
      <c r="K4583" s="10">
        <v>111.1111111111111</v>
      </c>
      <c r="L4583" s="4"/>
      <c r="M4583" s="4">
        <v>4578</v>
      </c>
    </row>
    <row r="4584" spans="1:13" x14ac:dyDescent="0.25">
      <c r="A4584" s="4" t="s">
        <v>4523</v>
      </c>
      <c r="B4584" s="4" t="s">
        <v>4088</v>
      </c>
      <c r="C4584" s="4" t="s">
        <v>65</v>
      </c>
      <c r="D4584" s="10">
        <v>0.5</v>
      </c>
      <c r="E4584" s="12" t="s">
        <v>66</v>
      </c>
      <c r="F4584" s="10">
        <v>500</v>
      </c>
      <c r="G4584" s="10">
        <v>0</v>
      </c>
      <c r="H4584" s="10">
        <f t="shared" si="71"/>
        <v>500</v>
      </c>
      <c r="I4584" s="10">
        <v>1000</v>
      </c>
      <c r="J4584" s="10">
        <v>1000</v>
      </c>
      <c r="K4584" s="10">
        <v>1000</v>
      </c>
      <c r="L4584" s="4"/>
      <c r="M4584" s="4">
        <v>4579</v>
      </c>
    </row>
    <row r="4585" spans="1:13" x14ac:dyDescent="0.25">
      <c r="A4585" s="4" t="s">
        <v>4523</v>
      </c>
      <c r="B4585" s="4" t="s">
        <v>4089</v>
      </c>
      <c r="C4585" s="4" t="s">
        <v>65</v>
      </c>
      <c r="D4585" s="10">
        <v>4</v>
      </c>
      <c r="E4585" s="12" t="s">
        <v>66</v>
      </c>
      <c r="F4585" s="10">
        <v>650</v>
      </c>
      <c r="G4585" s="10">
        <v>0</v>
      </c>
      <c r="H4585" s="10">
        <f t="shared" si="71"/>
        <v>650</v>
      </c>
      <c r="I4585" s="10">
        <v>162.5</v>
      </c>
      <c r="J4585" s="10">
        <v>162.5</v>
      </c>
      <c r="K4585" s="10">
        <v>162.5</v>
      </c>
      <c r="L4585" s="4"/>
      <c r="M4585" s="4">
        <v>4580</v>
      </c>
    </row>
    <row r="4586" spans="1:13" x14ac:dyDescent="0.25">
      <c r="A4586" s="4" t="s">
        <v>4523</v>
      </c>
      <c r="B4586" s="4" t="s">
        <v>2589</v>
      </c>
      <c r="C4586" s="4" t="s">
        <v>65</v>
      </c>
      <c r="D4586" s="10">
        <v>12</v>
      </c>
      <c r="E4586" s="12" t="s">
        <v>66</v>
      </c>
      <c r="F4586" s="10">
        <v>1800</v>
      </c>
      <c r="G4586" s="10">
        <v>0</v>
      </c>
      <c r="H4586" s="10">
        <f t="shared" si="71"/>
        <v>1800</v>
      </c>
      <c r="I4586" s="10">
        <v>150</v>
      </c>
      <c r="J4586" s="10">
        <v>150</v>
      </c>
      <c r="K4586" s="10">
        <v>150</v>
      </c>
      <c r="L4586" s="4"/>
      <c r="M4586" s="4">
        <v>4581</v>
      </c>
    </row>
    <row r="4587" spans="1:13" x14ac:dyDescent="0.25">
      <c r="A4587" s="4" t="s">
        <v>4523</v>
      </c>
      <c r="B4587" s="4" t="s">
        <v>2590</v>
      </c>
      <c r="C4587" s="4" t="s">
        <v>65</v>
      </c>
      <c r="D4587" s="10">
        <v>458</v>
      </c>
      <c r="E4587" s="12" t="s">
        <v>66</v>
      </c>
      <c r="F4587" s="10">
        <v>1500</v>
      </c>
      <c r="G4587" s="10">
        <v>0</v>
      </c>
      <c r="H4587" s="10">
        <f t="shared" si="71"/>
        <v>1500</v>
      </c>
      <c r="I4587" s="10">
        <v>107.1428571428571</v>
      </c>
      <c r="J4587" s="10">
        <v>107.1428571428571</v>
      </c>
      <c r="K4587" s="10">
        <v>107.1428571428571</v>
      </c>
      <c r="L4587" s="4"/>
      <c r="M4587" s="4">
        <v>4582</v>
      </c>
    </row>
    <row r="4588" spans="1:13" x14ac:dyDescent="0.25">
      <c r="A4588" s="4" t="s">
        <v>4524</v>
      </c>
      <c r="B4588" s="4" t="s">
        <v>4525</v>
      </c>
      <c r="C4588" s="9" t="s">
        <v>50</v>
      </c>
      <c r="D4588" s="10">
        <v>272</v>
      </c>
      <c r="E4588" s="11" t="s">
        <v>51</v>
      </c>
      <c r="F4588" s="10">
        <v>31040</v>
      </c>
      <c r="G4588" s="10">
        <v>0</v>
      </c>
      <c r="H4588" s="10">
        <f t="shared" si="71"/>
        <v>31040</v>
      </c>
      <c r="I4588" s="10"/>
      <c r="J4588" s="10"/>
      <c r="K4588" s="10"/>
      <c r="L4588" s="4" t="s">
        <v>52</v>
      </c>
      <c r="M4588" s="4">
        <v>4583</v>
      </c>
    </row>
    <row r="4589" spans="1:13" x14ac:dyDescent="0.25">
      <c r="A4589" s="4" t="s">
        <v>4524</v>
      </c>
      <c r="B4589" s="4" t="s">
        <v>4526</v>
      </c>
      <c r="C4589" s="9" t="s">
        <v>50</v>
      </c>
      <c r="D4589" s="10">
        <v>320</v>
      </c>
      <c r="E4589" s="11" t="s">
        <v>51</v>
      </c>
      <c r="F4589" s="10">
        <v>23000</v>
      </c>
      <c r="G4589" s="10">
        <v>0</v>
      </c>
      <c r="H4589" s="10">
        <f t="shared" si="71"/>
        <v>23000</v>
      </c>
      <c r="I4589" s="10"/>
      <c r="J4589" s="10"/>
      <c r="K4589" s="10"/>
      <c r="L4589" s="4" t="s">
        <v>52</v>
      </c>
      <c r="M4589" s="4">
        <v>4584</v>
      </c>
    </row>
    <row r="4590" spans="1:13" x14ac:dyDescent="0.25">
      <c r="A4590" s="4" t="s">
        <v>4527</v>
      </c>
      <c r="B4590" s="4" t="s">
        <v>4528</v>
      </c>
      <c r="C4590" s="4" t="s">
        <v>68</v>
      </c>
      <c r="D4590" s="10">
        <v>24</v>
      </c>
      <c r="E4590" s="11" t="s">
        <v>51</v>
      </c>
      <c r="F4590" s="10">
        <v>3360</v>
      </c>
      <c r="G4590" s="10">
        <v>0</v>
      </c>
      <c r="H4590" s="10">
        <f t="shared" si="71"/>
        <v>3360</v>
      </c>
      <c r="I4590" s="10"/>
      <c r="J4590" s="10"/>
      <c r="K4590" s="10"/>
      <c r="L4590" s="4" t="s">
        <v>69</v>
      </c>
      <c r="M4590" s="4">
        <v>4585</v>
      </c>
    </row>
    <row r="4591" spans="1:13" x14ac:dyDescent="0.25">
      <c r="A4591" s="4" t="s">
        <v>4527</v>
      </c>
      <c r="B4591" s="4" t="s">
        <v>4529</v>
      </c>
      <c r="C4591" s="4" t="s">
        <v>68</v>
      </c>
      <c r="D4591" s="10">
        <v>24</v>
      </c>
      <c r="E4591" s="11" t="s">
        <v>51</v>
      </c>
      <c r="F4591" s="10">
        <v>3360</v>
      </c>
      <c r="G4591" s="10">
        <v>0</v>
      </c>
      <c r="H4591" s="10">
        <f t="shared" si="71"/>
        <v>3360</v>
      </c>
      <c r="I4591" s="10"/>
      <c r="J4591" s="10"/>
      <c r="K4591" s="10"/>
      <c r="L4591" s="4" t="s">
        <v>69</v>
      </c>
      <c r="M4591" s="4">
        <v>4586</v>
      </c>
    </row>
    <row r="4592" spans="1:13" x14ac:dyDescent="0.25">
      <c r="A4592" s="4" t="s">
        <v>4530</v>
      </c>
      <c r="B4592" s="4" t="s">
        <v>470</v>
      </c>
      <c r="C4592" s="4" t="s">
        <v>68</v>
      </c>
      <c r="D4592" s="10">
        <v>88</v>
      </c>
      <c r="E4592" s="11" t="s">
        <v>51</v>
      </c>
      <c r="F4592" s="10"/>
      <c r="G4592" s="10">
        <v>0</v>
      </c>
      <c r="H4592" s="10">
        <f t="shared" si="71"/>
        <v>0</v>
      </c>
      <c r="I4592" s="10"/>
      <c r="J4592" s="10"/>
      <c r="K4592" s="10"/>
      <c r="L4592" s="4" t="s">
        <v>69</v>
      </c>
      <c r="M4592" s="4">
        <v>4587</v>
      </c>
    </row>
    <row r="4593" spans="1:13" x14ac:dyDescent="0.25">
      <c r="A4593" s="4" t="s">
        <v>4531</v>
      </c>
      <c r="B4593" s="4" t="s">
        <v>4532</v>
      </c>
      <c r="C4593" s="4" t="s">
        <v>68</v>
      </c>
      <c r="D4593" s="10">
        <v>84</v>
      </c>
      <c r="E4593" s="11" t="s">
        <v>51</v>
      </c>
      <c r="F4593" s="10">
        <v>3000</v>
      </c>
      <c r="G4593" s="10">
        <v>0</v>
      </c>
      <c r="H4593" s="10">
        <f t="shared" si="71"/>
        <v>3000</v>
      </c>
      <c r="I4593" s="10"/>
      <c r="J4593" s="10"/>
      <c r="K4593" s="10"/>
      <c r="L4593" s="4" t="s">
        <v>69</v>
      </c>
      <c r="M4593" s="4">
        <v>4588</v>
      </c>
    </row>
    <row r="4594" spans="1:13" x14ac:dyDescent="0.25">
      <c r="A4594" s="4" t="s">
        <v>4533</v>
      </c>
      <c r="B4594" s="4" t="s">
        <v>4534</v>
      </c>
      <c r="C4594" s="4" t="s">
        <v>65</v>
      </c>
      <c r="D4594" s="10">
        <v>83</v>
      </c>
      <c r="E4594" s="12" t="s">
        <v>66</v>
      </c>
      <c r="F4594" s="10">
        <v>7200</v>
      </c>
      <c r="G4594" s="10">
        <v>0</v>
      </c>
      <c r="H4594" s="10">
        <f t="shared" si="71"/>
        <v>7200</v>
      </c>
      <c r="I4594" s="10">
        <v>120</v>
      </c>
      <c r="J4594" s="10">
        <v>120</v>
      </c>
      <c r="K4594" s="10">
        <v>120</v>
      </c>
      <c r="L4594" s="4"/>
      <c r="M4594" s="4">
        <v>4589</v>
      </c>
    </row>
    <row r="4595" spans="1:13" x14ac:dyDescent="0.25">
      <c r="A4595" s="4" t="s">
        <v>4535</v>
      </c>
      <c r="B4595" s="4" t="s">
        <v>4355</v>
      </c>
      <c r="C4595" s="4" t="s">
        <v>65</v>
      </c>
      <c r="D4595" s="10">
        <v>77</v>
      </c>
      <c r="E4595" s="12" t="s">
        <v>66</v>
      </c>
      <c r="F4595" s="10">
        <v>2650</v>
      </c>
      <c r="G4595" s="10">
        <v>0</v>
      </c>
      <c r="H4595" s="10">
        <f t="shared" si="71"/>
        <v>2650</v>
      </c>
      <c r="I4595" s="10">
        <v>115.2173913043478</v>
      </c>
      <c r="J4595" s="10">
        <v>115.2173913043478</v>
      </c>
      <c r="K4595" s="10">
        <v>115.2173913043478</v>
      </c>
      <c r="L4595" s="4"/>
      <c r="M4595" s="4">
        <v>4590</v>
      </c>
    </row>
    <row r="4596" spans="1:13" x14ac:dyDescent="0.25">
      <c r="A4596" s="4" t="s">
        <v>4536</v>
      </c>
      <c r="B4596" s="4" t="s">
        <v>4537</v>
      </c>
      <c r="C4596" s="4" t="s">
        <v>65</v>
      </c>
      <c r="D4596" s="10">
        <v>24</v>
      </c>
      <c r="E4596" s="12" t="s">
        <v>66</v>
      </c>
      <c r="F4596" s="10">
        <v>3200</v>
      </c>
      <c r="G4596" s="10">
        <v>0</v>
      </c>
      <c r="H4596" s="10">
        <f t="shared" si="71"/>
        <v>3200</v>
      </c>
      <c r="I4596" s="10">
        <v>133.33333333333329</v>
      </c>
      <c r="J4596" s="10">
        <v>133.33333333333329</v>
      </c>
      <c r="K4596" s="10">
        <v>133.33333333333329</v>
      </c>
      <c r="L4596" s="4"/>
      <c r="M4596" s="4">
        <v>4591</v>
      </c>
    </row>
    <row r="4597" spans="1:13" x14ac:dyDescent="0.25">
      <c r="A4597" s="4" t="s">
        <v>4536</v>
      </c>
      <c r="B4597" s="4" t="s">
        <v>4538</v>
      </c>
      <c r="C4597" s="4" t="s">
        <v>68</v>
      </c>
      <c r="D4597" s="10">
        <v>746</v>
      </c>
      <c r="E4597" s="11" t="s">
        <v>51</v>
      </c>
      <c r="F4597" s="10">
        <v>3600</v>
      </c>
      <c r="G4597" s="10">
        <v>0</v>
      </c>
      <c r="H4597" s="10">
        <f t="shared" si="71"/>
        <v>3600</v>
      </c>
      <c r="I4597" s="10"/>
      <c r="J4597" s="10"/>
      <c r="K4597" s="10"/>
      <c r="L4597" s="4" t="s">
        <v>69</v>
      </c>
      <c r="M4597" s="4">
        <v>4592</v>
      </c>
    </row>
    <row r="4598" spans="1:13" x14ac:dyDescent="0.25">
      <c r="A4598" s="4" t="s">
        <v>4539</v>
      </c>
      <c r="B4598" s="4" t="s">
        <v>4540</v>
      </c>
      <c r="C4598" s="4" t="s">
        <v>65</v>
      </c>
      <c r="D4598" s="10">
        <v>96</v>
      </c>
      <c r="E4598" s="12" t="s">
        <v>66</v>
      </c>
      <c r="F4598" s="10">
        <v>15300</v>
      </c>
      <c r="G4598" s="10">
        <v>0</v>
      </c>
      <c r="H4598" s="10">
        <f t="shared" si="71"/>
        <v>15300</v>
      </c>
      <c r="I4598" s="10">
        <v>159.375</v>
      </c>
      <c r="J4598" s="10">
        <v>159.375</v>
      </c>
      <c r="K4598" s="10">
        <v>159.375</v>
      </c>
      <c r="L4598" s="4"/>
      <c r="M4598" s="4">
        <v>4593</v>
      </c>
    </row>
    <row r="4599" spans="1:13" x14ac:dyDescent="0.25">
      <c r="A4599" s="4" t="s">
        <v>4539</v>
      </c>
      <c r="B4599" s="4" t="s">
        <v>4541</v>
      </c>
      <c r="C4599" s="4" t="s">
        <v>65</v>
      </c>
      <c r="D4599" s="10">
        <v>134</v>
      </c>
      <c r="E4599" s="12" t="s">
        <v>66</v>
      </c>
      <c r="F4599" s="10">
        <v>18650</v>
      </c>
      <c r="G4599" s="10">
        <v>0</v>
      </c>
      <c r="H4599" s="10">
        <f t="shared" si="71"/>
        <v>18650</v>
      </c>
      <c r="I4599" s="10">
        <v>139.1791044776119</v>
      </c>
      <c r="J4599" s="10">
        <v>139.1791044776119</v>
      </c>
      <c r="K4599" s="10">
        <v>139.1791044776119</v>
      </c>
      <c r="L4599" s="4"/>
      <c r="M4599" s="4">
        <v>4594</v>
      </c>
    </row>
    <row r="4600" spans="1:13" x14ac:dyDescent="0.25">
      <c r="A4600" s="4" t="s">
        <v>4539</v>
      </c>
      <c r="B4600" s="4" t="s">
        <v>537</v>
      </c>
      <c r="C4600" s="4" t="s">
        <v>65</v>
      </c>
      <c r="D4600" s="10">
        <v>16</v>
      </c>
      <c r="E4600" s="12" t="s">
        <v>66</v>
      </c>
      <c r="F4600" s="10">
        <v>2240</v>
      </c>
      <c r="G4600" s="10">
        <v>0</v>
      </c>
      <c r="H4600" s="10">
        <f t="shared" si="71"/>
        <v>2240</v>
      </c>
      <c r="I4600" s="10">
        <v>140</v>
      </c>
      <c r="J4600" s="10">
        <v>140</v>
      </c>
      <c r="K4600" s="10">
        <v>140</v>
      </c>
      <c r="L4600" s="4"/>
      <c r="M4600" s="4">
        <v>4595</v>
      </c>
    </row>
    <row r="4601" spans="1:13" x14ac:dyDescent="0.25">
      <c r="A4601" s="4" t="s">
        <v>4539</v>
      </c>
      <c r="B4601" s="4" t="s">
        <v>4542</v>
      </c>
      <c r="C4601" s="4" t="s">
        <v>65</v>
      </c>
      <c r="D4601" s="10">
        <v>250</v>
      </c>
      <c r="E4601" s="12" t="s">
        <v>66</v>
      </c>
      <c r="F4601" s="10">
        <v>37350</v>
      </c>
      <c r="G4601" s="10">
        <v>0</v>
      </c>
      <c r="H4601" s="10">
        <f t="shared" si="71"/>
        <v>37350</v>
      </c>
      <c r="I4601" s="10">
        <v>149.4</v>
      </c>
      <c r="J4601" s="10">
        <v>149.4</v>
      </c>
      <c r="K4601" s="10">
        <v>149.4</v>
      </c>
      <c r="L4601" s="4"/>
      <c r="M4601" s="4">
        <v>4596</v>
      </c>
    </row>
    <row r="4602" spans="1:13" x14ac:dyDescent="0.25">
      <c r="A4602" s="4" t="s">
        <v>4539</v>
      </c>
      <c r="B4602" s="4" t="s">
        <v>4543</v>
      </c>
      <c r="C4602" s="4" t="s">
        <v>65</v>
      </c>
      <c r="D4602" s="10">
        <v>60</v>
      </c>
      <c r="E4602" s="12" t="s">
        <v>66</v>
      </c>
      <c r="F4602" s="10">
        <v>9700</v>
      </c>
      <c r="G4602" s="10">
        <v>0</v>
      </c>
      <c r="H4602" s="10">
        <f t="shared" si="71"/>
        <v>9700</v>
      </c>
      <c r="I4602" s="10">
        <v>161.66666666666671</v>
      </c>
      <c r="J4602" s="10">
        <v>161.66666666666671</v>
      </c>
      <c r="K4602" s="10">
        <v>161.66666666666671</v>
      </c>
      <c r="L4602" s="4"/>
      <c r="M4602" s="4">
        <v>4597</v>
      </c>
    </row>
    <row r="4603" spans="1:13" x14ac:dyDescent="0.25">
      <c r="A4603" s="4" t="s">
        <v>4539</v>
      </c>
      <c r="B4603" s="4" t="s">
        <v>4544</v>
      </c>
      <c r="C4603" s="4" t="s">
        <v>68</v>
      </c>
      <c r="D4603" s="10">
        <v>104</v>
      </c>
      <c r="E4603" s="11" t="s">
        <v>51</v>
      </c>
      <c r="F4603" s="10">
        <v>14560</v>
      </c>
      <c r="G4603" s="10">
        <v>0</v>
      </c>
      <c r="H4603" s="10">
        <f t="shared" si="71"/>
        <v>14560</v>
      </c>
      <c r="I4603" s="10"/>
      <c r="J4603" s="10"/>
      <c r="K4603" s="10"/>
      <c r="L4603" s="4" t="s">
        <v>69</v>
      </c>
      <c r="M4603" s="4">
        <v>4598</v>
      </c>
    </row>
    <row r="4604" spans="1:13" x14ac:dyDescent="0.25">
      <c r="A4604" s="4" t="s">
        <v>4539</v>
      </c>
      <c r="B4604" s="4" t="s">
        <v>4545</v>
      </c>
      <c r="C4604" s="4" t="s">
        <v>65</v>
      </c>
      <c r="D4604" s="10">
        <v>114</v>
      </c>
      <c r="E4604" s="12" t="s">
        <v>66</v>
      </c>
      <c r="F4604" s="10">
        <v>11600</v>
      </c>
      <c r="G4604" s="10">
        <v>0</v>
      </c>
      <c r="H4604" s="10">
        <f t="shared" si="71"/>
        <v>11600</v>
      </c>
      <c r="I4604" s="10">
        <v>161.11111111111109</v>
      </c>
      <c r="J4604" s="10">
        <v>161.11111111111109</v>
      </c>
      <c r="K4604" s="10">
        <v>161.11111111111109</v>
      </c>
      <c r="L4604" s="4"/>
      <c r="M4604" s="4">
        <v>4599</v>
      </c>
    </row>
    <row r="4605" spans="1:13" x14ac:dyDescent="0.25">
      <c r="A4605" s="4" t="s">
        <v>4546</v>
      </c>
      <c r="B4605" s="4" t="s">
        <v>617</v>
      </c>
      <c r="C4605" s="4" t="s">
        <v>65</v>
      </c>
      <c r="D4605" s="10">
        <v>154</v>
      </c>
      <c r="E4605" s="12" t="s">
        <v>66</v>
      </c>
      <c r="F4605" s="10">
        <v>3750</v>
      </c>
      <c r="G4605" s="10">
        <v>0</v>
      </c>
      <c r="H4605" s="10">
        <f t="shared" si="71"/>
        <v>3750</v>
      </c>
      <c r="I4605" s="10">
        <v>89.285714285714292</v>
      </c>
      <c r="J4605" s="10">
        <v>89.285714285714292</v>
      </c>
      <c r="K4605" s="10">
        <v>89.285714285714292</v>
      </c>
      <c r="L4605" s="4"/>
      <c r="M4605" s="4">
        <v>4600</v>
      </c>
    </row>
    <row r="4606" spans="1:13" x14ac:dyDescent="0.25">
      <c r="A4606" s="4" t="s">
        <v>4547</v>
      </c>
      <c r="B4606" s="4" t="s">
        <v>4548</v>
      </c>
      <c r="C4606" s="4" t="s">
        <v>65</v>
      </c>
      <c r="D4606" s="10">
        <v>27</v>
      </c>
      <c r="E4606" s="12" t="s">
        <v>66</v>
      </c>
      <c r="F4606" s="10">
        <v>3700</v>
      </c>
      <c r="G4606" s="10">
        <v>0</v>
      </c>
      <c r="H4606" s="10">
        <f t="shared" si="71"/>
        <v>3700</v>
      </c>
      <c r="I4606" s="10">
        <v>137.03703703703701</v>
      </c>
      <c r="J4606" s="10">
        <v>137.03703703703701</v>
      </c>
      <c r="K4606" s="10">
        <v>137.03703703703701</v>
      </c>
      <c r="L4606" s="4"/>
      <c r="M4606" s="4">
        <v>4601</v>
      </c>
    </row>
    <row r="4607" spans="1:13" x14ac:dyDescent="0.25">
      <c r="A4607" s="4" t="s">
        <v>4547</v>
      </c>
      <c r="B4607" s="4" t="s">
        <v>4549</v>
      </c>
      <c r="C4607" s="4" t="s">
        <v>65</v>
      </c>
      <c r="D4607" s="10">
        <v>31</v>
      </c>
      <c r="E4607" s="12" t="s">
        <v>66</v>
      </c>
      <c r="F4607" s="10">
        <v>4250</v>
      </c>
      <c r="G4607" s="10">
        <v>0</v>
      </c>
      <c r="H4607" s="10">
        <f t="shared" si="71"/>
        <v>4250</v>
      </c>
      <c r="I4607" s="10">
        <v>137.09677419354841</v>
      </c>
      <c r="J4607" s="10">
        <v>137.09677419354841</v>
      </c>
      <c r="K4607" s="10">
        <v>137.09677419354841</v>
      </c>
      <c r="L4607" s="4"/>
      <c r="M4607" s="4">
        <v>4602</v>
      </c>
    </row>
    <row r="4608" spans="1:13" x14ac:dyDescent="0.25">
      <c r="A4608" s="4" t="s">
        <v>4547</v>
      </c>
      <c r="B4608" s="4" t="s">
        <v>4550</v>
      </c>
      <c r="C4608" s="4" t="s">
        <v>65</v>
      </c>
      <c r="D4608" s="10">
        <v>27</v>
      </c>
      <c r="E4608" s="12" t="s">
        <v>66</v>
      </c>
      <c r="F4608" s="10">
        <v>3700</v>
      </c>
      <c r="G4608" s="10">
        <v>0</v>
      </c>
      <c r="H4608" s="10">
        <f t="shared" si="71"/>
        <v>3700</v>
      </c>
      <c r="I4608" s="10">
        <v>137.03703703703701</v>
      </c>
      <c r="J4608" s="10">
        <v>137.03703703703701</v>
      </c>
      <c r="K4608" s="10">
        <v>137.03703703703701</v>
      </c>
      <c r="L4608" s="4"/>
      <c r="M4608" s="4">
        <v>4603</v>
      </c>
    </row>
    <row r="4609" spans="1:13" x14ac:dyDescent="0.25">
      <c r="A4609" s="4" t="s">
        <v>4547</v>
      </c>
      <c r="B4609" s="4" t="s">
        <v>4551</v>
      </c>
      <c r="C4609" s="4" t="s">
        <v>65</v>
      </c>
      <c r="D4609" s="10">
        <v>47</v>
      </c>
      <c r="E4609" s="12" t="s">
        <v>66</v>
      </c>
      <c r="F4609" s="10">
        <v>3700</v>
      </c>
      <c r="G4609" s="10">
        <v>0</v>
      </c>
      <c r="H4609" s="10">
        <f t="shared" si="71"/>
        <v>3700</v>
      </c>
      <c r="I4609" s="10">
        <v>137.03703703703701</v>
      </c>
      <c r="J4609" s="10">
        <v>137.03703703703701</v>
      </c>
      <c r="K4609" s="10">
        <v>137.03703703703701</v>
      </c>
      <c r="L4609" s="4"/>
      <c r="M4609" s="4">
        <v>4604</v>
      </c>
    </row>
    <row r="4610" spans="1:13" x14ac:dyDescent="0.25">
      <c r="A4610" s="4" t="s">
        <v>4552</v>
      </c>
      <c r="B4610" s="4" t="s">
        <v>4553</v>
      </c>
      <c r="C4610" s="4" t="s">
        <v>65</v>
      </c>
      <c r="D4610" s="10">
        <v>34</v>
      </c>
      <c r="E4610" s="12" t="s">
        <v>66</v>
      </c>
      <c r="F4610" s="10">
        <v>1700</v>
      </c>
      <c r="G4610" s="10">
        <v>0</v>
      </c>
      <c r="H4610" s="10">
        <f t="shared" si="71"/>
        <v>1700</v>
      </c>
      <c r="I4610" s="10">
        <v>85</v>
      </c>
      <c r="J4610" s="10">
        <v>85</v>
      </c>
      <c r="K4610" s="10">
        <v>85</v>
      </c>
      <c r="L4610" s="4"/>
      <c r="M4610" s="4">
        <v>4605</v>
      </c>
    </row>
    <row r="4611" spans="1:13" x14ac:dyDescent="0.25">
      <c r="A4611" s="4" t="s">
        <v>4554</v>
      </c>
      <c r="B4611" s="4" t="s">
        <v>4555</v>
      </c>
      <c r="C4611" s="4" t="s">
        <v>68</v>
      </c>
      <c r="D4611" s="10">
        <v>160</v>
      </c>
      <c r="E4611" s="11" t="s">
        <v>51</v>
      </c>
      <c r="F4611" s="10">
        <v>3910</v>
      </c>
      <c r="G4611" s="10">
        <v>0</v>
      </c>
      <c r="H4611" s="10">
        <f t="shared" si="71"/>
        <v>3910</v>
      </c>
      <c r="I4611" s="10"/>
      <c r="J4611" s="10"/>
      <c r="K4611" s="10"/>
      <c r="L4611" s="4" t="s">
        <v>69</v>
      </c>
      <c r="M4611" s="4">
        <v>4606</v>
      </c>
    </row>
    <row r="4612" spans="1:13" x14ac:dyDescent="0.25">
      <c r="A4612" s="4" t="s">
        <v>4556</v>
      </c>
      <c r="B4612" s="4" t="s">
        <v>4557</v>
      </c>
      <c r="C4612" s="4" t="s">
        <v>65</v>
      </c>
      <c r="D4612" s="10">
        <v>110</v>
      </c>
      <c r="E4612" s="12" t="s">
        <v>66</v>
      </c>
      <c r="F4612" s="10">
        <v>16500</v>
      </c>
      <c r="G4612" s="10">
        <v>0</v>
      </c>
      <c r="H4612" s="10">
        <f t="shared" si="71"/>
        <v>16500</v>
      </c>
      <c r="I4612" s="10">
        <v>150</v>
      </c>
      <c r="J4612" s="10">
        <v>150</v>
      </c>
      <c r="K4612" s="10">
        <v>150</v>
      </c>
      <c r="L4612" s="4"/>
      <c r="M4612" s="4">
        <v>4607</v>
      </c>
    </row>
    <row r="4613" spans="1:13" x14ac:dyDescent="0.25">
      <c r="A4613" s="4" t="s">
        <v>4556</v>
      </c>
      <c r="B4613" s="4" t="s">
        <v>791</v>
      </c>
      <c r="C4613" s="4" t="s">
        <v>68</v>
      </c>
      <c r="D4613" s="10">
        <v>49</v>
      </c>
      <c r="E4613" s="11" t="s">
        <v>51</v>
      </c>
      <c r="F4613" s="10">
        <v>2080</v>
      </c>
      <c r="G4613" s="10">
        <v>0</v>
      </c>
      <c r="H4613" s="10">
        <f t="shared" si="71"/>
        <v>2080</v>
      </c>
      <c r="I4613" s="10"/>
      <c r="J4613" s="10"/>
      <c r="K4613" s="10"/>
      <c r="L4613" s="4" t="s">
        <v>69</v>
      </c>
      <c r="M4613" s="4">
        <v>4608</v>
      </c>
    </row>
    <row r="4614" spans="1:13" x14ac:dyDescent="0.25">
      <c r="A4614" s="4" t="s">
        <v>4558</v>
      </c>
      <c r="B4614" s="4" t="s">
        <v>4559</v>
      </c>
      <c r="C4614" s="4" t="s">
        <v>65</v>
      </c>
      <c r="D4614" s="10">
        <v>39.5</v>
      </c>
      <c r="E4614" s="12" t="s">
        <v>66</v>
      </c>
      <c r="F4614" s="10">
        <v>4250</v>
      </c>
      <c r="G4614" s="10">
        <v>0</v>
      </c>
      <c r="H4614" s="10">
        <f t="shared" ref="H4614:H4677" si="72">F4614-G4614</f>
        <v>4250</v>
      </c>
      <c r="I4614" s="10">
        <v>128.78787878787881</v>
      </c>
      <c r="J4614" s="10">
        <v>128.78787878787881</v>
      </c>
      <c r="K4614" s="10">
        <v>128.78787878787881</v>
      </c>
      <c r="L4614" s="4"/>
      <c r="M4614" s="4">
        <v>4609</v>
      </c>
    </row>
    <row r="4615" spans="1:13" x14ac:dyDescent="0.25">
      <c r="A4615" s="4" t="s">
        <v>4560</v>
      </c>
      <c r="B4615" s="4" t="s">
        <v>4561</v>
      </c>
      <c r="C4615" s="4" t="s">
        <v>65</v>
      </c>
      <c r="D4615" s="10">
        <v>309.75</v>
      </c>
      <c r="E4615" s="12" t="s">
        <v>66</v>
      </c>
      <c r="F4615" s="10">
        <v>950</v>
      </c>
      <c r="G4615" s="10">
        <v>0</v>
      </c>
      <c r="H4615" s="10">
        <f t="shared" si="72"/>
        <v>950</v>
      </c>
      <c r="I4615" s="10">
        <v>146.15384615384619</v>
      </c>
      <c r="J4615" s="10">
        <v>146.15384615384619</v>
      </c>
      <c r="K4615" s="10">
        <v>146.15384615384619</v>
      </c>
      <c r="L4615" s="4"/>
      <c r="M4615" s="4">
        <v>4610</v>
      </c>
    </row>
    <row r="4616" spans="1:13" x14ac:dyDescent="0.25">
      <c r="A4616" s="4" t="s">
        <v>4562</v>
      </c>
      <c r="B4616" s="4" t="s">
        <v>4563</v>
      </c>
      <c r="C4616" s="4" t="s">
        <v>68</v>
      </c>
      <c r="D4616" s="10">
        <v>64</v>
      </c>
      <c r="E4616" s="11" t="s">
        <v>51</v>
      </c>
      <c r="F4616" s="10">
        <v>8960</v>
      </c>
      <c r="G4616" s="10">
        <v>0</v>
      </c>
      <c r="H4616" s="10">
        <f t="shared" si="72"/>
        <v>8960</v>
      </c>
      <c r="I4616" s="10"/>
      <c r="J4616" s="10"/>
      <c r="K4616" s="10"/>
      <c r="L4616" s="4" t="s">
        <v>69</v>
      </c>
      <c r="M4616" s="4">
        <v>4611</v>
      </c>
    </row>
    <row r="4617" spans="1:13" x14ac:dyDescent="0.25">
      <c r="A4617" s="4" t="s">
        <v>4562</v>
      </c>
      <c r="B4617" s="4" t="s">
        <v>4564</v>
      </c>
      <c r="C4617" s="4" t="s">
        <v>65</v>
      </c>
      <c r="D4617" s="10">
        <v>48</v>
      </c>
      <c r="E4617" s="12" t="s">
        <v>66</v>
      </c>
      <c r="F4617" s="10">
        <v>6650</v>
      </c>
      <c r="G4617" s="10">
        <v>0</v>
      </c>
      <c r="H4617" s="10">
        <f t="shared" si="72"/>
        <v>6650</v>
      </c>
      <c r="I4617" s="10">
        <v>138.54166666666671</v>
      </c>
      <c r="J4617" s="10">
        <v>138.54166666666671</v>
      </c>
      <c r="K4617" s="10">
        <v>138.54166666666671</v>
      </c>
      <c r="L4617" s="4"/>
      <c r="M4617" s="4">
        <v>4612</v>
      </c>
    </row>
    <row r="4618" spans="1:13" x14ac:dyDescent="0.25">
      <c r="A4618" s="4" t="s">
        <v>4562</v>
      </c>
      <c r="B4618" s="4" t="s">
        <v>4565</v>
      </c>
      <c r="C4618" s="4" t="s">
        <v>65</v>
      </c>
      <c r="D4618" s="10">
        <v>32</v>
      </c>
      <c r="E4618" s="12" t="s">
        <v>66</v>
      </c>
      <c r="F4618" s="10">
        <v>4050</v>
      </c>
      <c r="G4618" s="10">
        <v>0</v>
      </c>
      <c r="H4618" s="10">
        <f t="shared" si="72"/>
        <v>4050</v>
      </c>
      <c r="I4618" s="10">
        <v>126.5625</v>
      </c>
      <c r="J4618" s="10">
        <v>126.5625</v>
      </c>
      <c r="K4618" s="10">
        <v>126.5625</v>
      </c>
      <c r="L4618" s="4"/>
      <c r="M4618" s="4">
        <v>4613</v>
      </c>
    </row>
    <row r="4619" spans="1:13" x14ac:dyDescent="0.25">
      <c r="A4619" s="4" t="s">
        <v>4562</v>
      </c>
      <c r="B4619" s="4" t="s">
        <v>4566</v>
      </c>
      <c r="C4619" s="4" t="s">
        <v>68</v>
      </c>
      <c r="D4619" s="10">
        <v>76</v>
      </c>
      <c r="E4619" s="11" t="s">
        <v>51</v>
      </c>
      <c r="F4619" s="10">
        <v>10640</v>
      </c>
      <c r="G4619" s="10">
        <v>0</v>
      </c>
      <c r="H4619" s="10">
        <f t="shared" si="72"/>
        <v>10640</v>
      </c>
      <c r="I4619" s="10"/>
      <c r="J4619" s="10"/>
      <c r="K4619" s="10"/>
      <c r="L4619" s="4" t="s">
        <v>69</v>
      </c>
      <c r="M4619" s="4">
        <v>4614</v>
      </c>
    </row>
    <row r="4620" spans="1:13" x14ac:dyDescent="0.25">
      <c r="A4620" s="4" t="s">
        <v>4562</v>
      </c>
      <c r="B4620" s="4" t="s">
        <v>4567</v>
      </c>
      <c r="C4620" s="4" t="s">
        <v>65</v>
      </c>
      <c r="D4620" s="10">
        <v>16</v>
      </c>
      <c r="E4620" s="12" t="s">
        <v>66</v>
      </c>
      <c r="F4620" s="10">
        <v>1950</v>
      </c>
      <c r="G4620" s="10">
        <v>0</v>
      </c>
      <c r="H4620" s="10">
        <f t="shared" si="72"/>
        <v>1950</v>
      </c>
      <c r="I4620" s="10">
        <v>121.875</v>
      </c>
      <c r="J4620" s="10">
        <v>121.875</v>
      </c>
      <c r="K4620" s="10">
        <v>121.875</v>
      </c>
      <c r="L4620" s="4"/>
      <c r="M4620" s="4">
        <v>4615</v>
      </c>
    </row>
    <row r="4621" spans="1:13" x14ac:dyDescent="0.25">
      <c r="A4621" s="4" t="s">
        <v>4562</v>
      </c>
      <c r="B4621" s="4" t="s">
        <v>4568</v>
      </c>
      <c r="C4621" s="4" t="s">
        <v>65</v>
      </c>
      <c r="D4621" s="10">
        <v>34.5</v>
      </c>
      <c r="E4621" s="12" t="s">
        <v>66</v>
      </c>
      <c r="F4621" s="10">
        <v>3200</v>
      </c>
      <c r="G4621" s="10">
        <v>0</v>
      </c>
      <c r="H4621" s="10">
        <f t="shared" si="72"/>
        <v>3200</v>
      </c>
      <c r="I4621" s="10">
        <v>92.753623188405797</v>
      </c>
      <c r="J4621" s="10">
        <v>92.753623188405797</v>
      </c>
      <c r="K4621" s="10">
        <v>92.753623188405797</v>
      </c>
      <c r="L4621" s="4"/>
      <c r="M4621" s="4">
        <v>4616</v>
      </c>
    </row>
    <row r="4622" spans="1:13" x14ac:dyDescent="0.25">
      <c r="A4622" s="4" t="s">
        <v>4562</v>
      </c>
      <c r="B4622" s="4" t="s">
        <v>4569</v>
      </c>
      <c r="C4622" s="4" t="s">
        <v>65</v>
      </c>
      <c r="D4622" s="10">
        <v>14</v>
      </c>
      <c r="E4622" s="12" t="s">
        <v>66</v>
      </c>
      <c r="F4622" s="10">
        <v>2320</v>
      </c>
      <c r="G4622" s="10">
        <v>0</v>
      </c>
      <c r="H4622" s="10">
        <f t="shared" si="72"/>
        <v>2320</v>
      </c>
      <c r="I4622" s="10">
        <v>165.71428571428569</v>
      </c>
      <c r="J4622" s="10">
        <v>165.71428571428569</v>
      </c>
      <c r="K4622" s="10">
        <v>165.71428571428569</v>
      </c>
      <c r="L4622" s="4"/>
      <c r="M4622" s="4">
        <v>4617</v>
      </c>
    </row>
    <row r="4623" spans="1:13" x14ac:dyDescent="0.25">
      <c r="A4623" s="4" t="s">
        <v>4562</v>
      </c>
      <c r="B4623" s="4" t="s">
        <v>4570</v>
      </c>
      <c r="C4623" s="9" t="s">
        <v>50</v>
      </c>
      <c r="D4623" s="10">
        <v>80</v>
      </c>
      <c r="E4623" s="11" t="s">
        <v>51</v>
      </c>
      <c r="F4623" s="10">
        <v>1715</v>
      </c>
      <c r="G4623" s="10">
        <v>0</v>
      </c>
      <c r="H4623" s="10">
        <f t="shared" si="72"/>
        <v>1715</v>
      </c>
      <c r="I4623" s="10"/>
      <c r="J4623" s="10"/>
      <c r="K4623" s="10"/>
      <c r="L4623" s="4" t="s">
        <v>52</v>
      </c>
      <c r="M4623" s="4">
        <v>4618</v>
      </c>
    </row>
    <row r="4624" spans="1:13" x14ac:dyDescent="0.25">
      <c r="A4624" s="4" t="s">
        <v>4571</v>
      </c>
      <c r="B4624" s="4" t="s">
        <v>4572</v>
      </c>
      <c r="C4624" s="9" t="s">
        <v>50</v>
      </c>
      <c r="D4624" s="10">
        <v>20</v>
      </c>
      <c r="E4624" s="11" t="s">
        <v>51</v>
      </c>
      <c r="F4624" s="10">
        <v>2100</v>
      </c>
      <c r="G4624" s="10">
        <v>0</v>
      </c>
      <c r="H4624" s="10">
        <f t="shared" si="72"/>
        <v>2100</v>
      </c>
      <c r="I4624" s="10"/>
      <c r="J4624" s="10"/>
      <c r="K4624" s="10"/>
      <c r="L4624" s="4" t="s">
        <v>52</v>
      </c>
      <c r="M4624" s="4">
        <v>4619</v>
      </c>
    </row>
    <row r="4625" spans="1:13" x14ac:dyDescent="0.25">
      <c r="A4625" s="4" t="s">
        <v>4571</v>
      </c>
      <c r="B4625" s="4" t="s">
        <v>4573</v>
      </c>
      <c r="C4625" s="9" t="s">
        <v>50</v>
      </c>
      <c r="D4625" s="10">
        <v>20</v>
      </c>
      <c r="E4625" s="11" t="s">
        <v>51</v>
      </c>
      <c r="F4625" s="10">
        <v>2100</v>
      </c>
      <c r="G4625" s="10">
        <v>0</v>
      </c>
      <c r="H4625" s="10">
        <f t="shared" si="72"/>
        <v>2100</v>
      </c>
      <c r="I4625" s="10"/>
      <c r="J4625" s="10"/>
      <c r="K4625" s="10"/>
      <c r="L4625" s="4" t="s">
        <v>52</v>
      </c>
      <c r="M4625" s="4">
        <v>4620</v>
      </c>
    </row>
    <row r="4626" spans="1:13" x14ac:dyDescent="0.25">
      <c r="A4626" s="4" t="s">
        <v>4571</v>
      </c>
      <c r="B4626" s="4" t="s">
        <v>4574</v>
      </c>
      <c r="C4626" s="9" t="s">
        <v>50</v>
      </c>
      <c r="D4626" s="10">
        <v>20</v>
      </c>
      <c r="E4626" s="11" t="s">
        <v>51</v>
      </c>
      <c r="F4626" s="10">
        <v>2100</v>
      </c>
      <c r="G4626" s="10">
        <v>0</v>
      </c>
      <c r="H4626" s="10">
        <f t="shared" si="72"/>
        <v>2100</v>
      </c>
      <c r="I4626" s="10"/>
      <c r="J4626" s="10"/>
      <c r="K4626" s="10"/>
      <c r="L4626" s="4" t="s">
        <v>52</v>
      </c>
      <c r="M4626" s="4">
        <v>4621</v>
      </c>
    </row>
    <row r="4627" spans="1:13" x14ac:dyDescent="0.25">
      <c r="A4627" s="4" t="s">
        <v>4571</v>
      </c>
      <c r="B4627" s="4" t="s">
        <v>4575</v>
      </c>
      <c r="C4627" s="9" t="s">
        <v>50</v>
      </c>
      <c r="D4627" s="10">
        <v>24</v>
      </c>
      <c r="E4627" s="11" t="s">
        <v>51</v>
      </c>
      <c r="F4627" s="10">
        <v>2100</v>
      </c>
      <c r="G4627" s="10">
        <v>0</v>
      </c>
      <c r="H4627" s="10">
        <f t="shared" si="72"/>
        <v>2100</v>
      </c>
      <c r="I4627" s="10"/>
      <c r="J4627" s="10"/>
      <c r="K4627" s="10"/>
      <c r="L4627" s="4" t="s">
        <v>52</v>
      </c>
      <c r="M4627" s="4">
        <v>4622</v>
      </c>
    </row>
    <row r="4628" spans="1:13" x14ac:dyDescent="0.25">
      <c r="A4628" s="4" t="s">
        <v>4576</v>
      </c>
      <c r="B4628" s="4" t="s">
        <v>248</v>
      </c>
      <c r="C4628" s="4" t="s">
        <v>68</v>
      </c>
      <c r="D4628" s="10">
        <v>48</v>
      </c>
      <c r="E4628" s="11" t="s">
        <v>51</v>
      </c>
      <c r="F4628" s="10">
        <v>3120</v>
      </c>
      <c r="G4628" s="10">
        <v>0</v>
      </c>
      <c r="H4628" s="10">
        <f t="shared" si="72"/>
        <v>3120</v>
      </c>
      <c r="I4628" s="10"/>
      <c r="J4628" s="10"/>
      <c r="K4628" s="10"/>
      <c r="L4628" s="4" t="s">
        <v>69</v>
      </c>
      <c r="M4628" s="4">
        <v>4623</v>
      </c>
    </row>
    <row r="4629" spans="1:13" x14ac:dyDescent="0.25">
      <c r="A4629" s="4" t="s">
        <v>4577</v>
      </c>
      <c r="B4629" s="4" t="s">
        <v>4578</v>
      </c>
      <c r="C4629" s="4" t="s">
        <v>68</v>
      </c>
      <c r="D4629" s="10">
        <v>34</v>
      </c>
      <c r="E4629" s="11" t="s">
        <v>51</v>
      </c>
      <c r="F4629" s="10">
        <v>2880</v>
      </c>
      <c r="G4629" s="10">
        <v>0</v>
      </c>
      <c r="H4629" s="10">
        <f t="shared" si="72"/>
        <v>2880</v>
      </c>
      <c r="I4629" s="10"/>
      <c r="J4629" s="10"/>
      <c r="K4629" s="10"/>
      <c r="L4629" s="4" t="s">
        <v>69</v>
      </c>
      <c r="M4629" s="4">
        <v>4624</v>
      </c>
    </row>
    <row r="4630" spans="1:13" x14ac:dyDescent="0.25">
      <c r="A4630" s="4" t="s">
        <v>4579</v>
      </c>
      <c r="B4630" s="4" t="s">
        <v>3024</v>
      </c>
      <c r="C4630" s="4" t="s">
        <v>68</v>
      </c>
      <c r="D4630" s="10">
        <v>34</v>
      </c>
      <c r="E4630" s="11" t="s">
        <v>51</v>
      </c>
      <c r="F4630" s="10">
        <v>1150</v>
      </c>
      <c r="G4630" s="10">
        <v>0</v>
      </c>
      <c r="H4630" s="10">
        <f t="shared" si="72"/>
        <v>1150</v>
      </c>
      <c r="I4630" s="10"/>
      <c r="J4630" s="10"/>
      <c r="K4630" s="10"/>
      <c r="L4630" s="4" t="s">
        <v>69</v>
      </c>
      <c r="M4630" s="4">
        <v>4625</v>
      </c>
    </row>
    <row r="4631" spans="1:13" x14ac:dyDescent="0.25">
      <c r="A4631" s="4" t="s">
        <v>4580</v>
      </c>
      <c r="B4631" s="4" t="s">
        <v>4355</v>
      </c>
      <c r="C4631" s="4" t="s">
        <v>65</v>
      </c>
      <c r="D4631" s="10">
        <v>57</v>
      </c>
      <c r="E4631" s="12" t="s">
        <v>66</v>
      </c>
      <c r="F4631" s="10">
        <v>3000</v>
      </c>
      <c r="G4631" s="10">
        <v>0</v>
      </c>
      <c r="H4631" s="10">
        <f t="shared" si="72"/>
        <v>3000</v>
      </c>
      <c r="I4631" s="10">
        <v>125</v>
      </c>
      <c r="J4631" s="10">
        <v>125</v>
      </c>
      <c r="K4631" s="10">
        <v>125</v>
      </c>
      <c r="L4631" s="4"/>
      <c r="M4631" s="4">
        <v>4626</v>
      </c>
    </row>
    <row r="4632" spans="1:13" x14ac:dyDescent="0.25">
      <c r="A4632" s="4" t="s">
        <v>4581</v>
      </c>
      <c r="B4632" s="4" t="s">
        <v>4582</v>
      </c>
      <c r="C4632" s="9" t="s">
        <v>50</v>
      </c>
      <c r="D4632" s="10">
        <v>28</v>
      </c>
      <c r="E4632" s="11" t="s">
        <v>51</v>
      </c>
      <c r="F4632" s="10">
        <v>1650</v>
      </c>
      <c r="G4632" s="10">
        <v>0</v>
      </c>
      <c r="H4632" s="10">
        <f t="shared" si="72"/>
        <v>1650</v>
      </c>
      <c r="I4632" s="10"/>
      <c r="J4632" s="10"/>
      <c r="K4632" s="10"/>
      <c r="L4632" s="4" t="s">
        <v>52</v>
      </c>
      <c r="M4632" s="4">
        <v>4627</v>
      </c>
    </row>
    <row r="4633" spans="1:13" x14ac:dyDescent="0.25">
      <c r="A4633" s="4" t="s">
        <v>4581</v>
      </c>
      <c r="B4633" s="4" t="s">
        <v>4583</v>
      </c>
      <c r="C4633" s="9" t="s">
        <v>50</v>
      </c>
      <c r="D4633" s="10">
        <v>2198</v>
      </c>
      <c r="E4633" s="11" t="s">
        <v>51</v>
      </c>
      <c r="F4633" s="10">
        <v>2200</v>
      </c>
      <c r="G4633" s="10">
        <v>0</v>
      </c>
      <c r="H4633" s="10">
        <f t="shared" si="72"/>
        <v>2200</v>
      </c>
      <c r="I4633" s="10"/>
      <c r="J4633" s="10"/>
      <c r="K4633" s="10"/>
      <c r="L4633" s="4" t="s">
        <v>52</v>
      </c>
      <c r="M4633" s="4">
        <v>4628</v>
      </c>
    </row>
    <row r="4634" spans="1:13" x14ac:dyDescent="0.25">
      <c r="A4634" s="4" t="s">
        <v>4584</v>
      </c>
      <c r="B4634" s="4" t="s">
        <v>4585</v>
      </c>
      <c r="C4634" s="4" t="s">
        <v>65</v>
      </c>
      <c r="D4634" s="10">
        <v>2160</v>
      </c>
      <c r="E4634" s="11" t="s">
        <v>51</v>
      </c>
      <c r="F4634" s="10"/>
      <c r="G4634" s="10">
        <v>0</v>
      </c>
      <c r="H4634" s="10">
        <f t="shared" si="72"/>
        <v>0</v>
      </c>
      <c r="I4634" s="10">
        <v>0</v>
      </c>
      <c r="J4634" s="10">
        <v>0</v>
      </c>
      <c r="K4634" s="10">
        <v>0</v>
      </c>
      <c r="L4634" s="4" t="s">
        <v>69</v>
      </c>
      <c r="M4634" s="4">
        <v>4629</v>
      </c>
    </row>
    <row r="4635" spans="1:13" x14ac:dyDescent="0.25">
      <c r="A4635" s="4" t="s">
        <v>4584</v>
      </c>
      <c r="B4635" s="4" t="s">
        <v>4586</v>
      </c>
      <c r="C4635" s="4" t="s">
        <v>68</v>
      </c>
      <c r="D4635" s="10">
        <v>24</v>
      </c>
      <c r="E4635" s="11" t="s">
        <v>51</v>
      </c>
      <c r="F4635" s="10"/>
      <c r="G4635" s="10">
        <v>0</v>
      </c>
      <c r="H4635" s="10">
        <f t="shared" si="72"/>
        <v>0</v>
      </c>
      <c r="I4635" s="10"/>
      <c r="J4635" s="10"/>
      <c r="K4635" s="10"/>
      <c r="L4635" s="4" t="s">
        <v>69</v>
      </c>
      <c r="M4635" s="4">
        <v>4630</v>
      </c>
    </row>
    <row r="4636" spans="1:13" x14ac:dyDescent="0.25">
      <c r="A4636" s="4" t="s">
        <v>4587</v>
      </c>
      <c r="B4636" s="4" t="s">
        <v>4588</v>
      </c>
      <c r="C4636" s="4" t="s">
        <v>68</v>
      </c>
      <c r="D4636" s="10">
        <v>24</v>
      </c>
      <c r="E4636" s="11" t="s">
        <v>51</v>
      </c>
      <c r="F4636" s="10"/>
      <c r="G4636" s="10">
        <v>0</v>
      </c>
      <c r="H4636" s="10">
        <f t="shared" si="72"/>
        <v>0</v>
      </c>
      <c r="I4636" s="10"/>
      <c r="J4636" s="10"/>
      <c r="K4636" s="10"/>
      <c r="L4636" s="4" t="s">
        <v>69</v>
      </c>
      <c r="M4636" s="4">
        <v>4631</v>
      </c>
    </row>
    <row r="4637" spans="1:13" x14ac:dyDescent="0.25">
      <c r="A4637" s="4" t="s">
        <v>4589</v>
      </c>
      <c r="B4637" s="4" t="s">
        <v>3880</v>
      </c>
      <c r="C4637" s="9" t="s">
        <v>50</v>
      </c>
      <c r="D4637" s="10">
        <v>40</v>
      </c>
      <c r="E4637" s="11" t="s">
        <v>51</v>
      </c>
      <c r="F4637" s="10"/>
      <c r="G4637" s="10">
        <v>0</v>
      </c>
      <c r="H4637" s="10">
        <f t="shared" si="72"/>
        <v>0</v>
      </c>
      <c r="I4637" s="10"/>
      <c r="J4637" s="10"/>
      <c r="K4637" s="10"/>
      <c r="L4637" s="4" t="s">
        <v>52</v>
      </c>
      <c r="M4637" s="4">
        <v>4632</v>
      </c>
    </row>
    <row r="4638" spans="1:13" x14ac:dyDescent="0.25">
      <c r="A4638" s="4" t="s">
        <v>4590</v>
      </c>
      <c r="B4638" s="4" t="s">
        <v>4591</v>
      </c>
      <c r="C4638" s="4" t="s">
        <v>68</v>
      </c>
      <c r="D4638" s="10">
        <v>10</v>
      </c>
      <c r="E4638" s="11" t="s">
        <v>51</v>
      </c>
      <c r="F4638" s="10">
        <v>4600</v>
      </c>
      <c r="G4638" s="10">
        <v>0</v>
      </c>
      <c r="H4638" s="10">
        <f t="shared" si="72"/>
        <v>4600</v>
      </c>
      <c r="I4638" s="10"/>
      <c r="J4638" s="10"/>
      <c r="K4638" s="10"/>
      <c r="L4638" s="4" t="s">
        <v>69</v>
      </c>
      <c r="M4638" s="4">
        <v>4633</v>
      </c>
    </row>
    <row r="4639" spans="1:13" x14ac:dyDescent="0.25">
      <c r="A4639" s="4" t="s">
        <v>4592</v>
      </c>
      <c r="B4639" s="4" t="s">
        <v>4593</v>
      </c>
      <c r="C4639" s="4" t="s">
        <v>68</v>
      </c>
      <c r="D4639" s="10">
        <v>33</v>
      </c>
      <c r="E4639" s="11" t="s">
        <v>51</v>
      </c>
      <c r="F4639" s="10">
        <v>1050</v>
      </c>
      <c r="G4639" s="10">
        <v>0</v>
      </c>
      <c r="H4639" s="10">
        <f t="shared" si="72"/>
        <v>1050</v>
      </c>
      <c r="I4639" s="10"/>
      <c r="J4639" s="10"/>
      <c r="K4639" s="10"/>
      <c r="L4639" s="4" t="s">
        <v>69</v>
      </c>
      <c r="M4639" s="4">
        <v>4634</v>
      </c>
    </row>
    <row r="4640" spans="1:13" x14ac:dyDescent="0.25">
      <c r="A4640" s="4" t="s">
        <v>4594</v>
      </c>
      <c r="B4640" s="4" t="s">
        <v>4595</v>
      </c>
      <c r="C4640" s="4" t="s">
        <v>65</v>
      </c>
      <c r="D4640" s="10">
        <v>48</v>
      </c>
      <c r="E4640" s="12" t="s">
        <v>66</v>
      </c>
      <c r="F4640" s="10">
        <v>3950</v>
      </c>
      <c r="G4640" s="10">
        <v>0</v>
      </c>
      <c r="H4640" s="10">
        <f t="shared" si="72"/>
        <v>3950</v>
      </c>
      <c r="I4640" s="10">
        <v>119.6969696969697</v>
      </c>
      <c r="J4640" s="10">
        <v>119.6969696969697</v>
      </c>
      <c r="K4640" s="10">
        <v>119.6969696969697</v>
      </c>
      <c r="L4640" s="4"/>
      <c r="M4640" s="4">
        <v>4635</v>
      </c>
    </row>
    <row r="4641" spans="1:13" x14ac:dyDescent="0.25">
      <c r="A4641" s="4" t="s">
        <v>4596</v>
      </c>
      <c r="B4641" s="4" t="s">
        <v>4597</v>
      </c>
      <c r="C4641" s="4" t="s">
        <v>68</v>
      </c>
      <c r="D4641" s="10">
        <v>26</v>
      </c>
      <c r="E4641" s="11" t="s">
        <v>51</v>
      </c>
      <c r="F4641" s="10">
        <v>1575</v>
      </c>
      <c r="G4641" s="10">
        <v>0</v>
      </c>
      <c r="H4641" s="10">
        <f t="shared" si="72"/>
        <v>1575</v>
      </c>
      <c r="I4641" s="10"/>
      <c r="J4641" s="10"/>
      <c r="K4641" s="10"/>
      <c r="L4641" s="4" t="s">
        <v>69</v>
      </c>
      <c r="M4641" s="4">
        <v>4636</v>
      </c>
    </row>
    <row r="4642" spans="1:13" x14ac:dyDescent="0.25">
      <c r="A4642" s="4" t="s">
        <v>4598</v>
      </c>
      <c r="B4642" s="4" t="s">
        <v>4599</v>
      </c>
      <c r="C4642" s="4" t="s">
        <v>65</v>
      </c>
      <c r="D4642" s="10">
        <v>21</v>
      </c>
      <c r="E4642" s="12" t="s">
        <v>66</v>
      </c>
      <c r="F4642" s="10">
        <v>1450</v>
      </c>
      <c r="G4642" s="10">
        <v>0</v>
      </c>
      <c r="H4642" s="10">
        <f t="shared" si="72"/>
        <v>1450</v>
      </c>
      <c r="I4642" s="10">
        <v>131.81818181818181</v>
      </c>
      <c r="J4642" s="10">
        <v>131.81818181818181</v>
      </c>
      <c r="K4642" s="10">
        <v>131.81818181818181</v>
      </c>
      <c r="L4642" s="4"/>
      <c r="M4642" s="4">
        <v>4637</v>
      </c>
    </row>
    <row r="4643" spans="1:13" x14ac:dyDescent="0.25">
      <c r="A4643" s="4" t="s">
        <v>4600</v>
      </c>
      <c r="B4643" s="4" t="s">
        <v>4601</v>
      </c>
      <c r="C4643" s="4" t="s">
        <v>68</v>
      </c>
      <c r="D4643" s="10">
        <v>17</v>
      </c>
      <c r="E4643" s="11" t="s">
        <v>51</v>
      </c>
      <c r="F4643" s="10">
        <v>1050</v>
      </c>
      <c r="G4643" s="10">
        <v>0</v>
      </c>
      <c r="H4643" s="10">
        <f t="shared" si="72"/>
        <v>1050</v>
      </c>
      <c r="I4643" s="10"/>
      <c r="J4643" s="10"/>
      <c r="K4643" s="10"/>
      <c r="L4643" s="4" t="s">
        <v>69</v>
      </c>
      <c r="M4643" s="4">
        <v>4638</v>
      </c>
    </row>
    <row r="4644" spans="1:13" x14ac:dyDescent="0.25">
      <c r="A4644" s="4" t="s">
        <v>4602</v>
      </c>
      <c r="B4644" s="4" t="s">
        <v>4603</v>
      </c>
      <c r="C4644" s="4" t="s">
        <v>68</v>
      </c>
      <c r="D4644" s="10">
        <v>6</v>
      </c>
      <c r="E4644" s="11" t="s">
        <v>51</v>
      </c>
      <c r="F4644" s="10">
        <v>630</v>
      </c>
      <c r="G4644" s="10">
        <v>0</v>
      </c>
      <c r="H4644" s="10">
        <f t="shared" si="72"/>
        <v>630</v>
      </c>
      <c r="I4644" s="10"/>
      <c r="J4644" s="10"/>
      <c r="K4644" s="10"/>
      <c r="L4644" s="4" t="s">
        <v>69</v>
      </c>
      <c r="M4644" s="4">
        <v>4639</v>
      </c>
    </row>
    <row r="4645" spans="1:13" x14ac:dyDescent="0.25">
      <c r="A4645" s="4" t="s">
        <v>4602</v>
      </c>
      <c r="B4645" s="4" t="s">
        <v>1745</v>
      </c>
      <c r="C4645" s="9" t="s">
        <v>50</v>
      </c>
      <c r="D4645" s="10">
        <v>20</v>
      </c>
      <c r="E4645" s="11" t="s">
        <v>51</v>
      </c>
      <c r="F4645" s="10"/>
      <c r="G4645" s="10">
        <v>0</v>
      </c>
      <c r="H4645" s="10">
        <f t="shared" si="72"/>
        <v>0</v>
      </c>
      <c r="I4645" s="10"/>
      <c r="J4645" s="10"/>
      <c r="K4645" s="10"/>
      <c r="L4645" s="4" t="s">
        <v>52</v>
      </c>
      <c r="M4645" s="4">
        <v>4640</v>
      </c>
    </row>
    <row r="4646" spans="1:13" x14ac:dyDescent="0.25">
      <c r="A4646" s="4" t="s">
        <v>4604</v>
      </c>
      <c r="B4646" s="4" t="s">
        <v>4605</v>
      </c>
      <c r="C4646" s="4" t="s">
        <v>68</v>
      </c>
      <c r="D4646" s="10">
        <v>125</v>
      </c>
      <c r="E4646" s="11" t="s">
        <v>51</v>
      </c>
      <c r="F4646" s="10">
        <v>2400</v>
      </c>
      <c r="G4646" s="10">
        <v>0</v>
      </c>
      <c r="H4646" s="10">
        <f t="shared" si="72"/>
        <v>2400</v>
      </c>
      <c r="I4646" s="10"/>
      <c r="J4646" s="10"/>
      <c r="K4646" s="10"/>
      <c r="L4646" s="4" t="s">
        <v>69</v>
      </c>
      <c r="M4646" s="4">
        <v>4641</v>
      </c>
    </row>
    <row r="4647" spans="1:13" x14ac:dyDescent="0.25">
      <c r="A4647" s="4" t="s">
        <v>4606</v>
      </c>
      <c r="B4647" s="4" t="s">
        <v>4607</v>
      </c>
      <c r="C4647" s="4" t="s">
        <v>65</v>
      </c>
      <c r="D4647" s="10">
        <v>40</v>
      </c>
      <c r="E4647" s="12" t="s">
        <v>66</v>
      </c>
      <c r="F4647" s="10">
        <v>5000</v>
      </c>
      <c r="G4647" s="10">
        <v>0</v>
      </c>
      <c r="H4647" s="10">
        <f t="shared" si="72"/>
        <v>5000</v>
      </c>
      <c r="I4647" s="10">
        <v>125</v>
      </c>
      <c r="J4647" s="10">
        <v>125</v>
      </c>
      <c r="K4647" s="10">
        <v>125</v>
      </c>
      <c r="L4647" s="4"/>
      <c r="M4647" s="4">
        <v>4642</v>
      </c>
    </row>
    <row r="4648" spans="1:13" x14ac:dyDescent="0.25">
      <c r="A4648" s="4" t="s">
        <v>4606</v>
      </c>
      <c r="B4648" s="4" t="s">
        <v>4608</v>
      </c>
      <c r="C4648" s="4" t="s">
        <v>65</v>
      </c>
      <c r="D4648" s="10">
        <v>65</v>
      </c>
      <c r="E4648" s="12" t="s">
        <v>66</v>
      </c>
      <c r="F4648" s="10">
        <v>9500</v>
      </c>
      <c r="G4648" s="10">
        <v>0</v>
      </c>
      <c r="H4648" s="10">
        <f t="shared" si="72"/>
        <v>9500</v>
      </c>
      <c r="I4648" s="10">
        <v>146.15384615384619</v>
      </c>
      <c r="J4648" s="10">
        <v>146.15384615384619</v>
      </c>
      <c r="K4648" s="10">
        <v>146.15384615384619</v>
      </c>
      <c r="L4648" s="4"/>
      <c r="M4648" s="4">
        <v>4643</v>
      </c>
    </row>
    <row r="4649" spans="1:13" x14ac:dyDescent="0.25">
      <c r="A4649" s="4" t="s">
        <v>4609</v>
      </c>
      <c r="B4649" s="4" t="s">
        <v>4610</v>
      </c>
      <c r="C4649" s="9" t="s">
        <v>50</v>
      </c>
      <c r="D4649" s="10"/>
      <c r="E4649" s="11" t="s">
        <v>51</v>
      </c>
      <c r="F4649" s="10"/>
      <c r="G4649" s="10">
        <v>0</v>
      </c>
      <c r="H4649" s="10">
        <f t="shared" si="72"/>
        <v>0</v>
      </c>
      <c r="I4649" s="10"/>
      <c r="J4649" s="10"/>
      <c r="K4649" s="10"/>
      <c r="L4649" s="4" t="s">
        <v>52</v>
      </c>
      <c r="M4649" s="4">
        <v>4644</v>
      </c>
    </row>
    <row r="4650" spans="1:13" x14ac:dyDescent="0.25">
      <c r="A4650" s="4" t="s">
        <v>4609</v>
      </c>
      <c r="B4650" s="4" t="s">
        <v>4611</v>
      </c>
      <c r="C4650" s="9" t="s">
        <v>50</v>
      </c>
      <c r="D4650" s="10"/>
      <c r="E4650" s="11" t="s">
        <v>51</v>
      </c>
      <c r="F4650" s="10"/>
      <c r="G4650" s="10">
        <v>0</v>
      </c>
      <c r="H4650" s="10">
        <f t="shared" si="72"/>
        <v>0</v>
      </c>
      <c r="I4650" s="10"/>
      <c r="J4650" s="10"/>
      <c r="K4650" s="10"/>
      <c r="L4650" s="4" t="s">
        <v>52</v>
      </c>
      <c r="M4650" s="4">
        <v>4645</v>
      </c>
    </row>
    <row r="4651" spans="1:13" x14ac:dyDescent="0.25">
      <c r="A4651" s="4" t="s">
        <v>4609</v>
      </c>
      <c r="B4651" s="4" t="s">
        <v>1300</v>
      </c>
      <c r="C4651" s="9" t="s">
        <v>50</v>
      </c>
      <c r="D4651" s="10"/>
      <c r="E4651" s="11" t="s">
        <v>51</v>
      </c>
      <c r="F4651" s="10"/>
      <c r="G4651" s="10">
        <v>0</v>
      </c>
      <c r="H4651" s="10">
        <f t="shared" si="72"/>
        <v>0</v>
      </c>
      <c r="I4651" s="10"/>
      <c r="J4651" s="10"/>
      <c r="K4651" s="10"/>
      <c r="L4651" s="4" t="s">
        <v>52</v>
      </c>
      <c r="M4651" s="4">
        <v>4646</v>
      </c>
    </row>
    <row r="4652" spans="1:13" x14ac:dyDescent="0.25">
      <c r="A4652" s="4" t="s">
        <v>4609</v>
      </c>
      <c r="B4652" s="4" t="s">
        <v>4612</v>
      </c>
      <c r="C4652" s="9" t="s">
        <v>50</v>
      </c>
      <c r="D4652" s="10"/>
      <c r="E4652" s="11" t="s">
        <v>51</v>
      </c>
      <c r="F4652" s="10"/>
      <c r="G4652" s="10">
        <v>0</v>
      </c>
      <c r="H4652" s="10">
        <f t="shared" si="72"/>
        <v>0</v>
      </c>
      <c r="I4652" s="10"/>
      <c r="J4652" s="10"/>
      <c r="K4652" s="10"/>
      <c r="L4652" s="4" t="s">
        <v>52</v>
      </c>
      <c r="M4652" s="4">
        <v>4647</v>
      </c>
    </row>
    <row r="4653" spans="1:13" x14ac:dyDescent="0.25">
      <c r="A4653" s="4" t="s">
        <v>4609</v>
      </c>
      <c r="B4653" s="4" t="s">
        <v>1301</v>
      </c>
      <c r="C4653" s="9" t="s">
        <v>50</v>
      </c>
      <c r="D4653" s="10"/>
      <c r="E4653" s="11" t="s">
        <v>51</v>
      </c>
      <c r="F4653" s="10"/>
      <c r="G4653" s="10">
        <v>0</v>
      </c>
      <c r="H4653" s="10">
        <f t="shared" si="72"/>
        <v>0</v>
      </c>
      <c r="I4653" s="10"/>
      <c r="J4653" s="10"/>
      <c r="K4653" s="10"/>
      <c r="L4653" s="4" t="s">
        <v>52</v>
      </c>
      <c r="M4653" s="4">
        <v>4648</v>
      </c>
    </row>
    <row r="4654" spans="1:13" x14ac:dyDescent="0.25">
      <c r="A4654" s="4" t="s">
        <v>4609</v>
      </c>
      <c r="B4654" s="4" t="s">
        <v>4613</v>
      </c>
      <c r="C4654" s="9" t="s">
        <v>50</v>
      </c>
      <c r="D4654" s="10"/>
      <c r="E4654" s="11" t="s">
        <v>51</v>
      </c>
      <c r="F4654" s="10"/>
      <c r="G4654" s="10">
        <v>0</v>
      </c>
      <c r="H4654" s="10">
        <f t="shared" si="72"/>
        <v>0</v>
      </c>
      <c r="I4654" s="10"/>
      <c r="J4654" s="10"/>
      <c r="K4654" s="10"/>
      <c r="L4654" s="4" t="s">
        <v>52</v>
      </c>
      <c r="M4654" s="4">
        <v>4649</v>
      </c>
    </row>
    <row r="4655" spans="1:13" x14ac:dyDescent="0.25">
      <c r="A4655" s="4" t="s">
        <v>4609</v>
      </c>
      <c r="B4655" s="4" t="s">
        <v>4614</v>
      </c>
      <c r="C4655" s="9" t="s">
        <v>50</v>
      </c>
      <c r="D4655" s="10"/>
      <c r="E4655" s="11" t="s">
        <v>51</v>
      </c>
      <c r="F4655" s="10"/>
      <c r="G4655" s="10">
        <v>0</v>
      </c>
      <c r="H4655" s="10">
        <f t="shared" si="72"/>
        <v>0</v>
      </c>
      <c r="I4655" s="10"/>
      <c r="J4655" s="10"/>
      <c r="K4655" s="10"/>
      <c r="L4655" s="4" t="s">
        <v>52</v>
      </c>
      <c r="M4655" s="4">
        <v>4650</v>
      </c>
    </row>
    <row r="4656" spans="1:13" x14ac:dyDescent="0.25">
      <c r="A4656" s="4" t="s">
        <v>4609</v>
      </c>
      <c r="B4656" s="4" t="s">
        <v>3852</v>
      </c>
      <c r="C4656" s="4" t="s">
        <v>65</v>
      </c>
      <c r="D4656" s="10"/>
      <c r="E4656" s="11" t="s">
        <v>51</v>
      </c>
      <c r="F4656" s="10"/>
      <c r="G4656" s="10">
        <v>0</v>
      </c>
      <c r="H4656" s="10">
        <f t="shared" si="72"/>
        <v>0</v>
      </c>
      <c r="I4656" s="10"/>
      <c r="J4656" s="10"/>
      <c r="K4656" s="10"/>
      <c r="L4656" s="4" t="s">
        <v>69</v>
      </c>
      <c r="M4656" s="4">
        <v>4651</v>
      </c>
    </row>
    <row r="4657" spans="1:13" x14ac:dyDescent="0.25">
      <c r="A4657" s="4" t="s">
        <v>4609</v>
      </c>
      <c r="B4657" s="4" t="s">
        <v>3853</v>
      </c>
      <c r="C4657" s="4" t="s">
        <v>65</v>
      </c>
      <c r="D4657" s="10"/>
      <c r="E4657" s="11" t="s">
        <v>51</v>
      </c>
      <c r="F4657" s="10"/>
      <c r="G4657" s="10">
        <v>0</v>
      </c>
      <c r="H4657" s="10">
        <f t="shared" si="72"/>
        <v>0</v>
      </c>
      <c r="I4657" s="10"/>
      <c r="J4657" s="10"/>
      <c r="K4657" s="10"/>
      <c r="L4657" s="4" t="s">
        <v>69</v>
      </c>
      <c r="M4657" s="4">
        <v>4652</v>
      </c>
    </row>
    <row r="4658" spans="1:13" x14ac:dyDescent="0.25">
      <c r="A4658" s="4" t="s">
        <v>4609</v>
      </c>
      <c r="B4658" s="4" t="s">
        <v>3854</v>
      </c>
      <c r="C4658" s="4" t="s">
        <v>65</v>
      </c>
      <c r="D4658" s="10"/>
      <c r="E4658" s="11" t="s">
        <v>51</v>
      </c>
      <c r="F4658" s="10"/>
      <c r="G4658" s="10">
        <v>0</v>
      </c>
      <c r="H4658" s="10">
        <f t="shared" si="72"/>
        <v>0</v>
      </c>
      <c r="I4658" s="10"/>
      <c r="J4658" s="10"/>
      <c r="K4658" s="10"/>
      <c r="L4658" s="4" t="s">
        <v>69</v>
      </c>
      <c r="M4658" s="4">
        <v>4653</v>
      </c>
    </row>
    <row r="4659" spans="1:13" x14ac:dyDescent="0.25">
      <c r="A4659" s="4" t="s">
        <v>4609</v>
      </c>
      <c r="B4659" s="4" t="s">
        <v>3855</v>
      </c>
      <c r="C4659" s="4" t="s">
        <v>65</v>
      </c>
      <c r="D4659" s="10"/>
      <c r="E4659" s="11" t="s">
        <v>51</v>
      </c>
      <c r="F4659" s="10"/>
      <c r="G4659" s="10">
        <v>0</v>
      </c>
      <c r="H4659" s="10">
        <f t="shared" si="72"/>
        <v>0</v>
      </c>
      <c r="I4659" s="10"/>
      <c r="J4659" s="10"/>
      <c r="K4659" s="10"/>
      <c r="L4659" s="4" t="s">
        <v>69</v>
      </c>
      <c r="M4659" s="4">
        <v>4654</v>
      </c>
    </row>
    <row r="4660" spans="1:13" x14ac:dyDescent="0.25">
      <c r="A4660" s="4" t="s">
        <v>4615</v>
      </c>
      <c r="B4660" s="4" t="s">
        <v>4616</v>
      </c>
      <c r="C4660" s="4" t="s">
        <v>65</v>
      </c>
      <c r="D4660" s="10">
        <v>1</v>
      </c>
      <c r="E4660" s="12" t="s">
        <v>66</v>
      </c>
      <c r="F4660" s="10">
        <v>130</v>
      </c>
      <c r="G4660" s="10">
        <v>0</v>
      </c>
      <c r="H4660" s="10">
        <f t="shared" si="72"/>
        <v>130</v>
      </c>
      <c r="I4660" s="10">
        <v>130</v>
      </c>
      <c r="J4660" s="10">
        <v>130</v>
      </c>
      <c r="K4660" s="10">
        <v>130</v>
      </c>
      <c r="L4660" s="4"/>
      <c r="M4660" s="4">
        <v>4655</v>
      </c>
    </row>
    <row r="4661" spans="1:13" x14ac:dyDescent="0.25">
      <c r="A4661" s="4" t="s">
        <v>4615</v>
      </c>
      <c r="B4661" s="4" t="s">
        <v>4617</v>
      </c>
      <c r="C4661" s="4" t="s">
        <v>65</v>
      </c>
      <c r="D4661" s="10">
        <v>18</v>
      </c>
      <c r="E4661" s="12" t="s">
        <v>66</v>
      </c>
      <c r="F4661" s="10">
        <v>1940</v>
      </c>
      <c r="G4661" s="10">
        <v>0</v>
      </c>
      <c r="H4661" s="10">
        <f t="shared" si="72"/>
        <v>1940</v>
      </c>
      <c r="I4661" s="10">
        <v>107.7777777777778</v>
      </c>
      <c r="J4661" s="10">
        <v>107.7777777777778</v>
      </c>
      <c r="K4661" s="10">
        <v>107.7777777777778</v>
      </c>
      <c r="L4661" s="4"/>
      <c r="M4661" s="4">
        <v>4656</v>
      </c>
    </row>
    <row r="4662" spans="1:13" x14ac:dyDescent="0.25">
      <c r="A4662" s="4" t="s">
        <v>4615</v>
      </c>
      <c r="B4662" s="4" t="s">
        <v>4618</v>
      </c>
      <c r="C4662" s="4" t="s">
        <v>65</v>
      </c>
      <c r="D4662" s="10">
        <v>22</v>
      </c>
      <c r="E4662" s="12" t="s">
        <v>66</v>
      </c>
      <c r="F4662" s="10">
        <v>2460</v>
      </c>
      <c r="G4662" s="10">
        <v>0</v>
      </c>
      <c r="H4662" s="10">
        <f t="shared" si="72"/>
        <v>2460</v>
      </c>
      <c r="I4662" s="10">
        <v>111.8181818181818</v>
      </c>
      <c r="J4662" s="10">
        <v>111.8181818181818</v>
      </c>
      <c r="K4662" s="10">
        <v>111.8181818181818</v>
      </c>
      <c r="L4662" s="4"/>
      <c r="M4662" s="4">
        <v>4657</v>
      </c>
    </row>
    <row r="4663" spans="1:13" x14ac:dyDescent="0.25">
      <c r="A4663" s="4" t="s">
        <v>4615</v>
      </c>
      <c r="B4663" s="4" t="s">
        <v>4619</v>
      </c>
      <c r="C4663" s="4" t="s">
        <v>65</v>
      </c>
      <c r="D4663" s="10">
        <v>42</v>
      </c>
      <c r="E4663" s="12" t="s">
        <v>66</v>
      </c>
      <c r="F4663" s="10">
        <v>1940</v>
      </c>
      <c r="G4663" s="10">
        <v>0</v>
      </c>
      <c r="H4663" s="10">
        <f t="shared" si="72"/>
        <v>1940</v>
      </c>
      <c r="I4663" s="10">
        <v>107.7777777777778</v>
      </c>
      <c r="J4663" s="10">
        <v>107.7777777777778</v>
      </c>
      <c r="K4663" s="10">
        <v>107.7777777777778</v>
      </c>
      <c r="L4663" s="4"/>
      <c r="M4663" s="4">
        <v>4658</v>
      </c>
    </row>
    <row r="4664" spans="1:13" x14ac:dyDescent="0.25">
      <c r="A4664" s="4" t="s">
        <v>4620</v>
      </c>
      <c r="B4664" s="4" t="s">
        <v>4621</v>
      </c>
      <c r="C4664" s="4" t="s">
        <v>68</v>
      </c>
      <c r="D4664" s="10">
        <v>24</v>
      </c>
      <c r="E4664" s="11" t="s">
        <v>51</v>
      </c>
      <c r="F4664" s="10">
        <v>2640</v>
      </c>
      <c r="G4664" s="10">
        <v>0</v>
      </c>
      <c r="H4664" s="10">
        <f t="shared" si="72"/>
        <v>2640</v>
      </c>
      <c r="I4664" s="10"/>
      <c r="J4664" s="10"/>
      <c r="K4664" s="10"/>
      <c r="L4664" s="4" t="s">
        <v>69</v>
      </c>
      <c r="M4664" s="4">
        <v>4659</v>
      </c>
    </row>
    <row r="4665" spans="1:13" x14ac:dyDescent="0.25">
      <c r="A4665" s="4" t="s">
        <v>4622</v>
      </c>
      <c r="B4665" s="4" t="s">
        <v>4623</v>
      </c>
      <c r="C4665" s="4" t="s">
        <v>68</v>
      </c>
      <c r="D4665" s="10">
        <v>257</v>
      </c>
      <c r="E4665" s="11" t="s">
        <v>51</v>
      </c>
      <c r="F4665" s="10"/>
      <c r="G4665" s="10">
        <v>0</v>
      </c>
      <c r="H4665" s="10">
        <f t="shared" si="72"/>
        <v>0</v>
      </c>
      <c r="I4665" s="10"/>
      <c r="J4665" s="10"/>
      <c r="K4665" s="10"/>
      <c r="L4665" s="4" t="s">
        <v>69</v>
      </c>
      <c r="M4665" s="4">
        <v>4660</v>
      </c>
    </row>
    <row r="4666" spans="1:13" x14ac:dyDescent="0.25">
      <c r="A4666" s="4" t="s">
        <v>4624</v>
      </c>
      <c r="B4666" s="4" t="s">
        <v>4625</v>
      </c>
      <c r="C4666" s="4" t="s">
        <v>68</v>
      </c>
      <c r="D4666" s="10">
        <v>46</v>
      </c>
      <c r="E4666" s="11" t="s">
        <v>51</v>
      </c>
      <c r="F4666" s="10">
        <v>5380</v>
      </c>
      <c r="G4666" s="10">
        <v>0</v>
      </c>
      <c r="H4666" s="10">
        <f t="shared" si="72"/>
        <v>5380</v>
      </c>
      <c r="I4666" s="10"/>
      <c r="J4666" s="10"/>
      <c r="K4666" s="10"/>
      <c r="L4666" s="4" t="s">
        <v>69</v>
      </c>
      <c r="M4666" s="4">
        <v>4661</v>
      </c>
    </row>
    <row r="4667" spans="1:13" x14ac:dyDescent="0.25">
      <c r="A4667" s="4" t="s">
        <v>4624</v>
      </c>
      <c r="B4667" s="4" t="s">
        <v>4626</v>
      </c>
      <c r="C4667" s="4" t="s">
        <v>65</v>
      </c>
      <c r="D4667" s="10">
        <v>70</v>
      </c>
      <c r="E4667" s="12" t="s">
        <v>66</v>
      </c>
      <c r="F4667" s="10">
        <v>7638.86</v>
      </c>
      <c r="G4667" s="10">
        <v>0</v>
      </c>
      <c r="H4667" s="10">
        <f t="shared" si="72"/>
        <v>7638.86</v>
      </c>
      <c r="I4667" s="10">
        <v>109.1265714285714</v>
      </c>
      <c r="J4667" s="10">
        <v>109.1265714285714</v>
      </c>
      <c r="K4667" s="10">
        <v>109.1265714285714</v>
      </c>
      <c r="L4667" s="4"/>
      <c r="M4667" s="4">
        <v>4662</v>
      </c>
    </row>
    <row r="4668" spans="1:13" x14ac:dyDescent="0.25">
      <c r="A4668" s="4" t="s">
        <v>4624</v>
      </c>
      <c r="B4668" s="4" t="s">
        <v>4627</v>
      </c>
      <c r="C4668" s="4" t="s">
        <v>65</v>
      </c>
      <c r="D4668" s="10">
        <v>196</v>
      </c>
      <c r="E4668" s="12" t="s">
        <v>66</v>
      </c>
      <c r="F4668" s="10">
        <v>14428.96</v>
      </c>
      <c r="G4668" s="10">
        <v>0</v>
      </c>
      <c r="H4668" s="10">
        <f t="shared" si="72"/>
        <v>14428.96</v>
      </c>
      <c r="I4668" s="10">
        <v>102.3330496453901</v>
      </c>
      <c r="J4668" s="10">
        <v>102.3330496453901</v>
      </c>
      <c r="K4668" s="10">
        <v>102.3330496453901</v>
      </c>
      <c r="L4668" s="4"/>
      <c r="M4668" s="4">
        <v>4663</v>
      </c>
    </row>
    <row r="4669" spans="1:13" x14ac:dyDescent="0.25">
      <c r="A4669" s="4" t="s">
        <v>4628</v>
      </c>
      <c r="B4669" s="4" t="s">
        <v>4629</v>
      </c>
      <c r="C4669" s="4" t="s">
        <v>65</v>
      </c>
      <c r="D4669" s="10">
        <v>76</v>
      </c>
      <c r="E4669" s="12" t="s">
        <v>66</v>
      </c>
      <c r="F4669" s="10">
        <v>7500</v>
      </c>
      <c r="G4669" s="10">
        <v>0</v>
      </c>
      <c r="H4669" s="10">
        <f t="shared" si="72"/>
        <v>7500</v>
      </c>
      <c r="I4669" s="10">
        <v>136.3636363636364</v>
      </c>
      <c r="J4669" s="10">
        <v>136.3636363636364</v>
      </c>
      <c r="K4669" s="10">
        <v>136.3636363636364</v>
      </c>
      <c r="L4669" s="4"/>
      <c r="M4669" s="4">
        <v>4664</v>
      </c>
    </row>
    <row r="4670" spans="1:13" x14ac:dyDescent="0.25">
      <c r="A4670" s="4" t="s">
        <v>4630</v>
      </c>
      <c r="B4670" s="4" t="s">
        <v>4631</v>
      </c>
      <c r="C4670" s="4" t="s">
        <v>65</v>
      </c>
      <c r="D4670" s="10">
        <v>50</v>
      </c>
      <c r="E4670" s="12" t="s">
        <v>66</v>
      </c>
      <c r="F4670" s="10">
        <v>2600</v>
      </c>
      <c r="G4670" s="10">
        <v>0</v>
      </c>
      <c r="H4670" s="10">
        <f t="shared" si="72"/>
        <v>2600</v>
      </c>
      <c r="I4670" s="10">
        <v>123.8095238095238</v>
      </c>
      <c r="J4670" s="10">
        <v>123.8095238095238</v>
      </c>
      <c r="K4670" s="10">
        <v>123.8095238095238</v>
      </c>
      <c r="L4670" s="4"/>
      <c r="M4670" s="4">
        <v>4665</v>
      </c>
    </row>
    <row r="4671" spans="1:13" x14ac:dyDescent="0.25">
      <c r="A4671" s="4" t="s">
        <v>4632</v>
      </c>
      <c r="B4671" s="4" t="s">
        <v>4633</v>
      </c>
      <c r="C4671" s="4" t="s">
        <v>65</v>
      </c>
      <c r="D4671" s="10">
        <v>139</v>
      </c>
      <c r="E4671" s="12" t="s">
        <v>66</v>
      </c>
      <c r="F4671" s="10">
        <v>3650</v>
      </c>
      <c r="G4671" s="10">
        <v>0</v>
      </c>
      <c r="H4671" s="10">
        <f t="shared" si="72"/>
        <v>3650</v>
      </c>
      <c r="I4671" s="10">
        <v>125.8620689655172</v>
      </c>
      <c r="J4671" s="10">
        <v>125.8620689655172</v>
      </c>
      <c r="K4671" s="10">
        <v>125.8620689655172</v>
      </c>
      <c r="L4671" s="4"/>
      <c r="M4671" s="4">
        <v>4666</v>
      </c>
    </row>
    <row r="4672" spans="1:13" x14ac:dyDescent="0.25">
      <c r="A4672" s="4" t="s">
        <v>4634</v>
      </c>
      <c r="B4672" s="4" t="s">
        <v>378</v>
      </c>
      <c r="C4672" s="4" t="s">
        <v>65</v>
      </c>
      <c r="D4672" s="10">
        <v>70</v>
      </c>
      <c r="E4672" s="12" t="s">
        <v>66</v>
      </c>
      <c r="F4672" s="10">
        <v>8300</v>
      </c>
      <c r="G4672" s="10">
        <v>0</v>
      </c>
      <c r="H4672" s="10">
        <f t="shared" si="72"/>
        <v>8300</v>
      </c>
      <c r="I4672" s="10">
        <v>118.5714285714286</v>
      </c>
      <c r="J4672" s="10">
        <v>118.5714285714286</v>
      </c>
      <c r="K4672" s="10">
        <v>118.5714285714286</v>
      </c>
      <c r="L4672" s="4"/>
      <c r="M4672" s="4">
        <v>4667</v>
      </c>
    </row>
    <row r="4673" spans="1:13" x14ac:dyDescent="0.25">
      <c r="A4673" s="4" t="s">
        <v>4634</v>
      </c>
      <c r="B4673" s="4" t="s">
        <v>4635</v>
      </c>
      <c r="C4673" s="4" t="s">
        <v>65</v>
      </c>
      <c r="D4673" s="10">
        <v>51</v>
      </c>
      <c r="E4673" s="12" t="s">
        <v>66</v>
      </c>
      <c r="F4673" s="10">
        <v>5550</v>
      </c>
      <c r="G4673" s="10">
        <v>0</v>
      </c>
      <c r="H4673" s="10">
        <f t="shared" si="72"/>
        <v>5550</v>
      </c>
      <c r="I4673" s="10">
        <v>138.75</v>
      </c>
      <c r="J4673" s="10">
        <v>138.75</v>
      </c>
      <c r="K4673" s="10">
        <v>138.75</v>
      </c>
      <c r="L4673" s="4"/>
      <c r="M4673" s="4">
        <v>4668</v>
      </c>
    </row>
    <row r="4674" spans="1:13" x14ac:dyDescent="0.25">
      <c r="A4674" s="4" t="s">
        <v>4636</v>
      </c>
      <c r="B4674" s="4" t="s">
        <v>4637</v>
      </c>
      <c r="C4674" s="4" t="s">
        <v>65</v>
      </c>
      <c r="D4674" s="10">
        <v>8</v>
      </c>
      <c r="E4674" s="12" t="s">
        <v>66</v>
      </c>
      <c r="F4674" s="10">
        <v>1450</v>
      </c>
      <c r="G4674" s="10">
        <v>0</v>
      </c>
      <c r="H4674" s="10">
        <f t="shared" si="72"/>
        <v>1450</v>
      </c>
      <c r="I4674" s="10">
        <v>181.25</v>
      </c>
      <c r="J4674" s="10">
        <v>181.25</v>
      </c>
      <c r="K4674" s="10">
        <v>181.25</v>
      </c>
      <c r="L4674" s="4"/>
      <c r="M4674" s="4">
        <v>4669</v>
      </c>
    </row>
    <row r="4675" spans="1:13" x14ac:dyDescent="0.25">
      <c r="A4675" s="4" t="s">
        <v>4636</v>
      </c>
      <c r="B4675" s="4" t="s">
        <v>4638</v>
      </c>
      <c r="C4675" s="4" t="s">
        <v>68</v>
      </c>
      <c r="D4675" s="10">
        <v>1055</v>
      </c>
      <c r="E4675" s="11" t="s">
        <v>51</v>
      </c>
      <c r="F4675" s="10"/>
      <c r="G4675" s="10">
        <v>0</v>
      </c>
      <c r="H4675" s="10">
        <f t="shared" si="72"/>
        <v>0</v>
      </c>
      <c r="I4675" s="10"/>
      <c r="J4675" s="10"/>
      <c r="K4675" s="10"/>
      <c r="L4675" s="4" t="s">
        <v>69</v>
      </c>
      <c r="M4675" s="4">
        <v>4670</v>
      </c>
    </row>
    <row r="4676" spans="1:13" x14ac:dyDescent="0.25">
      <c r="A4676" s="4" t="s">
        <v>4639</v>
      </c>
      <c r="B4676" s="4" t="s">
        <v>4640</v>
      </c>
      <c r="C4676" s="4" t="s">
        <v>65</v>
      </c>
      <c r="D4676" s="10">
        <v>28</v>
      </c>
      <c r="E4676" s="12" t="s">
        <v>66</v>
      </c>
      <c r="F4676" s="10">
        <v>3433.62</v>
      </c>
      <c r="G4676" s="10">
        <v>0</v>
      </c>
      <c r="H4676" s="10">
        <f t="shared" si="72"/>
        <v>3433.62</v>
      </c>
      <c r="I4676" s="10">
        <v>122.6292857142857</v>
      </c>
      <c r="J4676" s="10">
        <v>122.6292857142857</v>
      </c>
      <c r="K4676" s="10">
        <v>122.6292857142857</v>
      </c>
      <c r="L4676" s="4"/>
      <c r="M4676" s="4">
        <v>4671</v>
      </c>
    </row>
    <row r="4677" spans="1:13" x14ac:dyDescent="0.25">
      <c r="A4677" s="4" t="s">
        <v>4639</v>
      </c>
      <c r="B4677" s="4" t="s">
        <v>4641</v>
      </c>
      <c r="C4677" s="4" t="s">
        <v>65</v>
      </c>
      <c r="D4677" s="10">
        <v>231</v>
      </c>
      <c r="E4677" s="12" t="s">
        <v>66</v>
      </c>
      <c r="F4677" s="10">
        <v>21202.58</v>
      </c>
      <c r="G4677" s="10">
        <v>0</v>
      </c>
      <c r="H4677" s="10">
        <f t="shared" si="72"/>
        <v>21202.58</v>
      </c>
      <c r="I4677" s="10">
        <v>91.786060606060616</v>
      </c>
      <c r="J4677" s="10">
        <v>91.786060606060616</v>
      </c>
      <c r="K4677" s="10">
        <v>91.786060606060616</v>
      </c>
      <c r="L4677" s="4"/>
      <c r="M4677" s="4">
        <v>4672</v>
      </c>
    </row>
    <row r="4678" spans="1:13" x14ac:dyDescent="0.25">
      <c r="A4678" s="4" t="s">
        <v>4639</v>
      </c>
      <c r="B4678" s="4" t="s">
        <v>4642</v>
      </c>
      <c r="C4678" s="4" t="s">
        <v>65</v>
      </c>
      <c r="D4678" s="10">
        <v>271</v>
      </c>
      <c r="E4678" s="12" t="s">
        <v>66</v>
      </c>
      <c r="F4678" s="10">
        <v>26181.32</v>
      </c>
      <c r="G4678" s="10">
        <v>0</v>
      </c>
      <c r="H4678" s="10">
        <f t="shared" ref="H4678:H4741" si="73">F4678-G4678</f>
        <v>26181.32</v>
      </c>
      <c r="I4678" s="10">
        <v>96.610036900368996</v>
      </c>
      <c r="J4678" s="10">
        <v>96.610036900368996</v>
      </c>
      <c r="K4678" s="10">
        <v>96.610036900368996</v>
      </c>
      <c r="L4678" s="4"/>
      <c r="M4678" s="4">
        <v>4673</v>
      </c>
    </row>
    <row r="4679" spans="1:13" x14ac:dyDescent="0.25">
      <c r="A4679" s="4" t="s">
        <v>4639</v>
      </c>
      <c r="B4679" s="4" t="s">
        <v>4643</v>
      </c>
      <c r="C4679" s="4" t="s">
        <v>65</v>
      </c>
      <c r="D4679" s="10">
        <v>160</v>
      </c>
      <c r="E4679" s="12" t="s">
        <v>66</v>
      </c>
      <c r="F4679" s="10">
        <v>15451.27</v>
      </c>
      <c r="G4679" s="10">
        <v>0</v>
      </c>
      <c r="H4679" s="10">
        <f t="shared" si="73"/>
        <v>15451.27</v>
      </c>
      <c r="I4679" s="10">
        <v>96.570437499999997</v>
      </c>
      <c r="J4679" s="10">
        <v>96.570437499999997</v>
      </c>
      <c r="K4679" s="10">
        <v>96.570437499999997</v>
      </c>
      <c r="L4679" s="4"/>
      <c r="M4679" s="4">
        <v>4674</v>
      </c>
    </row>
    <row r="4680" spans="1:13" x14ac:dyDescent="0.25">
      <c r="A4680" s="4" t="s">
        <v>4639</v>
      </c>
      <c r="B4680" s="4" t="s">
        <v>4644</v>
      </c>
      <c r="C4680" s="4" t="s">
        <v>65</v>
      </c>
      <c r="D4680" s="10">
        <v>79</v>
      </c>
      <c r="E4680" s="12" t="s">
        <v>66</v>
      </c>
      <c r="F4680" s="10">
        <v>7725.64</v>
      </c>
      <c r="G4680" s="10">
        <v>0</v>
      </c>
      <c r="H4680" s="10">
        <f t="shared" si="73"/>
        <v>7725.64</v>
      </c>
      <c r="I4680" s="10">
        <v>97.792911392405074</v>
      </c>
      <c r="J4680" s="10">
        <v>97.792911392405074</v>
      </c>
      <c r="K4680" s="10">
        <v>97.792911392405074</v>
      </c>
      <c r="L4680" s="4"/>
      <c r="M4680" s="4">
        <v>4675</v>
      </c>
    </row>
    <row r="4681" spans="1:13" x14ac:dyDescent="0.25">
      <c r="A4681" s="4" t="s">
        <v>4639</v>
      </c>
      <c r="B4681" s="4" t="s">
        <v>4645</v>
      </c>
      <c r="C4681" s="4" t="s">
        <v>65</v>
      </c>
      <c r="D4681" s="10">
        <v>57</v>
      </c>
      <c r="E4681" s="12" t="s">
        <v>66</v>
      </c>
      <c r="F4681" s="10">
        <v>5579.63</v>
      </c>
      <c r="G4681" s="10">
        <v>0</v>
      </c>
      <c r="H4681" s="10">
        <f t="shared" si="73"/>
        <v>5579.63</v>
      </c>
      <c r="I4681" s="10">
        <v>97.888245614035085</v>
      </c>
      <c r="J4681" s="10">
        <v>97.888245614035085</v>
      </c>
      <c r="K4681" s="10">
        <v>97.888245614035085</v>
      </c>
      <c r="L4681" s="4"/>
      <c r="M4681" s="4">
        <v>4676</v>
      </c>
    </row>
    <row r="4682" spans="1:13" x14ac:dyDescent="0.25">
      <c r="A4682" s="4" t="s">
        <v>4639</v>
      </c>
      <c r="B4682" s="4" t="s">
        <v>4646</v>
      </c>
      <c r="C4682" s="4" t="s">
        <v>65</v>
      </c>
      <c r="D4682" s="10">
        <v>226</v>
      </c>
      <c r="E4682" s="12" t="s">
        <v>66</v>
      </c>
      <c r="F4682" s="10">
        <v>29872.46</v>
      </c>
      <c r="G4682" s="10">
        <v>0</v>
      </c>
      <c r="H4682" s="10">
        <f t="shared" si="73"/>
        <v>29872.46</v>
      </c>
      <c r="I4682" s="10">
        <v>132.1790265486726</v>
      </c>
      <c r="J4682" s="10">
        <v>132.1790265486726</v>
      </c>
      <c r="K4682" s="10">
        <v>132.1790265486726</v>
      </c>
      <c r="L4682" s="4"/>
      <c r="M4682" s="4">
        <v>4677</v>
      </c>
    </row>
    <row r="4683" spans="1:13" x14ac:dyDescent="0.25">
      <c r="A4683" s="4" t="s">
        <v>4639</v>
      </c>
      <c r="B4683" s="4" t="s">
        <v>4647</v>
      </c>
      <c r="C4683" s="4" t="s">
        <v>68</v>
      </c>
      <c r="D4683" s="10"/>
      <c r="E4683" s="11" t="s">
        <v>51</v>
      </c>
      <c r="F4683" s="10"/>
      <c r="G4683" s="10">
        <v>0</v>
      </c>
      <c r="H4683" s="10">
        <f t="shared" si="73"/>
        <v>0</v>
      </c>
      <c r="I4683" s="10"/>
      <c r="J4683" s="10"/>
      <c r="K4683" s="10"/>
      <c r="L4683" s="4" t="s">
        <v>69</v>
      </c>
      <c r="M4683" s="4">
        <v>4678</v>
      </c>
    </row>
    <row r="4684" spans="1:13" x14ac:dyDescent="0.25">
      <c r="A4684" s="4" t="s">
        <v>4639</v>
      </c>
      <c r="B4684" s="4" t="s">
        <v>97</v>
      </c>
      <c r="C4684" s="9" t="s">
        <v>50</v>
      </c>
      <c r="D4684" s="10">
        <v>72</v>
      </c>
      <c r="E4684" s="11" t="s">
        <v>51</v>
      </c>
      <c r="F4684" s="10"/>
      <c r="G4684" s="10">
        <v>0</v>
      </c>
      <c r="H4684" s="10">
        <f t="shared" si="73"/>
        <v>0</v>
      </c>
      <c r="I4684" s="10"/>
      <c r="J4684" s="10"/>
      <c r="K4684" s="10"/>
      <c r="L4684" s="4" t="s">
        <v>52</v>
      </c>
      <c r="M4684" s="4">
        <v>4679</v>
      </c>
    </row>
    <row r="4685" spans="1:13" x14ac:dyDescent="0.25">
      <c r="A4685" s="4" t="s">
        <v>4648</v>
      </c>
      <c r="B4685" s="4" t="s">
        <v>4649</v>
      </c>
      <c r="C4685" s="4" t="s">
        <v>65</v>
      </c>
      <c r="D4685" s="10">
        <v>52</v>
      </c>
      <c r="E4685" s="12" t="s">
        <v>66</v>
      </c>
      <c r="F4685" s="10">
        <v>6800</v>
      </c>
      <c r="G4685" s="10">
        <v>0</v>
      </c>
      <c r="H4685" s="10">
        <f t="shared" si="73"/>
        <v>6800</v>
      </c>
      <c r="I4685" s="10">
        <v>130.7692307692308</v>
      </c>
      <c r="J4685" s="10">
        <v>130.7692307692308</v>
      </c>
      <c r="K4685" s="10">
        <v>130.7692307692308</v>
      </c>
      <c r="L4685" s="4"/>
      <c r="M4685" s="4">
        <v>4680</v>
      </c>
    </row>
    <row r="4686" spans="1:13" x14ac:dyDescent="0.25">
      <c r="A4686" s="4" t="s">
        <v>4648</v>
      </c>
      <c r="B4686" s="4" t="s">
        <v>4650</v>
      </c>
      <c r="C4686" s="4" t="s">
        <v>68</v>
      </c>
      <c r="D4686" s="10">
        <v>40</v>
      </c>
      <c r="E4686" s="11" t="s">
        <v>51</v>
      </c>
      <c r="F4686" s="10">
        <v>2600</v>
      </c>
      <c r="G4686" s="10">
        <v>0</v>
      </c>
      <c r="H4686" s="10">
        <f t="shared" si="73"/>
        <v>2600</v>
      </c>
      <c r="I4686" s="10"/>
      <c r="J4686" s="10"/>
      <c r="K4686" s="10"/>
      <c r="L4686" s="4" t="s">
        <v>69</v>
      </c>
      <c r="M4686" s="4">
        <v>4681</v>
      </c>
    </row>
    <row r="4687" spans="1:13" x14ac:dyDescent="0.25">
      <c r="A4687" s="4" t="s">
        <v>4651</v>
      </c>
      <c r="B4687" s="4" t="s">
        <v>4652</v>
      </c>
      <c r="C4687" s="4" t="s">
        <v>68</v>
      </c>
      <c r="D4687" s="10">
        <v>52</v>
      </c>
      <c r="E4687" s="11" t="s">
        <v>51</v>
      </c>
      <c r="F4687" s="10">
        <v>2300</v>
      </c>
      <c r="G4687" s="10">
        <v>0</v>
      </c>
      <c r="H4687" s="10">
        <f t="shared" si="73"/>
        <v>2300</v>
      </c>
      <c r="I4687" s="10"/>
      <c r="J4687" s="10"/>
      <c r="K4687" s="10"/>
      <c r="L4687" s="4" t="s">
        <v>69</v>
      </c>
      <c r="M4687" s="4">
        <v>4682</v>
      </c>
    </row>
    <row r="4688" spans="1:13" x14ac:dyDescent="0.25">
      <c r="A4688" s="4" t="s">
        <v>4653</v>
      </c>
      <c r="B4688" s="4" t="s">
        <v>4654</v>
      </c>
      <c r="C4688" s="4" t="s">
        <v>65</v>
      </c>
      <c r="D4688" s="10">
        <v>52</v>
      </c>
      <c r="E4688" s="12" t="s">
        <v>66</v>
      </c>
      <c r="F4688" s="10">
        <v>5200</v>
      </c>
      <c r="G4688" s="10">
        <v>0</v>
      </c>
      <c r="H4688" s="10">
        <f t="shared" si="73"/>
        <v>5200</v>
      </c>
      <c r="I4688" s="10">
        <v>100</v>
      </c>
      <c r="J4688" s="10">
        <v>100</v>
      </c>
      <c r="K4688" s="10">
        <v>100</v>
      </c>
      <c r="L4688" s="4"/>
      <c r="M4688" s="4">
        <v>4683</v>
      </c>
    </row>
    <row r="4689" spans="1:13" x14ac:dyDescent="0.25">
      <c r="A4689" s="4" t="s">
        <v>4653</v>
      </c>
      <c r="B4689" s="4" t="s">
        <v>4655</v>
      </c>
      <c r="C4689" s="9" t="s">
        <v>50</v>
      </c>
      <c r="D4689" s="10">
        <v>1474.5</v>
      </c>
      <c r="E4689" s="11" t="s">
        <v>51</v>
      </c>
      <c r="F4689" s="10"/>
      <c r="G4689" s="10">
        <v>0</v>
      </c>
      <c r="H4689" s="10">
        <f t="shared" si="73"/>
        <v>0</v>
      </c>
      <c r="I4689" s="10"/>
      <c r="J4689" s="10"/>
      <c r="K4689" s="10"/>
      <c r="L4689" s="4" t="s">
        <v>52</v>
      </c>
      <c r="M4689" s="4">
        <v>4684</v>
      </c>
    </row>
    <row r="4690" spans="1:13" x14ac:dyDescent="0.25">
      <c r="A4690" s="4" t="s">
        <v>4656</v>
      </c>
      <c r="B4690" s="4" t="s">
        <v>4657</v>
      </c>
      <c r="C4690" s="4" t="s">
        <v>65</v>
      </c>
      <c r="D4690" s="10">
        <v>24</v>
      </c>
      <c r="E4690" s="12" t="s">
        <v>66</v>
      </c>
      <c r="F4690" s="10">
        <v>3278.4</v>
      </c>
      <c r="G4690" s="10">
        <v>0</v>
      </c>
      <c r="H4690" s="10">
        <f t="shared" si="73"/>
        <v>3278.4</v>
      </c>
      <c r="I4690" s="10">
        <v>136.6</v>
      </c>
      <c r="J4690" s="10">
        <v>136.6</v>
      </c>
      <c r="K4690" s="10">
        <v>136.6</v>
      </c>
      <c r="L4690" s="4"/>
      <c r="M4690" s="4">
        <v>4685</v>
      </c>
    </row>
    <row r="4691" spans="1:13" x14ac:dyDescent="0.25">
      <c r="A4691" s="4" t="s">
        <v>4656</v>
      </c>
      <c r="B4691" s="4" t="s">
        <v>4658</v>
      </c>
      <c r="C4691" s="4" t="s">
        <v>65</v>
      </c>
      <c r="D4691" s="10">
        <v>133</v>
      </c>
      <c r="E4691" s="12" t="s">
        <v>66</v>
      </c>
      <c r="F4691" s="10">
        <v>14752.81</v>
      </c>
      <c r="G4691" s="10">
        <v>0</v>
      </c>
      <c r="H4691" s="10">
        <f t="shared" si="73"/>
        <v>14752.81</v>
      </c>
      <c r="I4691" s="10">
        <v>110.9233834586466</v>
      </c>
      <c r="J4691" s="10">
        <v>110.9233834586466</v>
      </c>
      <c r="K4691" s="10">
        <v>110.9233834586466</v>
      </c>
      <c r="L4691" s="4"/>
      <c r="M4691" s="4">
        <v>4686</v>
      </c>
    </row>
    <row r="4692" spans="1:13" x14ac:dyDescent="0.25">
      <c r="A4692" s="4" t="s">
        <v>4656</v>
      </c>
      <c r="B4692" s="4" t="s">
        <v>4659</v>
      </c>
      <c r="C4692" s="4" t="s">
        <v>65</v>
      </c>
      <c r="D4692" s="10">
        <v>241</v>
      </c>
      <c r="E4692" s="12" t="s">
        <v>66</v>
      </c>
      <c r="F4692" s="10">
        <v>24588.02</v>
      </c>
      <c r="G4692" s="10">
        <v>0</v>
      </c>
      <c r="H4692" s="10">
        <f t="shared" si="73"/>
        <v>24588.02</v>
      </c>
      <c r="I4692" s="10">
        <v>102.02497925311199</v>
      </c>
      <c r="J4692" s="10">
        <v>102.02497925311199</v>
      </c>
      <c r="K4692" s="10">
        <v>102.02497925311199</v>
      </c>
      <c r="L4692" s="4"/>
      <c r="M4692" s="4">
        <v>4687</v>
      </c>
    </row>
    <row r="4693" spans="1:13" x14ac:dyDescent="0.25">
      <c r="A4693" s="4" t="s">
        <v>4656</v>
      </c>
      <c r="B4693" s="4" t="s">
        <v>4660</v>
      </c>
      <c r="C4693" s="4" t="s">
        <v>65</v>
      </c>
      <c r="D4693" s="10">
        <v>24</v>
      </c>
      <c r="E4693" s="12" t="s">
        <v>66</v>
      </c>
      <c r="F4693" s="10">
        <v>3278.4</v>
      </c>
      <c r="G4693" s="10">
        <v>0</v>
      </c>
      <c r="H4693" s="10">
        <f t="shared" si="73"/>
        <v>3278.4</v>
      </c>
      <c r="I4693" s="10">
        <v>136.6</v>
      </c>
      <c r="J4693" s="10">
        <v>136.6</v>
      </c>
      <c r="K4693" s="10">
        <v>136.6</v>
      </c>
      <c r="L4693" s="4"/>
      <c r="M4693" s="4">
        <v>4688</v>
      </c>
    </row>
    <row r="4694" spans="1:13" x14ac:dyDescent="0.25">
      <c r="A4694" s="4" t="s">
        <v>4656</v>
      </c>
      <c r="B4694" s="4" t="s">
        <v>4661</v>
      </c>
      <c r="C4694" s="4" t="s">
        <v>65</v>
      </c>
      <c r="D4694" s="10">
        <v>321</v>
      </c>
      <c r="E4694" s="12" t="s">
        <v>66</v>
      </c>
      <c r="F4694" s="10">
        <v>32784.03</v>
      </c>
      <c r="G4694" s="10">
        <v>0</v>
      </c>
      <c r="H4694" s="10">
        <f t="shared" si="73"/>
        <v>32784.03</v>
      </c>
      <c r="I4694" s="10">
        <v>102.1309345794393</v>
      </c>
      <c r="J4694" s="10">
        <v>102.1309345794393</v>
      </c>
      <c r="K4694" s="10">
        <v>102.1309345794393</v>
      </c>
      <c r="L4694" s="4"/>
      <c r="M4694" s="4">
        <v>4689</v>
      </c>
    </row>
    <row r="4695" spans="1:13" x14ac:dyDescent="0.25">
      <c r="A4695" s="4" t="s">
        <v>4656</v>
      </c>
      <c r="B4695" s="4" t="s">
        <v>4662</v>
      </c>
      <c r="C4695" s="4" t="s">
        <v>65</v>
      </c>
      <c r="D4695" s="10">
        <v>86</v>
      </c>
      <c r="E4695" s="12" t="s">
        <v>66</v>
      </c>
      <c r="F4695" s="10">
        <v>11474.41</v>
      </c>
      <c r="G4695" s="10">
        <v>0</v>
      </c>
      <c r="H4695" s="10">
        <f t="shared" si="73"/>
        <v>11474.41</v>
      </c>
      <c r="I4695" s="10">
        <v>133.42337209302329</v>
      </c>
      <c r="J4695" s="10">
        <v>133.42337209302329</v>
      </c>
      <c r="K4695" s="10">
        <v>133.42337209302329</v>
      </c>
      <c r="L4695" s="4"/>
      <c r="M4695" s="4">
        <v>4690</v>
      </c>
    </row>
    <row r="4696" spans="1:13" x14ac:dyDescent="0.25">
      <c r="A4696" s="4" t="s">
        <v>4656</v>
      </c>
      <c r="B4696" s="4" t="s">
        <v>4663</v>
      </c>
      <c r="C4696" s="4" t="s">
        <v>65</v>
      </c>
      <c r="D4696" s="10">
        <v>30</v>
      </c>
      <c r="E4696" s="12" t="s">
        <v>66</v>
      </c>
      <c r="F4696" s="10">
        <v>4098</v>
      </c>
      <c r="G4696" s="10">
        <v>0</v>
      </c>
      <c r="H4696" s="10">
        <f t="shared" si="73"/>
        <v>4098</v>
      </c>
      <c r="I4696" s="10">
        <v>136.6</v>
      </c>
      <c r="J4696" s="10">
        <v>136.6</v>
      </c>
      <c r="K4696" s="10">
        <v>136.6</v>
      </c>
      <c r="L4696" s="4"/>
      <c r="M4696" s="4">
        <v>4691</v>
      </c>
    </row>
    <row r="4697" spans="1:13" x14ac:dyDescent="0.25">
      <c r="A4697" s="4" t="s">
        <v>4656</v>
      </c>
      <c r="B4697" s="4" t="s">
        <v>4664</v>
      </c>
      <c r="C4697" s="4" t="s">
        <v>65</v>
      </c>
      <c r="D4697" s="10">
        <v>430</v>
      </c>
      <c r="E4697" s="12" t="s">
        <v>66</v>
      </c>
      <c r="F4697" s="10">
        <v>57372.05</v>
      </c>
      <c r="G4697" s="10">
        <v>0</v>
      </c>
      <c r="H4697" s="10">
        <f t="shared" si="73"/>
        <v>57372.05</v>
      </c>
      <c r="I4697" s="10">
        <v>133.42337209302329</v>
      </c>
      <c r="J4697" s="10">
        <v>133.42337209302329</v>
      </c>
      <c r="K4697" s="10">
        <v>133.42337209302329</v>
      </c>
      <c r="L4697" s="4"/>
      <c r="M4697" s="4">
        <v>4692</v>
      </c>
    </row>
    <row r="4698" spans="1:13" x14ac:dyDescent="0.25">
      <c r="A4698" s="4" t="s">
        <v>4656</v>
      </c>
      <c r="B4698" s="4" t="s">
        <v>4665</v>
      </c>
      <c r="C4698" s="4" t="s">
        <v>68</v>
      </c>
      <c r="D4698" s="10">
        <v>120</v>
      </c>
      <c r="E4698" s="11" t="s">
        <v>51</v>
      </c>
      <c r="F4698" s="10"/>
      <c r="G4698" s="10">
        <v>0</v>
      </c>
      <c r="H4698" s="10">
        <f t="shared" si="73"/>
        <v>0</v>
      </c>
      <c r="I4698" s="10"/>
      <c r="J4698" s="10"/>
      <c r="K4698" s="10"/>
      <c r="L4698" s="4" t="s">
        <v>69</v>
      </c>
      <c r="M4698" s="4">
        <v>4693</v>
      </c>
    </row>
    <row r="4699" spans="1:13" x14ac:dyDescent="0.25">
      <c r="A4699" s="4" t="s">
        <v>4656</v>
      </c>
      <c r="B4699" s="4" t="s">
        <v>4666</v>
      </c>
      <c r="C4699" s="4" t="s">
        <v>65</v>
      </c>
      <c r="D4699" s="10">
        <v>53</v>
      </c>
      <c r="E4699" s="12" t="s">
        <v>66</v>
      </c>
      <c r="F4699" s="10">
        <v>6000</v>
      </c>
      <c r="G4699" s="10">
        <v>0</v>
      </c>
      <c r="H4699" s="10">
        <f t="shared" si="73"/>
        <v>6000</v>
      </c>
      <c r="I4699" s="10">
        <v>113.20754716981131</v>
      </c>
      <c r="J4699" s="10">
        <v>113.20754716981131</v>
      </c>
      <c r="K4699" s="10">
        <v>113.20754716981131</v>
      </c>
      <c r="L4699" s="4"/>
      <c r="M4699" s="4">
        <v>4694</v>
      </c>
    </row>
    <row r="4700" spans="1:13" x14ac:dyDescent="0.25">
      <c r="A4700" s="4" t="s">
        <v>4656</v>
      </c>
      <c r="B4700" s="4" t="s">
        <v>4667</v>
      </c>
      <c r="C4700" s="4" t="s">
        <v>65</v>
      </c>
      <c r="D4700" s="10">
        <v>12</v>
      </c>
      <c r="E4700" s="12" t="s">
        <v>66</v>
      </c>
      <c r="F4700" s="10">
        <v>1500</v>
      </c>
      <c r="G4700" s="10">
        <v>0</v>
      </c>
      <c r="H4700" s="10">
        <f t="shared" si="73"/>
        <v>1500</v>
      </c>
      <c r="I4700" s="10">
        <v>125</v>
      </c>
      <c r="J4700" s="10">
        <v>125</v>
      </c>
      <c r="K4700" s="10">
        <v>125</v>
      </c>
      <c r="L4700" s="4"/>
      <c r="M4700" s="4">
        <v>4695</v>
      </c>
    </row>
    <row r="4701" spans="1:13" x14ac:dyDescent="0.25">
      <c r="A4701" s="4" t="s">
        <v>4656</v>
      </c>
      <c r="B4701" s="4" t="s">
        <v>4668</v>
      </c>
      <c r="C4701" s="9" t="s">
        <v>50</v>
      </c>
      <c r="D4701" s="10">
        <v>36</v>
      </c>
      <c r="E4701" s="11" t="s">
        <v>51</v>
      </c>
      <c r="F4701" s="10"/>
      <c r="G4701" s="10">
        <v>0</v>
      </c>
      <c r="H4701" s="10">
        <f t="shared" si="73"/>
        <v>0</v>
      </c>
      <c r="I4701" s="10"/>
      <c r="J4701" s="10"/>
      <c r="K4701" s="10"/>
      <c r="L4701" s="4" t="s">
        <v>52</v>
      </c>
      <c r="M4701" s="4">
        <v>4696</v>
      </c>
    </row>
    <row r="4702" spans="1:13" x14ac:dyDescent="0.25">
      <c r="A4702" s="4" t="s">
        <v>4669</v>
      </c>
      <c r="B4702" s="4" t="s">
        <v>4355</v>
      </c>
      <c r="C4702" s="4" t="s">
        <v>65</v>
      </c>
      <c r="D4702" s="10">
        <v>23</v>
      </c>
      <c r="E4702" s="12" t="s">
        <v>66</v>
      </c>
      <c r="F4702" s="10">
        <v>2700</v>
      </c>
      <c r="G4702" s="10">
        <v>0</v>
      </c>
      <c r="H4702" s="10">
        <f t="shared" si="73"/>
        <v>2700</v>
      </c>
      <c r="I4702" s="10">
        <v>117.39130434782609</v>
      </c>
      <c r="J4702" s="10">
        <v>117.39130434782609</v>
      </c>
      <c r="K4702" s="10">
        <v>117.39130434782609</v>
      </c>
      <c r="L4702" s="4"/>
      <c r="M4702" s="4">
        <v>4697</v>
      </c>
    </row>
    <row r="4703" spans="1:13" x14ac:dyDescent="0.25">
      <c r="A4703" s="4" t="s">
        <v>4669</v>
      </c>
      <c r="B4703" s="4" t="s">
        <v>4670</v>
      </c>
      <c r="C4703" s="4" t="s">
        <v>68</v>
      </c>
      <c r="D4703" s="10">
        <v>174.5</v>
      </c>
      <c r="E4703" s="11" t="s">
        <v>51</v>
      </c>
      <c r="F4703" s="10">
        <v>1495</v>
      </c>
      <c r="G4703" s="10">
        <v>0</v>
      </c>
      <c r="H4703" s="10">
        <f t="shared" si="73"/>
        <v>1495</v>
      </c>
      <c r="I4703" s="10"/>
      <c r="J4703" s="10"/>
      <c r="K4703" s="10"/>
      <c r="L4703" s="4" t="s">
        <v>69</v>
      </c>
      <c r="M4703" s="4">
        <v>4698</v>
      </c>
    </row>
    <row r="4704" spans="1:13" x14ac:dyDescent="0.25">
      <c r="A4704" s="4" t="s">
        <v>4671</v>
      </c>
      <c r="B4704" s="4" t="s">
        <v>4007</v>
      </c>
      <c r="C4704" s="4" t="s">
        <v>65</v>
      </c>
      <c r="D4704" s="10">
        <v>1.5</v>
      </c>
      <c r="E4704" s="12" t="s">
        <v>66</v>
      </c>
      <c r="F4704" s="10">
        <v>1400</v>
      </c>
      <c r="G4704" s="10">
        <v>0</v>
      </c>
      <c r="H4704" s="10">
        <f t="shared" si="73"/>
        <v>1400</v>
      </c>
      <c r="I4704" s="10">
        <v>933.33333333333337</v>
      </c>
      <c r="J4704" s="10">
        <v>933.33333333333337</v>
      </c>
      <c r="K4704" s="10">
        <v>933.33333333333337</v>
      </c>
      <c r="L4704" s="4"/>
      <c r="M4704" s="4">
        <v>4699</v>
      </c>
    </row>
    <row r="4705" spans="1:13" x14ac:dyDescent="0.25">
      <c r="A4705" s="4" t="s">
        <v>4671</v>
      </c>
      <c r="B4705" s="4" t="s">
        <v>3677</v>
      </c>
      <c r="C4705" s="4" t="s">
        <v>65</v>
      </c>
      <c r="D4705" s="10">
        <v>24</v>
      </c>
      <c r="E4705" s="12" t="s">
        <v>66</v>
      </c>
      <c r="F4705" s="10">
        <v>3500</v>
      </c>
      <c r="G4705" s="10">
        <v>0</v>
      </c>
      <c r="H4705" s="10">
        <f t="shared" si="73"/>
        <v>3500</v>
      </c>
      <c r="I4705" s="10">
        <v>145.83333333333329</v>
      </c>
      <c r="J4705" s="10">
        <v>145.83333333333329</v>
      </c>
      <c r="K4705" s="10">
        <v>145.83333333333329</v>
      </c>
      <c r="L4705" s="4"/>
      <c r="M4705" s="4">
        <v>4700</v>
      </c>
    </row>
    <row r="4706" spans="1:13" x14ac:dyDescent="0.25">
      <c r="A4706" s="4" t="s">
        <v>4671</v>
      </c>
      <c r="B4706" s="4" t="s">
        <v>3678</v>
      </c>
      <c r="C4706" s="4" t="s">
        <v>65</v>
      </c>
      <c r="D4706" s="10">
        <v>10</v>
      </c>
      <c r="E4706" s="12" t="s">
        <v>66</v>
      </c>
      <c r="F4706" s="10">
        <v>4050</v>
      </c>
      <c r="G4706" s="10">
        <v>0</v>
      </c>
      <c r="H4706" s="10">
        <f t="shared" si="73"/>
        <v>4050</v>
      </c>
      <c r="I4706" s="10">
        <v>405</v>
      </c>
      <c r="J4706" s="10">
        <v>405</v>
      </c>
      <c r="K4706" s="10">
        <v>405</v>
      </c>
      <c r="L4706" s="4"/>
      <c r="M4706" s="4">
        <v>4701</v>
      </c>
    </row>
    <row r="4707" spans="1:13" x14ac:dyDescent="0.25">
      <c r="A4707" s="4" t="s">
        <v>4671</v>
      </c>
      <c r="B4707" s="4" t="s">
        <v>3680</v>
      </c>
      <c r="C4707" s="4" t="s">
        <v>65</v>
      </c>
      <c r="D4707" s="10">
        <v>62.5</v>
      </c>
      <c r="E4707" s="12" t="s">
        <v>66</v>
      </c>
      <c r="F4707" s="10">
        <v>1900</v>
      </c>
      <c r="G4707" s="10">
        <v>0</v>
      </c>
      <c r="H4707" s="10">
        <f t="shared" si="73"/>
        <v>1900</v>
      </c>
      <c r="I4707" s="10">
        <v>30.4</v>
      </c>
      <c r="J4707" s="10">
        <v>30.4</v>
      </c>
      <c r="K4707" s="10">
        <v>30.4</v>
      </c>
      <c r="L4707" s="4"/>
      <c r="M4707" s="4">
        <v>4702</v>
      </c>
    </row>
    <row r="4708" spans="1:13" x14ac:dyDescent="0.25">
      <c r="A4708" s="4" t="s">
        <v>4671</v>
      </c>
      <c r="B4708" s="4" t="s">
        <v>3136</v>
      </c>
      <c r="C4708" s="4" t="s">
        <v>65</v>
      </c>
      <c r="D4708" s="10">
        <v>92.5</v>
      </c>
      <c r="E4708" s="12" t="s">
        <v>66</v>
      </c>
      <c r="F4708" s="10">
        <v>7250</v>
      </c>
      <c r="G4708" s="10">
        <v>0</v>
      </c>
      <c r="H4708" s="10">
        <f t="shared" si="73"/>
        <v>7250</v>
      </c>
      <c r="I4708" s="10">
        <v>94.771241830065364</v>
      </c>
      <c r="J4708" s="10">
        <v>94.771241830065364</v>
      </c>
      <c r="K4708" s="10">
        <v>94.771241830065364</v>
      </c>
      <c r="L4708" s="4"/>
      <c r="M4708" s="4">
        <v>4703</v>
      </c>
    </row>
    <row r="4709" spans="1:13" x14ac:dyDescent="0.25">
      <c r="A4709" s="4" t="s">
        <v>4672</v>
      </c>
      <c r="B4709" s="4" t="s">
        <v>4673</v>
      </c>
      <c r="C4709" s="4" t="s">
        <v>68</v>
      </c>
      <c r="D4709" s="10">
        <v>8</v>
      </c>
      <c r="E4709" s="11" t="s">
        <v>51</v>
      </c>
      <c r="F4709" s="10">
        <v>2000</v>
      </c>
      <c r="G4709" s="10">
        <v>0</v>
      </c>
      <c r="H4709" s="10">
        <f t="shared" si="73"/>
        <v>2000</v>
      </c>
      <c r="I4709" s="10"/>
      <c r="J4709" s="10"/>
      <c r="K4709" s="10"/>
      <c r="L4709" s="4" t="s">
        <v>69</v>
      </c>
      <c r="M4709" s="4">
        <v>4704</v>
      </c>
    </row>
    <row r="4710" spans="1:13" x14ac:dyDescent="0.25">
      <c r="A4710" s="4" t="s">
        <v>4674</v>
      </c>
      <c r="B4710" s="4" t="s">
        <v>4675</v>
      </c>
      <c r="C4710" s="4" t="s">
        <v>68</v>
      </c>
      <c r="D4710" s="10">
        <v>25</v>
      </c>
      <c r="E4710" s="11" t="s">
        <v>51</v>
      </c>
      <c r="F4710" s="10">
        <v>1000</v>
      </c>
      <c r="G4710" s="10">
        <v>0</v>
      </c>
      <c r="H4710" s="10">
        <f t="shared" si="73"/>
        <v>1000</v>
      </c>
      <c r="I4710" s="10"/>
      <c r="J4710" s="10"/>
      <c r="K4710" s="10"/>
      <c r="L4710" s="4" t="s">
        <v>69</v>
      </c>
      <c r="M4710" s="4">
        <v>4705</v>
      </c>
    </row>
    <row r="4711" spans="1:13" x14ac:dyDescent="0.25">
      <c r="A4711" s="4" t="s">
        <v>4676</v>
      </c>
      <c r="B4711" s="4" t="s">
        <v>4677</v>
      </c>
      <c r="C4711" s="4" t="s">
        <v>65</v>
      </c>
      <c r="D4711" s="10">
        <v>16</v>
      </c>
      <c r="E4711" s="12" t="s">
        <v>66</v>
      </c>
      <c r="F4711" s="10">
        <v>2000</v>
      </c>
      <c r="G4711" s="10">
        <v>0</v>
      </c>
      <c r="H4711" s="10">
        <f t="shared" si="73"/>
        <v>2000</v>
      </c>
      <c r="I4711" s="10">
        <v>125</v>
      </c>
      <c r="J4711" s="10">
        <v>125</v>
      </c>
      <c r="K4711" s="10">
        <v>125</v>
      </c>
      <c r="L4711" s="4"/>
      <c r="M4711" s="4">
        <v>4706</v>
      </c>
    </row>
    <row r="4712" spans="1:13" x14ac:dyDescent="0.25">
      <c r="A4712" s="4" t="s">
        <v>4676</v>
      </c>
      <c r="B4712" s="4" t="s">
        <v>4678</v>
      </c>
      <c r="C4712" s="4" t="s">
        <v>65</v>
      </c>
      <c r="D4712" s="10">
        <v>5</v>
      </c>
      <c r="E4712" s="12" t="s">
        <v>66</v>
      </c>
      <c r="F4712" s="10">
        <v>450</v>
      </c>
      <c r="G4712" s="10">
        <v>0</v>
      </c>
      <c r="H4712" s="10">
        <f t="shared" si="73"/>
        <v>450</v>
      </c>
      <c r="I4712" s="10">
        <v>90</v>
      </c>
      <c r="J4712" s="10">
        <v>90</v>
      </c>
      <c r="K4712" s="10">
        <v>90</v>
      </c>
      <c r="L4712" s="4"/>
      <c r="M4712" s="4">
        <v>4707</v>
      </c>
    </row>
    <row r="4713" spans="1:13" x14ac:dyDescent="0.25">
      <c r="A4713" s="4" t="s">
        <v>4676</v>
      </c>
      <c r="B4713" s="4" t="s">
        <v>4679</v>
      </c>
      <c r="C4713" s="4" t="s">
        <v>65</v>
      </c>
      <c r="D4713" s="10">
        <v>9</v>
      </c>
      <c r="E4713" s="12" t="s">
        <v>66</v>
      </c>
      <c r="F4713" s="10">
        <v>415</v>
      </c>
      <c r="G4713" s="10">
        <v>0</v>
      </c>
      <c r="H4713" s="10">
        <f t="shared" si="73"/>
        <v>415</v>
      </c>
      <c r="I4713" s="10">
        <v>103.75</v>
      </c>
      <c r="J4713" s="10">
        <v>103.75</v>
      </c>
      <c r="K4713" s="10">
        <v>103.75</v>
      </c>
      <c r="L4713" s="4"/>
      <c r="M4713" s="4">
        <v>4708</v>
      </c>
    </row>
    <row r="4714" spans="1:13" x14ac:dyDescent="0.25">
      <c r="A4714" s="4" t="s">
        <v>4680</v>
      </c>
      <c r="B4714" s="4" t="s">
        <v>4681</v>
      </c>
      <c r="C4714" s="4" t="s">
        <v>68</v>
      </c>
      <c r="D4714" s="10">
        <v>10</v>
      </c>
      <c r="E4714" s="11" t="s">
        <v>51</v>
      </c>
      <c r="F4714" s="10">
        <v>500</v>
      </c>
      <c r="G4714" s="10">
        <v>0</v>
      </c>
      <c r="H4714" s="10">
        <f t="shared" si="73"/>
        <v>500</v>
      </c>
      <c r="I4714" s="10"/>
      <c r="J4714" s="10"/>
      <c r="K4714" s="10"/>
      <c r="L4714" s="4" t="s">
        <v>69</v>
      </c>
      <c r="M4714" s="4">
        <v>4709</v>
      </c>
    </row>
    <row r="4715" spans="1:13" x14ac:dyDescent="0.25">
      <c r="A4715" s="4" t="s">
        <v>4682</v>
      </c>
      <c r="B4715" s="4" t="s">
        <v>4681</v>
      </c>
      <c r="C4715" s="4" t="s">
        <v>68</v>
      </c>
      <c r="D4715" s="10">
        <v>10</v>
      </c>
      <c r="E4715" s="11" t="s">
        <v>51</v>
      </c>
      <c r="F4715" s="10">
        <v>500</v>
      </c>
      <c r="G4715" s="10">
        <v>0</v>
      </c>
      <c r="H4715" s="10">
        <f t="shared" si="73"/>
        <v>500</v>
      </c>
      <c r="I4715" s="10"/>
      <c r="J4715" s="10"/>
      <c r="K4715" s="10"/>
      <c r="L4715" s="4" t="s">
        <v>69</v>
      </c>
      <c r="M4715" s="4">
        <v>4710</v>
      </c>
    </row>
    <row r="4716" spans="1:13" x14ac:dyDescent="0.25">
      <c r="A4716" s="4" t="s">
        <v>4683</v>
      </c>
      <c r="B4716" s="4" t="s">
        <v>4681</v>
      </c>
      <c r="C4716" s="4" t="s">
        <v>68</v>
      </c>
      <c r="D4716" s="10">
        <v>10</v>
      </c>
      <c r="E4716" s="11" t="s">
        <v>51</v>
      </c>
      <c r="F4716" s="10">
        <v>500</v>
      </c>
      <c r="G4716" s="10">
        <v>0</v>
      </c>
      <c r="H4716" s="10">
        <f t="shared" si="73"/>
        <v>500</v>
      </c>
      <c r="I4716" s="10"/>
      <c r="J4716" s="10"/>
      <c r="K4716" s="10"/>
      <c r="L4716" s="4" t="s">
        <v>69</v>
      </c>
      <c r="M4716" s="4">
        <v>4711</v>
      </c>
    </row>
    <row r="4717" spans="1:13" x14ac:dyDescent="0.25">
      <c r="A4717" s="4" t="s">
        <v>4684</v>
      </c>
      <c r="B4717" s="4" t="s">
        <v>4681</v>
      </c>
      <c r="C4717" s="4" t="s">
        <v>68</v>
      </c>
      <c r="D4717" s="10">
        <v>10</v>
      </c>
      <c r="E4717" s="11" t="s">
        <v>51</v>
      </c>
      <c r="F4717" s="10">
        <v>500</v>
      </c>
      <c r="G4717" s="10">
        <v>0</v>
      </c>
      <c r="H4717" s="10">
        <f t="shared" si="73"/>
        <v>500</v>
      </c>
      <c r="I4717" s="10"/>
      <c r="J4717" s="10"/>
      <c r="K4717" s="10"/>
      <c r="L4717" s="4" t="s">
        <v>69</v>
      </c>
      <c r="M4717" s="4">
        <v>4712</v>
      </c>
    </row>
    <row r="4718" spans="1:13" x14ac:dyDescent="0.25">
      <c r="A4718" s="4" t="s">
        <v>4685</v>
      </c>
      <c r="B4718" s="4" t="s">
        <v>4681</v>
      </c>
      <c r="C4718" s="4" t="s">
        <v>68</v>
      </c>
      <c r="D4718" s="10">
        <v>10</v>
      </c>
      <c r="E4718" s="11" t="s">
        <v>51</v>
      </c>
      <c r="F4718" s="10">
        <v>500</v>
      </c>
      <c r="G4718" s="10">
        <v>0</v>
      </c>
      <c r="H4718" s="10">
        <f t="shared" si="73"/>
        <v>500</v>
      </c>
      <c r="I4718" s="10"/>
      <c r="J4718" s="10"/>
      <c r="K4718" s="10"/>
      <c r="L4718" s="4" t="s">
        <v>69</v>
      </c>
      <c r="M4718" s="4">
        <v>4713</v>
      </c>
    </row>
    <row r="4719" spans="1:13" x14ac:dyDescent="0.25">
      <c r="A4719" s="4" t="s">
        <v>4686</v>
      </c>
      <c r="B4719" s="4" t="s">
        <v>4681</v>
      </c>
      <c r="C4719" s="4" t="s">
        <v>68</v>
      </c>
      <c r="D4719" s="10">
        <v>10</v>
      </c>
      <c r="E4719" s="11" t="s">
        <v>51</v>
      </c>
      <c r="F4719" s="10">
        <v>500</v>
      </c>
      <c r="G4719" s="10">
        <v>0</v>
      </c>
      <c r="H4719" s="10">
        <f t="shared" si="73"/>
        <v>500</v>
      </c>
      <c r="I4719" s="10"/>
      <c r="J4719" s="10"/>
      <c r="K4719" s="10"/>
      <c r="L4719" s="4" t="s">
        <v>69</v>
      </c>
      <c r="M4719" s="4">
        <v>4714</v>
      </c>
    </row>
    <row r="4720" spans="1:13" x14ac:dyDescent="0.25">
      <c r="A4720" s="4" t="s">
        <v>4687</v>
      </c>
      <c r="B4720" s="4" t="s">
        <v>4681</v>
      </c>
      <c r="C4720" s="4" t="s">
        <v>68</v>
      </c>
      <c r="D4720" s="10">
        <v>10</v>
      </c>
      <c r="E4720" s="11" t="s">
        <v>51</v>
      </c>
      <c r="F4720" s="10">
        <v>500</v>
      </c>
      <c r="G4720" s="10">
        <v>0</v>
      </c>
      <c r="H4720" s="10">
        <f t="shared" si="73"/>
        <v>500</v>
      </c>
      <c r="I4720" s="10"/>
      <c r="J4720" s="10"/>
      <c r="K4720" s="10"/>
      <c r="L4720" s="4" t="s">
        <v>69</v>
      </c>
      <c r="M4720" s="4">
        <v>4715</v>
      </c>
    </row>
    <row r="4721" spans="1:13" x14ac:dyDescent="0.25">
      <c r="A4721" s="4" t="s">
        <v>4688</v>
      </c>
      <c r="B4721" s="4" t="s">
        <v>4681</v>
      </c>
      <c r="C4721" s="4" t="s">
        <v>68</v>
      </c>
      <c r="D4721" s="10">
        <v>10</v>
      </c>
      <c r="E4721" s="11" t="s">
        <v>51</v>
      </c>
      <c r="F4721" s="10">
        <v>500</v>
      </c>
      <c r="G4721" s="10">
        <v>0</v>
      </c>
      <c r="H4721" s="10">
        <f t="shared" si="73"/>
        <v>500</v>
      </c>
      <c r="I4721" s="10"/>
      <c r="J4721" s="10"/>
      <c r="K4721" s="10"/>
      <c r="L4721" s="4" t="s">
        <v>69</v>
      </c>
      <c r="M4721" s="4">
        <v>4716</v>
      </c>
    </row>
    <row r="4722" spans="1:13" x14ac:dyDescent="0.25">
      <c r="A4722" s="4" t="s">
        <v>4689</v>
      </c>
      <c r="B4722" s="4" t="s">
        <v>4681</v>
      </c>
      <c r="C4722" s="4" t="s">
        <v>68</v>
      </c>
      <c r="D4722" s="10">
        <v>10</v>
      </c>
      <c r="E4722" s="11" t="s">
        <v>51</v>
      </c>
      <c r="F4722" s="10">
        <v>500</v>
      </c>
      <c r="G4722" s="10">
        <v>0</v>
      </c>
      <c r="H4722" s="10">
        <f t="shared" si="73"/>
        <v>500</v>
      </c>
      <c r="I4722" s="10"/>
      <c r="J4722" s="10"/>
      <c r="K4722" s="10"/>
      <c r="L4722" s="4" t="s">
        <v>69</v>
      </c>
      <c r="M4722" s="4">
        <v>4717</v>
      </c>
    </row>
    <row r="4723" spans="1:13" x14ac:dyDescent="0.25">
      <c r="A4723" s="4" t="s">
        <v>4690</v>
      </c>
      <c r="B4723" s="4" t="s">
        <v>4681</v>
      </c>
      <c r="C4723" s="4" t="s">
        <v>68</v>
      </c>
      <c r="D4723" s="10">
        <v>10</v>
      </c>
      <c r="E4723" s="11" t="s">
        <v>51</v>
      </c>
      <c r="F4723" s="10">
        <v>500</v>
      </c>
      <c r="G4723" s="10">
        <v>0</v>
      </c>
      <c r="H4723" s="10">
        <f t="shared" si="73"/>
        <v>500</v>
      </c>
      <c r="I4723" s="10"/>
      <c r="J4723" s="10"/>
      <c r="K4723" s="10"/>
      <c r="L4723" s="4" t="s">
        <v>69</v>
      </c>
      <c r="M4723" s="4">
        <v>4718</v>
      </c>
    </row>
    <row r="4724" spans="1:13" x14ac:dyDescent="0.25">
      <c r="A4724" s="4" t="s">
        <v>4691</v>
      </c>
      <c r="B4724" s="4" t="s">
        <v>4681</v>
      </c>
      <c r="C4724" s="4" t="s">
        <v>68</v>
      </c>
      <c r="D4724" s="10">
        <v>10</v>
      </c>
      <c r="E4724" s="11" t="s">
        <v>51</v>
      </c>
      <c r="F4724" s="10">
        <v>500</v>
      </c>
      <c r="G4724" s="10">
        <v>0</v>
      </c>
      <c r="H4724" s="10">
        <f t="shared" si="73"/>
        <v>500</v>
      </c>
      <c r="I4724" s="10"/>
      <c r="J4724" s="10"/>
      <c r="K4724" s="10"/>
      <c r="L4724" s="4" t="s">
        <v>69</v>
      </c>
      <c r="M4724" s="4">
        <v>4719</v>
      </c>
    </row>
    <row r="4725" spans="1:13" x14ac:dyDescent="0.25">
      <c r="A4725" s="4" t="s">
        <v>4692</v>
      </c>
      <c r="B4725" s="4" t="s">
        <v>4681</v>
      </c>
      <c r="C4725" s="4" t="s">
        <v>68</v>
      </c>
      <c r="D4725" s="10">
        <v>10</v>
      </c>
      <c r="E4725" s="11" t="s">
        <v>51</v>
      </c>
      <c r="F4725" s="10">
        <v>500</v>
      </c>
      <c r="G4725" s="10">
        <v>0</v>
      </c>
      <c r="H4725" s="10">
        <f t="shared" si="73"/>
        <v>500</v>
      </c>
      <c r="I4725" s="10"/>
      <c r="J4725" s="10"/>
      <c r="K4725" s="10"/>
      <c r="L4725" s="4" t="s">
        <v>69</v>
      </c>
      <c r="M4725" s="4">
        <v>4720</v>
      </c>
    </row>
    <row r="4726" spans="1:13" x14ac:dyDescent="0.25">
      <c r="A4726" s="4" t="s">
        <v>4693</v>
      </c>
      <c r="B4726" s="4" t="s">
        <v>4681</v>
      </c>
      <c r="C4726" s="4" t="s">
        <v>68</v>
      </c>
      <c r="D4726" s="10">
        <v>10</v>
      </c>
      <c r="E4726" s="11" t="s">
        <v>51</v>
      </c>
      <c r="F4726" s="10">
        <v>500</v>
      </c>
      <c r="G4726" s="10">
        <v>0</v>
      </c>
      <c r="H4726" s="10">
        <f t="shared" si="73"/>
        <v>500</v>
      </c>
      <c r="I4726" s="10"/>
      <c r="J4726" s="10"/>
      <c r="K4726" s="10"/>
      <c r="L4726" s="4" t="s">
        <v>69</v>
      </c>
      <c r="M4726" s="4">
        <v>4721</v>
      </c>
    </row>
    <row r="4727" spans="1:13" x14ac:dyDescent="0.25">
      <c r="A4727" s="4" t="s">
        <v>4694</v>
      </c>
      <c r="B4727" s="4" t="s">
        <v>4681</v>
      </c>
      <c r="C4727" s="4" t="s">
        <v>68</v>
      </c>
      <c r="D4727" s="10">
        <v>10</v>
      </c>
      <c r="E4727" s="11" t="s">
        <v>51</v>
      </c>
      <c r="F4727" s="10">
        <v>500</v>
      </c>
      <c r="G4727" s="10">
        <v>0</v>
      </c>
      <c r="H4727" s="10">
        <f t="shared" si="73"/>
        <v>500</v>
      </c>
      <c r="I4727" s="10"/>
      <c r="J4727" s="10"/>
      <c r="K4727" s="10"/>
      <c r="L4727" s="4" t="s">
        <v>69</v>
      </c>
      <c r="M4727" s="4">
        <v>4722</v>
      </c>
    </row>
    <row r="4728" spans="1:13" x14ac:dyDescent="0.25">
      <c r="A4728" s="4" t="s">
        <v>4695</v>
      </c>
      <c r="B4728" s="4" t="s">
        <v>4681</v>
      </c>
      <c r="C4728" s="4" t="s">
        <v>68</v>
      </c>
      <c r="D4728" s="10">
        <v>10</v>
      </c>
      <c r="E4728" s="11" t="s">
        <v>51</v>
      </c>
      <c r="F4728" s="10">
        <v>500</v>
      </c>
      <c r="G4728" s="10">
        <v>0</v>
      </c>
      <c r="H4728" s="10">
        <f t="shared" si="73"/>
        <v>500</v>
      </c>
      <c r="I4728" s="10"/>
      <c r="J4728" s="10"/>
      <c r="K4728" s="10"/>
      <c r="L4728" s="4" t="s">
        <v>69</v>
      </c>
      <c r="M4728" s="4">
        <v>4723</v>
      </c>
    </row>
    <row r="4729" spans="1:13" x14ac:dyDescent="0.25">
      <c r="A4729" s="4" t="s">
        <v>4696</v>
      </c>
      <c r="B4729" s="4" t="s">
        <v>4681</v>
      </c>
      <c r="C4729" s="4" t="s">
        <v>68</v>
      </c>
      <c r="D4729" s="10">
        <v>131</v>
      </c>
      <c r="E4729" s="11" t="s">
        <v>51</v>
      </c>
      <c r="F4729" s="10">
        <v>500</v>
      </c>
      <c r="G4729" s="10">
        <v>0</v>
      </c>
      <c r="H4729" s="10">
        <f t="shared" si="73"/>
        <v>500</v>
      </c>
      <c r="I4729" s="10"/>
      <c r="J4729" s="10"/>
      <c r="K4729" s="10"/>
      <c r="L4729" s="4" t="s">
        <v>69</v>
      </c>
      <c r="M4729" s="4">
        <v>4724</v>
      </c>
    </row>
    <row r="4730" spans="1:13" x14ac:dyDescent="0.25">
      <c r="A4730" s="4" t="s">
        <v>4697</v>
      </c>
      <c r="B4730" s="4" t="s">
        <v>378</v>
      </c>
      <c r="C4730" s="4" t="s">
        <v>65</v>
      </c>
      <c r="D4730" s="10">
        <v>103</v>
      </c>
      <c r="E4730" s="12" t="s">
        <v>66</v>
      </c>
      <c r="F4730" s="10">
        <v>11950</v>
      </c>
      <c r="G4730" s="10">
        <v>0</v>
      </c>
      <c r="H4730" s="10">
        <f t="shared" si="73"/>
        <v>11950</v>
      </c>
      <c r="I4730" s="10">
        <v>116.0194174757282</v>
      </c>
      <c r="J4730" s="10">
        <v>116.0194174757282</v>
      </c>
      <c r="K4730" s="10">
        <v>116.0194174757282</v>
      </c>
      <c r="L4730" s="4"/>
      <c r="M4730" s="4">
        <v>4725</v>
      </c>
    </row>
    <row r="4731" spans="1:13" x14ac:dyDescent="0.25">
      <c r="A4731" s="4" t="s">
        <v>4697</v>
      </c>
      <c r="B4731" s="4" t="s">
        <v>4698</v>
      </c>
      <c r="C4731" s="4" t="s">
        <v>68</v>
      </c>
      <c r="D4731" s="10">
        <v>68</v>
      </c>
      <c r="E4731" s="11" t="s">
        <v>51</v>
      </c>
      <c r="F4731" s="10">
        <v>2900</v>
      </c>
      <c r="G4731" s="10">
        <v>0</v>
      </c>
      <c r="H4731" s="10">
        <f t="shared" si="73"/>
        <v>2900</v>
      </c>
      <c r="I4731" s="10"/>
      <c r="J4731" s="10"/>
      <c r="K4731" s="10"/>
      <c r="L4731" s="4" t="s">
        <v>69</v>
      </c>
      <c r="M4731" s="4">
        <v>4726</v>
      </c>
    </row>
    <row r="4732" spans="1:13" x14ac:dyDescent="0.25">
      <c r="A4732" s="4" t="s">
        <v>4699</v>
      </c>
      <c r="B4732" s="4" t="s">
        <v>4700</v>
      </c>
      <c r="C4732" s="4" t="s">
        <v>65</v>
      </c>
      <c r="D4732" s="10">
        <v>15</v>
      </c>
      <c r="E4732" s="12" t="s">
        <v>66</v>
      </c>
      <c r="F4732" s="10">
        <v>1400</v>
      </c>
      <c r="G4732" s="10">
        <v>0</v>
      </c>
      <c r="H4732" s="10">
        <f t="shared" si="73"/>
        <v>1400</v>
      </c>
      <c r="I4732" s="10">
        <v>93.333333333333329</v>
      </c>
      <c r="J4732" s="10">
        <v>93.333333333333329</v>
      </c>
      <c r="K4732" s="10">
        <v>93.333333333333329</v>
      </c>
      <c r="L4732" s="4"/>
      <c r="M4732" s="4">
        <v>4727</v>
      </c>
    </row>
    <row r="4733" spans="1:13" x14ac:dyDescent="0.25">
      <c r="A4733" s="4" t="s">
        <v>4699</v>
      </c>
      <c r="B4733" s="4" t="s">
        <v>649</v>
      </c>
      <c r="C4733" s="4" t="s">
        <v>65</v>
      </c>
      <c r="D4733" s="10">
        <v>71</v>
      </c>
      <c r="E4733" s="12" t="s">
        <v>66</v>
      </c>
      <c r="F4733" s="10">
        <v>2800</v>
      </c>
      <c r="G4733" s="10">
        <v>0</v>
      </c>
      <c r="H4733" s="10">
        <f t="shared" si="73"/>
        <v>2800</v>
      </c>
      <c r="I4733" s="10">
        <v>93.333333333333329</v>
      </c>
      <c r="J4733" s="10">
        <v>93.333333333333329</v>
      </c>
      <c r="K4733" s="10">
        <v>93.333333333333329</v>
      </c>
      <c r="L4733" s="4"/>
      <c r="M4733" s="4">
        <v>4728</v>
      </c>
    </row>
    <row r="4734" spans="1:13" x14ac:dyDescent="0.25">
      <c r="A4734" s="4" t="s">
        <v>4701</v>
      </c>
      <c r="B4734" s="4" t="s">
        <v>4702</v>
      </c>
      <c r="C4734" s="4" t="s">
        <v>65</v>
      </c>
      <c r="D4734" s="10">
        <v>25</v>
      </c>
      <c r="E4734" s="12" t="s">
        <v>66</v>
      </c>
      <c r="F4734" s="10">
        <v>3400</v>
      </c>
      <c r="G4734" s="10">
        <v>0</v>
      </c>
      <c r="H4734" s="10">
        <f t="shared" si="73"/>
        <v>3400</v>
      </c>
      <c r="I4734" s="10">
        <v>136</v>
      </c>
      <c r="J4734" s="10">
        <v>136</v>
      </c>
      <c r="K4734" s="10">
        <v>136</v>
      </c>
      <c r="L4734" s="4"/>
      <c r="M4734" s="4">
        <v>4729</v>
      </c>
    </row>
    <row r="4735" spans="1:13" x14ac:dyDescent="0.25">
      <c r="A4735" s="4" t="s">
        <v>4701</v>
      </c>
      <c r="B4735" s="4" t="s">
        <v>4703</v>
      </c>
      <c r="C4735" s="4" t="s">
        <v>68</v>
      </c>
      <c r="D4735" s="10">
        <v>39</v>
      </c>
      <c r="E4735" s="11" t="s">
        <v>51</v>
      </c>
      <c r="F4735" s="10">
        <v>2080</v>
      </c>
      <c r="G4735" s="10">
        <v>0</v>
      </c>
      <c r="H4735" s="10">
        <f t="shared" si="73"/>
        <v>2080</v>
      </c>
      <c r="I4735" s="10"/>
      <c r="J4735" s="10"/>
      <c r="K4735" s="10"/>
      <c r="L4735" s="4" t="s">
        <v>69</v>
      </c>
      <c r="M4735" s="4">
        <v>4730</v>
      </c>
    </row>
    <row r="4736" spans="1:13" x14ac:dyDescent="0.25">
      <c r="A4736" s="4" t="s">
        <v>4704</v>
      </c>
      <c r="B4736" s="4" t="s">
        <v>1809</v>
      </c>
      <c r="C4736" s="4" t="s">
        <v>65</v>
      </c>
      <c r="D4736" s="10">
        <v>72</v>
      </c>
      <c r="E4736" s="12" t="s">
        <v>66</v>
      </c>
      <c r="F4736" s="10">
        <v>2700</v>
      </c>
      <c r="G4736" s="10">
        <v>0</v>
      </c>
      <c r="H4736" s="10">
        <f t="shared" si="73"/>
        <v>2700</v>
      </c>
      <c r="I4736" s="10">
        <v>117.39130434782609</v>
      </c>
      <c r="J4736" s="10">
        <v>117.39130434782609</v>
      </c>
      <c r="K4736" s="10">
        <v>117.39130434782609</v>
      </c>
      <c r="L4736" s="4"/>
      <c r="M4736" s="4">
        <v>4731</v>
      </c>
    </row>
    <row r="4737" spans="1:13" x14ac:dyDescent="0.25">
      <c r="A4737" s="4" t="s">
        <v>4705</v>
      </c>
      <c r="B4737" s="4" t="s">
        <v>4706</v>
      </c>
      <c r="C4737" s="4" t="s">
        <v>65</v>
      </c>
      <c r="D4737" s="10">
        <v>79</v>
      </c>
      <c r="E4737" s="12" t="s">
        <v>66</v>
      </c>
      <c r="F4737" s="10">
        <v>5849.06</v>
      </c>
      <c r="G4737" s="10">
        <v>0</v>
      </c>
      <c r="H4737" s="10">
        <f t="shared" si="73"/>
        <v>5849.06</v>
      </c>
      <c r="I4737" s="10">
        <v>119.3685714285714</v>
      </c>
      <c r="J4737" s="10">
        <v>119.3685714285714</v>
      </c>
      <c r="K4737" s="10">
        <v>119.3685714285714</v>
      </c>
      <c r="L4737" s="4"/>
      <c r="M4737" s="4">
        <v>4732</v>
      </c>
    </row>
    <row r="4738" spans="1:13" x14ac:dyDescent="0.25">
      <c r="A4738" s="4" t="s">
        <v>4707</v>
      </c>
      <c r="B4738" s="4" t="s">
        <v>4708</v>
      </c>
      <c r="C4738" s="4" t="s">
        <v>65</v>
      </c>
      <c r="D4738" s="10">
        <v>40</v>
      </c>
      <c r="E4738" s="12" t="s">
        <v>66</v>
      </c>
      <c r="F4738" s="10">
        <v>2400</v>
      </c>
      <c r="G4738" s="10">
        <v>0</v>
      </c>
      <c r="H4738" s="10">
        <f t="shared" si="73"/>
        <v>2400</v>
      </c>
      <c r="I4738" s="10">
        <v>80</v>
      </c>
      <c r="J4738" s="10">
        <v>80</v>
      </c>
      <c r="K4738" s="10">
        <v>80</v>
      </c>
      <c r="L4738" s="4"/>
      <c r="M4738" s="4">
        <v>4733</v>
      </c>
    </row>
    <row r="4739" spans="1:13" x14ac:dyDescent="0.25">
      <c r="A4739" s="4" t="s">
        <v>4709</v>
      </c>
      <c r="B4739" s="4" t="s">
        <v>4710</v>
      </c>
      <c r="C4739" s="4" t="s">
        <v>68</v>
      </c>
      <c r="D4739" s="10">
        <v>30</v>
      </c>
      <c r="E4739" s="11" t="s">
        <v>51</v>
      </c>
      <c r="F4739" s="10">
        <v>6000</v>
      </c>
      <c r="G4739" s="10">
        <v>0</v>
      </c>
      <c r="H4739" s="10">
        <f t="shared" si="73"/>
        <v>6000</v>
      </c>
      <c r="I4739" s="10"/>
      <c r="J4739" s="10"/>
      <c r="K4739" s="10"/>
      <c r="L4739" s="4" t="s">
        <v>69</v>
      </c>
      <c r="M4739" s="4">
        <v>4734</v>
      </c>
    </row>
    <row r="4740" spans="1:13" x14ac:dyDescent="0.25">
      <c r="A4740" s="4" t="s">
        <v>4709</v>
      </c>
      <c r="B4740" s="4" t="s">
        <v>4513</v>
      </c>
      <c r="C4740" s="4" t="s">
        <v>68</v>
      </c>
      <c r="D4740" s="10">
        <v>1824</v>
      </c>
      <c r="E4740" s="11" t="s">
        <v>51</v>
      </c>
      <c r="F4740" s="10">
        <v>1200</v>
      </c>
      <c r="G4740" s="10">
        <v>0</v>
      </c>
      <c r="H4740" s="10">
        <f t="shared" si="73"/>
        <v>1200</v>
      </c>
      <c r="I4740" s="10"/>
      <c r="J4740" s="10"/>
      <c r="K4740" s="10"/>
      <c r="L4740" s="4" t="s">
        <v>69</v>
      </c>
      <c r="M4740" s="4">
        <v>4735</v>
      </c>
    </row>
    <row r="4741" spans="1:13" x14ac:dyDescent="0.25">
      <c r="A4741" s="4" t="s">
        <v>4711</v>
      </c>
      <c r="B4741" s="4" t="s">
        <v>4712</v>
      </c>
      <c r="C4741" s="9" t="s">
        <v>50</v>
      </c>
      <c r="D4741" s="10">
        <v>93</v>
      </c>
      <c r="E4741" s="11" t="s">
        <v>51</v>
      </c>
      <c r="F4741" s="10">
        <v>10200</v>
      </c>
      <c r="G4741" s="10">
        <v>0</v>
      </c>
      <c r="H4741" s="10">
        <f t="shared" si="73"/>
        <v>10200</v>
      </c>
      <c r="I4741" s="10"/>
      <c r="J4741" s="10"/>
      <c r="K4741" s="10"/>
      <c r="L4741" s="4" t="s">
        <v>52</v>
      </c>
      <c r="M4741" s="4">
        <v>4736</v>
      </c>
    </row>
    <row r="4742" spans="1:13" x14ac:dyDescent="0.25">
      <c r="A4742" s="4" t="s">
        <v>4711</v>
      </c>
      <c r="B4742" s="4" t="s">
        <v>4713</v>
      </c>
      <c r="C4742" s="4" t="s">
        <v>65</v>
      </c>
      <c r="D4742" s="10">
        <v>93</v>
      </c>
      <c r="E4742" s="12" t="s">
        <v>66</v>
      </c>
      <c r="F4742" s="10">
        <v>10200</v>
      </c>
      <c r="G4742" s="10">
        <v>0</v>
      </c>
      <c r="H4742" s="10">
        <f t="shared" ref="H4742:H4805" si="74">F4742-G4742</f>
        <v>10200</v>
      </c>
      <c r="I4742" s="10">
        <v>109.6774193548387</v>
      </c>
      <c r="J4742" s="10">
        <v>109.6774193548387</v>
      </c>
      <c r="K4742" s="10">
        <v>109.6774193548387</v>
      </c>
      <c r="L4742" s="4"/>
      <c r="M4742" s="4">
        <v>4737</v>
      </c>
    </row>
    <row r="4743" spans="1:13" x14ac:dyDescent="0.25">
      <c r="A4743" s="4" t="s">
        <v>4711</v>
      </c>
      <c r="B4743" s="4" t="s">
        <v>4714</v>
      </c>
      <c r="C4743" s="4" t="s">
        <v>65</v>
      </c>
      <c r="D4743" s="10">
        <v>124</v>
      </c>
      <c r="E4743" s="12" t="s">
        <v>66</v>
      </c>
      <c r="F4743" s="10">
        <v>13600</v>
      </c>
      <c r="G4743" s="10">
        <v>0</v>
      </c>
      <c r="H4743" s="10">
        <f t="shared" si="74"/>
        <v>13600</v>
      </c>
      <c r="I4743" s="10">
        <v>109.6774193548387</v>
      </c>
      <c r="J4743" s="10">
        <v>109.6774193548387</v>
      </c>
      <c r="K4743" s="10">
        <v>109.6774193548387</v>
      </c>
      <c r="L4743" s="4"/>
      <c r="M4743" s="4">
        <v>4738</v>
      </c>
    </row>
    <row r="4744" spans="1:13" x14ac:dyDescent="0.25">
      <c r="A4744" s="4" t="s">
        <v>4711</v>
      </c>
      <c r="B4744" s="4" t="s">
        <v>4715</v>
      </c>
      <c r="C4744" s="4" t="s">
        <v>65</v>
      </c>
      <c r="D4744" s="10">
        <v>151</v>
      </c>
      <c r="E4744" s="12" t="s">
        <v>66</v>
      </c>
      <c r="F4744" s="10">
        <v>16640</v>
      </c>
      <c r="G4744" s="10">
        <v>0</v>
      </c>
      <c r="H4744" s="10">
        <f t="shared" si="74"/>
        <v>16640</v>
      </c>
      <c r="I4744" s="10">
        <v>110.19867549668869</v>
      </c>
      <c r="J4744" s="10">
        <v>110.19867549668869</v>
      </c>
      <c r="K4744" s="10">
        <v>110.19867549668869</v>
      </c>
      <c r="L4744" s="4"/>
      <c r="M4744" s="4">
        <v>4739</v>
      </c>
    </row>
    <row r="4745" spans="1:13" x14ac:dyDescent="0.25">
      <c r="A4745" s="4" t="s">
        <v>4711</v>
      </c>
      <c r="B4745" s="4" t="s">
        <v>4716</v>
      </c>
      <c r="C4745" s="4" t="s">
        <v>65</v>
      </c>
      <c r="D4745" s="10">
        <v>31</v>
      </c>
      <c r="E4745" s="12" t="s">
        <v>66</v>
      </c>
      <c r="F4745" s="10">
        <v>3400</v>
      </c>
      <c r="G4745" s="10">
        <v>0</v>
      </c>
      <c r="H4745" s="10">
        <f t="shared" si="74"/>
        <v>3400</v>
      </c>
      <c r="I4745" s="10">
        <v>109.6774193548387</v>
      </c>
      <c r="J4745" s="10">
        <v>109.6774193548387</v>
      </c>
      <c r="K4745" s="10">
        <v>109.6774193548387</v>
      </c>
      <c r="L4745" s="4"/>
      <c r="M4745" s="4">
        <v>4740</v>
      </c>
    </row>
    <row r="4746" spans="1:13" x14ac:dyDescent="0.25">
      <c r="A4746" s="4" t="s">
        <v>4711</v>
      </c>
      <c r="B4746" s="4" t="s">
        <v>4717</v>
      </c>
      <c r="C4746" s="4" t="s">
        <v>65</v>
      </c>
      <c r="D4746" s="10">
        <v>31</v>
      </c>
      <c r="E4746" s="12" t="s">
        <v>66</v>
      </c>
      <c r="F4746" s="10">
        <v>3400</v>
      </c>
      <c r="G4746" s="10">
        <v>0</v>
      </c>
      <c r="H4746" s="10">
        <f t="shared" si="74"/>
        <v>3400</v>
      </c>
      <c r="I4746" s="10">
        <v>109.6774193548387</v>
      </c>
      <c r="J4746" s="10">
        <v>109.6774193548387</v>
      </c>
      <c r="K4746" s="10">
        <v>109.6774193548387</v>
      </c>
      <c r="L4746" s="4"/>
      <c r="M4746" s="4">
        <v>4741</v>
      </c>
    </row>
    <row r="4747" spans="1:13" x14ac:dyDescent="0.25">
      <c r="A4747" s="4" t="s">
        <v>4711</v>
      </c>
      <c r="B4747" s="4" t="s">
        <v>4718</v>
      </c>
      <c r="C4747" s="4" t="s">
        <v>65</v>
      </c>
      <c r="D4747" s="10">
        <v>109</v>
      </c>
      <c r="E4747" s="12" t="s">
        <v>66</v>
      </c>
      <c r="F4747" s="10">
        <v>12000</v>
      </c>
      <c r="G4747" s="10">
        <v>0</v>
      </c>
      <c r="H4747" s="10">
        <f t="shared" si="74"/>
        <v>12000</v>
      </c>
      <c r="I4747" s="10">
        <v>110.0917431192661</v>
      </c>
      <c r="J4747" s="10">
        <v>110.0917431192661</v>
      </c>
      <c r="K4747" s="10">
        <v>110.0917431192661</v>
      </c>
      <c r="L4747" s="4"/>
      <c r="M4747" s="4">
        <v>4742</v>
      </c>
    </row>
    <row r="4748" spans="1:13" x14ac:dyDescent="0.25">
      <c r="A4748" s="4" t="s">
        <v>4711</v>
      </c>
      <c r="B4748" s="4" t="s">
        <v>4719</v>
      </c>
      <c r="C4748" s="4" t="s">
        <v>65</v>
      </c>
      <c r="D4748" s="10">
        <v>6</v>
      </c>
      <c r="E4748" s="12" t="s">
        <v>66</v>
      </c>
      <c r="F4748" s="10">
        <v>680</v>
      </c>
      <c r="G4748" s="10">
        <v>0</v>
      </c>
      <c r="H4748" s="10">
        <f t="shared" si="74"/>
        <v>680</v>
      </c>
      <c r="I4748" s="10">
        <v>113.3333333333333</v>
      </c>
      <c r="J4748" s="10">
        <v>113.3333333333333</v>
      </c>
      <c r="K4748" s="10">
        <v>113.3333333333333</v>
      </c>
      <c r="L4748" s="4"/>
      <c r="M4748" s="4">
        <v>4743</v>
      </c>
    </row>
    <row r="4749" spans="1:13" x14ac:dyDescent="0.25">
      <c r="A4749" s="4" t="s">
        <v>4711</v>
      </c>
      <c r="B4749" s="4" t="s">
        <v>4720</v>
      </c>
      <c r="C4749" s="4" t="s">
        <v>65</v>
      </c>
      <c r="D4749" s="10">
        <v>273</v>
      </c>
      <c r="E4749" s="12" t="s">
        <v>66</v>
      </c>
      <c r="F4749" s="10">
        <v>30000</v>
      </c>
      <c r="G4749" s="10">
        <v>0</v>
      </c>
      <c r="H4749" s="10">
        <f t="shared" si="74"/>
        <v>30000</v>
      </c>
      <c r="I4749" s="10">
        <v>109.8901098901099</v>
      </c>
      <c r="J4749" s="10">
        <v>109.8901098901099</v>
      </c>
      <c r="K4749" s="10">
        <v>109.8901098901099</v>
      </c>
      <c r="L4749" s="4"/>
      <c r="M4749" s="4">
        <v>4744</v>
      </c>
    </row>
    <row r="4750" spans="1:13" x14ac:dyDescent="0.25">
      <c r="A4750" s="4" t="s">
        <v>4711</v>
      </c>
      <c r="B4750" s="4" t="s">
        <v>4721</v>
      </c>
      <c r="C4750" s="4" t="s">
        <v>65</v>
      </c>
      <c r="D4750" s="10">
        <v>247</v>
      </c>
      <c r="E4750" s="12" t="s">
        <v>66</v>
      </c>
      <c r="F4750" s="10">
        <v>27200</v>
      </c>
      <c r="G4750" s="10">
        <v>0</v>
      </c>
      <c r="H4750" s="10">
        <f t="shared" si="74"/>
        <v>27200</v>
      </c>
      <c r="I4750" s="10">
        <v>110.12145748987849</v>
      </c>
      <c r="J4750" s="10">
        <v>110.12145748987849</v>
      </c>
      <c r="K4750" s="10">
        <v>110.12145748987849</v>
      </c>
      <c r="L4750" s="4"/>
      <c r="M4750" s="4">
        <v>4745</v>
      </c>
    </row>
    <row r="4751" spans="1:13" x14ac:dyDescent="0.25">
      <c r="A4751" s="4" t="s">
        <v>4711</v>
      </c>
      <c r="B4751" s="4" t="s">
        <v>4722</v>
      </c>
      <c r="C4751" s="4" t="s">
        <v>65</v>
      </c>
      <c r="D4751" s="10">
        <v>62</v>
      </c>
      <c r="E4751" s="12" t="s">
        <v>66</v>
      </c>
      <c r="F4751" s="10">
        <v>6800</v>
      </c>
      <c r="G4751" s="10">
        <v>0</v>
      </c>
      <c r="H4751" s="10">
        <f t="shared" si="74"/>
        <v>6800</v>
      </c>
      <c r="I4751" s="10">
        <v>109.6774193548387</v>
      </c>
      <c r="J4751" s="10">
        <v>109.6774193548387</v>
      </c>
      <c r="K4751" s="10">
        <v>109.6774193548387</v>
      </c>
      <c r="L4751" s="4"/>
      <c r="M4751" s="4">
        <v>4746</v>
      </c>
    </row>
    <row r="4752" spans="1:13" x14ac:dyDescent="0.25">
      <c r="A4752" s="4" t="s">
        <v>4711</v>
      </c>
      <c r="B4752" s="4" t="s">
        <v>4723</v>
      </c>
      <c r="C4752" s="4" t="s">
        <v>65</v>
      </c>
      <c r="D4752" s="10">
        <v>77</v>
      </c>
      <c r="E4752" s="12" t="s">
        <v>66</v>
      </c>
      <c r="F4752" s="10">
        <v>8500</v>
      </c>
      <c r="G4752" s="10">
        <v>0</v>
      </c>
      <c r="H4752" s="10">
        <f t="shared" si="74"/>
        <v>8500</v>
      </c>
      <c r="I4752" s="10">
        <v>110.3896103896104</v>
      </c>
      <c r="J4752" s="10">
        <v>110.3896103896104</v>
      </c>
      <c r="K4752" s="10">
        <v>110.3896103896104</v>
      </c>
      <c r="L4752" s="4"/>
      <c r="M4752" s="4">
        <v>4747</v>
      </c>
    </row>
    <row r="4753" spans="1:13" x14ac:dyDescent="0.25">
      <c r="A4753" s="4" t="s">
        <v>4711</v>
      </c>
      <c r="B4753" s="4" t="s">
        <v>4724</v>
      </c>
      <c r="C4753" s="4" t="s">
        <v>65</v>
      </c>
      <c r="D4753" s="10">
        <v>80</v>
      </c>
      <c r="E4753" s="12" t="s">
        <v>66</v>
      </c>
      <c r="F4753" s="10">
        <v>8800</v>
      </c>
      <c r="G4753" s="10">
        <v>0</v>
      </c>
      <c r="H4753" s="10">
        <f t="shared" si="74"/>
        <v>8800</v>
      </c>
      <c r="I4753" s="10">
        <v>110</v>
      </c>
      <c r="J4753" s="10">
        <v>110</v>
      </c>
      <c r="K4753" s="10">
        <v>110</v>
      </c>
      <c r="L4753" s="4"/>
      <c r="M4753" s="4">
        <v>4748</v>
      </c>
    </row>
    <row r="4754" spans="1:13" x14ac:dyDescent="0.25">
      <c r="A4754" s="4" t="s">
        <v>4711</v>
      </c>
      <c r="B4754" s="4" t="s">
        <v>4725</v>
      </c>
      <c r="C4754" s="4" t="s">
        <v>65</v>
      </c>
      <c r="D4754" s="10">
        <v>3</v>
      </c>
      <c r="E4754" s="12" t="s">
        <v>66</v>
      </c>
      <c r="F4754" s="10">
        <v>340</v>
      </c>
      <c r="G4754" s="10">
        <v>0</v>
      </c>
      <c r="H4754" s="10">
        <f t="shared" si="74"/>
        <v>340</v>
      </c>
      <c r="I4754" s="10">
        <v>113.3333333333333</v>
      </c>
      <c r="J4754" s="10">
        <v>113.3333333333333</v>
      </c>
      <c r="K4754" s="10">
        <v>113.3333333333333</v>
      </c>
      <c r="L4754" s="4"/>
      <c r="M4754" s="4">
        <v>4749</v>
      </c>
    </row>
    <row r="4755" spans="1:13" x14ac:dyDescent="0.25">
      <c r="A4755" s="4" t="s">
        <v>4711</v>
      </c>
      <c r="B4755" s="4" t="s">
        <v>4726</v>
      </c>
      <c r="C4755" s="4" t="s">
        <v>65</v>
      </c>
      <c r="D4755" s="10">
        <v>111</v>
      </c>
      <c r="E4755" s="12" t="s">
        <v>66</v>
      </c>
      <c r="F4755" s="10">
        <v>12240</v>
      </c>
      <c r="G4755" s="10">
        <v>0</v>
      </c>
      <c r="H4755" s="10">
        <f t="shared" si="74"/>
        <v>12240</v>
      </c>
      <c r="I4755" s="10">
        <v>110.2702702702703</v>
      </c>
      <c r="J4755" s="10">
        <v>110.2702702702703</v>
      </c>
      <c r="K4755" s="10">
        <v>110.2702702702703</v>
      </c>
      <c r="L4755" s="4"/>
      <c r="M4755" s="4">
        <v>4750</v>
      </c>
    </row>
    <row r="4756" spans="1:13" x14ac:dyDescent="0.25">
      <c r="A4756" s="4" t="s">
        <v>4711</v>
      </c>
      <c r="B4756" s="4" t="s">
        <v>4727</v>
      </c>
      <c r="C4756" s="4" t="s">
        <v>65</v>
      </c>
      <c r="D4756" s="10">
        <v>31</v>
      </c>
      <c r="E4756" s="12" t="s">
        <v>66</v>
      </c>
      <c r="F4756" s="10">
        <v>3400</v>
      </c>
      <c r="G4756" s="10">
        <v>0</v>
      </c>
      <c r="H4756" s="10">
        <f t="shared" si="74"/>
        <v>3400</v>
      </c>
      <c r="I4756" s="10">
        <v>109.6774193548387</v>
      </c>
      <c r="J4756" s="10">
        <v>109.6774193548387</v>
      </c>
      <c r="K4756" s="10">
        <v>109.6774193548387</v>
      </c>
      <c r="L4756" s="4"/>
      <c r="M4756" s="4">
        <v>4751</v>
      </c>
    </row>
    <row r="4757" spans="1:13" x14ac:dyDescent="0.25">
      <c r="A4757" s="4" t="s">
        <v>4711</v>
      </c>
      <c r="B4757" s="4" t="s">
        <v>4728</v>
      </c>
      <c r="C4757" s="4" t="s">
        <v>65</v>
      </c>
      <c r="D4757" s="10">
        <v>31</v>
      </c>
      <c r="E4757" s="12" t="s">
        <v>66</v>
      </c>
      <c r="F4757" s="10">
        <v>3400</v>
      </c>
      <c r="G4757" s="10">
        <v>0</v>
      </c>
      <c r="H4757" s="10">
        <f t="shared" si="74"/>
        <v>3400</v>
      </c>
      <c r="I4757" s="10">
        <v>109.6774193548387</v>
      </c>
      <c r="J4757" s="10">
        <v>109.6774193548387</v>
      </c>
      <c r="K4757" s="10">
        <v>109.6774193548387</v>
      </c>
      <c r="L4757" s="4"/>
      <c r="M4757" s="4">
        <v>4752</v>
      </c>
    </row>
    <row r="4758" spans="1:13" x14ac:dyDescent="0.25">
      <c r="A4758" s="4" t="s">
        <v>4711</v>
      </c>
      <c r="B4758" s="4" t="s">
        <v>4729</v>
      </c>
      <c r="C4758" s="4" t="s">
        <v>65</v>
      </c>
      <c r="D4758" s="10">
        <v>82</v>
      </c>
      <c r="E4758" s="12" t="s">
        <v>66</v>
      </c>
      <c r="F4758" s="10">
        <v>9000</v>
      </c>
      <c r="G4758" s="10">
        <v>0</v>
      </c>
      <c r="H4758" s="10">
        <f t="shared" si="74"/>
        <v>9000</v>
      </c>
      <c r="I4758" s="10">
        <v>109.7560975609756</v>
      </c>
      <c r="J4758" s="10">
        <v>109.7560975609756</v>
      </c>
      <c r="K4758" s="10">
        <v>109.7560975609756</v>
      </c>
      <c r="L4758" s="4"/>
      <c r="M4758" s="4">
        <v>4753</v>
      </c>
    </row>
    <row r="4759" spans="1:13" x14ac:dyDescent="0.25">
      <c r="A4759" s="4" t="s">
        <v>4711</v>
      </c>
      <c r="B4759" s="4" t="s">
        <v>4730</v>
      </c>
      <c r="C4759" s="4" t="s">
        <v>65</v>
      </c>
      <c r="D4759" s="10">
        <v>12</v>
      </c>
      <c r="E4759" s="12" t="s">
        <v>66</v>
      </c>
      <c r="F4759" s="10">
        <v>1360</v>
      </c>
      <c r="G4759" s="10">
        <v>0</v>
      </c>
      <c r="H4759" s="10">
        <f t="shared" si="74"/>
        <v>1360</v>
      </c>
      <c r="I4759" s="10">
        <v>113.3333333333333</v>
      </c>
      <c r="J4759" s="10">
        <v>113.3333333333333</v>
      </c>
      <c r="K4759" s="10">
        <v>113.3333333333333</v>
      </c>
      <c r="L4759" s="4"/>
      <c r="M4759" s="4">
        <v>4754</v>
      </c>
    </row>
    <row r="4760" spans="1:13" x14ac:dyDescent="0.25">
      <c r="A4760" s="4" t="s">
        <v>4711</v>
      </c>
      <c r="B4760" s="4" t="s">
        <v>4731</v>
      </c>
      <c r="C4760" s="4" t="s">
        <v>65</v>
      </c>
      <c r="D4760" s="10">
        <v>12</v>
      </c>
      <c r="E4760" s="12" t="s">
        <v>66</v>
      </c>
      <c r="F4760" s="10">
        <v>1360</v>
      </c>
      <c r="G4760" s="10">
        <v>0</v>
      </c>
      <c r="H4760" s="10">
        <f t="shared" si="74"/>
        <v>1360</v>
      </c>
      <c r="I4760" s="10">
        <v>113.3333333333333</v>
      </c>
      <c r="J4760" s="10">
        <v>113.3333333333333</v>
      </c>
      <c r="K4760" s="10">
        <v>113.3333333333333</v>
      </c>
      <c r="L4760" s="4"/>
      <c r="M4760" s="4">
        <v>4755</v>
      </c>
    </row>
    <row r="4761" spans="1:13" x14ac:dyDescent="0.25">
      <c r="A4761" s="4" t="s">
        <v>4711</v>
      </c>
      <c r="B4761" s="4" t="s">
        <v>4732</v>
      </c>
      <c r="C4761" s="4" t="s">
        <v>65</v>
      </c>
      <c r="D4761" s="10">
        <v>78</v>
      </c>
      <c r="E4761" s="12" t="s">
        <v>66</v>
      </c>
      <c r="F4761" s="10">
        <v>17000</v>
      </c>
      <c r="G4761" s="10">
        <v>0</v>
      </c>
      <c r="H4761" s="10">
        <f t="shared" si="74"/>
        <v>17000</v>
      </c>
      <c r="I4761" s="10">
        <v>109.6774193548387</v>
      </c>
      <c r="J4761" s="10">
        <v>109.6774193548387</v>
      </c>
      <c r="K4761" s="10">
        <v>109.6774193548387</v>
      </c>
      <c r="L4761" s="4"/>
      <c r="M4761" s="4">
        <v>4756</v>
      </c>
    </row>
    <row r="4762" spans="1:13" x14ac:dyDescent="0.25">
      <c r="A4762" s="4" t="s">
        <v>4733</v>
      </c>
      <c r="B4762" s="4" t="s">
        <v>3903</v>
      </c>
      <c r="C4762" s="4" t="s">
        <v>65</v>
      </c>
      <c r="D4762" s="10">
        <v>1</v>
      </c>
      <c r="E4762" s="12" t="s">
        <v>66</v>
      </c>
      <c r="F4762" s="10">
        <v>200</v>
      </c>
      <c r="G4762" s="10">
        <v>0</v>
      </c>
      <c r="H4762" s="10">
        <f t="shared" si="74"/>
        <v>200</v>
      </c>
      <c r="I4762" s="10">
        <v>200</v>
      </c>
      <c r="J4762" s="10">
        <v>200</v>
      </c>
      <c r="K4762" s="10">
        <v>200</v>
      </c>
      <c r="L4762" s="4"/>
      <c r="M4762" s="4">
        <v>4757</v>
      </c>
    </row>
    <row r="4763" spans="1:13" x14ac:dyDescent="0.25">
      <c r="A4763" s="4" t="s">
        <v>4733</v>
      </c>
      <c r="B4763" s="4" t="s">
        <v>4734</v>
      </c>
      <c r="C4763" s="4" t="s">
        <v>65</v>
      </c>
      <c r="D4763" s="10">
        <v>29.5</v>
      </c>
      <c r="E4763" s="12" t="s">
        <v>66</v>
      </c>
      <c r="F4763" s="10">
        <v>4000</v>
      </c>
      <c r="G4763" s="10">
        <v>0</v>
      </c>
      <c r="H4763" s="10">
        <f t="shared" si="74"/>
        <v>4000</v>
      </c>
      <c r="I4763" s="10">
        <v>135.59322033898309</v>
      </c>
      <c r="J4763" s="10">
        <v>135.59322033898309</v>
      </c>
      <c r="K4763" s="10">
        <v>135.59322033898309</v>
      </c>
      <c r="L4763" s="4"/>
      <c r="M4763" s="4">
        <v>4758</v>
      </c>
    </row>
    <row r="4764" spans="1:13" x14ac:dyDescent="0.25">
      <c r="A4764" s="4" t="s">
        <v>4733</v>
      </c>
      <c r="B4764" s="4" t="s">
        <v>4735</v>
      </c>
      <c r="C4764" s="4" t="s">
        <v>65</v>
      </c>
      <c r="D4764" s="10">
        <v>15</v>
      </c>
      <c r="E4764" s="12" t="s">
        <v>66</v>
      </c>
      <c r="F4764" s="10">
        <v>2000</v>
      </c>
      <c r="G4764" s="10">
        <v>0</v>
      </c>
      <c r="H4764" s="10">
        <f t="shared" si="74"/>
        <v>2000</v>
      </c>
      <c r="I4764" s="10">
        <v>133.33333333333329</v>
      </c>
      <c r="J4764" s="10">
        <v>133.33333333333329</v>
      </c>
      <c r="K4764" s="10">
        <v>133.33333333333329</v>
      </c>
      <c r="L4764" s="4"/>
      <c r="M4764" s="4">
        <v>4759</v>
      </c>
    </row>
    <row r="4765" spans="1:13" x14ac:dyDescent="0.25">
      <c r="A4765" s="4" t="s">
        <v>4733</v>
      </c>
      <c r="B4765" s="4" t="s">
        <v>4736</v>
      </c>
      <c r="C4765" s="4" t="s">
        <v>65</v>
      </c>
      <c r="D4765" s="10">
        <v>64.5</v>
      </c>
      <c r="E4765" s="12" t="s">
        <v>66</v>
      </c>
      <c r="F4765" s="10">
        <v>4500</v>
      </c>
      <c r="G4765" s="10">
        <v>0</v>
      </c>
      <c r="H4765" s="10">
        <f t="shared" si="74"/>
        <v>4500</v>
      </c>
      <c r="I4765" s="10">
        <v>138.46153846153851</v>
      </c>
      <c r="J4765" s="10">
        <v>138.46153846153851</v>
      </c>
      <c r="K4765" s="10">
        <v>138.46153846153851</v>
      </c>
      <c r="L4765" s="4"/>
      <c r="M4765" s="4">
        <v>4760</v>
      </c>
    </row>
    <row r="4766" spans="1:13" x14ac:dyDescent="0.25">
      <c r="A4766" s="4" t="s">
        <v>4737</v>
      </c>
      <c r="B4766" s="4" t="s">
        <v>1351</v>
      </c>
      <c r="C4766" s="4" t="s">
        <v>68</v>
      </c>
      <c r="D4766" s="10">
        <v>30</v>
      </c>
      <c r="E4766" s="11" t="s">
        <v>51</v>
      </c>
      <c r="F4766" s="10">
        <v>2560</v>
      </c>
      <c r="G4766" s="10">
        <v>0</v>
      </c>
      <c r="H4766" s="10">
        <f t="shared" si="74"/>
        <v>2560</v>
      </c>
      <c r="I4766" s="10"/>
      <c r="J4766" s="10"/>
      <c r="K4766" s="10"/>
      <c r="L4766" s="4" t="s">
        <v>69</v>
      </c>
      <c r="M4766" s="4">
        <v>4761</v>
      </c>
    </row>
    <row r="4767" spans="1:13" x14ac:dyDescent="0.25">
      <c r="A4767" s="4" t="s">
        <v>4738</v>
      </c>
      <c r="B4767" s="4" t="s">
        <v>1834</v>
      </c>
      <c r="C4767" s="4" t="s">
        <v>65</v>
      </c>
      <c r="D4767" s="10">
        <v>53</v>
      </c>
      <c r="E4767" s="12" t="s">
        <v>66</v>
      </c>
      <c r="F4767" s="10">
        <v>4350</v>
      </c>
      <c r="G4767" s="10">
        <v>0</v>
      </c>
      <c r="H4767" s="10">
        <f t="shared" si="74"/>
        <v>4350</v>
      </c>
      <c r="I4767" s="10">
        <v>145</v>
      </c>
      <c r="J4767" s="10">
        <v>145</v>
      </c>
      <c r="K4767" s="10">
        <v>145</v>
      </c>
      <c r="L4767" s="4"/>
      <c r="M4767" s="4">
        <v>4762</v>
      </c>
    </row>
    <row r="4768" spans="1:13" x14ac:dyDescent="0.25">
      <c r="A4768" s="4" t="s">
        <v>4739</v>
      </c>
      <c r="B4768" s="4" t="s">
        <v>378</v>
      </c>
      <c r="C4768" s="4" t="s">
        <v>65</v>
      </c>
      <c r="D4768" s="10">
        <v>40</v>
      </c>
      <c r="E4768" s="12" t="s">
        <v>66</v>
      </c>
      <c r="F4768" s="10">
        <v>3200</v>
      </c>
      <c r="G4768" s="10">
        <v>0</v>
      </c>
      <c r="H4768" s="10">
        <f t="shared" si="74"/>
        <v>3200</v>
      </c>
      <c r="I4768" s="10">
        <v>139.13043478260869</v>
      </c>
      <c r="J4768" s="10">
        <v>139.13043478260869</v>
      </c>
      <c r="K4768" s="10">
        <v>139.13043478260869</v>
      </c>
      <c r="L4768" s="4"/>
      <c r="M4768" s="4">
        <v>4763</v>
      </c>
    </row>
    <row r="4769" spans="1:13" x14ac:dyDescent="0.25">
      <c r="A4769" s="4" t="s">
        <v>4740</v>
      </c>
      <c r="B4769" s="4" t="s">
        <v>4741</v>
      </c>
      <c r="C4769" s="4" t="s">
        <v>65</v>
      </c>
      <c r="D4769" s="10">
        <v>37</v>
      </c>
      <c r="E4769" s="12" t="s">
        <v>66</v>
      </c>
      <c r="F4769" s="10">
        <v>2500</v>
      </c>
      <c r="G4769" s="10">
        <v>0</v>
      </c>
      <c r="H4769" s="10">
        <f t="shared" si="74"/>
        <v>2500</v>
      </c>
      <c r="I4769" s="10">
        <v>147.0588235294118</v>
      </c>
      <c r="J4769" s="10">
        <v>147.0588235294118</v>
      </c>
      <c r="K4769" s="10">
        <v>147.0588235294118</v>
      </c>
      <c r="L4769" s="4"/>
      <c r="M4769" s="4">
        <v>4764</v>
      </c>
    </row>
    <row r="4770" spans="1:13" x14ac:dyDescent="0.25">
      <c r="A4770" s="4" t="s">
        <v>4742</v>
      </c>
      <c r="B4770" s="4" t="s">
        <v>4743</v>
      </c>
      <c r="C4770" s="4" t="s">
        <v>65</v>
      </c>
      <c r="D4770" s="10">
        <v>44</v>
      </c>
      <c r="E4770" s="12" t="s">
        <v>66</v>
      </c>
      <c r="F4770" s="10">
        <v>2500</v>
      </c>
      <c r="G4770" s="10">
        <v>0</v>
      </c>
      <c r="H4770" s="10">
        <f t="shared" si="74"/>
        <v>2500</v>
      </c>
      <c r="I4770" s="10">
        <v>125</v>
      </c>
      <c r="J4770" s="10">
        <v>125</v>
      </c>
      <c r="K4770" s="10">
        <v>125</v>
      </c>
      <c r="L4770" s="4"/>
      <c r="M4770" s="4">
        <v>4765</v>
      </c>
    </row>
    <row r="4771" spans="1:13" x14ac:dyDescent="0.25">
      <c r="A4771" s="4" t="s">
        <v>4744</v>
      </c>
      <c r="B4771" s="4" t="s">
        <v>617</v>
      </c>
      <c r="C4771" s="4" t="s">
        <v>65</v>
      </c>
      <c r="D4771" s="10">
        <v>13</v>
      </c>
      <c r="E4771" s="12" t="s">
        <v>66</v>
      </c>
      <c r="F4771" s="10">
        <v>900</v>
      </c>
      <c r="G4771" s="10">
        <v>0</v>
      </c>
      <c r="H4771" s="10">
        <f t="shared" si="74"/>
        <v>900</v>
      </c>
      <c r="I4771" s="10">
        <v>69.230769230769226</v>
      </c>
      <c r="J4771" s="10">
        <v>69.230769230769226</v>
      </c>
      <c r="K4771" s="10">
        <v>69.230769230769226</v>
      </c>
      <c r="L4771" s="4"/>
      <c r="M4771" s="4">
        <v>4766</v>
      </c>
    </row>
    <row r="4772" spans="1:13" x14ac:dyDescent="0.25">
      <c r="A4772" s="4" t="s">
        <v>4744</v>
      </c>
      <c r="B4772" s="4" t="s">
        <v>4745</v>
      </c>
      <c r="C4772" s="4" t="s">
        <v>65</v>
      </c>
      <c r="D4772" s="10">
        <v>27</v>
      </c>
      <c r="E4772" s="12" t="s">
        <v>66</v>
      </c>
      <c r="F4772" s="10">
        <v>900</v>
      </c>
      <c r="G4772" s="10">
        <v>0</v>
      </c>
      <c r="H4772" s="10">
        <f t="shared" si="74"/>
        <v>900</v>
      </c>
      <c r="I4772" s="10">
        <v>81.818181818181813</v>
      </c>
      <c r="J4772" s="10">
        <v>81.818181818181813</v>
      </c>
      <c r="K4772" s="10">
        <v>81.818181818181813</v>
      </c>
      <c r="L4772" s="4"/>
      <c r="M4772" s="4">
        <v>4767</v>
      </c>
    </row>
    <row r="4773" spans="1:13" x14ac:dyDescent="0.25">
      <c r="A4773" s="4" t="s">
        <v>4746</v>
      </c>
      <c r="B4773" s="4" t="s">
        <v>4747</v>
      </c>
      <c r="C4773" s="4" t="s">
        <v>68</v>
      </c>
      <c r="D4773" s="10">
        <v>35</v>
      </c>
      <c r="E4773" s="11" t="s">
        <v>51</v>
      </c>
      <c r="F4773" s="10">
        <v>2240</v>
      </c>
      <c r="G4773" s="10">
        <v>0</v>
      </c>
      <c r="H4773" s="10">
        <f t="shared" si="74"/>
        <v>2240</v>
      </c>
      <c r="I4773" s="10"/>
      <c r="J4773" s="10"/>
      <c r="K4773" s="10"/>
      <c r="L4773" s="4" t="s">
        <v>69</v>
      </c>
      <c r="M4773" s="4">
        <v>4768</v>
      </c>
    </row>
    <row r="4774" spans="1:13" x14ac:dyDescent="0.25">
      <c r="A4774" s="4" t="s">
        <v>4748</v>
      </c>
      <c r="B4774" s="4" t="s">
        <v>4749</v>
      </c>
      <c r="C4774" s="4" t="s">
        <v>65</v>
      </c>
      <c r="D4774" s="10">
        <v>10</v>
      </c>
      <c r="E4774" s="12" t="s">
        <v>66</v>
      </c>
      <c r="F4774" s="10">
        <v>1500</v>
      </c>
      <c r="G4774" s="10">
        <v>0</v>
      </c>
      <c r="H4774" s="10">
        <f t="shared" si="74"/>
        <v>1500</v>
      </c>
      <c r="I4774" s="10">
        <v>150</v>
      </c>
      <c r="J4774" s="10">
        <v>150</v>
      </c>
      <c r="K4774" s="10">
        <v>150</v>
      </c>
      <c r="L4774" s="4"/>
      <c r="M4774" s="4">
        <v>4769</v>
      </c>
    </row>
    <row r="4775" spans="1:13" x14ac:dyDescent="0.25">
      <c r="A4775" s="4" t="s">
        <v>4748</v>
      </c>
      <c r="B4775" s="4" t="s">
        <v>4750</v>
      </c>
      <c r="C4775" s="4" t="s">
        <v>65</v>
      </c>
      <c r="D4775" s="10">
        <v>50</v>
      </c>
      <c r="E4775" s="12" t="s">
        <v>66</v>
      </c>
      <c r="F4775" s="10">
        <v>4000</v>
      </c>
      <c r="G4775" s="10">
        <v>0</v>
      </c>
      <c r="H4775" s="10">
        <f t="shared" si="74"/>
        <v>4000</v>
      </c>
      <c r="I4775" s="10">
        <v>160</v>
      </c>
      <c r="J4775" s="10">
        <v>160</v>
      </c>
      <c r="K4775" s="10">
        <v>160</v>
      </c>
      <c r="L4775" s="4"/>
      <c r="M4775" s="4">
        <v>4770</v>
      </c>
    </row>
    <row r="4776" spans="1:13" x14ac:dyDescent="0.25">
      <c r="A4776" s="4" t="s">
        <v>4751</v>
      </c>
      <c r="B4776" s="4" t="s">
        <v>4752</v>
      </c>
      <c r="C4776" s="4" t="s">
        <v>65</v>
      </c>
      <c r="D4776" s="10">
        <v>25</v>
      </c>
      <c r="E4776" s="12" t="s">
        <v>66</v>
      </c>
      <c r="F4776" s="10">
        <v>3500</v>
      </c>
      <c r="G4776" s="10">
        <v>0</v>
      </c>
      <c r="H4776" s="10">
        <f t="shared" si="74"/>
        <v>3500</v>
      </c>
      <c r="I4776" s="10">
        <v>140</v>
      </c>
      <c r="J4776" s="10">
        <v>140</v>
      </c>
      <c r="K4776" s="10">
        <v>140</v>
      </c>
      <c r="L4776" s="4"/>
      <c r="M4776" s="4">
        <v>4771</v>
      </c>
    </row>
    <row r="4777" spans="1:13" x14ac:dyDescent="0.25">
      <c r="A4777" s="4" t="s">
        <v>4751</v>
      </c>
      <c r="B4777" s="4" t="s">
        <v>4753</v>
      </c>
      <c r="C4777" s="4" t="s">
        <v>68</v>
      </c>
      <c r="D4777" s="10">
        <v>30</v>
      </c>
      <c r="E4777" s="11" t="s">
        <v>51</v>
      </c>
      <c r="F4777" s="10"/>
      <c r="G4777" s="10">
        <v>0</v>
      </c>
      <c r="H4777" s="10">
        <f t="shared" si="74"/>
        <v>0</v>
      </c>
      <c r="I4777" s="10"/>
      <c r="J4777" s="10"/>
      <c r="K4777" s="10"/>
      <c r="L4777" s="4" t="s">
        <v>69</v>
      </c>
      <c r="M4777" s="4">
        <v>4772</v>
      </c>
    </row>
    <row r="4778" spans="1:13" x14ac:dyDescent="0.25">
      <c r="A4778" s="4" t="s">
        <v>4754</v>
      </c>
      <c r="B4778" s="4" t="s">
        <v>4755</v>
      </c>
      <c r="C4778" s="4" t="s">
        <v>68</v>
      </c>
      <c r="D4778" s="10">
        <v>51</v>
      </c>
      <c r="E4778" s="11" t="s">
        <v>51</v>
      </c>
      <c r="F4778" s="10">
        <v>3750</v>
      </c>
      <c r="G4778" s="10">
        <v>0</v>
      </c>
      <c r="H4778" s="10">
        <f t="shared" si="74"/>
        <v>3750</v>
      </c>
      <c r="I4778" s="10"/>
      <c r="J4778" s="10"/>
      <c r="K4778" s="10"/>
      <c r="L4778" s="4" t="s">
        <v>69</v>
      </c>
      <c r="M4778" s="4">
        <v>4773</v>
      </c>
    </row>
    <row r="4779" spans="1:13" x14ac:dyDescent="0.25">
      <c r="A4779" s="4" t="s">
        <v>4756</v>
      </c>
      <c r="B4779" s="4" t="s">
        <v>637</v>
      </c>
      <c r="C4779" s="4" t="s">
        <v>65</v>
      </c>
      <c r="D4779" s="10">
        <v>62</v>
      </c>
      <c r="E4779" s="12" t="s">
        <v>66</v>
      </c>
      <c r="F4779" s="10">
        <v>2750</v>
      </c>
      <c r="G4779" s="10">
        <v>0</v>
      </c>
      <c r="H4779" s="10">
        <f t="shared" si="74"/>
        <v>2750</v>
      </c>
      <c r="I4779" s="10">
        <v>130.95238095238099</v>
      </c>
      <c r="J4779" s="10">
        <v>130.95238095238099</v>
      </c>
      <c r="K4779" s="10">
        <v>130.95238095238099</v>
      </c>
      <c r="L4779" s="4"/>
      <c r="M4779" s="4">
        <v>4774</v>
      </c>
    </row>
    <row r="4780" spans="1:13" x14ac:dyDescent="0.25">
      <c r="A4780" s="4" t="s">
        <v>4757</v>
      </c>
      <c r="B4780" s="4" t="s">
        <v>1809</v>
      </c>
      <c r="C4780" s="4" t="s">
        <v>65</v>
      </c>
      <c r="D4780" s="10">
        <v>64</v>
      </c>
      <c r="E4780" s="12" t="s">
        <v>66</v>
      </c>
      <c r="F4780" s="10">
        <v>4800</v>
      </c>
      <c r="G4780" s="10">
        <v>0</v>
      </c>
      <c r="H4780" s="10">
        <f t="shared" si="74"/>
        <v>4800</v>
      </c>
      <c r="I4780" s="10">
        <v>117.07317073170729</v>
      </c>
      <c r="J4780" s="10">
        <v>117.07317073170729</v>
      </c>
      <c r="K4780" s="10">
        <v>117.07317073170729</v>
      </c>
      <c r="L4780" s="4"/>
      <c r="M4780" s="4">
        <v>4775</v>
      </c>
    </row>
    <row r="4781" spans="1:13" x14ac:dyDescent="0.25">
      <c r="A4781" s="4" t="s">
        <v>4758</v>
      </c>
      <c r="B4781" s="4" t="s">
        <v>4759</v>
      </c>
      <c r="C4781" s="9" t="s">
        <v>50</v>
      </c>
      <c r="D4781" s="10">
        <v>23</v>
      </c>
      <c r="E4781" s="11" t="s">
        <v>51</v>
      </c>
      <c r="F4781" s="10">
        <v>2950</v>
      </c>
      <c r="G4781" s="10">
        <v>0</v>
      </c>
      <c r="H4781" s="10">
        <f t="shared" si="74"/>
        <v>2950</v>
      </c>
      <c r="I4781" s="10"/>
      <c r="J4781" s="10"/>
      <c r="K4781" s="10"/>
      <c r="L4781" s="4" t="s">
        <v>52</v>
      </c>
      <c r="M4781" s="4">
        <v>4776</v>
      </c>
    </row>
    <row r="4782" spans="1:13" x14ac:dyDescent="0.25">
      <c r="A4782" s="4" t="s">
        <v>4760</v>
      </c>
      <c r="B4782" s="4" t="s">
        <v>4761</v>
      </c>
      <c r="C4782" s="9" t="s">
        <v>50</v>
      </c>
      <c r="D4782" s="10">
        <v>70</v>
      </c>
      <c r="E4782" s="11" t="s">
        <v>51</v>
      </c>
      <c r="F4782" s="10">
        <v>8100</v>
      </c>
      <c r="G4782" s="10">
        <v>0</v>
      </c>
      <c r="H4782" s="10">
        <f t="shared" si="74"/>
        <v>8100</v>
      </c>
      <c r="I4782" s="10"/>
      <c r="J4782" s="10"/>
      <c r="K4782" s="10"/>
      <c r="L4782" s="4" t="s">
        <v>52</v>
      </c>
      <c r="M4782" s="4">
        <v>4777</v>
      </c>
    </row>
    <row r="4783" spans="1:13" x14ac:dyDescent="0.25">
      <c r="A4783" s="4" t="s">
        <v>4762</v>
      </c>
      <c r="B4783" s="4" t="s">
        <v>4761</v>
      </c>
      <c r="C4783" s="9" t="s">
        <v>50</v>
      </c>
      <c r="D4783" s="10">
        <v>80</v>
      </c>
      <c r="E4783" s="11" t="s">
        <v>51</v>
      </c>
      <c r="F4783" s="10">
        <v>6300</v>
      </c>
      <c r="G4783" s="10">
        <v>0</v>
      </c>
      <c r="H4783" s="10">
        <f t="shared" si="74"/>
        <v>6300</v>
      </c>
      <c r="I4783" s="10"/>
      <c r="J4783" s="10"/>
      <c r="K4783" s="10"/>
      <c r="L4783" s="4" t="s">
        <v>52</v>
      </c>
      <c r="M4783" s="4">
        <v>4778</v>
      </c>
    </row>
    <row r="4784" spans="1:13" x14ac:dyDescent="0.25">
      <c r="A4784" s="4" t="s">
        <v>4763</v>
      </c>
      <c r="B4784" s="4" t="s">
        <v>4764</v>
      </c>
      <c r="C4784" s="9" t="s">
        <v>50</v>
      </c>
      <c r="D4784" s="10">
        <v>150</v>
      </c>
      <c r="E4784" s="11" t="s">
        <v>51</v>
      </c>
      <c r="F4784" s="10">
        <v>7200</v>
      </c>
      <c r="G4784" s="10">
        <v>0</v>
      </c>
      <c r="H4784" s="10">
        <f t="shared" si="74"/>
        <v>7200</v>
      </c>
      <c r="I4784" s="10"/>
      <c r="J4784" s="10"/>
      <c r="K4784" s="10"/>
      <c r="L4784" s="4" t="s">
        <v>52</v>
      </c>
      <c r="M4784" s="4">
        <v>4779</v>
      </c>
    </row>
    <row r="4785" spans="1:13" x14ac:dyDescent="0.25">
      <c r="A4785" s="4" t="s">
        <v>4765</v>
      </c>
      <c r="B4785" s="4" t="s">
        <v>4766</v>
      </c>
      <c r="C4785" s="9" t="s">
        <v>50</v>
      </c>
      <c r="D4785" s="10">
        <v>150</v>
      </c>
      <c r="E4785" s="11" t="s">
        <v>51</v>
      </c>
      <c r="F4785" s="10">
        <v>13500</v>
      </c>
      <c r="G4785" s="10">
        <v>0</v>
      </c>
      <c r="H4785" s="10">
        <f t="shared" si="74"/>
        <v>13500</v>
      </c>
      <c r="I4785" s="10"/>
      <c r="J4785" s="10"/>
      <c r="K4785" s="10"/>
      <c r="L4785" s="4" t="s">
        <v>52</v>
      </c>
      <c r="M4785" s="4">
        <v>4780</v>
      </c>
    </row>
    <row r="4786" spans="1:13" x14ac:dyDescent="0.25">
      <c r="A4786" s="4" t="s">
        <v>4767</v>
      </c>
      <c r="B4786" s="4" t="s">
        <v>4768</v>
      </c>
      <c r="C4786" s="9" t="s">
        <v>50</v>
      </c>
      <c r="D4786" s="10">
        <v>150</v>
      </c>
      <c r="E4786" s="11" t="s">
        <v>51</v>
      </c>
      <c r="F4786" s="10">
        <v>14250</v>
      </c>
      <c r="G4786" s="10">
        <v>0</v>
      </c>
      <c r="H4786" s="10">
        <f t="shared" si="74"/>
        <v>14250</v>
      </c>
      <c r="I4786" s="10"/>
      <c r="J4786" s="10"/>
      <c r="K4786" s="10"/>
      <c r="L4786" s="4" t="s">
        <v>52</v>
      </c>
      <c r="M4786" s="4">
        <v>4781</v>
      </c>
    </row>
    <row r="4787" spans="1:13" x14ac:dyDescent="0.25">
      <c r="A4787" s="4" t="s">
        <v>4769</v>
      </c>
      <c r="B4787" s="4" t="s">
        <v>4770</v>
      </c>
      <c r="C4787" s="9" t="s">
        <v>50</v>
      </c>
      <c r="D4787" s="10">
        <v>150</v>
      </c>
      <c r="E4787" s="11" t="s">
        <v>51</v>
      </c>
      <c r="F4787" s="10">
        <v>14250</v>
      </c>
      <c r="G4787" s="10">
        <v>0</v>
      </c>
      <c r="H4787" s="10">
        <f t="shared" si="74"/>
        <v>14250</v>
      </c>
      <c r="I4787" s="10"/>
      <c r="J4787" s="10"/>
      <c r="K4787" s="10"/>
      <c r="L4787" s="4" t="s">
        <v>52</v>
      </c>
      <c r="M4787" s="4">
        <v>4782</v>
      </c>
    </row>
    <row r="4788" spans="1:13" x14ac:dyDescent="0.25">
      <c r="A4788" s="4" t="s">
        <v>4771</v>
      </c>
      <c r="B4788" s="4" t="s">
        <v>4772</v>
      </c>
      <c r="C4788" s="9" t="s">
        <v>50</v>
      </c>
      <c r="D4788" s="10">
        <v>31</v>
      </c>
      <c r="E4788" s="11" t="s">
        <v>51</v>
      </c>
      <c r="F4788" s="10">
        <v>14250</v>
      </c>
      <c r="G4788" s="10">
        <v>0</v>
      </c>
      <c r="H4788" s="10">
        <f t="shared" si="74"/>
        <v>14250</v>
      </c>
      <c r="I4788" s="10"/>
      <c r="J4788" s="10"/>
      <c r="K4788" s="10"/>
      <c r="L4788" s="4" t="s">
        <v>52</v>
      </c>
      <c r="M4788" s="4">
        <v>4783</v>
      </c>
    </row>
    <row r="4789" spans="1:13" x14ac:dyDescent="0.25">
      <c r="A4789" s="4" t="s">
        <v>4773</v>
      </c>
      <c r="B4789" s="4" t="s">
        <v>4774</v>
      </c>
      <c r="C4789" s="4" t="s">
        <v>65</v>
      </c>
      <c r="D4789" s="10">
        <v>0.5</v>
      </c>
      <c r="E4789" s="12" t="s">
        <v>66</v>
      </c>
      <c r="F4789" s="10">
        <v>80</v>
      </c>
      <c r="G4789" s="10">
        <v>0</v>
      </c>
      <c r="H4789" s="10">
        <f t="shared" si="74"/>
        <v>80</v>
      </c>
      <c r="I4789" s="10">
        <v>160</v>
      </c>
      <c r="J4789" s="10">
        <v>160</v>
      </c>
      <c r="K4789" s="10">
        <v>160</v>
      </c>
      <c r="L4789" s="4"/>
      <c r="M4789" s="4">
        <v>4784</v>
      </c>
    </row>
    <row r="4790" spans="1:13" x14ac:dyDescent="0.25">
      <c r="A4790" s="4" t="s">
        <v>4773</v>
      </c>
      <c r="B4790" s="4" t="s">
        <v>4775</v>
      </c>
      <c r="C4790" s="4" t="s">
        <v>65</v>
      </c>
      <c r="D4790" s="10">
        <v>9.5</v>
      </c>
      <c r="E4790" s="12" t="s">
        <v>66</v>
      </c>
      <c r="F4790" s="10">
        <v>1250</v>
      </c>
      <c r="G4790" s="10">
        <v>0</v>
      </c>
      <c r="H4790" s="10">
        <f t="shared" si="74"/>
        <v>1250</v>
      </c>
      <c r="I4790" s="10">
        <v>131.57894736842101</v>
      </c>
      <c r="J4790" s="10">
        <v>131.57894736842101</v>
      </c>
      <c r="K4790" s="10">
        <v>131.57894736842101</v>
      </c>
      <c r="L4790" s="4"/>
      <c r="M4790" s="4">
        <v>4785</v>
      </c>
    </row>
    <row r="4791" spans="1:13" x14ac:dyDescent="0.25">
      <c r="A4791" s="4" t="s">
        <v>4773</v>
      </c>
      <c r="B4791" s="4" t="s">
        <v>4776</v>
      </c>
      <c r="C4791" s="4" t="s">
        <v>65</v>
      </c>
      <c r="D4791" s="10">
        <v>10.5</v>
      </c>
      <c r="E4791" s="12" t="s">
        <v>66</v>
      </c>
      <c r="F4791" s="10">
        <v>1400</v>
      </c>
      <c r="G4791" s="10">
        <v>0</v>
      </c>
      <c r="H4791" s="10">
        <f t="shared" si="74"/>
        <v>1400</v>
      </c>
      <c r="I4791" s="10">
        <v>133.33333333333329</v>
      </c>
      <c r="J4791" s="10">
        <v>133.33333333333329</v>
      </c>
      <c r="K4791" s="10">
        <v>133.33333333333329</v>
      </c>
      <c r="L4791" s="4"/>
      <c r="M4791" s="4">
        <v>4786</v>
      </c>
    </row>
    <row r="4792" spans="1:13" x14ac:dyDescent="0.25">
      <c r="A4792" s="4" t="s">
        <v>4773</v>
      </c>
      <c r="B4792" s="4" t="s">
        <v>4777</v>
      </c>
      <c r="C4792" s="4" t="s">
        <v>65</v>
      </c>
      <c r="D4792" s="10">
        <v>6</v>
      </c>
      <c r="E4792" s="12" t="s">
        <v>66</v>
      </c>
      <c r="F4792" s="10">
        <v>1240</v>
      </c>
      <c r="G4792" s="10">
        <v>0</v>
      </c>
      <c r="H4792" s="10">
        <f t="shared" si="74"/>
        <v>1240</v>
      </c>
      <c r="I4792" s="10">
        <v>206.66666666666671</v>
      </c>
      <c r="J4792" s="10">
        <v>206.66666666666671</v>
      </c>
      <c r="K4792" s="10">
        <v>206.66666666666671</v>
      </c>
      <c r="L4792" s="4"/>
      <c r="M4792" s="4">
        <v>4787</v>
      </c>
    </row>
    <row r="4793" spans="1:13" x14ac:dyDescent="0.25">
      <c r="A4793" s="4" t="s">
        <v>4773</v>
      </c>
      <c r="B4793" s="4" t="s">
        <v>4778</v>
      </c>
      <c r="C4793" s="4" t="s">
        <v>65</v>
      </c>
      <c r="D4793" s="10">
        <v>4.5</v>
      </c>
      <c r="E4793" s="12" t="s">
        <v>66</v>
      </c>
      <c r="F4793" s="10">
        <v>250</v>
      </c>
      <c r="G4793" s="10">
        <v>0</v>
      </c>
      <c r="H4793" s="10">
        <f t="shared" si="74"/>
        <v>250</v>
      </c>
      <c r="I4793" s="10">
        <v>55.555555555555557</v>
      </c>
      <c r="J4793" s="10">
        <v>55.555555555555557</v>
      </c>
      <c r="K4793" s="10">
        <v>55.555555555555557</v>
      </c>
      <c r="L4793" s="4"/>
      <c r="M4793" s="4">
        <v>4788</v>
      </c>
    </row>
    <row r="4794" spans="1:13" x14ac:dyDescent="0.25">
      <c r="A4794" s="4" t="s">
        <v>4779</v>
      </c>
      <c r="B4794" s="4" t="s">
        <v>4780</v>
      </c>
      <c r="C4794" s="4" t="s">
        <v>65</v>
      </c>
      <c r="D4794" s="10">
        <v>35</v>
      </c>
      <c r="E4794" s="11" t="s">
        <v>51</v>
      </c>
      <c r="F4794" s="10">
        <v>4000</v>
      </c>
      <c r="G4794" s="10">
        <v>0</v>
      </c>
      <c r="H4794" s="10">
        <f t="shared" si="74"/>
        <v>4000</v>
      </c>
      <c r="I4794" s="10"/>
      <c r="J4794" s="10"/>
      <c r="K4794" s="10"/>
      <c r="L4794" s="4" t="s">
        <v>69</v>
      </c>
      <c r="M4794" s="4">
        <v>4789</v>
      </c>
    </row>
    <row r="4795" spans="1:13" x14ac:dyDescent="0.25">
      <c r="A4795" s="4" t="s">
        <v>4781</v>
      </c>
      <c r="B4795" s="4" t="s">
        <v>4782</v>
      </c>
      <c r="C4795" s="4" t="s">
        <v>65</v>
      </c>
      <c r="D4795" s="10">
        <v>65</v>
      </c>
      <c r="E4795" s="12" t="s">
        <v>66</v>
      </c>
      <c r="F4795" s="10">
        <v>4100</v>
      </c>
      <c r="G4795" s="10">
        <v>0</v>
      </c>
      <c r="H4795" s="10">
        <f t="shared" si="74"/>
        <v>4100</v>
      </c>
      <c r="I4795" s="10">
        <v>117.1428571428571</v>
      </c>
      <c r="J4795" s="10">
        <v>117.1428571428571</v>
      </c>
      <c r="K4795" s="10">
        <v>117.1428571428571</v>
      </c>
      <c r="L4795" s="4"/>
      <c r="M4795" s="4">
        <v>4790</v>
      </c>
    </row>
    <row r="4796" spans="1:13" x14ac:dyDescent="0.25">
      <c r="A4796" s="4" t="s">
        <v>4783</v>
      </c>
      <c r="B4796" s="4" t="s">
        <v>4784</v>
      </c>
      <c r="C4796" s="4" t="s">
        <v>68</v>
      </c>
      <c r="D4796" s="10">
        <v>56</v>
      </c>
      <c r="E4796" s="11" t="s">
        <v>51</v>
      </c>
      <c r="F4796" s="10">
        <v>3750</v>
      </c>
      <c r="G4796" s="10">
        <v>0</v>
      </c>
      <c r="H4796" s="10">
        <f t="shared" si="74"/>
        <v>3750</v>
      </c>
      <c r="I4796" s="10"/>
      <c r="J4796" s="10"/>
      <c r="K4796" s="10"/>
      <c r="L4796" s="4" t="s">
        <v>69</v>
      </c>
      <c r="M4796" s="4">
        <v>4791</v>
      </c>
    </row>
    <row r="4797" spans="1:13" x14ac:dyDescent="0.25">
      <c r="A4797" s="4" t="s">
        <v>4785</v>
      </c>
      <c r="B4797" s="4" t="s">
        <v>4355</v>
      </c>
      <c r="C4797" s="4" t="s">
        <v>65</v>
      </c>
      <c r="D4797" s="10">
        <v>59</v>
      </c>
      <c r="E4797" s="12" t="s">
        <v>66</v>
      </c>
      <c r="F4797" s="10">
        <v>3300</v>
      </c>
      <c r="G4797" s="10">
        <v>0</v>
      </c>
      <c r="H4797" s="10">
        <f t="shared" si="74"/>
        <v>3300</v>
      </c>
      <c r="I4797" s="10">
        <v>126.92307692307691</v>
      </c>
      <c r="J4797" s="10">
        <v>126.92307692307691</v>
      </c>
      <c r="K4797" s="10">
        <v>126.92307692307691</v>
      </c>
      <c r="L4797" s="4"/>
      <c r="M4797" s="4">
        <v>4792</v>
      </c>
    </row>
    <row r="4798" spans="1:13" x14ac:dyDescent="0.25">
      <c r="A4798" s="4" t="s">
        <v>4786</v>
      </c>
      <c r="B4798" s="4" t="s">
        <v>4787</v>
      </c>
      <c r="C4798" s="4" t="s">
        <v>65</v>
      </c>
      <c r="D4798" s="10"/>
      <c r="E4798" s="11" t="s">
        <v>51</v>
      </c>
      <c r="F4798" s="10"/>
      <c r="G4798" s="10">
        <v>0</v>
      </c>
      <c r="H4798" s="10">
        <f t="shared" si="74"/>
        <v>0</v>
      </c>
      <c r="I4798" s="10"/>
      <c r="J4798" s="10"/>
      <c r="K4798" s="10"/>
      <c r="L4798" s="4" t="s">
        <v>69</v>
      </c>
      <c r="M4798" s="4">
        <v>4793</v>
      </c>
    </row>
    <row r="4799" spans="1:13" x14ac:dyDescent="0.25">
      <c r="A4799" s="4" t="s">
        <v>4786</v>
      </c>
      <c r="B4799" s="4" t="s">
        <v>4788</v>
      </c>
      <c r="C4799" s="4" t="s">
        <v>65</v>
      </c>
      <c r="D4799" s="10"/>
      <c r="E4799" s="11" t="s">
        <v>51</v>
      </c>
      <c r="F4799" s="10"/>
      <c r="G4799" s="10">
        <v>0</v>
      </c>
      <c r="H4799" s="10">
        <f t="shared" si="74"/>
        <v>0</v>
      </c>
      <c r="I4799" s="10"/>
      <c r="J4799" s="10"/>
      <c r="K4799" s="10"/>
      <c r="L4799" s="4" t="s">
        <v>69</v>
      </c>
      <c r="M4799" s="4">
        <v>4794</v>
      </c>
    </row>
    <row r="4800" spans="1:13" x14ac:dyDescent="0.25">
      <c r="A4800" s="4" t="s">
        <v>4786</v>
      </c>
      <c r="B4800" s="4" t="s">
        <v>4789</v>
      </c>
      <c r="C4800" s="4" t="s">
        <v>65</v>
      </c>
      <c r="D4800" s="10"/>
      <c r="E4800" s="11" t="s">
        <v>51</v>
      </c>
      <c r="F4800" s="10"/>
      <c r="G4800" s="10">
        <v>0</v>
      </c>
      <c r="H4800" s="10">
        <f t="shared" si="74"/>
        <v>0</v>
      </c>
      <c r="I4800" s="10"/>
      <c r="J4800" s="10"/>
      <c r="K4800" s="10"/>
      <c r="L4800" s="4" t="s">
        <v>69</v>
      </c>
      <c r="M4800" s="4">
        <v>4795</v>
      </c>
    </row>
    <row r="4801" spans="1:13" x14ac:dyDescent="0.25">
      <c r="A4801" s="4" t="s">
        <v>4786</v>
      </c>
      <c r="B4801" s="4" t="s">
        <v>4790</v>
      </c>
      <c r="C4801" s="4" t="s">
        <v>68</v>
      </c>
      <c r="D4801" s="10">
        <v>22</v>
      </c>
      <c r="E4801" s="11" t="s">
        <v>51</v>
      </c>
      <c r="F4801" s="10"/>
      <c r="G4801" s="10">
        <v>0</v>
      </c>
      <c r="H4801" s="10">
        <f t="shared" si="74"/>
        <v>0</v>
      </c>
      <c r="I4801" s="10"/>
      <c r="J4801" s="10"/>
      <c r="K4801" s="10"/>
      <c r="L4801" s="4" t="s">
        <v>69</v>
      </c>
      <c r="M4801" s="4">
        <v>4796</v>
      </c>
    </row>
    <row r="4802" spans="1:13" x14ac:dyDescent="0.25">
      <c r="A4802" s="4" t="s">
        <v>4786</v>
      </c>
      <c r="B4802" s="4" t="s">
        <v>4791</v>
      </c>
      <c r="C4802" s="4" t="s">
        <v>68</v>
      </c>
      <c r="D4802" s="10">
        <v>3</v>
      </c>
      <c r="E4802" s="11" t="s">
        <v>51</v>
      </c>
      <c r="F4802" s="10">
        <v>330</v>
      </c>
      <c r="G4802" s="10">
        <v>0</v>
      </c>
      <c r="H4802" s="10">
        <f t="shared" si="74"/>
        <v>330</v>
      </c>
      <c r="I4802" s="10"/>
      <c r="J4802" s="10"/>
      <c r="K4802" s="10"/>
      <c r="L4802" s="4" t="s">
        <v>69</v>
      </c>
      <c r="M4802" s="4">
        <v>4797</v>
      </c>
    </row>
    <row r="4803" spans="1:13" x14ac:dyDescent="0.25">
      <c r="A4803" s="4" t="s">
        <v>4786</v>
      </c>
      <c r="B4803" s="4" t="s">
        <v>4792</v>
      </c>
      <c r="C4803" s="4" t="s">
        <v>68</v>
      </c>
      <c r="D4803" s="10">
        <v>16</v>
      </c>
      <c r="E4803" s="11" t="s">
        <v>51</v>
      </c>
      <c r="F4803" s="10">
        <v>330</v>
      </c>
      <c r="G4803" s="10">
        <v>0</v>
      </c>
      <c r="H4803" s="10">
        <f t="shared" si="74"/>
        <v>330</v>
      </c>
      <c r="I4803" s="10"/>
      <c r="J4803" s="10"/>
      <c r="K4803" s="10"/>
      <c r="L4803" s="4" t="s">
        <v>69</v>
      </c>
      <c r="M4803" s="4">
        <v>4798</v>
      </c>
    </row>
    <row r="4804" spans="1:13" x14ac:dyDescent="0.25">
      <c r="A4804" s="4" t="s">
        <v>4786</v>
      </c>
      <c r="B4804" s="4" t="s">
        <v>4793</v>
      </c>
      <c r="C4804" s="9" t="s">
        <v>50</v>
      </c>
      <c r="D4804" s="10">
        <v>16</v>
      </c>
      <c r="E4804" s="11" t="s">
        <v>51</v>
      </c>
      <c r="F4804" s="10">
        <v>2100</v>
      </c>
      <c r="G4804" s="10">
        <v>0</v>
      </c>
      <c r="H4804" s="10">
        <f t="shared" si="74"/>
        <v>2100</v>
      </c>
      <c r="I4804" s="10"/>
      <c r="J4804" s="10"/>
      <c r="K4804" s="10"/>
      <c r="L4804" s="4" t="s">
        <v>52</v>
      </c>
      <c r="M4804" s="4">
        <v>4799</v>
      </c>
    </row>
    <row r="4805" spans="1:13" x14ac:dyDescent="0.25">
      <c r="A4805" s="4" t="s">
        <v>4786</v>
      </c>
      <c r="B4805" s="4" t="s">
        <v>4794</v>
      </c>
      <c r="C4805" s="9" t="s">
        <v>50</v>
      </c>
      <c r="D4805" s="10">
        <v>11</v>
      </c>
      <c r="E4805" s="11" t="s">
        <v>51</v>
      </c>
      <c r="F4805" s="10">
        <v>200</v>
      </c>
      <c r="G4805" s="10">
        <v>0</v>
      </c>
      <c r="H4805" s="10">
        <f t="shared" si="74"/>
        <v>200</v>
      </c>
      <c r="I4805" s="10"/>
      <c r="J4805" s="10"/>
      <c r="K4805" s="10"/>
      <c r="L4805" s="4" t="s">
        <v>52</v>
      </c>
      <c r="M4805" s="4">
        <v>4800</v>
      </c>
    </row>
    <row r="4806" spans="1:13" x14ac:dyDescent="0.25">
      <c r="A4806" s="4" t="s">
        <v>4786</v>
      </c>
      <c r="B4806" s="4" t="s">
        <v>4795</v>
      </c>
      <c r="C4806" s="4" t="s">
        <v>65</v>
      </c>
      <c r="D4806" s="10">
        <v>33</v>
      </c>
      <c r="E4806" s="12" t="s">
        <v>66</v>
      </c>
      <c r="F4806" s="10">
        <v>1260</v>
      </c>
      <c r="G4806" s="10">
        <v>0</v>
      </c>
      <c r="H4806" s="10">
        <f t="shared" ref="H4806:H4869" si="75">F4806-G4806</f>
        <v>1260</v>
      </c>
      <c r="I4806" s="10">
        <v>114.5454545454545</v>
      </c>
      <c r="J4806" s="10">
        <v>114.5454545454545</v>
      </c>
      <c r="K4806" s="10">
        <v>114.5454545454545</v>
      </c>
      <c r="L4806" s="4"/>
      <c r="M4806" s="4">
        <v>4801</v>
      </c>
    </row>
    <row r="4807" spans="1:13" x14ac:dyDescent="0.25">
      <c r="A4807" s="4" t="s">
        <v>4796</v>
      </c>
      <c r="B4807" s="4" t="s">
        <v>4355</v>
      </c>
      <c r="C4807" s="4" t="s">
        <v>65</v>
      </c>
      <c r="D4807" s="10">
        <v>48</v>
      </c>
      <c r="E4807" s="12" t="s">
        <v>66</v>
      </c>
      <c r="F4807" s="10">
        <v>2410</v>
      </c>
      <c r="G4807" s="10">
        <v>0</v>
      </c>
      <c r="H4807" s="10">
        <f t="shared" si="75"/>
        <v>2410</v>
      </c>
      <c r="I4807" s="10">
        <v>109.5454545454545</v>
      </c>
      <c r="J4807" s="10">
        <v>109.5454545454545</v>
      </c>
      <c r="K4807" s="10">
        <v>109.5454545454545</v>
      </c>
      <c r="L4807" s="4"/>
      <c r="M4807" s="4">
        <v>4802</v>
      </c>
    </row>
    <row r="4808" spans="1:13" x14ac:dyDescent="0.25">
      <c r="A4808" s="4" t="s">
        <v>4797</v>
      </c>
      <c r="B4808" s="4" t="s">
        <v>4355</v>
      </c>
      <c r="C4808" s="4" t="s">
        <v>65</v>
      </c>
      <c r="D4808" s="10">
        <v>126</v>
      </c>
      <c r="E4808" s="12" t="s">
        <v>66</v>
      </c>
      <c r="F4808" s="10">
        <v>3300</v>
      </c>
      <c r="G4808" s="10">
        <v>0</v>
      </c>
      <c r="H4808" s="10">
        <f t="shared" si="75"/>
        <v>3300</v>
      </c>
      <c r="I4808" s="10">
        <v>126.92307692307691</v>
      </c>
      <c r="J4808" s="10">
        <v>126.92307692307691</v>
      </c>
      <c r="K4808" s="10">
        <v>126.92307692307691</v>
      </c>
      <c r="L4808" s="4"/>
      <c r="M4808" s="4">
        <v>4803</v>
      </c>
    </row>
    <row r="4809" spans="1:13" x14ac:dyDescent="0.25">
      <c r="A4809" s="4" t="s">
        <v>4798</v>
      </c>
      <c r="B4809" s="4" t="s">
        <v>3910</v>
      </c>
      <c r="C4809" s="4" t="s">
        <v>68</v>
      </c>
      <c r="D4809" s="10">
        <v>46</v>
      </c>
      <c r="E4809" s="11" t="s">
        <v>51</v>
      </c>
      <c r="F4809" s="10">
        <v>12000</v>
      </c>
      <c r="G4809" s="10">
        <v>0</v>
      </c>
      <c r="H4809" s="10">
        <f t="shared" si="75"/>
        <v>12000</v>
      </c>
      <c r="I4809" s="10"/>
      <c r="J4809" s="10"/>
      <c r="K4809" s="10"/>
      <c r="L4809" s="4" t="s">
        <v>69</v>
      </c>
      <c r="M4809" s="4">
        <v>4804</v>
      </c>
    </row>
    <row r="4810" spans="1:13" x14ac:dyDescent="0.25">
      <c r="A4810" s="4" t="s">
        <v>4799</v>
      </c>
      <c r="B4810" s="4" t="s">
        <v>4800</v>
      </c>
      <c r="C4810" s="4" t="s">
        <v>65</v>
      </c>
      <c r="D4810" s="10">
        <v>21</v>
      </c>
      <c r="E4810" s="12" t="s">
        <v>66</v>
      </c>
      <c r="F4810" s="10">
        <v>2600</v>
      </c>
      <c r="G4810" s="10">
        <v>0</v>
      </c>
      <c r="H4810" s="10">
        <f t="shared" si="75"/>
        <v>2600</v>
      </c>
      <c r="I4810" s="10">
        <v>123.8095238095238</v>
      </c>
      <c r="J4810" s="10">
        <v>123.8095238095238</v>
      </c>
      <c r="K4810" s="10">
        <v>123.8095238095238</v>
      </c>
      <c r="L4810" s="4"/>
      <c r="M4810" s="4">
        <v>4805</v>
      </c>
    </row>
    <row r="4811" spans="1:13" x14ac:dyDescent="0.25">
      <c r="A4811" s="4" t="s">
        <v>4799</v>
      </c>
      <c r="B4811" s="4" t="s">
        <v>4801</v>
      </c>
      <c r="C4811" s="4" t="s">
        <v>68</v>
      </c>
      <c r="D4811" s="10">
        <v>525.5</v>
      </c>
      <c r="E4811" s="11" t="s">
        <v>51</v>
      </c>
      <c r="F4811" s="10">
        <v>2750</v>
      </c>
      <c r="G4811" s="10">
        <v>0</v>
      </c>
      <c r="H4811" s="10">
        <f t="shared" si="75"/>
        <v>2750</v>
      </c>
      <c r="I4811" s="10"/>
      <c r="J4811" s="10"/>
      <c r="K4811" s="10"/>
      <c r="L4811" s="4" t="s">
        <v>69</v>
      </c>
      <c r="M4811" s="4">
        <v>4806</v>
      </c>
    </row>
    <row r="4812" spans="1:13" x14ac:dyDescent="0.25">
      <c r="A4812" s="4" t="s">
        <v>4802</v>
      </c>
      <c r="B4812" s="4" t="s">
        <v>4803</v>
      </c>
      <c r="C4812" s="9" t="s">
        <v>50</v>
      </c>
      <c r="D4812" s="10">
        <v>470.5</v>
      </c>
      <c r="E4812" s="11" t="s">
        <v>51</v>
      </c>
      <c r="F4812" s="10">
        <v>60000</v>
      </c>
      <c r="G4812" s="10">
        <v>0</v>
      </c>
      <c r="H4812" s="10">
        <f t="shared" si="75"/>
        <v>60000</v>
      </c>
      <c r="I4812" s="10"/>
      <c r="J4812" s="10"/>
      <c r="K4812" s="10"/>
      <c r="L4812" s="4" t="s">
        <v>52</v>
      </c>
      <c r="M4812" s="4">
        <v>4807</v>
      </c>
    </row>
    <row r="4813" spans="1:13" x14ac:dyDescent="0.25">
      <c r="A4813" s="4" t="s">
        <v>4802</v>
      </c>
      <c r="B4813" s="4" t="s">
        <v>4804</v>
      </c>
      <c r="C4813" s="9" t="s">
        <v>50</v>
      </c>
      <c r="D4813" s="10">
        <v>110</v>
      </c>
      <c r="E4813" s="11" t="s">
        <v>51</v>
      </c>
      <c r="F4813" s="10">
        <v>4100</v>
      </c>
      <c r="G4813" s="10">
        <v>0</v>
      </c>
      <c r="H4813" s="10">
        <f t="shared" si="75"/>
        <v>4100</v>
      </c>
      <c r="I4813" s="10"/>
      <c r="J4813" s="10"/>
      <c r="K4813" s="10"/>
      <c r="L4813" s="4" t="s">
        <v>52</v>
      </c>
      <c r="M4813" s="4">
        <v>4808</v>
      </c>
    </row>
    <row r="4814" spans="1:13" x14ac:dyDescent="0.25">
      <c r="A4814" s="4" t="s">
        <v>4805</v>
      </c>
      <c r="B4814" s="4" t="s">
        <v>4806</v>
      </c>
      <c r="C4814" s="4" t="s">
        <v>68</v>
      </c>
      <c r="D4814" s="10">
        <v>80</v>
      </c>
      <c r="E4814" s="11" t="s">
        <v>51</v>
      </c>
      <c r="F4814" s="10">
        <v>6120</v>
      </c>
      <c r="G4814" s="10">
        <v>0</v>
      </c>
      <c r="H4814" s="10">
        <f t="shared" si="75"/>
        <v>6120</v>
      </c>
      <c r="I4814" s="10"/>
      <c r="J4814" s="10"/>
      <c r="K4814" s="10"/>
      <c r="L4814" s="4" t="s">
        <v>69</v>
      </c>
      <c r="M4814" s="4">
        <v>4809</v>
      </c>
    </row>
    <row r="4815" spans="1:13" x14ac:dyDescent="0.25">
      <c r="A4815" s="4" t="s">
        <v>4807</v>
      </c>
      <c r="B4815" s="4" t="s">
        <v>2117</v>
      </c>
      <c r="C4815" s="4" t="s">
        <v>65</v>
      </c>
      <c r="D4815" s="10">
        <v>36</v>
      </c>
      <c r="E4815" s="11" t="s">
        <v>51</v>
      </c>
      <c r="F4815" s="10"/>
      <c r="G4815" s="10">
        <v>0</v>
      </c>
      <c r="H4815" s="10">
        <f t="shared" si="75"/>
        <v>0</v>
      </c>
      <c r="I4815" s="10"/>
      <c r="J4815" s="10"/>
      <c r="K4815" s="10"/>
      <c r="L4815" s="4" t="s">
        <v>69</v>
      </c>
      <c r="M4815" s="4">
        <v>4810</v>
      </c>
    </row>
    <row r="4816" spans="1:13" x14ac:dyDescent="0.25">
      <c r="A4816" s="4" t="s">
        <v>4808</v>
      </c>
      <c r="B4816" s="4" t="s">
        <v>846</v>
      </c>
      <c r="C4816" s="4" t="s">
        <v>65</v>
      </c>
      <c r="D4816" s="10">
        <v>23</v>
      </c>
      <c r="E4816" s="12" t="s">
        <v>66</v>
      </c>
      <c r="F4816" s="10">
        <v>2700</v>
      </c>
      <c r="G4816" s="10">
        <v>0</v>
      </c>
      <c r="H4816" s="10">
        <f t="shared" si="75"/>
        <v>2700</v>
      </c>
      <c r="I4816" s="10">
        <v>117.39130434782609</v>
      </c>
      <c r="J4816" s="10">
        <v>117.39130434782609</v>
      </c>
      <c r="K4816" s="10">
        <v>117.39130434782609</v>
      </c>
      <c r="L4816" s="4"/>
      <c r="M4816" s="4">
        <v>4811</v>
      </c>
    </row>
    <row r="4817" spans="1:13" x14ac:dyDescent="0.25">
      <c r="A4817" s="4" t="s">
        <v>4808</v>
      </c>
      <c r="B4817" s="4" t="s">
        <v>4670</v>
      </c>
      <c r="C4817" s="4" t="s">
        <v>68</v>
      </c>
      <c r="D4817" s="10">
        <v>27</v>
      </c>
      <c r="E4817" s="11" t="s">
        <v>51</v>
      </c>
      <c r="F4817" s="10"/>
      <c r="G4817" s="10">
        <v>0</v>
      </c>
      <c r="H4817" s="10">
        <f t="shared" si="75"/>
        <v>0</v>
      </c>
      <c r="I4817" s="10"/>
      <c r="J4817" s="10"/>
      <c r="K4817" s="10"/>
      <c r="L4817" s="4" t="s">
        <v>69</v>
      </c>
      <c r="M4817" s="4">
        <v>4812</v>
      </c>
    </row>
    <row r="4818" spans="1:13" x14ac:dyDescent="0.25">
      <c r="A4818" s="4" t="s">
        <v>4809</v>
      </c>
      <c r="B4818" s="4" t="s">
        <v>378</v>
      </c>
      <c r="C4818" s="4" t="s">
        <v>65</v>
      </c>
      <c r="D4818" s="10">
        <v>62</v>
      </c>
      <c r="E4818" s="12" t="s">
        <v>66</v>
      </c>
      <c r="F4818" s="10">
        <v>3200</v>
      </c>
      <c r="G4818" s="10">
        <v>0</v>
      </c>
      <c r="H4818" s="10">
        <f t="shared" si="75"/>
        <v>3200</v>
      </c>
      <c r="I4818" s="10">
        <v>118.5185185185185</v>
      </c>
      <c r="J4818" s="10">
        <v>118.5185185185185</v>
      </c>
      <c r="K4818" s="10">
        <v>118.5185185185185</v>
      </c>
      <c r="L4818" s="4"/>
      <c r="M4818" s="4">
        <v>4813</v>
      </c>
    </row>
    <row r="4819" spans="1:13" x14ac:dyDescent="0.25">
      <c r="A4819" s="4" t="s">
        <v>4810</v>
      </c>
      <c r="B4819" s="4" t="s">
        <v>4811</v>
      </c>
      <c r="C4819" s="4" t="s">
        <v>68</v>
      </c>
      <c r="D4819" s="10">
        <v>146</v>
      </c>
      <c r="E4819" s="11" t="s">
        <v>51</v>
      </c>
      <c r="F4819" s="10">
        <v>4200</v>
      </c>
      <c r="G4819" s="10">
        <v>0</v>
      </c>
      <c r="H4819" s="10">
        <f t="shared" si="75"/>
        <v>4200</v>
      </c>
      <c r="I4819" s="10"/>
      <c r="J4819" s="10"/>
      <c r="K4819" s="10"/>
      <c r="L4819" s="4" t="s">
        <v>69</v>
      </c>
      <c r="M4819" s="4">
        <v>4814</v>
      </c>
    </row>
    <row r="4820" spans="1:13" x14ac:dyDescent="0.25">
      <c r="A4820" s="4" t="s">
        <v>4812</v>
      </c>
      <c r="B4820" s="4" t="s">
        <v>4813</v>
      </c>
      <c r="C4820" s="9" t="s">
        <v>50</v>
      </c>
      <c r="D4820" s="10">
        <v>127</v>
      </c>
      <c r="E4820" s="11" t="s">
        <v>51</v>
      </c>
      <c r="F4820" s="10">
        <v>14950</v>
      </c>
      <c r="G4820" s="10">
        <v>0</v>
      </c>
      <c r="H4820" s="10">
        <f t="shared" si="75"/>
        <v>14950</v>
      </c>
      <c r="I4820" s="10"/>
      <c r="J4820" s="10"/>
      <c r="K4820" s="10"/>
      <c r="L4820" s="4" t="s">
        <v>52</v>
      </c>
      <c r="M4820" s="4">
        <v>4815</v>
      </c>
    </row>
    <row r="4821" spans="1:13" x14ac:dyDescent="0.25">
      <c r="A4821" s="4" t="s">
        <v>4814</v>
      </c>
      <c r="B4821" s="4" t="s">
        <v>1810</v>
      </c>
      <c r="C4821" s="4" t="s">
        <v>68</v>
      </c>
      <c r="D4821" s="10">
        <v>95</v>
      </c>
      <c r="E4821" s="11" t="s">
        <v>51</v>
      </c>
      <c r="F4821" s="10"/>
      <c r="G4821" s="10">
        <v>0</v>
      </c>
      <c r="H4821" s="10">
        <f t="shared" si="75"/>
        <v>0</v>
      </c>
      <c r="I4821" s="10"/>
      <c r="J4821" s="10"/>
      <c r="K4821" s="10"/>
      <c r="L4821" s="4" t="s">
        <v>69</v>
      </c>
      <c r="M4821" s="4">
        <v>4816</v>
      </c>
    </row>
    <row r="4822" spans="1:13" x14ac:dyDescent="0.25">
      <c r="A4822" s="4" t="s">
        <v>4815</v>
      </c>
      <c r="B4822" s="4" t="s">
        <v>4559</v>
      </c>
      <c r="C4822" s="4" t="s">
        <v>65</v>
      </c>
      <c r="D4822" s="10">
        <v>95</v>
      </c>
      <c r="E4822" s="12" t="s">
        <v>66</v>
      </c>
      <c r="F4822" s="10">
        <v>14750</v>
      </c>
      <c r="G4822" s="10">
        <v>0</v>
      </c>
      <c r="H4822" s="10">
        <f t="shared" si="75"/>
        <v>14750</v>
      </c>
      <c r="I4822" s="10">
        <v>155.26315789473679</v>
      </c>
      <c r="J4822" s="10">
        <v>155.26315789473679</v>
      </c>
      <c r="K4822" s="10">
        <v>155.26315789473679</v>
      </c>
      <c r="L4822" s="4"/>
      <c r="M4822" s="4">
        <v>4817</v>
      </c>
    </row>
    <row r="4823" spans="1:13" x14ac:dyDescent="0.25">
      <c r="A4823" s="4" t="s">
        <v>4816</v>
      </c>
      <c r="B4823" s="4" t="s">
        <v>2117</v>
      </c>
      <c r="C4823" s="4" t="s">
        <v>65</v>
      </c>
      <c r="D4823" s="10">
        <v>29</v>
      </c>
      <c r="E4823" s="11" t="s">
        <v>51</v>
      </c>
      <c r="F4823" s="10"/>
      <c r="G4823" s="10">
        <v>0</v>
      </c>
      <c r="H4823" s="10">
        <f t="shared" si="75"/>
        <v>0</v>
      </c>
      <c r="I4823" s="10"/>
      <c r="J4823" s="10"/>
      <c r="K4823" s="10"/>
      <c r="L4823" s="4" t="s">
        <v>69</v>
      </c>
      <c r="M4823" s="4">
        <v>4818</v>
      </c>
    </row>
    <row r="4824" spans="1:13" x14ac:dyDescent="0.25">
      <c r="A4824" s="4" t="s">
        <v>4817</v>
      </c>
      <c r="B4824" s="4" t="s">
        <v>846</v>
      </c>
      <c r="C4824" s="4" t="s">
        <v>65</v>
      </c>
      <c r="D4824" s="10">
        <v>3289</v>
      </c>
      <c r="E4824" s="12" t="s">
        <v>66</v>
      </c>
      <c r="F4824" s="10">
        <v>3600</v>
      </c>
      <c r="G4824" s="10">
        <v>0</v>
      </c>
      <c r="H4824" s="10">
        <f t="shared" si="75"/>
        <v>3600</v>
      </c>
      <c r="I4824" s="10">
        <v>124.1379310344828</v>
      </c>
      <c r="J4824" s="10">
        <v>124.1379310344828</v>
      </c>
      <c r="K4824" s="10">
        <v>124.1379310344828</v>
      </c>
      <c r="L4824" s="4"/>
      <c r="M4824" s="4">
        <v>4819</v>
      </c>
    </row>
    <row r="4825" spans="1:13" x14ac:dyDescent="0.25">
      <c r="A4825" s="4" t="s">
        <v>4818</v>
      </c>
      <c r="B4825" s="4" t="s">
        <v>846</v>
      </c>
      <c r="C4825" s="4" t="s">
        <v>65</v>
      </c>
      <c r="D4825" s="10">
        <v>3275</v>
      </c>
      <c r="E4825" s="12" t="s">
        <v>66</v>
      </c>
      <c r="F4825" s="10">
        <v>3750</v>
      </c>
      <c r="G4825" s="10">
        <v>0</v>
      </c>
      <c r="H4825" s="10">
        <f t="shared" si="75"/>
        <v>3750</v>
      </c>
      <c r="I4825" s="10">
        <v>1.1503067484662579</v>
      </c>
      <c r="J4825" s="10">
        <v>1.1503067484662579</v>
      </c>
      <c r="K4825" s="10">
        <v>1.1503067484662579</v>
      </c>
      <c r="L4825" s="4"/>
      <c r="M4825" s="4">
        <v>4820</v>
      </c>
    </row>
    <row r="4826" spans="1:13" x14ac:dyDescent="0.25">
      <c r="A4826" s="4" t="s">
        <v>4819</v>
      </c>
      <c r="B4826" s="4" t="s">
        <v>4820</v>
      </c>
      <c r="C4826" s="4" t="s">
        <v>65</v>
      </c>
      <c r="D4826" s="10">
        <v>45</v>
      </c>
      <c r="E4826" s="12" t="s">
        <v>66</v>
      </c>
      <c r="F4826" s="10">
        <v>1900</v>
      </c>
      <c r="G4826" s="10">
        <v>0</v>
      </c>
      <c r="H4826" s="10">
        <f t="shared" si="75"/>
        <v>1900</v>
      </c>
      <c r="I4826" s="10">
        <v>126.6666666666667</v>
      </c>
      <c r="J4826" s="10">
        <v>126.6666666666667</v>
      </c>
      <c r="K4826" s="10">
        <v>126.6666666666667</v>
      </c>
      <c r="L4826" s="4"/>
      <c r="M4826" s="4">
        <v>4821</v>
      </c>
    </row>
    <row r="4827" spans="1:13" x14ac:dyDescent="0.25">
      <c r="A4827" s="4" t="s">
        <v>4821</v>
      </c>
      <c r="B4827" s="4" t="s">
        <v>4822</v>
      </c>
      <c r="C4827" s="4" t="s">
        <v>65</v>
      </c>
      <c r="D4827" s="10">
        <v>3</v>
      </c>
      <c r="E4827" s="12" t="s">
        <v>66</v>
      </c>
      <c r="F4827" s="10">
        <v>220</v>
      </c>
      <c r="G4827" s="10">
        <v>0</v>
      </c>
      <c r="H4827" s="10">
        <f t="shared" si="75"/>
        <v>220</v>
      </c>
      <c r="I4827" s="10">
        <v>73.333333333333329</v>
      </c>
      <c r="J4827" s="10">
        <v>73.333333333333329</v>
      </c>
      <c r="K4827" s="10">
        <v>73.333333333333329</v>
      </c>
      <c r="L4827" s="4"/>
      <c r="M4827" s="4">
        <v>4822</v>
      </c>
    </row>
    <row r="4828" spans="1:13" x14ac:dyDescent="0.25">
      <c r="A4828" s="4" t="s">
        <v>4821</v>
      </c>
      <c r="B4828" s="4" t="s">
        <v>4823</v>
      </c>
      <c r="C4828" s="4" t="s">
        <v>65</v>
      </c>
      <c r="D4828" s="10">
        <v>5</v>
      </c>
      <c r="E4828" s="12" t="s">
        <v>66</v>
      </c>
      <c r="F4828" s="10">
        <v>400</v>
      </c>
      <c r="G4828" s="10">
        <v>0</v>
      </c>
      <c r="H4828" s="10">
        <f t="shared" si="75"/>
        <v>400</v>
      </c>
      <c r="I4828" s="10">
        <v>80</v>
      </c>
      <c r="J4828" s="10">
        <v>80</v>
      </c>
      <c r="K4828" s="10">
        <v>80</v>
      </c>
      <c r="L4828" s="4"/>
      <c r="M4828" s="4">
        <v>4823</v>
      </c>
    </row>
    <row r="4829" spans="1:13" x14ac:dyDescent="0.25">
      <c r="A4829" s="4" t="s">
        <v>4821</v>
      </c>
      <c r="B4829" s="4" t="s">
        <v>4824</v>
      </c>
      <c r="C4829" s="4" t="s">
        <v>65</v>
      </c>
      <c r="D4829" s="10">
        <v>5</v>
      </c>
      <c r="E4829" s="12" t="s">
        <v>66</v>
      </c>
      <c r="F4829" s="10">
        <v>400</v>
      </c>
      <c r="G4829" s="10">
        <v>0</v>
      </c>
      <c r="H4829" s="10">
        <f t="shared" si="75"/>
        <v>400</v>
      </c>
      <c r="I4829" s="10">
        <v>80</v>
      </c>
      <c r="J4829" s="10">
        <v>80</v>
      </c>
      <c r="K4829" s="10">
        <v>80</v>
      </c>
      <c r="L4829" s="4"/>
      <c r="M4829" s="4">
        <v>4824</v>
      </c>
    </row>
    <row r="4830" spans="1:13" x14ac:dyDescent="0.25">
      <c r="A4830" s="4" t="s">
        <v>4821</v>
      </c>
      <c r="B4830" s="4" t="s">
        <v>4825</v>
      </c>
      <c r="C4830" s="4" t="s">
        <v>65</v>
      </c>
      <c r="D4830" s="10">
        <v>5</v>
      </c>
      <c r="E4830" s="12" t="s">
        <v>66</v>
      </c>
      <c r="F4830" s="10">
        <v>400</v>
      </c>
      <c r="G4830" s="10">
        <v>0</v>
      </c>
      <c r="H4830" s="10">
        <f t="shared" si="75"/>
        <v>400</v>
      </c>
      <c r="I4830" s="10">
        <v>80</v>
      </c>
      <c r="J4830" s="10">
        <v>80</v>
      </c>
      <c r="K4830" s="10">
        <v>80</v>
      </c>
      <c r="L4830" s="4"/>
      <c r="M4830" s="4">
        <v>4825</v>
      </c>
    </row>
    <row r="4831" spans="1:13" x14ac:dyDescent="0.25">
      <c r="A4831" s="4" t="s">
        <v>4821</v>
      </c>
      <c r="B4831" s="4" t="s">
        <v>4826</v>
      </c>
      <c r="C4831" s="4" t="s">
        <v>65</v>
      </c>
      <c r="D4831" s="10">
        <v>5</v>
      </c>
      <c r="E4831" s="12" t="s">
        <v>66</v>
      </c>
      <c r="F4831" s="10">
        <v>400</v>
      </c>
      <c r="G4831" s="10">
        <v>0</v>
      </c>
      <c r="H4831" s="10">
        <f t="shared" si="75"/>
        <v>400</v>
      </c>
      <c r="I4831" s="10">
        <v>80</v>
      </c>
      <c r="J4831" s="10">
        <v>80</v>
      </c>
      <c r="K4831" s="10">
        <v>80</v>
      </c>
      <c r="L4831" s="4"/>
      <c r="M4831" s="4">
        <v>4826</v>
      </c>
    </row>
    <row r="4832" spans="1:13" x14ac:dyDescent="0.25">
      <c r="A4832" s="4" t="s">
        <v>4821</v>
      </c>
      <c r="B4832" s="4" t="s">
        <v>4827</v>
      </c>
      <c r="C4832" s="4" t="s">
        <v>65</v>
      </c>
      <c r="D4832" s="10">
        <v>5</v>
      </c>
      <c r="E4832" s="12" t="s">
        <v>66</v>
      </c>
      <c r="F4832" s="10">
        <v>400</v>
      </c>
      <c r="G4832" s="10">
        <v>0</v>
      </c>
      <c r="H4832" s="10">
        <f t="shared" si="75"/>
        <v>400</v>
      </c>
      <c r="I4832" s="10">
        <v>80</v>
      </c>
      <c r="J4832" s="10">
        <v>80</v>
      </c>
      <c r="K4832" s="10">
        <v>80</v>
      </c>
      <c r="L4832" s="4"/>
      <c r="M4832" s="4">
        <v>4827</v>
      </c>
    </row>
    <row r="4833" spans="1:13" x14ac:dyDescent="0.25">
      <c r="A4833" s="4" t="s">
        <v>4821</v>
      </c>
      <c r="B4833" s="4" t="s">
        <v>4828</v>
      </c>
      <c r="C4833" s="4" t="s">
        <v>65</v>
      </c>
      <c r="D4833" s="10">
        <v>10</v>
      </c>
      <c r="E4833" s="12" t="s">
        <v>66</v>
      </c>
      <c r="F4833" s="10">
        <v>200</v>
      </c>
      <c r="G4833" s="10">
        <v>0</v>
      </c>
      <c r="H4833" s="10">
        <f t="shared" si="75"/>
        <v>200</v>
      </c>
      <c r="I4833" s="10">
        <v>100</v>
      </c>
      <c r="J4833" s="10">
        <v>100</v>
      </c>
      <c r="K4833" s="10">
        <v>100</v>
      </c>
      <c r="L4833" s="4"/>
      <c r="M4833" s="4">
        <v>4828</v>
      </c>
    </row>
    <row r="4834" spans="1:13" x14ac:dyDescent="0.25">
      <c r="A4834" s="4" t="s">
        <v>4829</v>
      </c>
      <c r="B4834" s="4" t="s">
        <v>4830</v>
      </c>
      <c r="C4834" s="9" t="s">
        <v>50</v>
      </c>
      <c r="D4834" s="10">
        <v>10</v>
      </c>
      <c r="E4834" s="11" t="s">
        <v>51</v>
      </c>
      <c r="F4834" s="10">
        <v>350</v>
      </c>
      <c r="G4834" s="10">
        <v>0</v>
      </c>
      <c r="H4834" s="10">
        <f t="shared" si="75"/>
        <v>350</v>
      </c>
      <c r="I4834" s="10"/>
      <c r="J4834" s="10"/>
      <c r="K4834" s="10"/>
      <c r="L4834" s="4" t="s">
        <v>52</v>
      </c>
      <c r="M4834" s="4">
        <v>4829</v>
      </c>
    </row>
    <row r="4835" spans="1:13" x14ac:dyDescent="0.25">
      <c r="A4835" s="4" t="s">
        <v>4829</v>
      </c>
      <c r="B4835" s="4" t="s">
        <v>4831</v>
      </c>
      <c r="C4835" s="4" t="s">
        <v>65</v>
      </c>
      <c r="D4835" s="10">
        <v>5</v>
      </c>
      <c r="E4835" s="12" t="s">
        <v>66</v>
      </c>
      <c r="F4835" s="10">
        <v>350</v>
      </c>
      <c r="G4835" s="10">
        <v>0</v>
      </c>
      <c r="H4835" s="10">
        <f t="shared" si="75"/>
        <v>350</v>
      </c>
      <c r="I4835" s="10">
        <v>70</v>
      </c>
      <c r="J4835" s="10">
        <v>70</v>
      </c>
      <c r="K4835" s="10">
        <v>70</v>
      </c>
      <c r="L4835" s="4"/>
      <c r="M4835" s="4">
        <v>4830</v>
      </c>
    </row>
    <row r="4836" spans="1:13" x14ac:dyDescent="0.25">
      <c r="A4836" s="4" t="s">
        <v>4829</v>
      </c>
      <c r="B4836" s="4" t="s">
        <v>4832</v>
      </c>
      <c r="C4836" s="9" t="s">
        <v>50</v>
      </c>
      <c r="D4836" s="10"/>
      <c r="E4836" s="11" t="s">
        <v>51</v>
      </c>
      <c r="F4836" s="10"/>
      <c r="G4836" s="10">
        <v>0</v>
      </c>
      <c r="H4836" s="10">
        <f t="shared" si="75"/>
        <v>0</v>
      </c>
      <c r="I4836" s="10"/>
      <c r="J4836" s="10"/>
      <c r="K4836" s="10"/>
      <c r="L4836" s="4" t="s">
        <v>52</v>
      </c>
      <c r="M4836" s="4">
        <v>4831</v>
      </c>
    </row>
    <row r="4837" spans="1:13" x14ac:dyDescent="0.25">
      <c r="A4837" s="4" t="s">
        <v>4829</v>
      </c>
      <c r="B4837" s="4" t="s">
        <v>4833</v>
      </c>
      <c r="C4837" s="9" t="s">
        <v>50</v>
      </c>
      <c r="D4837" s="10"/>
      <c r="E4837" s="11" t="s">
        <v>51</v>
      </c>
      <c r="F4837" s="10"/>
      <c r="G4837" s="10">
        <v>0</v>
      </c>
      <c r="H4837" s="10">
        <f t="shared" si="75"/>
        <v>0</v>
      </c>
      <c r="I4837" s="10"/>
      <c r="J4837" s="10"/>
      <c r="K4837" s="10"/>
      <c r="L4837" s="4" t="s">
        <v>52</v>
      </c>
      <c r="M4837" s="4">
        <v>4832</v>
      </c>
    </row>
    <row r="4838" spans="1:13" x14ac:dyDescent="0.25">
      <c r="A4838" s="4" t="s">
        <v>4834</v>
      </c>
      <c r="B4838" s="4" t="s">
        <v>4835</v>
      </c>
      <c r="C4838" s="4" t="s">
        <v>68</v>
      </c>
      <c r="D4838" s="10">
        <v>25</v>
      </c>
      <c r="E4838" s="11" t="s">
        <v>51</v>
      </c>
      <c r="F4838" s="10">
        <v>3250</v>
      </c>
      <c r="G4838" s="10">
        <v>0</v>
      </c>
      <c r="H4838" s="10">
        <f t="shared" si="75"/>
        <v>3250</v>
      </c>
      <c r="I4838" s="10"/>
      <c r="J4838" s="10"/>
      <c r="K4838" s="10"/>
      <c r="L4838" s="4" t="s">
        <v>69</v>
      </c>
      <c r="M4838" s="4">
        <v>4833</v>
      </c>
    </row>
    <row r="4839" spans="1:13" x14ac:dyDescent="0.25">
      <c r="A4839" s="4" t="s">
        <v>4834</v>
      </c>
      <c r="B4839" s="4" t="s">
        <v>4836</v>
      </c>
      <c r="C4839" s="4" t="s">
        <v>65</v>
      </c>
      <c r="D4839" s="10">
        <v>10</v>
      </c>
      <c r="E4839" s="12" t="s">
        <v>66</v>
      </c>
      <c r="F4839" s="10">
        <v>1200</v>
      </c>
      <c r="G4839" s="10">
        <v>0</v>
      </c>
      <c r="H4839" s="10">
        <f t="shared" si="75"/>
        <v>1200</v>
      </c>
      <c r="I4839" s="10">
        <v>120</v>
      </c>
      <c r="J4839" s="10">
        <v>120</v>
      </c>
      <c r="K4839" s="10">
        <v>120</v>
      </c>
      <c r="L4839" s="4"/>
      <c r="M4839" s="4">
        <v>4834</v>
      </c>
    </row>
    <row r="4840" spans="1:13" x14ac:dyDescent="0.25">
      <c r="A4840" s="4" t="s">
        <v>4834</v>
      </c>
      <c r="B4840" s="4" t="s">
        <v>4837</v>
      </c>
      <c r="C4840" s="4" t="s">
        <v>65</v>
      </c>
      <c r="D4840" s="10">
        <v>80</v>
      </c>
      <c r="E4840" s="12" t="s">
        <v>66</v>
      </c>
      <c r="F4840" s="10">
        <v>6700</v>
      </c>
      <c r="G4840" s="10">
        <v>0</v>
      </c>
      <c r="H4840" s="10">
        <f t="shared" si="75"/>
        <v>6700</v>
      </c>
      <c r="I4840" s="10">
        <v>148.88888888888891</v>
      </c>
      <c r="J4840" s="10">
        <v>148.88888888888891</v>
      </c>
      <c r="K4840" s="10">
        <v>148.88888888888891</v>
      </c>
      <c r="L4840" s="4"/>
      <c r="M4840" s="4">
        <v>4835</v>
      </c>
    </row>
    <row r="4841" spans="1:13" x14ac:dyDescent="0.25">
      <c r="A4841" s="4" t="s">
        <v>4838</v>
      </c>
      <c r="B4841" s="4" t="s">
        <v>4839</v>
      </c>
      <c r="C4841" s="4" t="s">
        <v>68</v>
      </c>
      <c r="D4841" s="10">
        <v>25</v>
      </c>
      <c r="E4841" s="11" t="s">
        <v>51</v>
      </c>
      <c r="F4841" s="10">
        <v>3250</v>
      </c>
      <c r="G4841" s="10">
        <v>0</v>
      </c>
      <c r="H4841" s="10">
        <f t="shared" si="75"/>
        <v>3250</v>
      </c>
      <c r="I4841" s="10"/>
      <c r="J4841" s="10"/>
      <c r="K4841" s="10"/>
      <c r="L4841" s="4" t="s">
        <v>69</v>
      </c>
      <c r="M4841" s="4">
        <v>4836</v>
      </c>
    </row>
    <row r="4842" spans="1:13" x14ac:dyDescent="0.25">
      <c r="A4842" s="4" t="s">
        <v>4838</v>
      </c>
      <c r="B4842" s="4" t="s">
        <v>4836</v>
      </c>
      <c r="C4842" s="4" t="s">
        <v>65</v>
      </c>
      <c r="D4842" s="10">
        <v>45</v>
      </c>
      <c r="E4842" s="12" t="s">
        <v>66</v>
      </c>
      <c r="F4842" s="10">
        <v>1200</v>
      </c>
      <c r="G4842" s="10">
        <v>0</v>
      </c>
      <c r="H4842" s="10">
        <f t="shared" si="75"/>
        <v>1200</v>
      </c>
      <c r="I4842" s="10">
        <v>120</v>
      </c>
      <c r="J4842" s="10">
        <v>120</v>
      </c>
      <c r="K4842" s="10">
        <v>120</v>
      </c>
      <c r="L4842" s="4"/>
      <c r="M4842" s="4">
        <v>4837</v>
      </c>
    </row>
    <row r="4843" spans="1:13" x14ac:dyDescent="0.25">
      <c r="A4843" s="4" t="s">
        <v>4840</v>
      </c>
      <c r="B4843" s="4" t="s">
        <v>4835</v>
      </c>
      <c r="C4843" s="4" t="s">
        <v>68</v>
      </c>
      <c r="D4843" s="10">
        <v>25</v>
      </c>
      <c r="E4843" s="11" t="s">
        <v>51</v>
      </c>
      <c r="F4843" s="10">
        <v>3250</v>
      </c>
      <c r="G4843" s="10">
        <v>0</v>
      </c>
      <c r="H4843" s="10">
        <f t="shared" si="75"/>
        <v>3250</v>
      </c>
      <c r="I4843" s="10"/>
      <c r="J4843" s="10"/>
      <c r="K4843" s="10"/>
      <c r="L4843" s="4" t="s">
        <v>69</v>
      </c>
      <c r="M4843" s="4">
        <v>4838</v>
      </c>
    </row>
    <row r="4844" spans="1:13" x14ac:dyDescent="0.25">
      <c r="A4844" s="4" t="s">
        <v>4840</v>
      </c>
      <c r="B4844" s="4" t="s">
        <v>4836</v>
      </c>
      <c r="C4844" s="4" t="s">
        <v>65</v>
      </c>
      <c r="D4844" s="10">
        <v>45</v>
      </c>
      <c r="E4844" s="12" t="s">
        <v>66</v>
      </c>
      <c r="F4844" s="10">
        <v>1200</v>
      </c>
      <c r="G4844" s="10">
        <v>0</v>
      </c>
      <c r="H4844" s="10">
        <f t="shared" si="75"/>
        <v>1200</v>
      </c>
      <c r="I4844" s="10">
        <v>120</v>
      </c>
      <c r="J4844" s="10">
        <v>120</v>
      </c>
      <c r="K4844" s="10">
        <v>120</v>
      </c>
      <c r="L4844" s="4"/>
      <c r="M4844" s="4">
        <v>4839</v>
      </c>
    </row>
    <row r="4845" spans="1:13" x14ac:dyDescent="0.25">
      <c r="A4845" s="4" t="s">
        <v>4841</v>
      </c>
      <c r="B4845" s="4" t="s">
        <v>3022</v>
      </c>
      <c r="C4845" s="4" t="s">
        <v>68</v>
      </c>
      <c r="D4845" s="10">
        <v>25</v>
      </c>
      <c r="E4845" s="11" t="s">
        <v>51</v>
      </c>
      <c r="F4845" s="10">
        <v>3250</v>
      </c>
      <c r="G4845" s="10">
        <v>0</v>
      </c>
      <c r="H4845" s="10">
        <f t="shared" si="75"/>
        <v>3250</v>
      </c>
      <c r="I4845" s="10"/>
      <c r="J4845" s="10"/>
      <c r="K4845" s="10"/>
      <c r="L4845" s="4" t="s">
        <v>69</v>
      </c>
      <c r="M4845" s="4">
        <v>4840</v>
      </c>
    </row>
    <row r="4846" spans="1:13" x14ac:dyDescent="0.25">
      <c r="A4846" s="4" t="s">
        <v>4841</v>
      </c>
      <c r="B4846" s="4" t="s">
        <v>4836</v>
      </c>
      <c r="C4846" s="4" t="s">
        <v>65</v>
      </c>
      <c r="D4846" s="10">
        <v>34</v>
      </c>
      <c r="E4846" s="12" t="s">
        <v>66</v>
      </c>
      <c r="F4846" s="10">
        <v>1200</v>
      </c>
      <c r="G4846" s="10">
        <v>0</v>
      </c>
      <c r="H4846" s="10">
        <f t="shared" si="75"/>
        <v>1200</v>
      </c>
      <c r="I4846" s="10">
        <v>120</v>
      </c>
      <c r="J4846" s="10">
        <v>120</v>
      </c>
      <c r="K4846" s="10">
        <v>120</v>
      </c>
      <c r="L4846" s="4"/>
      <c r="M4846" s="4">
        <v>4841</v>
      </c>
    </row>
    <row r="4847" spans="1:13" x14ac:dyDescent="0.25">
      <c r="A4847" s="4" t="s">
        <v>4842</v>
      </c>
      <c r="B4847" s="4" t="s">
        <v>4843</v>
      </c>
      <c r="C4847" s="4" t="s">
        <v>68</v>
      </c>
      <c r="D4847" s="10">
        <v>24</v>
      </c>
      <c r="E4847" s="11" t="s">
        <v>51</v>
      </c>
      <c r="F4847" s="10">
        <v>2880</v>
      </c>
      <c r="G4847" s="10">
        <v>0</v>
      </c>
      <c r="H4847" s="10">
        <f t="shared" si="75"/>
        <v>2880</v>
      </c>
      <c r="I4847" s="10"/>
      <c r="J4847" s="10"/>
      <c r="K4847" s="10"/>
      <c r="L4847" s="4" t="s">
        <v>69</v>
      </c>
      <c r="M4847" s="4">
        <v>4842</v>
      </c>
    </row>
    <row r="4848" spans="1:13" x14ac:dyDescent="0.25">
      <c r="A4848" s="4" t="s">
        <v>4844</v>
      </c>
      <c r="B4848" s="4" t="s">
        <v>4845</v>
      </c>
      <c r="C4848" s="4" t="s">
        <v>68</v>
      </c>
      <c r="D4848" s="10">
        <v>65</v>
      </c>
      <c r="E4848" s="11" t="s">
        <v>51</v>
      </c>
      <c r="F4848" s="10">
        <v>2875</v>
      </c>
      <c r="G4848" s="10">
        <v>0</v>
      </c>
      <c r="H4848" s="10">
        <f t="shared" si="75"/>
        <v>2875</v>
      </c>
      <c r="I4848" s="10"/>
      <c r="J4848" s="10"/>
      <c r="K4848" s="10"/>
      <c r="L4848" s="4" t="s">
        <v>69</v>
      </c>
      <c r="M4848" s="4">
        <v>4843</v>
      </c>
    </row>
    <row r="4849" spans="1:13" x14ac:dyDescent="0.25">
      <c r="A4849" s="4" t="s">
        <v>4846</v>
      </c>
      <c r="B4849" s="4" t="s">
        <v>4847</v>
      </c>
      <c r="C4849" s="4" t="s">
        <v>68</v>
      </c>
      <c r="D4849" s="10">
        <v>48</v>
      </c>
      <c r="E4849" s="11" t="s">
        <v>51</v>
      </c>
      <c r="F4849" s="10">
        <v>4600</v>
      </c>
      <c r="G4849" s="10">
        <v>0</v>
      </c>
      <c r="H4849" s="10">
        <f t="shared" si="75"/>
        <v>4600</v>
      </c>
      <c r="I4849" s="10"/>
      <c r="J4849" s="10"/>
      <c r="K4849" s="10"/>
      <c r="L4849" s="4" t="s">
        <v>69</v>
      </c>
      <c r="M4849" s="4">
        <v>4844</v>
      </c>
    </row>
    <row r="4850" spans="1:13" x14ac:dyDescent="0.25">
      <c r="A4850" s="4" t="s">
        <v>4848</v>
      </c>
      <c r="B4850" s="4" t="s">
        <v>4849</v>
      </c>
      <c r="C4850" s="4" t="s">
        <v>68</v>
      </c>
      <c r="D4850" s="10">
        <v>31</v>
      </c>
      <c r="E4850" s="11" t="s">
        <v>51</v>
      </c>
      <c r="F4850" s="10">
        <v>920</v>
      </c>
      <c r="G4850" s="10">
        <v>0</v>
      </c>
      <c r="H4850" s="10">
        <f t="shared" si="75"/>
        <v>920</v>
      </c>
      <c r="I4850" s="10"/>
      <c r="J4850" s="10"/>
      <c r="K4850" s="10"/>
      <c r="L4850" s="4" t="s">
        <v>69</v>
      </c>
      <c r="M4850" s="4">
        <v>4845</v>
      </c>
    </row>
    <row r="4851" spans="1:13" x14ac:dyDescent="0.25">
      <c r="A4851" s="4" t="s">
        <v>4850</v>
      </c>
      <c r="B4851" s="4" t="s">
        <v>4849</v>
      </c>
      <c r="C4851" s="4" t="s">
        <v>68</v>
      </c>
      <c r="D4851" s="10">
        <v>31</v>
      </c>
      <c r="E4851" s="11" t="s">
        <v>51</v>
      </c>
      <c r="F4851" s="10">
        <v>2645</v>
      </c>
      <c r="G4851" s="10">
        <v>0</v>
      </c>
      <c r="H4851" s="10">
        <f t="shared" si="75"/>
        <v>2645</v>
      </c>
      <c r="I4851" s="10"/>
      <c r="J4851" s="10"/>
      <c r="K4851" s="10"/>
      <c r="L4851" s="4" t="s">
        <v>69</v>
      </c>
      <c r="M4851" s="4">
        <v>4846</v>
      </c>
    </row>
    <row r="4852" spans="1:13" x14ac:dyDescent="0.25">
      <c r="A4852" s="4" t="s">
        <v>4851</v>
      </c>
      <c r="B4852" s="4" t="s">
        <v>4849</v>
      </c>
      <c r="C4852" s="4" t="s">
        <v>68</v>
      </c>
      <c r="D4852" s="10">
        <v>16</v>
      </c>
      <c r="E4852" s="11" t="s">
        <v>51</v>
      </c>
      <c r="F4852" s="10">
        <v>920</v>
      </c>
      <c r="G4852" s="10">
        <v>0</v>
      </c>
      <c r="H4852" s="10">
        <f t="shared" si="75"/>
        <v>920</v>
      </c>
      <c r="I4852" s="10"/>
      <c r="J4852" s="10"/>
      <c r="K4852" s="10"/>
      <c r="L4852" s="4" t="s">
        <v>69</v>
      </c>
      <c r="M4852" s="4">
        <v>4847</v>
      </c>
    </row>
    <row r="4853" spans="1:13" x14ac:dyDescent="0.25">
      <c r="A4853" s="4" t="s">
        <v>4852</v>
      </c>
      <c r="B4853" s="4" t="s">
        <v>4849</v>
      </c>
      <c r="C4853" s="4" t="s">
        <v>68</v>
      </c>
      <c r="D4853" s="10">
        <v>23.5</v>
      </c>
      <c r="E4853" s="11" t="s">
        <v>51</v>
      </c>
      <c r="F4853" s="10">
        <v>920</v>
      </c>
      <c r="G4853" s="10">
        <v>0</v>
      </c>
      <c r="H4853" s="10">
        <f t="shared" si="75"/>
        <v>920</v>
      </c>
      <c r="I4853" s="10"/>
      <c r="J4853" s="10"/>
      <c r="K4853" s="10"/>
      <c r="L4853" s="4" t="s">
        <v>69</v>
      </c>
      <c r="M4853" s="4">
        <v>4848</v>
      </c>
    </row>
    <row r="4854" spans="1:13" x14ac:dyDescent="0.25">
      <c r="A4854" s="4" t="s">
        <v>4853</v>
      </c>
      <c r="B4854" s="4" t="s">
        <v>4849</v>
      </c>
      <c r="C4854" s="4" t="s">
        <v>68</v>
      </c>
      <c r="D4854" s="10">
        <v>23.5</v>
      </c>
      <c r="E4854" s="11" t="s">
        <v>51</v>
      </c>
      <c r="F4854" s="10">
        <v>1782.5</v>
      </c>
      <c r="G4854" s="10">
        <v>0</v>
      </c>
      <c r="H4854" s="10">
        <f t="shared" si="75"/>
        <v>1782.5</v>
      </c>
      <c r="I4854" s="10"/>
      <c r="J4854" s="10"/>
      <c r="K4854" s="10"/>
      <c r="L4854" s="4" t="s">
        <v>69</v>
      </c>
      <c r="M4854" s="4">
        <v>4849</v>
      </c>
    </row>
    <row r="4855" spans="1:13" x14ac:dyDescent="0.25">
      <c r="A4855" s="4" t="s">
        <v>4854</v>
      </c>
      <c r="B4855" s="4" t="s">
        <v>4849</v>
      </c>
      <c r="C4855" s="4" t="s">
        <v>68</v>
      </c>
      <c r="D4855" s="10">
        <v>16</v>
      </c>
      <c r="E4855" s="11" t="s">
        <v>51</v>
      </c>
      <c r="F4855" s="10">
        <v>920</v>
      </c>
      <c r="G4855" s="10">
        <v>0</v>
      </c>
      <c r="H4855" s="10">
        <f t="shared" si="75"/>
        <v>920</v>
      </c>
      <c r="I4855" s="10"/>
      <c r="J4855" s="10"/>
      <c r="K4855" s="10"/>
      <c r="L4855" s="4" t="s">
        <v>69</v>
      </c>
      <c r="M4855" s="4">
        <v>4850</v>
      </c>
    </row>
    <row r="4856" spans="1:13" x14ac:dyDescent="0.25">
      <c r="A4856" s="4" t="s">
        <v>4855</v>
      </c>
      <c r="B4856" s="4" t="s">
        <v>4849</v>
      </c>
      <c r="C4856" s="4" t="s">
        <v>68</v>
      </c>
      <c r="D4856" s="10">
        <v>16</v>
      </c>
      <c r="E4856" s="11" t="s">
        <v>51</v>
      </c>
      <c r="F4856" s="10">
        <v>920</v>
      </c>
      <c r="G4856" s="10">
        <v>0</v>
      </c>
      <c r="H4856" s="10">
        <f t="shared" si="75"/>
        <v>920</v>
      </c>
      <c r="I4856" s="10"/>
      <c r="J4856" s="10"/>
      <c r="K4856" s="10"/>
      <c r="L4856" s="4" t="s">
        <v>69</v>
      </c>
      <c r="M4856" s="4">
        <v>4851</v>
      </c>
    </row>
    <row r="4857" spans="1:13" x14ac:dyDescent="0.25">
      <c r="A4857" s="4" t="s">
        <v>4856</v>
      </c>
      <c r="B4857" s="4" t="s">
        <v>4849</v>
      </c>
      <c r="C4857" s="4" t="s">
        <v>68</v>
      </c>
      <c r="D4857" s="10">
        <v>16</v>
      </c>
      <c r="E4857" s="11" t="s">
        <v>51</v>
      </c>
      <c r="F4857" s="10">
        <v>920</v>
      </c>
      <c r="G4857" s="10">
        <v>0</v>
      </c>
      <c r="H4857" s="10">
        <f t="shared" si="75"/>
        <v>920</v>
      </c>
      <c r="I4857" s="10"/>
      <c r="J4857" s="10"/>
      <c r="K4857" s="10"/>
      <c r="L4857" s="4" t="s">
        <v>69</v>
      </c>
      <c r="M4857" s="4">
        <v>4852</v>
      </c>
    </row>
    <row r="4858" spans="1:13" x14ac:dyDescent="0.25">
      <c r="A4858" s="4" t="s">
        <v>4857</v>
      </c>
      <c r="B4858" s="4" t="s">
        <v>4849</v>
      </c>
      <c r="C4858" s="4" t="s">
        <v>68</v>
      </c>
      <c r="D4858" s="10">
        <v>23.5</v>
      </c>
      <c r="E4858" s="11" t="s">
        <v>51</v>
      </c>
      <c r="F4858" s="10">
        <v>920</v>
      </c>
      <c r="G4858" s="10">
        <v>0</v>
      </c>
      <c r="H4858" s="10">
        <f t="shared" si="75"/>
        <v>920</v>
      </c>
      <c r="I4858" s="10"/>
      <c r="J4858" s="10"/>
      <c r="K4858" s="10"/>
      <c r="L4858" s="4" t="s">
        <v>69</v>
      </c>
      <c r="M4858" s="4">
        <v>4853</v>
      </c>
    </row>
    <row r="4859" spans="1:13" x14ac:dyDescent="0.25">
      <c r="A4859" s="4" t="s">
        <v>4858</v>
      </c>
      <c r="B4859" s="4" t="s">
        <v>4849</v>
      </c>
      <c r="C4859" s="4" t="s">
        <v>68</v>
      </c>
      <c r="D4859" s="10">
        <v>15.5</v>
      </c>
      <c r="E4859" s="11" t="s">
        <v>51</v>
      </c>
      <c r="F4859" s="10">
        <v>1782.5</v>
      </c>
      <c r="G4859" s="10">
        <v>0</v>
      </c>
      <c r="H4859" s="10">
        <f t="shared" si="75"/>
        <v>1782.5</v>
      </c>
      <c r="I4859" s="10"/>
      <c r="J4859" s="10"/>
      <c r="K4859" s="10"/>
      <c r="L4859" s="4" t="s">
        <v>69</v>
      </c>
      <c r="M4859" s="4">
        <v>4854</v>
      </c>
    </row>
    <row r="4860" spans="1:13" x14ac:dyDescent="0.25">
      <c r="A4860" s="4" t="s">
        <v>4859</v>
      </c>
      <c r="B4860" s="4" t="s">
        <v>4860</v>
      </c>
      <c r="C4860" s="9" t="s">
        <v>50</v>
      </c>
      <c r="D4860" s="10">
        <v>12</v>
      </c>
      <c r="E4860" s="11" t="s">
        <v>51</v>
      </c>
      <c r="F4860" s="10">
        <v>500</v>
      </c>
      <c r="G4860" s="10">
        <v>0</v>
      </c>
      <c r="H4860" s="10">
        <f t="shared" si="75"/>
        <v>500</v>
      </c>
      <c r="I4860" s="10"/>
      <c r="J4860" s="10"/>
      <c r="K4860" s="10"/>
      <c r="L4860" s="4" t="s">
        <v>52</v>
      </c>
      <c r="M4860" s="4">
        <v>4855</v>
      </c>
    </row>
    <row r="4861" spans="1:13" x14ac:dyDescent="0.25">
      <c r="A4861" s="4" t="s">
        <v>4861</v>
      </c>
      <c r="B4861" s="4" t="s">
        <v>4862</v>
      </c>
      <c r="C4861" s="4" t="s">
        <v>65</v>
      </c>
      <c r="D4861" s="10">
        <v>12</v>
      </c>
      <c r="E4861" s="12" t="s">
        <v>66</v>
      </c>
      <c r="F4861" s="10">
        <v>1431.96</v>
      </c>
      <c r="G4861" s="10">
        <v>0</v>
      </c>
      <c r="H4861" s="10">
        <f t="shared" si="75"/>
        <v>1431.96</v>
      </c>
      <c r="I4861" s="10">
        <v>119.33</v>
      </c>
      <c r="J4861" s="10">
        <v>119.33</v>
      </c>
      <c r="K4861" s="10">
        <v>119.33</v>
      </c>
      <c r="L4861" s="4"/>
      <c r="M4861" s="4">
        <v>4856</v>
      </c>
    </row>
    <row r="4862" spans="1:13" x14ac:dyDescent="0.25">
      <c r="A4862" s="4" t="s">
        <v>4861</v>
      </c>
      <c r="B4862" s="4" t="s">
        <v>4863</v>
      </c>
      <c r="C4862" s="4" t="s">
        <v>68</v>
      </c>
      <c r="D4862" s="10">
        <v>11</v>
      </c>
      <c r="E4862" s="11" t="s">
        <v>51</v>
      </c>
      <c r="F4862" s="10"/>
      <c r="G4862" s="10">
        <v>0</v>
      </c>
      <c r="H4862" s="10">
        <f t="shared" si="75"/>
        <v>0</v>
      </c>
      <c r="I4862" s="10"/>
      <c r="J4862" s="10"/>
      <c r="K4862" s="10"/>
      <c r="L4862" s="4" t="s">
        <v>69</v>
      </c>
      <c r="M4862" s="4">
        <v>4857</v>
      </c>
    </row>
    <row r="4863" spans="1:13" x14ac:dyDescent="0.25">
      <c r="A4863" s="4" t="s">
        <v>4864</v>
      </c>
      <c r="B4863" s="4" t="s">
        <v>4865</v>
      </c>
      <c r="C4863" s="4" t="s">
        <v>65</v>
      </c>
      <c r="D4863" s="10">
        <v>8</v>
      </c>
      <c r="E4863" s="12" t="s">
        <v>66</v>
      </c>
      <c r="F4863" s="10">
        <v>800</v>
      </c>
      <c r="G4863" s="10">
        <v>0</v>
      </c>
      <c r="H4863" s="10">
        <f t="shared" si="75"/>
        <v>800</v>
      </c>
      <c r="I4863" s="10">
        <v>100</v>
      </c>
      <c r="J4863" s="10">
        <v>100</v>
      </c>
      <c r="K4863" s="10">
        <v>100</v>
      </c>
      <c r="L4863" s="4"/>
      <c r="M4863" s="4">
        <v>4858</v>
      </c>
    </row>
    <row r="4864" spans="1:13" x14ac:dyDescent="0.25">
      <c r="A4864" s="4" t="s">
        <v>4864</v>
      </c>
      <c r="B4864" s="4" t="s">
        <v>4866</v>
      </c>
      <c r="C4864" s="4" t="s">
        <v>65</v>
      </c>
      <c r="D4864" s="10"/>
      <c r="E4864" s="11" t="s">
        <v>51</v>
      </c>
      <c r="F4864" s="10">
        <v>290</v>
      </c>
      <c r="G4864" s="10">
        <v>0</v>
      </c>
      <c r="H4864" s="10">
        <f t="shared" si="75"/>
        <v>290</v>
      </c>
      <c r="I4864" s="10"/>
      <c r="J4864" s="10"/>
      <c r="K4864" s="10"/>
      <c r="L4864" s="4" t="s">
        <v>69</v>
      </c>
      <c r="M4864" s="4">
        <v>4859</v>
      </c>
    </row>
    <row r="4865" spans="1:13" x14ac:dyDescent="0.25">
      <c r="A4865" s="4" t="s">
        <v>4864</v>
      </c>
      <c r="B4865" s="4" t="s">
        <v>4867</v>
      </c>
      <c r="C4865" s="9" t="s">
        <v>50</v>
      </c>
      <c r="D4865" s="10">
        <v>59</v>
      </c>
      <c r="E4865" s="11" t="s">
        <v>51</v>
      </c>
      <c r="F4865" s="10">
        <v>590</v>
      </c>
      <c r="G4865" s="10">
        <v>0</v>
      </c>
      <c r="H4865" s="10">
        <f t="shared" si="75"/>
        <v>590</v>
      </c>
      <c r="I4865" s="10"/>
      <c r="J4865" s="10"/>
      <c r="K4865" s="10"/>
      <c r="L4865" s="4" t="s">
        <v>52</v>
      </c>
      <c r="M4865" s="4">
        <v>4860</v>
      </c>
    </row>
    <row r="4866" spans="1:13" x14ac:dyDescent="0.25">
      <c r="A4866" s="4" t="s">
        <v>4868</v>
      </c>
      <c r="B4866" s="4" t="s">
        <v>4869</v>
      </c>
      <c r="C4866" s="4" t="s">
        <v>65</v>
      </c>
      <c r="D4866" s="10">
        <v>35</v>
      </c>
      <c r="E4866" s="12" t="s">
        <v>66</v>
      </c>
      <c r="F4866" s="10">
        <v>4200</v>
      </c>
      <c r="G4866" s="10">
        <v>0</v>
      </c>
      <c r="H4866" s="10">
        <f t="shared" si="75"/>
        <v>4200</v>
      </c>
      <c r="I4866" s="10">
        <v>120</v>
      </c>
      <c r="J4866" s="10">
        <v>120</v>
      </c>
      <c r="K4866" s="10">
        <v>120</v>
      </c>
      <c r="L4866" s="4"/>
      <c r="M4866" s="4">
        <v>4861</v>
      </c>
    </row>
    <row r="4867" spans="1:13" x14ac:dyDescent="0.25">
      <c r="A4867" s="4" t="s">
        <v>4868</v>
      </c>
      <c r="B4867" s="4" t="s">
        <v>4870</v>
      </c>
      <c r="C4867" s="4" t="s">
        <v>65</v>
      </c>
      <c r="D4867" s="10">
        <v>88</v>
      </c>
      <c r="E4867" s="12" t="s">
        <v>66</v>
      </c>
      <c r="F4867" s="10">
        <v>2800</v>
      </c>
      <c r="G4867" s="10">
        <v>0</v>
      </c>
      <c r="H4867" s="10">
        <f t="shared" si="75"/>
        <v>2800</v>
      </c>
      <c r="I4867" s="10">
        <v>133.33333333333329</v>
      </c>
      <c r="J4867" s="10">
        <v>133.33333333333329</v>
      </c>
      <c r="K4867" s="10">
        <v>133.33333333333329</v>
      </c>
      <c r="L4867" s="4"/>
      <c r="M4867" s="4">
        <v>4862</v>
      </c>
    </row>
    <row r="4868" spans="1:13" x14ac:dyDescent="0.25">
      <c r="A4868" s="4" t="s">
        <v>4871</v>
      </c>
      <c r="B4868" s="4" t="s">
        <v>4088</v>
      </c>
      <c r="C4868" s="4" t="s">
        <v>65</v>
      </c>
      <c r="D4868" s="10">
        <v>1</v>
      </c>
      <c r="E4868" s="12" t="s">
        <v>66</v>
      </c>
      <c r="F4868" s="10">
        <v>250</v>
      </c>
      <c r="G4868" s="10">
        <v>0</v>
      </c>
      <c r="H4868" s="10">
        <f t="shared" si="75"/>
        <v>250</v>
      </c>
      <c r="I4868" s="10">
        <v>250</v>
      </c>
      <c r="J4868" s="10">
        <v>250</v>
      </c>
      <c r="K4868" s="10">
        <v>250</v>
      </c>
      <c r="L4868" s="4"/>
      <c r="M4868" s="4">
        <v>4863</v>
      </c>
    </row>
    <row r="4869" spans="1:13" x14ac:dyDescent="0.25">
      <c r="A4869" s="4" t="s">
        <v>4871</v>
      </c>
      <c r="B4869" s="4" t="s">
        <v>4089</v>
      </c>
      <c r="C4869" s="4" t="s">
        <v>65</v>
      </c>
      <c r="D4869" s="10">
        <v>25</v>
      </c>
      <c r="E4869" s="12" t="s">
        <v>66</v>
      </c>
      <c r="F4869" s="10">
        <v>4000</v>
      </c>
      <c r="G4869" s="10">
        <v>0</v>
      </c>
      <c r="H4869" s="10">
        <f t="shared" si="75"/>
        <v>4000</v>
      </c>
      <c r="I4869" s="10">
        <v>160</v>
      </c>
      <c r="J4869" s="10">
        <v>160</v>
      </c>
      <c r="K4869" s="10">
        <v>160</v>
      </c>
      <c r="L4869" s="4"/>
      <c r="M4869" s="4">
        <v>4864</v>
      </c>
    </row>
    <row r="4870" spans="1:13" x14ac:dyDescent="0.25">
      <c r="A4870" s="4" t="s">
        <v>4871</v>
      </c>
      <c r="B4870" s="4" t="s">
        <v>2589</v>
      </c>
      <c r="C4870" s="4" t="s">
        <v>65</v>
      </c>
      <c r="D4870" s="10">
        <v>32</v>
      </c>
      <c r="E4870" s="12" t="s">
        <v>66</v>
      </c>
      <c r="F4870" s="10">
        <v>5000</v>
      </c>
      <c r="G4870" s="10">
        <v>0</v>
      </c>
      <c r="H4870" s="10">
        <f t="shared" ref="H4870:H4933" si="76">F4870-G4870</f>
        <v>5000</v>
      </c>
      <c r="I4870" s="10">
        <v>156.25</v>
      </c>
      <c r="J4870" s="10">
        <v>156.25</v>
      </c>
      <c r="K4870" s="10">
        <v>156.25</v>
      </c>
      <c r="L4870" s="4"/>
      <c r="M4870" s="4">
        <v>4865</v>
      </c>
    </row>
    <row r="4871" spans="1:13" x14ac:dyDescent="0.25">
      <c r="A4871" s="4" t="s">
        <v>4871</v>
      </c>
      <c r="B4871" s="4" t="s">
        <v>2590</v>
      </c>
      <c r="C4871" s="4" t="s">
        <v>65</v>
      </c>
      <c r="D4871" s="10">
        <v>59</v>
      </c>
      <c r="E4871" s="12" t="s">
        <v>66</v>
      </c>
      <c r="F4871" s="10">
        <v>4000</v>
      </c>
      <c r="G4871" s="10">
        <v>0</v>
      </c>
      <c r="H4871" s="10">
        <f t="shared" si="76"/>
        <v>4000</v>
      </c>
      <c r="I4871" s="10">
        <v>444.44444444444451</v>
      </c>
      <c r="J4871" s="10">
        <v>444.44444444444451</v>
      </c>
      <c r="K4871" s="10">
        <v>444.44444444444451</v>
      </c>
      <c r="L4871" s="4"/>
      <c r="M4871" s="4">
        <v>4866</v>
      </c>
    </row>
    <row r="4872" spans="1:13" x14ac:dyDescent="0.25">
      <c r="A4872" s="4" t="s">
        <v>4872</v>
      </c>
      <c r="B4872" s="4" t="s">
        <v>4873</v>
      </c>
      <c r="C4872" s="9" t="s">
        <v>50</v>
      </c>
      <c r="D4872" s="10">
        <v>70</v>
      </c>
      <c r="E4872" s="11" t="s">
        <v>51</v>
      </c>
      <c r="F4872" s="10">
        <v>2400</v>
      </c>
      <c r="G4872" s="10">
        <v>0</v>
      </c>
      <c r="H4872" s="10">
        <f t="shared" si="76"/>
        <v>2400</v>
      </c>
      <c r="I4872" s="10"/>
      <c r="J4872" s="10"/>
      <c r="K4872" s="10"/>
      <c r="L4872" s="4" t="s">
        <v>52</v>
      </c>
      <c r="M4872" s="4">
        <v>4867</v>
      </c>
    </row>
    <row r="4873" spans="1:13" x14ac:dyDescent="0.25">
      <c r="A4873" s="4" t="s">
        <v>4874</v>
      </c>
      <c r="B4873" s="4" t="s">
        <v>4875</v>
      </c>
      <c r="C4873" s="9" t="s">
        <v>50</v>
      </c>
      <c r="D4873" s="10">
        <v>20</v>
      </c>
      <c r="E4873" s="11" t="s">
        <v>51</v>
      </c>
      <c r="F4873" s="10">
        <v>2400</v>
      </c>
      <c r="G4873" s="10">
        <v>0</v>
      </c>
      <c r="H4873" s="10">
        <f t="shared" si="76"/>
        <v>2400</v>
      </c>
      <c r="I4873" s="10"/>
      <c r="J4873" s="10"/>
      <c r="K4873" s="10"/>
      <c r="L4873" s="4" t="s">
        <v>52</v>
      </c>
      <c r="M4873" s="4">
        <v>4868</v>
      </c>
    </row>
    <row r="4874" spans="1:13" x14ac:dyDescent="0.25">
      <c r="A4874" s="4" t="s">
        <v>4874</v>
      </c>
      <c r="B4874" s="4" t="s">
        <v>4876</v>
      </c>
      <c r="C4874" s="9" t="s">
        <v>50</v>
      </c>
      <c r="D4874" s="10"/>
      <c r="E4874" s="11" t="s">
        <v>51</v>
      </c>
      <c r="F4874" s="10"/>
      <c r="G4874" s="10">
        <v>0</v>
      </c>
      <c r="H4874" s="10">
        <f t="shared" si="76"/>
        <v>0</v>
      </c>
      <c r="I4874" s="10"/>
      <c r="J4874" s="10"/>
      <c r="K4874" s="10"/>
      <c r="L4874" s="4" t="s">
        <v>52</v>
      </c>
      <c r="M4874" s="4">
        <v>4869</v>
      </c>
    </row>
    <row r="4875" spans="1:13" x14ac:dyDescent="0.25">
      <c r="A4875" s="4" t="s">
        <v>4874</v>
      </c>
      <c r="B4875" s="4" t="s">
        <v>4877</v>
      </c>
      <c r="C4875" s="9" t="s">
        <v>50</v>
      </c>
      <c r="D4875" s="10"/>
      <c r="E4875" s="11" t="s">
        <v>51</v>
      </c>
      <c r="F4875" s="10"/>
      <c r="G4875" s="10">
        <v>0</v>
      </c>
      <c r="H4875" s="10">
        <f t="shared" si="76"/>
        <v>0</v>
      </c>
      <c r="I4875" s="10"/>
      <c r="J4875" s="10"/>
      <c r="K4875" s="10"/>
      <c r="L4875" s="4" t="s">
        <v>52</v>
      </c>
      <c r="M4875" s="4">
        <v>4870</v>
      </c>
    </row>
    <row r="4876" spans="1:13" x14ac:dyDescent="0.25">
      <c r="A4876" s="4" t="s">
        <v>4874</v>
      </c>
      <c r="B4876" s="4" t="s">
        <v>4878</v>
      </c>
      <c r="C4876" s="9" t="s">
        <v>50</v>
      </c>
      <c r="D4876" s="10"/>
      <c r="E4876" s="11" t="s">
        <v>51</v>
      </c>
      <c r="F4876" s="10"/>
      <c r="G4876" s="10">
        <v>0</v>
      </c>
      <c r="H4876" s="10">
        <f t="shared" si="76"/>
        <v>0</v>
      </c>
      <c r="I4876" s="10"/>
      <c r="J4876" s="10"/>
      <c r="K4876" s="10"/>
      <c r="L4876" s="4" t="s">
        <v>52</v>
      </c>
      <c r="M4876" s="4">
        <v>4871</v>
      </c>
    </row>
    <row r="4877" spans="1:13" x14ac:dyDescent="0.25">
      <c r="A4877" s="4" t="s">
        <v>4874</v>
      </c>
      <c r="B4877" s="4" t="s">
        <v>4879</v>
      </c>
      <c r="C4877" s="9" t="s">
        <v>50</v>
      </c>
      <c r="D4877" s="10"/>
      <c r="E4877" s="11" t="s">
        <v>51</v>
      </c>
      <c r="F4877" s="10"/>
      <c r="G4877" s="10">
        <v>0</v>
      </c>
      <c r="H4877" s="10">
        <f t="shared" si="76"/>
        <v>0</v>
      </c>
      <c r="I4877" s="10"/>
      <c r="J4877" s="10"/>
      <c r="K4877" s="10"/>
      <c r="L4877" s="4" t="s">
        <v>52</v>
      </c>
      <c r="M4877" s="4">
        <v>4872</v>
      </c>
    </row>
    <row r="4878" spans="1:13" x14ac:dyDescent="0.25">
      <c r="A4878" s="4" t="s">
        <v>4874</v>
      </c>
      <c r="B4878" s="4" t="s">
        <v>4880</v>
      </c>
      <c r="C4878" s="9" t="s">
        <v>50</v>
      </c>
      <c r="D4878" s="10"/>
      <c r="E4878" s="11" t="s">
        <v>51</v>
      </c>
      <c r="F4878" s="10"/>
      <c r="G4878" s="10">
        <v>0</v>
      </c>
      <c r="H4878" s="10">
        <f t="shared" si="76"/>
        <v>0</v>
      </c>
      <c r="I4878" s="10"/>
      <c r="J4878" s="10"/>
      <c r="K4878" s="10"/>
      <c r="L4878" s="4" t="s">
        <v>52</v>
      </c>
      <c r="M4878" s="4">
        <v>4873</v>
      </c>
    </row>
    <row r="4879" spans="1:13" x14ac:dyDescent="0.25">
      <c r="A4879" s="4" t="s">
        <v>4874</v>
      </c>
      <c r="B4879" s="4" t="s">
        <v>4881</v>
      </c>
      <c r="C4879" s="9" t="s">
        <v>50</v>
      </c>
      <c r="D4879" s="10"/>
      <c r="E4879" s="11" t="s">
        <v>51</v>
      </c>
      <c r="F4879" s="10"/>
      <c r="G4879" s="10">
        <v>0</v>
      </c>
      <c r="H4879" s="10">
        <f t="shared" si="76"/>
        <v>0</v>
      </c>
      <c r="I4879" s="10"/>
      <c r="J4879" s="10"/>
      <c r="K4879" s="10"/>
      <c r="L4879" s="4" t="s">
        <v>52</v>
      </c>
      <c r="M4879" s="4">
        <v>4874</v>
      </c>
    </row>
    <row r="4880" spans="1:13" x14ac:dyDescent="0.25">
      <c r="A4880" s="4" t="s">
        <v>4874</v>
      </c>
      <c r="B4880" s="4" t="s">
        <v>4882</v>
      </c>
      <c r="C4880" s="9" t="s">
        <v>50</v>
      </c>
      <c r="D4880" s="10"/>
      <c r="E4880" s="11" t="s">
        <v>51</v>
      </c>
      <c r="F4880" s="10"/>
      <c r="G4880" s="10">
        <v>0</v>
      </c>
      <c r="H4880" s="10">
        <f t="shared" si="76"/>
        <v>0</v>
      </c>
      <c r="I4880" s="10"/>
      <c r="J4880" s="10"/>
      <c r="K4880" s="10"/>
      <c r="L4880" s="4" t="s">
        <v>52</v>
      </c>
      <c r="M4880" s="4">
        <v>4875</v>
      </c>
    </row>
    <row r="4881" spans="1:13" x14ac:dyDescent="0.25">
      <c r="A4881" s="4" t="s">
        <v>4874</v>
      </c>
      <c r="B4881" s="4" t="s">
        <v>4883</v>
      </c>
      <c r="C4881" s="9" t="s">
        <v>50</v>
      </c>
      <c r="D4881" s="10"/>
      <c r="E4881" s="11" t="s">
        <v>51</v>
      </c>
      <c r="F4881" s="10"/>
      <c r="G4881" s="10">
        <v>0</v>
      </c>
      <c r="H4881" s="10">
        <f t="shared" si="76"/>
        <v>0</v>
      </c>
      <c r="I4881" s="10"/>
      <c r="J4881" s="10"/>
      <c r="K4881" s="10"/>
      <c r="L4881" s="4" t="s">
        <v>52</v>
      </c>
      <c r="M4881" s="4">
        <v>4876</v>
      </c>
    </row>
    <row r="4882" spans="1:13" x14ac:dyDescent="0.25">
      <c r="A4882" s="4" t="s">
        <v>4874</v>
      </c>
      <c r="B4882" s="4" t="s">
        <v>4884</v>
      </c>
      <c r="C4882" s="9" t="s">
        <v>50</v>
      </c>
      <c r="D4882" s="10">
        <v>110</v>
      </c>
      <c r="E4882" s="11" t="s">
        <v>51</v>
      </c>
      <c r="F4882" s="10"/>
      <c r="G4882" s="10">
        <v>0</v>
      </c>
      <c r="H4882" s="10">
        <f t="shared" si="76"/>
        <v>0</v>
      </c>
      <c r="I4882" s="10"/>
      <c r="J4882" s="10"/>
      <c r="K4882" s="10"/>
      <c r="L4882" s="4" t="s">
        <v>52</v>
      </c>
      <c r="M4882" s="4">
        <v>4877</v>
      </c>
    </row>
    <row r="4883" spans="1:13" x14ac:dyDescent="0.25">
      <c r="A4883" s="4" t="s">
        <v>4885</v>
      </c>
      <c r="B4883" s="4" t="s">
        <v>378</v>
      </c>
      <c r="C4883" s="4" t="s">
        <v>65</v>
      </c>
      <c r="D4883" s="10">
        <v>70</v>
      </c>
      <c r="E4883" s="12" t="s">
        <v>66</v>
      </c>
      <c r="F4883" s="10">
        <v>8300</v>
      </c>
      <c r="G4883" s="10">
        <v>0</v>
      </c>
      <c r="H4883" s="10">
        <f t="shared" si="76"/>
        <v>8300</v>
      </c>
      <c r="I4883" s="10">
        <v>118.5714285714286</v>
      </c>
      <c r="J4883" s="10">
        <v>118.5714285714286</v>
      </c>
      <c r="K4883" s="10">
        <v>118.5714285714286</v>
      </c>
      <c r="L4883" s="4"/>
      <c r="M4883" s="4">
        <v>4878</v>
      </c>
    </row>
    <row r="4884" spans="1:13" x14ac:dyDescent="0.25">
      <c r="A4884" s="4" t="s">
        <v>4885</v>
      </c>
      <c r="B4884" s="4" t="s">
        <v>4886</v>
      </c>
      <c r="C4884" s="4" t="s">
        <v>65</v>
      </c>
      <c r="D4884" s="10">
        <v>64</v>
      </c>
      <c r="E4884" s="12" t="s">
        <v>66</v>
      </c>
      <c r="F4884" s="10">
        <v>5550</v>
      </c>
      <c r="G4884" s="10">
        <v>0</v>
      </c>
      <c r="H4884" s="10">
        <f t="shared" si="76"/>
        <v>5550</v>
      </c>
      <c r="I4884" s="10">
        <v>138.75</v>
      </c>
      <c r="J4884" s="10">
        <v>138.75</v>
      </c>
      <c r="K4884" s="10">
        <v>138.75</v>
      </c>
      <c r="L4884" s="4"/>
      <c r="M4884" s="4">
        <v>4879</v>
      </c>
    </row>
    <row r="4885" spans="1:13" x14ac:dyDescent="0.25">
      <c r="A4885" s="4" t="s">
        <v>4887</v>
      </c>
      <c r="B4885" s="4" t="s">
        <v>4888</v>
      </c>
      <c r="C4885" s="4" t="s">
        <v>65</v>
      </c>
      <c r="D4885" s="10">
        <v>64</v>
      </c>
      <c r="E4885" s="12" t="s">
        <v>66</v>
      </c>
      <c r="F4885" s="10">
        <v>2500</v>
      </c>
      <c r="G4885" s="10">
        <v>0</v>
      </c>
      <c r="H4885" s="10">
        <f t="shared" si="76"/>
        <v>2500</v>
      </c>
      <c r="I4885" s="10">
        <v>104.1666666666667</v>
      </c>
      <c r="J4885" s="10">
        <v>104.1666666666667</v>
      </c>
      <c r="K4885" s="10">
        <v>104.1666666666667</v>
      </c>
      <c r="L4885" s="4"/>
      <c r="M4885" s="4">
        <v>4880</v>
      </c>
    </row>
    <row r="4886" spans="1:13" x14ac:dyDescent="0.25">
      <c r="A4886" s="4" t="s">
        <v>4889</v>
      </c>
      <c r="B4886" s="4" t="s">
        <v>248</v>
      </c>
      <c r="C4886" s="4" t="s">
        <v>68</v>
      </c>
      <c r="D4886" s="10">
        <v>112</v>
      </c>
      <c r="E4886" s="11" t="s">
        <v>51</v>
      </c>
      <c r="F4886" s="10">
        <v>5200</v>
      </c>
      <c r="G4886" s="10">
        <v>0</v>
      </c>
      <c r="H4886" s="10">
        <f t="shared" si="76"/>
        <v>5200</v>
      </c>
      <c r="I4886" s="10"/>
      <c r="J4886" s="10"/>
      <c r="K4886" s="10"/>
      <c r="L4886" s="4" t="s">
        <v>69</v>
      </c>
      <c r="M4886" s="4">
        <v>4881</v>
      </c>
    </row>
    <row r="4887" spans="1:13" x14ac:dyDescent="0.25">
      <c r="A4887" s="4" t="s">
        <v>4890</v>
      </c>
      <c r="B4887" s="4" t="s">
        <v>4891</v>
      </c>
      <c r="C4887" s="9" t="s">
        <v>50</v>
      </c>
      <c r="D4887" s="10">
        <v>3</v>
      </c>
      <c r="E4887" s="11" t="s">
        <v>51</v>
      </c>
      <c r="F4887" s="10">
        <v>400</v>
      </c>
      <c r="G4887" s="10">
        <v>0</v>
      </c>
      <c r="H4887" s="10">
        <f t="shared" si="76"/>
        <v>400</v>
      </c>
      <c r="I4887" s="10"/>
      <c r="J4887" s="10"/>
      <c r="K4887" s="10"/>
      <c r="L4887" s="4" t="s">
        <v>52</v>
      </c>
      <c r="M4887" s="4">
        <v>4882</v>
      </c>
    </row>
    <row r="4888" spans="1:13" x14ac:dyDescent="0.25">
      <c r="A4888" s="4" t="s">
        <v>4890</v>
      </c>
      <c r="B4888" s="4" t="s">
        <v>4892</v>
      </c>
      <c r="C4888" s="9" t="s">
        <v>50</v>
      </c>
      <c r="D4888" s="10">
        <v>20</v>
      </c>
      <c r="E4888" s="11" t="s">
        <v>51</v>
      </c>
      <c r="F4888" s="10">
        <v>3100</v>
      </c>
      <c r="G4888" s="10">
        <v>0</v>
      </c>
      <c r="H4888" s="10">
        <f t="shared" si="76"/>
        <v>3100</v>
      </c>
      <c r="I4888" s="10"/>
      <c r="J4888" s="10"/>
      <c r="K4888" s="10"/>
      <c r="L4888" s="4" t="s">
        <v>52</v>
      </c>
      <c r="M4888" s="4">
        <v>4883</v>
      </c>
    </row>
    <row r="4889" spans="1:13" x14ac:dyDescent="0.25">
      <c r="A4889" s="4" t="s">
        <v>4890</v>
      </c>
      <c r="B4889" s="4" t="s">
        <v>4893</v>
      </c>
      <c r="C4889" s="9" t="s">
        <v>50</v>
      </c>
      <c r="D4889" s="10">
        <v>39</v>
      </c>
      <c r="E4889" s="11" t="s">
        <v>51</v>
      </c>
      <c r="F4889" s="10">
        <v>6000</v>
      </c>
      <c r="G4889" s="10">
        <v>0</v>
      </c>
      <c r="H4889" s="10">
        <f t="shared" si="76"/>
        <v>6000</v>
      </c>
      <c r="I4889" s="10"/>
      <c r="J4889" s="10"/>
      <c r="K4889" s="10"/>
      <c r="L4889" s="4" t="s">
        <v>52</v>
      </c>
      <c r="M4889" s="4">
        <v>4884</v>
      </c>
    </row>
    <row r="4890" spans="1:13" x14ac:dyDescent="0.25">
      <c r="A4890" s="4" t="s">
        <v>4890</v>
      </c>
      <c r="B4890" s="4" t="s">
        <v>4894</v>
      </c>
      <c r="C4890" s="9" t="s">
        <v>50</v>
      </c>
      <c r="D4890" s="10">
        <v>50</v>
      </c>
      <c r="E4890" s="11" t="s">
        <v>51</v>
      </c>
      <c r="F4890" s="10">
        <v>5500</v>
      </c>
      <c r="G4890" s="10">
        <v>0</v>
      </c>
      <c r="H4890" s="10">
        <f t="shared" si="76"/>
        <v>5500</v>
      </c>
      <c r="I4890" s="10"/>
      <c r="J4890" s="10"/>
      <c r="K4890" s="10"/>
      <c r="L4890" s="4" t="s">
        <v>52</v>
      </c>
      <c r="M4890" s="4">
        <v>4885</v>
      </c>
    </row>
    <row r="4891" spans="1:13" x14ac:dyDescent="0.25">
      <c r="A4891" s="4" t="s">
        <v>4895</v>
      </c>
      <c r="B4891" s="4" t="s">
        <v>4896</v>
      </c>
      <c r="C4891" s="4" t="s">
        <v>65</v>
      </c>
      <c r="D4891" s="10">
        <v>5</v>
      </c>
      <c r="E4891" s="12" t="s">
        <v>66</v>
      </c>
      <c r="F4891" s="10">
        <v>700</v>
      </c>
      <c r="G4891" s="10">
        <v>0</v>
      </c>
      <c r="H4891" s="10">
        <f t="shared" si="76"/>
        <v>700</v>
      </c>
      <c r="I4891" s="10">
        <v>140</v>
      </c>
      <c r="J4891" s="10">
        <v>140</v>
      </c>
      <c r="K4891" s="10">
        <v>140</v>
      </c>
      <c r="L4891" s="4"/>
      <c r="M4891" s="4">
        <v>4886</v>
      </c>
    </row>
    <row r="4892" spans="1:13" x14ac:dyDescent="0.25">
      <c r="A4892" s="4" t="s">
        <v>4895</v>
      </c>
      <c r="B4892" s="4" t="s">
        <v>4897</v>
      </c>
      <c r="C4892" s="4" t="s">
        <v>65</v>
      </c>
      <c r="D4892" s="10">
        <v>51</v>
      </c>
      <c r="E4892" s="12" t="s">
        <v>66</v>
      </c>
      <c r="F4892" s="10">
        <v>1150</v>
      </c>
      <c r="G4892" s="10">
        <v>0</v>
      </c>
      <c r="H4892" s="10">
        <f t="shared" si="76"/>
        <v>1150</v>
      </c>
      <c r="I4892" s="10">
        <v>127.7777777777778</v>
      </c>
      <c r="J4892" s="10">
        <v>127.7777777777778</v>
      </c>
      <c r="K4892" s="10">
        <v>127.7777777777778</v>
      </c>
      <c r="L4892" s="4"/>
      <c r="M4892" s="4">
        <v>4887</v>
      </c>
    </row>
    <row r="4893" spans="1:13" x14ac:dyDescent="0.25">
      <c r="A4893" s="4" t="s">
        <v>4898</v>
      </c>
      <c r="B4893" s="4" t="s">
        <v>4899</v>
      </c>
      <c r="C4893" s="9" t="s">
        <v>50</v>
      </c>
      <c r="D4893" s="10">
        <v>10</v>
      </c>
      <c r="E4893" s="11" t="s">
        <v>51</v>
      </c>
      <c r="F4893" s="10">
        <v>1000</v>
      </c>
      <c r="G4893" s="10">
        <v>0</v>
      </c>
      <c r="H4893" s="10">
        <f t="shared" si="76"/>
        <v>1000</v>
      </c>
      <c r="I4893" s="10"/>
      <c r="J4893" s="10"/>
      <c r="K4893" s="10"/>
      <c r="L4893" s="4" t="s">
        <v>52</v>
      </c>
      <c r="M4893" s="4">
        <v>4888</v>
      </c>
    </row>
    <row r="4894" spans="1:13" x14ac:dyDescent="0.25">
      <c r="A4894" s="4" t="s">
        <v>4898</v>
      </c>
      <c r="B4894" s="4" t="s">
        <v>4900</v>
      </c>
      <c r="C4894" s="9" t="s">
        <v>50</v>
      </c>
      <c r="D4894" s="10">
        <v>12</v>
      </c>
      <c r="E4894" s="11" t="s">
        <v>51</v>
      </c>
      <c r="F4894" s="10">
        <v>1000</v>
      </c>
      <c r="G4894" s="10">
        <v>0</v>
      </c>
      <c r="H4894" s="10">
        <f t="shared" si="76"/>
        <v>1000</v>
      </c>
      <c r="I4894" s="10"/>
      <c r="J4894" s="10"/>
      <c r="K4894" s="10"/>
      <c r="L4894" s="4" t="s">
        <v>52</v>
      </c>
      <c r="M4894" s="4">
        <v>4889</v>
      </c>
    </row>
    <row r="4895" spans="1:13" x14ac:dyDescent="0.25">
      <c r="A4895" s="4" t="s">
        <v>4898</v>
      </c>
      <c r="B4895" s="4" t="s">
        <v>4901</v>
      </c>
      <c r="C4895" s="9" t="s">
        <v>50</v>
      </c>
      <c r="D4895" s="10">
        <v>10</v>
      </c>
      <c r="E4895" s="11" t="s">
        <v>51</v>
      </c>
      <c r="F4895" s="10">
        <v>1000</v>
      </c>
      <c r="G4895" s="10">
        <v>0</v>
      </c>
      <c r="H4895" s="10">
        <f t="shared" si="76"/>
        <v>1000</v>
      </c>
      <c r="I4895" s="10"/>
      <c r="J4895" s="10"/>
      <c r="K4895" s="10"/>
      <c r="L4895" s="4" t="s">
        <v>52</v>
      </c>
      <c r="M4895" s="4">
        <v>4890</v>
      </c>
    </row>
    <row r="4896" spans="1:13" x14ac:dyDescent="0.25">
      <c r="A4896" s="4" t="s">
        <v>4898</v>
      </c>
      <c r="B4896" s="4" t="s">
        <v>4902</v>
      </c>
      <c r="C4896" s="9" t="s">
        <v>50</v>
      </c>
      <c r="D4896" s="10">
        <v>10</v>
      </c>
      <c r="E4896" s="11" t="s">
        <v>51</v>
      </c>
      <c r="F4896" s="10">
        <v>1000</v>
      </c>
      <c r="G4896" s="10">
        <v>0</v>
      </c>
      <c r="H4896" s="10">
        <f t="shared" si="76"/>
        <v>1000</v>
      </c>
      <c r="I4896" s="10"/>
      <c r="J4896" s="10"/>
      <c r="K4896" s="10"/>
      <c r="L4896" s="4" t="s">
        <v>52</v>
      </c>
      <c r="M4896" s="4">
        <v>4891</v>
      </c>
    </row>
    <row r="4897" spans="1:13" x14ac:dyDescent="0.25">
      <c r="A4897" s="4" t="s">
        <v>4903</v>
      </c>
      <c r="B4897" s="4" t="s">
        <v>4904</v>
      </c>
      <c r="C4897" s="9" t="s">
        <v>50</v>
      </c>
      <c r="D4897" s="10">
        <v>360</v>
      </c>
      <c r="E4897" s="11" t="s">
        <v>51</v>
      </c>
      <c r="F4897" s="10"/>
      <c r="G4897" s="10">
        <v>0</v>
      </c>
      <c r="H4897" s="10">
        <f t="shared" si="76"/>
        <v>0</v>
      </c>
      <c r="I4897" s="10"/>
      <c r="J4897" s="10"/>
      <c r="K4897" s="10"/>
      <c r="L4897" s="4" t="s">
        <v>52</v>
      </c>
      <c r="M4897" s="4">
        <v>4892</v>
      </c>
    </row>
    <row r="4898" spans="1:13" x14ac:dyDescent="0.25">
      <c r="A4898" s="4" t="s">
        <v>4905</v>
      </c>
      <c r="B4898" s="4" t="s">
        <v>4906</v>
      </c>
      <c r="C4898" s="9" t="s">
        <v>50</v>
      </c>
      <c r="D4898" s="10">
        <v>40</v>
      </c>
      <c r="E4898" s="11" t="s">
        <v>51</v>
      </c>
      <c r="F4898" s="10">
        <v>5000</v>
      </c>
      <c r="G4898" s="10">
        <v>0</v>
      </c>
      <c r="H4898" s="10">
        <f t="shared" si="76"/>
        <v>5000</v>
      </c>
      <c r="I4898" s="10"/>
      <c r="J4898" s="10"/>
      <c r="K4898" s="10"/>
      <c r="L4898" s="4" t="s">
        <v>52</v>
      </c>
      <c r="M4898" s="4">
        <v>4893</v>
      </c>
    </row>
    <row r="4899" spans="1:13" x14ac:dyDescent="0.25">
      <c r="A4899" s="4" t="s">
        <v>4905</v>
      </c>
      <c r="B4899" s="4" t="s">
        <v>4907</v>
      </c>
      <c r="C4899" s="9" t="s">
        <v>50</v>
      </c>
      <c r="D4899" s="10">
        <v>600</v>
      </c>
      <c r="E4899" s="11" t="s">
        <v>51</v>
      </c>
      <c r="F4899" s="10">
        <v>32320</v>
      </c>
      <c r="G4899" s="10">
        <v>0</v>
      </c>
      <c r="H4899" s="10">
        <f t="shared" si="76"/>
        <v>32320</v>
      </c>
      <c r="I4899" s="10"/>
      <c r="J4899" s="10"/>
      <c r="K4899" s="10"/>
      <c r="L4899" s="4" t="s">
        <v>52</v>
      </c>
      <c r="M4899" s="4">
        <v>4894</v>
      </c>
    </row>
    <row r="4900" spans="1:13" x14ac:dyDescent="0.25">
      <c r="A4900" s="4" t="s">
        <v>4908</v>
      </c>
      <c r="B4900" s="4" t="s">
        <v>4909</v>
      </c>
      <c r="C4900" s="4" t="s">
        <v>68</v>
      </c>
      <c r="D4900" s="10">
        <v>20</v>
      </c>
      <c r="E4900" s="11" t="s">
        <v>51</v>
      </c>
      <c r="F4900" s="10">
        <v>1500</v>
      </c>
      <c r="G4900" s="10">
        <v>0</v>
      </c>
      <c r="H4900" s="10">
        <f t="shared" si="76"/>
        <v>1500</v>
      </c>
      <c r="I4900" s="10"/>
      <c r="J4900" s="10"/>
      <c r="K4900" s="10"/>
      <c r="L4900" s="4" t="s">
        <v>69</v>
      </c>
      <c r="M4900" s="4">
        <v>4895</v>
      </c>
    </row>
    <row r="4901" spans="1:13" x14ac:dyDescent="0.25">
      <c r="A4901" s="4" t="s">
        <v>4908</v>
      </c>
      <c r="B4901" s="4" t="s">
        <v>4910</v>
      </c>
      <c r="C4901" s="4" t="s">
        <v>68</v>
      </c>
      <c r="D4901" s="10">
        <v>22</v>
      </c>
      <c r="E4901" s="11" t="s">
        <v>51</v>
      </c>
      <c r="F4901" s="10">
        <v>2700</v>
      </c>
      <c r="G4901" s="10">
        <v>0</v>
      </c>
      <c r="H4901" s="10">
        <f t="shared" si="76"/>
        <v>2700</v>
      </c>
      <c r="I4901" s="10"/>
      <c r="J4901" s="10"/>
      <c r="K4901" s="10"/>
      <c r="L4901" s="4" t="s">
        <v>69</v>
      </c>
      <c r="M4901" s="4">
        <v>4896</v>
      </c>
    </row>
    <row r="4902" spans="1:13" x14ac:dyDescent="0.25">
      <c r="A4902" s="4" t="s">
        <v>4911</v>
      </c>
      <c r="B4902" s="4" t="s">
        <v>4355</v>
      </c>
      <c r="C4902" s="4" t="s">
        <v>65</v>
      </c>
      <c r="D4902" s="10">
        <v>68</v>
      </c>
      <c r="E4902" s="12" t="s">
        <v>66</v>
      </c>
      <c r="F4902" s="10">
        <v>2800</v>
      </c>
      <c r="G4902" s="10">
        <v>0</v>
      </c>
      <c r="H4902" s="10">
        <f t="shared" si="76"/>
        <v>2800</v>
      </c>
      <c r="I4902" s="10">
        <v>127.27272727272729</v>
      </c>
      <c r="J4902" s="10">
        <v>127.27272727272729</v>
      </c>
      <c r="K4902" s="10">
        <v>127.27272727272729</v>
      </c>
      <c r="L4902" s="4"/>
      <c r="M4902" s="4">
        <v>4897</v>
      </c>
    </row>
    <row r="4903" spans="1:13" x14ac:dyDescent="0.25">
      <c r="A4903" s="4" t="s">
        <v>4912</v>
      </c>
      <c r="B4903" s="4" t="s">
        <v>4913</v>
      </c>
      <c r="C4903" s="4" t="s">
        <v>68</v>
      </c>
      <c r="D4903" s="10">
        <v>24</v>
      </c>
      <c r="E4903" s="11" t="s">
        <v>51</v>
      </c>
      <c r="F4903" s="10">
        <v>3360</v>
      </c>
      <c r="G4903" s="10">
        <v>0</v>
      </c>
      <c r="H4903" s="10">
        <f t="shared" si="76"/>
        <v>3360</v>
      </c>
      <c r="I4903" s="10"/>
      <c r="J4903" s="10"/>
      <c r="K4903" s="10"/>
      <c r="L4903" s="4" t="s">
        <v>69</v>
      </c>
      <c r="M4903" s="4">
        <v>4898</v>
      </c>
    </row>
    <row r="4904" spans="1:13" x14ac:dyDescent="0.25">
      <c r="A4904" s="4" t="s">
        <v>4912</v>
      </c>
      <c r="B4904" s="4" t="s">
        <v>4914</v>
      </c>
      <c r="C4904" s="4" t="s">
        <v>68</v>
      </c>
      <c r="D4904" s="10">
        <v>6</v>
      </c>
      <c r="E4904" s="11" t="s">
        <v>51</v>
      </c>
      <c r="F4904" s="10">
        <v>840</v>
      </c>
      <c r="G4904" s="10">
        <v>0</v>
      </c>
      <c r="H4904" s="10">
        <f t="shared" si="76"/>
        <v>840</v>
      </c>
      <c r="I4904" s="10"/>
      <c r="J4904" s="10"/>
      <c r="K4904" s="10"/>
      <c r="L4904" s="4" t="s">
        <v>69</v>
      </c>
      <c r="M4904" s="4">
        <v>4899</v>
      </c>
    </row>
    <row r="4905" spans="1:13" x14ac:dyDescent="0.25">
      <c r="A4905" s="4" t="s">
        <v>4912</v>
      </c>
      <c r="B4905" s="4" t="s">
        <v>4915</v>
      </c>
      <c r="C4905" s="4" t="s">
        <v>68</v>
      </c>
      <c r="D4905" s="10">
        <v>8</v>
      </c>
      <c r="E4905" s="11" t="s">
        <v>51</v>
      </c>
      <c r="F4905" s="10">
        <v>2240</v>
      </c>
      <c r="G4905" s="10">
        <v>0</v>
      </c>
      <c r="H4905" s="10">
        <f t="shared" si="76"/>
        <v>2240</v>
      </c>
      <c r="I4905" s="10"/>
      <c r="J4905" s="10"/>
      <c r="K4905" s="10"/>
      <c r="L4905" s="4" t="s">
        <v>69</v>
      </c>
      <c r="M4905" s="4">
        <v>4900</v>
      </c>
    </row>
    <row r="4906" spans="1:13" x14ac:dyDescent="0.25">
      <c r="A4906" s="4" t="s">
        <v>4916</v>
      </c>
      <c r="B4906" s="4" t="s">
        <v>4917</v>
      </c>
      <c r="C4906" s="4" t="s">
        <v>65</v>
      </c>
      <c r="D4906" s="10">
        <v>201</v>
      </c>
      <c r="E4906" s="12" t="s">
        <v>66</v>
      </c>
      <c r="F4906" s="10">
        <v>850</v>
      </c>
      <c r="G4906" s="10">
        <v>0</v>
      </c>
      <c r="H4906" s="10">
        <f t="shared" si="76"/>
        <v>850</v>
      </c>
      <c r="I4906" s="10">
        <v>106.25</v>
      </c>
      <c r="J4906" s="10">
        <v>106.25</v>
      </c>
      <c r="K4906" s="10">
        <v>106.25</v>
      </c>
      <c r="L4906" s="4"/>
      <c r="M4906" s="4">
        <v>4901</v>
      </c>
    </row>
    <row r="4907" spans="1:13" x14ac:dyDescent="0.25">
      <c r="A4907" s="4" t="s">
        <v>4918</v>
      </c>
      <c r="B4907" s="4" t="s">
        <v>4919</v>
      </c>
      <c r="C4907" s="9" t="s">
        <v>50</v>
      </c>
      <c r="D4907" s="10">
        <v>253.5</v>
      </c>
      <c r="E4907" s="11" t="s">
        <v>51</v>
      </c>
      <c r="F4907" s="10">
        <v>23627.5</v>
      </c>
      <c r="G4907" s="10">
        <v>0</v>
      </c>
      <c r="H4907" s="10">
        <f t="shared" si="76"/>
        <v>23627.5</v>
      </c>
      <c r="I4907" s="10"/>
      <c r="J4907" s="10"/>
      <c r="K4907" s="10"/>
      <c r="L4907" s="4" t="s">
        <v>52</v>
      </c>
      <c r="M4907" s="4">
        <v>4902</v>
      </c>
    </row>
    <row r="4908" spans="1:13" x14ac:dyDescent="0.25">
      <c r="A4908" s="4" t="s">
        <v>4920</v>
      </c>
      <c r="B4908" s="4" t="s">
        <v>4921</v>
      </c>
      <c r="C4908" s="4" t="s">
        <v>65</v>
      </c>
      <c r="D4908" s="10">
        <v>20.5</v>
      </c>
      <c r="E4908" s="12" t="s">
        <v>66</v>
      </c>
      <c r="F4908" s="10">
        <v>2000</v>
      </c>
      <c r="G4908" s="10">
        <v>0</v>
      </c>
      <c r="H4908" s="10">
        <f t="shared" si="76"/>
        <v>2000</v>
      </c>
      <c r="I4908" s="10">
        <v>97.560975609756099</v>
      </c>
      <c r="J4908" s="10">
        <v>97.560975609756099</v>
      </c>
      <c r="K4908" s="10">
        <v>97.560975609756099</v>
      </c>
      <c r="L4908" s="4"/>
      <c r="M4908" s="4">
        <v>4903</v>
      </c>
    </row>
    <row r="4909" spans="1:13" x14ac:dyDescent="0.25">
      <c r="A4909" s="4" t="s">
        <v>4920</v>
      </c>
      <c r="B4909" s="4" t="s">
        <v>4922</v>
      </c>
      <c r="C4909" s="4" t="s">
        <v>65</v>
      </c>
      <c r="D4909" s="10">
        <v>74</v>
      </c>
      <c r="E4909" s="12" t="s">
        <v>66</v>
      </c>
      <c r="F4909" s="10">
        <v>4000</v>
      </c>
      <c r="G4909" s="10">
        <v>0</v>
      </c>
      <c r="H4909" s="10">
        <f t="shared" si="76"/>
        <v>4000</v>
      </c>
      <c r="I4909" s="10">
        <v>100</v>
      </c>
      <c r="J4909" s="10">
        <v>100</v>
      </c>
      <c r="K4909" s="10">
        <v>100</v>
      </c>
      <c r="L4909" s="4"/>
      <c r="M4909" s="4">
        <v>4904</v>
      </c>
    </row>
    <row r="4910" spans="1:13" x14ac:dyDescent="0.25">
      <c r="A4910" s="4" t="s">
        <v>4923</v>
      </c>
      <c r="B4910" s="4" t="s">
        <v>4924</v>
      </c>
      <c r="C4910" s="9" t="s">
        <v>50</v>
      </c>
      <c r="D4910" s="10">
        <v>72</v>
      </c>
      <c r="E4910" s="11" t="s">
        <v>51</v>
      </c>
      <c r="F4910" s="10">
        <v>3750</v>
      </c>
      <c r="G4910" s="10">
        <v>0</v>
      </c>
      <c r="H4910" s="10">
        <f t="shared" si="76"/>
        <v>3750</v>
      </c>
      <c r="I4910" s="10"/>
      <c r="J4910" s="10"/>
      <c r="K4910" s="10"/>
      <c r="L4910" s="4" t="s">
        <v>52</v>
      </c>
      <c r="M4910" s="4">
        <v>4905</v>
      </c>
    </row>
    <row r="4911" spans="1:13" x14ac:dyDescent="0.25">
      <c r="A4911" s="4" t="s">
        <v>4925</v>
      </c>
      <c r="B4911" s="4" t="s">
        <v>4926</v>
      </c>
      <c r="C4911" s="4" t="s">
        <v>65</v>
      </c>
      <c r="D4911" s="10">
        <v>64</v>
      </c>
      <c r="E4911" s="12" t="s">
        <v>66</v>
      </c>
      <c r="F4911" s="10">
        <v>500</v>
      </c>
      <c r="G4911" s="10">
        <v>0</v>
      </c>
      <c r="H4911" s="10">
        <f t="shared" si="76"/>
        <v>500</v>
      </c>
      <c r="I4911" s="10">
        <v>125</v>
      </c>
      <c r="J4911" s="10">
        <v>125</v>
      </c>
      <c r="K4911" s="10">
        <v>125</v>
      </c>
      <c r="L4911" s="4"/>
      <c r="M4911" s="4">
        <v>4906</v>
      </c>
    </row>
    <row r="4912" spans="1:13" x14ac:dyDescent="0.25">
      <c r="A4912" s="4" t="s">
        <v>4927</v>
      </c>
      <c r="B4912" s="4" t="s">
        <v>4928</v>
      </c>
      <c r="C4912" s="4" t="s">
        <v>68</v>
      </c>
      <c r="D4912" s="10">
        <v>97</v>
      </c>
      <c r="E4912" s="11" t="s">
        <v>51</v>
      </c>
      <c r="F4912" s="10">
        <v>8400</v>
      </c>
      <c r="G4912" s="10">
        <v>0</v>
      </c>
      <c r="H4912" s="10">
        <f t="shared" si="76"/>
        <v>8400</v>
      </c>
      <c r="I4912" s="10"/>
      <c r="J4912" s="10"/>
      <c r="K4912" s="10"/>
      <c r="L4912" s="4" t="s">
        <v>69</v>
      </c>
      <c r="M4912" s="4">
        <v>4907</v>
      </c>
    </row>
    <row r="4913" spans="1:13" x14ac:dyDescent="0.25">
      <c r="A4913" s="4" t="s">
        <v>4929</v>
      </c>
      <c r="B4913" s="4" t="s">
        <v>4930</v>
      </c>
      <c r="C4913" s="4" t="s">
        <v>68</v>
      </c>
      <c r="D4913" s="10">
        <v>40</v>
      </c>
      <c r="E4913" s="11" t="s">
        <v>51</v>
      </c>
      <c r="F4913" s="10">
        <v>4600</v>
      </c>
      <c r="G4913" s="10">
        <v>0</v>
      </c>
      <c r="H4913" s="10">
        <f t="shared" si="76"/>
        <v>4600</v>
      </c>
      <c r="I4913" s="10"/>
      <c r="J4913" s="10"/>
      <c r="K4913" s="10"/>
      <c r="L4913" s="4" t="s">
        <v>69</v>
      </c>
      <c r="M4913" s="4">
        <v>4908</v>
      </c>
    </row>
    <row r="4914" spans="1:13" x14ac:dyDescent="0.25">
      <c r="A4914" s="4" t="s">
        <v>4929</v>
      </c>
      <c r="B4914" s="4" t="s">
        <v>4931</v>
      </c>
      <c r="C4914" s="4" t="s">
        <v>65</v>
      </c>
      <c r="D4914" s="10">
        <v>210</v>
      </c>
      <c r="E4914" s="12" t="s">
        <v>66</v>
      </c>
      <c r="F4914" s="10">
        <v>6650</v>
      </c>
      <c r="G4914" s="10">
        <v>0</v>
      </c>
      <c r="H4914" s="10">
        <f t="shared" si="76"/>
        <v>6650</v>
      </c>
      <c r="I4914" s="10">
        <v>116.6666666666667</v>
      </c>
      <c r="J4914" s="10">
        <v>116.6666666666667</v>
      </c>
      <c r="K4914" s="10">
        <v>116.6666666666667</v>
      </c>
      <c r="L4914" s="4"/>
      <c r="M4914" s="4">
        <v>4909</v>
      </c>
    </row>
    <row r="4915" spans="1:13" x14ac:dyDescent="0.25">
      <c r="A4915" s="4" t="s">
        <v>4932</v>
      </c>
      <c r="B4915" s="4" t="s">
        <v>4933</v>
      </c>
      <c r="C4915" s="4" t="s">
        <v>65</v>
      </c>
      <c r="D4915" s="10">
        <v>1.5</v>
      </c>
      <c r="E4915" s="12" t="s">
        <v>66</v>
      </c>
      <c r="F4915" s="10">
        <v>225</v>
      </c>
      <c r="G4915" s="10">
        <v>0</v>
      </c>
      <c r="H4915" s="10">
        <f t="shared" si="76"/>
        <v>225</v>
      </c>
      <c r="I4915" s="10">
        <v>150</v>
      </c>
      <c r="J4915" s="10">
        <v>150</v>
      </c>
      <c r="K4915" s="10">
        <v>150</v>
      </c>
      <c r="L4915" s="4"/>
      <c r="M4915" s="4">
        <v>4910</v>
      </c>
    </row>
    <row r="4916" spans="1:13" x14ac:dyDescent="0.25">
      <c r="A4916" s="4" t="s">
        <v>4932</v>
      </c>
      <c r="B4916" s="4" t="s">
        <v>4934</v>
      </c>
      <c r="C4916" s="4" t="s">
        <v>65</v>
      </c>
      <c r="D4916" s="10">
        <v>30.5</v>
      </c>
      <c r="E4916" s="12" t="s">
        <v>66</v>
      </c>
      <c r="F4916" s="10">
        <v>3960</v>
      </c>
      <c r="G4916" s="10">
        <v>0</v>
      </c>
      <c r="H4916" s="10">
        <f t="shared" si="76"/>
        <v>3960</v>
      </c>
      <c r="I4916" s="10">
        <v>129.8360655737705</v>
      </c>
      <c r="J4916" s="10">
        <v>129.8360655737705</v>
      </c>
      <c r="K4916" s="10">
        <v>129.8360655737705</v>
      </c>
      <c r="L4916" s="4"/>
      <c r="M4916" s="4">
        <v>4911</v>
      </c>
    </row>
    <row r="4917" spans="1:13" x14ac:dyDescent="0.25">
      <c r="A4917" s="4" t="s">
        <v>4932</v>
      </c>
      <c r="B4917" s="4" t="s">
        <v>4935</v>
      </c>
      <c r="C4917" s="4" t="s">
        <v>65</v>
      </c>
      <c r="D4917" s="10">
        <v>38.5</v>
      </c>
      <c r="E4917" s="12" t="s">
        <v>66</v>
      </c>
      <c r="F4917" s="10">
        <v>5040</v>
      </c>
      <c r="G4917" s="10">
        <v>0</v>
      </c>
      <c r="H4917" s="10">
        <f t="shared" si="76"/>
        <v>5040</v>
      </c>
      <c r="I4917" s="10">
        <v>130.90909090909091</v>
      </c>
      <c r="J4917" s="10">
        <v>130.90909090909091</v>
      </c>
      <c r="K4917" s="10">
        <v>130.90909090909091</v>
      </c>
      <c r="L4917" s="4"/>
      <c r="M4917" s="4">
        <v>4912</v>
      </c>
    </row>
    <row r="4918" spans="1:13" x14ac:dyDescent="0.25">
      <c r="A4918" s="4" t="s">
        <v>4932</v>
      </c>
      <c r="B4918" s="4" t="s">
        <v>4936</v>
      </c>
      <c r="C4918" s="4" t="s">
        <v>65</v>
      </c>
      <c r="D4918" s="10">
        <v>42</v>
      </c>
      <c r="E4918" s="12" t="s">
        <v>66</v>
      </c>
      <c r="F4918" s="10">
        <v>3960</v>
      </c>
      <c r="G4918" s="10">
        <v>0</v>
      </c>
      <c r="H4918" s="10">
        <f t="shared" si="76"/>
        <v>3960</v>
      </c>
      <c r="I4918" s="10">
        <v>94.285714285714292</v>
      </c>
      <c r="J4918" s="10">
        <v>94.285714285714292</v>
      </c>
      <c r="K4918" s="10">
        <v>94.285714285714292</v>
      </c>
      <c r="L4918" s="4"/>
      <c r="M4918" s="4">
        <v>4913</v>
      </c>
    </row>
    <row r="4919" spans="1:13" x14ac:dyDescent="0.25">
      <c r="A4919" s="4" t="s">
        <v>4932</v>
      </c>
      <c r="B4919" s="4" t="s">
        <v>4937</v>
      </c>
      <c r="C4919" s="4" t="s">
        <v>65</v>
      </c>
      <c r="D4919" s="10">
        <v>186.5</v>
      </c>
      <c r="E4919" s="12" t="s">
        <v>66</v>
      </c>
      <c r="F4919" s="10">
        <v>5300</v>
      </c>
      <c r="G4919" s="10">
        <v>0</v>
      </c>
      <c r="H4919" s="10">
        <f t="shared" si="76"/>
        <v>5300</v>
      </c>
      <c r="I4919" s="10">
        <v>130.8641975308642</v>
      </c>
      <c r="J4919" s="10">
        <v>130.8641975308642</v>
      </c>
      <c r="K4919" s="10">
        <v>130.8641975308642</v>
      </c>
      <c r="L4919" s="4"/>
      <c r="M4919" s="4">
        <v>4914</v>
      </c>
    </row>
    <row r="4920" spans="1:13" x14ac:dyDescent="0.25">
      <c r="A4920" s="4" t="s">
        <v>4938</v>
      </c>
      <c r="B4920" s="4" t="s">
        <v>4939</v>
      </c>
      <c r="C4920" s="4" t="s">
        <v>65</v>
      </c>
      <c r="D4920" s="10">
        <v>1.5</v>
      </c>
      <c r="E4920" s="12" t="s">
        <v>66</v>
      </c>
      <c r="F4920" s="10">
        <v>220</v>
      </c>
      <c r="G4920" s="10">
        <v>0</v>
      </c>
      <c r="H4920" s="10">
        <f t="shared" si="76"/>
        <v>220</v>
      </c>
      <c r="I4920" s="10">
        <v>146.66666666666671</v>
      </c>
      <c r="J4920" s="10">
        <v>146.66666666666671</v>
      </c>
      <c r="K4920" s="10">
        <v>146.66666666666671</v>
      </c>
      <c r="L4920" s="4"/>
      <c r="M4920" s="4">
        <v>4915</v>
      </c>
    </row>
    <row r="4921" spans="1:13" x14ac:dyDescent="0.25">
      <c r="A4921" s="4" t="s">
        <v>4938</v>
      </c>
      <c r="B4921" s="4" t="s">
        <v>4934</v>
      </c>
      <c r="C4921" s="4" t="s">
        <v>65</v>
      </c>
      <c r="D4921" s="10">
        <v>29</v>
      </c>
      <c r="E4921" s="12" t="s">
        <v>66</v>
      </c>
      <c r="F4921" s="10">
        <v>3800</v>
      </c>
      <c r="G4921" s="10">
        <v>0</v>
      </c>
      <c r="H4921" s="10">
        <f t="shared" si="76"/>
        <v>3800</v>
      </c>
      <c r="I4921" s="10">
        <v>131.0344827586207</v>
      </c>
      <c r="J4921" s="10">
        <v>131.0344827586207</v>
      </c>
      <c r="K4921" s="10">
        <v>131.0344827586207</v>
      </c>
      <c r="L4921" s="4"/>
      <c r="M4921" s="4">
        <v>4916</v>
      </c>
    </row>
    <row r="4922" spans="1:13" x14ac:dyDescent="0.25">
      <c r="A4922" s="4" t="s">
        <v>4938</v>
      </c>
      <c r="B4922" s="4" t="s">
        <v>4940</v>
      </c>
      <c r="C4922" s="4" t="s">
        <v>65</v>
      </c>
      <c r="D4922" s="10">
        <v>37</v>
      </c>
      <c r="E4922" s="12" t="s">
        <v>66</v>
      </c>
      <c r="F4922" s="10">
        <v>4800</v>
      </c>
      <c r="G4922" s="10">
        <v>0</v>
      </c>
      <c r="H4922" s="10">
        <f t="shared" si="76"/>
        <v>4800</v>
      </c>
      <c r="I4922" s="10">
        <v>129.72972972972971</v>
      </c>
      <c r="J4922" s="10">
        <v>129.72972972972971</v>
      </c>
      <c r="K4922" s="10">
        <v>129.72972972972971</v>
      </c>
      <c r="L4922" s="4"/>
      <c r="M4922" s="4">
        <v>4917</v>
      </c>
    </row>
    <row r="4923" spans="1:13" x14ac:dyDescent="0.25">
      <c r="A4923" s="4" t="s">
        <v>4938</v>
      </c>
      <c r="B4923" s="4" t="s">
        <v>4941</v>
      </c>
      <c r="C4923" s="4" t="s">
        <v>65</v>
      </c>
      <c r="D4923" s="10">
        <v>40</v>
      </c>
      <c r="E4923" s="12" t="s">
        <v>66</v>
      </c>
      <c r="F4923" s="10">
        <v>3800</v>
      </c>
      <c r="G4923" s="10">
        <v>0</v>
      </c>
      <c r="H4923" s="10">
        <f t="shared" si="76"/>
        <v>3800</v>
      </c>
      <c r="I4923" s="10">
        <v>95</v>
      </c>
      <c r="J4923" s="10">
        <v>95</v>
      </c>
      <c r="K4923" s="10">
        <v>95</v>
      </c>
      <c r="L4923" s="4"/>
      <c r="M4923" s="4">
        <v>4918</v>
      </c>
    </row>
    <row r="4924" spans="1:13" x14ac:dyDescent="0.25">
      <c r="A4924" s="4" t="s">
        <v>4938</v>
      </c>
      <c r="B4924" s="4" t="s">
        <v>4942</v>
      </c>
      <c r="C4924" s="4" t="s">
        <v>65</v>
      </c>
      <c r="D4924" s="10">
        <v>177</v>
      </c>
      <c r="E4924" s="12" t="s">
        <v>66</v>
      </c>
      <c r="F4924" s="10">
        <v>5000</v>
      </c>
      <c r="G4924" s="10">
        <v>0</v>
      </c>
      <c r="H4924" s="10">
        <f t="shared" si="76"/>
        <v>5000</v>
      </c>
      <c r="I4924" s="10">
        <v>129.87012987012989</v>
      </c>
      <c r="J4924" s="10">
        <v>129.87012987012989</v>
      </c>
      <c r="K4924" s="10">
        <v>129.87012987012989</v>
      </c>
      <c r="L4924" s="4"/>
      <c r="M4924" s="4">
        <v>4919</v>
      </c>
    </row>
    <row r="4925" spans="1:13" x14ac:dyDescent="0.25">
      <c r="A4925" s="4" t="s">
        <v>4943</v>
      </c>
      <c r="B4925" s="4" t="s">
        <v>4939</v>
      </c>
      <c r="C4925" s="4" t="s">
        <v>65</v>
      </c>
      <c r="D4925" s="10">
        <v>1.5</v>
      </c>
      <c r="E4925" s="12" t="s">
        <v>66</v>
      </c>
      <c r="F4925" s="10">
        <v>200</v>
      </c>
      <c r="G4925" s="10">
        <v>0</v>
      </c>
      <c r="H4925" s="10">
        <f t="shared" si="76"/>
        <v>200</v>
      </c>
      <c r="I4925" s="10">
        <v>133.33333333333329</v>
      </c>
      <c r="J4925" s="10">
        <v>133.33333333333329</v>
      </c>
      <c r="K4925" s="10">
        <v>133.33333333333329</v>
      </c>
      <c r="L4925" s="4"/>
      <c r="M4925" s="4">
        <v>4920</v>
      </c>
    </row>
    <row r="4926" spans="1:13" x14ac:dyDescent="0.25">
      <c r="A4926" s="4" t="s">
        <v>4943</v>
      </c>
      <c r="B4926" s="4" t="s">
        <v>4934</v>
      </c>
      <c r="C4926" s="4" t="s">
        <v>65</v>
      </c>
      <c r="D4926" s="10">
        <v>27.5</v>
      </c>
      <c r="E4926" s="12" t="s">
        <v>66</v>
      </c>
      <c r="F4926" s="10">
        <v>3600</v>
      </c>
      <c r="G4926" s="10">
        <v>0</v>
      </c>
      <c r="H4926" s="10">
        <f t="shared" si="76"/>
        <v>3600</v>
      </c>
      <c r="I4926" s="10">
        <v>130.90909090909091</v>
      </c>
      <c r="J4926" s="10">
        <v>130.90909090909091</v>
      </c>
      <c r="K4926" s="10">
        <v>130.90909090909091</v>
      </c>
      <c r="L4926" s="4"/>
      <c r="M4926" s="4">
        <v>4921</v>
      </c>
    </row>
    <row r="4927" spans="1:13" x14ac:dyDescent="0.25">
      <c r="A4927" s="4" t="s">
        <v>4943</v>
      </c>
      <c r="B4927" s="4" t="s">
        <v>4944</v>
      </c>
      <c r="C4927" s="4" t="s">
        <v>65</v>
      </c>
      <c r="D4927" s="10">
        <v>34.5</v>
      </c>
      <c r="E4927" s="12" t="s">
        <v>66</v>
      </c>
      <c r="F4927" s="10">
        <v>4500</v>
      </c>
      <c r="G4927" s="10">
        <v>0</v>
      </c>
      <c r="H4927" s="10">
        <f t="shared" si="76"/>
        <v>4500</v>
      </c>
      <c r="I4927" s="10">
        <v>130.43478260869571</v>
      </c>
      <c r="J4927" s="10">
        <v>130.43478260869571</v>
      </c>
      <c r="K4927" s="10">
        <v>130.43478260869571</v>
      </c>
      <c r="L4927" s="4"/>
      <c r="M4927" s="4">
        <v>4922</v>
      </c>
    </row>
    <row r="4928" spans="1:13" x14ac:dyDescent="0.25">
      <c r="A4928" s="4" t="s">
        <v>4943</v>
      </c>
      <c r="B4928" s="4" t="s">
        <v>4945</v>
      </c>
      <c r="C4928" s="4" t="s">
        <v>65</v>
      </c>
      <c r="D4928" s="10">
        <v>38</v>
      </c>
      <c r="E4928" s="12" t="s">
        <v>66</v>
      </c>
      <c r="F4928" s="10">
        <v>3600</v>
      </c>
      <c r="G4928" s="10">
        <v>0</v>
      </c>
      <c r="H4928" s="10">
        <f t="shared" si="76"/>
        <v>3600</v>
      </c>
      <c r="I4928" s="10">
        <v>94.736842105263165</v>
      </c>
      <c r="J4928" s="10">
        <v>94.736842105263165</v>
      </c>
      <c r="K4928" s="10">
        <v>94.736842105263165</v>
      </c>
      <c r="L4928" s="4"/>
      <c r="M4928" s="4">
        <v>4923</v>
      </c>
    </row>
    <row r="4929" spans="1:13" x14ac:dyDescent="0.25">
      <c r="A4929" s="4" t="s">
        <v>4943</v>
      </c>
      <c r="B4929" s="4" t="s">
        <v>4946</v>
      </c>
      <c r="C4929" s="4" t="s">
        <v>65</v>
      </c>
      <c r="D4929" s="10">
        <v>53</v>
      </c>
      <c r="E4929" s="12" t="s">
        <v>66</v>
      </c>
      <c r="F4929" s="10">
        <v>4800</v>
      </c>
      <c r="G4929" s="10">
        <v>0</v>
      </c>
      <c r="H4929" s="10">
        <f t="shared" si="76"/>
        <v>4800</v>
      </c>
      <c r="I4929" s="10">
        <v>129.72972972972971</v>
      </c>
      <c r="J4929" s="10">
        <v>129.72972972972971</v>
      </c>
      <c r="K4929" s="10">
        <v>129.72972972972971</v>
      </c>
      <c r="L4929" s="4"/>
      <c r="M4929" s="4">
        <v>4924</v>
      </c>
    </row>
    <row r="4930" spans="1:13" x14ac:dyDescent="0.25">
      <c r="A4930" s="4" t="s">
        <v>4947</v>
      </c>
      <c r="B4930" s="4" t="s">
        <v>4948</v>
      </c>
      <c r="C4930" s="4" t="s">
        <v>65</v>
      </c>
      <c r="D4930" s="10">
        <v>86</v>
      </c>
      <c r="E4930" s="12" t="s">
        <v>66</v>
      </c>
      <c r="F4930" s="10">
        <v>2000</v>
      </c>
      <c r="G4930" s="10">
        <v>0</v>
      </c>
      <c r="H4930" s="10">
        <f t="shared" si="76"/>
        <v>2000</v>
      </c>
      <c r="I4930" s="10">
        <v>125</v>
      </c>
      <c r="J4930" s="10">
        <v>125</v>
      </c>
      <c r="K4930" s="10">
        <v>125</v>
      </c>
      <c r="L4930" s="4"/>
      <c r="M4930" s="4">
        <v>4925</v>
      </c>
    </row>
    <row r="4931" spans="1:13" x14ac:dyDescent="0.25">
      <c r="A4931" s="4" t="s">
        <v>4949</v>
      </c>
      <c r="B4931" s="4" t="s">
        <v>4950</v>
      </c>
      <c r="C4931" s="4" t="s">
        <v>68</v>
      </c>
      <c r="D4931" s="10">
        <v>57</v>
      </c>
      <c r="E4931" s="11" t="s">
        <v>51</v>
      </c>
      <c r="F4931" s="10">
        <v>8050</v>
      </c>
      <c r="G4931" s="10">
        <v>0</v>
      </c>
      <c r="H4931" s="10">
        <f t="shared" si="76"/>
        <v>8050</v>
      </c>
      <c r="I4931" s="10"/>
      <c r="J4931" s="10"/>
      <c r="K4931" s="10"/>
      <c r="L4931" s="4" t="s">
        <v>69</v>
      </c>
      <c r="M4931" s="4">
        <v>4926</v>
      </c>
    </row>
    <row r="4932" spans="1:13" x14ac:dyDescent="0.25">
      <c r="A4932" s="4" t="s">
        <v>4951</v>
      </c>
      <c r="B4932" s="4" t="s">
        <v>2804</v>
      </c>
      <c r="C4932" s="4" t="s">
        <v>65</v>
      </c>
      <c r="D4932" s="10">
        <v>27</v>
      </c>
      <c r="E4932" s="12" t="s">
        <v>66</v>
      </c>
      <c r="F4932" s="10">
        <v>2200</v>
      </c>
      <c r="G4932" s="10">
        <v>0</v>
      </c>
      <c r="H4932" s="10">
        <f t="shared" si="76"/>
        <v>2200</v>
      </c>
      <c r="I4932" s="10">
        <v>81.481481481481481</v>
      </c>
      <c r="J4932" s="10">
        <v>81.481481481481481</v>
      </c>
      <c r="K4932" s="10">
        <v>81.481481481481481</v>
      </c>
      <c r="L4932" s="4"/>
      <c r="M4932" s="4">
        <v>4927</v>
      </c>
    </row>
    <row r="4933" spans="1:13" x14ac:dyDescent="0.25">
      <c r="A4933" s="4" t="s">
        <v>4951</v>
      </c>
      <c r="B4933" s="4" t="s">
        <v>4952</v>
      </c>
      <c r="C4933" s="4" t="s">
        <v>65</v>
      </c>
      <c r="D4933" s="10">
        <v>20</v>
      </c>
      <c r="E4933" s="12" t="s">
        <v>66</v>
      </c>
      <c r="F4933" s="10">
        <v>1650</v>
      </c>
      <c r="G4933" s="10">
        <v>0</v>
      </c>
      <c r="H4933" s="10">
        <f t="shared" si="76"/>
        <v>1650</v>
      </c>
      <c r="I4933" s="10">
        <v>82.5</v>
      </c>
      <c r="J4933" s="10">
        <v>82.5</v>
      </c>
      <c r="K4933" s="10">
        <v>82.5</v>
      </c>
      <c r="L4933" s="4"/>
      <c r="M4933" s="4">
        <v>4928</v>
      </c>
    </row>
    <row r="4934" spans="1:13" x14ac:dyDescent="0.25">
      <c r="A4934" s="4" t="s">
        <v>4951</v>
      </c>
      <c r="B4934" s="4" t="s">
        <v>4953</v>
      </c>
      <c r="C4934" s="4" t="s">
        <v>68</v>
      </c>
      <c r="D4934" s="10">
        <v>9</v>
      </c>
      <c r="E4934" s="11" t="s">
        <v>51</v>
      </c>
      <c r="F4934" s="10">
        <v>700</v>
      </c>
      <c r="G4934" s="10">
        <v>0</v>
      </c>
      <c r="H4934" s="10">
        <f t="shared" ref="H4934:H4997" si="77">F4934-G4934</f>
        <v>700</v>
      </c>
      <c r="I4934" s="10"/>
      <c r="J4934" s="10"/>
      <c r="K4934" s="10"/>
      <c r="L4934" s="4" t="s">
        <v>69</v>
      </c>
      <c r="M4934" s="4">
        <v>4929</v>
      </c>
    </row>
    <row r="4935" spans="1:13" x14ac:dyDescent="0.25">
      <c r="A4935" s="4" t="s">
        <v>4954</v>
      </c>
      <c r="B4935" s="4" t="s">
        <v>4955</v>
      </c>
      <c r="C4935" s="4" t="s">
        <v>65</v>
      </c>
      <c r="D4935" s="10">
        <v>17</v>
      </c>
      <c r="E4935" s="12" t="s">
        <v>66</v>
      </c>
      <c r="F4935" s="10">
        <v>1150</v>
      </c>
      <c r="G4935" s="10">
        <v>0</v>
      </c>
      <c r="H4935" s="10">
        <f t="shared" si="77"/>
        <v>1150</v>
      </c>
      <c r="I4935" s="10">
        <v>127.7777777777778</v>
      </c>
      <c r="J4935" s="10">
        <v>127.7777777777778</v>
      </c>
      <c r="K4935" s="10">
        <v>127.7777777777778</v>
      </c>
      <c r="L4935" s="4"/>
      <c r="M4935" s="4">
        <v>4930</v>
      </c>
    </row>
    <row r="4936" spans="1:13" x14ac:dyDescent="0.25">
      <c r="A4936" s="4" t="s">
        <v>4956</v>
      </c>
      <c r="B4936" s="4" t="s">
        <v>4957</v>
      </c>
      <c r="C4936" s="4" t="s">
        <v>65</v>
      </c>
      <c r="D4936" s="10">
        <v>22</v>
      </c>
      <c r="E4936" s="11" t="s">
        <v>51</v>
      </c>
      <c r="F4936" s="10"/>
      <c r="G4936" s="10">
        <v>0</v>
      </c>
      <c r="H4936" s="10">
        <f t="shared" si="77"/>
        <v>0</v>
      </c>
      <c r="I4936" s="10">
        <v>0</v>
      </c>
      <c r="J4936" s="10">
        <v>0</v>
      </c>
      <c r="K4936" s="10">
        <v>0</v>
      </c>
      <c r="L4936" s="4" t="s">
        <v>69</v>
      </c>
      <c r="M4936" s="4">
        <v>4931</v>
      </c>
    </row>
    <row r="4937" spans="1:13" x14ac:dyDescent="0.25">
      <c r="A4937" s="4" t="s">
        <v>4958</v>
      </c>
      <c r="B4937" s="4" t="s">
        <v>4355</v>
      </c>
      <c r="C4937" s="4" t="s">
        <v>65</v>
      </c>
      <c r="D4937" s="10">
        <v>73</v>
      </c>
      <c r="E4937" s="12" t="s">
        <v>66</v>
      </c>
      <c r="F4937" s="10">
        <v>2800</v>
      </c>
      <c r="G4937" s="10">
        <v>0</v>
      </c>
      <c r="H4937" s="10">
        <f t="shared" si="77"/>
        <v>2800</v>
      </c>
      <c r="I4937" s="10">
        <v>127.27272727272729</v>
      </c>
      <c r="J4937" s="10">
        <v>127.27272727272729</v>
      </c>
      <c r="K4937" s="10">
        <v>127.27272727272729</v>
      </c>
      <c r="L4937" s="4"/>
      <c r="M4937" s="4">
        <v>4932</v>
      </c>
    </row>
    <row r="4938" spans="1:13" x14ac:dyDescent="0.25">
      <c r="A4938" s="4" t="s">
        <v>4959</v>
      </c>
      <c r="B4938" s="4" t="s">
        <v>4960</v>
      </c>
      <c r="C4938" s="4" t="s">
        <v>68</v>
      </c>
      <c r="D4938" s="10"/>
      <c r="E4938" s="11" t="s">
        <v>51</v>
      </c>
      <c r="F4938" s="10">
        <v>3220</v>
      </c>
      <c r="G4938" s="10">
        <v>0</v>
      </c>
      <c r="H4938" s="10">
        <f t="shared" si="77"/>
        <v>3220</v>
      </c>
      <c r="I4938" s="10"/>
      <c r="J4938" s="10"/>
      <c r="K4938" s="10"/>
      <c r="L4938" s="4" t="s">
        <v>69</v>
      </c>
      <c r="M4938" s="4">
        <v>4933</v>
      </c>
    </row>
    <row r="4939" spans="1:13" x14ac:dyDescent="0.25">
      <c r="A4939" s="4" t="s">
        <v>4959</v>
      </c>
      <c r="B4939" s="4" t="s">
        <v>1405</v>
      </c>
      <c r="C4939" s="4" t="s">
        <v>65</v>
      </c>
      <c r="D4939" s="10">
        <v>51</v>
      </c>
      <c r="E4939" s="12" t="s">
        <v>66</v>
      </c>
      <c r="F4939" s="10">
        <v>6200</v>
      </c>
      <c r="G4939" s="10">
        <v>0</v>
      </c>
      <c r="H4939" s="10">
        <f t="shared" si="77"/>
        <v>6200</v>
      </c>
      <c r="I4939" s="10">
        <v>121.5686274509804</v>
      </c>
      <c r="J4939" s="10">
        <v>121.5686274509804</v>
      </c>
      <c r="K4939" s="10">
        <v>121.5686274509804</v>
      </c>
      <c r="L4939" s="4"/>
      <c r="M4939" s="4">
        <v>4934</v>
      </c>
    </row>
    <row r="4940" spans="1:13" x14ac:dyDescent="0.25">
      <c r="A4940" s="4" t="s">
        <v>4959</v>
      </c>
      <c r="B4940" s="4" t="s">
        <v>4961</v>
      </c>
      <c r="C4940" s="4" t="s">
        <v>68</v>
      </c>
      <c r="D4940" s="10"/>
      <c r="E4940" s="11" t="s">
        <v>51</v>
      </c>
      <c r="F4940" s="10">
        <v>4600</v>
      </c>
      <c r="G4940" s="10">
        <v>0</v>
      </c>
      <c r="H4940" s="10">
        <f t="shared" si="77"/>
        <v>4600</v>
      </c>
      <c r="I4940" s="10"/>
      <c r="J4940" s="10"/>
      <c r="K4940" s="10"/>
      <c r="L4940" s="4" t="s">
        <v>69</v>
      </c>
      <c r="M4940" s="4">
        <v>4935</v>
      </c>
    </row>
    <row r="4941" spans="1:13" x14ac:dyDescent="0.25">
      <c r="A4941" s="4" t="s">
        <v>4962</v>
      </c>
      <c r="B4941" s="4" t="s">
        <v>4963</v>
      </c>
      <c r="C4941" s="9" t="s">
        <v>50</v>
      </c>
      <c r="D4941" s="10">
        <v>46</v>
      </c>
      <c r="E4941" s="11" t="s">
        <v>51</v>
      </c>
      <c r="F4941" s="10"/>
      <c r="G4941" s="10">
        <v>0</v>
      </c>
      <c r="H4941" s="10">
        <f t="shared" si="77"/>
        <v>0</v>
      </c>
      <c r="I4941" s="10"/>
      <c r="J4941" s="10"/>
      <c r="K4941" s="10"/>
      <c r="L4941" s="4" t="s">
        <v>52</v>
      </c>
      <c r="M4941" s="4">
        <v>4936</v>
      </c>
    </row>
    <row r="4942" spans="1:13" x14ac:dyDescent="0.25">
      <c r="A4942" s="4" t="s">
        <v>4964</v>
      </c>
      <c r="B4942" s="4" t="s">
        <v>4965</v>
      </c>
      <c r="C4942" s="4" t="s">
        <v>68</v>
      </c>
      <c r="D4942" s="10">
        <v>12</v>
      </c>
      <c r="E4942" s="11" t="s">
        <v>51</v>
      </c>
      <c r="F4942" s="10">
        <v>1380</v>
      </c>
      <c r="G4942" s="10">
        <v>0</v>
      </c>
      <c r="H4942" s="10">
        <f t="shared" si="77"/>
        <v>1380</v>
      </c>
      <c r="I4942" s="10"/>
      <c r="J4942" s="10"/>
      <c r="K4942" s="10"/>
      <c r="L4942" s="4" t="s">
        <v>69</v>
      </c>
      <c r="M4942" s="4">
        <v>4937</v>
      </c>
    </row>
    <row r="4943" spans="1:13" x14ac:dyDescent="0.25">
      <c r="A4943" s="4" t="s">
        <v>4964</v>
      </c>
      <c r="B4943" s="4" t="s">
        <v>4966</v>
      </c>
      <c r="C4943" s="4" t="s">
        <v>68</v>
      </c>
      <c r="D4943" s="10">
        <v>14</v>
      </c>
      <c r="E4943" s="11" t="s">
        <v>51</v>
      </c>
      <c r="F4943" s="10">
        <v>1610</v>
      </c>
      <c r="G4943" s="10">
        <v>0</v>
      </c>
      <c r="H4943" s="10">
        <f t="shared" si="77"/>
        <v>1610</v>
      </c>
      <c r="I4943" s="10"/>
      <c r="J4943" s="10"/>
      <c r="K4943" s="10"/>
      <c r="L4943" s="4" t="s">
        <v>69</v>
      </c>
      <c r="M4943" s="4">
        <v>4938</v>
      </c>
    </row>
    <row r="4944" spans="1:13" x14ac:dyDescent="0.25">
      <c r="A4944" s="4" t="s">
        <v>4964</v>
      </c>
      <c r="B4944" s="4" t="s">
        <v>4967</v>
      </c>
      <c r="C4944" s="4" t="s">
        <v>68</v>
      </c>
      <c r="D4944" s="10">
        <v>12</v>
      </c>
      <c r="E4944" s="11" t="s">
        <v>51</v>
      </c>
      <c r="F4944" s="10">
        <v>1380</v>
      </c>
      <c r="G4944" s="10">
        <v>0</v>
      </c>
      <c r="H4944" s="10">
        <f t="shared" si="77"/>
        <v>1380</v>
      </c>
      <c r="I4944" s="10"/>
      <c r="J4944" s="10"/>
      <c r="K4944" s="10"/>
      <c r="L4944" s="4" t="s">
        <v>69</v>
      </c>
      <c r="M4944" s="4">
        <v>4939</v>
      </c>
    </row>
    <row r="4945" spans="1:13" x14ac:dyDescent="0.25">
      <c r="A4945" s="4" t="s">
        <v>4964</v>
      </c>
      <c r="B4945" s="4" t="s">
        <v>4968</v>
      </c>
      <c r="C4945" s="4" t="s">
        <v>68</v>
      </c>
      <c r="D4945" s="10">
        <v>54</v>
      </c>
      <c r="E4945" s="11" t="s">
        <v>51</v>
      </c>
      <c r="F4945" s="10">
        <v>920</v>
      </c>
      <c r="G4945" s="10">
        <v>0</v>
      </c>
      <c r="H4945" s="10">
        <f t="shared" si="77"/>
        <v>920</v>
      </c>
      <c r="I4945" s="10"/>
      <c r="J4945" s="10"/>
      <c r="K4945" s="10"/>
      <c r="L4945" s="4" t="s">
        <v>69</v>
      </c>
      <c r="M4945" s="4">
        <v>4940</v>
      </c>
    </row>
    <row r="4946" spans="1:13" x14ac:dyDescent="0.25">
      <c r="A4946" s="4" t="s">
        <v>4969</v>
      </c>
      <c r="B4946" s="4" t="s">
        <v>4965</v>
      </c>
      <c r="C4946" s="4" t="s">
        <v>68</v>
      </c>
      <c r="D4946" s="10">
        <v>12</v>
      </c>
      <c r="E4946" s="11" t="s">
        <v>51</v>
      </c>
      <c r="F4946" s="10">
        <v>1380</v>
      </c>
      <c r="G4946" s="10">
        <v>0</v>
      </c>
      <c r="H4946" s="10">
        <f t="shared" si="77"/>
        <v>1380</v>
      </c>
      <c r="I4946" s="10"/>
      <c r="J4946" s="10"/>
      <c r="K4946" s="10"/>
      <c r="L4946" s="4" t="s">
        <v>69</v>
      </c>
      <c r="M4946" s="4">
        <v>4941</v>
      </c>
    </row>
    <row r="4947" spans="1:13" x14ac:dyDescent="0.25">
      <c r="A4947" s="4" t="s">
        <v>4969</v>
      </c>
      <c r="B4947" s="4" t="s">
        <v>4966</v>
      </c>
      <c r="C4947" s="4" t="s">
        <v>68</v>
      </c>
      <c r="D4947" s="10">
        <v>14</v>
      </c>
      <c r="E4947" s="11" t="s">
        <v>51</v>
      </c>
      <c r="F4947" s="10">
        <v>1610</v>
      </c>
      <c r="G4947" s="10">
        <v>0</v>
      </c>
      <c r="H4947" s="10">
        <f t="shared" si="77"/>
        <v>1610</v>
      </c>
      <c r="I4947" s="10"/>
      <c r="J4947" s="10"/>
      <c r="K4947" s="10"/>
      <c r="L4947" s="4" t="s">
        <v>69</v>
      </c>
      <c r="M4947" s="4">
        <v>4942</v>
      </c>
    </row>
    <row r="4948" spans="1:13" x14ac:dyDescent="0.25">
      <c r="A4948" s="4" t="s">
        <v>4969</v>
      </c>
      <c r="B4948" s="4" t="s">
        <v>4967</v>
      </c>
      <c r="C4948" s="4" t="s">
        <v>68</v>
      </c>
      <c r="D4948" s="10">
        <v>12</v>
      </c>
      <c r="E4948" s="11" t="s">
        <v>51</v>
      </c>
      <c r="F4948" s="10">
        <v>1380</v>
      </c>
      <c r="G4948" s="10">
        <v>0</v>
      </c>
      <c r="H4948" s="10">
        <f t="shared" si="77"/>
        <v>1380</v>
      </c>
      <c r="I4948" s="10"/>
      <c r="J4948" s="10"/>
      <c r="K4948" s="10"/>
      <c r="L4948" s="4" t="s">
        <v>69</v>
      </c>
      <c r="M4948" s="4">
        <v>4943</v>
      </c>
    </row>
    <row r="4949" spans="1:13" x14ac:dyDescent="0.25">
      <c r="A4949" s="4" t="s">
        <v>4969</v>
      </c>
      <c r="B4949" s="4" t="s">
        <v>4968</v>
      </c>
      <c r="C4949" s="4" t="s">
        <v>68</v>
      </c>
      <c r="D4949" s="10">
        <v>44</v>
      </c>
      <c r="E4949" s="11" t="s">
        <v>51</v>
      </c>
      <c r="F4949" s="10">
        <v>920</v>
      </c>
      <c r="G4949" s="10">
        <v>0</v>
      </c>
      <c r="H4949" s="10">
        <f t="shared" si="77"/>
        <v>920</v>
      </c>
      <c r="I4949" s="10"/>
      <c r="J4949" s="10"/>
      <c r="K4949" s="10"/>
      <c r="L4949" s="4" t="s">
        <v>69</v>
      </c>
      <c r="M4949" s="4">
        <v>4944</v>
      </c>
    </row>
    <row r="4950" spans="1:13" x14ac:dyDescent="0.25">
      <c r="A4950" s="4" t="s">
        <v>4970</v>
      </c>
      <c r="B4950" s="4" t="s">
        <v>4965</v>
      </c>
      <c r="C4950" s="4" t="s">
        <v>68</v>
      </c>
      <c r="D4950" s="10">
        <v>18</v>
      </c>
      <c r="E4950" s="11" t="s">
        <v>51</v>
      </c>
      <c r="F4950" s="10">
        <v>2070</v>
      </c>
      <c r="G4950" s="10">
        <v>0</v>
      </c>
      <c r="H4950" s="10">
        <f t="shared" si="77"/>
        <v>2070</v>
      </c>
      <c r="I4950" s="10"/>
      <c r="J4950" s="10"/>
      <c r="K4950" s="10"/>
      <c r="L4950" s="4" t="s">
        <v>69</v>
      </c>
      <c r="M4950" s="4">
        <v>4945</v>
      </c>
    </row>
    <row r="4951" spans="1:13" x14ac:dyDescent="0.25">
      <c r="A4951" s="4" t="s">
        <v>4970</v>
      </c>
      <c r="B4951" s="4" t="s">
        <v>4971</v>
      </c>
      <c r="C4951" s="4" t="s">
        <v>68</v>
      </c>
      <c r="D4951" s="10">
        <v>10</v>
      </c>
      <c r="E4951" s="11" t="s">
        <v>51</v>
      </c>
      <c r="F4951" s="10">
        <v>1150</v>
      </c>
      <c r="G4951" s="10">
        <v>0</v>
      </c>
      <c r="H4951" s="10">
        <f t="shared" si="77"/>
        <v>1150</v>
      </c>
      <c r="I4951" s="10"/>
      <c r="J4951" s="10"/>
      <c r="K4951" s="10"/>
      <c r="L4951" s="4" t="s">
        <v>69</v>
      </c>
      <c r="M4951" s="4">
        <v>4946</v>
      </c>
    </row>
    <row r="4952" spans="1:13" x14ac:dyDescent="0.25">
      <c r="A4952" s="4" t="s">
        <v>4970</v>
      </c>
      <c r="B4952" s="4" t="s">
        <v>4972</v>
      </c>
      <c r="C4952" s="4" t="s">
        <v>68</v>
      </c>
      <c r="D4952" s="10">
        <v>68</v>
      </c>
      <c r="E4952" s="11" t="s">
        <v>51</v>
      </c>
      <c r="F4952" s="10">
        <v>920</v>
      </c>
      <c r="G4952" s="10">
        <v>0</v>
      </c>
      <c r="H4952" s="10">
        <f t="shared" si="77"/>
        <v>920</v>
      </c>
      <c r="I4952" s="10"/>
      <c r="J4952" s="10"/>
      <c r="K4952" s="10"/>
      <c r="L4952" s="4" t="s">
        <v>69</v>
      </c>
      <c r="M4952" s="4">
        <v>4947</v>
      </c>
    </row>
    <row r="4953" spans="1:13" x14ac:dyDescent="0.25">
      <c r="A4953" s="4" t="s">
        <v>4973</v>
      </c>
      <c r="B4953" s="4" t="s">
        <v>4965</v>
      </c>
      <c r="C4953" s="4" t="s">
        <v>68</v>
      </c>
      <c r="D4953" s="10">
        <v>18</v>
      </c>
      <c r="E4953" s="11" t="s">
        <v>51</v>
      </c>
      <c r="F4953" s="10">
        <v>2070</v>
      </c>
      <c r="G4953" s="10">
        <v>0</v>
      </c>
      <c r="H4953" s="10">
        <f t="shared" si="77"/>
        <v>2070</v>
      </c>
      <c r="I4953" s="10"/>
      <c r="J4953" s="10"/>
      <c r="K4953" s="10"/>
      <c r="L4953" s="4" t="s">
        <v>69</v>
      </c>
      <c r="M4953" s="4">
        <v>4948</v>
      </c>
    </row>
    <row r="4954" spans="1:13" x14ac:dyDescent="0.25">
      <c r="A4954" s="4" t="s">
        <v>4973</v>
      </c>
      <c r="B4954" s="4" t="s">
        <v>4966</v>
      </c>
      <c r="C4954" s="4" t="s">
        <v>68</v>
      </c>
      <c r="D4954" s="10">
        <v>14</v>
      </c>
      <c r="E4954" s="11" t="s">
        <v>51</v>
      </c>
      <c r="F4954" s="10">
        <v>1610</v>
      </c>
      <c r="G4954" s="10">
        <v>0</v>
      </c>
      <c r="H4954" s="10">
        <f t="shared" si="77"/>
        <v>1610</v>
      </c>
      <c r="I4954" s="10"/>
      <c r="J4954" s="10"/>
      <c r="K4954" s="10"/>
      <c r="L4954" s="4" t="s">
        <v>69</v>
      </c>
      <c r="M4954" s="4">
        <v>4949</v>
      </c>
    </row>
    <row r="4955" spans="1:13" x14ac:dyDescent="0.25">
      <c r="A4955" s="4" t="s">
        <v>4973</v>
      </c>
      <c r="B4955" s="4" t="s">
        <v>4967</v>
      </c>
      <c r="C4955" s="4" t="s">
        <v>68</v>
      </c>
      <c r="D4955" s="10">
        <v>12</v>
      </c>
      <c r="E4955" s="11" t="s">
        <v>51</v>
      </c>
      <c r="F4955" s="10">
        <v>1380</v>
      </c>
      <c r="G4955" s="10">
        <v>0</v>
      </c>
      <c r="H4955" s="10">
        <f t="shared" si="77"/>
        <v>1380</v>
      </c>
      <c r="I4955" s="10"/>
      <c r="J4955" s="10"/>
      <c r="K4955" s="10"/>
      <c r="L4955" s="4" t="s">
        <v>69</v>
      </c>
      <c r="M4955" s="4">
        <v>4950</v>
      </c>
    </row>
    <row r="4956" spans="1:13" x14ac:dyDescent="0.25">
      <c r="A4956" s="4" t="s">
        <v>4973</v>
      </c>
      <c r="B4956" s="4" t="s">
        <v>4968</v>
      </c>
      <c r="C4956" s="4" t="s">
        <v>68</v>
      </c>
      <c r="D4956" s="10">
        <v>58</v>
      </c>
      <c r="E4956" s="11" t="s">
        <v>51</v>
      </c>
      <c r="F4956" s="10">
        <v>1840</v>
      </c>
      <c r="G4956" s="10">
        <v>0</v>
      </c>
      <c r="H4956" s="10">
        <f t="shared" si="77"/>
        <v>1840</v>
      </c>
      <c r="I4956" s="10"/>
      <c r="J4956" s="10"/>
      <c r="K4956" s="10"/>
      <c r="L4956" s="4" t="s">
        <v>69</v>
      </c>
      <c r="M4956" s="4">
        <v>4951</v>
      </c>
    </row>
    <row r="4957" spans="1:13" x14ac:dyDescent="0.25">
      <c r="A4957" s="4" t="s">
        <v>4974</v>
      </c>
      <c r="B4957" s="4" t="s">
        <v>4965</v>
      </c>
      <c r="C4957" s="4" t="s">
        <v>68</v>
      </c>
      <c r="D4957" s="10">
        <v>12</v>
      </c>
      <c r="E4957" s="11" t="s">
        <v>51</v>
      </c>
      <c r="F4957" s="10">
        <v>1380</v>
      </c>
      <c r="G4957" s="10">
        <v>0</v>
      </c>
      <c r="H4957" s="10">
        <f t="shared" si="77"/>
        <v>1380</v>
      </c>
      <c r="I4957" s="10"/>
      <c r="J4957" s="10"/>
      <c r="K4957" s="10"/>
      <c r="L4957" s="4" t="s">
        <v>69</v>
      </c>
      <c r="M4957" s="4">
        <v>4952</v>
      </c>
    </row>
    <row r="4958" spans="1:13" x14ac:dyDescent="0.25">
      <c r="A4958" s="4" t="s">
        <v>4974</v>
      </c>
      <c r="B4958" s="4" t="s">
        <v>4975</v>
      </c>
      <c r="C4958" s="4" t="s">
        <v>68</v>
      </c>
      <c r="D4958" s="10">
        <v>10</v>
      </c>
      <c r="E4958" s="11" t="s">
        <v>51</v>
      </c>
      <c r="F4958" s="10">
        <v>1150</v>
      </c>
      <c r="G4958" s="10">
        <v>0</v>
      </c>
      <c r="H4958" s="10">
        <f t="shared" si="77"/>
        <v>1150</v>
      </c>
      <c r="I4958" s="10"/>
      <c r="J4958" s="10"/>
      <c r="K4958" s="10"/>
      <c r="L4958" s="4" t="s">
        <v>69</v>
      </c>
      <c r="M4958" s="4">
        <v>4953</v>
      </c>
    </row>
    <row r="4959" spans="1:13" x14ac:dyDescent="0.25">
      <c r="A4959" s="4" t="s">
        <v>4974</v>
      </c>
      <c r="B4959" s="4" t="s">
        <v>4967</v>
      </c>
      <c r="C4959" s="4" t="s">
        <v>68</v>
      </c>
      <c r="D4959" s="10">
        <v>12</v>
      </c>
      <c r="E4959" s="11" t="s">
        <v>51</v>
      </c>
      <c r="F4959" s="10">
        <v>1380</v>
      </c>
      <c r="G4959" s="10">
        <v>0</v>
      </c>
      <c r="H4959" s="10">
        <f t="shared" si="77"/>
        <v>1380</v>
      </c>
      <c r="I4959" s="10"/>
      <c r="J4959" s="10"/>
      <c r="K4959" s="10"/>
      <c r="L4959" s="4" t="s">
        <v>69</v>
      </c>
      <c r="M4959" s="4">
        <v>4954</v>
      </c>
    </row>
    <row r="4960" spans="1:13" x14ac:dyDescent="0.25">
      <c r="A4960" s="4" t="s">
        <v>4974</v>
      </c>
      <c r="B4960" s="4" t="s">
        <v>4968</v>
      </c>
      <c r="C4960" s="4" t="s">
        <v>68</v>
      </c>
      <c r="D4960" s="10">
        <v>48</v>
      </c>
      <c r="E4960" s="11" t="s">
        <v>51</v>
      </c>
      <c r="F4960" s="10">
        <v>920</v>
      </c>
      <c r="G4960" s="10">
        <v>0</v>
      </c>
      <c r="H4960" s="10">
        <f t="shared" si="77"/>
        <v>920</v>
      </c>
      <c r="I4960" s="10"/>
      <c r="J4960" s="10"/>
      <c r="K4960" s="10"/>
      <c r="L4960" s="4" t="s">
        <v>69</v>
      </c>
      <c r="M4960" s="4">
        <v>4955</v>
      </c>
    </row>
    <row r="4961" spans="1:13" x14ac:dyDescent="0.25">
      <c r="A4961" s="4" t="s">
        <v>4976</v>
      </c>
      <c r="B4961" s="4" t="s">
        <v>4965</v>
      </c>
      <c r="C4961" s="4" t="s">
        <v>68</v>
      </c>
      <c r="D4961" s="10">
        <v>10</v>
      </c>
      <c r="E4961" s="11" t="s">
        <v>51</v>
      </c>
      <c r="F4961" s="10">
        <v>1150</v>
      </c>
      <c r="G4961" s="10">
        <v>0</v>
      </c>
      <c r="H4961" s="10">
        <f t="shared" si="77"/>
        <v>1150</v>
      </c>
      <c r="I4961" s="10"/>
      <c r="J4961" s="10"/>
      <c r="K4961" s="10"/>
      <c r="L4961" s="4" t="s">
        <v>69</v>
      </c>
      <c r="M4961" s="4">
        <v>4956</v>
      </c>
    </row>
    <row r="4962" spans="1:13" x14ac:dyDescent="0.25">
      <c r="A4962" s="4" t="s">
        <v>4976</v>
      </c>
      <c r="B4962" s="4" t="s">
        <v>4975</v>
      </c>
      <c r="C4962" s="4" t="s">
        <v>68</v>
      </c>
      <c r="D4962" s="10">
        <v>10</v>
      </c>
      <c r="E4962" s="11" t="s">
        <v>51</v>
      </c>
      <c r="F4962" s="10">
        <v>1150</v>
      </c>
      <c r="G4962" s="10">
        <v>0</v>
      </c>
      <c r="H4962" s="10">
        <f t="shared" si="77"/>
        <v>1150</v>
      </c>
      <c r="I4962" s="10"/>
      <c r="J4962" s="10"/>
      <c r="K4962" s="10"/>
      <c r="L4962" s="4" t="s">
        <v>69</v>
      </c>
      <c r="M4962" s="4">
        <v>4957</v>
      </c>
    </row>
    <row r="4963" spans="1:13" x14ac:dyDescent="0.25">
      <c r="A4963" s="4" t="s">
        <v>4976</v>
      </c>
      <c r="B4963" s="4" t="s">
        <v>4967</v>
      </c>
      <c r="C4963" s="4" t="s">
        <v>68</v>
      </c>
      <c r="D4963" s="10">
        <v>12</v>
      </c>
      <c r="E4963" s="11" t="s">
        <v>51</v>
      </c>
      <c r="F4963" s="10">
        <v>1380</v>
      </c>
      <c r="G4963" s="10">
        <v>0</v>
      </c>
      <c r="H4963" s="10">
        <f t="shared" si="77"/>
        <v>1380</v>
      </c>
      <c r="I4963" s="10"/>
      <c r="J4963" s="10"/>
      <c r="K4963" s="10"/>
      <c r="L4963" s="4" t="s">
        <v>69</v>
      </c>
      <c r="M4963" s="4">
        <v>4958</v>
      </c>
    </row>
    <row r="4964" spans="1:13" x14ac:dyDescent="0.25">
      <c r="A4964" s="4" t="s">
        <v>4976</v>
      </c>
      <c r="B4964" s="4" t="s">
        <v>4968</v>
      </c>
      <c r="C4964" s="4" t="s">
        <v>68</v>
      </c>
      <c r="D4964" s="10">
        <v>22</v>
      </c>
      <c r="E4964" s="11" t="s">
        <v>51</v>
      </c>
      <c r="F4964" s="10">
        <v>920</v>
      </c>
      <c r="G4964" s="10">
        <v>0</v>
      </c>
      <c r="H4964" s="10">
        <f t="shared" si="77"/>
        <v>920</v>
      </c>
      <c r="I4964" s="10"/>
      <c r="J4964" s="10"/>
      <c r="K4964" s="10"/>
      <c r="L4964" s="4" t="s">
        <v>69</v>
      </c>
      <c r="M4964" s="4">
        <v>4959</v>
      </c>
    </row>
    <row r="4965" spans="1:13" x14ac:dyDescent="0.25">
      <c r="A4965" s="4" t="s">
        <v>4977</v>
      </c>
      <c r="B4965" s="4" t="s">
        <v>4978</v>
      </c>
      <c r="C4965" s="4" t="s">
        <v>68</v>
      </c>
      <c r="D4965" s="10">
        <v>5</v>
      </c>
      <c r="E4965" s="11" t="s">
        <v>51</v>
      </c>
      <c r="F4965" s="10">
        <v>550</v>
      </c>
      <c r="G4965" s="10">
        <v>0</v>
      </c>
      <c r="H4965" s="10">
        <f t="shared" si="77"/>
        <v>550</v>
      </c>
      <c r="I4965" s="10"/>
      <c r="J4965" s="10"/>
      <c r="K4965" s="10"/>
      <c r="L4965" s="4" t="s">
        <v>69</v>
      </c>
      <c r="M4965" s="4">
        <v>4960</v>
      </c>
    </row>
    <row r="4966" spans="1:13" x14ac:dyDescent="0.25">
      <c r="A4966" s="4" t="s">
        <v>4977</v>
      </c>
      <c r="B4966" s="4" t="s">
        <v>4979</v>
      </c>
      <c r="C4966" s="4" t="s">
        <v>65</v>
      </c>
      <c r="D4966" s="10">
        <v>26</v>
      </c>
      <c r="E4966" s="12" t="s">
        <v>66</v>
      </c>
      <c r="F4966" s="10">
        <v>1150</v>
      </c>
      <c r="G4966" s="10">
        <v>0</v>
      </c>
      <c r="H4966" s="10">
        <f t="shared" si="77"/>
        <v>1150</v>
      </c>
      <c r="I4966" s="10">
        <v>127.7777777777778</v>
      </c>
      <c r="J4966" s="10">
        <v>127.7777777777778</v>
      </c>
      <c r="K4966" s="10">
        <v>127.7777777777778</v>
      </c>
      <c r="L4966" s="4"/>
      <c r="M4966" s="4">
        <v>4961</v>
      </c>
    </row>
    <row r="4967" spans="1:13" x14ac:dyDescent="0.25">
      <c r="A4967" s="4" t="s">
        <v>4980</v>
      </c>
      <c r="B4967" s="4" t="s">
        <v>248</v>
      </c>
      <c r="C4967" s="4" t="s">
        <v>68</v>
      </c>
      <c r="D4967" s="10">
        <v>178</v>
      </c>
      <c r="E4967" s="11" t="s">
        <v>51</v>
      </c>
      <c r="F4967" s="10">
        <v>2860</v>
      </c>
      <c r="G4967" s="10">
        <v>0</v>
      </c>
      <c r="H4967" s="10">
        <f t="shared" si="77"/>
        <v>2860</v>
      </c>
      <c r="I4967" s="10"/>
      <c r="J4967" s="10"/>
      <c r="K4967" s="10"/>
      <c r="L4967" s="4" t="s">
        <v>69</v>
      </c>
      <c r="M4967" s="4">
        <v>4962</v>
      </c>
    </row>
    <row r="4968" spans="1:13" x14ac:dyDescent="0.25">
      <c r="A4968" s="4" t="s">
        <v>4981</v>
      </c>
      <c r="B4968" s="4" t="s">
        <v>4982</v>
      </c>
      <c r="C4968" s="4" t="s">
        <v>68</v>
      </c>
      <c r="D4968" s="10">
        <v>34</v>
      </c>
      <c r="E4968" s="11" t="s">
        <v>51</v>
      </c>
      <c r="F4968" s="10">
        <v>4840</v>
      </c>
      <c r="G4968" s="10">
        <v>0</v>
      </c>
      <c r="H4968" s="10">
        <f t="shared" si="77"/>
        <v>4840</v>
      </c>
      <c r="I4968" s="10"/>
      <c r="J4968" s="10"/>
      <c r="K4968" s="10"/>
      <c r="L4968" s="4" t="s">
        <v>69</v>
      </c>
      <c r="M4968" s="4">
        <v>4963</v>
      </c>
    </row>
    <row r="4969" spans="1:13" x14ac:dyDescent="0.25">
      <c r="A4969" s="4" t="s">
        <v>4981</v>
      </c>
      <c r="B4969" s="4" t="s">
        <v>4983</v>
      </c>
      <c r="C4969" s="4" t="s">
        <v>65</v>
      </c>
      <c r="D4969" s="10">
        <v>135</v>
      </c>
      <c r="E4969" s="12" t="s">
        <v>66</v>
      </c>
      <c r="F4969" s="10">
        <v>6900</v>
      </c>
      <c r="G4969" s="10">
        <v>0</v>
      </c>
      <c r="H4969" s="10">
        <f t="shared" si="77"/>
        <v>6900</v>
      </c>
      <c r="I4969" s="10">
        <v>125.4545454545455</v>
      </c>
      <c r="J4969" s="10">
        <v>125.4545454545455</v>
      </c>
      <c r="K4969" s="10">
        <v>125.4545454545455</v>
      </c>
      <c r="L4969" s="4"/>
      <c r="M4969" s="4">
        <v>4964</v>
      </c>
    </row>
    <row r="4970" spans="1:13" x14ac:dyDescent="0.25">
      <c r="A4970" s="4" t="s">
        <v>4984</v>
      </c>
      <c r="B4970" s="4" t="s">
        <v>4985</v>
      </c>
      <c r="C4970" s="4" t="s">
        <v>68</v>
      </c>
      <c r="D4970" s="10">
        <v>115</v>
      </c>
      <c r="E4970" s="11" t="s">
        <v>51</v>
      </c>
      <c r="F4970" s="10">
        <v>4400</v>
      </c>
      <c r="G4970" s="10">
        <v>0</v>
      </c>
      <c r="H4970" s="10">
        <f t="shared" si="77"/>
        <v>4400</v>
      </c>
      <c r="I4970" s="10"/>
      <c r="J4970" s="10"/>
      <c r="K4970" s="10"/>
      <c r="L4970" s="4" t="s">
        <v>69</v>
      </c>
      <c r="M4970" s="4">
        <v>4965</v>
      </c>
    </row>
    <row r="4971" spans="1:13" x14ac:dyDescent="0.25">
      <c r="A4971" s="4" t="s">
        <v>4986</v>
      </c>
      <c r="B4971" s="4" t="s">
        <v>4987</v>
      </c>
      <c r="C4971" s="9" t="s">
        <v>50</v>
      </c>
      <c r="D4971" s="10">
        <v>113.5</v>
      </c>
      <c r="E4971" s="11" t="s">
        <v>51</v>
      </c>
      <c r="F4971" s="10">
        <v>6800</v>
      </c>
      <c r="G4971" s="10">
        <v>0</v>
      </c>
      <c r="H4971" s="10">
        <f t="shared" si="77"/>
        <v>6800</v>
      </c>
      <c r="I4971" s="10"/>
      <c r="J4971" s="10"/>
      <c r="K4971" s="10"/>
      <c r="L4971" s="4" t="s">
        <v>52</v>
      </c>
      <c r="M4971" s="4">
        <v>4966</v>
      </c>
    </row>
    <row r="4972" spans="1:13" x14ac:dyDescent="0.25">
      <c r="A4972" s="4" t="s">
        <v>4988</v>
      </c>
      <c r="B4972" s="4" t="s">
        <v>4989</v>
      </c>
      <c r="C4972" s="4" t="s">
        <v>68</v>
      </c>
      <c r="D4972" s="10">
        <v>56</v>
      </c>
      <c r="E4972" s="11" t="s">
        <v>51</v>
      </c>
      <c r="F4972" s="10">
        <v>6900</v>
      </c>
      <c r="G4972" s="10">
        <v>0</v>
      </c>
      <c r="H4972" s="10">
        <f t="shared" si="77"/>
        <v>6900</v>
      </c>
      <c r="I4972" s="10"/>
      <c r="J4972" s="10"/>
      <c r="K4972" s="10"/>
      <c r="L4972" s="4" t="s">
        <v>69</v>
      </c>
      <c r="M4972" s="4">
        <v>4967</v>
      </c>
    </row>
    <row r="4973" spans="1:13" x14ac:dyDescent="0.25">
      <c r="A4973" s="4" t="s">
        <v>4988</v>
      </c>
      <c r="B4973" s="4" t="s">
        <v>4990</v>
      </c>
      <c r="C4973" s="9" t="s">
        <v>50</v>
      </c>
      <c r="D4973" s="10">
        <v>12</v>
      </c>
      <c r="E4973" s="11" t="s">
        <v>51</v>
      </c>
      <c r="F4973" s="10"/>
      <c r="G4973" s="10">
        <v>0</v>
      </c>
      <c r="H4973" s="10">
        <f t="shared" si="77"/>
        <v>0</v>
      </c>
      <c r="I4973" s="10"/>
      <c r="J4973" s="10"/>
      <c r="K4973" s="10"/>
      <c r="L4973" s="4" t="s">
        <v>52</v>
      </c>
      <c r="M4973" s="4">
        <v>4968</v>
      </c>
    </row>
    <row r="4974" spans="1:13" x14ac:dyDescent="0.25">
      <c r="A4974" s="4" t="s">
        <v>4991</v>
      </c>
      <c r="B4974" s="4" t="s">
        <v>4992</v>
      </c>
      <c r="C4974" s="4" t="s">
        <v>68</v>
      </c>
      <c r="D4974" s="10">
        <v>44</v>
      </c>
      <c r="E4974" s="11" t="s">
        <v>51</v>
      </c>
      <c r="F4974" s="10">
        <v>1500</v>
      </c>
      <c r="G4974" s="10">
        <v>0</v>
      </c>
      <c r="H4974" s="10">
        <f t="shared" si="77"/>
        <v>1500</v>
      </c>
      <c r="I4974" s="10"/>
      <c r="J4974" s="10"/>
      <c r="K4974" s="10"/>
      <c r="L4974" s="4" t="s">
        <v>69</v>
      </c>
      <c r="M4974" s="4">
        <v>4969</v>
      </c>
    </row>
    <row r="4975" spans="1:13" x14ac:dyDescent="0.25">
      <c r="A4975" s="4" t="s">
        <v>4993</v>
      </c>
      <c r="B4975" s="4" t="s">
        <v>3825</v>
      </c>
      <c r="C4975" s="4" t="s">
        <v>65</v>
      </c>
      <c r="D4975" s="10">
        <v>20</v>
      </c>
      <c r="E4975" s="12" t="s">
        <v>66</v>
      </c>
      <c r="F4975" s="10">
        <v>2800</v>
      </c>
      <c r="G4975" s="10">
        <v>0</v>
      </c>
      <c r="H4975" s="10">
        <f t="shared" si="77"/>
        <v>2800</v>
      </c>
      <c r="I4975" s="10">
        <v>140</v>
      </c>
      <c r="J4975" s="10">
        <v>140</v>
      </c>
      <c r="K4975" s="10">
        <v>140</v>
      </c>
      <c r="L4975" s="4"/>
      <c r="M4975" s="4">
        <v>4970</v>
      </c>
    </row>
    <row r="4976" spans="1:13" x14ac:dyDescent="0.25">
      <c r="A4976" s="4" t="s">
        <v>4993</v>
      </c>
      <c r="B4976" s="4" t="s">
        <v>4994</v>
      </c>
      <c r="C4976" s="4" t="s">
        <v>68</v>
      </c>
      <c r="D4976" s="10">
        <v>12</v>
      </c>
      <c r="E4976" s="11" t="s">
        <v>51</v>
      </c>
      <c r="F4976" s="10">
        <v>1440</v>
      </c>
      <c r="G4976" s="10">
        <v>0</v>
      </c>
      <c r="H4976" s="10">
        <f t="shared" si="77"/>
        <v>1440</v>
      </c>
      <c r="I4976" s="10"/>
      <c r="J4976" s="10"/>
      <c r="K4976" s="10"/>
      <c r="L4976" s="4" t="s">
        <v>69</v>
      </c>
      <c r="M4976" s="4">
        <v>4971</v>
      </c>
    </row>
    <row r="4977" spans="1:13" x14ac:dyDescent="0.25">
      <c r="A4977" s="4" t="s">
        <v>4995</v>
      </c>
      <c r="B4977" s="4" t="s">
        <v>2608</v>
      </c>
      <c r="C4977" s="9" t="s">
        <v>50</v>
      </c>
      <c r="D4977" s="10"/>
      <c r="E4977" s="11" t="s">
        <v>51</v>
      </c>
      <c r="F4977" s="10"/>
      <c r="G4977" s="10">
        <v>0</v>
      </c>
      <c r="H4977" s="10">
        <f t="shared" si="77"/>
        <v>0</v>
      </c>
      <c r="I4977" s="10"/>
      <c r="J4977" s="10"/>
      <c r="K4977" s="10"/>
      <c r="L4977" s="4" t="s">
        <v>52</v>
      </c>
      <c r="M4977" s="4">
        <v>4972</v>
      </c>
    </row>
    <row r="4978" spans="1:13" x14ac:dyDescent="0.25">
      <c r="A4978" s="4" t="s">
        <v>4995</v>
      </c>
      <c r="B4978" s="4" t="s">
        <v>2322</v>
      </c>
      <c r="C4978" s="9" t="s">
        <v>50</v>
      </c>
      <c r="D4978" s="10">
        <v>43</v>
      </c>
      <c r="E4978" s="11" t="s">
        <v>51</v>
      </c>
      <c r="F4978" s="10"/>
      <c r="G4978" s="10">
        <v>0</v>
      </c>
      <c r="H4978" s="10">
        <f t="shared" si="77"/>
        <v>0</v>
      </c>
      <c r="I4978" s="10"/>
      <c r="J4978" s="10"/>
      <c r="K4978" s="10"/>
      <c r="L4978" s="4" t="s">
        <v>52</v>
      </c>
      <c r="M4978" s="4">
        <v>4973</v>
      </c>
    </row>
    <row r="4979" spans="1:13" x14ac:dyDescent="0.25">
      <c r="A4979" s="4" t="s">
        <v>4996</v>
      </c>
      <c r="B4979" s="4" t="s">
        <v>4997</v>
      </c>
      <c r="C4979" s="4" t="s">
        <v>65</v>
      </c>
      <c r="D4979" s="10">
        <v>37.5</v>
      </c>
      <c r="E4979" s="12" t="s">
        <v>66</v>
      </c>
      <c r="F4979" s="10">
        <v>4860</v>
      </c>
      <c r="G4979" s="10">
        <v>0</v>
      </c>
      <c r="H4979" s="10">
        <f t="shared" si="77"/>
        <v>4860</v>
      </c>
      <c r="I4979" s="10">
        <v>129.6</v>
      </c>
      <c r="J4979" s="10">
        <v>129.6</v>
      </c>
      <c r="K4979" s="10">
        <v>129.6</v>
      </c>
      <c r="L4979" s="4"/>
      <c r="M4979" s="4">
        <v>4974</v>
      </c>
    </row>
    <row r="4980" spans="1:13" x14ac:dyDescent="0.25">
      <c r="A4980" s="4" t="s">
        <v>4996</v>
      </c>
      <c r="B4980" s="4" t="s">
        <v>4998</v>
      </c>
      <c r="C4980" s="4" t="s">
        <v>68</v>
      </c>
      <c r="D4980" s="10">
        <v>2.5</v>
      </c>
      <c r="E4980" s="11" t="s">
        <v>51</v>
      </c>
      <c r="F4980" s="10">
        <v>340.2</v>
      </c>
      <c r="G4980" s="10">
        <v>0</v>
      </c>
      <c r="H4980" s="10">
        <f t="shared" si="77"/>
        <v>340.2</v>
      </c>
      <c r="I4980" s="10"/>
      <c r="J4980" s="10"/>
      <c r="K4980" s="10"/>
      <c r="L4980" s="4" t="s">
        <v>69</v>
      </c>
      <c r="M4980" s="4">
        <v>4975</v>
      </c>
    </row>
    <row r="4981" spans="1:13" x14ac:dyDescent="0.25">
      <c r="A4981" s="4" t="s">
        <v>4996</v>
      </c>
      <c r="B4981" s="4" t="s">
        <v>4999</v>
      </c>
      <c r="C4981" s="4" t="s">
        <v>68</v>
      </c>
      <c r="D4981" s="10"/>
      <c r="E4981" s="11" t="s">
        <v>51</v>
      </c>
      <c r="F4981" s="10"/>
      <c r="G4981" s="10">
        <v>0</v>
      </c>
      <c r="H4981" s="10">
        <f t="shared" si="77"/>
        <v>0</v>
      </c>
      <c r="I4981" s="10"/>
      <c r="J4981" s="10"/>
      <c r="K4981" s="10"/>
      <c r="L4981" s="4" t="s">
        <v>69</v>
      </c>
      <c r="M4981" s="4">
        <v>4976</v>
      </c>
    </row>
    <row r="4982" spans="1:13" x14ac:dyDescent="0.25">
      <c r="A4982" s="4" t="s">
        <v>4996</v>
      </c>
      <c r="B4982" s="4" t="s">
        <v>5000</v>
      </c>
      <c r="C4982" s="4" t="s">
        <v>65</v>
      </c>
      <c r="D4982" s="10">
        <v>3</v>
      </c>
      <c r="E4982" s="12" t="s">
        <v>66</v>
      </c>
      <c r="F4982" s="10">
        <v>405</v>
      </c>
      <c r="G4982" s="10">
        <v>0</v>
      </c>
      <c r="H4982" s="10">
        <f t="shared" si="77"/>
        <v>405</v>
      </c>
      <c r="I4982" s="10">
        <v>135</v>
      </c>
      <c r="J4982" s="10">
        <v>135</v>
      </c>
      <c r="K4982" s="10">
        <v>135</v>
      </c>
      <c r="L4982" s="4"/>
      <c r="M4982" s="4">
        <v>4977</v>
      </c>
    </row>
    <row r="4983" spans="1:13" x14ac:dyDescent="0.25">
      <c r="A4983" s="4" t="s">
        <v>4996</v>
      </c>
      <c r="B4983" s="4" t="s">
        <v>5001</v>
      </c>
      <c r="C4983" s="4" t="s">
        <v>65</v>
      </c>
      <c r="D4983" s="10"/>
      <c r="E4983" s="11" t="s">
        <v>51</v>
      </c>
      <c r="F4983" s="10">
        <v>72</v>
      </c>
      <c r="G4983" s="10">
        <v>0</v>
      </c>
      <c r="H4983" s="10">
        <f t="shared" si="77"/>
        <v>72</v>
      </c>
      <c r="I4983" s="10"/>
      <c r="J4983" s="10"/>
      <c r="K4983" s="10"/>
      <c r="L4983" s="4" t="s">
        <v>69</v>
      </c>
      <c r="M4983" s="4">
        <v>4978</v>
      </c>
    </row>
    <row r="4984" spans="1:13" x14ac:dyDescent="0.25">
      <c r="A4984" s="4" t="s">
        <v>4996</v>
      </c>
      <c r="B4984" s="4" t="s">
        <v>5002</v>
      </c>
      <c r="C4984" s="4" t="s">
        <v>65</v>
      </c>
      <c r="D4984" s="10">
        <v>25.5</v>
      </c>
      <c r="E4984" s="11" t="s">
        <v>51</v>
      </c>
      <c r="F4984" s="10"/>
      <c r="G4984" s="10">
        <v>0</v>
      </c>
      <c r="H4984" s="10">
        <f t="shared" si="77"/>
        <v>0</v>
      </c>
      <c r="I4984" s="10"/>
      <c r="J4984" s="10"/>
      <c r="K4984" s="10"/>
      <c r="L4984" s="4" t="s">
        <v>69</v>
      </c>
      <c r="M4984" s="4">
        <v>4979</v>
      </c>
    </row>
    <row r="4985" spans="1:13" x14ac:dyDescent="0.25">
      <c r="A4985" s="4" t="s">
        <v>5003</v>
      </c>
      <c r="B4985" s="4" t="s">
        <v>5004</v>
      </c>
      <c r="C4985" s="4" t="s">
        <v>68</v>
      </c>
      <c r="D4985" s="10">
        <v>3.5</v>
      </c>
      <c r="E4985" s="11" t="s">
        <v>51</v>
      </c>
      <c r="F4985" s="10">
        <v>505</v>
      </c>
      <c r="G4985" s="10">
        <v>0</v>
      </c>
      <c r="H4985" s="10">
        <f t="shared" si="77"/>
        <v>505</v>
      </c>
      <c r="I4985" s="10"/>
      <c r="J4985" s="10"/>
      <c r="K4985" s="10"/>
      <c r="L4985" s="4" t="s">
        <v>69</v>
      </c>
      <c r="M4985" s="4">
        <v>4980</v>
      </c>
    </row>
    <row r="4986" spans="1:13" x14ac:dyDescent="0.25">
      <c r="A4986" s="4" t="s">
        <v>5003</v>
      </c>
      <c r="B4986" s="4" t="s">
        <v>5005</v>
      </c>
      <c r="C4986" s="4" t="s">
        <v>68</v>
      </c>
      <c r="D4986" s="10">
        <v>10</v>
      </c>
      <c r="E4986" s="11" t="s">
        <v>51</v>
      </c>
      <c r="F4986" s="10">
        <v>1332</v>
      </c>
      <c r="G4986" s="10">
        <v>0</v>
      </c>
      <c r="H4986" s="10">
        <f t="shared" si="77"/>
        <v>1332</v>
      </c>
      <c r="I4986" s="10"/>
      <c r="J4986" s="10"/>
      <c r="K4986" s="10"/>
      <c r="L4986" s="4" t="s">
        <v>69</v>
      </c>
      <c r="M4986" s="4">
        <v>4981</v>
      </c>
    </row>
    <row r="4987" spans="1:13" x14ac:dyDescent="0.25">
      <c r="A4987" s="4" t="s">
        <v>5003</v>
      </c>
      <c r="B4987" s="4" t="s">
        <v>5006</v>
      </c>
      <c r="C4987" s="4" t="s">
        <v>68</v>
      </c>
      <c r="D4987" s="10">
        <v>2</v>
      </c>
      <c r="E4987" s="11" t="s">
        <v>51</v>
      </c>
      <c r="F4987" s="10">
        <v>292.5</v>
      </c>
      <c r="G4987" s="10">
        <v>0</v>
      </c>
      <c r="H4987" s="10">
        <f t="shared" si="77"/>
        <v>292.5</v>
      </c>
      <c r="I4987" s="10"/>
      <c r="J4987" s="10"/>
      <c r="K4987" s="10"/>
      <c r="L4987" s="4" t="s">
        <v>69</v>
      </c>
      <c r="M4987" s="4">
        <v>4982</v>
      </c>
    </row>
    <row r="4988" spans="1:13" x14ac:dyDescent="0.25">
      <c r="A4988" s="4" t="s">
        <v>5003</v>
      </c>
      <c r="B4988" s="4" t="s">
        <v>5007</v>
      </c>
      <c r="C4988" s="4" t="s">
        <v>68</v>
      </c>
      <c r="D4988" s="10">
        <v>1.5</v>
      </c>
      <c r="E4988" s="11" t="s">
        <v>51</v>
      </c>
      <c r="F4988" s="10">
        <v>216</v>
      </c>
      <c r="G4988" s="10">
        <v>0</v>
      </c>
      <c r="H4988" s="10">
        <f t="shared" si="77"/>
        <v>216</v>
      </c>
      <c r="I4988" s="10"/>
      <c r="J4988" s="10"/>
      <c r="K4988" s="10"/>
      <c r="L4988" s="4" t="s">
        <v>69</v>
      </c>
      <c r="M4988" s="4">
        <v>4983</v>
      </c>
    </row>
    <row r="4989" spans="1:13" x14ac:dyDescent="0.25">
      <c r="A4989" s="4" t="s">
        <v>5003</v>
      </c>
      <c r="B4989" s="4" t="s">
        <v>5008</v>
      </c>
      <c r="C4989" s="4" t="s">
        <v>65</v>
      </c>
      <c r="D4989" s="10">
        <v>4</v>
      </c>
      <c r="E4989" s="12" t="s">
        <v>66</v>
      </c>
      <c r="F4989" s="10">
        <v>540</v>
      </c>
      <c r="G4989" s="10">
        <v>0</v>
      </c>
      <c r="H4989" s="10">
        <f t="shared" si="77"/>
        <v>540</v>
      </c>
      <c r="I4989" s="10">
        <v>135</v>
      </c>
      <c r="J4989" s="10">
        <v>135</v>
      </c>
      <c r="K4989" s="10">
        <v>135</v>
      </c>
      <c r="L4989" s="4"/>
      <c r="M4989" s="4">
        <v>4984</v>
      </c>
    </row>
    <row r="4990" spans="1:13" x14ac:dyDescent="0.25">
      <c r="A4990" s="4" t="s">
        <v>5003</v>
      </c>
      <c r="B4990" s="4" t="s">
        <v>5009</v>
      </c>
      <c r="C4990" s="4" t="s">
        <v>68</v>
      </c>
      <c r="D4990" s="10"/>
      <c r="E4990" s="11" t="s">
        <v>51</v>
      </c>
      <c r="F4990" s="10">
        <v>26.1</v>
      </c>
      <c r="G4990" s="10">
        <v>0</v>
      </c>
      <c r="H4990" s="10">
        <f t="shared" si="77"/>
        <v>26.1</v>
      </c>
      <c r="I4990" s="10"/>
      <c r="J4990" s="10"/>
      <c r="K4990" s="10"/>
      <c r="L4990" s="4" t="s">
        <v>69</v>
      </c>
      <c r="M4990" s="4">
        <v>4985</v>
      </c>
    </row>
    <row r="4991" spans="1:13" x14ac:dyDescent="0.25">
      <c r="A4991" s="4" t="s">
        <v>5003</v>
      </c>
      <c r="B4991" s="4" t="s">
        <v>5010</v>
      </c>
      <c r="C4991" s="4" t="s">
        <v>68</v>
      </c>
      <c r="D4991" s="10">
        <v>2.5</v>
      </c>
      <c r="E4991" s="11" t="s">
        <v>51</v>
      </c>
      <c r="F4991" s="10">
        <v>382.5</v>
      </c>
      <c r="G4991" s="10">
        <v>0</v>
      </c>
      <c r="H4991" s="10">
        <f t="shared" si="77"/>
        <v>382.5</v>
      </c>
      <c r="I4991" s="10"/>
      <c r="J4991" s="10"/>
      <c r="K4991" s="10"/>
      <c r="L4991" s="4" t="s">
        <v>69</v>
      </c>
      <c r="M4991" s="4">
        <v>4986</v>
      </c>
    </row>
    <row r="4992" spans="1:13" x14ac:dyDescent="0.25">
      <c r="A4992" s="4" t="s">
        <v>5003</v>
      </c>
      <c r="B4992" s="4" t="s">
        <v>5011</v>
      </c>
      <c r="C4992" s="4" t="s">
        <v>68</v>
      </c>
      <c r="D4992" s="10">
        <v>0.5</v>
      </c>
      <c r="E4992" s="11" t="s">
        <v>51</v>
      </c>
      <c r="F4992" s="10">
        <v>72</v>
      </c>
      <c r="G4992" s="10">
        <v>0</v>
      </c>
      <c r="H4992" s="10">
        <f t="shared" si="77"/>
        <v>72</v>
      </c>
      <c r="I4992" s="10"/>
      <c r="J4992" s="10"/>
      <c r="K4992" s="10"/>
      <c r="L4992" s="4" t="s">
        <v>69</v>
      </c>
      <c r="M4992" s="4">
        <v>4987</v>
      </c>
    </row>
    <row r="4993" spans="1:13" x14ac:dyDescent="0.25">
      <c r="A4993" s="4" t="s">
        <v>5003</v>
      </c>
      <c r="B4993" s="4" t="s">
        <v>5012</v>
      </c>
      <c r="C4993" s="4" t="s">
        <v>68</v>
      </c>
      <c r="D4993" s="10">
        <v>1.5</v>
      </c>
      <c r="E4993" s="11" t="s">
        <v>51</v>
      </c>
      <c r="F4993" s="10">
        <v>200</v>
      </c>
      <c r="G4993" s="10">
        <v>0</v>
      </c>
      <c r="H4993" s="10">
        <f t="shared" si="77"/>
        <v>200</v>
      </c>
      <c r="I4993" s="10"/>
      <c r="J4993" s="10"/>
      <c r="K4993" s="10"/>
      <c r="L4993" s="4" t="s">
        <v>69</v>
      </c>
      <c r="M4993" s="4">
        <v>4988</v>
      </c>
    </row>
    <row r="4994" spans="1:13" x14ac:dyDescent="0.25">
      <c r="A4994" s="4" t="s">
        <v>5013</v>
      </c>
      <c r="B4994" s="4" t="s">
        <v>5014</v>
      </c>
      <c r="C4994" s="4" t="s">
        <v>68</v>
      </c>
      <c r="D4994" s="10"/>
      <c r="E4994" s="11" t="s">
        <v>51</v>
      </c>
      <c r="F4994" s="10">
        <v>660</v>
      </c>
      <c r="G4994" s="10">
        <v>0</v>
      </c>
      <c r="H4994" s="10">
        <f t="shared" si="77"/>
        <v>660</v>
      </c>
      <c r="I4994" s="10"/>
      <c r="J4994" s="10"/>
      <c r="K4994" s="10"/>
      <c r="L4994" s="4" t="s">
        <v>69</v>
      </c>
      <c r="M4994" s="4">
        <v>4989</v>
      </c>
    </row>
    <row r="4995" spans="1:13" x14ac:dyDescent="0.25">
      <c r="A4995" s="4" t="s">
        <v>5013</v>
      </c>
      <c r="B4995" s="4" t="s">
        <v>5015</v>
      </c>
      <c r="C4995" s="4" t="s">
        <v>68</v>
      </c>
      <c r="D4995" s="10">
        <v>14</v>
      </c>
      <c r="E4995" s="11" t="s">
        <v>51</v>
      </c>
      <c r="F4995" s="10">
        <v>24</v>
      </c>
      <c r="G4995" s="10">
        <v>0</v>
      </c>
      <c r="H4995" s="10">
        <f t="shared" si="77"/>
        <v>24</v>
      </c>
      <c r="I4995" s="10"/>
      <c r="J4995" s="10"/>
      <c r="K4995" s="10"/>
      <c r="L4995" s="4" t="s">
        <v>69</v>
      </c>
      <c r="M4995" s="4">
        <v>4990</v>
      </c>
    </row>
    <row r="4996" spans="1:13" x14ac:dyDescent="0.25">
      <c r="A4996" s="4" t="s">
        <v>5016</v>
      </c>
      <c r="B4996" s="4" t="s">
        <v>5017</v>
      </c>
      <c r="C4996" s="4" t="s">
        <v>65</v>
      </c>
      <c r="D4996" s="10">
        <v>46</v>
      </c>
      <c r="E4996" s="12" t="s">
        <v>66</v>
      </c>
      <c r="F4996" s="10">
        <v>1750</v>
      </c>
      <c r="G4996" s="10">
        <v>0</v>
      </c>
      <c r="H4996" s="10">
        <f t="shared" si="77"/>
        <v>1750</v>
      </c>
      <c r="I4996" s="10">
        <v>125</v>
      </c>
      <c r="J4996" s="10">
        <v>125</v>
      </c>
      <c r="K4996" s="10">
        <v>125</v>
      </c>
      <c r="L4996" s="4"/>
      <c r="M4996" s="4">
        <v>4991</v>
      </c>
    </row>
    <row r="4997" spans="1:13" x14ac:dyDescent="0.25">
      <c r="A4997" s="4" t="s">
        <v>5018</v>
      </c>
      <c r="B4997" s="4" t="s">
        <v>5019</v>
      </c>
      <c r="C4997" s="9" t="s">
        <v>50</v>
      </c>
      <c r="D4997" s="10">
        <v>327.5</v>
      </c>
      <c r="E4997" s="11" t="s">
        <v>51</v>
      </c>
      <c r="F4997" s="10">
        <v>4000</v>
      </c>
      <c r="G4997" s="10">
        <v>0</v>
      </c>
      <c r="H4997" s="10">
        <f t="shared" si="77"/>
        <v>4000</v>
      </c>
      <c r="I4997" s="10"/>
      <c r="J4997" s="10"/>
      <c r="K4997" s="10"/>
      <c r="L4997" s="4" t="s">
        <v>52</v>
      </c>
      <c r="M4997" s="4">
        <v>4992</v>
      </c>
    </row>
    <row r="4998" spans="1:13" x14ac:dyDescent="0.25">
      <c r="A4998" s="4" t="s">
        <v>5020</v>
      </c>
      <c r="B4998" s="4" t="s">
        <v>5021</v>
      </c>
      <c r="C4998" s="4" t="s">
        <v>65</v>
      </c>
      <c r="D4998" s="10">
        <v>2</v>
      </c>
      <c r="E4998" s="12" t="s">
        <v>66</v>
      </c>
      <c r="F4998" s="10">
        <v>291</v>
      </c>
      <c r="G4998" s="10">
        <v>0</v>
      </c>
      <c r="H4998" s="10">
        <f t="shared" ref="H4998:H5061" si="78">F4998-G4998</f>
        <v>291</v>
      </c>
      <c r="I4998" s="10">
        <v>145.5</v>
      </c>
      <c r="J4998" s="10">
        <v>145.5</v>
      </c>
      <c r="K4998" s="10">
        <v>145.5</v>
      </c>
      <c r="L4998" s="4"/>
      <c r="M4998" s="4">
        <v>4993</v>
      </c>
    </row>
    <row r="4999" spans="1:13" x14ac:dyDescent="0.25">
      <c r="A4999" s="4" t="s">
        <v>5020</v>
      </c>
      <c r="B4999" s="4" t="s">
        <v>5022</v>
      </c>
      <c r="C4999" s="4" t="s">
        <v>65</v>
      </c>
      <c r="D4999" s="10">
        <v>32</v>
      </c>
      <c r="E4999" s="12" t="s">
        <v>66</v>
      </c>
      <c r="F4999" s="10">
        <v>4371</v>
      </c>
      <c r="G4999" s="10">
        <v>0</v>
      </c>
      <c r="H4999" s="10">
        <f t="shared" si="78"/>
        <v>4371</v>
      </c>
      <c r="I4999" s="10">
        <v>136.59375</v>
      </c>
      <c r="J4999" s="10">
        <v>136.59375</v>
      </c>
      <c r="K4999" s="10">
        <v>136.59375</v>
      </c>
      <c r="L4999" s="4"/>
      <c r="M4999" s="4">
        <v>4994</v>
      </c>
    </row>
    <row r="5000" spans="1:13" x14ac:dyDescent="0.25">
      <c r="A5000" s="4" t="s">
        <v>5020</v>
      </c>
      <c r="B5000" s="4" t="s">
        <v>5023</v>
      </c>
      <c r="C5000" s="4" t="s">
        <v>65</v>
      </c>
      <c r="D5000" s="10">
        <v>40.5</v>
      </c>
      <c r="E5000" s="12" t="s">
        <v>66</v>
      </c>
      <c r="F5000" s="10">
        <v>5536</v>
      </c>
      <c r="G5000" s="10">
        <v>0</v>
      </c>
      <c r="H5000" s="10">
        <f t="shared" si="78"/>
        <v>5536</v>
      </c>
      <c r="I5000" s="10">
        <v>136.6913580246914</v>
      </c>
      <c r="J5000" s="10">
        <v>136.6913580246914</v>
      </c>
      <c r="K5000" s="10">
        <v>136.6913580246914</v>
      </c>
      <c r="L5000" s="4"/>
      <c r="M5000" s="4">
        <v>4995</v>
      </c>
    </row>
    <row r="5001" spans="1:13" x14ac:dyDescent="0.25">
      <c r="A5001" s="4" t="s">
        <v>5020</v>
      </c>
      <c r="B5001" s="4" t="s">
        <v>5024</v>
      </c>
      <c r="C5001" s="4" t="s">
        <v>65</v>
      </c>
      <c r="D5001" s="10">
        <v>45.5</v>
      </c>
      <c r="E5001" s="12" t="s">
        <v>66</v>
      </c>
      <c r="F5001" s="10">
        <v>4371</v>
      </c>
      <c r="G5001" s="10">
        <v>0</v>
      </c>
      <c r="H5001" s="10">
        <f t="shared" si="78"/>
        <v>4371</v>
      </c>
      <c r="I5001" s="10">
        <v>96.065934065934073</v>
      </c>
      <c r="J5001" s="10">
        <v>96.065934065934073</v>
      </c>
      <c r="K5001" s="10">
        <v>96.065934065934073</v>
      </c>
      <c r="L5001" s="4"/>
      <c r="M5001" s="4">
        <v>4996</v>
      </c>
    </row>
    <row r="5002" spans="1:13" x14ac:dyDescent="0.25">
      <c r="A5002" s="4" t="s">
        <v>5020</v>
      </c>
      <c r="B5002" s="4" t="s">
        <v>5025</v>
      </c>
      <c r="C5002" s="4" t="s">
        <v>65</v>
      </c>
      <c r="D5002" s="10">
        <v>38.5</v>
      </c>
      <c r="E5002" s="12" t="s">
        <v>66</v>
      </c>
      <c r="F5002" s="10">
        <v>5245</v>
      </c>
      <c r="G5002" s="10">
        <v>0</v>
      </c>
      <c r="H5002" s="10">
        <f t="shared" si="78"/>
        <v>5245</v>
      </c>
      <c r="I5002" s="10">
        <v>136.2337662337662</v>
      </c>
      <c r="J5002" s="10">
        <v>136.2337662337662</v>
      </c>
      <c r="K5002" s="10">
        <v>136.2337662337662</v>
      </c>
      <c r="L5002" s="4"/>
      <c r="M5002" s="4">
        <v>4997</v>
      </c>
    </row>
    <row r="5003" spans="1:13" x14ac:dyDescent="0.25">
      <c r="A5003" s="4" t="s">
        <v>5020</v>
      </c>
      <c r="B5003" s="4" t="s">
        <v>5026</v>
      </c>
      <c r="C5003" s="4" t="s">
        <v>65</v>
      </c>
      <c r="D5003" s="10">
        <v>68.5</v>
      </c>
      <c r="E5003" s="12" t="s">
        <v>66</v>
      </c>
      <c r="F5003" s="10">
        <v>9324</v>
      </c>
      <c r="G5003" s="10">
        <v>0</v>
      </c>
      <c r="H5003" s="10">
        <f t="shared" si="78"/>
        <v>9324</v>
      </c>
      <c r="I5003" s="10">
        <v>136.11678832116789</v>
      </c>
      <c r="J5003" s="10">
        <v>136.11678832116789</v>
      </c>
      <c r="K5003" s="10">
        <v>136.11678832116789</v>
      </c>
      <c r="L5003" s="4"/>
      <c r="M5003" s="4">
        <v>4998</v>
      </c>
    </row>
    <row r="5004" spans="1:13" x14ac:dyDescent="0.25">
      <c r="A5004" s="4" t="s">
        <v>5020</v>
      </c>
      <c r="B5004" s="4" t="s">
        <v>5027</v>
      </c>
      <c r="C5004" s="4" t="s">
        <v>65</v>
      </c>
      <c r="D5004" s="10">
        <v>22</v>
      </c>
      <c r="E5004" s="12" t="s">
        <v>66</v>
      </c>
      <c r="F5004" s="10">
        <v>3000</v>
      </c>
      <c r="G5004" s="10">
        <v>0</v>
      </c>
      <c r="H5004" s="10">
        <f t="shared" si="78"/>
        <v>3000</v>
      </c>
      <c r="I5004" s="10">
        <v>136.3636363636364</v>
      </c>
      <c r="J5004" s="10">
        <v>136.3636363636364</v>
      </c>
      <c r="K5004" s="10">
        <v>136.3636363636364</v>
      </c>
      <c r="L5004" s="4"/>
      <c r="M5004" s="4">
        <v>4999</v>
      </c>
    </row>
    <row r="5005" spans="1:13" x14ac:dyDescent="0.25">
      <c r="A5005" s="4" t="s">
        <v>5020</v>
      </c>
      <c r="B5005" s="4" t="s">
        <v>5028</v>
      </c>
      <c r="C5005" s="4" t="s">
        <v>65</v>
      </c>
      <c r="D5005" s="10">
        <v>20</v>
      </c>
      <c r="E5005" s="12" t="s">
        <v>66</v>
      </c>
      <c r="F5005" s="10">
        <v>2750</v>
      </c>
      <c r="G5005" s="10">
        <v>0</v>
      </c>
      <c r="H5005" s="10">
        <f t="shared" si="78"/>
        <v>2750</v>
      </c>
      <c r="I5005" s="10">
        <v>137.5</v>
      </c>
      <c r="J5005" s="10">
        <v>137.5</v>
      </c>
      <c r="K5005" s="10">
        <v>137.5</v>
      </c>
      <c r="L5005" s="4"/>
      <c r="M5005" s="4">
        <v>5000</v>
      </c>
    </row>
    <row r="5006" spans="1:13" x14ac:dyDescent="0.25">
      <c r="A5006" s="4" t="s">
        <v>5020</v>
      </c>
      <c r="B5006" s="4" t="s">
        <v>5029</v>
      </c>
      <c r="C5006" s="4" t="s">
        <v>65</v>
      </c>
      <c r="D5006" s="10">
        <v>11</v>
      </c>
      <c r="E5006" s="12" t="s">
        <v>66</v>
      </c>
      <c r="F5006" s="10">
        <v>1500</v>
      </c>
      <c r="G5006" s="10">
        <v>0</v>
      </c>
      <c r="H5006" s="10">
        <f t="shared" si="78"/>
        <v>1500</v>
      </c>
      <c r="I5006" s="10">
        <v>136.3636363636364</v>
      </c>
      <c r="J5006" s="10">
        <v>136.3636363636364</v>
      </c>
      <c r="K5006" s="10">
        <v>136.3636363636364</v>
      </c>
      <c r="L5006" s="4"/>
      <c r="M5006" s="4">
        <v>5001</v>
      </c>
    </row>
    <row r="5007" spans="1:13" x14ac:dyDescent="0.25">
      <c r="A5007" s="4" t="s">
        <v>5020</v>
      </c>
      <c r="B5007" s="4" t="s">
        <v>5030</v>
      </c>
      <c r="C5007" s="4" t="s">
        <v>65</v>
      </c>
      <c r="D5007" s="10">
        <v>7</v>
      </c>
      <c r="E5007" s="12" t="s">
        <v>66</v>
      </c>
      <c r="F5007" s="10">
        <v>1000</v>
      </c>
      <c r="G5007" s="10">
        <v>0</v>
      </c>
      <c r="H5007" s="10">
        <f t="shared" si="78"/>
        <v>1000</v>
      </c>
      <c r="I5007" s="10">
        <v>142.85714285714289</v>
      </c>
      <c r="J5007" s="10">
        <v>142.85714285714289</v>
      </c>
      <c r="K5007" s="10">
        <v>142.85714285714289</v>
      </c>
      <c r="L5007" s="4"/>
      <c r="M5007" s="4">
        <v>5002</v>
      </c>
    </row>
    <row r="5008" spans="1:13" x14ac:dyDescent="0.25">
      <c r="A5008" s="4" t="s">
        <v>5020</v>
      </c>
      <c r="B5008" s="4" t="s">
        <v>5031</v>
      </c>
      <c r="C5008" s="4" t="s">
        <v>65</v>
      </c>
      <c r="D5008" s="10">
        <v>137</v>
      </c>
      <c r="E5008" s="12" t="s">
        <v>66</v>
      </c>
      <c r="F5008" s="10">
        <v>5500</v>
      </c>
      <c r="G5008" s="10">
        <v>0</v>
      </c>
      <c r="H5008" s="10">
        <f t="shared" si="78"/>
        <v>5500</v>
      </c>
      <c r="I5008" s="10">
        <v>135.80246913580251</v>
      </c>
      <c r="J5008" s="10">
        <v>135.80246913580251</v>
      </c>
      <c r="K5008" s="10">
        <v>135.80246913580251</v>
      </c>
      <c r="L5008" s="4"/>
      <c r="M5008" s="4">
        <v>5003</v>
      </c>
    </row>
    <row r="5009" spans="1:13" x14ac:dyDescent="0.25">
      <c r="A5009" s="4" t="s">
        <v>5032</v>
      </c>
      <c r="B5009" s="4" t="s">
        <v>5021</v>
      </c>
      <c r="C5009" s="4" t="s">
        <v>65</v>
      </c>
      <c r="D5009" s="10">
        <v>0.5</v>
      </c>
      <c r="E5009" s="12" t="s">
        <v>66</v>
      </c>
      <c r="F5009" s="10">
        <v>63</v>
      </c>
      <c r="G5009" s="10">
        <v>0</v>
      </c>
      <c r="H5009" s="10">
        <f t="shared" si="78"/>
        <v>63</v>
      </c>
      <c r="I5009" s="10">
        <v>126</v>
      </c>
      <c r="J5009" s="10">
        <v>126</v>
      </c>
      <c r="K5009" s="10">
        <v>126</v>
      </c>
      <c r="L5009" s="4"/>
      <c r="M5009" s="4">
        <v>5004</v>
      </c>
    </row>
    <row r="5010" spans="1:13" x14ac:dyDescent="0.25">
      <c r="A5010" s="4" t="s">
        <v>5032</v>
      </c>
      <c r="B5010" s="4" t="s">
        <v>5022</v>
      </c>
      <c r="C5010" s="4" t="s">
        <v>65</v>
      </c>
      <c r="D5010" s="10">
        <v>6.5</v>
      </c>
      <c r="E5010" s="12" t="s">
        <v>66</v>
      </c>
      <c r="F5010" s="10">
        <v>945</v>
      </c>
      <c r="G5010" s="10">
        <v>0</v>
      </c>
      <c r="H5010" s="10">
        <f t="shared" si="78"/>
        <v>945</v>
      </c>
      <c r="I5010" s="10">
        <v>145.38461538461539</v>
      </c>
      <c r="J5010" s="10">
        <v>145.38461538461539</v>
      </c>
      <c r="K5010" s="10">
        <v>145.38461538461539</v>
      </c>
      <c r="L5010" s="4"/>
      <c r="M5010" s="4">
        <v>5005</v>
      </c>
    </row>
    <row r="5011" spans="1:13" x14ac:dyDescent="0.25">
      <c r="A5011" s="4" t="s">
        <v>5032</v>
      </c>
      <c r="B5011" s="4" t="s">
        <v>5023</v>
      </c>
      <c r="C5011" s="4" t="s">
        <v>65</v>
      </c>
      <c r="D5011" s="10">
        <v>8.5</v>
      </c>
      <c r="E5011" s="12" t="s">
        <v>66</v>
      </c>
      <c r="F5011" s="10">
        <v>1197</v>
      </c>
      <c r="G5011" s="10">
        <v>0</v>
      </c>
      <c r="H5011" s="10">
        <f t="shared" si="78"/>
        <v>1197</v>
      </c>
      <c r="I5011" s="10">
        <v>140.8235294117647</v>
      </c>
      <c r="J5011" s="10">
        <v>140.8235294117647</v>
      </c>
      <c r="K5011" s="10">
        <v>140.8235294117647</v>
      </c>
      <c r="L5011" s="4"/>
      <c r="M5011" s="4">
        <v>5006</v>
      </c>
    </row>
    <row r="5012" spans="1:13" x14ac:dyDescent="0.25">
      <c r="A5012" s="4" t="s">
        <v>5032</v>
      </c>
      <c r="B5012" s="4" t="s">
        <v>5024</v>
      </c>
      <c r="C5012" s="4" t="s">
        <v>65</v>
      </c>
      <c r="D5012" s="10">
        <v>9.5</v>
      </c>
      <c r="E5012" s="12" t="s">
        <v>66</v>
      </c>
      <c r="F5012" s="10">
        <v>945</v>
      </c>
      <c r="G5012" s="10">
        <v>0</v>
      </c>
      <c r="H5012" s="10">
        <f t="shared" si="78"/>
        <v>945</v>
      </c>
      <c r="I5012" s="10">
        <v>99.473684210526315</v>
      </c>
      <c r="J5012" s="10">
        <v>99.473684210526315</v>
      </c>
      <c r="K5012" s="10">
        <v>99.473684210526315</v>
      </c>
      <c r="L5012" s="4"/>
      <c r="M5012" s="4">
        <v>5007</v>
      </c>
    </row>
    <row r="5013" spans="1:13" x14ac:dyDescent="0.25">
      <c r="A5013" s="4" t="s">
        <v>5032</v>
      </c>
      <c r="B5013" s="4" t="s">
        <v>5025</v>
      </c>
      <c r="C5013" s="4" t="s">
        <v>65</v>
      </c>
      <c r="D5013" s="10">
        <v>8</v>
      </c>
      <c r="E5013" s="12" t="s">
        <v>66</v>
      </c>
      <c r="F5013" s="10">
        <v>1134</v>
      </c>
      <c r="G5013" s="10">
        <v>0</v>
      </c>
      <c r="H5013" s="10">
        <f t="shared" si="78"/>
        <v>1134</v>
      </c>
      <c r="I5013" s="10">
        <v>141.75</v>
      </c>
      <c r="J5013" s="10">
        <v>141.75</v>
      </c>
      <c r="K5013" s="10">
        <v>141.75</v>
      </c>
      <c r="L5013" s="4"/>
      <c r="M5013" s="4">
        <v>5008</v>
      </c>
    </row>
    <row r="5014" spans="1:13" x14ac:dyDescent="0.25">
      <c r="A5014" s="4" t="s">
        <v>5032</v>
      </c>
      <c r="B5014" s="4" t="s">
        <v>5026</v>
      </c>
      <c r="C5014" s="4" t="s">
        <v>65</v>
      </c>
      <c r="D5014" s="10">
        <v>14.5</v>
      </c>
      <c r="E5014" s="12" t="s">
        <v>66</v>
      </c>
      <c r="F5014" s="10">
        <v>2015</v>
      </c>
      <c r="G5014" s="10">
        <v>0</v>
      </c>
      <c r="H5014" s="10">
        <f t="shared" si="78"/>
        <v>2015</v>
      </c>
      <c r="I5014" s="10">
        <v>138.9655172413793</v>
      </c>
      <c r="J5014" s="10">
        <v>138.9655172413793</v>
      </c>
      <c r="K5014" s="10">
        <v>138.9655172413793</v>
      </c>
      <c r="L5014" s="4"/>
      <c r="M5014" s="4">
        <v>5009</v>
      </c>
    </row>
    <row r="5015" spans="1:13" x14ac:dyDescent="0.25">
      <c r="A5015" s="4" t="s">
        <v>5032</v>
      </c>
      <c r="B5015" s="4" t="s">
        <v>5027</v>
      </c>
      <c r="C5015" s="4" t="s">
        <v>65</v>
      </c>
      <c r="D5015" s="10">
        <v>0.5</v>
      </c>
      <c r="E5015" s="12" t="s">
        <v>66</v>
      </c>
      <c r="F5015" s="10">
        <v>100</v>
      </c>
      <c r="G5015" s="10">
        <v>0</v>
      </c>
      <c r="H5015" s="10">
        <f t="shared" si="78"/>
        <v>100</v>
      </c>
      <c r="I5015" s="10">
        <v>200</v>
      </c>
      <c r="J5015" s="10">
        <v>200</v>
      </c>
      <c r="K5015" s="10">
        <v>200</v>
      </c>
      <c r="L5015" s="4"/>
      <c r="M5015" s="4">
        <v>5010</v>
      </c>
    </row>
    <row r="5016" spans="1:13" x14ac:dyDescent="0.25">
      <c r="A5016" s="4" t="s">
        <v>5032</v>
      </c>
      <c r="B5016" s="4" t="s">
        <v>5028</v>
      </c>
      <c r="C5016" s="4" t="s">
        <v>65</v>
      </c>
      <c r="D5016" s="10">
        <v>18</v>
      </c>
      <c r="E5016" s="12" t="s">
        <v>66</v>
      </c>
      <c r="F5016" s="10">
        <v>2500</v>
      </c>
      <c r="G5016" s="10">
        <v>0</v>
      </c>
      <c r="H5016" s="10">
        <f t="shared" si="78"/>
        <v>2500</v>
      </c>
      <c r="I5016" s="10">
        <v>138.88888888888891</v>
      </c>
      <c r="J5016" s="10">
        <v>138.88888888888891</v>
      </c>
      <c r="K5016" s="10">
        <v>138.88888888888891</v>
      </c>
      <c r="L5016" s="4"/>
      <c r="M5016" s="4">
        <v>5011</v>
      </c>
    </row>
    <row r="5017" spans="1:13" x14ac:dyDescent="0.25">
      <c r="A5017" s="4" t="s">
        <v>5032</v>
      </c>
      <c r="B5017" s="4" t="s">
        <v>5029</v>
      </c>
      <c r="C5017" s="4" t="s">
        <v>65</v>
      </c>
      <c r="D5017" s="10">
        <v>7</v>
      </c>
      <c r="E5017" s="12" t="s">
        <v>66</v>
      </c>
      <c r="F5017" s="10">
        <v>1000</v>
      </c>
      <c r="G5017" s="10">
        <v>0</v>
      </c>
      <c r="H5017" s="10">
        <f t="shared" si="78"/>
        <v>1000</v>
      </c>
      <c r="I5017" s="10">
        <v>142.85714285714289</v>
      </c>
      <c r="J5017" s="10">
        <v>142.85714285714289</v>
      </c>
      <c r="K5017" s="10">
        <v>142.85714285714289</v>
      </c>
      <c r="L5017" s="4"/>
      <c r="M5017" s="4">
        <v>5012</v>
      </c>
    </row>
    <row r="5018" spans="1:13" x14ac:dyDescent="0.25">
      <c r="A5018" s="4" t="s">
        <v>5032</v>
      </c>
      <c r="B5018" s="4" t="s">
        <v>5030</v>
      </c>
      <c r="C5018" s="4" t="s">
        <v>65</v>
      </c>
      <c r="D5018" s="10">
        <v>5.5</v>
      </c>
      <c r="E5018" s="12" t="s">
        <v>66</v>
      </c>
      <c r="F5018" s="10">
        <v>800</v>
      </c>
      <c r="G5018" s="10">
        <v>0</v>
      </c>
      <c r="H5018" s="10">
        <f t="shared" si="78"/>
        <v>800</v>
      </c>
      <c r="I5018" s="10">
        <v>145.4545454545455</v>
      </c>
      <c r="J5018" s="10">
        <v>145.4545454545455</v>
      </c>
      <c r="K5018" s="10">
        <v>145.4545454545455</v>
      </c>
      <c r="L5018" s="4"/>
      <c r="M5018" s="4">
        <v>5013</v>
      </c>
    </row>
    <row r="5019" spans="1:13" x14ac:dyDescent="0.25">
      <c r="A5019" s="4" t="s">
        <v>5032</v>
      </c>
      <c r="B5019" s="4" t="s">
        <v>5031</v>
      </c>
      <c r="C5019" s="4" t="s">
        <v>65</v>
      </c>
      <c r="D5019" s="10">
        <v>40</v>
      </c>
      <c r="E5019" s="12" t="s">
        <v>66</v>
      </c>
      <c r="F5019" s="10">
        <v>1500</v>
      </c>
      <c r="G5019" s="10">
        <v>0</v>
      </c>
      <c r="H5019" s="10">
        <f t="shared" si="78"/>
        <v>1500</v>
      </c>
      <c r="I5019" s="10">
        <v>83.333333333333329</v>
      </c>
      <c r="J5019" s="10">
        <v>83.333333333333329</v>
      </c>
      <c r="K5019" s="10">
        <v>83.333333333333329</v>
      </c>
      <c r="L5019" s="4"/>
      <c r="M5019" s="4">
        <v>5014</v>
      </c>
    </row>
    <row r="5020" spans="1:13" x14ac:dyDescent="0.25">
      <c r="A5020" s="4" t="s">
        <v>5033</v>
      </c>
      <c r="B5020" s="4" t="s">
        <v>5034</v>
      </c>
      <c r="C5020" s="4" t="s">
        <v>65</v>
      </c>
      <c r="D5020" s="10">
        <v>22</v>
      </c>
      <c r="E5020" s="12" t="s">
        <v>66</v>
      </c>
      <c r="F5020" s="10">
        <v>2600</v>
      </c>
      <c r="G5020" s="10">
        <v>0</v>
      </c>
      <c r="H5020" s="10">
        <f t="shared" si="78"/>
        <v>2600</v>
      </c>
      <c r="I5020" s="10">
        <v>118.1818181818182</v>
      </c>
      <c r="J5020" s="10">
        <v>118.1818181818182</v>
      </c>
      <c r="K5020" s="10">
        <v>118.1818181818182</v>
      </c>
      <c r="L5020" s="4"/>
      <c r="M5020" s="4">
        <v>5015</v>
      </c>
    </row>
    <row r="5021" spans="1:13" x14ac:dyDescent="0.25">
      <c r="A5021" s="4" t="s">
        <v>5033</v>
      </c>
      <c r="B5021" s="4" t="s">
        <v>5035</v>
      </c>
      <c r="C5021" s="4" t="s">
        <v>68</v>
      </c>
      <c r="D5021" s="10"/>
      <c r="E5021" s="11" t="s">
        <v>51</v>
      </c>
      <c r="F5021" s="10"/>
      <c r="G5021" s="10">
        <v>0</v>
      </c>
      <c r="H5021" s="10">
        <f t="shared" si="78"/>
        <v>0</v>
      </c>
      <c r="I5021" s="10"/>
      <c r="J5021" s="10"/>
      <c r="K5021" s="10"/>
      <c r="L5021" s="4" t="s">
        <v>69</v>
      </c>
      <c r="M5021" s="4">
        <v>5016</v>
      </c>
    </row>
    <row r="5022" spans="1:13" x14ac:dyDescent="0.25">
      <c r="A5022" s="4" t="s">
        <v>5033</v>
      </c>
      <c r="B5022" s="4" t="s">
        <v>5036</v>
      </c>
      <c r="C5022" s="4" t="s">
        <v>68</v>
      </c>
      <c r="D5022" s="10">
        <v>63</v>
      </c>
      <c r="E5022" s="11" t="s">
        <v>51</v>
      </c>
      <c r="F5022" s="10"/>
      <c r="G5022" s="10">
        <v>0</v>
      </c>
      <c r="H5022" s="10">
        <f t="shared" si="78"/>
        <v>0</v>
      </c>
      <c r="I5022" s="10"/>
      <c r="J5022" s="10"/>
      <c r="K5022" s="10"/>
      <c r="L5022" s="4" t="s">
        <v>69</v>
      </c>
      <c r="M5022" s="4">
        <v>5017</v>
      </c>
    </row>
    <row r="5023" spans="1:13" x14ac:dyDescent="0.25">
      <c r="A5023" s="4" t="s">
        <v>5037</v>
      </c>
      <c r="B5023" s="4" t="s">
        <v>1809</v>
      </c>
      <c r="C5023" s="4" t="s">
        <v>65</v>
      </c>
      <c r="D5023" s="10">
        <v>105</v>
      </c>
      <c r="E5023" s="12" t="s">
        <v>66</v>
      </c>
      <c r="F5023" s="10">
        <v>7950</v>
      </c>
      <c r="G5023" s="10">
        <v>0</v>
      </c>
      <c r="H5023" s="10">
        <f t="shared" si="78"/>
        <v>7950</v>
      </c>
      <c r="I5023" s="10">
        <v>126.1904761904762</v>
      </c>
      <c r="J5023" s="10">
        <v>126.1904761904762</v>
      </c>
      <c r="K5023" s="10">
        <v>126.1904761904762</v>
      </c>
      <c r="L5023" s="4"/>
      <c r="M5023" s="4">
        <v>5018</v>
      </c>
    </row>
    <row r="5024" spans="1:13" x14ac:dyDescent="0.25">
      <c r="A5024" s="4" t="s">
        <v>5038</v>
      </c>
      <c r="B5024" s="4" t="s">
        <v>1404</v>
      </c>
      <c r="C5024" s="4" t="s">
        <v>68</v>
      </c>
      <c r="D5024" s="10"/>
      <c r="E5024" s="11" t="s">
        <v>51</v>
      </c>
      <c r="F5024" s="10"/>
      <c r="G5024" s="10">
        <v>0</v>
      </c>
      <c r="H5024" s="10">
        <f t="shared" si="78"/>
        <v>0</v>
      </c>
      <c r="I5024" s="10"/>
      <c r="J5024" s="10"/>
      <c r="K5024" s="10"/>
      <c r="L5024" s="4" t="s">
        <v>69</v>
      </c>
      <c r="M5024" s="4">
        <v>5019</v>
      </c>
    </row>
    <row r="5025" spans="1:13" x14ac:dyDescent="0.25">
      <c r="A5025" s="4" t="s">
        <v>5038</v>
      </c>
      <c r="B5025" s="4" t="s">
        <v>4098</v>
      </c>
      <c r="C5025" s="4" t="s">
        <v>65</v>
      </c>
      <c r="D5025" s="10">
        <v>123</v>
      </c>
      <c r="E5025" s="12" t="s">
        <v>66</v>
      </c>
      <c r="F5025" s="10">
        <v>5200</v>
      </c>
      <c r="G5025" s="10">
        <v>0</v>
      </c>
      <c r="H5025" s="10">
        <f t="shared" si="78"/>
        <v>5200</v>
      </c>
      <c r="I5025" s="10">
        <v>123.8095238095238</v>
      </c>
      <c r="J5025" s="10">
        <v>123.8095238095238</v>
      </c>
      <c r="K5025" s="10">
        <v>123.8095238095238</v>
      </c>
      <c r="L5025" s="4"/>
      <c r="M5025" s="4">
        <v>5020</v>
      </c>
    </row>
    <row r="5026" spans="1:13" x14ac:dyDescent="0.25">
      <c r="A5026" s="4" t="s">
        <v>5039</v>
      </c>
      <c r="B5026" s="4" t="s">
        <v>5040</v>
      </c>
      <c r="C5026" s="4" t="s">
        <v>65</v>
      </c>
      <c r="D5026" s="10">
        <v>40</v>
      </c>
      <c r="E5026" s="12" t="s">
        <v>66</v>
      </c>
      <c r="F5026" s="10">
        <v>5000</v>
      </c>
      <c r="G5026" s="10">
        <v>0</v>
      </c>
      <c r="H5026" s="10">
        <f t="shared" si="78"/>
        <v>5000</v>
      </c>
      <c r="I5026" s="10">
        <v>125</v>
      </c>
      <c r="J5026" s="10">
        <v>125</v>
      </c>
      <c r="K5026" s="10">
        <v>125</v>
      </c>
      <c r="L5026" s="4"/>
      <c r="M5026" s="4">
        <v>5021</v>
      </c>
    </row>
    <row r="5027" spans="1:13" x14ac:dyDescent="0.25">
      <c r="A5027" s="4" t="s">
        <v>5039</v>
      </c>
      <c r="B5027" s="4" t="s">
        <v>5041</v>
      </c>
      <c r="C5027" s="4" t="s">
        <v>65</v>
      </c>
      <c r="D5027" s="10">
        <v>40</v>
      </c>
      <c r="E5027" s="12" t="s">
        <v>66</v>
      </c>
      <c r="F5027" s="10">
        <v>7200</v>
      </c>
      <c r="G5027" s="10">
        <v>0</v>
      </c>
      <c r="H5027" s="10">
        <f t="shared" si="78"/>
        <v>7200</v>
      </c>
      <c r="I5027" s="10">
        <v>180</v>
      </c>
      <c r="J5027" s="10">
        <v>180</v>
      </c>
      <c r="K5027" s="10">
        <v>180</v>
      </c>
      <c r="L5027" s="4"/>
      <c r="M5027" s="4">
        <v>5022</v>
      </c>
    </row>
    <row r="5028" spans="1:13" x14ac:dyDescent="0.25">
      <c r="A5028" s="4" t="s">
        <v>5039</v>
      </c>
      <c r="B5028" s="4" t="s">
        <v>5042</v>
      </c>
      <c r="C5028" s="4" t="s">
        <v>65</v>
      </c>
      <c r="D5028" s="10">
        <v>71</v>
      </c>
      <c r="E5028" s="12" t="s">
        <v>66</v>
      </c>
      <c r="F5028" s="10">
        <v>100</v>
      </c>
      <c r="G5028" s="10">
        <v>0</v>
      </c>
      <c r="H5028" s="10">
        <f t="shared" si="78"/>
        <v>100</v>
      </c>
      <c r="I5028" s="10">
        <v>100</v>
      </c>
      <c r="J5028" s="10">
        <v>100</v>
      </c>
      <c r="K5028" s="10">
        <v>100</v>
      </c>
      <c r="L5028" s="4"/>
      <c r="M5028" s="4">
        <v>5023</v>
      </c>
    </row>
    <row r="5029" spans="1:13" x14ac:dyDescent="0.25">
      <c r="A5029" s="4" t="s">
        <v>5043</v>
      </c>
      <c r="B5029" s="4" t="s">
        <v>5044</v>
      </c>
      <c r="C5029" s="9" t="s">
        <v>50</v>
      </c>
      <c r="D5029" s="10">
        <v>195</v>
      </c>
      <c r="E5029" s="11" t="s">
        <v>51</v>
      </c>
      <c r="F5029" s="10">
        <v>7922</v>
      </c>
      <c r="G5029" s="10">
        <v>0</v>
      </c>
      <c r="H5029" s="10">
        <f t="shared" si="78"/>
        <v>7922</v>
      </c>
      <c r="I5029" s="10"/>
      <c r="J5029" s="10"/>
      <c r="K5029" s="10"/>
      <c r="L5029" s="4" t="s">
        <v>52</v>
      </c>
      <c r="M5029" s="4">
        <v>5024</v>
      </c>
    </row>
    <row r="5030" spans="1:13" x14ac:dyDescent="0.25">
      <c r="A5030" s="4" t="s">
        <v>5045</v>
      </c>
      <c r="B5030" s="4" t="s">
        <v>5046</v>
      </c>
      <c r="C5030" s="4" t="s">
        <v>65</v>
      </c>
      <c r="D5030" s="10">
        <v>37.25</v>
      </c>
      <c r="E5030" s="12" t="s">
        <v>66</v>
      </c>
      <c r="F5030" s="10">
        <v>4650</v>
      </c>
      <c r="G5030" s="10">
        <v>0</v>
      </c>
      <c r="H5030" s="10">
        <f t="shared" si="78"/>
        <v>4650</v>
      </c>
      <c r="I5030" s="10">
        <v>124.8322147651007</v>
      </c>
      <c r="J5030" s="10">
        <v>124.8322147651007</v>
      </c>
      <c r="K5030" s="10">
        <v>124.8322147651007</v>
      </c>
      <c r="L5030" s="4"/>
      <c r="M5030" s="4">
        <v>5025</v>
      </c>
    </row>
    <row r="5031" spans="1:13" x14ac:dyDescent="0.25">
      <c r="A5031" s="4" t="s">
        <v>5045</v>
      </c>
      <c r="B5031" s="4" t="s">
        <v>5047</v>
      </c>
      <c r="C5031" s="4" t="s">
        <v>65</v>
      </c>
      <c r="D5031" s="10">
        <v>36.75</v>
      </c>
      <c r="E5031" s="12" t="s">
        <v>66</v>
      </c>
      <c r="F5031" s="10">
        <v>2150</v>
      </c>
      <c r="G5031" s="10">
        <v>0</v>
      </c>
      <c r="H5031" s="10">
        <f t="shared" si="78"/>
        <v>2150</v>
      </c>
      <c r="I5031" s="10">
        <v>128.35820895522389</v>
      </c>
      <c r="J5031" s="10">
        <v>128.35820895522389</v>
      </c>
      <c r="K5031" s="10">
        <v>128.35820895522389</v>
      </c>
      <c r="L5031" s="4"/>
      <c r="M5031" s="4">
        <v>5026</v>
      </c>
    </row>
    <row r="5032" spans="1:13" x14ac:dyDescent="0.25">
      <c r="A5032" s="4" t="s">
        <v>5048</v>
      </c>
      <c r="B5032" s="4" t="s">
        <v>618</v>
      </c>
      <c r="C5032" s="4" t="s">
        <v>65</v>
      </c>
      <c r="D5032" s="10">
        <v>20</v>
      </c>
      <c r="E5032" s="12" t="s">
        <v>66</v>
      </c>
      <c r="F5032" s="10">
        <v>1600</v>
      </c>
      <c r="G5032" s="10">
        <v>0</v>
      </c>
      <c r="H5032" s="10">
        <f t="shared" si="78"/>
        <v>1600</v>
      </c>
      <c r="I5032" s="10">
        <v>80</v>
      </c>
      <c r="J5032" s="10">
        <v>80</v>
      </c>
      <c r="K5032" s="10">
        <v>80</v>
      </c>
      <c r="L5032" s="4"/>
      <c r="M5032" s="4">
        <v>5027</v>
      </c>
    </row>
    <row r="5033" spans="1:13" x14ac:dyDescent="0.25">
      <c r="A5033" s="4" t="s">
        <v>5048</v>
      </c>
      <c r="B5033" s="4" t="s">
        <v>5049</v>
      </c>
      <c r="C5033" s="4" t="s">
        <v>68</v>
      </c>
      <c r="D5033" s="10"/>
      <c r="E5033" s="11" t="s">
        <v>51</v>
      </c>
      <c r="F5033" s="10"/>
      <c r="G5033" s="10">
        <v>0</v>
      </c>
      <c r="H5033" s="10">
        <f t="shared" si="78"/>
        <v>0</v>
      </c>
      <c r="I5033" s="10"/>
      <c r="J5033" s="10"/>
      <c r="K5033" s="10"/>
      <c r="L5033" s="4" t="s">
        <v>69</v>
      </c>
      <c r="M5033" s="4">
        <v>5028</v>
      </c>
    </row>
    <row r="5034" spans="1:13" x14ac:dyDescent="0.25">
      <c r="A5034" s="4" t="s">
        <v>5048</v>
      </c>
      <c r="B5034" s="4" t="s">
        <v>5050</v>
      </c>
      <c r="C5034" s="9" t="s">
        <v>50</v>
      </c>
      <c r="D5034" s="10"/>
      <c r="E5034" s="11" t="s">
        <v>51</v>
      </c>
      <c r="F5034" s="10"/>
      <c r="G5034" s="10">
        <v>0</v>
      </c>
      <c r="H5034" s="10">
        <f t="shared" si="78"/>
        <v>0</v>
      </c>
      <c r="I5034" s="10"/>
      <c r="J5034" s="10"/>
      <c r="K5034" s="10"/>
      <c r="L5034" s="4" t="s">
        <v>52</v>
      </c>
      <c r="M5034" s="4">
        <v>5029</v>
      </c>
    </row>
    <row r="5035" spans="1:13" x14ac:dyDescent="0.25">
      <c r="A5035" s="4" t="s">
        <v>5048</v>
      </c>
      <c r="B5035" s="4" t="s">
        <v>5051</v>
      </c>
      <c r="C5035" s="4" t="s">
        <v>65</v>
      </c>
      <c r="D5035" s="10">
        <v>26</v>
      </c>
      <c r="E5035" s="11" t="s">
        <v>51</v>
      </c>
      <c r="F5035" s="10"/>
      <c r="G5035" s="10">
        <v>0</v>
      </c>
      <c r="H5035" s="10">
        <f t="shared" si="78"/>
        <v>0</v>
      </c>
      <c r="I5035" s="10"/>
      <c r="J5035" s="10"/>
      <c r="K5035" s="10"/>
      <c r="L5035" s="4" t="s">
        <v>69</v>
      </c>
      <c r="M5035" s="4">
        <v>5030</v>
      </c>
    </row>
    <row r="5036" spans="1:13" x14ac:dyDescent="0.25">
      <c r="A5036" s="4" t="s">
        <v>5052</v>
      </c>
      <c r="B5036" s="4" t="s">
        <v>5053</v>
      </c>
      <c r="C5036" s="4" t="s">
        <v>68</v>
      </c>
      <c r="D5036" s="10">
        <v>33</v>
      </c>
      <c r="E5036" s="11" t="s">
        <v>51</v>
      </c>
      <c r="F5036" s="10">
        <v>2860</v>
      </c>
      <c r="G5036" s="10">
        <v>0</v>
      </c>
      <c r="H5036" s="10">
        <f t="shared" si="78"/>
        <v>2860</v>
      </c>
      <c r="I5036" s="10"/>
      <c r="J5036" s="10"/>
      <c r="K5036" s="10"/>
      <c r="L5036" s="4" t="s">
        <v>69</v>
      </c>
      <c r="M5036" s="4">
        <v>5031</v>
      </c>
    </row>
    <row r="5037" spans="1:13" x14ac:dyDescent="0.25">
      <c r="A5037" s="4" t="s">
        <v>5054</v>
      </c>
      <c r="B5037" s="4" t="s">
        <v>5055</v>
      </c>
      <c r="C5037" s="4" t="s">
        <v>65</v>
      </c>
      <c r="D5037" s="10">
        <v>33</v>
      </c>
      <c r="E5037" s="12" t="s">
        <v>66</v>
      </c>
      <c r="F5037" s="10">
        <v>950</v>
      </c>
      <c r="G5037" s="10">
        <v>0</v>
      </c>
      <c r="H5037" s="10">
        <f t="shared" si="78"/>
        <v>950</v>
      </c>
      <c r="I5037" s="10">
        <v>135.71428571428569</v>
      </c>
      <c r="J5037" s="10">
        <v>135.71428571428569</v>
      </c>
      <c r="K5037" s="10">
        <v>135.71428571428569</v>
      </c>
      <c r="L5037" s="4"/>
      <c r="M5037" s="4">
        <v>5032</v>
      </c>
    </row>
    <row r="5038" spans="1:13" x14ac:dyDescent="0.25">
      <c r="A5038" s="4" t="s">
        <v>5056</v>
      </c>
      <c r="B5038" s="4" t="s">
        <v>5057</v>
      </c>
      <c r="C5038" s="4" t="s">
        <v>65</v>
      </c>
      <c r="D5038" s="10">
        <v>20</v>
      </c>
      <c r="E5038" s="12" t="s">
        <v>66</v>
      </c>
      <c r="F5038" s="10">
        <v>2020</v>
      </c>
      <c r="G5038" s="10">
        <v>0</v>
      </c>
      <c r="H5038" s="10">
        <f t="shared" si="78"/>
        <v>2020</v>
      </c>
      <c r="I5038" s="10">
        <v>101</v>
      </c>
      <c r="J5038" s="10">
        <v>101</v>
      </c>
      <c r="K5038" s="10">
        <v>101</v>
      </c>
      <c r="L5038" s="4"/>
      <c r="M5038" s="4">
        <v>5033</v>
      </c>
    </row>
    <row r="5039" spans="1:13" x14ac:dyDescent="0.25">
      <c r="A5039" s="4" t="s">
        <v>5056</v>
      </c>
      <c r="B5039" s="4" t="s">
        <v>5058</v>
      </c>
      <c r="C5039" s="4" t="s">
        <v>65</v>
      </c>
      <c r="D5039" s="10">
        <v>960.5</v>
      </c>
      <c r="E5039" s="12" t="s">
        <v>66</v>
      </c>
      <c r="F5039" s="10">
        <v>560</v>
      </c>
      <c r="G5039" s="10">
        <v>0</v>
      </c>
      <c r="H5039" s="10">
        <f t="shared" si="78"/>
        <v>560</v>
      </c>
      <c r="I5039" s="10">
        <v>93.333333333333329</v>
      </c>
      <c r="J5039" s="10">
        <v>93.333333333333329</v>
      </c>
      <c r="K5039" s="10">
        <v>93.333333333333329</v>
      </c>
      <c r="L5039" s="4"/>
      <c r="M5039" s="4">
        <v>5034</v>
      </c>
    </row>
    <row r="5040" spans="1:13" x14ac:dyDescent="0.25">
      <c r="A5040" s="4" t="s">
        <v>5059</v>
      </c>
      <c r="B5040" s="4" t="s">
        <v>4640</v>
      </c>
      <c r="C5040" s="4" t="s">
        <v>65</v>
      </c>
      <c r="D5040" s="10">
        <v>32</v>
      </c>
      <c r="E5040" s="12" t="s">
        <v>66</v>
      </c>
      <c r="F5040" s="10">
        <v>3713.51</v>
      </c>
      <c r="G5040" s="10">
        <v>0</v>
      </c>
      <c r="H5040" s="10">
        <f t="shared" si="78"/>
        <v>3713.51</v>
      </c>
      <c r="I5040" s="10">
        <v>116.04718750000001</v>
      </c>
      <c r="J5040" s="10">
        <v>116.04718750000001</v>
      </c>
      <c r="K5040" s="10">
        <v>116.04718750000001</v>
      </c>
      <c r="L5040" s="4"/>
      <c r="M5040" s="4">
        <v>5035</v>
      </c>
    </row>
    <row r="5041" spans="1:13" x14ac:dyDescent="0.25">
      <c r="A5041" s="4" t="s">
        <v>5059</v>
      </c>
      <c r="B5041" s="4" t="s">
        <v>4641</v>
      </c>
      <c r="C5041" s="4" t="s">
        <v>65</v>
      </c>
      <c r="D5041" s="10">
        <v>136</v>
      </c>
      <c r="E5041" s="12" t="s">
        <v>66</v>
      </c>
      <c r="F5041" s="10">
        <v>16432.29</v>
      </c>
      <c r="G5041" s="10">
        <v>0</v>
      </c>
      <c r="H5041" s="10">
        <f t="shared" si="78"/>
        <v>16432.29</v>
      </c>
      <c r="I5041" s="10">
        <v>120.8256617647059</v>
      </c>
      <c r="J5041" s="10">
        <v>120.8256617647059</v>
      </c>
      <c r="K5041" s="10">
        <v>120.8256617647059</v>
      </c>
      <c r="L5041" s="4"/>
      <c r="M5041" s="4">
        <v>5036</v>
      </c>
    </row>
    <row r="5042" spans="1:13" x14ac:dyDescent="0.25">
      <c r="A5042" s="4" t="s">
        <v>5059</v>
      </c>
      <c r="B5042" s="4" t="s">
        <v>4642</v>
      </c>
      <c r="C5042" s="4" t="s">
        <v>65</v>
      </c>
      <c r="D5042" s="10">
        <v>284.5</v>
      </c>
      <c r="E5042" s="12" t="s">
        <v>66</v>
      </c>
      <c r="F5042" s="10">
        <v>28315.53</v>
      </c>
      <c r="G5042" s="10">
        <v>0</v>
      </c>
      <c r="H5042" s="10">
        <f t="shared" si="78"/>
        <v>28315.53</v>
      </c>
      <c r="I5042" s="10">
        <v>99.527346221441121</v>
      </c>
      <c r="J5042" s="10">
        <v>99.527346221441121</v>
      </c>
      <c r="K5042" s="10">
        <v>99.527346221441121</v>
      </c>
      <c r="L5042" s="4"/>
      <c r="M5042" s="4">
        <v>5037</v>
      </c>
    </row>
    <row r="5043" spans="1:13" x14ac:dyDescent="0.25">
      <c r="A5043" s="4" t="s">
        <v>5059</v>
      </c>
      <c r="B5043" s="4" t="s">
        <v>4643</v>
      </c>
      <c r="C5043" s="4" t="s">
        <v>65</v>
      </c>
      <c r="D5043" s="10">
        <v>168</v>
      </c>
      <c r="E5043" s="12" t="s">
        <v>66</v>
      </c>
      <c r="F5043" s="10">
        <v>16710.8</v>
      </c>
      <c r="G5043" s="10">
        <v>0</v>
      </c>
      <c r="H5043" s="10">
        <f t="shared" si="78"/>
        <v>16710.8</v>
      </c>
      <c r="I5043" s="10">
        <v>99.469047619047615</v>
      </c>
      <c r="J5043" s="10">
        <v>99.469047619047615</v>
      </c>
      <c r="K5043" s="10">
        <v>99.469047619047615</v>
      </c>
      <c r="L5043" s="4"/>
      <c r="M5043" s="4">
        <v>5038</v>
      </c>
    </row>
    <row r="5044" spans="1:13" x14ac:dyDescent="0.25">
      <c r="A5044" s="4" t="s">
        <v>5059</v>
      </c>
      <c r="B5044" s="4" t="s">
        <v>4644</v>
      </c>
      <c r="C5044" s="4" t="s">
        <v>65</v>
      </c>
      <c r="D5044" s="10">
        <v>167</v>
      </c>
      <c r="E5044" s="12" t="s">
        <v>66</v>
      </c>
      <c r="F5044" s="10">
        <v>8355.4</v>
      </c>
      <c r="G5044" s="10">
        <v>0</v>
      </c>
      <c r="H5044" s="10">
        <f t="shared" si="78"/>
        <v>8355.4</v>
      </c>
      <c r="I5044" s="10">
        <v>50.032335329341308</v>
      </c>
      <c r="J5044" s="10">
        <v>50.032335329341308</v>
      </c>
      <c r="K5044" s="10">
        <v>50.032335329341308</v>
      </c>
      <c r="L5044" s="4"/>
      <c r="M5044" s="4">
        <v>5039</v>
      </c>
    </row>
    <row r="5045" spans="1:13" x14ac:dyDescent="0.25">
      <c r="A5045" s="4" t="s">
        <v>5059</v>
      </c>
      <c r="B5045" s="4" t="s">
        <v>4645</v>
      </c>
      <c r="C5045" s="4" t="s">
        <v>65</v>
      </c>
      <c r="D5045" s="10">
        <v>167</v>
      </c>
      <c r="E5045" s="12" t="s">
        <v>66</v>
      </c>
      <c r="F5045" s="10">
        <v>6034.46</v>
      </c>
      <c r="G5045" s="10">
        <v>0</v>
      </c>
      <c r="H5045" s="10">
        <f t="shared" si="78"/>
        <v>6034.46</v>
      </c>
      <c r="I5045" s="10">
        <v>36.134491017964073</v>
      </c>
      <c r="J5045" s="10">
        <v>36.134491017964073</v>
      </c>
      <c r="K5045" s="10">
        <v>36.134491017964073</v>
      </c>
      <c r="L5045" s="4"/>
      <c r="M5045" s="4">
        <v>5040</v>
      </c>
    </row>
    <row r="5046" spans="1:13" x14ac:dyDescent="0.25">
      <c r="A5046" s="4" t="s">
        <v>5059</v>
      </c>
      <c r="B5046" s="4" t="s">
        <v>5060</v>
      </c>
      <c r="C5046" s="4" t="s">
        <v>65</v>
      </c>
      <c r="D5046" s="10"/>
      <c r="E5046" s="11" t="s">
        <v>51</v>
      </c>
      <c r="F5046" s="10"/>
      <c r="G5046" s="10">
        <v>0</v>
      </c>
      <c r="H5046" s="10">
        <f t="shared" si="78"/>
        <v>0</v>
      </c>
      <c r="I5046" s="10"/>
      <c r="J5046" s="10"/>
      <c r="K5046" s="10"/>
      <c r="L5046" s="4" t="s">
        <v>69</v>
      </c>
      <c r="M5046" s="4">
        <v>5041</v>
      </c>
    </row>
    <row r="5047" spans="1:13" x14ac:dyDescent="0.25">
      <c r="A5047" s="4" t="s">
        <v>5059</v>
      </c>
      <c r="B5047" s="4" t="s">
        <v>4389</v>
      </c>
      <c r="C5047" s="4" t="s">
        <v>68</v>
      </c>
      <c r="D5047" s="10">
        <v>12</v>
      </c>
      <c r="E5047" s="11" t="s">
        <v>51</v>
      </c>
      <c r="F5047" s="10"/>
      <c r="G5047" s="10">
        <v>0</v>
      </c>
      <c r="H5047" s="10">
        <f t="shared" si="78"/>
        <v>0</v>
      </c>
      <c r="I5047" s="10"/>
      <c r="J5047" s="10"/>
      <c r="K5047" s="10"/>
      <c r="L5047" s="4" t="s">
        <v>69</v>
      </c>
      <c r="M5047" s="4">
        <v>5042</v>
      </c>
    </row>
    <row r="5048" spans="1:13" x14ac:dyDescent="0.25">
      <c r="A5048" s="4" t="s">
        <v>5061</v>
      </c>
      <c r="B5048" s="4" t="s">
        <v>5062</v>
      </c>
      <c r="C5048" s="4" t="s">
        <v>68</v>
      </c>
      <c r="D5048" s="10">
        <v>34</v>
      </c>
      <c r="E5048" s="11" t="s">
        <v>51</v>
      </c>
      <c r="F5048" s="10">
        <v>1110</v>
      </c>
      <c r="G5048" s="10">
        <v>0</v>
      </c>
      <c r="H5048" s="10">
        <f t="shared" si="78"/>
        <v>1110</v>
      </c>
      <c r="I5048" s="10"/>
      <c r="J5048" s="10"/>
      <c r="K5048" s="10"/>
      <c r="L5048" s="4" t="s">
        <v>69</v>
      </c>
      <c r="M5048" s="4">
        <v>5043</v>
      </c>
    </row>
    <row r="5049" spans="1:13" x14ac:dyDescent="0.25">
      <c r="A5049" s="4" t="s">
        <v>5063</v>
      </c>
      <c r="B5049" s="4" t="s">
        <v>4355</v>
      </c>
      <c r="C5049" s="4" t="s">
        <v>65</v>
      </c>
      <c r="D5049" s="10">
        <v>44</v>
      </c>
      <c r="E5049" s="12" t="s">
        <v>66</v>
      </c>
      <c r="F5049" s="10">
        <v>2800</v>
      </c>
      <c r="G5049" s="10">
        <v>0</v>
      </c>
      <c r="H5049" s="10">
        <f t="shared" si="78"/>
        <v>2800</v>
      </c>
      <c r="I5049" s="10">
        <v>127.27272727272729</v>
      </c>
      <c r="J5049" s="10">
        <v>127.27272727272729</v>
      </c>
      <c r="K5049" s="10">
        <v>127.27272727272729</v>
      </c>
      <c r="L5049" s="4"/>
      <c r="M5049" s="4">
        <v>5044</v>
      </c>
    </row>
    <row r="5050" spans="1:13" x14ac:dyDescent="0.25">
      <c r="A5050" s="4" t="s">
        <v>5064</v>
      </c>
      <c r="B5050" s="4" t="s">
        <v>4355</v>
      </c>
      <c r="C5050" s="4" t="s">
        <v>65</v>
      </c>
      <c r="D5050" s="10">
        <v>514</v>
      </c>
      <c r="E5050" s="12" t="s">
        <v>66</v>
      </c>
      <c r="F5050" s="10">
        <v>2800</v>
      </c>
      <c r="G5050" s="10">
        <v>0</v>
      </c>
      <c r="H5050" s="10">
        <f t="shared" si="78"/>
        <v>2800</v>
      </c>
      <c r="I5050" s="10">
        <v>127.27272727272729</v>
      </c>
      <c r="J5050" s="10">
        <v>127.27272727272729</v>
      </c>
      <c r="K5050" s="10">
        <v>127.27272727272729</v>
      </c>
      <c r="L5050" s="4"/>
      <c r="M5050" s="4">
        <v>5045</v>
      </c>
    </row>
    <row r="5051" spans="1:13" x14ac:dyDescent="0.25">
      <c r="A5051" s="4" t="s">
        <v>5065</v>
      </c>
      <c r="B5051" s="4" t="s">
        <v>5066</v>
      </c>
      <c r="C5051" s="4" t="s">
        <v>68</v>
      </c>
      <c r="D5051" s="10">
        <v>30</v>
      </c>
      <c r="E5051" s="11" t="s">
        <v>51</v>
      </c>
      <c r="F5051" s="10">
        <v>3450</v>
      </c>
      <c r="G5051" s="10">
        <v>0</v>
      </c>
      <c r="H5051" s="10">
        <f t="shared" si="78"/>
        <v>3450</v>
      </c>
      <c r="I5051" s="10"/>
      <c r="J5051" s="10"/>
      <c r="K5051" s="10"/>
      <c r="L5051" s="4" t="s">
        <v>69</v>
      </c>
      <c r="M5051" s="4">
        <v>5046</v>
      </c>
    </row>
    <row r="5052" spans="1:13" x14ac:dyDescent="0.25">
      <c r="A5052" s="4" t="s">
        <v>5065</v>
      </c>
      <c r="B5052" s="4" t="s">
        <v>5067</v>
      </c>
      <c r="C5052" s="4" t="s">
        <v>68</v>
      </c>
      <c r="D5052" s="10">
        <v>120</v>
      </c>
      <c r="E5052" s="11" t="s">
        <v>51</v>
      </c>
      <c r="F5052" s="10">
        <v>13800</v>
      </c>
      <c r="G5052" s="10">
        <v>0</v>
      </c>
      <c r="H5052" s="10">
        <f t="shared" si="78"/>
        <v>13800</v>
      </c>
      <c r="I5052" s="10"/>
      <c r="J5052" s="10"/>
      <c r="K5052" s="10"/>
      <c r="L5052" s="4" t="s">
        <v>69</v>
      </c>
      <c r="M5052" s="4">
        <v>5047</v>
      </c>
    </row>
    <row r="5053" spans="1:13" x14ac:dyDescent="0.25">
      <c r="A5053" s="4" t="s">
        <v>5065</v>
      </c>
      <c r="B5053" s="4" t="s">
        <v>5068</v>
      </c>
      <c r="C5053" s="4" t="s">
        <v>68</v>
      </c>
      <c r="D5053" s="10">
        <v>20</v>
      </c>
      <c r="E5053" s="11" t="s">
        <v>51</v>
      </c>
      <c r="F5053" s="10">
        <v>1400</v>
      </c>
      <c r="G5053" s="10">
        <v>0</v>
      </c>
      <c r="H5053" s="10">
        <f t="shared" si="78"/>
        <v>1400</v>
      </c>
      <c r="I5053" s="10"/>
      <c r="J5053" s="10"/>
      <c r="K5053" s="10"/>
      <c r="L5053" s="4" t="s">
        <v>69</v>
      </c>
      <c r="M5053" s="4">
        <v>5048</v>
      </c>
    </row>
    <row r="5054" spans="1:13" x14ac:dyDescent="0.25">
      <c r="A5054" s="4" t="s">
        <v>5065</v>
      </c>
      <c r="B5054" s="4" t="s">
        <v>5069</v>
      </c>
      <c r="C5054" s="4" t="s">
        <v>68</v>
      </c>
      <c r="D5054" s="10">
        <v>50</v>
      </c>
      <c r="E5054" s="11" t="s">
        <v>51</v>
      </c>
      <c r="F5054" s="10">
        <v>5750</v>
      </c>
      <c r="G5054" s="10">
        <v>0</v>
      </c>
      <c r="H5054" s="10">
        <f t="shared" si="78"/>
        <v>5750</v>
      </c>
      <c r="I5054" s="10"/>
      <c r="J5054" s="10"/>
      <c r="K5054" s="10"/>
      <c r="L5054" s="4" t="s">
        <v>69</v>
      </c>
      <c r="M5054" s="4">
        <v>5049</v>
      </c>
    </row>
    <row r="5055" spans="1:13" x14ac:dyDescent="0.25">
      <c r="A5055" s="4" t="s">
        <v>5065</v>
      </c>
      <c r="B5055" s="4" t="s">
        <v>5070</v>
      </c>
      <c r="C5055" s="4" t="s">
        <v>68</v>
      </c>
      <c r="D5055" s="10">
        <v>20</v>
      </c>
      <c r="E5055" s="11" t="s">
        <v>51</v>
      </c>
      <c r="F5055" s="10">
        <v>2300</v>
      </c>
      <c r="G5055" s="10">
        <v>0</v>
      </c>
      <c r="H5055" s="10">
        <f t="shared" si="78"/>
        <v>2300</v>
      </c>
      <c r="I5055" s="10"/>
      <c r="J5055" s="10"/>
      <c r="K5055" s="10"/>
      <c r="L5055" s="4" t="s">
        <v>69</v>
      </c>
      <c r="M5055" s="4">
        <v>5050</v>
      </c>
    </row>
    <row r="5056" spans="1:13" x14ac:dyDescent="0.25">
      <c r="A5056" s="4" t="s">
        <v>5065</v>
      </c>
      <c r="B5056" s="4" t="s">
        <v>5071</v>
      </c>
      <c r="C5056" s="4" t="s">
        <v>68</v>
      </c>
      <c r="D5056" s="10">
        <v>160</v>
      </c>
      <c r="E5056" s="11" t="s">
        <v>51</v>
      </c>
      <c r="F5056" s="10">
        <v>18400</v>
      </c>
      <c r="G5056" s="10">
        <v>0</v>
      </c>
      <c r="H5056" s="10">
        <f t="shared" si="78"/>
        <v>18400</v>
      </c>
      <c r="I5056" s="10"/>
      <c r="J5056" s="10"/>
      <c r="K5056" s="10"/>
      <c r="L5056" s="4" t="s">
        <v>69</v>
      </c>
      <c r="M5056" s="4">
        <v>5051</v>
      </c>
    </row>
    <row r="5057" spans="1:13" x14ac:dyDescent="0.25">
      <c r="A5057" s="4" t="s">
        <v>5065</v>
      </c>
      <c r="B5057" s="4" t="s">
        <v>5072</v>
      </c>
      <c r="C5057" s="4" t="s">
        <v>68</v>
      </c>
      <c r="D5057" s="10">
        <v>20</v>
      </c>
      <c r="E5057" s="11" t="s">
        <v>51</v>
      </c>
      <c r="F5057" s="10">
        <v>1400</v>
      </c>
      <c r="G5057" s="10">
        <v>0</v>
      </c>
      <c r="H5057" s="10">
        <f t="shared" si="78"/>
        <v>1400</v>
      </c>
      <c r="I5057" s="10"/>
      <c r="J5057" s="10"/>
      <c r="K5057" s="10"/>
      <c r="L5057" s="4" t="s">
        <v>69</v>
      </c>
      <c r="M5057" s="4">
        <v>5052</v>
      </c>
    </row>
    <row r="5058" spans="1:13" x14ac:dyDescent="0.25">
      <c r="A5058" s="4" t="s">
        <v>5065</v>
      </c>
      <c r="B5058" s="4" t="s">
        <v>5073</v>
      </c>
      <c r="C5058" s="4" t="s">
        <v>68</v>
      </c>
      <c r="D5058" s="10">
        <v>30</v>
      </c>
      <c r="E5058" s="11" t="s">
        <v>51</v>
      </c>
      <c r="F5058" s="10">
        <v>2100</v>
      </c>
      <c r="G5058" s="10">
        <v>0</v>
      </c>
      <c r="H5058" s="10">
        <f t="shared" si="78"/>
        <v>2100</v>
      </c>
      <c r="I5058" s="10"/>
      <c r="J5058" s="10"/>
      <c r="K5058" s="10"/>
      <c r="L5058" s="4" t="s">
        <v>69</v>
      </c>
      <c r="M5058" s="4">
        <v>5053</v>
      </c>
    </row>
    <row r="5059" spans="1:13" x14ac:dyDescent="0.25">
      <c r="A5059" s="4" t="s">
        <v>5065</v>
      </c>
      <c r="B5059" s="4" t="s">
        <v>5074</v>
      </c>
      <c r="C5059" s="4" t="s">
        <v>68</v>
      </c>
      <c r="D5059" s="10">
        <v>25</v>
      </c>
      <c r="E5059" s="11" t="s">
        <v>51</v>
      </c>
      <c r="F5059" s="10">
        <v>1750</v>
      </c>
      <c r="G5059" s="10">
        <v>0</v>
      </c>
      <c r="H5059" s="10">
        <f t="shared" si="78"/>
        <v>1750</v>
      </c>
      <c r="I5059" s="10"/>
      <c r="J5059" s="10"/>
      <c r="K5059" s="10"/>
      <c r="L5059" s="4" t="s">
        <v>69</v>
      </c>
      <c r="M5059" s="4">
        <v>5054</v>
      </c>
    </row>
    <row r="5060" spans="1:13" x14ac:dyDescent="0.25">
      <c r="A5060" s="4" t="s">
        <v>5065</v>
      </c>
      <c r="B5060" s="4" t="s">
        <v>5075</v>
      </c>
      <c r="C5060" s="4" t="s">
        <v>68</v>
      </c>
      <c r="D5060" s="10">
        <v>12</v>
      </c>
      <c r="E5060" s="11" t="s">
        <v>51</v>
      </c>
      <c r="F5060" s="10">
        <v>1380</v>
      </c>
      <c r="G5060" s="10">
        <v>0</v>
      </c>
      <c r="H5060" s="10">
        <f t="shared" si="78"/>
        <v>1380</v>
      </c>
      <c r="I5060" s="10"/>
      <c r="J5060" s="10"/>
      <c r="K5060" s="10"/>
      <c r="L5060" s="4" t="s">
        <v>69</v>
      </c>
      <c r="M5060" s="4">
        <v>5055</v>
      </c>
    </row>
    <row r="5061" spans="1:13" x14ac:dyDescent="0.25">
      <c r="A5061" s="4" t="s">
        <v>5065</v>
      </c>
      <c r="B5061" s="4" t="s">
        <v>5076</v>
      </c>
      <c r="C5061" s="4" t="s">
        <v>68</v>
      </c>
      <c r="D5061" s="10">
        <v>75</v>
      </c>
      <c r="E5061" s="11" t="s">
        <v>51</v>
      </c>
      <c r="F5061" s="10">
        <v>575</v>
      </c>
      <c r="G5061" s="10">
        <v>0</v>
      </c>
      <c r="H5061" s="10">
        <f t="shared" si="78"/>
        <v>575</v>
      </c>
      <c r="I5061" s="10"/>
      <c r="J5061" s="10"/>
      <c r="K5061" s="10"/>
      <c r="L5061" s="4" t="s">
        <v>69</v>
      </c>
      <c r="M5061" s="4">
        <v>5056</v>
      </c>
    </row>
    <row r="5062" spans="1:13" x14ac:dyDescent="0.25">
      <c r="A5062" s="4" t="s">
        <v>5077</v>
      </c>
      <c r="B5062" s="4" t="s">
        <v>4007</v>
      </c>
      <c r="C5062" s="4" t="s">
        <v>65</v>
      </c>
      <c r="D5062" s="10">
        <v>1</v>
      </c>
      <c r="E5062" s="12" t="s">
        <v>66</v>
      </c>
      <c r="F5062" s="10">
        <v>154.19999999999999</v>
      </c>
      <c r="G5062" s="10">
        <v>0</v>
      </c>
      <c r="H5062" s="10">
        <f t="shared" ref="H5062:H5125" si="79">F5062-G5062</f>
        <v>154.19999999999999</v>
      </c>
      <c r="I5062" s="10">
        <v>154.19999999999999</v>
      </c>
      <c r="J5062" s="10">
        <v>154.19999999999999</v>
      </c>
      <c r="K5062" s="10">
        <v>154.19999999999999</v>
      </c>
      <c r="L5062" s="4"/>
      <c r="M5062" s="4">
        <v>5057</v>
      </c>
    </row>
    <row r="5063" spans="1:13" x14ac:dyDescent="0.25">
      <c r="A5063" s="4" t="s">
        <v>5077</v>
      </c>
      <c r="B5063" s="4" t="s">
        <v>3677</v>
      </c>
      <c r="C5063" s="4" t="s">
        <v>65</v>
      </c>
      <c r="D5063" s="10">
        <v>20</v>
      </c>
      <c r="E5063" s="12" t="s">
        <v>66</v>
      </c>
      <c r="F5063" s="10">
        <v>2313</v>
      </c>
      <c r="G5063" s="10">
        <v>0</v>
      </c>
      <c r="H5063" s="10">
        <f t="shared" si="79"/>
        <v>2313</v>
      </c>
      <c r="I5063" s="10">
        <v>115.65</v>
      </c>
      <c r="J5063" s="10">
        <v>115.65</v>
      </c>
      <c r="K5063" s="10">
        <v>115.65</v>
      </c>
      <c r="L5063" s="4"/>
      <c r="M5063" s="4">
        <v>5058</v>
      </c>
    </row>
    <row r="5064" spans="1:13" x14ac:dyDescent="0.25">
      <c r="A5064" s="4" t="s">
        <v>5077</v>
      </c>
      <c r="B5064" s="4" t="s">
        <v>3678</v>
      </c>
      <c r="C5064" s="4" t="s">
        <v>65</v>
      </c>
      <c r="D5064" s="10">
        <v>25</v>
      </c>
      <c r="E5064" s="12" t="s">
        <v>66</v>
      </c>
      <c r="F5064" s="10">
        <v>2929.8</v>
      </c>
      <c r="G5064" s="10">
        <v>0</v>
      </c>
      <c r="H5064" s="10">
        <f t="shared" si="79"/>
        <v>2929.8</v>
      </c>
      <c r="I5064" s="10">
        <v>117.19199999999999</v>
      </c>
      <c r="J5064" s="10">
        <v>117.19199999999999</v>
      </c>
      <c r="K5064" s="10">
        <v>117.19199999999999</v>
      </c>
      <c r="L5064" s="4"/>
      <c r="M5064" s="4">
        <v>5059</v>
      </c>
    </row>
    <row r="5065" spans="1:13" x14ac:dyDescent="0.25">
      <c r="A5065" s="4" t="s">
        <v>5077</v>
      </c>
      <c r="B5065" s="4" t="s">
        <v>3680</v>
      </c>
      <c r="C5065" s="4" t="s">
        <v>65</v>
      </c>
      <c r="D5065" s="10">
        <v>28</v>
      </c>
      <c r="E5065" s="12" t="s">
        <v>66</v>
      </c>
      <c r="F5065" s="10">
        <v>2313</v>
      </c>
      <c r="G5065" s="10">
        <v>0</v>
      </c>
      <c r="H5065" s="10">
        <f t="shared" si="79"/>
        <v>2313</v>
      </c>
      <c r="I5065" s="10">
        <v>82.607142857142861</v>
      </c>
      <c r="J5065" s="10">
        <v>82.607142857142861</v>
      </c>
      <c r="K5065" s="10">
        <v>82.607142857142861</v>
      </c>
      <c r="L5065" s="4"/>
      <c r="M5065" s="4">
        <v>5060</v>
      </c>
    </row>
    <row r="5066" spans="1:13" x14ac:dyDescent="0.25">
      <c r="A5066" s="4" t="s">
        <v>5077</v>
      </c>
      <c r="B5066" s="4" t="s">
        <v>97</v>
      </c>
      <c r="C5066" s="9" t="s">
        <v>50</v>
      </c>
      <c r="D5066" s="10">
        <v>12.5</v>
      </c>
      <c r="E5066" s="11" t="s">
        <v>51</v>
      </c>
      <c r="F5066" s="10"/>
      <c r="G5066" s="10">
        <v>0</v>
      </c>
      <c r="H5066" s="10">
        <f t="shared" si="79"/>
        <v>0</v>
      </c>
      <c r="I5066" s="10"/>
      <c r="J5066" s="10"/>
      <c r="K5066" s="10"/>
      <c r="L5066" s="4" t="s">
        <v>52</v>
      </c>
      <c r="M5066" s="4">
        <v>5061</v>
      </c>
    </row>
    <row r="5067" spans="1:13" x14ac:dyDescent="0.25">
      <c r="A5067" s="4" t="s">
        <v>5078</v>
      </c>
      <c r="B5067" s="4" t="s">
        <v>5079</v>
      </c>
      <c r="C5067" s="4" t="s">
        <v>65</v>
      </c>
      <c r="D5067" s="10">
        <v>52.5</v>
      </c>
      <c r="E5067" s="12" t="s">
        <v>66</v>
      </c>
      <c r="F5067" s="10">
        <v>900</v>
      </c>
      <c r="G5067" s="10">
        <v>0</v>
      </c>
      <c r="H5067" s="10">
        <f t="shared" si="79"/>
        <v>900</v>
      </c>
      <c r="I5067" s="10">
        <v>72</v>
      </c>
      <c r="J5067" s="10">
        <v>72</v>
      </c>
      <c r="K5067" s="10">
        <v>72</v>
      </c>
      <c r="L5067" s="4"/>
      <c r="M5067" s="4">
        <v>5062</v>
      </c>
    </row>
    <row r="5068" spans="1:13" x14ac:dyDescent="0.25">
      <c r="A5068" s="4" t="s">
        <v>5080</v>
      </c>
      <c r="B5068" s="4" t="s">
        <v>5081</v>
      </c>
      <c r="C5068" s="4" t="s">
        <v>68</v>
      </c>
      <c r="D5068" s="10">
        <v>50</v>
      </c>
      <c r="E5068" s="11" t="s">
        <v>51</v>
      </c>
      <c r="F5068" s="10">
        <v>5200</v>
      </c>
      <c r="G5068" s="10">
        <v>0</v>
      </c>
      <c r="H5068" s="10">
        <f t="shared" si="79"/>
        <v>5200</v>
      </c>
      <c r="I5068" s="10"/>
      <c r="J5068" s="10"/>
      <c r="K5068" s="10"/>
      <c r="L5068" s="4" t="s">
        <v>69</v>
      </c>
      <c r="M5068" s="4">
        <v>5063</v>
      </c>
    </row>
    <row r="5069" spans="1:13" x14ac:dyDescent="0.25">
      <c r="A5069" s="4" t="s">
        <v>5082</v>
      </c>
      <c r="B5069" s="4" t="s">
        <v>248</v>
      </c>
      <c r="C5069" s="4" t="s">
        <v>68</v>
      </c>
      <c r="D5069" s="10">
        <v>2</v>
      </c>
      <c r="E5069" s="11" t="s">
        <v>51</v>
      </c>
      <c r="F5069" s="10">
        <v>280</v>
      </c>
      <c r="G5069" s="10">
        <v>0</v>
      </c>
      <c r="H5069" s="10">
        <f t="shared" si="79"/>
        <v>280</v>
      </c>
      <c r="I5069" s="10"/>
      <c r="J5069" s="10"/>
      <c r="K5069" s="10"/>
      <c r="L5069" s="4" t="s">
        <v>69</v>
      </c>
      <c r="M5069" s="4">
        <v>5064</v>
      </c>
    </row>
    <row r="5070" spans="1:13" x14ac:dyDescent="0.25">
      <c r="A5070" s="4" t="s">
        <v>5082</v>
      </c>
      <c r="B5070" s="4" t="s">
        <v>5083</v>
      </c>
      <c r="C5070" s="4" t="s">
        <v>68</v>
      </c>
      <c r="D5070" s="10">
        <v>16</v>
      </c>
      <c r="E5070" s="11" t="s">
        <v>51</v>
      </c>
      <c r="F5070" s="10">
        <v>640</v>
      </c>
      <c r="G5070" s="10">
        <v>0</v>
      </c>
      <c r="H5070" s="10">
        <f t="shared" si="79"/>
        <v>640</v>
      </c>
      <c r="I5070" s="10"/>
      <c r="J5070" s="10"/>
      <c r="K5070" s="10"/>
      <c r="L5070" s="4" t="s">
        <v>69</v>
      </c>
      <c r="M5070" s="4">
        <v>5065</v>
      </c>
    </row>
    <row r="5071" spans="1:13" x14ac:dyDescent="0.25">
      <c r="A5071" s="4" t="s">
        <v>5084</v>
      </c>
      <c r="B5071" s="4" t="s">
        <v>5085</v>
      </c>
      <c r="C5071" s="4" t="s">
        <v>68</v>
      </c>
      <c r="D5071" s="10">
        <v>48</v>
      </c>
      <c r="E5071" s="11" t="s">
        <v>51</v>
      </c>
      <c r="F5071" s="10">
        <v>2000</v>
      </c>
      <c r="G5071" s="10">
        <v>0</v>
      </c>
      <c r="H5071" s="10">
        <f t="shared" si="79"/>
        <v>2000</v>
      </c>
      <c r="I5071" s="10"/>
      <c r="J5071" s="10"/>
      <c r="K5071" s="10"/>
      <c r="L5071" s="4" t="s">
        <v>69</v>
      </c>
      <c r="M5071" s="4">
        <v>5066</v>
      </c>
    </row>
    <row r="5072" spans="1:13" x14ac:dyDescent="0.25">
      <c r="A5072" s="4" t="s">
        <v>5086</v>
      </c>
      <c r="B5072" s="4" t="s">
        <v>5087</v>
      </c>
      <c r="C5072" s="4" t="s">
        <v>65</v>
      </c>
      <c r="D5072" s="10">
        <v>90</v>
      </c>
      <c r="E5072" s="12" t="s">
        <v>66</v>
      </c>
      <c r="F5072" s="10">
        <v>4900</v>
      </c>
      <c r="G5072" s="10">
        <v>0</v>
      </c>
      <c r="H5072" s="10">
        <f t="shared" si="79"/>
        <v>4900</v>
      </c>
      <c r="I5072" s="10">
        <v>153.125</v>
      </c>
      <c r="J5072" s="10">
        <v>153.125</v>
      </c>
      <c r="K5072" s="10">
        <v>153.125</v>
      </c>
      <c r="L5072" s="4"/>
      <c r="M5072" s="4">
        <v>5067</v>
      </c>
    </row>
    <row r="5073" spans="1:13" x14ac:dyDescent="0.25">
      <c r="A5073" s="4" t="s">
        <v>5088</v>
      </c>
      <c r="B5073" s="4" t="s">
        <v>3825</v>
      </c>
      <c r="C5073" s="4" t="s">
        <v>65</v>
      </c>
      <c r="D5073" s="10">
        <v>30</v>
      </c>
      <c r="E5073" s="12" t="s">
        <v>66</v>
      </c>
      <c r="F5073" s="10">
        <v>4200</v>
      </c>
      <c r="G5073" s="10">
        <v>0</v>
      </c>
      <c r="H5073" s="10">
        <f t="shared" si="79"/>
        <v>4200</v>
      </c>
      <c r="I5073" s="10">
        <v>140</v>
      </c>
      <c r="J5073" s="10">
        <v>140</v>
      </c>
      <c r="K5073" s="10">
        <v>140</v>
      </c>
      <c r="L5073" s="4"/>
      <c r="M5073" s="4">
        <v>5068</v>
      </c>
    </row>
    <row r="5074" spans="1:13" x14ac:dyDescent="0.25">
      <c r="A5074" s="4" t="s">
        <v>5088</v>
      </c>
      <c r="B5074" s="4" t="s">
        <v>5089</v>
      </c>
      <c r="C5074" s="4" t="s">
        <v>65</v>
      </c>
      <c r="D5074" s="10">
        <v>8</v>
      </c>
      <c r="E5074" s="12" t="s">
        <v>66</v>
      </c>
      <c r="F5074" s="10">
        <v>750</v>
      </c>
      <c r="G5074" s="10">
        <v>0</v>
      </c>
      <c r="H5074" s="10">
        <f t="shared" si="79"/>
        <v>750</v>
      </c>
      <c r="I5074" s="10">
        <v>93.75</v>
      </c>
      <c r="J5074" s="10">
        <v>93.75</v>
      </c>
      <c r="K5074" s="10">
        <v>93.75</v>
      </c>
      <c r="L5074" s="4"/>
      <c r="M5074" s="4">
        <v>5069</v>
      </c>
    </row>
    <row r="5075" spans="1:13" x14ac:dyDescent="0.25">
      <c r="A5075" s="4" t="s">
        <v>5088</v>
      </c>
      <c r="B5075" s="4" t="s">
        <v>5090</v>
      </c>
      <c r="C5075" s="4" t="s">
        <v>68</v>
      </c>
      <c r="D5075" s="10">
        <v>36</v>
      </c>
      <c r="E5075" s="11" t="s">
        <v>51</v>
      </c>
      <c r="F5075" s="10">
        <v>2400</v>
      </c>
      <c r="G5075" s="10">
        <v>0</v>
      </c>
      <c r="H5075" s="10">
        <f t="shared" si="79"/>
        <v>2400</v>
      </c>
      <c r="I5075" s="10"/>
      <c r="J5075" s="10"/>
      <c r="K5075" s="10"/>
      <c r="L5075" s="4" t="s">
        <v>69</v>
      </c>
      <c r="M5075" s="4">
        <v>5070</v>
      </c>
    </row>
    <row r="5076" spans="1:13" x14ac:dyDescent="0.25">
      <c r="A5076" s="4" t="s">
        <v>5091</v>
      </c>
      <c r="B5076" s="4" t="s">
        <v>5092</v>
      </c>
      <c r="C5076" s="4" t="s">
        <v>65</v>
      </c>
      <c r="D5076" s="10">
        <v>96</v>
      </c>
      <c r="E5076" s="12" t="s">
        <v>66</v>
      </c>
      <c r="F5076" s="10">
        <v>2600</v>
      </c>
      <c r="G5076" s="10">
        <v>0</v>
      </c>
      <c r="H5076" s="10">
        <f t="shared" si="79"/>
        <v>2600</v>
      </c>
      <c r="I5076" s="10">
        <v>162.5</v>
      </c>
      <c r="J5076" s="10">
        <v>162.5</v>
      </c>
      <c r="K5076" s="10">
        <v>162.5</v>
      </c>
      <c r="L5076" s="4"/>
      <c r="M5076" s="4">
        <v>5071</v>
      </c>
    </row>
    <row r="5077" spans="1:13" x14ac:dyDescent="0.25">
      <c r="A5077" s="4" t="s">
        <v>5093</v>
      </c>
      <c r="B5077" s="4" t="s">
        <v>5094</v>
      </c>
      <c r="C5077" s="4" t="s">
        <v>68</v>
      </c>
      <c r="D5077" s="10">
        <v>120</v>
      </c>
      <c r="E5077" s="11" t="s">
        <v>51</v>
      </c>
      <c r="F5077" s="10">
        <v>10000</v>
      </c>
      <c r="G5077" s="10">
        <v>0</v>
      </c>
      <c r="H5077" s="10">
        <f t="shared" si="79"/>
        <v>10000</v>
      </c>
      <c r="I5077" s="10"/>
      <c r="J5077" s="10"/>
      <c r="K5077" s="10"/>
      <c r="L5077" s="4" t="s">
        <v>69</v>
      </c>
      <c r="M5077" s="4">
        <v>5072</v>
      </c>
    </row>
    <row r="5078" spans="1:13" x14ac:dyDescent="0.25">
      <c r="A5078" s="4" t="s">
        <v>5095</v>
      </c>
      <c r="B5078" s="4" t="s">
        <v>5096</v>
      </c>
      <c r="C5078" s="4" t="s">
        <v>65</v>
      </c>
      <c r="D5078" s="10">
        <v>64</v>
      </c>
      <c r="E5078" s="12" t="s">
        <v>66</v>
      </c>
      <c r="F5078" s="10">
        <v>5100</v>
      </c>
      <c r="G5078" s="10">
        <v>0</v>
      </c>
      <c r="H5078" s="10">
        <f t="shared" si="79"/>
        <v>5100</v>
      </c>
      <c r="I5078" s="10">
        <v>127.5</v>
      </c>
      <c r="J5078" s="10">
        <v>127.5</v>
      </c>
      <c r="K5078" s="10">
        <v>127.5</v>
      </c>
      <c r="L5078" s="4"/>
      <c r="M5078" s="4">
        <v>5073</v>
      </c>
    </row>
    <row r="5079" spans="1:13" x14ac:dyDescent="0.25">
      <c r="A5079" s="4" t="s">
        <v>5097</v>
      </c>
      <c r="B5079" s="4" t="s">
        <v>5098</v>
      </c>
      <c r="C5079" s="4" t="s">
        <v>68</v>
      </c>
      <c r="D5079" s="10">
        <v>75</v>
      </c>
      <c r="E5079" s="11" t="s">
        <v>51</v>
      </c>
      <c r="F5079" s="10">
        <v>3000</v>
      </c>
      <c r="G5079" s="10">
        <v>0</v>
      </c>
      <c r="H5079" s="10">
        <f t="shared" si="79"/>
        <v>3000</v>
      </c>
      <c r="I5079" s="10"/>
      <c r="J5079" s="10"/>
      <c r="K5079" s="10"/>
      <c r="L5079" s="4" t="s">
        <v>69</v>
      </c>
      <c r="M5079" s="4">
        <v>5074</v>
      </c>
    </row>
    <row r="5080" spans="1:13" x14ac:dyDescent="0.25">
      <c r="A5080" s="4" t="s">
        <v>5099</v>
      </c>
      <c r="B5080" s="4" t="s">
        <v>5100</v>
      </c>
      <c r="C5080" s="4" t="s">
        <v>65</v>
      </c>
      <c r="D5080" s="10">
        <v>74</v>
      </c>
      <c r="E5080" s="12" t="s">
        <v>66</v>
      </c>
      <c r="F5080" s="10">
        <v>6680</v>
      </c>
      <c r="G5080" s="10">
        <v>0</v>
      </c>
      <c r="H5080" s="10">
        <f t="shared" si="79"/>
        <v>6680</v>
      </c>
      <c r="I5080" s="10">
        <v>130.98039215686271</v>
      </c>
      <c r="J5080" s="10">
        <v>130.98039215686271</v>
      </c>
      <c r="K5080" s="10">
        <v>130.98039215686271</v>
      </c>
      <c r="L5080" s="4"/>
      <c r="M5080" s="4">
        <v>5075</v>
      </c>
    </row>
    <row r="5081" spans="1:13" x14ac:dyDescent="0.25">
      <c r="A5081" s="4" t="s">
        <v>5101</v>
      </c>
      <c r="B5081" s="4" t="s">
        <v>5102</v>
      </c>
      <c r="C5081" s="4" t="s">
        <v>65</v>
      </c>
      <c r="D5081" s="10">
        <v>40</v>
      </c>
      <c r="E5081" s="12" t="s">
        <v>66</v>
      </c>
      <c r="F5081" s="10">
        <v>4800</v>
      </c>
      <c r="G5081" s="10">
        <v>0</v>
      </c>
      <c r="H5081" s="10">
        <f t="shared" si="79"/>
        <v>4800</v>
      </c>
      <c r="I5081" s="10">
        <v>208.695652173913</v>
      </c>
      <c r="J5081" s="10">
        <v>208.695652173913</v>
      </c>
      <c r="K5081" s="10">
        <v>208.695652173913</v>
      </c>
      <c r="L5081" s="4"/>
      <c r="M5081" s="4">
        <v>5076</v>
      </c>
    </row>
    <row r="5082" spans="1:13" x14ac:dyDescent="0.25">
      <c r="A5082" s="4" t="s">
        <v>5103</v>
      </c>
      <c r="B5082" s="4" t="s">
        <v>5104</v>
      </c>
      <c r="C5082" s="4" t="s">
        <v>65</v>
      </c>
      <c r="D5082" s="10">
        <v>17</v>
      </c>
      <c r="E5082" s="12" t="s">
        <v>66</v>
      </c>
      <c r="F5082" s="10">
        <v>2200</v>
      </c>
      <c r="G5082" s="10">
        <v>0</v>
      </c>
      <c r="H5082" s="10">
        <f t="shared" si="79"/>
        <v>2200</v>
      </c>
      <c r="I5082" s="10">
        <v>129.41176470588229</v>
      </c>
      <c r="J5082" s="10">
        <v>129.41176470588229</v>
      </c>
      <c r="K5082" s="10">
        <v>129.41176470588229</v>
      </c>
      <c r="L5082" s="4"/>
      <c r="M5082" s="4">
        <v>5077</v>
      </c>
    </row>
    <row r="5083" spans="1:13" x14ac:dyDescent="0.25">
      <c r="A5083" s="4" t="s">
        <v>5105</v>
      </c>
      <c r="B5083" s="4" t="s">
        <v>5106</v>
      </c>
      <c r="C5083" s="4" t="s">
        <v>65</v>
      </c>
      <c r="D5083" s="10">
        <v>85</v>
      </c>
      <c r="E5083" s="11" t="s">
        <v>51</v>
      </c>
      <c r="F5083" s="10"/>
      <c r="G5083" s="10">
        <v>0</v>
      </c>
      <c r="H5083" s="10">
        <f t="shared" si="79"/>
        <v>0</v>
      </c>
      <c r="I5083" s="10">
        <v>0</v>
      </c>
      <c r="J5083" s="10">
        <v>0</v>
      </c>
      <c r="K5083" s="10">
        <v>0</v>
      </c>
      <c r="L5083" s="4" t="s">
        <v>69</v>
      </c>
      <c r="M5083" s="4">
        <v>5078</v>
      </c>
    </row>
    <row r="5084" spans="1:13" x14ac:dyDescent="0.25">
      <c r="A5084" s="4" t="s">
        <v>5107</v>
      </c>
      <c r="B5084" s="4" t="s">
        <v>5106</v>
      </c>
      <c r="C5084" s="4" t="s">
        <v>65</v>
      </c>
      <c r="D5084" s="10">
        <v>50</v>
      </c>
      <c r="E5084" s="11" t="s">
        <v>51</v>
      </c>
      <c r="F5084" s="10"/>
      <c r="G5084" s="10">
        <v>0</v>
      </c>
      <c r="H5084" s="10">
        <f t="shared" si="79"/>
        <v>0</v>
      </c>
      <c r="I5084" s="10">
        <v>0</v>
      </c>
      <c r="J5084" s="10">
        <v>0</v>
      </c>
      <c r="K5084" s="10">
        <v>0</v>
      </c>
      <c r="L5084" s="4" t="s">
        <v>69</v>
      </c>
      <c r="M5084" s="4">
        <v>5079</v>
      </c>
    </row>
    <row r="5085" spans="1:13" x14ac:dyDescent="0.25">
      <c r="A5085" s="4" t="s">
        <v>5108</v>
      </c>
      <c r="B5085" s="4" t="s">
        <v>5109</v>
      </c>
      <c r="C5085" s="9" t="s">
        <v>50</v>
      </c>
      <c r="D5085" s="10"/>
      <c r="E5085" s="11" t="s">
        <v>51</v>
      </c>
      <c r="F5085" s="10"/>
      <c r="G5085" s="10">
        <v>0</v>
      </c>
      <c r="H5085" s="10">
        <f t="shared" si="79"/>
        <v>0</v>
      </c>
      <c r="I5085" s="10"/>
      <c r="J5085" s="10"/>
      <c r="K5085" s="10"/>
      <c r="L5085" s="4" t="s">
        <v>52</v>
      </c>
      <c r="M5085" s="4">
        <v>5080</v>
      </c>
    </row>
    <row r="5086" spans="1:13" x14ac:dyDescent="0.25">
      <c r="A5086" s="4" t="s">
        <v>5108</v>
      </c>
      <c r="B5086" s="4" t="s">
        <v>5110</v>
      </c>
      <c r="C5086" s="9" t="s">
        <v>50</v>
      </c>
      <c r="D5086" s="10">
        <v>24</v>
      </c>
      <c r="E5086" s="11" t="s">
        <v>51</v>
      </c>
      <c r="F5086" s="10"/>
      <c r="G5086" s="10">
        <v>0</v>
      </c>
      <c r="H5086" s="10">
        <f t="shared" si="79"/>
        <v>0</v>
      </c>
      <c r="I5086" s="10"/>
      <c r="J5086" s="10"/>
      <c r="K5086" s="10"/>
      <c r="L5086" s="4" t="s">
        <v>52</v>
      </c>
      <c r="M5086" s="4">
        <v>5081</v>
      </c>
    </row>
    <row r="5087" spans="1:13" x14ac:dyDescent="0.25">
      <c r="A5087" s="4" t="s">
        <v>5111</v>
      </c>
      <c r="B5087" s="4" t="s">
        <v>3022</v>
      </c>
      <c r="C5087" s="4" t="s">
        <v>68</v>
      </c>
      <c r="D5087" s="10">
        <v>38</v>
      </c>
      <c r="E5087" s="11" t="s">
        <v>51</v>
      </c>
      <c r="F5087" s="10">
        <v>3360</v>
      </c>
      <c r="G5087" s="10">
        <v>0</v>
      </c>
      <c r="H5087" s="10">
        <f t="shared" si="79"/>
        <v>3360</v>
      </c>
      <c r="I5087" s="10"/>
      <c r="J5087" s="10"/>
      <c r="K5087" s="10"/>
      <c r="L5087" s="4" t="s">
        <v>69</v>
      </c>
      <c r="M5087" s="4">
        <v>5082</v>
      </c>
    </row>
    <row r="5088" spans="1:13" x14ac:dyDescent="0.25">
      <c r="A5088" s="4" t="s">
        <v>5112</v>
      </c>
      <c r="B5088" s="4" t="s">
        <v>5113</v>
      </c>
      <c r="C5088" s="4" t="s">
        <v>65</v>
      </c>
      <c r="D5088" s="10">
        <v>14</v>
      </c>
      <c r="E5088" s="12" t="s">
        <v>66</v>
      </c>
      <c r="F5088" s="10">
        <v>1200</v>
      </c>
      <c r="G5088" s="10">
        <v>0</v>
      </c>
      <c r="H5088" s="10">
        <f t="shared" si="79"/>
        <v>1200</v>
      </c>
      <c r="I5088" s="10">
        <v>85.714285714285708</v>
      </c>
      <c r="J5088" s="10">
        <v>85.714285714285708</v>
      </c>
      <c r="K5088" s="10">
        <v>85.714285714285708</v>
      </c>
      <c r="L5088" s="4"/>
      <c r="M5088" s="4">
        <v>5083</v>
      </c>
    </row>
    <row r="5089" spans="1:13" x14ac:dyDescent="0.25">
      <c r="A5089" s="4" t="s">
        <v>5112</v>
      </c>
      <c r="B5089" s="4" t="s">
        <v>5114</v>
      </c>
      <c r="C5089" s="4" t="s">
        <v>65</v>
      </c>
      <c r="D5089" s="10">
        <v>50</v>
      </c>
      <c r="E5089" s="11" t="s">
        <v>51</v>
      </c>
      <c r="F5089" s="10"/>
      <c r="G5089" s="10">
        <v>0</v>
      </c>
      <c r="H5089" s="10">
        <f t="shared" si="79"/>
        <v>0</v>
      </c>
      <c r="I5089" s="10"/>
      <c r="J5089" s="10"/>
      <c r="K5089" s="10"/>
      <c r="L5089" s="4" t="s">
        <v>69</v>
      </c>
      <c r="M5089" s="4">
        <v>5084</v>
      </c>
    </row>
    <row r="5090" spans="1:13" x14ac:dyDescent="0.25">
      <c r="A5090" s="4" t="s">
        <v>5115</v>
      </c>
      <c r="B5090" s="4" t="s">
        <v>649</v>
      </c>
      <c r="C5090" s="4" t="s">
        <v>65</v>
      </c>
      <c r="D5090" s="10">
        <v>61</v>
      </c>
      <c r="E5090" s="12" t="s">
        <v>66</v>
      </c>
      <c r="F5090" s="10">
        <v>4500</v>
      </c>
      <c r="G5090" s="10">
        <v>0</v>
      </c>
      <c r="H5090" s="10">
        <f t="shared" si="79"/>
        <v>4500</v>
      </c>
      <c r="I5090" s="10">
        <v>90</v>
      </c>
      <c r="J5090" s="10">
        <v>90</v>
      </c>
      <c r="K5090" s="10">
        <v>90</v>
      </c>
      <c r="L5090" s="4"/>
      <c r="M5090" s="4">
        <v>5085</v>
      </c>
    </row>
    <row r="5091" spans="1:13" x14ac:dyDescent="0.25">
      <c r="A5091" s="4" t="s">
        <v>5116</v>
      </c>
      <c r="B5091" s="4" t="s">
        <v>5117</v>
      </c>
      <c r="C5091" s="4" t="s">
        <v>68</v>
      </c>
      <c r="D5091" s="10">
        <v>8</v>
      </c>
      <c r="E5091" s="11" t="s">
        <v>51</v>
      </c>
      <c r="F5091" s="10">
        <v>873.92</v>
      </c>
      <c r="G5091" s="10">
        <v>0</v>
      </c>
      <c r="H5091" s="10">
        <f t="shared" si="79"/>
        <v>873.92</v>
      </c>
      <c r="I5091" s="10"/>
      <c r="J5091" s="10"/>
      <c r="K5091" s="10"/>
      <c r="L5091" s="4" t="s">
        <v>69</v>
      </c>
      <c r="M5091" s="4">
        <v>5086</v>
      </c>
    </row>
    <row r="5092" spans="1:13" x14ac:dyDescent="0.25">
      <c r="A5092" s="4" t="s">
        <v>5116</v>
      </c>
      <c r="B5092" s="4" t="s">
        <v>5118</v>
      </c>
      <c r="C5092" s="4" t="s">
        <v>65</v>
      </c>
      <c r="D5092" s="10">
        <v>70</v>
      </c>
      <c r="E5092" s="12" t="s">
        <v>66</v>
      </c>
      <c r="F5092" s="10">
        <v>150</v>
      </c>
      <c r="G5092" s="10">
        <v>0</v>
      </c>
      <c r="H5092" s="10">
        <f t="shared" si="79"/>
        <v>150</v>
      </c>
      <c r="I5092" s="10">
        <v>50</v>
      </c>
      <c r="J5092" s="10">
        <v>50</v>
      </c>
      <c r="K5092" s="10">
        <v>50</v>
      </c>
      <c r="L5092" s="4"/>
      <c r="M5092" s="4">
        <v>5087</v>
      </c>
    </row>
    <row r="5093" spans="1:13" x14ac:dyDescent="0.25">
      <c r="A5093" s="4" t="s">
        <v>5119</v>
      </c>
      <c r="B5093" s="4" t="s">
        <v>5120</v>
      </c>
      <c r="C5093" s="4" t="s">
        <v>65</v>
      </c>
      <c r="D5093" s="10">
        <v>40</v>
      </c>
      <c r="E5093" s="12" t="s">
        <v>66</v>
      </c>
      <c r="F5093" s="10">
        <v>5100</v>
      </c>
      <c r="G5093" s="10">
        <v>0</v>
      </c>
      <c r="H5093" s="10">
        <f t="shared" si="79"/>
        <v>5100</v>
      </c>
      <c r="I5093" s="10">
        <v>127.5</v>
      </c>
      <c r="J5093" s="10">
        <v>127.5</v>
      </c>
      <c r="K5093" s="10">
        <v>127.5</v>
      </c>
      <c r="L5093" s="4"/>
      <c r="M5093" s="4">
        <v>5088</v>
      </c>
    </row>
    <row r="5094" spans="1:13" x14ac:dyDescent="0.25">
      <c r="A5094" s="4" t="s">
        <v>5119</v>
      </c>
      <c r="B5094" s="4" t="s">
        <v>5121</v>
      </c>
      <c r="C5094" s="4" t="s">
        <v>68</v>
      </c>
      <c r="D5094" s="10">
        <v>230</v>
      </c>
      <c r="E5094" s="11" t="s">
        <v>51</v>
      </c>
      <c r="F5094" s="10">
        <v>3600</v>
      </c>
      <c r="G5094" s="10">
        <v>0</v>
      </c>
      <c r="H5094" s="10">
        <f t="shared" si="79"/>
        <v>3600</v>
      </c>
      <c r="I5094" s="10"/>
      <c r="J5094" s="10"/>
      <c r="K5094" s="10"/>
      <c r="L5094" s="4" t="s">
        <v>69</v>
      </c>
      <c r="M5094" s="4">
        <v>5089</v>
      </c>
    </row>
    <row r="5095" spans="1:13" x14ac:dyDescent="0.25">
      <c r="A5095" s="4" t="s">
        <v>5122</v>
      </c>
      <c r="B5095" s="4" t="s">
        <v>5123</v>
      </c>
      <c r="C5095" s="4" t="s">
        <v>68</v>
      </c>
      <c r="D5095" s="10">
        <v>40</v>
      </c>
      <c r="E5095" s="11" t="s">
        <v>51</v>
      </c>
      <c r="F5095" s="10">
        <v>5600</v>
      </c>
      <c r="G5095" s="10">
        <v>0</v>
      </c>
      <c r="H5095" s="10">
        <f t="shared" si="79"/>
        <v>5600</v>
      </c>
      <c r="I5095" s="10"/>
      <c r="J5095" s="10"/>
      <c r="K5095" s="10"/>
      <c r="L5095" s="4" t="s">
        <v>69</v>
      </c>
      <c r="M5095" s="4">
        <v>5090</v>
      </c>
    </row>
    <row r="5096" spans="1:13" x14ac:dyDescent="0.25">
      <c r="A5096" s="4" t="s">
        <v>5122</v>
      </c>
      <c r="B5096" s="4" t="s">
        <v>5124</v>
      </c>
      <c r="C5096" s="4" t="s">
        <v>68</v>
      </c>
      <c r="D5096" s="10">
        <v>60</v>
      </c>
      <c r="E5096" s="11" t="s">
        <v>51</v>
      </c>
      <c r="F5096" s="10">
        <v>8400</v>
      </c>
      <c r="G5096" s="10">
        <v>0</v>
      </c>
      <c r="H5096" s="10">
        <f t="shared" si="79"/>
        <v>8400</v>
      </c>
      <c r="I5096" s="10"/>
      <c r="J5096" s="10"/>
      <c r="K5096" s="10"/>
      <c r="L5096" s="4" t="s">
        <v>69</v>
      </c>
      <c r="M5096" s="4">
        <v>5091</v>
      </c>
    </row>
    <row r="5097" spans="1:13" x14ac:dyDescent="0.25">
      <c r="A5097" s="4" t="s">
        <v>5122</v>
      </c>
      <c r="B5097" s="4" t="s">
        <v>5125</v>
      </c>
      <c r="C5097" s="4" t="s">
        <v>68</v>
      </c>
      <c r="D5097" s="10">
        <v>60</v>
      </c>
      <c r="E5097" s="11" t="s">
        <v>51</v>
      </c>
      <c r="F5097" s="10">
        <v>4800</v>
      </c>
      <c r="G5097" s="10">
        <v>0</v>
      </c>
      <c r="H5097" s="10">
        <f t="shared" si="79"/>
        <v>4800</v>
      </c>
      <c r="I5097" s="10"/>
      <c r="J5097" s="10"/>
      <c r="K5097" s="10"/>
      <c r="L5097" s="4" t="s">
        <v>69</v>
      </c>
      <c r="M5097" s="4">
        <v>5092</v>
      </c>
    </row>
    <row r="5098" spans="1:13" x14ac:dyDescent="0.25">
      <c r="A5098" s="4" t="s">
        <v>5122</v>
      </c>
      <c r="B5098" s="4" t="s">
        <v>5126</v>
      </c>
      <c r="C5098" s="4" t="s">
        <v>68</v>
      </c>
      <c r="D5098" s="10">
        <v>40</v>
      </c>
      <c r="E5098" s="11" t="s">
        <v>51</v>
      </c>
      <c r="F5098" s="10">
        <v>3200</v>
      </c>
      <c r="G5098" s="10">
        <v>0</v>
      </c>
      <c r="H5098" s="10">
        <f t="shared" si="79"/>
        <v>3200</v>
      </c>
      <c r="I5098" s="10"/>
      <c r="J5098" s="10"/>
      <c r="K5098" s="10"/>
      <c r="L5098" s="4" t="s">
        <v>69</v>
      </c>
      <c r="M5098" s="4">
        <v>5093</v>
      </c>
    </row>
    <row r="5099" spans="1:13" x14ac:dyDescent="0.25">
      <c r="A5099" s="4" t="s">
        <v>5122</v>
      </c>
      <c r="B5099" s="4" t="s">
        <v>5127</v>
      </c>
      <c r="C5099" s="9" t="s">
        <v>50</v>
      </c>
      <c r="D5099" s="10">
        <v>164</v>
      </c>
      <c r="E5099" s="11" t="s">
        <v>51</v>
      </c>
      <c r="F5099" s="10"/>
      <c r="G5099" s="10">
        <v>0</v>
      </c>
      <c r="H5099" s="10">
        <f t="shared" si="79"/>
        <v>0</v>
      </c>
      <c r="I5099" s="10"/>
      <c r="J5099" s="10"/>
      <c r="K5099" s="10"/>
      <c r="L5099" s="4" t="s">
        <v>52</v>
      </c>
      <c r="M5099" s="4">
        <v>5094</v>
      </c>
    </row>
    <row r="5100" spans="1:13" x14ac:dyDescent="0.25">
      <c r="A5100" s="4" t="s">
        <v>5128</v>
      </c>
      <c r="B5100" s="4" t="s">
        <v>5129</v>
      </c>
      <c r="C5100" s="4" t="s">
        <v>68</v>
      </c>
      <c r="D5100" s="10">
        <v>140</v>
      </c>
      <c r="E5100" s="11" t="s">
        <v>51</v>
      </c>
      <c r="F5100" s="10">
        <v>13300</v>
      </c>
      <c r="G5100" s="10">
        <v>0</v>
      </c>
      <c r="H5100" s="10">
        <f t="shared" si="79"/>
        <v>13300</v>
      </c>
      <c r="I5100" s="10"/>
      <c r="J5100" s="10"/>
      <c r="K5100" s="10"/>
      <c r="L5100" s="4" t="s">
        <v>69</v>
      </c>
      <c r="M5100" s="4">
        <v>5095</v>
      </c>
    </row>
    <row r="5101" spans="1:13" x14ac:dyDescent="0.25">
      <c r="A5101" s="4" t="s">
        <v>5128</v>
      </c>
      <c r="B5101" s="4" t="s">
        <v>5130</v>
      </c>
      <c r="C5101" s="9" t="s">
        <v>50</v>
      </c>
      <c r="D5101" s="10">
        <v>24</v>
      </c>
      <c r="E5101" s="11" t="s">
        <v>51</v>
      </c>
      <c r="F5101" s="10">
        <v>2280</v>
      </c>
      <c r="G5101" s="10">
        <v>0</v>
      </c>
      <c r="H5101" s="10">
        <f t="shared" si="79"/>
        <v>2280</v>
      </c>
      <c r="I5101" s="10"/>
      <c r="J5101" s="10"/>
      <c r="K5101" s="10"/>
      <c r="L5101" s="4" t="s">
        <v>52</v>
      </c>
      <c r="M5101" s="4">
        <v>5096</v>
      </c>
    </row>
    <row r="5102" spans="1:13" x14ac:dyDescent="0.25">
      <c r="A5102" s="4" t="s">
        <v>5131</v>
      </c>
      <c r="B5102" s="4" t="s">
        <v>2461</v>
      </c>
      <c r="C5102" s="4" t="s">
        <v>65</v>
      </c>
      <c r="D5102" s="10">
        <v>34</v>
      </c>
      <c r="E5102" s="12" t="s">
        <v>66</v>
      </c>
      <c r="F5102" s="10">
        <v>1200</v>
      </c>
      <c r="G5102" s="10">
        <v>0</v>
      </c>
      <c r="H5102" s="10">
        <f t="shared" si="79"/>
        <v>1200</v>
      </c>
      <c r="I5102" s="10">
        <v>85.714285714285708</v>
      </c>
      <c r="J5102" s="10">
        <v>85.714285714285708</v>
      </c>
      <c r="K5102" s="10">
        <v>85.714285714285708</v>
      </c>
      <c r="L5102" s="4"/>
      <c r="M5102" s="4">
        <v>5097</v>
      </c>
    </row>
    <row r="5103" spans="1:13" x14ac:dyDescent="0.25">
      <c r="A5103" s="4" t="s">
        <v>5132</v>
      </c>
      <c r="B5103" s="4" t="s">
        <v>1226</v>
      </c>
      <c r="C5103" s="4" t="s">
        <v>65</v>
      </c>
      <c r="D5103" s="10">
        <v>27.5</v>
      </c>
      <c r="E5103" s="12" t="s">
        <v>66</v>
      </c>
      <c r="F5103" s="10">
        <v>1650</v>
      </c>
      <c r="G5103" s="10">
        <v>0</v>
      </c>
      <c r="H5103" s="10">
        <f t="shared" si="79"/>
        <v>1650</v>
      </c>
      <c r="I5103" s="10">
        <v>82.5</v>
      </c>
      <c r="J5103" s="10">
        <v>82.5</v>
      </c>
      <c r="K5103" s="10">
        <v>82.5</v>
      </c>
      <c r="L5103" s="4"/>
      <c r="M5103" s="4">
        <v>5098</v>
      </c>
    </row>
    <row r="5104" spans="1:13" x14ac:dyDescent="0.25">
      <c r="A5104" s="4" t="s">
        <v>5133</v>
      </c>
      <c r="B5104" s="4" t="s">
        <v>5134</v>
      </c>
      <c r="C5104" s="4" t="s">
        <v>65</v>
      </c>
      <c r="D5104" s="10">
        <v>26.5</v>
      </c>
      <c r="E5104" s="12" t="s">
        <v>66</v>
      </c>
      <c r="F5104" s="10">
        <v>980</v>
      </c>
      <c r="G5104" s="10">
        <v>0</v>
      </c>
      <c r="H5104" s="10">
        <f t="shared" si="79"/>
        <v>980</v>
      </c>
      <c r="I5104" s="10">
        <v>130.66666666666671</v>
      </c>
      <c r="J5104" s="10">
        <v>130.66666666666671</v>
      </c>
      <c r="K5104" s="10">
        <v>130.66666666666671</v>
      </c>
      <c r="L5104" s="4"/>
      <c r="M5104" s="4">
        <v>5099</v>
      </c>
    </row>
    <row r="5105" spans="1:13" x14ac:dyDescent="0.25">
      <c r="A5105" s="4" t="s">
        <v>5135</v>
      </c>
      <c r="B5105" s="4" t="s">
        <v>5136</v>
      </c>
      <c r="C5105" s="4" t="s">
        <v>65</v>
      </c>
      <c r="D5105" s="10">
        <v>44</v>
      </c>
      <c r="E5105" s="12" t="s">
        <v>66</v>
      </c>
      <c r="F5105" s="10">
        <v>2350</v>
      </c>
      <c r="G5105" s="10">
        <v>0</v>
      </c>
      <c r="H5105" s="10">
        <f t="shared" si="79"/>
        <v>2350</v>
      </c>
      <c r="I5105" s="10">
        <v>123.68421052631579</v>
      </c>
      <c r="J5105" s="10">
        <v>123.68421052631579</v>
      </c>
      <c r="K5105" s="10">
        <v>123.68421052631579</v>
      </c>
      <c r="L5105" s="4"/>
      <c r="M5105" s="4">
        <v>5100</v>
      </c>
    </row>
    <row r="5106" spans="1:13" x14ac:dyDescent="0.25">
      <c r="A5106" s="4" t="s">
        <v>5137</v>
      </c>
      <c r="B5106" s="4" t="s">
        <v>470</v>
      </c>
      <c r="C5106" s="4" t="s">
        <v>68</v>
      </c>
      <c r="D5106" s="10">
        <v>323</v>
      </c>
      <c r="E5106" s="11" t="s">
        <v>51</v>
      </c>
      <c r="F5106" s="10">
        <v>3000</v>
      </c>
      <c r="G5106" s="10">
        <v>0</v>
      </c>
      <c r="H5106" s="10">
        <f t="shared" si="79"/>
        <v>3000</v>
      </c>
      <c r="I5106" s="10"/>
      <c r="J5106" s="10"/>
      <c r="K5106" s="10"/>
      <c r="L5106" s="4" t="s">
        <v>69</v>
      </c>
      <c r="M5106" s="4">
        <v>5101</v>
      </c>
    </row>
    <row r="5107" spans="1:13" x14ac:dyDescent="0.25">
      <c r="A5107" s="4" t="s">
        <v>5138</v>
      </c>
      <c r="B5107" s="4" t="s">
        <v>537</v>
      </c>
      <c r="C5107" s="4" t="s">
        <v>68</v>
      </c>
      <c r="D5107" s="10">
        <v>50</v>
      </c>
      <c r="E5107" s="12" t="s">
        <v>66</v>
      </c>
      <c r="F5107" s="10">
        <v>7500</v>
      </c>
      <c r="G5107" s="10">
        <v>0</v>
      </c>
      <c r="H5107" s="10">
        <f t="shared" si="79"/>
        <v>7500</v>
      </c>
      <c r="I5107" s="10">
        <v>150</v>
      </c>
      <c r="J5107" s="10">
        <v>150</v>
      </c>
      <c r="K5107" s="10">
        <v>150</v>
      </c>
      <c r="L5107" s="4"/>
      <c r="M5107" s="4">
        <v>5102</v>
      </c>
    </row>
    <row r="5108" spans="1:13" x14ac:dyDescent="0.25">
      <c r="A5108" s="4" t="s">
        <v>5138</v>
      </c>
      <c r="B5108" s="4" t="s">
        <v>5139</v>
      </c>
      <c r="C5108" s="4" t="s">
        <v>68</v>
      </c>
      <c r="D5108" s="10">
        <v>250</v>
      </c>
      <c r="E5108" s="11" t="s">
        <v>51</v>
      </c>
      <c r="F5108" s="10">
        <v>37500</v>
      </c>
      <c r="G5108" s="10">
        <v>0</v>
      </c>
      <c r="H5108" s="10">
        <f t="shared" si="79"/>
        <v>37500</v>
      </c>
      <c r="I5108" s="10"/>
      <c r="J5108" s="10"/>
      <c r="K5108" s="10"/>
      <c r="L5108" s="4" t="s">
        <v>69</v>
      </c>
      <c r="M5108" s="4">
        <v>5103</v>
      </c>
    </row>
    <row r="5109" spans="1:13" x14ac:dyDescent="0.25">
      <c r="A5109" s="4" t="s">
        <v>5138</v>
      </c>
      <c r="B5109" s="4" t="s">
        <v>5140</v>
      </c>
      <c r="C5109" s="4" t="s">
        <v>65</v>
      </c>
      <c r="D5109" s="10">
        <v>8</v>
      </c>
      <c r="E5109" s="12" t="s">
        <v>66</v>
      </c>
      <c r="F5109" s="10">
        <v>1400</v>
      </c>
      <c r="G5109" s="10">
        <v>0</v>
      </c>
      <c r="H5109" s="10">
        <f t="shared" si="79"/>
        <v>1400</v>
      </c>
      <c r="I5109" s="10">
        <v>175</v>
      </c>
      <c r="J5109" s="10">
        <v>175</v>
      </c>
      <c r="K5109" s="10">
        <v>175</v>
      </c>
      <c r="L5109" s="4"/>
      <c r="M5109" s="4">
        <v>5104</v>
      </c>
    </row>
    <row r="5110" spans="1:13" x14ac:dyDescent="0.25">
      <c r="A5110" s="4" t="s">
        <v>5138</v>
      </c>
      <c r="B5110" s="4" t="s">
        <v>5141</v>
      </c>
      <c r="C5110" s="4" t="s">
        <v>68</v>
      </c>
      <c r="D5110" s="10">
        <v>67</v>
      </c>
      <c r="E5110" s="11" t="s">
        <v>51</v>
      </c>
      <c r="F5110" s="10">
        <v>6000</v>
      </c>
      <c r="G5110" s="10">
        <v>0</v>
      </c>
      <c r="H5110" s="10">
        <f t="shared" si="79"/>
        <v>6000</v>
      </c>
      <c r="I5110" s="10"/>
      <c r="J5110" s="10"/>
      <c r="K5110" s="10"/>
      <c r="L5110" s="4" t="s">
        <v>69</v>
      </c>
      <c r="M5110" s="4">
        <v>5105</v>
      </c>
    </row>
    <row r="5111" spans="1:13" x14ac:dyDescent="0.25">
      <c r="A5111" s="4" t="s">
        <v>5142</v>
      </c>
      <c r="B5111" s="4" t="s">
        <v>4355</v>
      </c>
      <c r="C5111" s="4" t="s">
        <v>65</v>
      </c>
      <c r="D5111" s="10">
        <v>54</v>
      </c>
      <c r="E5111" s="12" t="s">
        <v>66</v>
      </c>
      <c r="F5111" s="10">
        <v>3100</v>
      </c>
      <c r="G5111" s="10">
        <v>0</v>
      </c>
      <c r="H5111" s="10">
        <f t="shared" si="79"/>
        <v>3100</v>
      </c>
      <c r="I5111" s="10">
        <v>114.8148148148148</v>
      </c>
      <c r="J5111" s="10">
        <v>114.8148148148148</v>
      </c>
      <c r="K5111" s="10">
        <v>114.8148148148148</v>
      </c>
      <c r="L5111" s="4"/>
      <c r="M5111" s="4">
        <v>5106</v>
      </c>
    </row>
    <row r="5112" spans="1:13" x14ac:dyDescent="0.25">
      <c r="A5112" s="4" t="s">
        <v>5143</v>
      </c>
      <c r="B5112" s="4" t="s">
        <v>4355</v>
      </c>
      <c r="C5112" s="4" t="s">
        <v>65</v>
      </c>
      <c r="D5112" s="10">
        <v>59</v>
      </c>
      <c r="E5112" s="12" t="s">
        <v>66</v>
      </c>
      <c r="F5112" s="10">
        <v>3100</v>
      </c>
      <c r="G5112" s="10">
        <v>0</v>
      </c>
      <c r="H5112" s="10">
        <f t="shared" si="79"/>
        <v>3100</v>
      </c>
      <c r="I5112" s="10">
        <v>114.8148148148148</v>
      </c>
      <c r="J5112" s="10">
        <v>114.8148148148148</v>
      </c>
      <c r="K5112" s="10">
        <v>114.8148148148148</v>
      </c>
      <c r="L5112" s="4"/>
      <c r="M5112" s="4">
        <v>5107</v>
      </c>
    </row>
    <row r="5113" spans="1:13" x14ac:dyDescent="0.25">
      <c r="A5113" s="4" t="s">
        <v>5144</v>
      </c>
      <c r="B5113" s="4" t="s">
        <v>5145</v>
      </c>
      <c r="C5113" s="4" t="s">
        <v>68</v>
      </c>
      <c r="D5113" s="10">
        <v>32</v>
      </c>
      <c r="E5113" s="11" t="s">
        <v>51</v>
      </c>
      <c r="F5113" s="10">
        <v>3840</v>
      </c>
      <c r="G5113" s="10">
        <v>0</v>
      </c>
      <c r="H5113" s="10">
        <f t="shared" si="79"/>
        <v>3840</v>
      </c>
      <c r="I5113" s="10"/>
      <c r="J5113" s="10"/>
      <c r="K5113" s="10"/>
      <c r="L5113" s="4" t="s">
        <v>69</v>
      </c>
      <c r="M5113" s="4">
        <v>5108</v>
      </c>
    </row>
    <row r="5114" spans="1:13" x14ac:dyDescent="0.25">
      <c r="A5114" s="4" t="s">
        <v>5146</v>
      </c>
      <c r="B5114" s="4" t="s">
        <v>5147</v>
      </c>
      <c r="C5114" s="4" t="s">
        <v>65</v>
      </c>
      <c r="D5114" s="10">
        <v>9</v>
      </c>
      <c r="E5114" s="12" t="s">
        <v>66</v>
      </c>
      <c r="F5114" s="10">
        <v>1150</v>
      </c>
      <c r="G5114" s="10">
        <v>0</v>
      </c>
      <c r="H5114" s="10">
        <f t="shared" si="79"/>
        <v>1150</v>
      </c>
      <c r="I5114" s="10">
        <v>127.7777777777778</v>
      </c>
      <c r="J5114" s="10">
        <v>127.7777777777778</v>
      </c>
      <c r="K5114" s="10">
        <v>127.7777777777778</v>
      </c>
      <c r="L5114" s="4"/>
      <c r="M5114" s="4">
        <v>5109</v>
      </c>
    </row>
    <row r="5115" spans="1:13" x14ac:dyDescent="0.25">
      <c r="A5115" s="4" t="s">
        <v>5146</v>
      </c>
      <c r="B5115" s="4" t="s">
        <v>5148</v>
      </c>
      <c r="C5115" s="4" t="s">
        <v>65</v>
      </c>
      <c r="D5115" s="10">
        <v>165</v>
      </c>
      <c r="E5115" s="12" t="s">
        <v>66</v>
      </c>
      <c r="F5115" s="10">
        <v>1600</v>
      </c>
      <c r="G5115" s="10">
        <v>0</v>
      </c>
      <c r="H5115" s="10">
        <f t="shared" si="79"/>
        <v>1600</v>
      </c>
      <c r="I5115" s="10">
        <v>133.33333333333329</v>
      </c>
      <c r="J5115" s="10">
        <v>133.33333333333329</v>
      </c>
      <c r="K5115" s="10">
        <v>133.33333333333329</v>
      </c>
      <c r="L5115" s="4"/>
      <c r="M5115" s="4">
        <v>5110</v>
      </c>
    </row>
    <row r="5116" spans="1:13" x14ac:dyDescent="0.25">
      <c r="A5116" s="4" t="s">
        <v>5149</v>
      </c>
      <c r="B5116" s="4" t="s">
        <v>5150</v>
      </c>
      <c r="C5116" s="4" t="s">
        <v>65</v>
      </c>
      <c r="D5116" s="10">
        <v>20</v>
      </c>
      <c r="E5116" s="12" t="s">
        <v>66</v>
      </c>
      <c r="F5116" s="10">
        <v>2550</v>
      </c>
      <c r="G5116" s="10">
        <v>0</v>
      </c>
      <c r="H5116" s="10">
        <f t="shared" si="79"/>
        <v>2550</v>
      </c>
      <c r="I5116" s="10">
        <v>127.5</v>
      </c>
      <c r="J5116" s="10">
        <v>127.5</v>
      </c>
      <c r="K5116" s="10">
        <v>127.5</v>
      </c>
      <c r="L5116" s="4"/>
      <c r="M5116" s="4">
        <v>5111</v>
      </c>
    </row>
    <row r="5117" spans="1:13" x14ac:dyDescent="0.25">
      <c r="A5117" s="4" t="s">
        <v>5149</v>
      </c>
      <c r="B5117" s="4" t="s">
        <v>5151</v>
      </c>
      <c r="C5117" s="4" t="s">
        <v>68</v>
      </c>
      <c r="D5117" s="10">
        <v>130</v>
      </c>
      <c r="E5117" s="11" t="s">
        <v>51</v>
      </c>
      <c r="F5117" s="10">
        <v>14300</v>
      </c>
      <c r="G5117" s="10">
        <v>0</v>
      </c>
      <c r="H5117" s="10">
        <f t="shared" si="79"/>
        <v>14300</v>
      </c>
      <c r="I5117" s="10"/>
      <c r="J5117" s="10"/>
      <c r="K5117" s="10"/>
      <c r="L5117" s="4" t="s">
        <v>69</v>
      </c>
      <c r="M5117" s="4">
        <v>5112</v>
      </c>
    </row>
    <row r="5118" spans="1:13" x14ac:dyDescent="0.25">
      <c r="A5118" s="4" t="s">
        <v>5149</v>
      </c>
      <c r="B5118" s="4" t="s">
        <v>1745</v>
      </c>
      <c r="C5118" s="9" t="s">
        <v>50</v>
      </c>
      <c r="D5118" s="10">
        <v>96</v>
      </c>
      <c r="E5118" s="11" t="s">
        <v>51</v>
      </c>
      <c r="F5118" s="10"/>
      <c r="G5118" s="10">
        <v>0</v>
      </c>
      <c r="H5118" s="10">
        <f t="shared" si="79"/>
        <v>0</v>
      </c>
      <c r="I5118" s="10"/>
      <c r="J5118" s="10"/>
      <c r="K5118" s="10"/>
      <c r="L5118" s="4" t="s">
        <v>52</v>
      </c>
      <c r="M5118" s="4">
        <v>5113</v>
      </c>
    </row>
    <row r="5119" spans="1:13" x14ac:dyDescent="0.25">
      <c r="A5119" s="4" t="s">
        <v>5152</v>
      </c>
      <c r="B5119" s="4" t="s">
        <v>5153</v>
      </c>
      <c r="C5119" s="4" t="s">
        <v>65</v>
      </c>
      <c r="D5119" s="10">
        <v>304.5</v>
      </c>
      <c r="E5119" s="12" t="s">
        <v>66</v>
      </c>
      <c r="F5119" s="10">
        <v>12400</v>
      </c>
      <c r="G5119" s="10">
        <v>0</v>
      </c>
      <c r="H5119" s="10">
        <f t="shared" si="79"/>
        <v>12400</v>
      </c>
      <c r="I5119" s="10">
        <v>129.16666666666671</v>
      </c>
      <c r="J5119" s="10">
        <v>129.16666666666671</v>
      </c>
      <c r="K5119" s="10">
        <v>129.16666666666671</v>
      </c>
      <c r="L5119" s="4"/>
      <c r="M5119" s="4">
        <v>5114</v>
      </c>
    </row>
    <row r="5120" spans="1:13" x14ac:dyDescent="0.25">
      <c r="A5120" s="4" t="s">
        <v>5154</v>
      </c>
      <c r="B5120" s="4" t="s">
        <v>5155</v>
      </c>
      <c r="C5120" s="4" t="s">
        <v>65</v>
      </c>
      <c r="D5120" s="10">
        <v>1.5</v>
      </c>
      <c r="E5120" s="12" t="s">
        <v>66</v>
      </c>
      <c r="F5120" s="10">
        <v>300</v>
      </c>
      <c r="G5120" s="10">
        <v>0</v>
      </c>
      <c r="H5120" s="10">
        <f t="shared" si="79"/>
        <v>300</v>
      </c>
      <c r="I5120" s="10">
        <v>200</v>
      </c>
      <c r="J5120" s="10">
        <v>200</v>
      </c>
      <c r="K5120" s="10">
        <v>200</v>
      </c>
      <c r="L5120" s="4"/>
      <c r="M5120" s="4">
        <v>5115</v>
      </c>
    </row>
    <row r="5121" spans="1:13" x14ac:dyDescent="0.25">
      <c r="A5121" s="4" t="s">
        <v>5154</v>
      </c>
      <c r="B5121" s="4" t="s">
        <v>4617</v>
      </c>
      <c r="C5121" s="4" t="s">
        <v>65</v>
      </c>
      <c r="D5121" s="10">
        <v>29</v>
      </c>
      <c r="E5121" s="12" t="s">
        <v>66</v>
      </c>
      <c r="F5121" s="10">
        <v>4800</v>
      </c>
      <c r="G5121" s="10">
        <v>0</v>
      </c>
      <c r="H5121" s="10">
        <f t="shared" si="79"/>
        <v>4800</v>
      </c>
      <c r="I5121" s="10">
        <v>165.51724137931029</v>
      </c>
      <c r="J5121" s="10">
        <v>165.51724137931029</v>
      </c>
      <c r="K5121" s="10">
        <v>165.51724137931029</v>
      </c>
      <c r="L5121" s="4"/>
      <c r="M5121" s="4">
        <v>5116</v>
      </c>
    </row>
    <row r="5122" spans="1:13" x14ac:dyDescent="0.25">
      <c r="A5122" s="4" t="s">
        <v>5154</v>
      </c>
      <c r="B5122" s="4" t="s">
        <v>4618</v>
      </c>
      <c r="C5122" s="4" t="s">
        <v>65</v>
      </c>
      <c r="D5122" s="10">
        <v>37</v>
      </c>
      <c r="E5122" s="12" t="s">
        <v>66</v>
      </c>
      <c r="F5122" s="10">
        <v>6100</v>
      </c>
      <c r="G5122" s="10">
        <v>0</v>
      </c>
      <c r="H5122" s="10">
        <f t="shared" si="79"/>
        <v>6100</v>
      </c>
      <c r="I5122" s="10">
        <v>164.8648648648649</v>
      </c>
      <c r="J5122" s="10">
        <v>164.8648648648649</v>
      </c>
      <c r="K5122" s="10">
        <v>164.8648648648649</v>
      </c>
      <c r="L5122" s="4"/>
      <c r="M5122" s="4">
        <v>5117</v>
      </c>
    </row>
    <row r="5123" spans="1:13" x14ac:dyDescent="0.25">
      <c r="A5123" s="4" t="s">
        <v>5154</v>
      </c>
      <c r="B5123" s="4" t="s">
        <v>5156</v>
      </c>
      <c r="C5123" s="4" t="s">
        <v>65</v>
      </c>
      <c r="D5123" s="10">
        <v>43.5</v>
      </c>
      <c r="E5123" s="12" t="s">
        <v>66</v>
      </c>
      <c r="F5123" s="10">
        <v>4800</v>
      </c>
      <c r="G5123" s="10">
        <v>0</v>
      </c>
      <c r="H5123" s="10">
        <f t="shared" si="79"/>
        <v>4800</v>
      </c>
      <c r="I5123" s="10">
        <v>110.3448275862069</v>
      </c>
      <c r="J5123" s="10">
        <v>110.3448275862069</v>
      </c>
      <c r="K5123" s="10">
        <v>110.3448275862069</v>
      </c>
      <c r="L5123" s="4"/>
      <c r="M5123" s="4">
        <v>5118</v>
      </c>
    </row>
    <row r="5124" spans="1:13" x14ac:dyDescent="0.25">
      <c r="A5124" s="4" t="s">
        <v>5154</v>
      </c>
      <c r="B5124" s="4" t="s">
        <v>5157</v>
      </c>
      <c r="C5124" s="4" t="s">
        <v>65</v>
      </c>
      <c r="D5124" s="10">
        <v>35</v>
      </c>
      <c r="E5124" s="12" t="s">
        <v>66</v>
      </c>
      <c r="F5124" s="10">
        <v>5800</v>
      </c>
      <c r="G5124" s="10">
        <v>0</v>
      </c>
      <c r="H5124" s="10">
        <f t="shared" si="79"/>
        <v>5800</v>
      </c>
      <c r="I5124" s="10">
        <v>165.71428571428569</v>
      </c>
      <c r="J5124" s="10">
        <v>165.71428571428569</v>
      </c>
      <c r="K5124" s="10">
        <v>165.71428571428569</v>
      </c>
      <c r="L5124" s="4"/>
      <c r="M5124" s="4">
        <v>5119</v>
      </c>
    </row>
    <row r="5125" spans="1:13" x14ac:dyDescent="0.25">
      <c r="A5125" s="4" t="s">
        <v>5154</v>
      </c>
      <c r="B5125" s="4" t="s">
        <v>5158</v>
      </c>
      <c r="C5125" s="4" t="s">
        <v>65</v>
      </c>
      <c r="D5125" s="10">
        <v>79</v>
      </c>
      <c r="E5125" s="12" t="s">
        <v>66</v>
      </c>
      <c r="F5125" s="10">
        <v>10300</v>
      </c>
      <c r="G5125" s="10">
        <v>0</v>
      </c>
      <c r="H5125" s="10">
        <f t="shared" si="79"/>
        <v>10300</v>
      </c>
      <c r="I5125" s="10">
        <v>164.8</v>
      </c>
      <c r="J5125" s="10">
        <v>164.8</v>
      </c>
      <c r="K5125" s="10">
        <v>164.8</v>
      </c>
      <c r="L5125" s="4"/>
      <c r="M5125" s="4">
        <v>5120</v>
      </c>
    </row>
    <row r="5126" spans="1:13" x14ac:dyDescent="0.25">
      <c r="A5126" s="4" t="s">
        <v>5159</v>
      </c>
      <c r="B5126" s="4" t="s">
        <v>5160</v>
      </c>
      <c r="C5126" s="4" t="s">
        <v>68</v>
      </c>
      <c r="D5126" s="10">
        <v>15.5</v>
      </c>
      <c r="E5126" s="11" t="s">
        <v>51</v>
      </c>
      <c r="F5126" s="10">
        <v>1700</v>
      </c>
      <c r="G5126" s="10">
        <v>0</v>
      </c>
      <c r="H5126" s="10">
        <f t="shared" ref="H5126:H5189" si="80">F5126-G5126</f>
        <v>1700</v>
      </c>
      <c r="I5126" s="10"/>
      <c r="J5126" s="10"/>
      <c r="K5126" s="10"/>
      <c r="L5126" s="4" t="s">
        <v>69</v>
      </c>
      <c r="M5126" s="4">
        <v>5121</v>
      </c>
    </row>
    <row r="5127" spans="1:13" x14ac:dyDescent="0.25">
      <c r="A5127" s="4" t="s">
        <v>5159</v>
      </c>
      <c r="B5127" s="4" t="s">
        <v>97</v>
      </c>
      <c r="C5127" s="9" t="s">
        <v>50</v>
      </c>
      <c r="D5127" s="10">
        <v>18</v>
      </c>
      <c r="E5127" s="11" t="s">
        <v>51</v>
      </c>
      <c r="F5127" s="10">
        <v>60</v>
      </c>
      <c r="G5127" s="10">
        <v>0</v>
      </c>
      <c r="H5127" s="10">
        <f t="shared" si="80"/>
        <v>60</v>
      </c>
      <c r="I5127" s="10"/>
      <c r="J5127" s="10"/>
      <c r="K5127" s="10"/>
      <c r="L5127" s="4" t="s">
        <v>52</v>
      </c>
      <c r="M5127" s="4">
        <v>5122</v>
      </c>
    </row>
    <row r="5128" spans="1:13" x14ac:dyDescent="0.25">
      <c r="A5128" s="4" t="s">
        <v>5161</v>
      </c>
      <c r="B5128" s="4" t="s">
        <v>5034</v>
      </c>
      <c r="C5128" s="4" t="s">
        <v>65</v>
      </c>
      <c r="D5128" s="10">
        <v>63</v>
      </c>
      <c r="E5128" s="12" t="s">
        <v>66</v>
      </c>
      <c r="F5128" s="10">
        <v>2100</v>
      </c>
      <c r="G5128" s="10">
        <v>0</v>
      </c>
      <c r="H5128" s="10">
        <f t="shared" si="80"/>
        <v>2100</v>
      </c>
      <c r="I5128" s="10">
        <v>116.6666666666667</v>
      </c>
      <c r="J5128" s="10">
        <v>116.6666666666667</v>
      </c>
      <c r="K5128" s="10">
        <v>116.6666666666667</v>
      </c>
      <c r="L5128" s="4"/>
      <c r="M5128" s="4">
        <v>5123</v>
      </c>
    </row>
    <row r="5129" spans="1:13" x14ac:dyDescent="0.25">
      <c r="A5129" s="4" t="s">
        <v>5162</v>
      </c>
      <c r="B5129" s="4" t="s">
        <v>5163</v>
      </c>
      <c r="C5129" s="4" t="s">
        <v>68</v>
      </c>
      <c r="D5129" s="10">
        <v>125</v>
      </c>
      <c r="E5129" s="11" t="s">
        <v>51</v>
      </c>
      <c r="F5129" s="10">
        <v>4950</v>
      </c>
      <c r="G5129" s="10">
        <v>0</v>
      </c>
      <c r="H5129" s="10">
        <f t="shared" si="80"/>
        <v>4950</v>
      </c>
      <c r="I5129" s="10"/>
      <c r="J5129" s="10"/>
      <c r="K5129" s="10"/>
      <c r="L5129" s="4" t="s">
        <v>69</v>
      </c>
      <c r="M5129" s="4">
        <v>5124</v>
      </c>
    </row>
    <row r="5130" spans="1:13" x14ac:dyDescent="0.25">
      <c r="A5130" s="4" t="s">
        <v>5164</v>
      </c>
      <c r="B5130" s="4" t="s">
        <v>5165</v>
      </c>
      <c r="C5130" s="4" t="s">
        <v>68</v>
      </c>
      <c r="D5130" s="10">
        <v>105</v>
      </c>
      <c r="E5130" s="11" t="s">
        <v>51</v>
      </c>
      <c r="F5130" s="10">
        <v>9200</v>
      </c>
      <c r="G5130" s="10">
        <v>0</v>
      </c>
      <c r="H5130" s="10">
        <f t="shared" si="80"/>
        <v>9200</v>
      </c>
      <c r="I5130" s="10"/>
      <c r="J5130" s="10"/>
      <c r="K5130" s="10"/>
      <c r="L5130" s="4" t="s">
        <v>69</v>
      </c>
      <c r="M5130" s="4">
        <v>5125</v>
      </c>
    </row>
    <row r="5131" spans="1:13" x14ac:dyDescent="0.25">
      <c r="A5131" s="4" t="s">
        <v>5166</v>
      </c>
      <c r="B5131" s="4" t="s">
        <v>5167</v>
      </c>
      <c r="C5131" s="4" t="s">
        <v>65</v>
      </c>
      <c r="D5131" s="10">
        <v>35</v>
      </c>
      <c r="E5131" s="12" t="s">
        <v>66</v>
      </c>
      <c r="F5131" s="10">
        <v>3600</v>
      </c>
      <c r="G5131" s="10">
        <v>0</v>
      </c>
      <c r="H5131" s="10">
        <f t="shared" si="80"/>
        <v>3600</v>
      </c>
      <c r="I5131" s="10">
        <v>144</v>
      </c>
      <c r="J5131" s="10">
        <v>144</v>
      </c>
      <c r="K5131" s="10">
        <v>144</v>
      </c>
      <c r="L5131" s="4"/>
      <c r="M5131" s="4">
        <v>5126</v>
      </c>
    </row>
    <row r="5132" spans="1:13" x14ac:dyDescent="0.25">
      <c r="A5132" s="4" t="s">
        <v>5168</v>
      </c>
      <c r="B5132" s="4" t="s">
        <v>5169</v>
      </c>
      <c r="C5132" s="4" t="s">
        <v>68</v>
      </c>
      <c r="D5132" s="10">
        <v>20</v>
      </c>
      <c r="E5132" s="11" t="s">
        <v>51</v>
      </c>
      <c r="F5132" s="10">
        <v>1000</v>
      </c>
      <c r="G5132" s="10">
        <v>0</v>
      </c>
      <c r="H5132" s="10">
        <f t="shared" si="80"/>
        <v>1000</v>
      </c>
      <c r="I5132" s="10"/>
      <c r="J5132" s="10"/>
      <c r="K5132" s="10"/>
      <c r="L5132" s="4" t="s">
        <v>69</v>
      </c>
      <c r="M5132" s="4">
        <v>5127</v>
      </c>
    </row>
    <row r="5133" spans="1:13" x14ac:dyDescent="0.25">
      <c r="A5133" s="4" t="s">
        <v>5170</v>
      </c>
      <c r="B5133" s="4" t="s">
        <v>5169</v>
      </c>
      <c r="C5133" s="4" t="s">
        <v>68</v>
      </c>
      <c r="D5133" s="10">
        <v>54</v>
      </c>
      <c r="E5133" s="11" t="s">
        <v>51</v>
      </c>
      <c r="F5133" s="10">
        <v>1000</v>
      </c>
      <c r="G5133" s="10">
        <v>0</v>
      </c>
      <c r="H5133" s="10">
        <f t="shared" si="80"/>
        <v>1000</v>
      </c>
      <c r="I5133" s="10"/>
      <c r="J5133" s="10"/>
      <c r="K5133" s="10"/>
      <c r="L5133" s="4" t="s">
        <v>69</v>
      </c>
      <c r="M5133" s="4">
        <v>5128</v>
      </c>
    </row>
    <row r="5134" spans="1:13" x14ac:dyDescent="0.25">
      <c r="A5134" s="4" t="s">
        <v>5171</v>
      </c>
      <c r="B5134" s="4" t="s">
        <v>5172</v>
      </c>
      <c r="C5134" s="4" t="s">
        <v>65</v>
      </c>
      <c r="D5134" s="10">
        <v>36</v>
      </c>
      <c r="E5134" s="12" t="s">
        <v>66</v>
      </c>
      <c r="F5134" s="10">
        <v>3300</v>
      </c>
      <c r="G5134" s="10">
        <v>0</v>
      </c>
      <c r="H5134" s="10">
        <f t="shared" si="80"/>
        <v>3300</v>
      </c>
      <c r="I5134" s="10">
        <v>91.666666666666671</v>
      </c>
      <c r="J5134" s="10">
        <v>91.666666666666671</v>
      </c>
      <c r="K5134" s="10">
        <v>91.666666666666671</v>
      </c>
      <c r="L5134" s="4"/>
      <c r="M5134" s="4">
        <v>5129</v>
      </c>
    </row>
    <row r="5135" spans="1:13" x14ac:dyDescent="0.25">
      <c r="A5135" s="4" t="s">
        <v>5171</v>
      </c>
      <c r="B5135" s="4" t="s">
        <v>115</v>
      </c>
      <c r="C5135" s="4" t="s">
        <v>68</v>
      </c>
      <c r="D5135" s="10">
        <v>4</v>
      </c>
      <c r="E5135" s="11" t="s">
        <v>51</v>
      </c>
      <c r="F5135" s="10">
        <v>640</v>
      </c>
      <c r="G5135" s="10">
        <v>0</v>
      </c>
      <c r="H5135" s="10">
        <f t="shared" si="80"/>
        <v>640</v>
      </c>
      <c r="I5135" s="10"/>
      <c r="J5135" s="10"/>
      <c r="K5135" s="10"/>
      <c r="L5135" s="4" t="s">
        <v>69</v>
      </c>
      <c r="M5135" s="4">
        <v>5130</v>
      </c>
    </row>
    <row r="5136" spans="1:13" x14ac:dyDescent="0.25">
      <c r="A5136" s="4" t="s">
        <v>5173</v>
      </c>
      <c r="B5136" s="4" t="s">
        <v>5174</v>
      </c>
      <c r="C5136" s="4" t="s">
        <v>65</v>
      </c>
      <c r="D5136" s="10">
        <v>34</v>
      </c>
      <c r="E5136" s="12" t="s">
        <v>66</v>
      </c>
      <c r="F5136" s="10">
        <v>2450</v>
      </c>
      <c r="G5136" s="10">
        <v>0</v>
      </c>
      <c r="H5136" s="10">
        <f t="shared" si="80"/>
        <v>2450</v>
      </c>
      <c r="I5136" s="10">
        <v>612.5</v>
      </c>
      <c r="J5136" s="10">
        <v>612.5</v>
      </c>
      <c r="K5136" s="10">
        <v>612.5</v>
      </c>
      <c r="L5136" s="4"/>
      <c r="M5136" s="4">
        <v>5131</v>
      </c>
    </row>
    <row r="5137" spans="1:13" x14ac:dyDescent="0.25">
      <c r="A5137" s="4" t="s">
        <v>5175</v>
      </c>
      <c r="B5137" s="4" t="s">
        <v>5176</v>
      </c>
      <c r="C5137" s="4" t="s">
        <v>68</v>
      </c>
      <c r="D5137" s="10">
        <v>54</v>
      </c>
      <c r="E5137" s="11" t="s">
        <v>51</v>
      </c>
      <c r="F5137" s="10">
        <v>3300</v>
      </c>
      <c r="G5137" s="10">
        <v>0</v>
      </c>
      <c r="H5137" s="10">
        <f t="shared" si="80"/>
        <v>3300</v>
      </c>
      <c r="I5137" s="10"/>
      <c r="J5137" s="10"/>
      <c r="K5137" s="10"/>
      <c r="L5137" s="4" t="s">
        <v>69</v>
      </c>
      <c r="M5137" s="4">
        <v>5132</v>
      </c>
    </row>
    <row r="5138" spans="1:13" x14ac:dyDescent="0.25">
      <c r="A5138" s="4" t="s">
        <v>5177</v>
      </c>
      <c r="B5138" s="4" t="s">
        <v>5178</v>
      </c>
      <c r="C5138" s="4" t="s">
        <v>68</v>
      </c>
      <c r="D5138" s="10">
        <v>23</v>
      </c>
      <c r="E5138" s="11" t="s">
        <v>51</v>
      </c>
      <c r="F5138" s="10">
        <v>3220</v>
      </c>
      <c r="G5138" s="10">
        <v>0</v>
      </c>
      <c r="H5138" s="10">
        <f t="shared" si="80"/>
        <v>3220</v>
      </c>
      <c r="I5138" s="10"/>
      <c r="J5138" s="10"/>
      <c r="K5138" s="10"/>
      <c r="L5138" s="4" t="s">
        <v>69</v>
      </c>
      <c r="M5138" s="4">
        <v>5133</v>
      </c>
    </row>
    <row r="5139" spans="1:13" x14ac:dyDescent="0.25">
      <c r="A5139" s="4" t="s">
        <v>5177</v>
      </c>
      <c r="B5139" s="4" t="s">
        <v>5179</v>
      </c>
      <c r="C5139" s="4" t="s">
        <v>68</v>
      </c>
      <c r="D5139" s="10">
        <v>24</v>
      </c>
      <c r="E5139" s="11" t="s">
        <v>51</v>
      </c>
      <c r="F5139" s="10">
        <v>140</v>
      </c>
      <c r="G5139" s="10">
        <v>0</v>
      </c>
      <c r="H5139" s="10">
        <f t="shared" si="80"/>
        <v>140</v>
      </c>
      <c r="I5139" s="10"/>
      <c r="J5139" s="10"/>
      <c r="K5139" s="10"/>
      <c r="L5139" s="4" t="s">
        <v>69</v>
      </c>
      <c r="M5139" s="4">
        <v>5134</v>
      </c>
    </row>
    <row r="5140" spans="1:13" x14ac:dyDescent="0.25">
      <c r="A5140" s="4" t="s">
        <v>5180</v>
      </c>
      <c r="B5140" s="4" t="s">
        <v>5178</v>
      </c>
      <c r="C5140" s="4" t="s">
        <v>68</v>
      </c>
      <c r="D5140" s="10">
        <v>24</v>
      </c>
      <c r="E5140" s="11" t="s">
        <v>51</v>
      </c>
      <c r="F5140" s="10">
        <v>3360</v>
      </c>
      <c r="G5140" s="10">
        <v>0</v>
      </c>
      <c r="H5140" s="10">
        <f t="shared" si="80"/>
        <v>3360</v>
      </c>
      <c r="I5140" s="10"/>
      <c r="J5140" s="10"/>
      <c r="K5140" s="10"/>
      <c r="L5140" s="4" t="s">
        <v>69</v>
      </c>
      <c r="M5140" s="4">
        <v>5135</v>
      </c>
    </row>
    <row r="5141" spans="1:13" x14ac:dyDescent="0.25">
      <c r="A5141" s="4" t="s">
        <v>5181</v>
      </c>
      <c r="B5141" s="4" t="s">
        <v>2651</v>
      </c>
      <c r="C5141" s="4" t="s">
        <v>65</v>
      </c>
      <c r="D5141" s="10">
        <v>30</v>
      </c>
      <c r="E5141" s="12" t="s">
        <v>66</v>
      </c>
      <c r="F5141" s="10">
        <v>2200</v>
      </c>
      <c r="G5141" s="10">
        <v>0</v>
      </c>
      <c r="H5141" s="10">
        <f t="shared" si="80"/>
        <v>2200</v>
      </c>
      <c r="I5141" s="10">
        <v>91.666666666666671</v>
      </c>
      <c r="J5141" s="10">
        <v>91.666666666666671</v>
      </c>
      <c r="K5141" s="10">
        <v>91.666666666666671</v>
      </c>
      <c r="L5141" s="4"/>
      <c r="M5141" s="4">
        <v>5136</v>
      </c>
    </row>
    <row r="5142" spans="1:13" x14ac:dyDescent="0.25">
      <c r="A5142" s="4" t="s">
        <v>5182</v>
      </c>
      <c r="B5142" s="4" t="s">
        <v>5183</v>
      </c>
      <c r="C5142" s="4" t="s">
        <v>68</v>
      </c>
      <c r="D5142" s="10">
        <v>6</v>
      </c>
      <c r="E5142" s="11" t="s">
        <v>51</v>
      </c>
      <c r="F5142" s="10">
        <v>720</v>
      </c>
      <c r="G5142" s="10">
        <v>0</v>
      </c>
      <c r="H5142" s="10">
        <f t="shared" si="80"/>
        <v>720</v>
      </c>
      <c r="I5142" s="10"/>
      <c r="J5142" s="10"/>
      <c r="K5142" s="10"/>
      <c r="L5142" s="4" t="s">
        <v>69</v>
      </c>
      <c r="M5142" s="4">
        <v>5137</v>
      </c>
    </row>
    <row r="5143" spans="1:13" x14ac:dyDescent="0.25">
      <c r="A5143" s="4" t="s">
        <v>5184</v>
      </c>
      <c r="B5143" s="4" t="s">
        <v>5185</v>
      </c>
      <c r="C5143" s="4" t="s">
        <v>68</v>
      </c>
      <c r="D5143" s="10">
        <v>81</v>
      </c>
      <c r="E5143" s="11" t="s">
        <v>51</v>
      </c>
      <c r="F5143" s="10">
        <v>4480</v>
      </c>
      <c r="G5143" s="10">
        <v>0</v>
      </c>
      <c r="H5143" s="10">
        <f t="shared" si="80"/>
        <v>4480</v>
      </c>
      <c r="I5143" s="10"/>
      <c r="J5143" s="10"/>
      <c r="K5143" s="10"/>
      <c r="L5143" s="4" t="s">
        <v>69</v>
      </c>
      <c r="M5143" s="4">
        <v>5138</v>
      </c>
    </row>
    <row r="5144" spans="1:13" x14ac:dyDescent="0.25">
      <c r="A5144" s="4" t="s">
        <v>5186</v>
      </c>
      <c r="B5144" s="4" t="s">
        <v>5187</v>
      </c>
      <c r="C5144" s="9" t="s">
        <v>50</v>
      </c>
      <c r="D5144" s="10">
        <v>51</v>
      </c>
      <c r="E5144" s="11" t="s">
        <v>51</v>
      </c>
      <c r="F5144" s="10">
        <v>650</v>
      </c>
      <c r="G5144" s="10">
        <v>0</v>
      </c>
      <c r="H5144" s="10">
        <f t="shared" si="80"/>
        <v>650</v>
      </c>
      <c r="I5144" s="10"/>
      <c r="J5144" s="10"/>
      <c r="K5144" s="10"/>
      <c r="L5144" s="4" t="s">
        <v>52</v>
      </c>
      <c r="M5144" s="4">
        <v>5139</v>
      </c>
    </row>
    <row r="5145" spans="1:13" x14ac:dyDescent="0.25">
      <c r="A5145" s="4" t="s">
        <v>5186</v>
      </c>
      <c r="B5145" s="4" t="s">
        <v>5188</v>
      </c>
      <c r="C5145" s="4" t="s">
        <v>65</v>
      </c>
      <c r="D5145" s="10">
        <v>20</v>
      </c>
      <c r="E5145" s="12" t="s">
        <v>66</v>
      </c>
      <c r="F5145" s="10">
        <v>2350</v>
      </c>
      <c r="G5145" s="10">
        <v>0</v>
      </c>
      <c r="H5145" s="10">
        <f t="shared" si="80"/>
        <v>2350</v>
      </c>
      <c r="I5145" s="10">
        <v>117.5</v>
      </c>
      <c r="J5145" s="10">
        <v>117.5</v>
      </c>
      <c r="K5145" s="10">
        <v>117.5</v>
      </c>
      <c r="L5145" s="4"/>
      <c r="M5145" s="4">
        <v>5140</v>
      </c>
    </row>
    <row r="5146" spans="1:13" x14ac:dyDescent="0.25">
      <c r="A5146" s="4" t="s">
        <v>5186</v>
      </c>
      <c r="B5146" s="4" t="s">
        <v>5189</v>
      </c>
      <c r="C5146" s="4" t="s">
        <v>65</v>
      </c>
      <c r="D5146" s="10">
        <v>23</v>
      </c>
      <c r="E5146" s="12" t="s">
        <v>66</v>
      </c>
      <c r="F5146" s="10">
        <v>560</v>
      </c>
      <c r="G5146" s="10">
        <v>0</v>
      </c>
      <c r="H5146" s="10">
        <f t="shared" si="80"/>
        <v>560</v>
      </c>
      <c r="I5146" s="10">
        <v>93.333333333333329</v>
      </c>
      <c r="J5146" s="10">
        <v>93.333333333333329</v>
      </c>
      <c r="K5146" s="10">
        <v>93.333333333333329</v>
      </c>
      <c r="L5146" s="4"/>
      <c r="M5146" s="4">
        <v>5141</v>
      </c>
    </row>
    <row r="5147" spans="1:13" x14ac:dyDescent="0.25">
      <c r="A5147" s="4" t="s">
        <v>5186</v>
      </c>
      <c r="B5147" s="4" t="s">
        <v>3895</v>
      </c>
      <c r="C5147" s="9" t="s">
        <v>50</v>
      </c>
      <c r="D5147" s="10">
        <v>12</v>
      </c>
      <c r="E5147" s="11" t="s">
        <v>51</v>
      </c>
      <c r="F5147" s="10">
        <v>1380</v>
      </c>
      <c r="G5147" s="10">
        <v>0</v>
      </c>
      <c r="H5147" s="10">
        <f t="shared" si="80"/>
        <v>1380</v>
      </c>
      <c r="I5147" s="10"/>
      <c r="J5147" s="10"/>
      <c r="K5147" s="10"/>
      <c r="L5147" s="4" t="s">
        <v>52</v>
      </c>
      <c r="M5147" s="4">
        <v>5142</v>
      </c>
    </row>
    <row r="5148" spans="1:13" x14ac:dyDescent="0.25">
      <c r="A5148" s="4" t="s">
        <v>5186</v>
      </c>
      <c r="B5148" s="4" t="s">
        <v>3896</v>
      </c>
      <c r="C5148" s="9" t="s">
        <v>50</v>
      </c>
      <c r="D5148" s="10">
        <v>5</v>
      </c>
      <c r="E5148" s="11" t="s">
        <v>51</v>
      </c>
      <c r="F5148" s="10">
        <v>350</v>
      </c>
      <c r="G5148" s="10">
        <v>0</v>
      </c>
      <c r="H5148" s="10">
        <f t="shared" si="80"/>
        <v>350</v>
      </c>
      <c r="I5148" s="10"/>
      <c r="J5148" s="10"/>
      <c r="K5148" s="10"/>
      <c r="L5148" s="4" t="s">
        <v>52</v>
      </c>
      <c r="M5148" s="4">
        <v>5143</v>
      </c>
    </row>
    <row r="5149" spans="1:13" x14ac:dyDescent="0.25">
      <c r="A5149" s="4" t="s">
        <v>5186</v>
      </c>
      <c r="B5149" s="4" t="s">
        <v>5190</v>
      </c>
      <c r="C5149" s="9" t="s">
        <v>50</v>
      </c>
      <c r="D5149" s="10">
        <v>30</v>
      </c>
      <c r="E5149" s="11" t="s">
        <v>51</v>
      </c>
      <c r="F5149" s="10">
        <v>345</v>
      </c>
      <c r="G5149" s="10">
        <v>0</v>
      </c>
      <c r="H5149" s="10">
        <f t="shared" si="80"/>
        <v>345</v>
      </c>
      <c r="I5149" s="10"/>
      <c r="J5149" s="10"/>
      <c r="K5149" s="10"/>
      <c r="L5149" s="4" t="s">
        <v>52</v>
      </c>
      <c r="M5149" s="4">
        <v>5144</v>
      </c>
    </row>
    <row r="5150" spans="1:13" x14ac:dyDescent="0.25">
      <c r="A5150" s="4" t="s">
        <v>5186</v>
      </c>
      <c r="B5150" s="4" t="s">
        <v>5191</v>
      </c>
      <c r="C5150" s="4" t="s">
        <v>65</v>
      </c>
      <c r="D5150" s="10">
        <v>27</v>
      </c>
      <c r="E5150" s="12" t="s">
        <v>66</v>
      </c>
      <c r="F5150" s="10">
        <v>2350</v>
      </c>
      <c r="G5150" s="10">
        <v>0</v>
      </c>
      <c r="H5150" s="10">
        <f t="shared" si="80"/>
        <v>2350</v>
      </c>
      <c r="I5150" s="10">
        <v>117.5</v>
      </c>
      <c r="J5150" s="10">
        <v>117.5</v>
      </c>
      <c r="K5150" s="10">
        <v>117.5</v>
      </c>
      <c r="L5150" s="4"/>
      <c r="M5150" s="4">
        <v>5145</v>
      </c>
    </row>
    <row r="5151" spans="1:13" x14ac:dyDescent="0.25">
      <c r="A5151" s="4" t="s">
        <v>5186</v>
      </c>
      <c r="B5151" s="4" t="s">
        <v>5192</v>
      </c>
      <c r="C5151" s="4" t="s">
        <v>65</v>
      </c>
      <c r="D5151" s="10">
        <v>70</v>
      </c>
      <c r="E5151" s="12" t="s">
        <v>66</v>
      </c>
      <c r="F5151" s="10">
        <v>3500</v>
      </c>
      <c r="G5151" s="10">
        <v>0</v>
      </c>
      <c r="H5151" s="10">
        <f t="shared" si="80"/>
        <v>3500</v>
      </c>
      <c r="I5151" s="10">
        <v>116.6666666666667</v>
      </c>
      <c r="J5151" s="10">
        <v>116.6666666666667</v>
      </c>
      <c r="K5151" s="10">
        <v>116.6666666666667</v>
      </c>
      <c r="L5151" s="4"/>
      <c r="M5151" s="4">
        <v>5146</v>
      </c>
    </row>
    <row r="5152" spans="1:13" x14ac:dyDescent="0.25">
      <c r="A5152" s="4" t="s">
        <v>5193</v>
      </c>
      <c r="B5152" s="4" t="s">
        <v>5194</v>
      </c>
      <c r="C5152" s="4" t="s">
        <v>68</v>
      </c>
      <c r="D5152" s="10">
        <v>24</v>
      </c>
      <c r="E5152" s="11" t="s">
        <v>51</v>
      </c>
      <c r="F5152" s="10">
        <v>3360</v>
      </c>
      <c r="G5152" s="10">
        <v>0</v>
      </c>
      <c r="H5152" s="10">
        <f t="shared" si="80"/>
        <v>3360</v>
      </c>
      <c r="I5152" s="10"/>
      <c r="J5152" s="10"/>
      <c r="K5152" s="10"/>
      <c r="L5152" s="4" t="s">
        <v>69</v>
      </c>
      <c r="M5152" s="4">
        <v>5147</v>
      </c>
    </row>
    <row r="5153" spans="1:13" x14ac:dyDescent="0.25">
      <c r="A5153" s="4" t="s">
        <v>5193</v>
      </c>
      <c r="B5153" s="4" t="s">
        <v>5195</v>
      </c>
      <c r="C5153" s="4" t="s">
        <v>68</v>
      </c>
      <c r="D5153" s="10">
        <v>16</v>
      </c>
      <c r="E5153" s="11" t="s">
        <v>51</v>
      </c>
      <c r="F5153" s="10">
        <v>2240</v>
      </c>
      <c r="G5153" s="10">
        <v>0</v>
      </c>
      <c r="H5153" s="10">
        <f t="shared" si="80"/>
        <v>2240</v>
      </c>
      <c r="I5153" s="10"/>
      <c r="J5153" s="10"/>
      <c r="K5153" s="10"/>
      <c r="L5153" s="4" t="s">
        <v>69</v>
      </c>
      <c r="M5153" s="4">
        <v>5148</v>
      </c>
    </row>
    <row r="5154" spans="1:13" x14ac:dyDescent="0.25">
      <c r="A5154" s="4" t="s">
        <v>5193</v>
      </c>
      <c r="B5154" s="4" t="s">
        <v>5196</v>
      </c>
      <c r="C5154" s="9" t="s">
        <v>50</v>
      </c>
      <c r="D5154" s="10">
        <v>16</v>
      </c>
      <c r="E5154" s="11" t="s">
        <v>51</v>
      </c>
      <c r="F5154" s="10"/>
      <c r="G5154" s="10">
        <v>0</v>
      </c>
      <c r="H5154" s="10">
        <f t="shared" si="80"/>
        <v>0</v>
      </c>
      <c r="I5154" s="10"/>
      <c r="J5154" s="10"/>
      <c r="K5154" s="10"/>
      <c r="L5154" s="4" t="s">
        <v>52</v>
      </c>
      <c r="M5154" s="4">
        <v>5149</v>
      </c>
    </row>
    <row r="5155" spans="1:13" x14ac:dyDescent="0.25">
      <c r="A5155" s="4" t="s">
        <v>5197</v>
      </c>
      <c r="B5155" s="4" t="s">
        <v>2461</v>
      </c>
      <c r="C5155" s="4" t="s">
        <v>65</v>
      </c>
      <c r="D5155" s="10">
        <v>13</v>
      </c>
      <c r="E5155" s="12" t="s">
        <v>66</v>
      </c>
      <c r="F5155" s="10">
        <v>1250</v>
      </c>
      <c r="G5155" s="10">
        <v>0</v>
      </c>
      <c r="H5155" s="10">
        <f t="shared" si="80"/>
        <v>1250</v>
      </c>
      <c r="I5155" s="10">
        <v>96.15384615384616</v>
      </c>
      <c r="J5155" s="10">
        <v>96.15384615384616</v>
      </c>
      <c r="K5155" s="10">
        <v>96.15384615384616</v>
      </c>
      <c r="L5155" s="4"/>
      <c r="M5155" s="4">
        <v>5150</v>
      </c>
    </row>
    <row r="5156" spans="1:13" x14ac:dyDescent="0.25">
      <c r="A5156" s="4" t="s">
        <v>5197</v>
      </c>
      <c r="B5156" s="4" t="s">
        <v>5198</v>
      </c>
      <c r="C5156" s="4" t="s">
        <v>65</v>
      </c>
      <c r="D5156" s="10">
        <v>94.75</v>
      </c>
      <c r="E5156" s="12" t="s">
        <v>66</v>
      </c>
      <c r="F5156" s="10">
        <v>500</v>
      </c>
      <c r="G5156" s="10">
        <v>0</v>
      </c>
      <c r="H5156" s="10">
        <f t="shared" si="80"/>
        <v>500</v>
      </c>
      <c r="I5156" s="10">
        <v>166.66666666666671</v>
      </c>
      <c r="J5156" s="10">
        <v>166.66666666666671</v>
      </c>
      <c r="K5156" s="10">
        <v>166.66666666666671</v>
      </c>
      <c r="L5156" s="4"/>
      <c r="M5156" s="4">
        <v>5151</v>
      </c>
    </row>
    <row r="5157" spans="1:13" x14ac:dyDescent="0.25">
      <c r="A5157" s="4" t="s">
        <v>5199</v>
      </c>
      <c r="B5157" s="4" t="s">
        <v>2208</v>
      </c>
      <c r="C5157" s="9" t="s">
        <v>50</v>
      </c>
      <c r="D5157" s="10">
        <v>0.75</v>
      </c>
      <c r="E5157" s="11" t="s">
        <v>51</v>
      </c>
      <c r="F5157" s="10">
        <v>125</v>
      </c>
      <c r="G5157" s="10">
        <v>0</v>
      </c>
      <c r="H5157" s="10">
        <f t="shared" si="80"/>
        <v>125</v>
      </c>
      <c r="I5157" s="10"/>
      <c r="J5157" s="10"/>
      <c r="K5157" s="10"/>
      <c r="L5157" s="4" t="s">
        <v>52</v>
      </c>
      <c r="M5157" s="4">
        <v>5152</v>
      </c>
    </row>
    <row r="5158" spans="1:13" x14ac:dyDescent="0.25">
      <c r="A5158" s="4" t="s">
        <v>5199</v>
      </c>
      <c r="B5158" s="4" t="s">
        <v>2209</v>
      </c>
      <c r="C5158" s="9" t="s">
        <v>50</v>
      </c>
      <c r="D5158" s="10">
        <v>9</v>
      </c>
      <c r="E5158" s="11" t="s">
        <v>51</v>
      </c>
      <c r="F5158" s="10">
        <v>1500</v>
      </c>
      <c r="G5158" s="10">
        <v>0</v>
      </c>
      <c r="H5158" s="10">
        <f t="shared" si="80"/>
        <v>1500</v>
      </c>
      <c r="I5158" s="10"/>
      <c r="J5158" s="10"/>
      <c r="K5158" s="10"/>
      <c r="L5158" s="4" t="s">
        <v>52</v>
      </c>
      <c r="M5158" s="4">
        <v>5153</v>
      </c>
    </row>
    <row r="5159" spans="1:13" x14ac:dyDescent="0.25">
      <c r="A5159" s="4" t="s">
        <v>5199</v>
      </c>
      <c r="B5159" s="4" t="s">
        <v>2210</v>
      </c>
      <c r="C5159" s="9" t="s">
        <v>50</v>
      </c>
      <c r="D5159" s="10">
        <v>28</v>
      </c>
      <c r="E5159" s="11" t="s">
        <v>51</v>
      </c>
      <c r="F5159" s="10">
        <v>4425</v>
      </c>
      <c r="G5159" s="10">
        <v>0</v>
      </c>
      <c r="H5159" s="10">
        <f t="shared" si="80"/>
        <v>4425</v>
      </c>
      <c r="I5159" s="10"/>
      <c r="J5159" s="10"/>
      <c r="K5159" s="10"/>
      <c r="L5159" s="4" t="s">
        <v>52</v>
      </c>
      <c r="M5159" s="4">
        <v>5154</v>
      </c>
    </row>
    <row r="5160" spans="1:13" x14ac:dyDescent="0.25">
      <c r="A5160" s="4" t="s">
        <v>5199</v>
      </c>
      <c r="B5160" s="4" t="s">
        <v>2211</v>
      </c>
      <c r="C5160" s="9" t="s">
        <v>50</v>
      </c>
      <c r="D5160" s="10">
        <v>86</v>
      </c>
      <c r="E5160" s="11" t="s">
        <v>51</v>
      </c>
      <c r="F5160" s="10">
        <v>6950</v>
      </c>
      <c r="G5160" s="10">
        <v>0</v>
      </c>
      <c r="H5160" s="10">
        <f t="shared" si="80"/>
        <v>6950</v>
      </c>
      <c r="I5160" s="10"/>
      <c r="J5160" s="10"/>
      <c r="K5160" s="10"/>
      <c r="L5160" s="4" t="s">
        <v>52</v>
      </c>
      <c r="M5160" s="4">
        <v>5155</v>
      </c>
    </row>
    <row r="5161" spans="1:13" x14ac:dyDescent="0.25">
      <c r="A5161" s="4" t="s">
        <v>5200</v>
      </c>
      <c r="B5161" s="4" t="s">
        <v>5201</v>
      </c>
      <c r="C5161" s="4" t="s">
        <v>68</v>
      </c>
      <c r="D5161" s="10">
        <v>312</v>
      </c>
      <c r="E5161" s="11" t="s">
        <v>51</v>
      </c>
      <c r="F5161" s="10">
        <v>2560</v>
      </c>
      <c r="G5161" s="10">
        <v>0</v>
      </c>
      <c r="H5161" s="10">
        <f t="shared" si="80"/>
        <v>2560</v>
      </c>
      <c r="I5161" s="10"/>
      <c r="J5161" s="10"/>
      <c r="K5161" s="10"/>
      <c r="L5161" s="4" t="s">
        <v>69</v>
      </c>
      <c r="M5161" s="4">
        <v>5156</v>
      </c>
    </row>
    <row r="5162" spans="1:13" x14ac:dyDescent="0.25">
      <c r="A5162" s="4" t="s">
        <v>5202</v>
      </c>
      <c r="B5162" s="4" t="s">
        <v>5203</v>
      </c>
      <c r="C5162" s="9" t="s">
        <v>50</v>
      </c>
      <c r="D5162" s="10">
        <v>47</v>
      </c>
      <c r="E5162" s="11" t="s">
        <v>51</v>
      </c>
      <c r="F5162" s="10">
        <v>5500</v>
      </c>
      <c r="G5162" s="10">
        <v>0</v>
      </c>
      <c r="H5162" s="10">
        <f t="shared" si="80"/>
        <v>5500</v>
      </c>
      <c r="I5162" s="10"/>
      <c r="J5162" s="10"/>
      <c r="K5162" s="10"/>
      <c r="L5162" s="4" t="s">
        <v>52</v>
      </c>
      <c r="M5162" s="4">
        <v>5157</v>
      </c>
    </row>
    <row r="5163" spans="1:13" x14ac:dyDescent="0.25">
      <c r="A5163" s="4" t="s">
        <v>5202</v>
      </c>
      <c r="B5163" s="4" t="s">
        <v>5204</v>
      </c>
      <c r="C5163" s="9" t="s">
        <v>50</v>
      </c>
      <c r="D5163" s="10">
        <v>40</v>
      </c>
      <c r="E5163" s="11" t="s">
        <v>51</v>
      </c>
      <c r="F5163" s="10">
        <v>4350</v>
      </c>
      <c r="G5163" s="10">
        <v>0</v>
      </c>
      <c r="H5163" s="10">
        <f t="shared" si="80"/>
        <v>4350</v>
      </c>
      <c r="I5163" s="10"/>
      <c r="J5163" s="10"/>
      <c r="K5163" s="10"/>
      <c r="L5163" s="4" t="s">
        <v>52</v>
      </c>
      <c r="M5163" s="4">
        <v>5158</v>
      </c>
    </row>
    <row r="5164" spans="1:13" x14ac:dyDescent="0.25">
      <c r="A5164" s="4" t="s">
        <v>5202</v>
      </c>
      <c r="B5164" s="4" t="s">
        <v>5205</v>
      </c>
      <c r="C5164" s="9" t="s">
        <v>50</v>
      </c>
      <c r="D5164" s="10">
        <v>44</v>
      </c>
      <c r="E5164" s="11" t="s">
        <v>51</v>
      </c>
      <c r="F5164" s="10">
        <v>5200</v>
      </c>
      <c r="G5164" s="10">
        <v>0</v>
      </c>
      <c r="H5164" s="10">
        <f t="shared" si="80"/>
        <v>5200</v>
      </c>
      <c r="I5164" s="10"/>
      <c r="J5164" s="10"/>
      <c r="K5164" s="10"/>
      <c r="L5164" s="4" t="s">
        <v>52</v>
      </c>
      <c r="M5164" s="4">
        <v>5159</v>
      </c>
    </row>
    <row r="5165" spans="1:13" x14ac:dyDescent="0.25">
      <c r="A5165" s="4" t="s">
        <v>5202</v>
      </c>
      <c r="B5165" s="4" t="s">
        <v>5206</v>
      </c>
      <c r="C5165" s="9" t="s">
        <v>50</v>
      </c>
      <c r="D5165" s="10">
        <v>181</v>
      </c>
      <c r="E5165" s="11" t="s">
        <v>51</v>
      </c>
      <c r="F5165" s="10">
        <v>19350</v>
      </c>
      <c r="G5165" s="10">
        <v>0</v>
      </c>
      <c r="H5165" s="10">
        <f t="shared" si="80"/>
        <v>19350</v>
      </c>
      <c r="I5165" s="10"/>
      <c r="J5165" s="10"/>
      <c r="K5165" s="10"/>
      <c r="L5165" s="4" t="s">
        <v>52</v>
      </c>
      <c r="M5165" s="4">
        <v>5160</v>
      </c>
    </row>
    <row r="5166" spans="1:13" x14ac:dyDescent="0.25">
      <c r="A5166" s="4" t="s">
        <v>5202</v>
      </c>
      <c r="B5166" s="4" t="s">
        <v>1745</v>
      </c>
      <c r="C5166" s="9" t="s">
        <v>50</v>
      </c>
      <c r="D5166" s="10">
        <v>183.5</v>
      </c>
      <c r="E5166" s="11" t="s">
        <v>51</v>
      </c>
      <c r="F5166" s="10"/>
      <c r="G5166" s="10">
        <v>0</v>
      </c>
      <c r="H5166" s="10">
        <f t="shared" si="80"/>
        <v>0</v>
      </c>
      <c r="I5166" s="10"/>
      <c r="J5166" s="10"/>
      <c r="K5166" s="10"/>
      <c r="L5166" s="4" t="s">
        <v>52</v>
      </c>
      <c r="M5166" s="4">
        <v>5161</v>
      </c>
    </row>
    <row r="5167" spans="1:13" x14ac:dyDescent="0.25">
      <c r="A5167" s="4" t="s">
        <v>5207</v>
      </c>
      <c r="B5167" s="4" t="s">
        <v>378</v>
      </c>
      <c r="C5167" s="4" t="s">
        <v>65</v>
      </c>
      <c r="D5167" s="10">
        <v>163</v>
      </c>
      <c r="E5167" s="12" t="s">
        <v>66</v>
      </c>
      <c r="F5167" s="10">
        <v>18750</v>
      </c>
      <c r="G5167" s="10">
        <v>0</v>
      </c>
      <c r="H5167" s="10">
        <f t="shared" si="80"/>
        <v>18750</v>
      </c>
      <c r="I5167" s="10">
        <v>115.0306748466258</v>
      </c>
      <c r="J5167" s="10">
        <v>115.0306748466258</v>
      </c>
      <c r="K5167" s="10">
        <v>115.0306748466258</v>
      </c>
      <c r="L5167" s="4"/>
      <c r="M5167" s="4">
        <v>5162</v>
      </c>
    </row>
    <row r="5168" spans="1:13" x14ac:dyDescent="0.25">
      <c r="A5168" s="4" t="s">
        <v>5207</v>
      </c>
      <c r="B5168" s="4" t="s">
        <v>5208</v>
      </c>
      <c r="C5168" s="4" t="s">
        <v>68</v>
      </c>
      <c r="D5168" s="10">
        <v>62.5</v>
      </c>
      <c r="E5168" s="11" t="s">
        <v>51</v>
      </c>
      <c r="F5168" s="10">
        <v>2255</v>
      </c>
      <c r="G5168" s="10">
        <v>0</v>
      </c>
      <c r="H5168" s="10">
        <f t="shared" si="80"/>
        <v>2255</v>
      </c>
      <c r="I5168" s="10"/>
      <c r="J5168" s="10"/>
      <c r="K5168" s="10"/>
      <c r="L5168" s="4" t="s">
        <v>69</v>
      </c>
      <c r="M5168" s="4">
        <v>5163</v>
      </c>
    </row>
    <row r="5169" spans="1:13" x14ac:dyDescent="0.25">
      <c r="A5169" s="4" t="s">
        <v>5209</v>
      </c>
      <c r="B5169" s="4" t="s">
        <v>2461</v>
      </c>
      <c r="C5169" s="4" t="s">
        <v>65</v>
      </c>
      <c r="D5169" s="10">
        <v>16</v>
      </c>
      <c r="E5169" s="12" t="s">
        <v>66</v>
      </c>
      <c r="F5169" s="10">
        <v>1400</v>
      </c>
      <c r="G5169" s="10">
        <v>0</v>
      </c>
      <c r="H5169" s="10">
        <f t="shared" si="80"/>
        <v>1400</v>
      </c>
      <c r="I5169" s="10">
        <v>87.5</v>
      </c>
      <c r="J5169" s="10">
        <v>87.5</v>
      </c>
      <c r="K5169" s="10">
        <v>87.5</v>
      </c>
      <c r="L5169" s="4"/>
      <c r="M5169" s="4">
        <v>5164</v>
      </c>
    </row>
    <row r="5170" spans="1:13" x14ac:dyDescent="0.25">
      <c r="A5170" s="4" t="s">
        <v>5209</v>
      </c>
      <c r="B5170" s="4" t="s">
        <v>649</v>
      </c>
      <c r="C5170" s="4" t="s">
        <v>65</v>
      </c>
      <c r="D5170" s="10">
        <v>108</v>
      </c>
      <c r="E5170" s="12" t="s">
        <v>66</v>
      </c>
      <c r="F5170" s="10">
        <v>2300</v>
      </c>
      <c r="G5170" s="10">
        <v>0</v>
      </c>
      <c r="H5170" s="10">
        <f t="shared" si="80"/>
        <v>2300</v>
      </c>
      <c r="I5170" s="10">
        <v>88.461538461538467</v>
      </c>
      <c r="J5170" s="10">
        <v>88.461538461538467</v>
      </c>
      <c r="K5170" s="10">
        <v>88.461538461538467</v>
      </c>
      <c r="L5170" s="4"/>
      <c r="M5170" s="4">
        <v>5165</v>
      </c>
    </row>
    <row r="5171" spans="1:13" x14ac:dyDescent="0.25">
      <c r="A5171" s="4" t="s">
        <v>5210</v>
      </c>
      <c r="B5171" s="4" t="s">
        <v>5211</v>
      </c>
      <c r="C5171" s="9" t="s">
        <v>50</v>
      </c>
      <c r="D5171" s="10">
        <v>306</v>
      </c>
      <c r="E5171" s="11" t="s">
        <v>51</v>
      </c>
      <c r="F5171" s="10">
        <v>7990</v>
      </c>
      <c r="G5171" s="10">
        <v>0</v>
      </c>
      <c r="H5171" s="10">
        <f t="shared" si="80"/>
        <v>7990</v>
      </c>
      <c r="I5171" s="10"/>
      <c r="J5171" s="10"/>
      <c r="K5171" s="10"/>
      <c r="L5171" s="4" t="s">
        <v>52</v>
      </c>
      <c r="M5171" s="4">
        <v>5166</v>
      </c>
    </row>
    <row r="5172" spans="1:13" x14ac:dyDescent="0.25">
      <c r="A5172" s="4" t="s">
        <v>5212</v>
      </c>
      <c r="B5172" s="4" t="s">
        <v>5213</v>
      </c>
      <c r="C5172" s="4" t="s">
        <v>65</v>
      </c>
      <c r="D5172" s="10">
        <v>100</v>
      </c>
      <c r="E5172" s="12" t="s">
        <v>66</v>
      </c>
      <c r="F5172" s="10">
        <v>5422.75</v>
      </c>
      <c r="G5172" s="10">
        <v>0</v>
      </c>
      <c r="H5172" s="10">
        <f t="shared" si="80"/>
        <v>5422.75</v>
      </c>
      <c r="I5172" s="10">
        <v>54.227499999999999</v>
      </c>
      <c r="J5172" s="10">
        <v>54.227499999999999</v>
      </c>
      <c r="K5172" s="10">
        <v>54.227499999999999</v>
      </c>
      <c r="L5172" s="4"/>
      <c r="M5172" s="4">
        <v>5167</v>
      </c>
    </row>
    <row r="5173" spans="1:13" x14ac:dyDescent="0.25">
      <c r="A5173" s="4" t="s">
        <v>5212</v>
      </c>
      <c r="B5173" s="4" t="s">
        <v>5214</v>
      </c>
      <c r="C5173" s="4" t="s">
        <v>65</v>
      </c>
      <c r="D5173" s="10">
        <v>60</v>
      </c>
      <c r="E5173" s="12" t="s">
        <v>66</v>
      </c>
      <c r="F5173" s="10">
        <v>5422.75</v>
      </c>
      <c r="G5173" s="10">
        <v>0</v>
      </c>
      <c r="H5173" s="10">
        <f t="shared" si="80"/>
        <v>5422.75</v>
      </c>
      <c r="I5173" s="10">
        <v>108.455</v>
      </c>
      <c r="J5173" s="10">
        <v>108.455</v>
      </c>
      <c r="K5173" s="10">
        <v>108.455</v>
      </c>
      <c r="L5173" s="4"/>
      <c r="M5173" s="4">
        <v>5168</v>
      </c>
    </row>
    <row r="5174" spans="1:13" x14ac:dyDescent="0.25">
      <c r="A5174" s="4" t="s">
        <v>5215</v>
      </c>
      <c r="B5174" s="4" t="s">
        <v>64</v>
      </c>
      <c r="C5174" s="4" t="s">
        <v>65</v>
      </c>
      <c r="D5174" s="10">
        <v>52</v>
      </c>
      <c r="E5174" s="12" t="s">
        <v>66</v>
      </c>
      <c r="F5174" s="10">
        <v>4850</v>
      </c>
      <c r="G5174" s="10">
        <v>0</v>
      </c>
      <c r="H5174" s="10">
        <f t="shared" si="80"/>
        <v>4850</v>
      </c>
      <c r="I5174" s="10">
        <v>93.269230769230774</v>
      </c>
      <c r="J5174" s="10">
        <v>93.269230769230774</v>
      </c>
      <c r="K5174" s="10">
        <v>93.269230769230774</v>
      </c>
      <c r="L5174" s="4"/>
      <c r="M5174" s="4">
        <v>5169</v>
      </c>
    </row>
    <row r="5175" spans="1:13" x14ac:dyDescent="0.25">
      <c r="A5175" s="4" t="s">
        <v>5215</v>
      </c>
      <c r="B5175" s="4" t="s">
        <v>301</v>
      </c>
      <c r="C5175" s="4" t="s">
        <v>68</v>
      </c>
      <c r="D5175" s="10">
        <v>186</v>
      </c>
      <c r="E5175" s="11" t="s">
        <v>51</v>
      </c>
      <c r="F5175" s="10">
        <v>640</v>
      </c>
      <c r="G5175" s="10">
        <v>0</v>
      </c>
      <c r="H5175" s="10">
        <f t="shared" si="80"/>
        <v>640</v>
      </c>
      <c r="I5175" s="10"/>
      <c r="J5175" s="10"/>
      <c r="K5175" s="10"/>
      <c r="L5175" s="4" t="s">
        <v>69</v>
      </c>
      <c r="M5175" s="4">
        <v>5170</v>
      </c>
    </row>
    <row r="5176" spans="1:13" x14ac:dyDescent="0.25">
      <c r="A5176" s="4" t="s">
        <v>5216</v>
      </c>
      <c r="B5176" s="4" t="s">
        <v>5217</v>
      </c>
      <c r="C5176" s="4" t="s">
        <v>68</v>
      </c>
      <c r="D5176" s="10">
        <v>128</v>
      </c>
      <c r="E5176" s="11" t="s">
        <v>51</v>
      </c>
      <c r="F5176" s="10">
        <v>19200</v>
      </c>
      <c r="G5176" s="10">
        <v>0</v>
      </c>
      <c r="H5176" s="10">
        <f t="shared" si="80"/>
        <v>19200</v>
      </c>
      <c r="I5176" s="10"/>
      <c r="J5176" s="10"/>
      <c r="K5176" s="10"/>
      <c r="L5176" s="4" t="s">
        <v>69</v>
      </c>
      <c r="M5176" s="4">
        <v>5171</v>
      </c>
    </row>
    <row r="5177" spans="1:13" x14ac:dyDescent="0.25">
      <c r="A5177" s="4" t="s">
        <v>5216</v>
      </c>
      <c r="B5177" s="4" t="s">
        <v>5218</v>
      </c>
      <c r="C5177" s="4" t="s">
        <v>68</v>
      </c>
      <c r="D5177" s="10">
        <v>58</v>
      </c>
      <c r="E5177" s="11" t="s">
        <v>51</v>
      </c>
      <c r="F5177" s="10">
        <v>7500</v>
      </c>
      <c r="G5177" s="10">
        <v>0</v>
      </c>
      <c r="H5177" s="10">
        <f t="shared" si="80"/>
        <v>7500</v>
      </c>
      <c r="I5177" s="10"/>
      <c r="J5177" s="10"/>
      <c r="K5177" s="10"/>
      <c r="L5177" s="4" t="s">
        <v>69</v>
      </c>
      <c r="M5177" s="4">
        <v>5172</v>
      </c>
    </row>
    <row r="5178" spans="1:13" x14ac:dyDescent="0.25">
      <c r="A5178" s="4" t="s">
        <v>5219</v>
      </c>
      <c r="B5178" s="4" t="s">
        <v>5220</v>
      </c>
      <c r="C5178" s="4" t="s">
        <v>68</v>
      </c>
      <c r="D5178" s="10">
        <v>8</v>
      </c>
      <c r="E5178" s="11" t="s">
        <v>51</v>
      </c>
      <c r="F5178" s="10">
        <v>1040</v>
      </c>
      <c r="G5178" s="10">
        <v>0</v>
      </c>
      <c r="H5178" s="10">
        <f t="shared" si="80"/>
        <v>1040</v>
      </c>
      <c r="I5178" s="10"/>
      <c r="J5178" s="10"/>
      <c r="K5178" s="10"/>
      <c r="L5178" s="4" t="s">
        <v>69</v>
      </c>
      <c r="M5178" s="4">
        <v>5173</v>
      </c>
    </row>
    <row r="5179" spans="1:13" x14ac:dyDescent="0.25">
      <c r="A5179" s="4" t="s">
        <v>5221</v>
      </c>
      <c r="B5179" s="4" t="s">
        <v>5222</v>
      </c>
      <c r="C5179" s="4" t="s">
        <v>65</v>
      </c>
      <c r="D5179" s="10"/>
      <c r="E5179" s="11" t="s">
        <v>51</v>
      </c>
      <c r="F5179" s="10"/>
      <c r="G5179" s="10">
        <v>0</v>
      </c>
      <c r="H5179" s="10">
        <f t="shared" si="80"/>
        <v>0</v>
      </c>
      <c r="I5179" s="10"/>
      <c r="J5179" s="10"/>
      <c r="K5179" s="10"/>
      <c r="L5179" s="4" t="s">
        <v>69</v>
      </c>
      <c r="M5179" s="4">
        <v>5174</v>
      </c>
    </row>
    <row r="5180" spans="1:13" x14ac:dyDescent="0.25">
      <c r="A5180" s="4" t="s">
        <v>5221</v>
      </c>
      <c r="B5180" s="4" t="s">
        <v>97</v>
      </c>
      <c r="C5180" s="9" t="s">
        <v>50</v>
      </c>
      <c r="D5180" s="10">
        <v>10</v>
      </c>
      <c r="E5180" s="11" t="s">
        <v>51</v>
      </c>
      <c r="F5180" s="10"/>
      <c r="G5180" s="10">
        <v>0</v>
      </c>
      <c r="H5180" s="10">
        <f t="shared" si="80"/>
        <v>0</v>
      </c>
      <c r="I5180" s="10"/>
      <c r="J5180" s="10"/>
      <c r="K5180" s="10"/>
      <c r="L5180" s="4" t="s">
        <v>52</v>
      </c>
      <c r="M5180" s="4">
        <v>5175</v>
      </c>
    </row>
    <row r="5181" spans="1:13" x14ac:dyDescent="0.25">
      <c r="A5181" s="4" t="s">
        <v>5223</v>
      </c>
      <c r="B5181" s="4" t="s">
        <v>521</v>
      </c>
      <c r="C5181" s="4" t="s">
        <v>68</v>
      </c>
      <c r="D5181" s="10">
        <v>10</v>
      </c>
      <c r="E5181" s="11" t="s">
        <v>51</v>
      </c>
      <c r="F5181" s="10"/>
      <c r="G5181" s="10">
        <v>0</v>
      </c>
      <c r="H5181" s="10">
        <f t="shared" si="80"/>
        <v>0</v>
      </c>
      <c r="I5181" s="10"/>
      <c r="J5181" s="10"/>
      <c r="K5181" s="10"/>
      <c r="L5181" s="4" t="s">
        <v>69</v>
      </c>
      <c r="M5181" s="4">
        <v>5176</v>
      </c>
    </row>
    <row r="5182" spans="1:13" x14ac:dyDescent="0.25">
      <c r="A5182" s="4" t="s">
        <v>5224</v>
      </c>
      <c r="B5182" s="4" t="s">
        <v>521</v>
      </c>
      <c r="C5182" s="4" t="s">
        <v>68</v>
      </c>
      <c r="D5182" s="10"/>
      <c r="E5182" s="11" t="s">
        <v>51</v>
      </c>
      <c r="F5182" s="10"/>
      <c r="G5182" s="10">
        <v>0</v>
      </c>
      <c r="H5182" s="10">
        <f t="shared" si="80"/>
        <v>0</v>
      </c>
      <c r="I5182" s="10"/>
      <c r="J5182" s="10"/>
      <c r="K5182" s="10"/>
      <c r="L5182" s="4" t="s">
        <v>69</v>
      </c>
      <c r="M5182" s="4">
        <v>5177</v>
      </c>
    </row>
    <row r="5183" spans="1:13" x14ac:dyDescent="0.25">
      <c r="A5183" s="4" t="s">
        <v>5224</v>
      </c>
      <c r="B5183" s="4" t="s">
        <v>5225</v>
      </c>
      <c r="C5183" s="9" t="s">
        <v>50</v>
      </c>
      <c r="D5183" s="10"/>
      <c r="E5183" s="11" t="s">
        <v>51</v>
      </c>
      <c r="F5183" s="10"/>
      <c r="G5183" s="10">
        <v>0</v>
      </c>
      <c r="H5183" s="10">
        <f t="shared" si="80"/>
        <v>0</v>
      </c>
      <c r="I5183" s="10"/>
      <c r="J5183" s="10"/>
      <c r="K5183" s="10"/>
      <c r="L5183" s="4" t="s">
        <v>52</v>
      </c>
      <c r="M5183" s="4">
        <v>5178</v>
      </c>
    </row>
    <row r="5184" spans="1:13" x14ac:dyDescent="0.25">
      <c r="A5184" s="4" t="s">
        <v>5224</v>
      </c>
      <c r="B5184" s="4" t="s">
        <v>97</v>
      </c>
      <c r="C5184" s="9" t="s">
        <v>50</v>
      </c>
      <c r="D5184" s="10">
        <v>96</v>
      </c>
      <c r="E5184" s="11" t="s">
        <v>51</v>
      </c>
      <c r="F5184" s="10"/>
      <c r="G5184" s="10">
        <v>0</v>
      </c>
      <c r="H5184" s="10">
        <f t="shared" si="80"/>
        <v>0</v>
      </c>
      <c r="I5184" s="10"/>
      <c r="J5184" s="10"/>
      <c r="K5184" s="10"/>
      <c r="L5184" s="4" t="s">
        <v>52</v>
      </c>
      <c r="M5184" s="4">
        <v>5179</v>
      </c>
    </row>
    <row r="5185" spans="1:13" x14ac:dyDescent="0.25">
      <c r="A5185" s="4" t="s">
        <v>5226</v>
      </c>
      <c r="B5185" s="4" t="s">
        <v>5227</v>
      </c>
      <c r="C5185" s="4" t="s">
        <v>65</v>
      </c>
      <c r="D5185" s="10">
        <v>18</v>
      </c>
      <c r="E5185" s="12" t="s">
        <v>66</v>
      </c>
      <c r="F5185" s="10">
        <v>1950</v>
      </c>
      <c r="G5185" s="10">
        <v>0</v>
      </c>
      <c r="H5185" s="10">
        <f t="shared" si="80"/>
        <v>1950</v>
      </c>
      <c r="I5185" s="10">
        <v>108.3333333333333</v>
      </c>
      <c r="J5185" s="10">
        <v>108.3333333333333</v>
      </c>
      <c r="K5185" s="10">
        <v>108.3333333333333</v>
      </c>
      <c r="L5185" s="4"/>
      <c r="M5185" s="4">
        <v>5180</v>
      </c>
    </row>
    <row r="5186" spans="1:13" x14ac:dyDescent="0.25">
      <c r="A5186" s="4" t="s">
        <v>5226</v>
      </c>
      <c r="B5186" s="4" t="s">
        <v>5228</v>
      </c>
      <c r="C5186" s="4" t="s">
        <v>65</v>
      </c>
      <c r="D5186" s="10">
        <v>70</v>
      </c>
      <c r="E5186" s="12" t="s">
        <v>66</v>
      </c>
      <c r="F5186" s="10">
        <v>8900</v>
      </c>
      <c r="G5186" s="10">
        <v>0</v>
      </c>
      <c r="H5186" s="10">
        <f t="shared" si="80"/>
        <v>8900</v>
      </c>
      <c r="I5186" s="10">
        <v>127.1428571428571</v>
      </c>
      <c r="J5186" s="10">
        <v>127.1428571428571</v>
      </c>
      <c r="K5186" s="10">
        <v>127.1428571428571</v>
      </c>
      <c r="L5186" s="4"/>
      <c r="M5186" s="4">
        <v>5181</v>
      </c>
    </row>
    <row r="5187" spans="1:13" x14ac:dyDescent="0.25">
      <c r="A5187" s="4" t="s">
        <v>5226</v>
      </c>
      <c r="B5187" s="4" t="s">
        <v>5229</v>
      </c>
      <c r="C5187" s="4" t="s">
        <v>65</v>
      </c>
      <c r="D5187" s="10">
        <v>25</v>
      </c>
      <c r="E5187" s="12" t="s">
        <v>66</v>
      </c>
      <c r="F5187" s="10">
        <v>850</v>
      </c>
      <c r="G5187" s="10">
        <v>0</v>
      </c>
      <c r="H5187" s="10">
        <f t="shared" si="80"/>
        <v>850</v>
      </c>
      <c r="I5187" s="10">
        <v>106.25</v>
      </c>
      <c r="J5187" s="10">
        <v>106.25</v>
      </c>
      <c r="K5187" s="10">
        <v>106.25</v>
      </c>
      <c r="L5187" s="4"/>
      <c r="M5187" s="4">
        <v>5182</v>
      </c>
    </row>
    <row r="5188" spans="1:13" x14ac:dyDescent="0.25">
      <c r="A5188" s="4" t="s">
        <v>5230</v>
      </c>
      <c r="B5188" s="4" t="s">
        <v>520</v>
      </c>
      <c r="C5188" s="4" t="s">
        <v>65</v>
      </c>
      <c r="D5188" s="10">
        <v>32</v>
      </c>
      <c r="E5188" s="12" t="s">
        <v>66</v>
      </c>
      <c r="F5188" s="10">
        <v>2000</v>
      </c>
      <c r="G5188" s="10">
        <v>0</v>
      </c>
      <c r="H5188" s="10">
        <f t="shared" si="80"/>
        <v>2000</v>
      </c>
      <c r="I5188" s="10">
        <v>117.64705882352941</v>
      </c>
      <c r="J5188" s="10">
        <v>117.64705882352941</v>
      </c>
      <c r="K5188" s="10">
        <v>117.64705882352941</v>
      </c>
      <c r="L5188" s="4"/>
      <c r="M5188" s="4">
        <v>5183</v>
      </c>
    </row>
    <row r="5189" spans="1:13" x14ac:dyDescent="0.25">
      <c r="A5189" s="4" t="s">
        <v>5231</v>
      </c>
      <c r="B5189" s="4" t="s">
        <v>64</v>
      </c>
      <c r="C5189" s="4" t="s">
        <v>65</v>
      </c>
      <c r="D5189" s="10">
        <v>194.5</v>
      </c>
      <c r="E5189" s="12" t="s">
        <v>66</v>
      </c>
      <c r="F5189" s="10">
        <v>1200</v>
      </c>
      <c r="G5189" s="10">
        <v>0</v>
      </c>
      <c r="H5189" s="10">
        <f t="shared" si="80"/>
        <v>1200</v>
      </c>
      <c r="I5189" s="10">
        <v>80</v>
      </c>
      <c r="J5189" s="10">
        <v>80</v>
      </c>
      <c r="K5189" s="10">
        <v>80</v>
      </c>
      <c r="L5189" s="4"/>
      <c r="M5189" s="4">
        <v>5184</v>
      </c>
    </row>
    <row r="5190" spans="1:13" x14ac:dyDescent="0.25">
      <c r="A5190" s="4" t="s">
        <v>5232</v>
      </c>
      <c r="B5190" s="4" t="s">
        <v>5233</v>
      </c>
      <c r="C5190" s="9" t="s">
        <v>50</v>
      </c>
      <c r="D5190" s="10">
        <v>80</v>
      </c>
      <c r="E5190" s="11" t="s">
        <v>51</v>
      </c>
      <c r="F5190" s="10"/>
      <c r="G5190" s="10">
        <v>0</v>
      </c>
      <c r="H5190" s="10">
        <f t="shared" ref="H5190:H5253" si="81">F5190-G5190</f>
        <v>0</v>
      </c>
      <c r="I5190" s="10"/>
      <c r="J5190" s="10"/>
      <c r="K5190" s="10"/>
      <c r="L5190" s="4" t="s">
        <v>52</v>
      </c>
      <c r="M5190" s="4">
        <v>5185</v>
      </c>
    </row>
    <row r="5191" spans="1:13" x14ac:dyDescent="0.25">
      <c r="A5191" s="4" t="s">
        <v>5232</v>
      </c>
      <c r="B5191" s="4" t="s">
        <v>5234</v>
      </c>
      <c r="C5191" s="9" t="s">
        <v>50</v>
      </c>
      <c r="D5191" s="10">
        <v>0.5</v>
      </c>
      <c r="E5191" s="11" t="s">
        <v>51</v>
      </c>
      <c r="F5191" s="10">
        <v>100</v>
      </c>
      <c r="G5191" s="10">
        <v>0</v>
      </c>
      <c r="H5191" s="10">
        <f t="shared" si="81"/>
        <v>100</v>
      </c>
      <c r="I5191" s="10"/>
      <c r="J5191" s="10"/>
      <c r="K5191" s="10"/>
      <c r="L5191" s="4" t="s">
        <v>52</v>
      </c>
      <c r="M5191" s="4">
        <v>5186</v>
      </c>
    </row>
    <row r="5192" spans="1:13" x14ac:dyDescent="0.25">
      <c r="A5192" s="4" t="s">
        <v>5232</v>
      </c>
      <c r="B5192" s="4" t="s">
        <v>5235</v>
      </c>
      <c r="C5192" s="9" t="s">
        <v>50</v>
      </c>
      <c r="D5192" s="10">
        <v>7</v>
      </c>
      <c r="E5192" s="11" t="s">
        <v>51</v>
      </c>
      <c r="F5192" s="10">
        <v>4200</v>
      </c>
      <c r="G5192" s="10">
        <v>0</v>
      </c>
      <c r="H5192" s="10">
        <f t="shared" si="81"/>
        <v>4200</v>
      </c>
      <c r="I5192" s="10"/>
      <c r="J5192" s="10"/>
      <c r="K5192" s="10"/>
      <c r="L5192" s="4" t="s">
        <v>52</v>
      </c>
      <c r="M5192" s="4">
        <v>5187</v>
      </c>
    </row>
    <row r="5193" spans="1:13" x14ac:dyDescent="0.25">
      <c r="A5193" s="4" t="s">
        <v>5232</v>
      </c>
      <c r="B5193" s="4" t="s">
        <v>5236</v>
      </c>
      <c r="C5193" s="9" t="s">
        <v>50</v>
      </c>
      <c r="D5193" s="10">
        <v>7</v>
      </c>
      <c r="E5193" s="11" t="s">
        <v>51</v>
      </c>
      <c r="F5193" s="10">
        <v>900</v>
      </c>
      <c r="G5193" s="10">
        <v>0</v>
      </c>
      <c r="H5193" s="10">
        <f t="shared" si="81"/>
        <v>900</v>
      </c>
      <c r="I5193" s="10"/>
      <c r="J5193" s="10"/>
      <c r="K5193" s="10"/>
      <c r="L5193" s="4" t="s">
        <v>52</v>
      </c>
      <c r="M5193" s="4">
        <v>5188</v>
      </c>
    </row>
    <row r="5194" spans="1:13" x14ac:dyDescent="0.25">
      <c r="A5194" s="4" t="s">
        <v>5232</v>
      </c>
      <c r="B5194" s="4" t="s">
        <v>5237</v>
      </c>
      <c r="C5194" s="9" t="s">
        <v>50</v>
      </c>
      <c r="D5194" s="10"/>
      <c r="E5194" s="11" t="s">
        <v>51</v>
      </c>
      <c r="F5194" s="10"/>
      <c r="G5194" s="10">
        <v>0</v>
      </c>
      <c r="H5194" s="10">
        <f t="shared" si="81"/>
        <v>0</v>
      </c>
      <c r="I5194" s="10"/>
      <c r="J5194" s="10"/>
      <c r="K5194" s="10"/>
      <c r="L5194" s="4" t="s">
        <v>52</v>
      </c>
      <c r="M5194" s="4">
        <v>5189</v>
      </c>
    </row>
    <row r="5195" spans="1:13" x14ac:dyDescent="0.25">
      <c r="A5195" s="4" t="s">
        <v>5232</v>
      </c>
      <c r="B5195" s="4" t="s">
        <v>5238</v>
      </c>
      <c r="C5195" s="9" t="s">
        <v>50</v>
      </c>
      <c r="D5195" s="10"/>
      <c r="E5195" s="11" t="s">
        <v>51</v>
      </c>
      <c r="F5195" s="10"/>
      <c r="G5195" s="10">
        <v>0</v>
      </c>
      <c r="H5195" s="10">
        <f t="shared" si="81"/>
        <v>0</v>
      </c>
      <c r="I5195" s="10"/>
      <c r="J5195" s="10"/>
      <c r="K5195" s="10"/>
      <c r="L5195" s="4" t="s">
        <v>52</v>
      </c>
      <c r="M5195" s="4">
        <v>5190</v>
      </c>
    </row>
    <row r="5196" spans="1:13" x14ac:dyDescent="0.25">
      <c r="A5196" s="4" t="s">
        <v>5232</v>
      </c>
      <c r="B5196" s="4" t="s">
        <v>5239</v>
      </c>
      <c r="C5196" s="9" t="s">
        <v>50</v>
      </c>
      <c r="D5196" s="10"/>
      <c r="E5196" s="11" t="s">
        <v>51</v>
      </c>
      <c r="F5196" s="10"/>
      <c r="G5196" s="10">
        <v>0</v>
      </c>
      <c r="H5196" s="10">
        <f t="shared" si="81"/>
        <v>0</v>
      </c>
      <c r="I5196" s="10"/>
      <c r="J5196" s="10"/>
      <c r="K5196" s="10"/>
      <c r="L5196" s="4" t="s">
        <v>52</v>
      </c>
      <c r="M5196" s="4">
        <v>5191</v>
      </c>
    </row>
    <row r="5197" spans="1:13" x14ac:dyDescent="0.25">
      <c r="A5197" s="4" t="s">
        <v>5232</v>
      </c>
      <c r="B5197" s="4" t="s">
        <v>5240</v>
      </c>
      <c r="C5197" s="9" t="s">
        <v>50</v>
      </c>
      <c r="D5197" s="10"/>
      <c r="E5197" s="11" t="s">
        <v>51</v>
      </c>
      <c r="F5197" s="10"/>
      <c r="G5197" s="10">
        <v>0</v>
      </c>
      <c r="H5197" s="10">
        <f t="shared" si="81"/>
        <v>0</v>
      </c>
      <c r="I5197" s="10"/>
      <c r="J5197" s="10"/>
      <c r="K5197" s="10"/>
      <c r="L5197" s="4" t="s">
        <v>52</v>
      </c>
      <c r="M5197" s="4">
        <v>5192</v>
      </c>
    </row>
    <row r="5198" spans="1:13" x14ac:dyDescent="0.25">
      <c r="A5198" s="4" t="s">
        <v>5232</v>
      </c>
      <c r="B5198" s="4" t="s">
        <v>5241</v>
      </c>
      <c r="C5198" s="9" t="s">
        <v>50</v>
      </c>
      <c r="D5198" s="10"/>
      <c r="E5198" s="11" t="s">
        <v>51</v>
      </c>
      <c r="F5198" s="10"/>
      <c r="G5198" s="10">
        <v>0</v>
      </c>
      <c r="H5198" s="10">
        <f t="shared" si="81"/>
        <v>0</v>
      </c>
      <c r="I5198" s="10"/>
      <c r="J5198" s="10"/>
      <c r="K5198" s="10"/>
      <c r="L5198" s="4" t="s">
        <v>52</v>
      </c>
      <c r="M5198" s="4">
        <v>5193</v>
      </c>
    </row>
    <row r="5199" spans="1:13" x14ac:dyDescent="0.25">
      <c r="A5199" s="4" t="s">
        <v>5232</v>
      </c>
      <c r="B5199" s="4" t="s">
        <v>5242</v>
      </c>
      <c r="C5199" s="9" t="s">
        <v>50</v>
      </c>
      <c r="D5199" s="10"/>
      <c r="E5199" s="11" t="s">
        <v>51</v>
      </c>
      <c r="F5199" s="10"/>
      <c r="G5199" s="10">
        <v>0</v>
      </c>
      <c r="H5199" s="10">
        <f t="shared" si="81"/>
        <v>0</v>
      </c>
      <c r="I5199" s="10"/>
      <c r="J5199" s="10"/>
      <c r="K5199" s="10"/>
      <c r="L5199" s="4" t="s">
        <v>52</v>
      </c>
      <c r="M5199" s="4">
        <v>5194</v>
      </c>
    </row>
    <row r="5200" spans="1:13" x14ac:dyDescent="0.25">
      <c r="A5200" s="4" t="s">
        <v>5232</v>
      </c>
      <c r="B5200" s="4" t="s">
        <v>5243</v>
      </c>
      <c r="C5200" s="9" t="s">
        <v>50</v>
      </c>
      <c r="D5200" s="10"/>
      <c r="E5200" s="11" t="s">
        <v>51</v>
      </c>
      <c r="F5200" s="10"/>
      <c r="G5200" s="10">
        <v>0</v>
      </c>
      <c r="H5200" s="10">
        <f t="shared" si="81"/>
        <v>0</v>
      </c>
      <c r="I5200" s="10"/>
      <c r="J5200" s="10"/>
      <c r="K5200" s="10"/>
      <c r="L5200" s="4" t="s">
        <v>52</v>
      </c>
      <c r="M5200" s="4">
        <v>5195</v>
      </c>
    </row>
    <row r="5201" spans="1:13" x14ac:dyDescent="0.25">
      <c r="A5201" s="4" t="s">
        <v>5232</v>
      </c>
      <c r="B5201" s="4" t="s">
        <v>5244</v>
      </c>
      <c r="C5201" s="9" t="s">
        <v>50</v>
      </c>
      <c r="D5201" s="10"/>
      <c r="E5201" s="11" t="s">
        <v>51</v>
      </c>
      <c r="F5201" s="10"/>
      <c r="G5201" s="10">
        <v>0</v>
      </c>
      <c r="H5201" s="10">
        <f t="shared" si="81"/>
        <v>0</v>
      </c>
      <c r="I5201" s="10"/>
      <c r="J5201" s="10"/>
      <c r="K5201" s="10"/>
      <c r="L5201" s="4" t="s">
        <v>52</v>
      </c>
      <c r="M5201" s="4">
        <v>5196</v>
      </c>
    </row>
    <row r="5202" spans="1:13" x14ac:dyDescent="0.25">
      <c r="A5202" s="4" t="s">
        <v>5232</v>
      </c>
      <c r="B5202" s="4" t="s">
        <v>5245</v>
      </c>
      <c r="C5202" s="9" t="s">
        <v>50</v>
      </c>
      <c r="D5202" s="10"/>
      <c r="E5202" s="11" t="s">
        <v>51</v>
      </c>
      <c r="F5202" s="10"/>
      <c r="G5202" s="10">
        <v>0</v>
      </c>
      <c r="H5202" s="10">
        <f t="shared" si="81"/>
        <v>0</v>
      </c>
      <c r="I5202" s="10"/>
      <c r="J5202" s="10"/>
      <c r="K5202" s="10"/>
      <c r="L5202" s="4" t="s">
        <v>52</v>
      </c>
      <c r="M5202" s="4">
        <v>5197</v>
      </c>
    </row>
    <row r="5203" spans="1:13" x14ac:dyDescent="0.25">
      <c r="A5203" s="4" t="s">
        <v>5232</v>
      </c>
      <c r="B5203" s="4" t="s">
        <v>5246</v>
      </c>
      <c r="C5203" s="9" t="s">
        <v>50</v>
      </c>
      <c r="D5203" s="10">
        <v>66.5</v>
      </c>
      <c r="E5203" s="11" t="s">
        <v>51</v>
      </c>
      <c r="F5203" s="10"/>
      <c r="G5203" s="10">
        <v>0</v>
      </c>
      <c r="H5203" s="10">
        <f t="shared" si="81"/>
        <v>0</v>
      </c>
      <c r="I5203" s="10"/>
      <c r="J5203" s="10"/>
      <c r="K5203" s="10"/>
      <c r="L5203" s="4" t="s">
        <v>52</v>
      </c>
      <c r="M5203" s="4">
        <v>5198</v>
      </c>
    </row>
    <row r="5204" spans="1:13" x14ac:dyDescent="0.25">
      <c r="A5204" s="4" t="s">
        <v>5232</v>
      </c>
      <c r="B5204" s="4" t="s">
        <v>5247</v>
      </c>
      <c r="C5204" s="9" t="s">
        <v>50</v>
      </c>
      <c r="D5204" s="10">
        <v>0.5</v>
      </c>
      <c r="E5204" s="11" t="s">
        <v>51</v>
      </c>
      <c r="F5204" s="10">
        <v>50</v>
      </c>
      <c r="G5204" s="10">
        <v>0</v>
      </c>
      <c r="H5204" s="10">
        <f t="shared" si="81"/>
        <v>50</v>
      </c>
      <c r="I5204" s="10"/>
      <c r="J5204" s="10"/>
      <c r="K5204" s="10"/>
      <c r="L5204" s="4" t="s">
        <v>52</v>
      </c>
      <c r="M5204" s="4">
        <v>5199</v>
      </c>
    </row>
    <row r="5205" spans="1:13" x14ac:dyDescent="0.25">
      <c r="A5205" s="4" t="s">
        <v>5232</v>
      </c>
      <c r="B5205" s="4" t="s">
        <v>5248</v>
      </c>
      <c r="C5205" s="9" t="s">
        <v>50</v>
      </c>
      <c r="D5205" s="10">
        <v>7</v>
      </c>
      <c r="E5205" s="11" t="s">
        <v>51</v>
      </c>
      <c r="F5205" s="10">
        <v>2000</v>
      </c>
      <c r="G5205" s="10">
        <v>0</v>
      </c>
      <c r="H5205" s="10">
        <f t="shared" si="81"/>
        <v>2000</v>
      </c>
      <c r="I5205" s="10"/>
      <c r="J5205" s="10"/>
      <c r="K5205" s="10"/>
      <c r="L5205" s="4" t="s">
        <v>52</v>
      </c>
      <c r="M5205" s="4">
        <v>5200</v>
      </c>
    </row>
    <row r="5206" spans="1:13" x14ac:dyDescent="0.25">
      <c r="A5206" s="4" t="s">
        <v>5232</v>
      </c>
      <c r="B5206" s="4" t="s">
        <v>5249</v>
      </c>
      <c r="C5206" s="9" t="s">
        <v>50</v>
      </c>
      <c r="D5206" s="10">
        <v>3</v>
      </c>
      <c r="E5206" s="11" t="s">
        <v>51</v>
      </c>
      <c r="F5206" s="10">
        <v>450</v>
      </c>
      <c r="G5206" s="10">
        <v>0</v>
      </c>
      <c r="H5206" s="10">
        <f t="shared" si="81"/>
        <v>450</v>
      </c>
      <c r="I5206" s="10"/>
      <c r="J5206" s="10"/>
      <c r="K5206" s="10"/>
      <c r="L5206" s="4" t="s">
        <v>52</v>
      </c>
      <c r="M5206" s="4">
        <v>5201</v>
      </c>
    </row>
    <row r="5207" spans="1:13" x14ac:dyDescent="0.25">
      <c r="A5207" s="4" t="s">
        <v>5232</v>
      </c>
      <c r="B5207" s="4" t="s">
        <v>5250</v>
      </c>
      <c r="C5207" s="9" t="s">
        <v>50</v>
      </c>
      <c r="D5207" s="10">
        <v>4</v>
      </c>
      <c r="E5207" s="11" t="s">
        <v>51</v>
      </c>
      <c r="F5207" s="10">
        <v>550</v>
      </c>
      <c r="G5207" s="10">
        <v>0</v>
      </c>
      <c r="H5207" s="10">
        <f t="shared" si="81"/>
        <v>550</v>
      </c>
      <c r="I5207" s="10"/>
      <c r="J5207" s="10"/>
      <c r="K5207" s="10"/>
      <c r="L5207" s="4" t="s">
        <v>52</v>
      </c>
      <c r="M5207" s="4">
        <v>5202</v>
      </c>
    </row>
    <row r="5208" spans="1:13" x14ac:dyDescent="0.25">
      <c r="A5208" s="4" t="s">
        <v>5232</v>
      </c>
      <c r="B5208" s="4" t="s">
        <v>5251</v>
      </c>
      <c r="C5208" s="9" t="s">
        <v>50</v>
      </c>
      <c r="D5208" s="10"/>
      <c r="E5208" s="11" t="s">
        <v>51</v>
      </c>
      <c r="F5208" s="10"/>
      <c r="G5208" s="10">
        <v>0</v>
      </c>
      <c r="H5208" s="10">
        <f t="shared" si="81"/>
        <v>0</v>
      </c>
      <c r="I5208" s="10"/>
      <c r="J5208" s="10"/>
      <c r="K5208" s="10"/>
      <c r="L5208" s="4" t="s">
        <v>52</v>
      </c>
      <c r="M5208" s="4">
        <v>5203</v>
      </c>
    </row>
    <row r="5209" spans="1:13" x14ac:dyDescent="0.25">
      <c r="A5209" s="4" t="s">
        <v>5232</v>
      </c>
      <c r="B5209" s="4" t="s">
        <v>5252</v>
      </c>
      <c r="C5209" s="9" t="s">
        <v>50</v>
      </c>
      <c r="D5209" s="10"/>
      <c r="E5209" s="11" t="s">
        <v>51</v>
      </c>
      <c r="F5209" s="10"/>
      <c r="G5209" s="10">
        <v>0</v>
      </c>
      <c r="H5209" s="10">
        <f t="shared" si="81"/>
        <v>0</v>
      </c>
      <c r="I5209" s="10"/>
      <c r="J5209" s="10"/>
      <c r="K5209" s="10"/>
      <c r="L5209" s="4" t="s">
        <v>52</v>
      </c>
      <c r="M5209" s="4">
        <v>5204</v>
      </c>
    </row>
    <row r="5210" spans="1:13" x14ac:dyDescent="0.25">
      <c r="A5210" s="4" t="s">
        <v>5232</v>
      </c>
      <c r="B5210" s="4" t="s">
        <v>5253</v>
      </c>
      <c r="C5210" s="9" t="s">
        <v>50</v>
      </c>
      <c r="D5210" s="10"/>
      <c r="E5210" s="11" t="s">
        <v>51</v>
      </c>
      <c r="F5210" s="10"/>
      <c r="G5210" s="10">
        <v>0</v>
      </c>
      <c r="H5210" s="10">
        <f t="shared" si="81"/>
        <v>0</v>
      </c>
      <c r="I5210" s="10"/>
      <c r="J5210" s="10"/>
      <c r="K5210" s="10"/>
      <c r="L5210" s="4" t="s">
        <v>52</v>
      </c>
      <c r="M5210" s="4">
        <v>5205</v>
      </c>
    </row>
    <row r="5211" spans="1:13" x14ac:dyDescent="0.25">
      <c r="A5211" s="4" t="s">
        <v>5232</v>
      </c>
      <c r="B5211" s="4" t="s">
        <v>5254</v>
      </c>
      <c r="C5211" s="9" t="s">
        <v>50</v>
      </c>
      <c r="D5211" s="10"/>
      <c r="E5211" s="11" t="s">
        <v>51</v>
      </c>
      <c r="F5211" s="10"/>
      <c r="G5211" s="10">
        <v>0</v>
      </c>
      <c r="H5211" s="10">
        <f t="shared" si="81"/>
        <v>0</v>
      </c>
      <c r="I5211" s="10"/>
      <c r="J5211" s="10"/>
      <c r="K5211" s="10"/>
      <c r="L5211" s="4" t="s">
        <v>52</v>
      </c>
      <c r="M5211" s="4">
        <v>5206</v>
      </c>
    </row>
    <row r="5212" spans="1:13" x14ac:dyDescent="0.25">
      <c r="A5212" s="4" t="s">
        <v>5232</v>
      </c>
      <c r="B5212" s="4" t="s">
        <v>5255</v>
      </c>
      <c r="C5212" s="9" t="s">
        <v>50</v>
      </c>
      <c r="D5212" s="10"/>
      <c r="E5212" s="11" t="s">
        <v>51</v>
      </c>
      <c r="F5212" s="10"/>
      <c r="G5212" s="10">
        <v>0</v>
      </c>
      <c r="H5212" s="10">
        <f t="shared" si="81"/>
        <v>0</v>
      </c>
      <c r="I5212" s="10"/>
      <c r="J5212" s="10"/>
      <c r="K5212" s="10"/>
      <c r="L5212" s="4" t="s">
        <v>52</v>
      </c>
      <c r="M5212" s="4">
        <v>5207</v>
      </c>
    </row>
    <row r="5213" spans="1:13" x14ac:dyDescent="0.25">
      <c r="A5213" s="4" t="s">
        <v>5232</v>
      </c>
      <c r="B5213" s="4" t="s">
        <v>5256</v>
      </c>
      <c r="C5213" s="9" t="s">
        <v>50</v>
      </c>
      <c r="D5213" s="10"/>
      <c r="E5213" s="11" t="s">
        <v>51</v>
      </c>
      <c r="F5213" s="10"/>
      <c r="G5213" s="10">
        <v>0</v>
      </c>
      <c r="H5213" s="10">
        <f t="shared" si="81"/>
        <v>0</v>
      </c>
      <c r="I5213" s="10"/>
      <c r="J5213" s="10"/>
      <c r="K5213" s="10"/>
      <c r="L5213" s="4" t="s">
        <v>52</v>
      </c>
      <c r="M5213" s="4">
        <v>5208</v>
      </c>
    </row>
    <row r="5214" spans="1:13" x14ac:dyDescent="0.25">
      <c r="A5214" s="4" t="s">
        <v>5232</v>
      </c>
      <c r="B5214" s="4" t="s">
        <v>5257</v>
      </c>
      <c r="C5214" s="9" t="s">
        <v>50</v>
      </c>
      <c r="D5214" s="10"/>
      <c r="E5214" s="11" t="s">
        <v>51</v>
      </c>
      <c r="F5214" s="10"/>
      <c r="G5214" s="10">
        <v>0</v>
      </c>
      <c r="H5214" s="10">
        <f t="shared" si="81"/>
        <v>0</v>
      </c>
      <c r="I5214" s="10"/>
      <c r="J5214" s="10"/>
      <c r="K5214" s="10"/>
      <c r="L5214" s="4" t="s">
        <v>52</v>
      </c>
      <c r="M5214" s="4">
        <v>5209</v>
      </c>
    </row>
    <row r="5215" spans="1:13" x14ac:dyDescent="0.25">
      <c r="A5215" s="4" t="s">
        <v>5232</v>
      </c>
      <c r="B5215" s="4" t="s">
        <v>5258</v>
      </c>
      <c r="C5215" s="9" t="s">
        <v>50</v>
      </c>
      <c r="D5215" s="10"/>
      <c r="E5215" s="11" t="s">
        <v>51</v>
      </c>
      <c r="F5215" s="10"/>
      <c r="G5215" s="10">
        <v>0</v>
      </c>
      <c r="H5215" s="10">
        <f t="shared" si="81"/>
        <v>0</v>
      </c>
      <c r="I5215" s="10"/>
      <c r="J5215" s="10"/>
      <c r="K5215" s="10"/>
      <c r="L5215" s="4" t="s">
        <v>52</v>
      </c>
      <c r="M5215" s="4">
        <v>5210</v>
      </c>
    </row>
    <row r="5216" spans="1:13" x14ac:dyDescent="0.25">
      <c r="A5216" s="4" t="s">
        <v>5232</v>
      </c>
      <c r="B5216" s="4" t="s">
        <v>5259</v>
      </c>
      <c r="C5216" s="9" t="s">
        <v>50</v>
      </c>
      <c r="D5216" s="10">
        <v>452.5</v>
      </c>
      <c r="E5216" s="11" t="s">
        <v>51</v>
      </c>
      <c r="F5216" s="10"/>
      <c r="G5216" s="10">
        <v>0</v>
      </c>
      <c r="H5216" s="10">
        <f t="shared" si="81"/>
        <v>0</v>
      </c>
      <c r="I5216" s="10"/>
      <c r="J5216" s="10"/>
      <c r="K5216" s="10"/>
      <c r="L5216" s="4" t="s">
        <v>52</v>
      </c>
      <c r="M5216" s="4">
        <v>5211</v>
      </c>
    </row>
    <row r="5217" spans="1:13" x14ac:dyDescent="0.25">
      <c r="A5217" s="4" t="s">
        <v>5260</v>
      </c>
      <c r="B5217" s="4" t="s">
        <v>5261</v>
      </c>
      <c r="C5217" s="4" t="s">
        <v>65</v>
      </c>
      <c r="D5217" s="10">
        <v>135.5</v>
      </c>
      <c r="E5217" s="12" t="s">
        <v>66</v>
      </c>
      <c r="F5217" s="10">
        <v>15800</v>
      </c>
      <c r="G5217" s="10">
        <v>0</v>
      </c>
      <c r="H5217" s="10">
        <f t="shared" si="81"/>
        <v>15800</v>
      </c>
      <c r="I5217" s="10">
        <v>116.6051660516605</v>
      </c>
      <c r="J5217" s="10">
        <v>116.6051660516605</v>
      </c>
      <c r="K5217" s="10">
        <v>116.6051660516605</v>
      </c>
      <c r="L5217" s="4"/>
      <c r="M5217" s="4">
        <v>5212</v>
      </c>
    </row>
    <row r="5218" spans="1:13" x14ac:dyDescent="0.25">
      <c r="A5218" s="4" t="s">
        <v>5260</v>
      </c>
      <c r="B5218" s="4" t="s">
        <v>5262</v>
      </c>
      <c r="C5218" s="4" t="s">
        <v>65</v>
      </c>
      <c r="D5218" s="10">
        <v>143</v>
      </c>
      <c r="E5218" s="12" t="s">
        <v>66</v>
      </c>
      <c r="F5218" s="10">
        <v>16800</v>
      </c>
      <c r="G5218" s="10">
        <v>0</v>
      </c>
      <c r="H5218" s="10">
        <f t="shared" si="81"/>
        <v>16800</v>
      </c>
      <c r="I5218" s="10">
        <v>117.48251748251749</v>
      </c>
      <c r="J5218" s="10">
        <v>117.48251748251749</v>
      </c>
      <c r="K5218" s="10">
        <v>117.48251748251749</v>
      </c>
      <c r="L5218" s="4"/>
      <c r="M5218" s="4">
        <v>5213</v>
      </c>
    </row>
    <row r="5219" spans="1:13" x14ac:dyDescent="0.25">
      <c r="A5219" s="4" t="s">
        <v>5260</v>
      </c>
      <c r="B5219" s="4" t="s">
        <v>5263</v>
      </c>
      <c r="C5219" s="4" t="s">
        <v>65</v>
      </c>
      <c r="D5219" s="10">
        <v>52</v>
      </c>
      <c r="E5219" s="12" t="s">
        <v>66</v>
      </c>
      <c r="F5219" s="10">
        <v>6000</v>
      </c>
      <c r="G5219" s="10">
        <v>0</v>
      </c>
      <c r="H5219" s="10">
        <f t="shared" si="81"/>
        <v>6000</v>
      </c>
      <c r="I5219" s="10">
        <v>115.3846153846154</v>
      </c>
      <c r="J5219" s="10">
        <v>115.3846153846154</v>
      </c>
      <c r="K5219" s="10">
        <v>115.3846153846154</v>
      </c>
      <c r="L5219" s="4"/>
      <c r="M5219" s="4">
        <v>5214</v>
      </c>
    </row>
    <row r="5220" spans="1:13" x14ac:dyDescent="0.25">
      <c r="A5220" s="4" t="s">
        <v>5260</v>
      </c>
      <c r="B5220" s="4" t="s">
        <v>5264</v>
      </c>
      <c r="C5220" s="4" t="s">
        <v>65</v>
      </c>
      <c r="D5220" s="10">
        <v>34</v>
      </c>
      <c r="E5220" s="12" t="s">
        <v>66</v>
      </c>
      <c r="F5220" s="10">
        <v>4000</v>
      </c>
      <c r="G5220" s="10">
        <v>0</v>
      </c>
      <c r="H5220" s="10">
        <f t="shared" si="81"/>
        <v>4000</v>
      </c>
      <c r="I5220" s="10">
        <v>117.64705882352941</v>
      </c>
      <c r="J5220" s="10">
        <v>117.64705882352941</v>
      </c>
      <c r="K5220" s="10">
        <v>117.64705882352941</v>
      </c>
      <c r="L5220" s="4"/>
      <c r="M5220" s="4">
        <v>5215</v>
      </c>
    </row>
    <row r="5221" spans="1:13" x14ac:dyDescent="0.25">
      <c r="A5221" s="4" t="s">
        <v>5260</v>
      </c>
      <c r="B5221" s="4" t="s">
        <v>5265</v>
      </c>
      <c r="C5221" s="4" t="s">
        <v>65</v>
      </c>
      <c r="D5221" s="10">
        <v>40</v>
      </c>
      <c r="E5221" s="12" t="s">
        <v>66</v>
      </c>
      <c r="F5221" s="10">
        <v>4700</v>
      </c>
      <c r="G5221" s="10">
        <v>0</v>
      </c>
      <c r="H5221" s="10">
        <f t="shared" si="81"/>
        <v>4700</v>
      </c>
      <c r="I5221" s="10">
        <v>117.5</v>
      </c>
      <c r="J5221" s="10">
        <v>117.5</v>
      </c>
      <c r="K5221" s="10">
        <v>117.5</v>
      </c>
      <c r="L5221" s="4"/>
      <c r="M5221" s="4">
        <v>5216</v>
      </c>
    </row>
    <row r="5222" spans="1:13" x14ac:dyDescent="0.25">
      <c r="A5222" s="4" t="s">
        <v>5260</v>
      </c>
      <c r="B5222" s="4" t="s">
        <v>5266</v>
      </c>
      <c r="C5222" s="4" t="s">
        <v>65</v>
      </c>
      <c r="D5222" s="10">
        <v>54.5</v>
      </c>
      <c r="E5222" s="12" t="s">
        <v>66</v>
      </c>
      <c r="F5222" s="10">
        <v>5650</v>
      </c>
      <c r="G5222" s="10">
        <v>0</v>
      </c>
      <c r="H5222" s="10">
        <f t="shared" si="81"/>
        <v>5650</v>
      </c>
      <c r="I5222" s="10">
        <v>117.7083333333333</v>
      </c>
      <c r="J5222" s="10">
        <v>117.7083333333333</v>
      </c>
      <c r="K5222" s="10">
        <v>117.7083333333333</v>
      </c>
      <c r="L5222" s="4"/>
      <c r="M5222" s="4">
        <v>5217</v>
      </c>
    </row>
    <row r="5223" spans="1:13" x14ac:dyDescent="0.25">
      <c r="A5223" s="4" t="s">
        <v>5267</v>
      </c>
      <c r="B5223" s="4" t="s">
        <v>5268</v>
      </c>
      <c r="C5223" s="9" t="s">
        <v>50</v>
      </c>
      <c r="D5223" s="10">
        <v>80</v>
      </c>
      <c r="E5223" s="11" t="s">
        <v>51</v>
      </c>
      <c r="F5223" s="10">
        <v>1000</v>
      </c>
      <c r="G5223" s="10">
        <v>0</v>
      </c>
      <c r="H5223" s="10">
        <f t="shared" si="81"/>
        <v>1000</v>
      </c>
      <c r="I5223" s="10"/>
      <c r="J5223" s="10"/>
      <c r="K5223" s="10"/>
      <c r="L5223" s="4" t="s">
        <v>52</v>
      </c>
      <c r="M5223" s="4">
        <v>5218</v>
      </c>
    </row>
    <row r="5224" spans="1:13" x14ac:dyDescent="0.25">
      <c r="A5224" s="4" t="s">
        <v>5269</v>
      </c>
      <c r="B5224" s="4" t="s">
        <v>5270</v>
      </c>
      <c r="C5224" s="4" t="s">
        <v>68</v>
      </c>
      <c r="D5224" s="10">
        <v>8</v>
      </c>
      <c r="E5224" s="11" t="s">
        <v>51</v>
      </c>
      <c r="F5224" s="10">
        <v>1440</v>
      </c>
      <c r="G5224" s="10">
        <v>0</v>
      </c>
      <c r="H5224" s="10">
        <f t="shared" si="81"/>
        <v>1440</v>
      </c>
      <c r="I5224" s="10"/>
      <c r="J5224" s="10"/>
      <c r="K5224" s="10"/>
      <c r="L5224" s="4" t="s">
        <v>69</v>
      </c>
      <c r="M5224" s="4">
        <v>5219</v>
      </c>
    </row>
    <row r="5225" spans="1:13" x14ac:dyDescent="0.25">
      <c r="A5225" s="4" t="s">
        <v>5269</v>
      </c>
      <c r="B5225" s="4" t="s">
        <v>5271</v>
      </c>
      <c r="C5225" s="4" t="s">
        <v>68</v>
      </c>
      <c r="D5225" s="10">
        <v>2</v>
      </c>
      <c r="E5225" s="11" t="s">
        <v>51</v>
      </c>
      <c r="F5225" s="10">
        <v>150</v>
      </c>
      <c r="G5225" s="10">
        <v>0</v>
      </c>
      <c r="H5225" s="10">
        <f t="shared" si="81"/>
        <v>150</v>
      </c>
      <c r="I5225" s="10"/>
      <c r="J5225" s="10"/>
      <c r="K5225" s="10"/>
      <c r="L5225" s="4" t="s">
        <v>69</v>
      </c>
      <c r="M5225" s="4">
        <v>5220</v>
      </c>
    </row>
    <row r="5226" spans="1:13" x14ac:dyDescent="0.25">
      <c r="A5226" s="4" t="s">
        <v>5269</v>
      </c>
      <c r="B5226" s="4" t="s">
        <v>5272</v>
      </c>
      <c r="C5226" s="4" t="s">
        <v>65</v>
      </c>
      <c r="D5226" s="10">
        <v>18.5</v>
      </c>
      <c r="E5226" s="12" t="s">
        <v>66</v>
      </c>
      <c r="F5226" s="10">
        <v>4500</v>
      </c>
      <c r="G5226" s="10">
        <v>0</v>
      </c>
      <c r="H5226" s="10">
        <f t="shared" si="81"/>
        <v>4500</v>
      </c>
      <c r="I5226" s="10">
        <v>243.24324324324331</v>
      </c>
      <c r="J5226" s="10">
        <v>243.24324324324331</v>
      </c>
      <c r="K5226" s="10">
        <v>243.24324324324331</v>
      </c>
      <c r="L5226" s="4"/>
      <c r="M5226" s="4">
        <v>5221</v>
      </c>
    </row>
    <row r="5227" spans="1:13" x14ac:dyDescent="0.25">
      <c r="A5227" s="4" t="s">
        <v>5269</v>
      </c>
      <c r="B5227" s="4" t="s">
        <v>5273</v>
      </c>
      <c r="C5227" s="9" t="s">
        <v>50</v>
      </c>
      <c r="D5227" s="10">
        <v>25</v>
      </c>
      <c r="E5227" s="11" t="s">
        <v>51</v>
      </c>
      <c r="F5227" s="10"/>
      <c r="G5227" s="10">
        <v>0</v>
      </c>
      <c r="H5227" s="10">
        <f t="shared" si="81"/>
        <v>0</v>
      </c>
      <c r="I5227" s="10"/>
      <c r="J5227" s="10"/>
      <c r="K5227" s="10"/>
      <c r="L5227" s="4" t="s">
        <v>52</v>
      </c>
      <c r="M5227" s="4">
        <v>5222</v>
      </c>
    </row>
    <row r="5228" spans="1:13" x14ac:dyDescent="0.25">
      <c r="A5228" s="4" t="s">
        <v>5274</v>
      </c>
      <c r="B5228" s="4" t="s">
        <v>5275</v>
      </c>
      <c r="C5228" s="4" t="s">
        <v>65</v>
      </c>
      <c r="D5228" s="10">
        <v>17</v>
      </c>
      <c r="E5228" s="12" t="s">
        <v>66</v>
      </c>
      <c r="F5228" s="10">
        <v>2200</v>
      </c>
      <c r="G5228" s="10">
        <v>0</v>
      </c>
      <c r="H5228" s="10">
        <f t="shared" si="81"/>
        <v>2200</v>
      </c>
      <c r="I5228" s="10">
        <v>129.41176470588229</v>
      </c>
      <c r="J5228" s="10">
        <v>129.41176470588229</v>
      </c>
      <c r="K5228" s="10">
        <v>129.41176470588229</v>
      </c>
      <c r="L5228" s="4"/>
      <c r="M5228" s="4">
        <v>5223</v>
      </c>
    </row>
    <row r="5229" spans="1:13" x14ac:dyDescent="0.25">
      <c r="A5229" s="4" t="s">
        <v>5274</v>
      </c>
      <c r="B5229" s="4" t="s">
        <v>5276</v>
      </c>
      <c r="C5229" s="4" t="s">
        <v>65</v>
      </c>
      <c r="D5229" s="10">
        <v>71</v>
      </c>
      <c r="E5229" s="12" t="s">
        <v>66</v>
      </c>
      <c r="F5229" s="10">
        <v>1150</v>
      </c>
      <c r="G5229" s="10">
        <v>0</v>
      </c>
      <c r="H5229" s="10">
        <f t="shared" si="81"/>
        <v>1150</v>
      </c>
      <c r="I5229" s="10">
        <v>143.75</v>
      </c>
      <c r="J5229" s="10">
        <v>143.75</v>
      </c>
      <c r="K5229" s="10">
        <v>143.75</v>
      </c>
      <c r="L5229" s="4"/>
      <c r="M5229" s="4">
        <v>5224</v>
      </c>
    </row>
    <row r="5230" spans="1:13" x14ac:dyDescent="0.25">
      <c r="A5230" s="4" t="s">
        <v>5277</v>
      </c>
      <c r="B5230" s="4" t="s">
        <v>404</v>
      </c>
      <c r="C5230" s="9" t="s">
        <v>50</v>
      </c>
      <c r="D5230" s="10"/>
      <c r="E5230" s="11" t="s">
        <v>51</v>
      </c>
      <c r="F5230" s="10"/>
      <c r="G5230" s="10">
        <v>0</v>
      </c>
      <c r="H5230" s="10">
        <f t="shared" si="81"/>
        <v>0</v>
      </c>
      <c r="I5230" s="10"/>
      <c r="J5230" s="10"/>
      <c r="K5230" s="10"/>
      <c r="L5230" s="4" t="s">
        <v>52</v>
      </c>
      <c r="M5230" s="4">
        <v>5225</v>
      </c>
    </row>
    <row r="5231" spans="1:13" x14ac:dyDescent="0.25">
      <c r="A5231" s="4" t="s">
        <v>5277</v>
      </c>
      <c r="B5231" s="4" t="s">
        <v>1774</v>
      </c>
      <c r="C5231" s="4" t="s">
        <v>65</v>
      </c>
      <c r="D5231" s="10">
        <v>23</v>
      </c>
      <c r="E5231" s="11" t="s">
        <v>51</v>
      </c>
      <c r="F5231" s="10"/>
      <c r="G5231" s="10">
        <v>0</v>
      </c>
      <c r="H5231" s="10">
        <f t="shared" si="81"/>
        <v>0</v>
      </c>
      <c r="I5231" s="10">
        <v>0</v>
      </c>
      <c r="J5231" s="10">
        <v>0</v>
      </c>
      <c r="K5231" s="10">
        <v>0</v>
      </c>
      <c r="L5231" s="4" t="s">
        <v>69</v>
      </c>
      <c r="M5231" s="4">
        <v>5226</v>
      </c>
    </row>
    <row r="5232" spans="1:13" x14ac:dyDescent="0.25">
      <c r="A5232" s="4" t="s">
        <v>5277</v>
      </c>
      <c r="B5232" s="4" t="s">
        <v>1723</v>
      </c>
      <c r="C5232" s="4" t="s">
        <v>68</v>
      </c>
      <c r="D5232" s="10">
        <v>110</v>
      </c>
      <c r="E5232" s="11" t="s">
        <v>51</v>
      </c>
      <c r="F5232" s="10"/>
      <c r="G5232" s="10">
        <v>0</v>
      </c>
      <c r="H5232" s="10">
        <f t="shared" si="81"/>
        <v>0</v>
      </c>
      <c r="I5232" s="10"/>
      <c r="J5232" s="10"/>
      <c r="K5232" s="10"/>
      <c r="L5232" s="4" t="s">
        <v>69</v>
      </c>
      <c r="M5232" s="4">
        <v>5227</v>
      </c>
    </row>
    <row r="5233" spans="1:13" x14ac:dyDescent="0.25">
      <c r="A5233" s="4" t="s">
        <v>5278</v>
      </c>
      <c r="B5233" s="4" t="s">
        <v>5279</v>
      </c>
      <c r="C5233" s="4" t="s">
        <v>65</v>
      </c>
      <c r="D5233" s="10">
        <v>40</v>
      </c>
      <c r="E5233" s="12" t="s">
        <v>66</v>
      </c>
      <c r="F5233" s="10">
        <v>3900</v>
      </c>
      <c r="G5233" s="10">
        <v>0</v>
      </c>
      <c r="H5233" s="10">
        <f t="shared" si="81"/>
        <v>3900</v>
      </c>
      <c r="I5233" s="10">
        <v>97.5</v>
      </c>
      <c r="J5233" s="10">
        <v>97.5</v>
      </c>
      <c r="K5233" s="10">
        <v>97.5</v>
      </c>
      <c r="L5233" s="4"/>
      <c r="M5233" s="4">
        <v>5228</v>
      </c>
    </row>
    <row r="5234" spans="1:13" x14ac:dyDescent="0.25">
      <c r="A5234" s="4" t="s">
        <v>5278</v>
      </c>
      <c r="B5234" s="4" t="s">
        <v>5280</v>
      </c>
      <c r="C5234" s="4" t="s">
        <v>65</v>
      </c>
      <c r="D5234" s="10">
        <v>81</v>
      </c>
      <c r="E5234" s="12" t="s">
        <v>66</v>
      </c>
      <c r="F5234" s="10">
        <v>6550</v>
      </c>
      <c r="G5234" s="10">
        <v>0</v>
      </c>
      <c r="H5234" s="10">
        <f t="shared" si="81"/>
        <v>6550</v>
      </c>
      <c r="I5234" s="10">
        <v>93.571428571428569</v>
      </c>
      <c r="J5234" s="10">
        <v>93.571428571428569</v>
      </c>
      <c r="K5234" s="10">
        <v>93.571428571428569</v>
      </c>
      <c r="L5234" s="4"/>
      <c r="M5234" s="4">
        <v>5229</v>
      </c>
    </row>
    <row r="5235" spans="1:13" x14ac:dyDescent="0.25">
      <c r="A5235" s="4" t="s">
        <v>5281</v>
      </c>
      <c r="B5235" s="4" t="s">
        <v>5282</v>
      </c>
      <c r="C5235" s="4" t="s">
        <v>65</v>
      </c>
      <c r="D5235" s="10">
        <v>76</v>
      </c>
      <c r="E5235" s="12" t="s">
        <v>66</v>
      </c>
      <c r="F5235" s="10">
        <v>1500</v>
      </c>
      <c r="G5235" s="10">
        <v>0</v>
      </c>
      <c r="H5235" s="10">
        <f t="shared" si="81"/>
        <v>1500</v>
      </c>
      <c r="I5235" s="10">
        <v>136.3636363636364</v>
      </c>
      <c r="J5235" s="10">
        <v>136.3636363636364</v>
      </c>
      <c r="K5235" s="10">
        <v>136.3636363636364</v>
      </c>
      <c r="L5235" s="4"/>
      <c r="M5235" s="4">
        <v>5230</v>
      </c>
    </row>
    <row r="5236" spans="1:13" x14ac:dyDescent="0.25">
      <c r="A5236" s="4" t="s">
        <v>5283</v>
      </c>
      <c r="B5236" s="4" t="s">
        <v>5284</v>
      </c>
      <c r="C5236" s="4" t="s">
        <v>65</v>
      </c>
      <c r="D5236" s="10">
        <v>47</v>
      </c>
      <c r="E5236" s="12" t="s">
        <v>66</v>
      </c>
      <c r="F5236" s="10">
        <v>7250</v>
      </c>
      <c r="G5236" s="10">
        <v>0</v>
      </c>
      <c r="H5236" s="10">
        <f t="shared" si="81"/>
        <v>7250</v>
      </c>
      <c r="I5236" s="10">
        <v>154.2553191489362</v>
      </c>
      <c r="J5236" s="10">
        <v>154.2553191489362</v>
      </c>
      <c r="K5236" s="10">
        <v>154.2553191489362</v>
      </c>
      <c r="L5236" s="4"/>
      <c r="M5236" s="4">
        <v>5231</v>
      </c>
    </row>
    <row r="5237" spans="1:13" x14ac:dyDescent="0.25">
      <c r="A5237" s="4" t="s">
        <v>5283</v>
      </c>
      <c r="B5237" s="4" t="s">
        <v>5285</v>
      </c>
      <c r="C5237" s="4" t="s">
        <v>65</v>
      </c>
      <c r="D5237" s="10">
        <v>10</v>
      </c>
      <c r="E5237" s="12" t="s">
        <v>66</v>
      </c>
      <c r="F5237" s="10">
        <v>1500</v>
      </c>
      <c r="G5237" s="10">
        <v>0</v>
      </c>
      <c r="H5237" s="10">
        <f t="shared" si="81"/>
        <v>1500</v>
      </c>
      <c r="I5237" s="10">
        <v>150</v>
      </c>
      <c r="J5237" s="10">
        <v>150</v>
      </c>
      <c r="K5237" s="10">
        <v>150</v>
      </c>
      <c r="L5237" s="4"/>
      <c r="M5237" s="4">
        <v>5232</v>
      </c>
    </row>
    <row r="5238" spans="1:13" x14ac:dyDescent="0.25">
      <c r="A5238" s="4" t="s">
        <v>5283</v>
      </c>
      <c r="B5238" s="4" t="s">
        <v>5286</v>
      </c>
      <c r="C5238" s="4" t="s">
        <v>65</v>
      </c>
      <c r="D5238" s="10">
        <v>73</v>
      </c>
      <c r="E5238" s="12" t="s">
        <v>66</v>
      </c>
      <c r="F5238" s="10">
        <v>1200</v>
      </c>
      <c r="G5238" s="10">
        <v>0</v>
      </c>
      <c r="H5238" s="10">
        <f t="shared" si="81"/>
        <v>1200</v>
      </c>
      <c r="I5238" s="10">
        <v>150</v>
      </c>
      <c r="J5238" s="10">
        <v>150</v>
      </c>
      <c r="K5238" s="10">
        <v>150</v>
      </c>
      <c r="L5238" s="4"/>
      <c r="M5238" s="4">
        <v>5233</v>
      </c>
    </row>
    <row r="5239" spans="1:13" x14ac:dyDescent="0.25">
      <c r="A5239" s="4" t="s">
        <v>5287</v>
      </c>
      <c r="B5239" s="4" t="s">
        <v>5284</v>
      </c>
      <c r="C5239" s="4" t="s">
        <v>65</v>
      </c>
      <c r="D5239" s="10">
        <v>47</v>
      </c>
      <c r="E5239" s="12" t="s">
        <v>66</v>
      </c>
      <c r="F5239" s="10">
        <v>7250</v>
      </c>
      <c r="G5239" s="10">
        <v>0</v>
      </c>
      <c r="H5239" s="10">
        <f t="shared" si="81"/>
        <v>7250</v>
      </c>
      <c r="I5239" s="10">
        <v>154.2553191489362</v>
      </c>
      <c r="J5239" s="10">
        <v>154.2553191489362</v>
      </c>
      <c r="K5239" s="10">
        <v>154.2553191489362</v>
      </c>
      <c r="L5239" s="4"/>
      <c r="M5239" s="4">
        <v>5234</v>
      </c>
    </row>
    <row r="5240" spans="1:13" x14ac:dyDescent="0.25">
      <c r="A5240" s="4" t="s">
        <v>5287</v>
      </c>
      <c r="B5240" s="4" t="s">
        <v>5285</v>
      </c>
      <c r="C5240" s="4" t="s">
        <v>65</v>
      </c>
      <c r="D5240" s="10">
        <v>10</v>
      </c>
      <c r="E5240" s="12" t="s">
        <v>66</v>
      </c>
      <c r="F5240" s="10">
        <v>1500</v>
      </c>
      <c r="G5240" s="10">
        <v>0</v>
      </c>
      <c r="H5240" s="10">
        <f t="shared" si="81"/>
        <v>1500</v>
      </c>
      <c r="I5240" s="10">
        <v>150</v>
      </c>
      <c r="J5240" s="10">
        <v>150</v>
      </c>
      <c r="K5240" s="10">
        <v>150</v>
      </c>
      <c r="L5240" s="4"/>
      <c r="M5240" s="4">
        <v>5235</v>
      </c>
    </row>
    <row r="5241" spans="1:13" x14ac:dyDescent="0.25">
      <c r="A5241" s="4" t="s">
        <v>5287</v>
      </c>
      <c r="B5241" s="4" t="s">
        <v>5286</v>
      </c>
      <c r="C5241" s="4" t="s">
        <v>65</v>
      </c>
      <c r="D5241" s="10">
        <v>73</v>
      </c>
      <c r="E5241" s="12" t="s">
        <v>66</v>
      </c>
      <c r="F5241" s="10">
        <v>1200</v>
      </c>
      <c r="G5241" s="10">
        <v>0</v>
      </c>
      <c r="H5241" s="10">
        <f t="shared" si="81"/>
        <v>1200</v>
      </c>
      <c r="I5241" s="10">
        <v>150</v>
      </c>
      <c r="J5241" s="10">
        <v>150</v>
      </c>
      <c r="K5241" s="10">
        <v>150</v>
      </c>
      <c r="L5241" s="4"/>
      <c r="M5241" s="4">
        <v>5236</v>
      </c>
    </row>
    <row r="5242" spans="1:13" x14ac:dyDescent="0.25">
      <c r="A5242" s="4" t="s">
        <v>5288</v>
      </c>
      <c r="B5242" s="4" t="s">
        <v>5284</v>
      </c>
      <c r="C5242" s="4" t="s">
        <v>65</v>
      </c>
      <c r="D5242" s="10">
        <v>47</v>
      </c>
      <c r="E5242" s="12" t="s">
        <v>66</v>
      </c>
      <c r="F5242" s="10">
        <v>7250</v>
      </c>
      <c r="G5242" s="10">
        <v>0</v>
      </c>
      <c r="H5242" s="10">
        <f t="shared" si="81"/>
        <v>7250</v>
      </c>
      <c r="I5242" s="10">
        <v>154.2553191489362</v>
      </c>
      <c r="J5242" s="10">
        <v>154.2553191489362</v>
      </c>
      <c r="K5242" s="10">
        <v>154.2553191489362</v>
      </c>
      <c r="L5242" s="4"/>
      <c r="M5242" s="4">
        <v>5237</v>
      </c>
    </row>
    <row r="5243" spans="1:13" x14ac:dyDescent="0.25">
      <c r="A5243" s="4" t="s">
        <v>5288</v>
      </c>
      <c r="B5243" s="4" t="s">
        <v>5285</v>
      </c>
      <c r="C5243" s="4" t="s">
        <v>65</v>
      </c>
      <c r="D5243" s="10">
        <v>10</v>
      </c>
      <c r="E5243" s="12" t="s">
        <v>66</v>
      </c>
      <c r="F5243" s="10">
        <v>1500</v>
      </c>
      <c r="G5243" s="10">
        <v>0</v>
      </c>
      <c r="H5243" s="10">
        <f t="shared" si="81"/>
        <v>1500</v>
      </c>
      <c r="I5243" s="10">
        <v>150</v>
      </c>
      <c r="J5243" s="10">
        <v>150</v>
      </c>
      <c r="K5243" s="10">
        <v>150</v>
      </c>
      <c r="L5243" s="4"/>
      <c r="M5243" s="4">
        <v>5238</v>
      </c>
    </row>
    <row r="5244" spans="1:13" x14ac:dyDescent="0.25">
      <c r="A5244" s="4" t="s">
        <v>5288</v>
      </c>
      <c r="B5244" s="4" t="s">
        <v>5286</v>
      </c>
      <c r="C5244" s="4" t="s">
        <v>65</v>
      </c>
      <c r="D5244" s="10">
        <v>73</v>
      </c>
      <c r="E5244" s="12" t="s">
        <v>66</v>
      </c>
      <c r="F5244" s="10">
        <v>1200</v>
      </c>
      <c r="G5244" s="10">
        <v>0</v>
      </c>
      <c r="H5244" s="10">
        <f t="shared" si="81"/>
        <v>1200</v>
      </c>
      <c r="I5244" s="10">
        <v>150</v>
      </c>
      <c r="J5244" s="10">
        <v>150</v>
      </c>
      <c r="K5244" s="10">
        <v>150</v>
      </c>
      <c r="L5244" s="4"/>
      <c r="M5244" s="4">
        <v>5239</v>
      </c>
    </row>
    <row r="5245" spans="1:13" x14ac:dyDescent="0.25">
      <c r="A5245" s="4" t="s">
        <v>5289</v>
      </c>
      <c r="B5245" s="4" t="s">
        <v>5284</v>
      </c>
      <c r="C5245" s="4" t="s">
        <v>65</v>
      </c>
      <c r="D5245" s="10">
        <v>47</v>
      </c>
      <c r="E5245" s="12" t="s">
        <v>66</v>
      </c>
      <c r="F5245" s="10">
        <v>7250</v>
      </c>
      <c r="G5245" s="10">
        <v>0</v>
      </c>
      <c r="H5245" s="10">
        <f t="shared" si="81"/>
        <v>7250</v>
      </c>
      <c r="I5245" s="10">
        <v>154.2553191489362</v>
      </c>
      <c r="J5245" s="10">
        <v>154.2553191489362</v>
      </c>
      <c r="K5245" s="10">
        <v>154.2553191489362</v>
      </c>
      <c r="L5245" s="4"/>
      <c r="M5245" s="4">
        <v>5240</v>
      </c>
    </row>
    <row r="5246" spans="1:13" x14ac:dyDescent="0.25">
      <c r="A5246" s="4" t="s">
        <v>5289</v>
      </c>
      <c r="B5246" s="4" t="s">
        <v>5285</v>
      </c>
      <c r="C5246" s="4" t="s">
        <v>65</v>
      </c>
      <c r="D5246" s="10">
        <v>10</v>
      </c>
      <c r="E5246" s="12" t="s">
        <v>66</v>
      </c>
      <c r="F5246" s="10">
        <v>1500</v>
      </c>
      <c r="G5246" s="10">
        <v>0</v>
      </c>
      <c r="H5246" s="10">
        <f t="shared" si="81"/>
        <v>1500</v>
      </c>
      <c r="I5246" s="10">
        <v>150</v>
      </c>
      <c r="J5246" s="10">
        <v>150</v>
      </c>
      <c r="K5246" s="10">
        <v>150</v>
      </c>
      <c r="L5246" s="4"/>
      <c r="M5246" s="4">
        <v>5241</v>
      </c>
    </row>
    <row r="5247" spans="1:13" x14ac:dyDescent="0.25">
      <c r="A5247" s="4" t="s">
        <v>5289</v>
      </c>
      <c r="B5247" s="4" t="s">
        <v>5286</v>
      </c>
      <c r="C5247" s="4" t="s">
        <v>65</v>
      </c>
      <c r="D5247" s="10">
        <v>73</v>
      </c>
      <c r="E5247" s="12" t="s">
        <v>66</v>
      </c>
      <c r="F5247" s="10">
        <v>1200</v>
      </c>
      <c r="G5247" s="10">
        <v>0</v>
      </c>
      <c r="H5247" s="10">
        <f t="shared" si="81"/>
        <v>1200</v>
      </c>
      <c r="I5247" s="10">
        <v>150</v>
      </c>
      <c r="J5247" s="10">
        <v>150</v>
      </c>
      <c r="K5247" s="10">
        <v>150</v>
      </c>
      <c r="L5247" s="4"/>
      <c r="M5247" s="4">
        <v>5242</v>
      </c>
    </row>
    <row r="5248" spans="1:13" x14ac:dyDescent="0.25">
      <c r="A5248" s="4" t="s">
        <v>5290</v>
      </c>
      <c r="B5248" s="4" t="s">
        <v>5284</v>
      </c>
      <c r="C5248" s="4" t="s">
        <v>65</v>
      </c>
      <c r="D5248" s="10">
        <v>47</v>
      </c>
      <c r="E5248" s="12" t="s">
        <v>66</v>
      </c>
      <c r="F5248" s="10">
        <v>7250</v>
      </c>
      <c r="G5248" s="10">
        <v>0</v>
      </c>
      <c r="H5248" s="10">
        <f t="shared" si="81"/>
        <v>7250</v>
      </c>
      <c r="I5248" s="10">
        <v>154.2553191489362</v>
      </c>
      <c r="J5248" s="10">
        <v>154.2553191489362</v>
      </c>
      <c r="K5248" s="10">
        <v>154.2553191489362</v>
      </c>
      <c r="L5248" s="4"/>
      <c r="M5248" s="4">
        <v>5243</v>
      </c>
    </row>
    <row r="5249" spans="1:13" x14ac:dyDescent="0.25">
      <c r="A5249" s="4" t="s">
        <v>5290</v>
      </c>
      <c r="B5249" s="4" t="s">
        <v>5285</v>
      </c>
      <c r="C5249" s="4" t="s">
        <v>65</v>
      </c>
      <c r="D5249" s="10">
        <v>10</v>
      </c>
      <c r="E5249" s="12" t="s">
        <v>66</v>
      </c>
      <c r="F5249" s="10">
        <v>1500</v>
      </c>
      <c r="G5249" s="10">
        <v>0</v>
      </c>
      <c r="H5249" s="10">
        <f t="shared" si="81"/>
        <v>1500</v>
      </c>
      <c r="I5249" s="10">
        <v>150</v>
      </c>
      <c r="J5249" s="10">
        <v>150</v>
      </c>
      <c r="K5249" s="10">
        <v>150</v>
      </c>
      <c r="L5249" s="4"/>
      <c r="M5249" s="4">
        <v>5244</v>
      </c>
    </row>
    <row r="5250" spans="1:13" x14ac:dyDescent="0.25">
      <c r="A5250" s="4" t="s">
        <v>5290</v>
      </c>
      <c r="B5250" s="4" t="s">
        <v>5286</v>
      </c>
      <c r="C5250" s="4" t="s">
        <v>65</v>
      </c>
      <c r="D5250" s="10">
        <v>73</v>
      </c>
      <c r="E5250" s="12" t="s">
        <v>66</v>
      </c>
      <c r="F5250" s="10">
        <v>1200</v>
      </c>
      <c r="G5250" s="10">
        <v>0</v>
      </c>
      <c r="H5250" s="10">
        <f t="shared" si="81"/>
        <v>1200</v>
      </c>
      <c r="I5250" s="10">
        <v>150</v>
      </c>
      <c r="J5250" s="10">
        <v>150</v>
      </c>
      <c r="K5250" s="10">
        <v>150</v>
      </c>
      <c r="L5250" s="4"/>
      <c r="M5250" s="4">
        <v>5245</v>
      </c>
    </row>
    <row r="5251" spans="1:13" x14ac:dyDescent="0.25">
      <c r="A5251" s="4" t="s">
        <v>5291</v>
      </c>
      <c r="B5251" s="4" t="s">
        <v>5284</v>
      </c>
      <c r="C5251" s="4" t="s">
        <v>65</v>
      </c>
      <c r="D5251" s="10">
        <v>47</v>
      </c>
      <c r="E5251" s="12" t="s">
        <v>66</v>
      </c>
      <c r="F5251" s="10">
        <v>7250</v>
      </c>
      <c r="G5251" s="10">
        <v>0</v>
      </c>
      <c r="H5251" s="10">
        <f t="shared" si="81"/>
        <v>7250</v>
      </c>
      <c r="I5251" s="10">
        <v>154.2553191489362</v>
      </c>
      <c r="J5251" s="10">
        <v>154.2553191489362</v>
      </c>
      <c r="K5251" s="10">
        <v>154.2553191489362</v>
      </c>
      <c r="L5251" s="4"/>
      <c r="M5251" s="4">
        <v>5246</v>
      </c>
    </row>
    <row r="5252" spans="1:13" x14ac:dyDescent="0.25">
      <c r="A5252" s="4" t="s">
        <v>5291</v>
      </c>
      <c r="B5252" s="4" t="s">
        <v>5285</v>
      </c>
      <c r="C5252" s="4" t="s">
        <v>65</v>
      </c>
      <c r="D5252" s="10">
        <v>10</v>
      </c>
      <c r="E5252" s="12" t="s">
        <v>66</v>
      </c>
      <c r="F5252" s="10">
        <v>1500</v>
      </c>
      <c r="G5252" s="10">
        <v>0</v>
      </c>
      <c r="H5252" s="10">
        <f t="shared" si="81"/>
        <v>1500</v>
      </c>
      <c r="I5252" s="10">
        <v>150</v>
      </c>
      <c r="J5252" s="10">
        <v>150</v>
      </c>
      <c r="K5252" s="10">
        <v>150</v>
      </c>
      <c r="L5252" s="4"/>
      <c r="M5252" s="4">
        <v>5247</v>
      </c>
    </row>
    <row r="5253" spans="1:13" x14ac:dyDescent="0.25">
      <c r="A5253" s="4" t="s">
        <v>5291</v>
      </c>
      <c r="B5253" s="4" t="s">
        <v>5286</v>
      </c>
      <c r="C5253" s="4" t="s">
        <v>65</v>
      </c>
      <c r="D5253" s="10">
        <v>73</v>
      </c>
      <c r="E5253" s="12" t="s">
        <v>66</v>
      </c>
      <c r="F5253" s="10">
        <v>1200</v>
      </c>
      <c r="G5253" s="10">
        <v>0</v>
      </c>
      <c r="H5253" s="10">
        <f t="shared" si="81"/>
        <v>1200</v>
      </c>
      <c r="I5253" s="10">
        <v>150</v>
      </c>
      <c r="J5253" s="10">
        <v>150</v>
      </c>
      <c r="K5253" s="10">
        <v>150</v>
      </c>
      <c r="L5253" s="4"/>
      <c r="M5253" s="4">
        <v>5248</v>
      </c>
    </row>
    <row r="5254" spans="1:13" x14ac:dyDescent="0.25">
      <c r="A5254" s="4" t="s">
        <v>5292</v>
      </c>
      <c r="B5254" s="4" t="s">
        <v>5284</v>
      </c>
      <c r="C5254" s="4" t="s">
        <v>65</v>
      </c>
      <c r="D5254" s="10">
        <v>47</v>
      </c>
      <c r="E5254" s="12" t="s">
        <v>66</v>
      </c>
      <c r="F5254" s="10">
        <v>7250</v>
      </c>
      <c r="G5254" s="10">
        <v>0</v>
      </c>
      <c r="H5254" s="10">
        <f t="shared" ref="H5254:H5317" si="82">F5254-G5254</f>
        <v>7250</v>
      </c>
      <c r="I5254" s="10">
        <v>154.2553191489362</v>
      </c>
      <c r="J5254" s="10">
        <v>154.2553191489362</v>
      </c>
      <c r="K5254" s="10">
        <v>154.2553191489362</v>
      </c>
      <c r="L5254" s="4"/>
      <c r="M5254" s="4">
        <v>5249</v>
      </c>
    </row>
    <row r="5255" spans="1:13" x14ac:dyDescent="0.25">
      <c r="A5255" s="4" t="s">
        <v>5292</v>
      </c>
      <c r="B5255" s="4" t="s">
        <v>5285</v>
      </c>
      <c r="C5255" s="4" t="s">
        <v>65</v>
      </c>
      <c r="D5255" s="10">
        <v>10</v>
      </c>
      <c r="E5255" s="12" t="s">
        <v>66</v>
      </c>
      <c r="F5255" s="10">
        <v>1500</v>
      </c>
      <c r="G5255" s="10">
        <v>0</v>
      </c>
      <c r="H5255" s="10">
        <f t="shared" si="82"/>
        <v>1500</v>
      </c>
      <c r="I5255" s="10">
        <v>150</v>
      </c>
      <c r="J5255" s="10">
        <v>150</v>
      </c>
      <c r="K5255" s="10">
        <v>150</v>
      </c>
      <c r="L5255" s="4"/>
      <c r="M5255" s="4">
        <v>5250</v>
      </c>
    </row>
    <row r="5256" spans="1:13" x14ac:dyDescent="0.25">
      <c r="A5256" s="4" t="s">
        <v>5292</v>
      </c>
      <c r="B5256" s="4" t="s">
        <v>5286</v>
      </c>
      <c r="C5256" s="4" t="s">
        <v>65</v>
      </c>
      <c r="D5256" s="10">
        <v>73</v>
      </c>
      <c r="E5256" s="12" t="s">
        <v>66</v>
      </c>
      <c r="F5256" s="10">
        <v>1200</v>
      </c>
      <c r="G5256" s="10">
        <v>0</v>
      </c>
      <c r="H5256" s="10">
        <f t="shared" si="82"/>
        <v>1200</v>
      </c>
      <c r="I5256" s="10">
        <v>150</v>
      </c>
      <c r="J5256" s="10">
        <v>150</v>
      </c>
      <c r="K5256" s="10">
        <v>150</v>
      </c>
      <c r="L5256" s="4"/>
      <c r="M5256" s="4">
        <v>5251</v>
      </c>
    </row>
    <row r="5257" spans="1:13" x14ac:dyDescent="0.25">
      <c r="A5257" s="4" t="s">
        <v>5293</v>
      </c>
      <c r="B5257" s="4" t="s">
        <v>5284</v>
      </c>
      <c r="C5257" s="4" t="s">
        <v>65</v>
      </c>
      <c r="D5257" s="10">
        <v>47</v>
      </c>
      <c r="E5257" s="12" t="s">
        <v>66</v>
      </c>
      <c r="F5257" s="10">
        <v>7250</v>
      </c>
      <c r="G5257" s="10">
        <v>0</v>
      </c>
      <c r="H5257" s="10">
        <f t="shared" si="82"/>
        <v>7250</v>
      </c>
      <c r="I5257" s="10">
        <v>154.2553191489362</v>
      </c>
      <c r="J5257" s="10">
        <v>154.2553191489362</v>
      </c>
      <c r="K5257" s="10">
        <v>154.2553191489362</v>
      </c>
      <c r="L5257" s="4"/>
      <c r="M5257" s="4">
        <v>5252</v>
      </c>
    </row>
    <row r="5258" spans="1:13" x14ac:dyDescent="0.25">
      <c r="A5258" s="4" t="s">
        <v>5293</v>
      </c>
      <c r="B5258" s="4" t="s">
        <v>5285</v>
      </c>
      <c r="C5258" s="4" t="s">
        <v>65</v>
      </c>
      <c r="D5258" s="10">
        <v>10</v>
      </c>
      <c r="E5258" s="12" t="s">
        <v>66</v>
      </c>
      <c r="F5258" s="10">
        <v>1500</v>
      </c>
      <c r="G5258" s="10">
        <v>0</v>
      </c>
      <c r="H5258" s="10">
        <f t="shared" si="82"/>
        <v>1500</v>
      </c>
      <c r="I5258" s="10">
        <v>150</v>
      </c>
      <c r="J5258" s="10">
        <v>150</v>
      </c>
      <c r="K5258" s="10">
        <v>150</v>
      </c>
      <c r="L5258" s="4"/>
      <c r="M5258" s="4">
        <v>5253</v>
      </c>
    </row>
    <row r="5259" spans="1:13" x14ac:dyDescent="0.25">
      <c r="A5259" s="4" t="s">
        <v>5293</v>
      </c>
      <c r="B5259" s="4" t="s">
        <v>5286</v>
      </c>
      <c r="C5259" s="4" t="s">
        <v>65</v>
      </c>
      <c r="D5259" s="10">
        <v>73</v>
      </c>
      <c r="E5259" s="12" t="s">
        <v>66</v>
      </c>
      <c r="F5259" s="10">
        <v>1200</v>
      </c>
      <c r="G5259" s="10">
        <v>0</v>
      </c>
      <c r="H5259" s="10">
        <f t="shared" si="82"/>
        <v>1200</v>
      </c>
      <c r="I5259" s="10">
        <v>150</v>
      </c>
      <c r="J5259" s="10">
        <v>150</v>
      </c>
      <c r="K5259" s="10">
        <v>150</v>
      </c>
      <c r="L5259" s="4"/>
      <c r="M5259" s="4">
        <v>5254</v>
      </c>
    </row>
    <row r="5260" spans="1:13" x14ac:dyDescent="0.25">
      <c r="A5260" s="4" t="s">
        <v>5294</v>
      </c>
      <c r="B5260" s="4" t="s">
        <v>5284</v>
      </c>
      <c r="C5260" s="4" t="s">
        <v>65</v>
      </c>
      <c r="D5260" s="10">
        <v>47</v>
      </c>
      <c r="E5260" s="12" t="s">
        <v>66</v>
      </c>
      <c r="F5260" s="10">
        <v>7250</v>
      </c>
      <c r="G5260" s="10">
        <v>0</v>
      </c>
      <c r="H5260" s="10">
        <f t="shared" si="82"/>
        <v>7250</v>
      </c>
      <c r="I5260" s="10">
        <v>154.2553191489362</v>
      </c>
      <c r="J5260" s="10">
        <v>154.2553191489362</v>
      </c>
      <c r="K5260" s="10">
        <v>154.2553191489362</v>
      </c>
      <c r="L5260" s="4"/>
      <c r="M5260" s="4">
        <v>5255</v>
      </c>
    </row>
    <row r="5261" spans="1:13" x14ac:dyDescent="0.25">
      <c r="A5261" s="4" t="s">
        <v>5294</v>
      </c>
      <c r="B5261" s="4" t="s">
        <v>5285</v>
      </c>
      <c r="C5261" s="4" t="s">
        <v>65</v>
      </c>
      <c r="D5261" s="10">
        <v>10</v>
      </c>
      <c r="E5261" s="12" t="s">
        <v>66</v>
      </c>
      <c r="F5261" s="10">
        <v>1500</v>
      </c>
      <c r="G5261" s="10">
        <v>0</v>
      </c>
      <c r="H5261" s="10">
        <f t="shared" si="82"/>
        <v>1500</v>
      </c>
      <c r="I5261" s="10">
        <v>150</v>
      </c>
      <c r="J5261" s="10">
        <v>150</v>
      </c>
      <c r="K5261" s="10">
        <v>150</v>
      </c>
      <c r="L5261" s="4"/>
      <c r="M5261" s="4">
        <v>5256</v>
      </c>
    </row>
    <row r="5262" spans="1:13" x14ac:dyDescent="0.25">
      <c r="A5262" s="4" t="s">
        <v>5294</v>
      </c>
      <c r="B5262" s="4" t="s">
        <v>5286</v>
      </c>
      <c r="C5262" s="4" t="s">
        <v>65</v>
      </c>
      <c r="D5262" s="10">
        <v>16</v>
      </c>
      <c r="E5262" s="12" t="s">
        <v>66</v>
      </c>
      <c r="F5262" s="10">
        <v>1200</v>
      </c>
      <c r="G5262" s="10">
        <v>0</v>
      </c>
      <c r="H5262" s="10">
        <f t="shared" si="82"/>
        <v>1200</v>
      </c>
      <c r="I5262" s="10">
        <v>150</v>
      </c>
      <c r="J5262" s="10">
        <v>150</v>
      </c>
      <c r="K5262" s="10">
        <v>150</v>
      </c>
      <c r="L5262" s="4"/>
      <c r="M5262" s="4">
        <v>5257</v>
      </c>
    </row>
    <row r="5263" spans="1:13" x14ac:dyDescent="0.25">
      <c r="A5263" s="4" t="s">
        <v>5295</v>
      </c>
      <c r="B5263" s="4" t="s">
        <v>5296</v>
      </c>
      <c r="C5263" s="4" t="s">
        <v>65</v>
      </c>
      <c r="D5263" s="10">
        <v>4</v>
      </c>
      <c r="E5263" s="12" t="s">
        <v>66</v>
      </c>
      <c r="F5263" s="10">
        <v>380</v>
      </c>
      <c r="G5263" s="10">
        <v>0</v>
      </c>
      <c r="H5263" s="10">
        <f t="shared" si="82"/>
        <v>380</v>
      </c>
      <c r="I5263" s="10">
        <v>95</v>
      </c>
      <c r="J5263" s="10">
        <v>95</v>
      </c>
      <c r="K5263" s="10">
        <v>95</v>
      </c>
      <c r="L5263" s="4"/>
      <c r="M5263" s="4">
        <v>5258</v>
      </c>
    </row>
    <row r="5264" spans="1:13" x14ac:dyDescent="0.25">
      <c r="A5264" s="4" t="s">
        <v>5295</v>
      </c>
      <c r="B5264" s="4" t="s">
        <v>5297</v>
      </c>
      <c r="C5264" s="4" t="s">
        <v>65</v>
      </c>
      <c r="D5264" s="10">
        <v>15</v>
      </c>
      <c r="E5264" s="12" t="s">
        <v>66</v>
      </c>
      <c r="F5264" s="10">
        <v>590</v>
      </c>
      <c r="G5264" s="10">
        <v>0</v>
      </c>
      <c r="H5264" s="10">
        <f t="shared" si="82"/>
        <v>590</v>
      </c>
      <c r="I5264" s="10">
        <v>147.5</v>
      </c>
      <c r="J5264" s="10">
        <v>147.5</v>
      </c>
      <c r="K5264" s="10">
        <v>147.5</v>
      </c>
      <c r="L5264" s="4"/>
      <c r="M5264" s="4">
        <v>5259</v>
      </c>
    </row>
    <row r="5265" spans="1:13" x14ac:dyDescent="0.25">
      <c r="A5265" s="4" t="s">
        <v>5298</v>
      </c>
      <c r="B5265" s="4" t="s">
        <v>5299</v>
      </c>
      <c r="C5265" s="9" t="s">
        <v>50</v>
      </c>
      <c r="D5265" s="10">
        <v>32</v>
      </c>
      <c r="E5265" s="11" t="s">
        <v>51</v>
      </c>
      <c r="F5265" s="10">
        <v>2000</v>
      </c>
      <c r="G5265" s="10">
        <v>0</v>
      </c>
      <c r="H5265" s="10">
        <f t="shared" si="82"/>
        <v>2000</v>
      </c>
      <c r="I5265" s="10"/>
      <c r="J5265" s="10"/>
      <c r="K5265" s="10"/>
      <c r="L5265" s="4" t="s">
        <v>52</v>
      </c>
      <c r="M5265" s="4">
        <v>5260</v>
      </c>
    </row>
    <row r="5266" spans="1:13" x14ac:dyDescent="0.25">
      <c r="A5266" s="4" t="s">
        <v>5300</v>
      </c>
      <c r="B5266" s="4" t="s">
        <v>5301</v>
      </c>
      <c r="C5266" s="4" t="s">
        <v>65</v>
      </c>
      <c r="D5266" s="10">
        <v>126</v>
      </c>
      <c r="E5266" s="12" t="s">
        <v>66</v>
      </c>
      <c r="F5266" s="10">
        <v>1200</v>
      </c>
      <c r="G5266" s="10">
        <v>0</v>
      </c>
      <c r="H5266" s="10">
        <f t="shared" si="82"/>
        <v>1200</v>
      </c>
      <c r="I5266" s="10">
        <v>120</v>
      </c>
      <c r="J5266" s="10">
        <v>120</v>
      </c>
      <c r="K5266" s="10">
        <v>120</v>
      </c>
      <c r="L5266" s="4"/>
      <c r="M5266" s="4">
        <v>5261</v>
      </c>
    </row>
    <row r="5267" spans="1:13" x14ac:dyDescent="0.25">
      <c r="A5267" s="4" t="s">
        <v>5302</v>
      </c>
      <c r="B5267" s="4" t="s">
        <v>5303</v>
      </c>
      <c r="C5267" s="9" t="s">
        <v>50</v>
      </c>
      <c r="D5267" s="10">
        <v>120</v>
      </c>
      <c r="E5267" s="11" t="s">
        <v>51</v>
      </c>
      <c r="F5267" s="10"/>
      <c r="G5267" s="10">
        <v>0</v>
      </c>
      <c r="H5267" s="10">
        <f t="shared" si="82"/>
        <v>0</v>
      </c>
      <c r="I5267" s="10"/>
      <c r="J5267" s="10"/>
      <c r="K5267" s="10"/>
      <c r="L5267" s="4" t="s">
        <v>52</v>
      </c>
      <c r="M5267" s="4">
        <v>5262</v>
      </c>
    </row>
    <row r="5268" spans="1:13" x14ac:dyDescent="0.25">
      <c r="A5268" s="4" t="s">
        <v>5304</v>
      </c>
      <c r="B5268" s="4" t="s">
        <v>5305</v>
      </c>
      <c r="C5268" s="9" t="s">
        <v>50</v>
      </c>
      <c r="D5268" s="10">
        <v>94</v>
      </c>
      <c r="E5268" s="11" t="s">
        <v>51</v>
      </c>
      <c r="F5268" s="10">
        <v>400</v>
      </c>
      <c r="G5268" s="10">
        <v>0</v>
      </c>
      <c r="H5268" s="10">
        <f t="shared" si="82"/>
        <v>400</v>
      </c>
      <c r="I5268" s="10"/>
      <c r="J5268" s="10"/>
      <c r="K5268" s="10"/>
      <c r="L5268" s="4" t="s">
        <v>52</v>
      </c>
      <c r="M5268" s="4">
        <v>5263</v>
      </c>
    </row>
    <row r="5269" spans="1:13" x14ac:dyDescent="0.25">
      <c r="A5269" s="4" t="s">
        <v>5306</v>
      </c>
      <c r="B5269" s="4" t="s">
        <v>5307</v>
      </c>
      <c r="C5269" s="4" t="s">
        <v>65</v>
      </c>
      <c r="D5269" s="10">
        <v>73</v>
      </c>
      <c r="E5269" s="12" t="s">
        <v>66</v>
      </c>
      <c r="F5269" s="10">
        <v>7500</v>
      </c>
      <c r="G5269" s="10">
        <v>0</v>
      </c>
      <c r="H5269" s="10">
        <f t="shared" si="82"/>
        <v>7500</v>
      </c>
      <c r="I5269" s="10">
        <v>102.7397260273973</v>
      </c>
      <c r="J5269" s="10">
        <v>102.7397260273973</v>
      </c>
      <c r="K5269" s="10">
        <v>102.7397260273973</v>
      </c>
      <c r="L5269" s="4"/>
      <c r="M5269" s="4">
        <v>5264</v>
      </c>
    </row>
    <row r="5270" spans="1:13" x14ac:dyDescent="0.25">
      <c r="A5270" s="4" t="s">
        <v>5306</v>
      </c>
      <c r="B5270" s="4" t="s">
        <v>5308</v>
      </c>
      <c r="C5270" s="4" t="s">
        <v>65</v>
      </c>
      <c r="D5270" s="10">
        <v>61</v>
      </c>
      <c r="E5270" s="12" t="s">
        <v>66</v>
      </c>
      <c r="F5270" s="10">
        <v>1250</v>
      </c>
      <c r="G5270" s="10">
        <v>0</v>
      </c>
      <c r="H5270" s="10">
        <f t="shared" si="82"/>
        <v>1250</v>
      </c>
      <c r="I5270" s="10">
        <v>96.15384615384616</v>
      </c>
      <c r="J5270" s="10">
        <v>96.15384615384616</v>
      </c>
      <c r="K5270" s="10">
        <v>96.15384615384616</v>
      </c>
      <c r="L5270" s="4"/>
      <c r="M5270" s="4">
        <v>5265</v>
      </c>
    </row>
    <row r="5271" spans="1:13" x14ac:dyDescent="0.25">
      <c r="A5271" s="4" t="s">
        <v>5309</v>
      </c>
      <c r="B5271" s="4" t="s">
        <v>5310</v>
      </c>
      <c r="C5271" s="4" t="s">
        <v>65</v>
      </c>
      <c r="D5271" s="10">
        <v>40</v>
      </c>
      <c r="E5271" s="12" t="s">
        <v>66</v>
      </c>
      <c r="F5271" s="10">
        <v>5300</v>
      </c>
      <c r="G5271" s="10">
        <v>0</v>
      </c>
      <c r="H5271" s="10">
        <f t="shared" si="82"/>
        <v>5300</v>
      </c>
      <c r="I5271" s="10">
        <v>132.5</v>
      </c>
      <c r="J5271" s="10">
        <v>132.5</v>
      </c>
      <c r="K5271" s="10">
        <v>132.5</v>
      </c>
      <c r="L5271" s="4"/>
      <c r="M5271" s="4">
        <v>5266</v>
      </c>
    </row>
    <row r="5272" spans="1:13" x14ac:dyDescent="0.25">
      <c r="A5272" s="4" t="s">
        <v>5309</v>
      </c>
      <c r="B5272" s="4" t="s">
        <v>311</v>
      </c>
      <c r="C5272" s="4" t="s">
        <v>68</v>
      </c>
      <c r="D5272" s="10">
        <v>120.5</v>
      </c>
      <c r="E5272" s="11" t="s">
        <v>51</v>
      </c>
      <c r="F5272" s="10">
        <v>1000</v>
      </c>
      <c r="G5272" s="10">
        <v>0</v>
      </c>
      <c r="H5272" s="10">
        <f t="shared" si="82"/>
        <v>1000</v>
      </c>
      <c r="I5272" s="10"/>
      <c r="J5272" s="10"/>
      <c r="K5272" s="10"/>
      <c r="L5272" s="4" t="s">
        <v>69</v>
      </c>
      <c r="M5272" s="4">
        <v>5267</v>
      </c>
    </row>
    <row r="5273" spans="1:13" x14ac:dyDescent="0.25">
      <c r="A5273" s="4" t="s">
        <v>5311</v>
      </c>
      <c r="B5273" s="4" t="s">
        <v>5312</v>
      </c>
      <c r="C5273" s="9" t="s">
        <v>50</v>
      </c>
      <c r="D5273" s="10">
        <v>38</v>
      </c>
      <c r="E5273" s="11" t="s">
        <v>51</v>
      </c>
      <c r="F5273" s="10">
        <v>4750</v>
      </c>
      <c r="G5273" s="10">
        <v>0</v>
      </c>
      <c r="H5273" s="10">
        <f t="shared" si="82"/>
        <v>4750</v>
      </c>
      <c r="I5273" s="10"/>
      <c r="J5273" s="10"/>
      <c r="K5273" s="10"/>
      <c r="L5273" s="4" t="s">
        <v>52</v>
      </c>
      <c r="M5273" s="4">
        <v>5268</v>
      </c>
    </row>
    <row r="5274" spans="1:13" x14ac:dyDescent="0.25">
      <c r="A5274" s="4" t="s">
        <v>5311</v>
      </c>
      <c r="B5274" s="4" t="s">
        <v>5313</v>
      </c>
      <c r="C5274" s="4" t="s">
        <v>68</v>
      </c>
      <c r="D5274" s="10">
        <v>36</v>
      </c>
      <c r="E5274" s="11" t="s">
        <v>51</v>
      </c>
      <c r="F5274" s="10">
        <v>4500</v>
      </c>
      <c r="G5274" s="10">
        <v>0</v>
      </c>
      <c r="H5274" s="10">
        <f t="shared" si="82"/>
        <v>4500</v>
      </c>
      <c r="I5274" s="10"/>
      <c r="J5274" s="10"/>
      <c r="K5274" s="10"/>
      <c r="L5274" s="4" t="s">
        <v>69</v>
      </c>
      <c r="M5274" s="4">
        <v>5269</v>
      </c>
    </row>
    <row r="5275" spans="1:13" x14ac:dyDescent="0.25">
      <c r="A5275" s="4" t="s">
        <v>5311</v>
      </c>
      <c r="B5275" s="4" t="s">
        <v>5314</v>
      </c>
      <c r="C5275" s="4" t="s">
        <v>68</v>
      </c>
      <c r="D5275" s="10">
        <v>38.5</v>
      </c>
      <c r="E5275" s="11" t="s">
        <v>51</v>
      </c>
      <c r="F5275" s="10">
        <v>3300</v>
      </c>
      <c r="G5275" s="10">
        <v>0</v>
      </c>
      <c r="H5275" s="10">
        <f t="shared" si="82"/>
        <v>3300</v>
      </c>
      <c r="I5275" s="10"/>
      <c r="J5275" s="10"/>
      <c r="K5275" s="10"/>
      <c r="L5275" s="4" t="s">
        <v>69</v>
      </c>
      <c r="M5275" s="4">
        <v>5270</v>
      </c>
    </row>
    <row r="5276" spans="1:13" x14ac:dyDescent="0.25">
      <c r="A5276" s="4" t="s">
        <v>5311</v>
      </c>
      <c r="B5276" s="4" t="s">
        <v>5315</v>
      </c>
      <c r="C5276" s="4" t="s">
        <v>68</v>
      </c>
      <c r="D5276" s="10"/>
      <c r="E5276" s="11" t="s">
        <v>51</v>
      </c>
      <c r="F5276" s="10"/>
      <c r="G5276" s="10">
        <v>0</v>
      </c>
      <c r="H5276" s="10">
        <f t="shared" si="82"/>
        <v>0</v>
      </c>
      <c r="I5276" s="10"/>
      <c r="J5276" s="10"/>
      <c r="K5276" s="10"/>
      <c r="L5276" s="4" t="s">
        <v>69</v>
      </c>
      <c r="M5276" s="4">
        <v>5271</v>
      </c>
    </row>
    <row r="5277" spans="1:13" x14ac:dyDescent="0.25">
      <c r="A5277" s="4" t="s">
        <v>5311</v>
      </c>
      <c r="B5277" s="4" t="s">
        <v>5316</v>
      </c>
      <c r="C5277" s="4" t="s">
        <v>68</v>
      </c>
      <c r="D5277" s="10"/>
      <c r="E5277" s="11" t="s">
        <v>51</v>
      </c>
      <c r="F5277" s="10"/>
      <c r="G5277" s="10">
        <v>0</v>
      </c>
      <c r="H5277" s="10">
        <f t="shared" si="82"/>
        <v>0</v>
      </c>
      <c r="I5277" s="10"/>
      <c r="J5277" s="10"/>
      <c r="K5277" s="10"/>
      <c r="L5277" s="4" t="s">
        <v>69</v>
      </c>
      <c r="M5277" s="4">
        <v>5272</v>
      </c>
    </row>
    <row r="5278" spans="1:13" x14ac:dyDescent="0.25">
      <c r="A5278" s="4" t="s">
        <v>5311</v>
      </c>
      <c r="B5278" s="4" t="s">
        <v>5317</v>
      </c>
      <c r="C5278" s="4" t="s">
        <v>68</v>
      </c>
      <c r="D5278" s="10"/>
      <c r="E5278" s="11" t="s">
        <v>51</v>
      </c>
      <c r="F5278" s="10"/>
      <c r="G5278" s="10">
        <v>0</v>
      </c>
      <c r="H5278" s="10">
        <f t="shared" si="82"/>
        <v>0</v>
      </c>
      <c r="I5278" s="10"/>
      <c r="J5278" s="10"/>
      <c r="K5278" s="10"/>
      <c r="L5278" s="4" t="s">
        <v>69</v>
      </c>
      <c r="M5278" s="4">
        <v>5273</v>
      </c>
    </row>
    <row r="5279" spans="1:13" x14ac:dyDescent="0.25">
      <c r="A5279" s="4" t="s">
        <v>5311</v>
      </c>
      <c r="B5279" s="4" t="s">
        <v>5318</v>
      </c>
      <c r="C5279" s="4" t="s">
        <v>68</v>
      </c>
      <c r="D5279" s="10">
        <v>20</v>
      </c>
      <c r="E5279" s="11" t="s">
        <v>51</v>
      </c>
      <c r="F5279" s="10"/>
      <c r="G5279" s="10">
        <v>0</v>
      </c>
      <c r="H5279" s="10">
        <f t="shared" si="82"/>
        <v>0</v>
      </c>
      <c r="I5279" s="10"/>
      <c r="J5279" s="10"/>
      <c r="K5279" s="10"/>
      <c r="L5279" s="4" t="s">
        <v>69</v>
      </c>
      <c r="M5279" s="4">
        <v>5274</v>
      </c>
    </row>
    <row r="5280" spans="1:13" x14ac:dyDescent="0.25">
      <c r="A5280" s="4" t="s">
        <v>5319</v>
      </c>
      <c r="B5280" s="4" t="s">
        <v>5320</v>
      </c>
      <c r="C5280" s="4" t="s">
        <v>68</v>
      </c>
      <c r="D5280" s="10">
        <v>28</v>
      </c>
      <c r="E5280" s="11" t="s">
        <v>51</v>
      </c>
      <c r="F5280" s="10">
        <v>2400</v>
      </c>
      <c r="G5280" s="10">
        <v>0</v>
      </c>
      <c r="H5280" s="10">
        <f t="shared" si="82"/>
        <v>2400</v>
      </c>
      <c r="I5280" s="10"/>
      <c r="J5280" s="10"/>
      <c r="K5280" s="10"/>
      <c r="L5280" s="4" t="s">
        <v>69</v>
      </c>
      <c r="M5280" s="4">
        <v>5275</v>
      </c>
    </row>
    <row r="5281" spans="1:13" x14ac:dyDescent="0.25">
      <c r="A5281" s="4" t="s">
        <v>5321</v>
      </c>
      <c r="B5281" s="4" t="s">
        <v>5322</v>
      </c>
      <c r="C5281" s="4" t="s">
        <v>68</v>
      </c>
      <c r="D5281" s="10">
        <v>8</v>
      </c>
      <c r="E5281" s="11" t="s">
        <v>51</v>
      </c>
      <c r="F5281" s="10">
        <v>1000</v>
      </c>
      <c r="G5281" s="10">
        <v>0</v>
      </c>
      <c r="H5281" s="10">
        <f t="shared" si="82"/>
        <v>1000</v>
      </c>
      <c r="I5281" s="10"/>
      <c r="J5281" s="10"/>
      <c r="K5281" s="10"/>
      <c r="L5281" s="4" t="s">
        <v>69</v>
      </c>
      <c r="M5281" s="4">
        <v>5276</v>
      </c>
    </row>
    <row r="5282" spans="1:13" x14ac:dyDescent="0.25">
      <c r="A5282" s="4" t="s">
        <v>5323</v>
      </c>
      <c r="B5282" s="4" t="s">
        <v>5324</v>
      </c>
      <c r="C5282" s="9" t="s">
        <v>50</v>
      </c>
      <c r="D5282" s="10"/>
      <c r="E5282" s="11" t="s">
        <v>51</v>
      </c>
      <c r="F5282" s="10"/>
      <c r="G5282" s="10">
        <v>0</v>
      </c>
      <c r="H5282" s="10">
        <f t="shared" si="82"/>
        <v>0</v>
      </c>
      <c r="I5282" s="10"/>
      <c r="J5282" s="10"/>
      <c r="K5282" s="10"/>
      <c r="L5282" s="4" t="s">
        <v>52</v>
      </c>
      <c r="M5282" s="4">
        <v>5277</v>
      </c>
    </row>
    <row r="5283" spans="1:13" x14ac:dyDescent="0.25">
      <c r="A5283" s="4" t="s">
        <v>5323</v>
      </c>
      <c r="B5283" s="4" t="s">
        <v>5325</v>
      </c>
      <c r="C5283" s="9" t="s">
        <v>50</v>
      </c>
      <c r="D5283" s="10"/>
      <c r="E5283" s="11" t="s">
        <v>51</v>
      </c>
      <c r="F5283" s="10"/>
      <c r="G5283" s="10">
        <v>0</v>
      </c>
      <c r="H5283" s="10">
        <f t="shared" si="82"/>
        <v>0</v>
      </c>
      <c r="I5283" s="10"/>
      <c r="J5283" s="10"/>
      <c r="K5283" s="10"/>
      <c r="L5283" s="4" t="s">
        <v>52</v>
      </c>
      <c r="M5283" s="4">
        <v>5278</v>
      </c>
    </row>
    <row r="5284" spans="1:13" x14ac:dyDescent="0.25">
      <c r="A5284" s="4" t="s">
        <v>5323</v>
      </c>
      <c r="B5284" s="4" t="s">
        <v>5326</v>
      </c>
      <c r="C5284" s="9" t="s">
        <v>50</v>
      </c>
      <c r="D5284" s="10"/>
      <c r="E5284" s="11" t="s">
        <v>51</v>
      </c>
      <c r="F5284" s="10"/>
      <c r="G5284" s="10">
        <v>0</v>
      </c>
      <c r="H5284" s="10">
        <f t="shared" si="82"/>
        <v>0</v>
      </c>
      <c r="I5284" s="10"/>
      <c r="J5284" s="10"/>
      <c r="K5284" s="10"/>
      <c r="L5284" s="4" t="s">
        <v>52</v>
      </c>
      <c r="M5284" s="4">
        <v>5279</v>
      </c>
    </row>
    <row r="5285" spans="1:13" x14ac:dyDescent="0.25">
      <c r="A5285" s="4" t="s">
        <v>5327</v>
      </c>
      <c r="B5285" s="4" t="s">
        <v>5324</v>
      </c>
      <c r="C5285" s="9" t="s">
        <v>50</v>
      </c>
      <c r="D5285" s="10"/>
      <c r="E5285" s="11" t="s">
        <v>51</v>
      </c>
      <c r="F5285" s="10"/>
      <c r="G5285" s="10">
        <v>0</v>
      </c>
      <c r="H5285" s="10">
        <f t="shared" si="82"/>
        <v>0</v>
      </c>
      <c r="I5285" s="10"/>
      <c r="J5285" s="10"/>
      <c r="K5285" s="10"/>
      <c r="L5285" s="4" t="s">
        <v>52</v>
      </c>
      <c r="M5285" s="4">
        <v>5280</v>
      </c>
    </row>
    <row r="5286" spans="1:13" x14ac:dyDescent="0.25">
      <c r="A5286" s="4" t="s">
        <v>5327</v>
      </c>
      <c r="B5286" s="4" t="s">
        <v>5325</v>
      </c>
      <c r="C5286" s="9" t="s">
        <v>50</v>
      </c>
      <c r="D5286" s="10"/>
      <c r="E5286" s="11" t="s">
        <v>51</v>
      </c>
      <c r="F5286" s="10"/>
      <c r="G5286" s="10">
        <v>0</v>
      </c>
      <c r="H5286" s="10">
        <f t="shared" si="82"/>
        <v>0</v>
      </c>
      <c r="I5286" s="10"/>
      <c r="J5286" s="10"/>
      <c r="K5286" s="10"/>
      <c r="L5286" s="4" t="s">
        <v>52</v>
      </c>
      <c r="M5286" s="4">
        <v>5281</v>
      </c>
    </row>
    <row r="5287" spans="1:13" x14ac:dyDescent="0.25">
      <c r="A5287" s="4" t="s">
        <v>5327</v>
      </c>
      <c r="B5287" s="4" t="s">
        <v>5328</v>
      </c>
      <c r="C5287" s="9" t="s">
        <v>50</v>
      </c>
      <c r="D5287" s="10"/>
      <c r="E5287" s="11" t="s">
        <v>51</v>
      </c>
      <c r="F5287" s="10"/>
      <c r="G5287" s="10">
        <v>0</v>
      </c>
      <c r="H5287" s="10">
        <f t="shared" si="82"/>
        <v>0</v>
      </c>
      <c r="I5287" s="10"/>
      <c r="J5287" s="10"/>
      <c r="K5287" s="10"/>
      <c r="L5287" s="4" t="s">
        <v>52</v>
      </c>
      <c r="M5287" s="4">
        <v>5282</v>
      </c>
    </row>
    <row r="5288" spans="1:13" x14ac:dyDescent="0.25">
      <c r="A5288" s="4" t="s">
        <v>5329</v>
      </c>
      <c r="B5288" s="4" t="s">
        <v>5324</v>
      </c>
      <c r="C5288" s="9" t="s">
        <v>50</v>
      </c>
      <c r="D5288" s="10"/>
      <c r="E5288" s="11" t="s">
        <v>51</v>
      </c>
      <c r="F5288" s="10"/>
      <c r="G5288" s="10">
        <v>0</v>
      </c>
      <c r="H5288" s="10">
        <f t="shared" si="82"/>
        <v>0</v>
      </c>
      <c r="I5288" s="10"/>
      <c r="J5288" s="10"/>
      <c r="K5288" s="10"/>
      <c r="L5288" s="4" t="s">
        <v>52</v>
      </c>
      <c r="M5288" s="4">
        <v>5283</v>
      </c>
    </row>
    <row r="5289" spans="1:13" x14ac:dyDescent="0.25">
      <c r="A5289" s="4" t="s">
        <v>5329</v>
      </c>
      <c r="B5289" s="4" t="s">
        <v>5325</v>
      </c>
      <c r="C5289" s="9" t="s">
        <v>50</v>
      </c>
      <c r="D5289" s="10"/>
      <c r="E5289" s="11" t="s">
        <v>51</v>
      </c>
      <c r="F5289" s="10"/>
      <c r="G5289" s="10">
        <v>0</v>
      </c>
      <c r="H5289" s="10">
        <f t="shared" si="82"/>
        <v>0</v>
      </c>
      <c r="I5289" s="10"/>
      <c r="J5289" s="10"/>
      <c r="K5289" s="10"/>
      <c r="L5289" s="4" t="s">
        <v>52</v>
      </c>
      <c r="M5289" s="4">
        <v>5284</v>
      </c>
    </row>
    <row r="5290" spans="1:13" x14ac:dyDescent="0.25">
      <c r="A5290" s="4" t="s">
        <v>5329</v>
      </c>
      <c r="B5290" s="4" t="s">
        <v>5326</v>
      </c>
      <c r="C5290" s="9" t="s">
        <v>50</v>
      </c>
      <c r="D5290" s="10"/>
      <c r="E5290" s="11" t="s">
        <v>51</v>
      </c>
      <c r="F5290" s="10"/>
      <c r="G5290" s="10">
        <v>0</v>
      </c>
      <c r="H5290" s="10">
        <f t="shared" si="82"/>
        <v>0</v>
      </c>
      <c r="I5290" s="10"/>
      <c r="J5290" s="10"/>
      <c r="K5290" s="10"/>
      <c r="L5290" s="4" t="s">
        <v>52</v>
      </c>
      <c r="M5290" s="4">
        <v>5285</v>
      </c>
    </row>
    <row r="5291" spans="1:13" x14ac:dyDescent="0.25">
      <c r="A5291" s="4" t="s">
        <v>5330</v>
      </c>
      <c r="B5291" s="4" t="s">
        <v>5324</v>
      </c>
      <c r="C5291" s="9" t="s">
        <v>50</v>
      </c>
      <c r="D5291" s="10"/>
      <c r="E5291" s="11" t="s">
        <v>51</v>
      </c>
      <c r="F5291" s="10"/>
      <c r="G5291" s="10">
        <v>0</v>
      </c>
      <c r="H5291" s="10">
        <f t="shared" si="82"/>
        <v>0</v>
      </c>
      <c r="I5291" s="10"/>
      <c r="J5291" s="10"/>
      <c r="K5291" s="10"/>
      <c r="L5291" s="4" t="s">
        <v>52</v>
      </c>
      <c r="M5291" s="4">
        <v>5286</v>
      </c>
    </row>
    <row r="5292" spans="1:13" x14ac:dyDescent="0.25">
      <c r="A5292" s="4" t="s">
        <v>5330</v>
      </c>
      <c r="B5292" s="4" t="s">
        <v>5325</v>
      </c>
      <c r="C5292" s="9" t="s">
        <v>50</v>
      </c>
      <c r="D5292" s="10"/>
      <c r="E5292" s="11" t="s">
        <v>51</v>
      </c>
      <c r="F5292" s="10"/>
      <c r="G5292" s="10">
        <v>0</v>
      </c>
      <c r="H5292" s="10">
        <f t="shared" si="82"/>
        <v>0</v>
      </c>
      <c r="I5292" s="10"/>
      <c r="J5292" s="10"/>
      <c r="K5292" s="10"/>
      <c r="L5292" s="4" t="s">
        <v>52</v>
      </c>
      <c r="M5292" s="4">
        <v>5287</v>
      </c>
    </row>
    <row r="5293" spans="1:13" x14ac:dyDescent="0.25">
      <c r="A5293" s="4" t="s">
        <v>5330</v>
      </c>
      <c r="B5293" s="4" t="s">
        <v>5326</v>
      </c>
      <c r="C5293" s="9" t="s">
        <v>50</v>
      </c>
      <c r="D5293" s="10">
        <v>37</v>
      </c>
      <c r="E5293" s="11" t="s">
        <v>51</v>
      </c>
      <c r="F5293" s="10"/>
      <c r="G5293" s="10">
        <v>0</v>
      </c>
      <c r="H5293" s="10">
        <f t="shared" si="82"/>
        <v>0</v>
      </c>
      <c r="I5293" s="10"/>
      <c r="J5293" s="10"/>
      <c r="K5293" s="10"/>
      <c r="L5293" s="4" t="s">
        <v>52</v>
      </c>
      <c r="M5293" s="4">
        <v>5288</v>
      </c>
    </row>
    <row r="5294" spans="1:13" x14ac:dyDescent="0.25">
      <c r="A5294" s="4" t="s">
        <v>5331</v>
      </c>
      <c r="B5294" s="4" t="s">
        <v>5332</v>
      </c>
      <c r="C5294" s="4" t="s">
        <v>65</v>
      </c>
      <c r="D5294" s="10">
        <v>37</v>
      </c>
      <c r="E5294" s="12" t="s">
        <v>66</v>
      </c>
      <c r="F5294" s="10">
        <v>3850</v>
      </c>
      <c r="G5294" s="10">
        <v>0</v>
      </c>
      <c r="H5294" s="10">
        <f t="shared" si="82"/>
        <v>3850</v>
      </c>
      <c r="I5294" s="10">
        <v>104.05405405405401</v>
      </c>
      <c r="J5294" s="10">
        <v>104.05405405405401</v>
      </c>
      <c r="K5294" s="10">
        <v>104.05405405405401</v>
      </c>
      <c r="L5294" s="4"/>
      <c r="M5294" s="4">
        <v>5289</v>
      </c>
    </row>
    <row r="5295" spans="1:13" x14ac:dyDescent="0.25">
      <c r="A5295" s="4" t="s">
        <v>5333</v>
      </c>
      <c r="B5295" s="4" t="s">
        <v>5334</v>
      </c>
      <c r="C5295" s="9" t="s">
        <v>50</v>
      </c>
      <c r="D5295" s="10"/>
      <c r="E5295" s="11" t="s">
        <v>51</v>
      </c>
      <c r="F5295" s="10"/>
      <c r="G5295" s="10">
        <v>0</v>
      </c>
      <c r="H5295" s="10">
        <f t="shared" si="82"/>
        <v>0</v>
      </c>
      <c r="I5295" s="10"/>
      <c r="J5295" s="10"/>
      <c r="K5295" s="10"/>
      <c r="L5295" s="4" t="s">
        <v>52</v>
      </c>
      <c r="M5295" s="4">
        <v>5290</v>
      </c>
    </row>
    <row r="5296" spans="1:13" x14ac:dyDescent="0.25">
      <c r="A5296" s="4" t="s">
        <v>5333</v>
      </c>
      <c r="B5296" s="4" t="s">
        <v>5335</v>
      </c>
      <c r="C5296" s="9" t="s">
        <v>50</v>
      </c>
      <c r="D5296" s="10"/>
      <c r="E5296" s="11" t="s">
        <v>51</v>
      </c>
      <c r="F5296" s="10"/>
      <c r="G5296" s="10">
        <v>0</v>
      </c>
      <c r="H5296" s="10">
        <f t="shared" si="82"/>
        <v>0</v>
      </c>
      <c r="I5296" s="10"/>
      <c r="J5296" s="10"/>
      <c r="K5296" s="10"/>
      <c r="L5296" s="4" t="s">
        <v>52</v>
      </c>
      <c r="M5296" s="4">
        <v>5291</v>
      </c>
    </row>
    <row r="5297" spans="1:13" x14ac:dyDescent="0.25">
      <c r="A5297" s="4" t="s">
        <v>5333</v>
      </c>
      <c r="B5297" s="4" t="s">
        <v>5336</v>
      </c>
      <c r="C5297" s="9" t="s">
        <v>50</v>
      </c>
      <c r="D5297" s="10"/>
      <c r="E5297" s="11" t="s">
        <v>51</v>
      </c>
      <c r="F5297" s="10"/>
      <c r="G5297" s="10">
        <v>0</v>
      </c>
      <c r="H5297" s="10">
        <f t="shared" si="82"/>
        <v>0</v>
      </c>
      <c r="I5297" s="10"/>
      <c r="J5297" s="10"/>
      <c r="K5297" s="10"/>
      <c r="L5297" s="4" t="s">
        <v>52</v>
      </c>
      <c r="M5297" s="4">
        <v>5292</v>
      </c>
    </row>
    <row r="5298" spans="1:13" x14ac:dyDescent="0.25">
      <c r="A5298" s="4" t="s">
        <v>5333</v>
      </c>
      <c r="B5298" s="4" t="s">
        <v>5337</v>
      </c>
      <c r="C5298" s="9" t="s">
        <v>50</v>
      </c>
      <c r="D5298" s="10"/>
      <c r="E5298" s="11" t="s">
        <v>51</v>
      </c>
      <c r="F5298" s="10"/>
      <c r="G5298" s="10">
        <v>0</v>
      </c>
      <c r="H5298" s="10">
        <f t="shared" si="82"/>
        <v>0</v>
      </c>
      <c r="I5298" s="10"/>
      <c r="J5298" s="10"/>
      <c r="K5298" s="10"/>
      <c r="L5298" s="4" t="s">
        <v>52</v>
      </c>
      <c r="M5298" s="4">
        <v>5293</v>
      </c>
    </row>
    <row r="5299" spans="1:13" x14ac:dyDescent="0.25">
      <c r="A5299" s="4" t="s">
        <v>5333</v>
      </c>
      <c r="B5299" s="4" t="s">
        <v>5338</v>
      </c>
      <c r="C5299" s="9" t="s">
        <v>50</v>
      </c>
      <c r="D5299" s="10"/>
      <c r="E5299" s="11" t="s">
        <v>51</v>
      </c>
      <c r="F5299" s="10"/>
      <c r="G5299" s="10">
        <v>0</v>
      </c>
      <c r="H5299" s="10">
        <f t="shared" si="82"/>
        <v>0</v>
      </c>
      <c r="I5299" s="10"/>
      <c r="J5299" s="10"/>
      <c r="K5299" s="10"/>
      <c r="L5299" s="4" t="s">
        <v>52</v>
      </c>
      <c r="M5299" s="4">
        <v>5294</v>
      </c>
    </row>
    <row r="5300" spans="1:13" x14ac:dyDescent="0.25">
      <c r="A5300" s="4" t="s">
        <v>5333</v>
      </c>
      <c r="B5300" s="4" t="s">
        <v>5339</v>
      </c>
      <c r="C5300" s="9" t="s">
        <v>50</v>
      </c>
      <c r="D5300" s="10"/>
      <c r="E5300" s="11" t="s">
        <v>51</v>
      </c>
      <c r="F5300" s="10"/>
      <c r="G5300" s="10">
        <v>0</v>
      </c>
      <c r="H5300" s="10">
        <f t="shared" si="82"/>
        <v>0</v>
      </c>
      <c r="I5300" s="10"/>
      <c r="J5300" s="10"/>
      <c r="K5300" s="10"/>
      <c r="L5300" s="4" t="s">
        <v>52</v>
      </c>
      <c r="M5300" s="4">
        <v>5295</v>
      </c>
    </row>
    <row r="5301" spans="1:13" x14ac:dyDescent="0.25">
      <c r="A5301" s="4" t="s">
        <v>5333</v>
      </c>
      <c r="B5301" s="4" t="s">
        <v>5340</v>
      </c>
      <c r="C5301" s="9" t="s">
        <v>50</v>
      </c>
      <c r="D5301" s="10"/>
      <c r="E5301" s="11" t="s">
        <v>51</v>
      </c>
      <c r="F5301" s="10"/>
      <c r="G5301" s="10">
        <v>0</v>
      </c>
      <c r="H5301" s="10">
        <f t="shared" si="82"/>
        <v>0</v>
      </c>
      <c r="I5301" s="10"/>
      <c r="J5301" s="10"/>
      <c r="K5301" s="10"/>
      <c r="L5301" s="4" t="s">
        <v>52</v>
      </c>
      <c r="M5301" s="4">
        <v>5296</v>
      </c>
    </row>
    <row r="5302" spans="1:13" x14ac:dyDescent="0.25">
      <c r="A5302" s="4" t="s">
        <v>5333</v>
      </c>
      <c r="B5302" s="4" t="s">
        <v>2539</v>
      </c>
      <c r="C5302" s="9" t="s">
        <v>50</v>
      </c>
      <c r="D5302" s="10"/>
      <c r="E5302" s="11" t="s">
        <v>51</v>
      </c>
      <c r="F5302" s="10"/>
      <c r="G5302" s="10">
        <v>0</v>
      </c>
      <c r="H5302" s="10">
        <f t="shared" si="82"/>
        <v>0</v>
      </c>
      <c r="I5302" s="10"/>
      <c r="J5302" s="10"/>
      <c r="K5302" s="10"/>
      <c r="L5302" s="4" t="s">
        <v>52</v>
      </c>
      <c r="M5302" s="4">
        <v>5297</v>
      </c>
    </row>
    <row r="5303" spans="1:13" x14ac:dyDescent="0.25">
      <c r="A5303" s="4" t="s">
        <v>5333</v>
      </c>
      <c r="B5303" s="4" t="s">
        <v>5341</v>
      </c>
      <c r="C5303" s="9" t="s">
        <v>50</v>
      </c>
      <c r="D5303" s="10"/>
      <c r="E5303" s="11" t="s">
        <v>51</v>
      </c>
      <c r="F5303" s="10"/>
      <c r="G5303" s="10">
        <v>0</v>
      </c>
      <c r="H5303" s="10">
        <f t="shared" si="82"/>
        <v>0</v>
      </c>
      <c r="I5303" s="10"/>
      <c r="J5303" s="10"/>
      <c r="K5303" s="10"/>
      <c r="L5303" s="4" t="s">
        <v>52</v>
      </c>
      <c r="M5303" s="4">
        <v>5298</v>
      </c>
    </row>
    <row r="5304" spans="1:13" x14ac:dyDescent="0.25">
      <c r="A5304" s="4" t="s">
        <v>5333</v>
      </c>
      <c r="B5304" s="4" t="s">
        <v>5342</v>
      </c>
      <c r="C5304" s="9" t="s">
        <v>50</v>
      </c>
      <c r="D5304" s="10">
        <v>1062</v>
      </c>
      <c r="E5304" s="11" t="s">
        <v>51</v>
      </c>
      <c r="F5304" s="10"/>
      <c r="G5304" s="10">
        <v>0</v>
      </c>
      <c r="H5304" s="10">
        <f t="shared" si="82"/>
        <v>0</v>
      </c>
      <c r="I5304" s="10"/>
      <c r="J5304" s="10"/>
      <c r="K5304" s="10"/>
      <c r="L5304" s="4" t="s">
        <v>52</v>
      </c>
      <c r="M5304" s="4">
        <v>5299</v>
      </c>
    </row>
    <row r="5305" spans="1:13" x14ac:dyDescent="0.25">
      <c r="A5305" s="4" t="s">
        <v>5343</v>
      </c>
      <c r="B5305" s="4" t="s">
        <v>3852</v>
      </c>
      <c r="C5305" s="4" t="s">
        <v>65</v>
      </c>
      <c r="D5305" s="10">
        <v>5</v>
      </c>
      <c r="E5305" s="12" t="s">
        <v>66</v>
      </c>
      <c r="F5305" s="10">
        <v>675.9</v>
      </c>
      <c r="G5305" s="10">
        <v>0</v>
      </c>
      <c r="H5305" s="10">
        <f t="shared" si="82"/>
        <v>675.9</v>
      </c>
      <c r="I5305" s="10">
        <v>135.18</v>
      </c>
      <c r="J5305" s="10">
        <v>135.18</v>
      </c>
      <c r="K5305" s="10">
        <v>135.18</v>
      </c>
      <c r="L5305" s="4"/>
      <c r="M5305" s="4">
        <v>5300</v>
      </c>
    </row>
    <row r="5306" spans="1:13" x14ac:dyDescent="0.25">
      <c r="A5306" s="4" t="s">
        <v>5343</v>
      </c>
      <c r="B5306" s="4" t="s">
        <v>3853</v>
      </c>
      <c r="C5306" s="4" t="s">
        <v>65</v>
      </c>
      <c r="D5306" s="10">
        <v>79</v>
      </c>
      <c r="E5306" s="12" t="s">
        <v>66</v>
      </c>
      <c r="F5306" s="10">
        <v>10138.5</v>
      </c>
      <c r="G5306" s="10">
        <v>0</v>
      </c>
      <c r="H5306" s="10">
        <f t="shared" si="82"/>
        <v>10138.5</v>
      </c>
      <c r="I5306" s="10">
        <v>128.3354430379747</v>
      </c>
      <c r="J5306" s="10">
        <v>128.3354430379747</v>
      </c>
      <c r="K5306" s="10">
        <v>128.3354430379747</v>
      </c>
      <c r="L5306" s="4"/>
      <c r="M5306" s="4">
        <v>5301</v>
      </c>
    </row>
    <row r="5307" spans="1:13" x14ac:dyDescent="0.25">
      <c r="A5307" s="4" t="s">
        <v>5343</v>
      </c>
      <c r="B5307" s="4" t="s">
        <v>3854</v>
      </c>
      <c r="C5307" s="4" t="s">
        <v>65</v>
      </c>
      <c r="D5307" s="10">
        <v>100</v>
      </c>
      <c r="E5307" s="12" t="s">
        <v>66</v>
      </c>
      <c r="F5307" s="10">
        <v>12842.1</v>
      </c>
      <c r="G5307" s="10">
        <v>0</v>
      </c>
      <c r="H5307" s="10">
        <f t="shared" si="82"/>
        <v>12842.1</v>
      </c>
      <c r="I5307" s="10">
        <v>128.42099999999999</v>
      </c>
      <c r="J5307" s="10">
        <v>128.42099999999999</v>
      </c>
      <c r="K5307" s="10">
        <v>128.42099999999999</v>
      </c>
      <c r="L5307" s="4"/>
      <c r="M5307" s="4">
        <v>5302</v>
      </c>
    </row>
    <row r="5308" spans="1:13" x14ac:dyDescent="0.25">
      <c r="A5308" s="4" t="s">
        <v>5343</v>
      </c>
      <c r="B5308" s="4" t="s">
        <v>3855</v>
      </c>
      <c r="C5308" s="4" t="s">
        <v>65</v>
      </c>
      <c r="D5308" s="10">
        <v>694</v>
      </c>
      <c r="E5308" s="12" t="s">
        <v>66</v>
      </c>
      <c r="F5308" s="10">
        <v>10138.5</v>
      </c>
      <c r="G5308" s="10">
        <v>0</v>
      </c>
      <c r="H5308" s="10">
        <f t="shared" si="82"/>
        <v>10138.5</v>
      </c>
      <c r="I5308" s="10">
        <v>29.217579250720458</v>
      </c>
      <c r="J5308" s="10">
        <v>29.217579250720458</v>
      </c>
      <c r="K5308" s="10">
        <v>29.217579250720458</v>
      </c>
      <c r="L5308" s="4"/>
      <c r="M5308" s="4">
        <v>5303</v>
      </c>
    </row>
    <row r="5309" spans="1:13" x14ac:dyDescent="0.25">
      <c r="A5309" s="4" t="s">
        <v>5343</v>
      </c>
      <c r="B5309" s="4" t="s">
        <v>5344</v>
      </c>
      <c r="C5309" s="4" t="s">
        <v>65</v>
      </c>
      <c r="D5309" s="10"/>
      <c r="E5309" s="11" t="s">
        <v>51</v>
      </c>
      <c r="F5309" s="10"/>
      <c r="G5309" s="10">
        <v>0</v>
      </c>
      <c r="H5309" s="10">
        <f t="shared" si="82"/>
        <v>0</v>
      </c>
      <c r="I5309" s="10"/>
      <c r="J5309" s="10"/>
      <c r="K5309" s="10"/>
      <c r="L5309" s="4" t="s">
        <v>69</v>
      </c>
      <c r="M5309" s="4">
        <v>5304</v>
      </c>
    </row>
    <row r="5310" spans="1:13" x14ac:dyDescent="0.25">
      <c r="A5310" s="4" t="s">
        <v>5343</v>
      </c>
      <c r="B5310" s="4" t="s">
        <v>5345</v>
      </c>
      <c r="C5310" s="4" t="s">
        <v>65</v>
      </c>
      <c r="D5310" s="10"/>
      <c r="E5310" s="11" t="s">
        <v>51</v>
      </c>
      <c r="F5310" s="10"/>
      <c r="G5310" s="10">
        <v>0</v>
      </c>
      <c r="H5310" s="10">
        <f t="shared" si="82"/>
        <v>0</v>
      </c>
      <c r="I5310" s="10"/>
      <c r="J5310" s="10"/>
      <c r="K5310" s="10"/>
      <c r="L5310" s="4" t="s">
        <v>69</v>
      </c>
      <c r="M5310" s="4">
        <v>5305</v>
      </c>
    </row>
    <row r="5311" spans="1:13" x14ac:dyDescent="0.25">
      <c r="A5311" s="4" t="s">
        <v>5343</v>
      </c>
      <c r="B5311" s="4" t="s">
        <v>5346</v>
      </c>
      <c r="C5311" s="4" t="s">
        <v>65</v>
      </c>
      <c r="D5311" s="10"/>
      <c r="E5311" s="11" t="s">
        <v>51</v>
      </c>
      <c r="F5311" s="10"/>
      <c r="G5311" s="10">
        <v>0</v>
      </c>
      <c r="H5311" s="10">
        <f t="shared" si="82"/>
        <v>0</v>
      </c>
      <c r="I5311" s="10"/>
      <c r="J5311" s="10"/>
      <c r="K5311" s="10"/>
      <c r="L5311" s="4" t="s">
        <v>69</v>
      </c>
      <c r="M5311" s="4">
        <v>5306</v>
      </c>
    </row>
    <row r="5312" spans="1:13" x14ac:dyDescent="0.25">
      <c r="A5312" s="4" t="s">
        <v>5343</v>
      </c>
      <c r="B5312" s="4" t="s">
        <v>5347</v>
      </c>
      <c r="C5312" s="4" t="s">
        <v>65</v>
      </c>
      <c r="D5312" s="10">
        <v>60</v>
      </c>
      <c r="E5312" s="11" t="s">
        <v>51</v>
      </c>
      <c r="F5312" s="10"/>
      <c r="G5312" s="10">
        <v>0</v>
      </c>
      <c r="H5312" s="10">
        <f t="shared" si="82"/>
        <v>0</v>
      </c>
      <c r="I5312" s="10"/>
      <c r="J5312" s="10"/>
      <c r="K5312" s="10"/>
      <c r="L5312" s="4" t="s">
        <v>69</v>
      </c>
      <c r="M5312" s="4">
        <v>5307</v>
      </c>
    </row>
    <row r="5313" spans="1:13" x14ac:dyDescent="0.25">
      <c r="A5313" s="4" t="s">
        <v>5348</v>
      </c>
      <c r="B5313" s="4" t="s">
        <v>5299</v>
      </c>
      <c r="C5313" s="9" t="s">
        <v>50</v>
      </c>
      <c r="D5313" s="10">
        <v>69</v>
      </c>
      <c r="E5313" s="11" t="s">
        <v>51</v>
      </c>
      <c r="F5313" s="10">
        <v>7800</v>
      </c>
      <c r="G5313" s="10">
        <v>0</v>
      </c>
      <c r="H5313" s="10">
        <f t="shared" si="82"/>
        <v>7800</v>
      </c>
      <c r="I5313" s="10"/>
      <c r="J5313" s="10"/>
      <c r="K5313" s="10"/>
      <c r="L5313" s="4" t="s">
        <v>52</v>
      </c>
      <c r="M5313" s="4">
        <v>5308</v>
      </c>
    </row>
    <row r="5314" spans="1:13" x14ac:dyDescent="0.25">
      <c r="A5314" s="4" t="s">
        <v>5349</v>
      </c>
      <c r="B5314" s="4" t="s">
        <v>5350</v>
      </c>
      <c r="C5314" s="9" t="s">
        <v>50</v>
      </c>
      <c r="D5314" s="10">
        <v>27</v>
      </c>
      <c r="E5314" s="11" t="s">
        <v>51</v>
      </c>
      <c r="F5314" s="10">
        <v>1500</v>
      </c>
      <c r="G5314" s="10">
        <v>0</v>
      </c>
      <c r="H5314" s="10">
        <f t="shared" si="82"/>
        <v>1500</v>
      </c>
      <c r="I5314" s="10"/>
      <c r="J5314" s="10"/>
      <c r="K5314" s="10"/>
      <c r="L5314" s="4" t="s">
        <v>52</v>
      </c>
      <c r="M5314" s="4">
        <v>5309</v>
      </c>
    </row>
    <row r="5315" spans="1:13" x14ac:dyDescent="0.25">
      <c r="A5315" s="4" t="s">
        <v>5351</v>
      </c>
      <c r="B5315" s="4" t="s">
        <v>5079</v>
      </c>
      <c r="C5315" s="4" t="s">
        <v>65</v>
      </c>
      <c r="D5315" s="10">
        <v>47</v>
      </c>
      <c r="E5315" s="12" t="s">
        <v>66</v>
      </c>
      <c r="F5315" s="10">
        <v>900</v>
      </c>
      <c r="G5315" s="10">
        <v>0</v>
      </c>
      <c r="H5315" s="10">
        <f t="shared" si="82"/>
        <v>900</v>
      </c>
      <c r="I5315" s="10">
        <v>100</v>
      </c>
      <c r="J5315" s="10">
        <v>100</v>
      </c>
      <c r="K5315" s="10">
        <v>100</v>
      </c>
      <c r="L5315" s="4"/>
      <c r="M5315" s="4">
        <v>5310</v>
      </c>
    </row>
    <row r="5316" spans="1:13" x14ac:dyDescent="0.25">
      <c r="A5316" s="4" t="s">
        <v>5352</v>
      </c>
      <c r="B5316" s="4" t="s">
        <v>5353</v>
      </c>
      <c r="C5316" s="4" t="s">
        <v>65</v>
      </c>
      <c r="D5316" s="10">
        <v>28</v>
      </c>
      <c r="E5316" s="12" t="s">
        <v>66</v>
      </c>
      <c r="F5316" s="10">
        <v>3500</v>
      </c>
      <c r="G5316" s="10">
        <v>0</v>
      </c>
      <c r="H5316" s="10">
        <f t="shared" si="82"/>
        <v>3500</v>
      </c>
      <c r="I5316" s="10">
        <v>125</v>
      </c>
      <c r="J5316" s="10">
        <v>125</v>
      </c>
      <c r="K5316" s="10">
        <v>125</v>
      </c>
      <c r="L5316" s="4"/>
      <c r="M5316" s="4">
        <v>5311</v>
      </c>
    </row>
    <row r="5317" spans="1:13" x14ac:dyDescent="0.25">
      <c r="A5317" s="4" t="s">
        <v>5352</v>
      </c>
      <c r="B5317" s="4" t="s">
        <v>311</v>
      </c>
      <c r="C5317" s="4" t="s">
        <v>68</v>
      </c>
      <c r="D5317" s="10">
        <v>98</v>
      </c>
      <c r="E5317" s="11" t="s">
        <v>51</v>
      </c>
      <c r="F5317" s="10">
        <v>1150</v>
      </c>
      <c r="G5317" s="10">
        <v>0</v>
      </c>
      <c r="H5317" s="10">
        <f t="shared" si="82"/>
        <v>1150</v>
      </c>
      <c r="I5317" s="10"/>
      <c r="J5317" s="10"/>
      <c r="K5317" s="10"/>
      <c r="L5317" s="4" t="s">
        <v>69</v>
      </c>
      <c r="M5317" s="4">
        <v>5312</v>
      </c>
    </row>
    <row r="5318" spans="1:13" x14ac:dyDescent="0.25">
      <c r="A5318" s="4" t="s">
        <v>5354</v>
      </c>
      <c r="B5318" s="4" t="s">
        <v>378</v>
      </c>
      <c r="C5318" s="4" t="s">
        <v>65</v>
      </c>
      <c r="D5318" s="10">
        <v>58</v>
      </c>
      <c r="E5318" s="12" t="s">
        <v>66</v>
      </c>
      <c r="F5318" s="10">
        <v>6900</v>
      </c>
      <c r="G5318" s="10">
        <v>0</v>
      </c>
      <c r="H5318" s="10">
        <f t="shared" ref="H5318:H5381" si="83">F5318-G5318</f>
        <v>6900</v>
      </c>
      <c r="I5318" s="10">
        <v>118.9655172413793</v>
      </c>
      <c r="J5318" s="10">
        <v>118.9655172413793</v>
      </c>
      <c r="K5318" s="10">
        <v>118.9655172413793</v>
      </c>
      <c r="L5318" s="4"/>
      <c r="M5318" s="4">
        <v>5313</v>
      </c>
    </row>
    <row r="5319" spans="1:13" x14ac:dyDescent="0.25">
      <c r="A5319" s="4" t="s">
        <v>5354</v>
      </c>
      <c r="B5319" s="4" t="s">
        <v>311</v>
      </c>
      <c r="C5319" s="4" t="s">
        <v>68</v>
      </c>
      <c r="D5319" s="10">
        <v>100</v>
      </c>
      <c r="E5319" s="11" t="s">
        <v>51</v>
      </c>
      <c r="F5319" s="10">
        <v>3450</v>
      </c>
      <c r="G5319" s="10">
        <v>0</v>
      </c>
      <c r="H5319" s="10">
        <f t="shared" si="83"/>
        <v>3450</v>
      </c>
      <c r="I5319" s="10"/>
      <c r="J5319" s="10"/>
      <c r="K5319" s="10"/>
      <c r="L5319" s="4" t="s">
        <v>69</v>
      </c>
      <c r="M5319" s="4">
        <v>5314</v>
      </c>
    </row>
    <row r="5320" spans="1:13" x14ac:dyDescent="0.25">
      <c r="A5320" s="4" t="s">
        <v>5355</v>
      </c>
      <c r="B5320" s="4" t="s">
        <v>5356</v>
      </c>
      <c r="C5320" s="4" t="s">
        <v>65</v>
      </c>
      <c r="D5320" s="10">
        <v>46</v>
      </c>
      <c r="E5320" s="12" t="s">
        <v>66</v>
      </c>
      <c r="F5320" s="10">
        <v>5700</v>
      </c>
      <c r="G5320" s="10">
        <v>0</v>
      </c>
      <c r="H5320" s="10">
        <f t="shared" si="83"/>
        <v>5700</v>
      </c>
      <c r="I5320" s="10">
        <v>123.9130434782609</v>
      </c>
      <c r="J5320" s="10">
        <v>123.9130434782609</v>
      </c>
      <c r="K5320" s="10">
        <v>123.9130434782609</v>
      </c>
      <c r="L5320" s="4"/>
      <c r="M5320" s="4">
        <v>5315</v>
      </c>
    </row>
    <row r="5321" spans="1:13" x14ac:dyDescent="0.25">
      <c r="A5321" s="4" t="s">
        <v>5355</v>
      </c>
      <c r="B5321" s="4" t="s">
        <v>5357</v>
      </c>
      <c r="C5321" s="4" t="s">
        <v>68</v>
      </c>
      <c r="D5321" s="10">
        <v>106</v>
      </c>
      <c r="E5321" s="11" t="s">
        <v>51</v>
      </c>
      <c r="F5321" s="10">
        <v>2880</v>
      </c>
      <c r="G5321" s="10">
        <v>0</v>
      </c>
      <c r="H5321" s="10">
        <f t="shared" si="83"/>
        <v>2880</v>
      </c>
      <c r="I5321" s="10"/>
      <c r="J5321" s="10"/>
      <c r="K5321" s="10"/>
      <c r="L5321" s="4" t="s">
        <v>69</v>
      </c>
      <c r="M5321" s="4">
        <v>5316</v>
      </c>
    </row>
    <row r="5322" spans="1:13" x14ac:dyDescent="0.25">
      <c r="A5322" s="4" t="s">
        <v>5358</v>
      </c>
      <c r="B5322" s="4" t="s">
        <v>316</v>
      </c>
      <c r="C5322" s="4" t="s">
        <v>65</v>
      </c>
      <c r="D5322" s="10">
        <v>82</v>
      </c>
      <c r="E5322" s="12" t="s">
        <v>66</v>
      </c>
      <c r="F5322" s="10">
        <v>9100</v>
      </c>
      <c r="G5322" s="10">
        <v>0</v>
      </c>
      <c r="H5322" s="10">
        <f t="shared" si="83"/>
        <v>9100</v>
      </c>
      <c r="I5322" s="10">
        <v>110.9756097560976</v>
      </c>
      <c r="J5322" s="10">
        <v>110.9756097560976</v>
      </c>
      <c r="K5322" s="10">
        <v>110.9756097560976</v>
      </c>
      <c r="L5322" s="4"/>
      <c r="M5322" s="4">
        <v>5317</v>
      </c>
    </row>
    <row r="5323" spans="1:13" x14ac:dyDescent="0.25">
      <c r="A5323" s="4" t="s">
        <v>5359</v>
      </c>
      <c r="B5323" s="4" t="s">
        <v>5360</v>
      </c>
      <c r="C5323" s="4" t="s">
        <v>65</v>
      </c>
      <c r="D5323" s="10">
        <v>4</v>
      </c>
      <c r="E5323" s="12" t="s">
        <v>66</v>
      </c>
      <c r="F5323" s="10">
        <v>480</v>
      </c>
      <c r="G5323" s="10">
        <v>0</v>
      </c>
      <c r="H5323" s="10">
        <f t="shared" si="83"/>
        <v>480</v>
      </c>
      <c r="I5323" s="10">
        <v>120</v>
      </c>
      <c r="J5323" s="10">
        <v>120</v>
      </c>
      <c r="K5323" s="10">
        <v>120</v>
      </c>
      <c r="L5323" s="4"/>
      <c r="M5323" s="4">
        <v>5318</v>
      </c>
    </row>
    <row r="5324" spans="1:13" x14ac:dyDescent="0.25">
      <c r="A5324" s="4" t="s">
        <v>5361</v>
      </c>
      <c r="B5324" s="4" t="s">
        <v>5362</v>
      </c>
      <c r="C5324" s="4" t="s">
        <v>65</v>
      </c>
      <c r="D5324" s="10">
        <v>4</v>
      </c>
      <c r="E5324" s="12" t="s">
        <v>66</v>
      </c>
      <c r="F5324" s="10">
        <v>360</v>
      </c>
      <c r="G5324" s="10">
        <v>0</v>
      </c>
      <c r="H5324" s="10">
        <f t="shared" si="83"/>
        <v>360</v>
      </c>
      <c r="I5324" s="10">
        <v>90</v>
      </c>
      <c r="J5324" s="10">
        <v>90</v>
      </c>
      <c r="K5324" s="10">
        <v>90</v>
      </c>
      <c r="L5324" s="4"/>
      <c r="M5324" s="4">
        <v>5319</v>
      </c>
    </row>
    <row r="5325" spans="1:13" x14ac:dyDescent="0.25">
      <c r="A5325" s="4" t="s">
        <v>5363</v>
      </c>
      <c r="B5325" s="4" t="s">
        <v>1809</v>
      </c>
      <c r="C5325" s="4" t="s">
        <v>65</v>
      </c>
      <c r="D5325" s="10"/>
      <c r="E5325" s="11" t="s">
        <v>51</v>
      </c>
      <c r="F5325" s="10"/>
      <c r="G5325" s="10">
        <v>0</v>
      </c>
      <c r="H5325" s="10">
        <f t="shared" si="83"/>
        <v>0</v>
      </c>
      <c r="I5325" s="10"/>
      <c r="J5325" s="10"/>
      <c r="K5325" s="10"/>
      <c r="L5325" s="4" t="s">
        <v>69</v>
      </c>
      <c r="M5325" s="4">
        <v>5320</v>
      </c>
    </row>
    <row r="5326" spans="1:13" x14ac:dyDescent="0.25">
      <c r="A5326" s="4" t="s">
        <v>5363</v>
      </c>
      <c r="B5326" s="4" t="s">
        <v>1393</v>
      </c>
      <c r="C5326" s="4" t="s">
        <v>65</v>
      </c>
      <c r="D5326" s="10">
        <v>194</v>
      </c>
      <c r="E5326" s="11" t="s">
        <v>51</v>
      </c>
      <c r="F5326" s="10"/>
      <c r="G5326" s="10">
        <v>0</v>
      </c>
      <c r="H5326" s="10">
        <f t="shared" si="83"/>
        <v>0</v>
      </c>
      <c r="I5326" s="10"/>
      <c r="J5326" s="10"/>
      <c r="K5326" s="10"/>
      <c r="L5326" s="4" t="s">
        <v>69</v>
      </c>
      <c r="M5326" s="4">
        <v>5321</v>
      </c>
    </row>
    <row r="5327" spans="1:13" x14ac:dyDescent="0.25">
      <c r="A5327" s="4" t="s">
        <v>5364</v>
      </c>
      <c r="B5327" s="4" t="s">
        <v>5365</v>
      </c>
      <c r="C5327" s="4" t="s">
        <v>65</v>
      </c>
      <c r="D5327" s="10">
        <v>4</v>
      </c>
      <c r="E5327" s="12" t="s">
        <v>66</v>
      </c>
      <c r="F5327" s="10">
        <v>291.55</v>
      </c>
      <c r="G5327" s="10">
        <v>0</v>
      </c>
      <c r="H5327" s="10">
        <f t="shared" si="83"/>
        <v>291.55</v>
      </c>
      <c r="I5327" s="10">
        <v>72.887500000000003</v>
      </c>
      <c r="J5327" s="10">
        <v>72.887500000000003</v>
      </c>
      <c r="K5327" s="10">
        <v>72.887500000000003</v>
      </c>
      <c r="L5327" s="4"/>
      <c r="M5327" s="4">
        <v>5322</v>
      </c>
    </row>
    <row r="5328" spans="1:13" x14ac:dyDescent="0.25">
      <c r="A5328" s="4" t="s">
        <v>5364</v>
      </c>
      <c r="B5328" s="4" t="s">
        <v>5366</v>
      </c>
      <c r="C5328" s="4" t="s">
        <v>65</v>
      </c>
      <c r="D5328" s="10">
        <v>5</v>
      </c>
      <c r="E5328" s="12" t="s">
        <v>66</v>
      </c>
      <c r="F5328" s="10">
        <v>433.16</v>
      </c>
      <c r="G5328" s="10">
        <v>0</v>
      </c>
      <c r="H5328" s="10">
        <f t="shared" si="83"/>
        <v>433.16</v>
      </c>
      <c r="I5328" s="10">
        <v>86.632000000000005</v>
      </c>
      <c r="J5328" s="10">
        <v>86.632000000000005</v>
      </c>
      <c r="K5328" s="10">
        <v>86.632000000000005</v>
      </c>
      <c r="L5328" s="4"/>
      <c r="M5328" s="4">
        <v>5323</v>
      </c>
    </row>
    <row r="5329" spans="1:13" x14ac:dyDescent="0.25">
      <c r="A5329" s="4" t="s">
        <v>5364</v>
      </c>
      <c r="B5329" s="4" t="s">
        <v>5367</v>
      </c>
      <c r="C5329" s="4" t="s">
        <v>65</v>
      </c>
      <c r="D5329" s="10">
        <v>4</v>
      </c>
      <c r="E5329" s="12" t="s">
        <v>66</v>
      </c>
      <c r="F5329" s="10">
        <v>344.62</v>
      </c>
      <c r="G5329" s="10">
        <v>0</v>
      </c>
      <c r="H5329" s="10">
        <f t="shared" si="83"/>
        <v>344.62</v>
      </c>
      <c r="I5329" s="10">
        <v>86.155000000000001</v>
      </c>
      <c r="J5329" s="10">
        <v>86.155000000000001</v>
      </c>
      <c r="K5329" s="10">
        <v>86.155000000000001</v>
      </c>
      <c r="L5329" s="4"/>
      <c r="M5329" s="4">
        <v>5324</v>
      </c>
    </row>
    <row r="5330" spans="1:13" x14ac:dyDescent="0.25">
      <c r="A5330" s="4" t="s">
        <v>5364</v>
      </c>
      <c r="B5330" s="4" t="s">
        <v>5368</v>
      </c>
      <c r="C5330" s="4" t="s">
        <v>65</v>
      </c>
      <c r="D5330" s="10">
        <v>4</v>
      </c>
      <c r="E5330" s="12" t="s">
        <v>66</v>
      </c>
      <c r="F5330" s="10">
        <v>350</v>
      </c>
      <c r="G5330" s="10">
        <v>0</v>
      </c>
      <c r="H5330" s="10">
        <f t="shared" si="83"/>
        <v>350</v>
      </c>
      <c r="I5330" s="10">
        <v>87.5</v>
      </c>
      <c r="J5330" s="10">
        <v>87.5</v>
      </c>
      <c r="K5330" s="10">
        <v>87.5</v>
      </c>
      <c r="L5330" s="4"/>
      <c r="M5330" s="4">
        <v>5325</v>
      </c>
    </row>
    <row r="5331" spans="1:13" x14ac:dyDescent="0.25">
      <c r="A5331" s="4" t="s">
        <v>5364</v>
      </c>
      <c r="B5331" s="4" t="s">
        <v>5369</v>
      </c>
      <c r="C5331" s="4" t="s">
        <v>65</v>
      </c>
      <c r="D5331" s="10">
        <v>60</v>
      </c>
      <c r="E5331" s="12" t="s">
        <v>66</v>
      </c>
      <c r="F5331" s="10">
        <v>4750</v>
      </c>
      <c r="G5331" s="10">
        <v>0</v>
      </c>
      <c r="H5331" s="10">
        <f t="shared" si="83"/>
        <v>4750</v>
      </c>
      <c r="I5331" s="10">
        <v>79.166666666666671</v>
      </c>
      <c r="J5331" s="10">
        <v>79.166666666666671</v>
      </c>
      <c r="K5331" s="10">
        <v>79.166666666666671</v>
      </c>
      <c r="L5331" s="4"/>
      <c r="M5331" s="4">
        <v>5326</v>
      </c>
    </row>
    <row r="5332" spans="1:13" x14ac:dyDescent="0.25">
      <c r="A5332" s="4" t="s">
        <v>5364</v>
      </c>
      <c r="B5332" s="4" t="s">
        <v>5370</v>
      </c>
      <c r="C5332" s="4" t="s">
        <v>65</v>
      </c>
      <c r="D5332" s="10">
        <v>92</v>
      </c>
      <c r="E5332" s="12" t="s">
        <v>66</v>
      </c>
      <c r="F5332" s="10">
        <v>1650</v>
      </c>
      <c r="G5332" s="10">
        <v>0</v>
      </c>
      <c r="H5332" s="10">
        <f t="shared" si="83"/>
        <v>1650</v>
      </c>
      <c r="I5332" s="10">
        <v>82.5</v>
      </c>
      <c r="J5332" s="10">
        <v>82.5</v>
      </c>
      <c r="K5332" s="10">
        <v>82.5</v>
      </c>
      <c r="L5332" s="4"/>
      <c r="M5332" s="4">
        <v>5327</v>
      </c>
    </row>
    <row r="5333" spans="1:13" x14ac:dyDescent="0.25">
      <c r="A5333" s="4" t="s">
        <v>5371</v>
      </c>
      <c r="B5333" s="4" t="s">
        <v>5372</v>
      </c>
      <c r="C5333" s="4" t="s">
        <v>65</v>
      </c>
      <c r="D5333" s="10">
        <v>178.9</v>
      </c>
      <c r="E5333" s="12" t="s">
        <v>66</v>
      </c>
      <c r="F5333" s="10">
        <v>4850</v>
      </c>
      <c r="G5333" s="10">
        <v>0</v>
      </c>
      <c r="H5333" s="10">
        <f t="shared" si="83"/>
        <v>4850</v>
      </c>
      <c r="I5333" s="10">
        <v>134.7222222222222</v>
      </c>
      <c r="J5333" s="10">
        <v>134.7222222222222</v>
      </c>
      <c r="K5333" s="10">
        <v>134.7222222222222</v>
      </c>
      <c r="L5333" s="4"/>
      <c r="M5333" s="4">
        <v>5328</v>
      </c>
    </row>
    <row r="5334" spans="1:13" x14ac:dyDescent="0.25">
      <c r="A5334" s="4" t="s">
        <v>5373</v>
      </c>
      <c r="B5334" s="4" t="s">
        <v>5374</v>
      </c>
      <c r="C5334" s="4" t="s">
        <v>65</v>
      </c>
      <c r="D5334" s="10">
        <v>42.25</v>
      </c>
      <c r="E5334" s="12" t="s">
        <v>66</v>
      </c>
      <c r="F5334" s="10">
        <v>3400</v>
      </c>
      <c r="G5334" s="10">
        <v>0</v>
      </c>
      <c r="H5334" s="10">
        <f t="shared" si="83"/>
        <v>3400</v>
      </c>
      <c r="I5334" s="10">
        <v>80.473372781065095</v>
      </c>
      <c r="J5334" s="10">
        <v>80.473372781065095</v>
      </c>
      <c r="K5334" s="10">
        <v>80.473372781065095</v>
      </c>
      <c r="L5334" s="4"/>
      <c r="M5334" s="4">
        <v>5329</v>
      </c>
    </row>
    <row r="5335" spans="1:13" x14ac:dyDescent="0.25">
      <c r="A5335" s="4" t="s">
        <v>5373</v>
      </c>
      <c r="B5335" s="4" t="s">
        <v>3278</v>
      </c>
      <c r="C5335" s="4" t="s">
        <v>65</v>
      </c>
      <c r="D5335" s="10">
        <v>359.2</v>
      </c>
      <c r="E5335" s="12" t="s">
        <v>66</v>
      </c>
      <c r="F5335" s="10">
        <v>2800</v>
      </c>
      <c r="G5335" s="10">
        <v>0</v>
      </c>
      <c r="H5335" s="10">
        <f t="shared" si="83"/>
        <v>2800</v>
      </c>
      <c r="I5335" s="10">
        <v>95.890410958904113</v>
      </c>
      <c r="J5335" s="10">
        <v>95.890410958904113</v>
      </c>
      <c r="K5335" s="10">
        <v>95.890410958904113</v>
      </c>
      <c r="L5335" s="4"/>
      <c r="M5335" s="4">
        <v>5330</v>
      </c>
    </row>
    <row r="5336" spans="1:13" x14ac:dyDescent="0.25">
      <c r="A5336" s="4" t="s">
        <v>5375</v>
      </c>
      <c r="B5336" s="4" t="s">
        <v>5376</v>
      </c>
      <c r="C5336" s="4" t="s">
        <v>65</v>
      </c>
      <c r="D5336" s="10">
        <v>579</v>
      </c>
      <c r="E5336" s="12" t="s">
        <v>66</v>
      </c>
      <c r="F5336" s="10">
        <v>20000</v>
      </c>
      <c r="G5336" s="10">
        <v>0</v>
      </c>
      <c r="H5336" s="10">
        <f t="shared" si="83"/>
        <v>20000</v>
      </c>
      <c r="I5336" s="10">
        <v>121.2121212121212</v>
      </c>
      <c r="J5336" s="10">
        <v>121.2121212121212</v>
      </c>
      <c r="K5336" s="10">
        <v>121.2121212121212</v>
      </c>
      <c r="L5336" s="4"/>
      <c r="M5336" s="4">
        <v>5331</v>
      </c>
    </row>
    <row r="5337" spans="1:13" x14ac:dyDescent="0.25">
      <c r="A5337" s="4" t="s">
        <v>5377</v>
      </c>
      <c r="B5337" s="4" t="s">
        <v>5378</v>
      </c>
      <c r="C5337" s="4" t="s">
        <v>65</v>
      </c>
      <c r="D5337" s="10"/>
      <c r="E5337" s="11" t="s">
        <v>51</v>
      </c>
      <c r="F5337" s="10"/>
      <c r="G5337" s="10">
        <v>0</v>
      </c>
      <c r="H5337" s="10">
        <f t="shared" si="83"/>
        <v>0</v>
      </c>
      <c r="I5337" s="10"/>
      <c r="J5337" s="10"/>
      <c r="K5337" s="10"/>
      <c r="L5337" s="4" t="s">
        <v>69</v>
      </c>
      <c r="M5337" s="4">
        <v>5332</v>
      </c>
    </row>
    <row r="5338" spans="1:13" x14ac:dyDescent="0.25">
      <c r="A5338" s="4" t="s">
        <v>5377</v>
      </c>
      <c r="B5338" s="4" t="s">
        <v>5379</v>
      </c>
      <c r="C5338" s="4" t="s">
        <v>65</v>
      </c>
      <c r="D5338" s="10">
        <v>249</v>
      </c>
      <c r="E5338" s="12" t="s">
        <v>66</v>
      </c>
      <c r="F5338" s="10">
        <v>27195.4</v>
      </c>
      <c r="G5338" s="10">
        <v>0</v>
      </c>
      <c r="H5338" s="10">
        <f t="shared" si="83"/>
        <v>27195.4</v>
      </c>
      <c r="I5338" s="10">
        <v>109.21847389558231</v>
      </c>
      <c r="J5338" s="10">
        <v>109.21847389558231</v>
      </c>
      <c r="K5338" s="10">
        <v>109.21847389558231</v>
      </c>
      <c r="L5338" s="4"/>
      <c r="M5338" s="4">
        <v>5333</v>
      </c>
    </row>
    <row r="5339" spans="1:13" x14ac:dyDescent="0.25">
      <c r="A5339" s="4" t="s">
        <v>5377</v>
      </c>
      <c r="B5339" s="4" t="s">
        <v>5380</v>
      </c>
      <c r="C5339" s="9" t="s">
        <v>50</v>
      </c>
      <c r="D5339" s="10">
        <v>142</v>
      </c>
      <c r="E5339" s="11" t="s">
        <v>51</v>
      </c>
      <c r="F5339" s="10"/>
      <c r="G5339" s="10">
        <v>0</v>
      </c>
      <c r="H5339" s="10">
        <f t="shared" si="83"/>
        <v>0</v>
      </c>
      <c r="I5339" s="10"/>
      <c r="J5339" s="10"/>
      <c r="K5339" s="10"/>
      <c r="L5339" s="4" t="s">
        <v>52</v>
      </c>
      <c r="M5339" s="4">
        <v>5334</v>
      </c>
    </row>
    <row r="5340" spans="1:13" x14ac:dyDescent="0.25">
      <c r="A5340" s="4" t="s">
        <v>5381</v>
      </c>
      <c r="B5340" s="4" t="s">
        <v>2724</v>
      </c>
      <c r="C5340" s="4" t="s">
        <v>65</v>
      </c>
      <c r="D5340" s="10">
        <v>92.25</v>
      </c>
      <c r="E5340" s="12" t="s">
        <v>66</v>
      </c>
      <c r="F5340" s="10">
        <v>8500</v>
      </c>
      <c r="G5340" s="10">
        <v>0</v>
      </c>
      <c r="H5340" s="10">
        <f t="shared" si="83"/>
        <v>8500</v>
      </c>
      <c r="I5340" s="10">
        <v>119.7183098591549</v>
      </c>
      <c r="J5340" s="10">
        <v>119.7183098591549</v>
      </c>
      <c r="K5340" s="10">
        <v>119.7183098591549</v>
      </c>
      <c r="L5340" s="4"/>
      <c r="M5340" s="4">
        <v>5335</v>
      </c>
    </row>
    <row r="5341" spans="1:13" x14ac:dyDescent="0.25">
      <c r="A5341" s="4" t="s">
        <v>5382</v>
      </c>
      <c r="B5341" s="4" t="s">
        <v>846</v>
      </c>
      <c r="C5341" s="4" t="s">
        <v>65</v>
      </c>
      <c r="D5341" s="10">
        <v>36.25</v>
      </c>
      <c r="E5341" s="12" t="s">
        <v>66</v>
      </c>
      <c r="F5341" s="10">
        <v>2450</v>
      </c>
      <c r="G5341" s="10">
        <v>0</v>
      </c>
      <c r="H5341" s="10">
        <f t="shared" si="83"/>
        <v>2450</v>
      </c>
      <c r="I5341" s="10">
        <v>115.2941176470588</v>
      </c>
      <c r="J5341" s="10">
        <v>115.2941176470588</v>
      </c>
      <c r="K5341" s="10">
        <v>115.2941176470588</v>
      </c>
      <c r="L5341" s="4"/>
      <c r="M5341" s="4">
        <v>5336</v>
      </c>
    </row>
    <row r="5342" spans="1:13" x14ac:dyDescent="0.25">
      <c r="A5342" s="4" t="s">
        <v>5383</v>
      </c>
      <c r="B5342" s="4" t="s">
        <v>5384</v>
      </c>
      <c r="C5342" s="4" t="s">
        <v>65</v>
      </c>
      <c r="D5342" s="10">
        <v>7.5</v>
      </c>
      <c r="E5342" s="12" t="s">
        <v>66</v>
      </c>
      <c r="F5342" s="10">
        <v>1100</v>
      </c>
      <c r="G5342" s="10">
        <v>0</v>
      </c>
      <c r="H5342" s="10">
        <f t="shared" si="83"/>
        <v>1100</v>
      </c>
      <c r="I5342" s="10">
        <v>146.66666666666671</v>
      </c>
      <c r="J5342" s="10">
        <v>146.66666666666671</v>
      </c>
      <c r="K5342" s="10">
        <v>146.66666666666671</v>
      </c>
      <c r="L5342" s="4"/>
      <c r="M5342" s="4">
        <v>5337</v>
      </c>
    </row>
    <row r="5343" spans="1:13" x14ac:dyDescent="0.25">
      <c r="A5343" s="4" t="s">
        <v>5383</v>
      </c>
      <c r="B5343" s="4" t="s">
        <v>5385</v>
      </c>
      <c r="C5343" s="4" t="s">
        <v>65</v>
      </c>
      <c r="D5343" s="10">
        <v>72</v>
      </c>
      <c r="E5343" s="11" t="s">
        <v>51</v>
      </c>
      <c r="F5343" s="10"/>
      <c r="G5343" s="10">
        <v>0</v>
      </c>
      <c r="H5343" s="10">
        <f t="shared" si="83"/>
        <v>0</v>
      </c>
      <c r="I5343" s="10"/>
      <c r="J5343" s="10"/>
      <c r="K5343" s="10"/>
      <c r="L5343" s="4" t="s">
        <v>69</v>
      </c>
      <c r="M5343" s="4">
        <v>5338</v>
      </c>
    </row>
    <row r="5344" spans="1:13" x14ac:dyDescent="0.25">
      <c r="A5344" s="4" t="s">
        <v>5386</v>
      </c>
      <c r="B5344" s="4" t="s">
        <v>5387</v>
      </c>
      <c r="C5344" s="4" t="s">
        <v>65</v>
      </c>
      <c r="D5344" s="10">
        <v>36</v>
      </c>
      <c r="E5344" s="12" t="s">
        <v>66</v>
      </c>
      <c r="F5344" s="10">
        <v>4500</v>
      </c>
      <c r="G5344" s="10">
        <v>0</v>
      </c>
      <c r="H5344" s="10">
        <f t="shared" si="83"/>
        <v>4500</v>
      </c>
      <c r="I5344" s="10">
        <v>125</v>
      </c>
      <c r="J5344" s="10">
        <v>125</v>
      </c>
      <c r="K5344" s="10">
        <v>125</v>
      </c>
      <c r="L5344" s="4"/>
      <c r="M5344" s="4">
        <v>5339</v>
      </c>
    </row>
    <row r="5345" spans="1:13" x14ac:dyDescent="0.25">
      <c r="A5345" s="4" t="s">
        <v>5386</v>
      </c>
      <c r="B5345" s="4" t="s">
        <v>5388</v>
      </c>
      <c r="C5345" s="9" t="s">
        <v>50</v>
      </c>
      <c r="D5345" s="10">
        <v>78</v>
      </c>
      <c r="E5345" s="11" t="s">
        <v>51</v>
      </c>
      <c r="F5345" s="10"/>
      <c r="G5345" s="10">
        <v>0</v>
      </c>
      <c r="H5345" s="10">
        <f t="shared" si="83"/>
        <v>0</v>
      </c>
      <c r="I5345" s="10"/>
      <c r="J5345" s="10"/>
      <c r="K5345" s="10"/>
      <c r="L5345" s="4" t="s">
        <v>52</v>
      </c>
      <c r="M5345" s="4">
        <v>5340</v>
      </c>
    </row>
    <row r="5346" spans="1:13" x14ac:dyDescent="0.25">
      <c r="A5346" s="4" t="s">
        <v>5389</v>
      </c>
      <c r="B5346" s="4" t="s">
        <v>5387</v>
      </c>
      <c r="C5346" s="4" t="s">
        <v>65</v>
      </c>
      <c r="D5346" s="10">
        <v>36</v>
      </c>
      <c r="E5346" s="12" t="s">
        <v>66</v>
      </c>
      <c r="F5346" s="10">
        <v>4500</v>
      </c>
      <c r="G5346" s="10">
        <v>0</v>
      </c>
      <c r="H5346" s="10">
        <f t="shared" si="83"/>
        <v>4500</v>
      </c>
      <c r="I5346" s="10">
        <v>125</v>
      </c>
      <c r="J5346" s="10">
        <v>125</v>
      </c>
      <c r="K5346" s="10">
        <v>125</v>
      </c>
      <c r="L5346" s="4"/>
      <c r="M5346" s="4">
        <v>5341</v>
      </c>
    </row>
    <row r="5347" spans="1:13" x14ac:dyDescent="0.25">
      <c r="A5347" s="4" t="s">
        <v>5389</v>
      </c>
      <c r="B5347" s="4" t="s">
        <v>5390</v>
      </c>
      <c r="C5347" s="4" t="s">
        <v>65</v>
      </c>
      <c r="D5347" s="10">
        <v>3</v>
      </c>
      <c r="E5347" s="11" t="s">
        <v>51</v>
      </c>
      <c r="F5347" s="10"/>
      <c r="G5347" s="10">
        <v>0</v>
      </c>
      <c r="H5347" s="10">
        <f t="shared" si="83"/>
        <v>0</v>
      </c>
      <c r="I5347" s="10">
        <v>0</v>
      </c>
      <c r="J5347" s="10">
        <v>0</v>
      </c>
      <c r="K5347" s="10">
        <v>0</v>
      </c>
      <c r="L5347" s="4" t="s">
        <v>69</v>
      </c>
      <c r="M5347" s="4">
        <v>5342</v>
      </c>
    </row>
    <row r="5348" spans="1:13" x14ac:dyDescent="0.25">
      <c r="A5348" s="4" t="s">
        <v>5389</v>
      </c>
      <c r="B5348" s="4" t="s">
        <v>5388</v>
      </c>
      <c r="C5348" s="9" t="s">
        <v>50</v>
      </c>
      <c r="D5348" s="10">
        <v>4</v>
      </c>
      <c r="E5348" s="11" t="s">
        <v>51</v>
      </c>
      <c r="F5348" s="10"/>
      <c r="G5348" s="10">
        <v>0</v>
      </c>
      <c r="H5348" s="10">
        <f t="shared" si="83"/>
        <v>0</v>
      </c>
      <c r="I5348" s="10"/>
      <c r="J5348" s="10"/>
      <c r="K5348" s="10"/>
      <c r="L5348" s="4" t="s">
        <v>52</v>
      </c>
      <c r="M5348" s="4">
        <v>5343</v>
      </c>
    </row>
    <row r="5349" spans="1:13" x14ac:dyDescent="0.25">
      <c r="A5349" s="4" t="s">
        <v>5391</v>
      </c>
      <c r="B5349" s="4" t="s">
        <v>5392</v>
      </c>
      <c r="C5349" s="9" t="s">
        <v>50</v>
      </c>
      <c r="D5349" s="10"/>
      <c r="E5349" s="11" t="s">
        <v>51</v>
      </c>
      <c r="F5349" s="10">
        <v>234</v>
      </c>
      <c r="G5349" s="10">
        <v>0</v>
      </c>
      <c r="H5349" s="10">
        <f t="shared" si="83"/>
        <v>234</v>
      </c>
      <c r="I5349" s="10"/>
      <c r="J5349" s="10"/>
      <c r="K5349" s="10"/>
      <c r="L5349" s="4" t="s">
        <v>52</v>
      </c>
      <c r="M5349" s="4">
        <v>5344</v>
      </c>
    </row>
    <row r="5350" spans="1:13" x14ac:dyDescent="0.25">
      <c r="A5350" s="4" t="s">
        <v>5391</v>
      </c>
      <c r="B5350" s="4" t="s">
        <v>5393</v>
      </c>
      <c r="C5350" s="9" t="s">
        <v>50</v>
      </c>
      <c r="D5350" s="10"/>
      <c r="E5350" s="11" t="s">
        <v>51</v>
      </c>
      <c r="F5350" s="10">
        <v>72</v>
      </c>
      <c r="G5350" s="10">
        <v>0</v>
      </c>
      <c r="H5350" s="10">
        <f t="shared" si="83"/>
        <v>72</v>
      </c>
      <c r="I5350" s="10"/>
      <c r="J5350" s="10"/>
      <c r="K5350" s="10"/>
      <c r="L5350" s="4" t="s">
        <v>52</v>
      </c>
      <c r="M5350" s="4">
        <v>5345</v>
      </c>
    </row>
    <row r="5351" spans="1:13" x14ac:dyDescent="0.25">
      <c r="A5351" s="4" t="s">
        <v>5391</v>
      </c>
      <c r="B5351" s="4" t="s">
        <v>5394</v>
      </c>
      <c r="C5351" s="9" t="s">
        <v>50</v>
      </c>
      <c r="D5351" s="10">
        <v>2</v>
      </c>
      <c r="E5351" s="11" t="s">
        <v>51</v>
      </c>
      <c r="F5351" s="10">
        <v>180</v>
      </c>
      <c r="G5351" s="10">
        <v>0</v>
      </c>
      <c r="H5351" s="10">
        <f t="shared" si="83"/>
        <v>180</v>
      </c>
      <c r="I5351" s="10"/>
      <c r="J5351" s="10"/>
      <c r="K5351" s="10"/>
      <c r="L5351" s="4" t="s">
        <v>52</v>
      </c>
      <c r="M5351" s="4">
        <v>5346</v>
      </c>
    </row>
    <row r="5352" spans="1:13" x14ac:dyDescent="0.25">
      <c r="A5352" s="4" t="s">
        <v>5391</v>
      </c>
      <c r="B5352" s="4" t="s">
        <v>5395</v>
      </c>
      <c r="C5352" s="9" t="s">
        <v>50</v>
      </c>
      <c r="D5352" s="10"/>
      <c r="E5352" s="11" t="s">
        <v>51</v>
      </c>
      <c r="F5352" s="10">
        <v>65</v>
      </c>
      <c r="G5352" s="10">
        <v>0</v>
      </c>
      <c r="H5352" s="10">
        <f t="shared" si="83"/>
        <v>65</v>
      </c>
      <c r="I5352" s="10"/>
      <c r="J5352" s="10"/>
      <c r="K5352" s="10"/>
      <c r="L5352" s="4" t="s">
        <v>52</v>
      </c>
      <c r="M5352" s="4">
        <v>5347</v>
      </c>
    </row>
    <row r="5353" spans="1:13" x14ac:dyDescent="0.25">
      <c r="A5353" s="4" t="s">
        <v>5391</v>
      </c>
      <c r="B5353" s="4" t="s">
        <v>5396</v>
      </c>
      <c r="C5353" s="9" t="s">
        <v>50</v>
      </c>
      <c r="D5353" s="10"/>
      <c r="E5353" s="11" t="s">
        <v>51</v>
      </c>
      <c r="F5353" s="10">
        <v>40</v>
      </c>
      <c r="G5353" s="10">
        <v>0</v>
      </c>
      <c r="H5353" s="10">
        <f t="shared" si="83"/>
        <v>40</v>
      </c>
      <c r="I5353" s="10"/>
      <c r="J5353" s="10"/>
      <c r="K5353" s="10"/>
      <c r="L5353" s="4" t="s">
        <v>52</v>
      </c>
      <c r="M5353" s="4">
        <v>5348</v>
      </c>
    </row>
    <row r="5354" spans="1:13" x14ac:dyDescent="0.25">
      <c r="A5354" s="4" t="s">
        <v>5391</v>
      </c>
      <c r="B5354" s="4" t="s">
        <v>5397</v>
      </c>
      <c r="C5354" s="9" t="s">
        <v>50</v>
      </c>
      <c r="D5354" s="10">
        <v>16</v>
      </c>
      <c r="E5354" s="11" t="s">
        <v>51</v>
      </c>
      <c r="F5354" s="10">
        <v>221</v>
      </c>
      <c r="G5354" s="10">
        <v>0</v>
      </c>
      <c r="H5354" s="10">
        <f t="shared" si="83"/>
        <v>221</v>
      </c>
      <c r="I5354" s="10"/>
      <c r="J5354" s="10"/>
      <c r="K5354" s="10"/>
      <c r="L5354" s="4" t="s">
        <v>52</v>
      </c>
      <c r="M5354" s="4">
        <v>5349</v>
      </c>
    </row>
    <row r="5355" spans="1:13" x14ac:dyDescent="0.25">
      <c r="A5355" s="4" t="s">
        <v>5398</v>
      </c>
      <c r="B5355" s="4" t="s">
        <v>5399</v>
      </c>
      <c r="C5355" s="4" t="s">
        <v>68</v>
      </c>
      <c r="D5355" s="10">
        <v>36</v>
      </c>
      <c r="E5355" s="11" t="s">
        <v>51</v>
      </c>
      <c r="F5355" s="10">
        <v>600</v>
      </c>
      <c r="G5355" s="10">
        <v>0</v>
      </c>
      <c r="H5355" s="10">
        <f t="shared" si="83"/>
        <v>600</v>
      </c>
      <c r="I5355" s="10"/>
      <c r="J5355" s="10"/>
      <c r="K5355" s="10"/>
      <c r="L5355" s="4" t="s">
        <v>69</v>
      </c>
      <c r="M5355" s="4">
        <v>5350</v>
      </c>
    </row>
    <row r="5356" spans="1:13" x14ac:dyDescent="0.25">
      <c r="A5356" s="4" t="s">
        <v>5400</v>
      </c>
      <c r="B5356" s="4" t="s">
        <v>5401</v>
      </c>
      <c r="C5356" s="4" t="s">
        <v>65</v>
      </c>
      <c r="D5356" s="10">
        <v>18</v>
      </c>
      <c r="E5356" s="12" t="s">
        <v>66</v>
      </c>
      <c r="F5356" s="10">
        <v>2400</v>
      </c>
      <c r="G5356" s="10">
        <v>0</v>
      </c>
      <c r="H5356" s="10">
        <f t="shared" si="83"/>
        <v>2400</v>
      </c>
      <c r="I5356" s="10">
        <v>133.33333333333329</v>
      </c>
      <c r="J5356" s="10">
        <v>133.33333333333329</v>
      </c>
      <c r="K5356" s="10">
        <v>133.33333333333329</v>
      </c>
      <c r="L5356" s="4"/>
      <c r="M5356" s="4">
        <v>5351</v>
      </c>
    </row>
    <row r="5357" spans="1:13" x14ac:dyDescent="0.25">
      <c r="A5357" s="4" t="s">
        <v>5400</v>
      </c>
      <c r="B5357" s="4" t="s">
        <v>5402</v>
      </c>
      <c r="C5357" s="9" t="s">
        <v>50</v>
      </c>
      <c r="D5357" s="10">
        <v>154</v>
      </c>
      <c r="E5357" s="11" t="s">
        <v>51</v>
      </c>
      <c r="F5357" s="10">
        <v>120</v>
      </c>
      <c r="G5357" s="10">
        <v>0</v>
      </c>
      <c r="H5357" s="10">
        <f t="shared" si="83"/>
        <v>120</v>
      </c>
      <c r="I5357" s="10"/>
      <c r="J5357" s="10"/>
      <c r="K5357" s="10"/>
      <c r="L5357" s="4" t="s">
        <v>52</v>
      </c>
      <c r="M5357" s="4">
        <v>5352</v>
      </c>
    </row>
    <row r="5358" spans="1:13" x14ac:dyDescent="0.25">
      <c r="A5358" s="4" t="s">
        <v>5403</v>
      </c>
      <c r="B5358" s="4" t="s">
        <v>5404</v>
      </c>
      <c r="C5358" s="4" t="s">
        <v>65</v>
      </c>
      <c r="D5358" s="10">
        <v>77</v>
      </c>
      <c r="E5358" s="12" t="s">
        <v>66</v>
      </c>
      <c r="F5358" s="10">
        <v>10000</v>
      </c>
      <c r="G5358" s="10">
        <v>0</v>
      </c>
      <c r="H5358" s="10">
        <f t="shared" si="83"/>
        <v>10000</v>
      </c>
      <c r="I5358" s="10">
        <v>129.87012987012989</v>
      </c>
      <c r="J5358" s="10">
        <v>129.87012987012989</v>
      </c>
      <c r="K5358" s="10">
        <v>129.87012987012989</v>
      </c>
      <c r="L5358" s="4"/>
      <c r="M5358" s="4">
        <v>5353</v>
      </c>
    </row>
    <row r="5359" spans="1:13" x14ac:dyDescent="0.25">
      <c r="A5359" s="4" t="s">
        <v>5403</v>
      </c>
      <c r="B5359" s="4" t="s">
        <v>5405</v>
      </c>
      <c r="C5359" s="9" t="s">
        <v>50</v>
      </c>
      <c r="D5359" s="10"/>
      <c r="E5359" s="11" t="s">
        <v>51</v>
      </c>
      <c r="F5359" s="10"/>
      <c r="G5359" s="10">
        <v>0</v>
      </c>
      <c r="H5359" s="10">
        <f t="shared" si="83"/>
        <v>0</v>
      </c>
      <c r="I5359" s="10"/>
      <c r="J5359" s="10"/>
      <c r="K5359" s="10"/>
      <c r="L5359" s="4" t="s">
        <v>52</v>
      </c>
      <c r="M5359" s="4">
        <v>5354</v>
      </c>
    </row>
    <row r="5360" spans="1:13" x14ac:dyDescent="0.25">
      <c r="A5360" s="4" t="s">
        <v>5406</v>
      </c>
      <c r="B5360" s="4" t="s">
        <v>5407</v>
      </c>
      <c r="C5360" s="4" t="s">
        <v>65</v>
      </c>
      <c r="D5360" s="10"/>
      <c r="E5360" s="11" t="s">
        <v>51</v>
      </c>
      <c r="F5360" s="10">
        <v>4550</v>
      </c>
      <c r="G5360" s="10">
        <v>0</v>
      </c>
      <c r="H5360" s="10">
        <f t="shared" si="83"/>
        <v>4550</v>
      </c>
      <c r="I5360" s="10"/>
      <c r="J5360" s="10"/>
      <c r="K5360" s="10"/>
      <c r="L5360" s="4" t="s">
        <v>69</v>
      </c>
      <c r="M5360" s="4">
        <v>5355</v>
      </c>
    </row>
    <row r="5361" spans="1:13" x14ac:dyDescent="0.25">
      <c r="A5361" s="4" t="s">
        <v>5406</v>
      </c>
      <c r="B5361" s="4" t="s">
        <v>4510</v>
      </c>
      <c r="C5361" s="4" t="s">
        <v>65</v>
      </c>
      <c r="D5361" s="10"/>
      <c r="E5361" s="11" t="s">
        <v>51</v>
      </c>
      <c r="F5361" s="10">
        <v>2000</v>
      </c>
      <c r="G5361" s="10">
        <v>0</v>
      </c>
      <c r="H5361" s="10">
        <f t="shared" si="83"/>
        <v>2000</v>
      </c>
      <c r="I5361" s="10"/>
      <c r="J5361" s="10"/>
      <c r="K5361" s="10"/>
      <c r="L5361" s="4" t="s">
        <v>69</v>
      </c>
      <c r="M5361" s="4">
        <v>5356</v>
      </c>
    </row>
    <row r="5362" spans="1:13" x14ac:dyDescent="0.25">
      <c r="A5362" s="4" t="s">
        <v>5406</v>
      </c>
      <c r="B5362" s="4" t="s">
        <v>5408</v>
      </c>
      <c r="C5362" s="4" t="s">
        <v>65</v>
      </c>
      <c r="D5362" s="10"/>
      <c r="E5362" s="11" t="s">
        <v>51</v>
      </c>
      <c r="F5362" s="10">
        <v>450</v>
      </c>
      <c r="G5362" s="10">
        <v>0</v>
      </c>
      <c r="H5362" s="10">
        <f t="shared" si="83"/>
        <v>450</v>
      </c>
      <c r="I5362" s="10"/>
      <c r="J5362" s="10"/>
      <c r="K5362" s="10"/>
      <c r="L5362" s="4" t="s">
        <v>69</v>
      </c>
      <c r="M5362" s="4">
        <v>5357</v>
      </c>
    </row>
    <row r="5363" spans="1:13" x14ac:dyDescent="0.25">
      <c r="A5363" s="4" t="s">
        <v>5409</v>
      </c>
      <c r="B5363" s="4" t="s">
        <v>5410</v>
      </c>
      <c r="C5363" s="9" t="s">
        <v>50</v>
      </c>
      <c r="D5363" s="10"/>
      <c r="E5363" s="11" t="s">
        <v>51</v>
      </c>
      <c r="F5363" s="10">
        <v>5200</v>
      </c>
      <c r="G5363" s="10">
        <v>0</v>
      </c>
      <c r="H5363" s="10">
        <f t="shared" si="83"/>
        <v>5200</v>
      </c>
      <c r="I5363" s="10"/>
      <c r="J5363" s="10"/>
      <c r="K5363" s="10"/>
      <c r="L5363" s="4" t="s">
        <v>52</v>
      </c>
      <c r="M5363" s="4">
        <v>5358</v>
      </c>
    </row>
    <row r="5364" spans="1:13" x14ac:dyDescent="0.25">
      <c r="A5364" s="4" t="s">
        <v>5409</v>
      </c>
      <c r="B5364" s="4" t="s">
        <v>5411</v>
      </c>
      <c r="C5364" s="9" t="s">
        <v>50</v>
      </c>
      <c r="D5364" s="10"/>
      <c r="E5364" s="11" t="s">
        <v>51</v>
      </c>
      <c r="F5364" s="10">
        <v>450</v>
      </c>
      <c r="G5364" s="10">
        <v>0</v>
      </c>
      <c r="H5364" s="10">
        <f t="shared" si="83"/>
        <v>450</v>
      </c>
      <c r="I5364" s="10"/>
      <c r="J5364" s="10"/>
      <c r="K5364" s="10"/>
      <c r="L5364" s="4" t="s">
        <v>52</v>
      </c>
      <c r="M5364" s="4">
        <v>5359</v>
      </c>
    </row>
    <row r="5365" spans="1:13" x14ac:dyDescent="0.25">
      <c r="A5365" s="4" t="s">
        <v>5412</v>
      </c>
      <c r="B5365" s="4" t="s">
        <v>1809</v>
      </c>
      <c r="C5365" s="4" t="s">
        <v>65</v>
      </c>
      <c r="D5365" s="10">
        <v>23</v>
      </c>
      <c r="E5365" s="11" t="s">
        <v>51</v>
      </c>
      <c r="F5365" s="10"/>
      <c r="G5365" s="10">
        <v>0</v>
      </c>
      <c r="H5365" s="10">
        <f t="shared" si="83"/>
        <v>0</v>
      </c>
      <c r="I5365" s="10"/>
      <c r="J5365" s="10"/>
      <c r="K5365" s="10"/>
      <c r="L5365" s="4" t="s">
        <v>69</v>
      </c>
      <c r="M5365" s="4">
        <v>5360</v>
      </c>
    </row>
    <row r="5366" spans="1:13" x14ac:dyDescent="0.25">
      <c r="A5366" s="4" t="s">
        <v>5413</v>
      </c>
      <c r="B5366" s="4" t="s">
        <v>1809</v>
      </c>
      <c r="C5366" s="4" t="s">
        <v>65</v>
      </c>
      <c r="D5366" s="10">
        <v>23</v>
      </c>
      <c r="E5366" s="12" t="s">
        <v>66</v>
      </c>
      <c r="F5366" s="10">
        <v>2700</v>
      </c>
      <c r="G5366" s="10">
        <v>0</v>
      </c>
      <c r="H5366" s="10">
        <f t="shared" si="83"/>
        <v>2700</v>
      </c>
      <c r="I5366" s="10">
        <v>117.39130434782609</v>
      </c>
      <c r="J5366" s="10">
        <v>117.39130434782609</v>
      </c>
      <c r="K5366" s="10">
        <v>117.39130434782609</v>
      </c>
      <c r="L5366" s="4"/>
      <c r="M5366" s="4">
        <v>5361</v>
      </c>
    </row>
    <row r="5367" spans="1:13" x14ac:dyDescent="0.25">
      <c r="A5367" s="4" t="s">
        <v>5414</v>
      </c>
      <c r="B5367" s="4" t="s">
        <v>5415</v>
      </c>
      <c r="C5367" s="9" t="s">
        <v>50</v>
      </c>
      <c r="D5367" s="10">
        <v>67</v>
      </c>
      <c r="E5367" s="11" t="s">
        <v>51</v>
      </c>
      <c r="F5367" s="10">
        <v>8264.7999999999993</v>
      </c>
      <c r="G5367" s="10">
        <v>0</v>
      </c>
      <c r="H5367" s="10">
        <f t="shared" si="83"/>
        <v>8264.7999999999993</v>
      </c>
      <c r="I5367" s="10"/>
      <c r="J5367" s="10"/>
      <c r="K5367" s="10"/>
      <c r="L5367" s="4" t="s">
        <v>52</v>
      </c>
      <c r="M5367" s="4">
        <v>5362</v>
      </c>
    </row>
    <row r="5368" spans="1:13" x14ac:dyDescent="0.25">
      <c r="A5368" s="4" t="s">
        <v>5414</v>
      </c>
      <c r="B5368" s="4" t="s">
        <v>5416</v>
      </c>
      <c r="C5368" s="9" t="s">
        <v>50</v>
      </c>
      <c r="D5368" s="10">
        <v>289</v>
      </c>
      <c r="E5368" s="11" t="s">
        <v>51</v>
      </c>
      <c r="F5368" s="10">
        <v>35330.92</v>
      </c>
      <c r="G5368" s="10">
        <v>0</v>
      </c>
      <c r="H5368" s="10">
        <f t="shared" si="83"/>
        <v>35330.92</v>
      </c>
      <c r="I5368" s="10"/>
      <c r="J5368" s="10"/>
      <c r="K5368" s="10"/>
      <c r="L5368" s="4" t="s">
        <v>52</v>
      </c>
      <c r="M5368" s="4">
        <v>5363</v>
      </c>
    </row>
    <row r="5369" spans="1:13" x14ac:dyDescent="0.25">
      <c r="A5369" s="4" t="s">
        <v>5414</v>
      </c>
      <c r="B5369" s="4" t="s">
        <v>5417</v>
      </c>
      <c r="C5369" s="9" t="s">
        <v>50</v>
      </c>
      <c r="D5369" s="10"/>
      <c r="E5369" s="11" t="s">
        <v>51</v>
      </c>
      <c r="F5369" s="10"/>
      <c r="G5369" s="10">
        <v>0</v>
      </c>
      <c r="H5369" s="10">
        <f t="shared" si="83"/>
        <v>0</v>
      </c>
      <c r="I5369" s="10"/>
      <c r="J5369" s="10"/>
      <c r="K5369" s="10"/>
      <c r="L5369" s="4" t="s">
        <v>52</v>
      </c>
      <c r="M5369" s="4">
        <v>5364</v>
      </c>
    </row>
    <row r="5370" spans="1:13" x14ac:dyDescent="0.25">
      <c r="A5370" s="4" t="s">
        <v>5414</v>
      </c>
      <c r="B5370" s="4" t="s">
        <v>5418</v>
      </c>
      <c r="C5370" s="9" t="s">
        <v>50</v>
      </c>
      <c r="D5370" s="10"/>
      <c r="E5370" s="11" t="s">
        <v>51</v>
      </c>
      <c r="F5370" s="10"/>
      <c r="G5370" s="10">
        <v>0</v>
      </c>
      <c r="H5370" s="10">
        <f t="shared" si="83"/>
        <v>0</v>
      </c>
      <c r="I5370" s="10"/>
      <c r="J5370" s="10"/>
      <c r="K5370" s="10"/>
      <c r="L5370" s="4" t="s">
        <v>52</v>
      </c>
      <c r="M5370" s="4">
        <v>5365</v>
      </c>
    </row>
    <row r="5371" spans="1:13" x14ac:dyDescent="0.25">
      <c r="A5371" s="4" t="s">
        <v>5414</v>
      </c>
      <c r="B5371" s="4" t="s">
        <v>5419</v>
      </c>
      <c r="C5371" s="9" t="s">
        <v>50</v>
      </c>
      <c r="D5371" s="10">
        <v>174</v>
      </c>
      <c r="E5371" s="11" t="s">
        <v>51</v>
      </c>
      <c r="F5371" s="10"/>
      <c r="G5371" s="10">
        <v>0</v>
      </c>
      <c r="H5371" s="10">
        <f t="shared" si="83"/>
        <v>0</v>
      </c>
      <c r="I5371" s="10"/>
      <c r="J5371" s="10"/>
      <c r="K5371" s="10"/>
      <c r="L5371" s="4" t="s">
        <v>52</v>
      </c>
      <c r="M5371" s="4">
        <v>5366</v>
      </c>
    </row>
    <row r="5372" spans="1:13" x14ac:dyDescent="0.25">
      <c r="A5372" s="4" t="s">
        <v>5420</v>
      </c>
      <c r="B5372" s="4" t="s">
        <v>5421</v>
      </c>
      <c r="C5372" s="9" t="s">
        <v>50</v>
      </c>
      <c r="D5372" s="10">
        <v>23</v>
      </c>
      <c r="E5372" s="11" t="s">
        <v>51</v>
      </c>
      <c r="F5372" s="10">
        <v>2922.11</v>
      </c>
      <c r="G5372" s="10">
        <v>0</v>
      </c>
      <c r="H5372" s="10">
        <f t="shared" si="83"/>
        <v>2922.11</v>
      </c>
      <c r="I5372" s="10"/>
      <c r="J5372" s="10"/>
      <c r="K5372" s="10"/>
      <c r="L5372" s="4" t="s">
        <v>52</v>
      </c>
      <c r="M5372" s="4">
        <v>5367</v>
      </c>
    </row>
    <row r="5373" spans="1:13" x14ac:dyDescent="0.25">
      <c r="A5373" s="4" t="s">
        <v>5420</v>
      </c>
      <c r="B5373" s="4" t="s">
        <v>5422</v>
      </c>
      <c r="C5373" s="9" t="s">
        <v>50</v>
      </c>
      <c r="D5373" s="10">
        <v>151</v>
      </c>
      <c r="E5373" s="11" t="s">
        <v>51</v>
      </c>
      <c r="F5373" s="10">
        <v>17908.02</v>
      </c>
      <c r="G5373" s="10">
        <v>0</v>
      </c>
      <c r="H5373" s="10">
        <f t="shared" si="83"/>
        <v>17908.02</v>
      </c>
      <c r="I5373" s="10"/>
      <c r="J5373" s="10"/>
      <c r="K5373" s="10"/>
      <c r="L5373" s="4" t="s">
        <v>52</v>
      </c>
      <c r="M5373" s="4">
        <v>5368</v>
      </c>
    </row>
    <row r="5374" spans="1:13" x14ac:dyDescent="0.25">
      <c r="A5374" s="4" t="s">
        <v>5420</v>
      </c>
      <c r="B5374" s="4" t="s">
        <v>5423</v>
      </c>
      <c r="C5374" s="9" t="s">
        <v>50</v>
      </c>
      <c r="D5374" s="10"/>
      <c r="E5374" s="11" t="s">
        <v>51</v>
      </c>
      <c r="F5374" s="10"/>
      <c r="G5374" s="10">
        <v>0</v>
      </c>
      <c r="H5374" s="10">
        <f t="shared" si="83"/>
        <v>0</v>
      </c>
      <c r="I5374" s="10"/>
      <c r="J5374" s="10"/>
      <c r="K5374" s="10"/>
      <c r="L5374" s="4" t="s">
        <v>52</v>
      </c>
      <c r="M5374" s="4">
        <v>5369</v>
      </c>
    </row>
    <row r="5375" spans="1:13" x14ac:dyDescent="0.25">
      <c r="A5375" s="4" t="s">
        <v>5420</v>
      </c>
      <c r="B5375" s="4" t="s">
        <v>5424</v>
      </c>
      <c r="C5375" s="9" t="s">
        <v>50</v>
      </c>
      <c r="D5375" s="10"/>
      <c r="E5375" s="11" t="s">
        <v>51</v>
      </c>
      <c r="F5375" s="10"/>
      <c r="G5375" s="10">
        <v>0</v>
      </c>
      <c r="H5375" s="10">
        <f t="shared" si="83"/>
        <v>0</v>
      </c>
      <c r="I5375" s="10"/>
      <c r="J5375" s="10"/>
      <c r="K5375" s="10"/>
      <c r="L5375" s="4" t="s">
        <v>52</v>
      </c>
      <c r="M5375" s="4">
        <v>5370</v>
      </c>
    </row>
    <row r="5376" spans="1:13" x14ac:dyDescent="0.25">
      <c r="A5376" s="4" t="s">
        <v>5420</v>
      </c>
      <c r="B5376" s="4" t="s">
        <v>5425</v>
      </c>
      <c r="C5376" s="9" t="s">
        <v>50</v>
      </c>
      <c r="D5376" s="10"/>
      <c r="E5376" s="11" t="s">
        <v>51</v>
      </c>
      <c r="F5376" s="10"/>
      <c r="G5376" s="10">
        <v>0</v>
      </c>
      <c r="H5376" s="10">
        <f t="shared" si="83"/>
        <v>0</v>
      </c>
      <c r="I5376" s="10"/>
      <c r="J5376" s="10"/>
      <c r="K5376" s="10"/>
      <c r="L5376" s="4" t="s">
        <v>52</v>
      </c>
      <c r="M5376" s="4">
        <v>5371</v>
      </c>
    </row>
    <row r="5377" spans="1:13" x14ac:dyDescent="0.25">
      <c r="A5377" s="4" t="s">
        <v>5426</v>
      </c>
      <c r="B5377" s="4" t="s">
        <v>5427</v>
      </c>
      <c r="C5377" s="4" t="s">
        <v>65</v>
      </c>
      <c r="D5377" s="10"/>
      <c r="E5377" s="11" t="s">
        <v>51</v>
      </c>
      <c r="F5377" s="10">
        <v>2641</v>
      </c>
      <c r="G5377" s="10">
        <v>0</v>
      </c>
      <c r="H5377" s="10">
        <f t="shared" si="83"/>
        <v>2641</v>
      </c>
      <c r="I5377" s="10"/>
      <c r="J5377" s="10"/>
      <c r="K5377" s="10"/>
      <c r="L5377" s="4" t="s">
        <v>69</v>
      </c>
      <c r="M5377" s="4">
        <v>5372</v>
      </c>
    </row>
    <row r="5378" spans="1:13" x14ac:dyDescent="0.25">
      <c r="A5378" s="4" t="s">
        <v>5428</v>
      </c>
      <c r="B5378" s="4" t="s">
        <v>97</v>
      </c>
      <c r="C5378" s="9" t="s">
        <v>50</v>
      </c>
      <c r="D5378" s="10">
        <v>36</v>
      </c>
      <c r="E5378" s="11" t="s">
        <v>51</v>
      </c>
      <c r="F5378" s="10"/>
      <c r="G5378" s="10">
        <v>0</v>
      </c>
      <c r="H5378" s="10">
        <f t="shared" si="83"/>
        <v>0</v>
      </c>
      <c r="I5378" s="10"/>
      <c r="J5378" s="10"/>
      <c r="K5378" s="10"/>
      <c r="L5378" s="4" t="s">
        <v>52</v>
      </c>
      <c r="M5378" s="4">
        <v>5373</v>
      </c>
    </row>
    <row r="5379" spans="1:13" x14ac:dyDescent="0.25">
      <c r="A5379" s="4" t="s">
        <v>5429</v>
      </c>
      <c r="B5379" s="4" t="s">
        <v>5430</v>
      </c>
      <c r="C5379" s="4" t="s">
        <v>65</v>
      </c>
      <c r="D5379" s="10">
        <v>72</v>
      </c>
      <c r="E5379" s="12" t="s">
        <v>66</v>
      </c>
      <c r="F5379" s="10">
        <v>3012</v>
      </c>
      <c r="G5379" s="10">
        <v>0</v>
      </c>
      <c r="H5379" s="10">
        <f t="shared" si="83"/>
        <v>3012</v>
      </c>
      <c r="I5379" s="10">
        <v>83.666666666666671</v>
      </c>
      <c r="J5379" s="10">
        <v>83.666666666666671</v>
      </c>
      <c r="K5379" s="10">
        <v>83.666666666666671</v>
      </c>
      <c r="L5379" s="4"/>
      <c r="M5379" s="4">
        <v>5374</v>
      </c>
    </row>
    <row r="5380" spans="1:13" x14ac:dyDescent="0.25">
      <c r="A5380" s="4" t="s">
        <v>5431</v>
      </c>
      <c r="B5380" s="4" t="s">
        <v>5432</v>
      </c>
      <c r="C5380" s="4" t="s">
        <v>65</v>
      </c>
      <c r="D5380" s="10">
        <v>72</v>
      </c>
      <c r="E5380" s="12" t="s">
        <v>66</v>
      </c>
      <c r="F5380" s="10">
        <v>3012</v>
      </c>
      <c r="G5380" s="10">
        <v>0</v>
      </c>
      <c r="H5380" s="10">
        <f t="shared" si="83"/>
        <v>3012</v>
      </c>
      <c r="I5380" s="10">
        <v>83.666666666666671</v>
      </c>
      <c r="J5380" s="10">
        <v>83.666666666666671</v>
      </c>
      <c r="K5380" s="10">
        <v>83.666666666666671</v>
      </c>
      <c r="L5380" s="4"/>
      <c r="M5380" s="4">
        <v>5375</v>
      </c>
    </row>
    <row r="5381" spans="1:13" x14ac:dyDescent="0.25">
      <c r="A5381" s="4" t="s">
        <v>5433</v>
      </c>
      <c r="B5381" s="4" t="s">
        <v>5430</v>
      </c>
      <c r="C5381" s="4" t="s">
        <v>65</v>
      </c>
      <c r="D5381" s="10">
        <v>72</v>
      </c>
      <c r="E5381" s="12" t="s">
        <v>66</v>
      </c>
      <c r="F5381" s="10">
        <v>3012</v>
      </c>
      <c r="G5381" s="10">
        <v>0</v>
      </c>
      <c r="H5381" s="10">
        <f t="shared" si="83"/>
        <v>3012</v>
      </c>
      <c r="I5381" s="10">
        <v>83.666666666666671</v>
      </c>
      <c r="J5381" s="10">
        <v>83.666666666666671</v>
      </c>
      <c r="K5381" s="10">
        <v>83.666666666666671</v>
      </c>
      <c r="L5381" s="4"/>
      <c r="M5381" s="4">
        <v>5376</v>
      </c>
    </row>
    <row r="5382" spans="1:13" x14ac:dyDescent="0.25">
      <c r="A5382" s="4" t="s">
        <v>5434</v>
      </c>
      <c r="B5382" s="4" t="s">
        <v>5435</v>
      </c>
      <c r="C5382" s="4" t="s">
        <v>68</v>
      </c>
      <c r="D5382" s="10">
        <v>113</v>
      </c>
      <c r="E5382" s="11" t="s">
        <v>51</v>
      </c>
      <c r="F5382" s="10">
        <v>3012</v>
      </c>
      <c r="G5382" s="10">
        <v>0</v>
      </c>
      <c r="H5382" s="10">
        <f t="shared" ref="H5382:H5445" si="84">F5382-G5382</f>
        <v>3012</v>
      </c>
      <c r="I5382" s="10"/>
      <c r="J5382" s="10"/>
      <c r="K5382" s="10"/>
      <c r="L5382" s="4" t="s">
        <v>69</v>
      </c>
      <c r="M5382" s="4">
        <v>5377</v>
      </c>
    </row>
    <row r="5383" spans="1:13" x14ac:dyDescent="0.25">
      <c r="A5383" s="4" t="s">
        <v>5436</v>
      </c>
      <c r="B5383" s="4" t="s">
        <v>5437</v>
      </c>
      <c r="C5383" s="4" t="s">
        <v>65</v>
      </c>
      <c r="D5383" s="10">
        <v>35</v>
      </c>
      <c r="E5383" s="12" t="s">
        <v>66</v>
      </c>
      <c r="F5383" s="10">
        <v>3000</v>
      </c>
      <c r="G5383" s="10">
        <v>0</v>
      </c>
      <c r="H5383" s="10">
        <f t="shared" si="84"/>
        <v>3000</v>
      </c>
      <c r="I5383" s="10">
        <v>85.714285714285708</v>
      </c>
      <c r="J5383" s="10">
        <v>85.714285714285708</v>
      </c>
      <c r="K5383" s="10">
        <v>85.714285714285708</v>
      </c>
      <c r="L5383" s="4"/>
      <c r="M5383" s="4">
        <v>5378</v>
      </c>
    </row>
    <row r="5384" spans="1:13" x14ac:dyDescent="0.25">
      <c r="A5384" s="4" t="s">
        <v>5436</v>
      </c>
      <c r="B5384" s="4" t="s">
        <v>5438</v>
      </c>
      <c r="C5384" s="4" t="s">
        <v>65</v>
      </c>
      <c r="D5384" s="10">
        <v>42</v>
      </c>
      <c r="E5384" s="12" t="s">
        <v>66</v>
      </c>
      <c r="F5384" s="10">
        <v>3500</v>
      </c>
      <c r="G5384" s="10">
        <v>0</v>
      </c>
      <c r="H5384" s="10">
        <f t="shared" si="84"/>
        <v>3500</v>
      </c>
      <c r="I5384" s="10">
        <v>83.333333333333329</v>
      </c>
      <c r="J5384" s="10">
        <v>83.333333333333329</v>
      </c>
      <c r="K5384" s="10">
        <v>83.333333333333329</v>
      </c>
      <c r="L5384" s="4"/>
      <c r="M5384" s="4">
        <v>5379</v>
      </c>
    </row>
    <row r="5385" spans="1:13" x14ac:dyDescent="0.25">
      <c r="A5385" s="4" t="s">
        <v>5436</v>
      </c>
      <c r="B5385" s="4" t="s">
        <v>5439</v>
      </c>
      <c r="C5385" s="4" t="s">
        <v>68</v>
      </c>
      <c r="D5385" s="10"/>
      <c r="E5385" s="11" t="s">
        <v>51</v>
      </c>
      <c r="F5385" s="10"/>
      <c r="G5385" s="10">
        <v>0</v>
      </c>
      <c r="H5385" s="10">
        <f t="shared" si="84"/>
        <v>0</v>
      </c>
      <c r="I5385" s="10"/>
      <c r="J5385" s="10"/>
      <c r="K5385" s="10"/>
      <c r="L5385" s="4" t="s">
        <v>69</v>
      </c>
      <c r="M5385" s="4">
        <v>5380</v>
      </c>
    </row>
    <row r="5386" spans="1:13" x14ac:dyDescent="0.25">
      <c r="A5386" s="4" t="s">
        <v>5440</v>
      </c>
      <c r="B5386" s="4" t="s">
        <v>64</v>
      </c>
      <c r="C5386" s="4" t="s">
        <v>65</v>
      </c>
      <c r="D5386" s="10"/>
      <c r="E5386" s="11" t="s">
        <v>51</v>
      </c>
      <c r="F5386" s="10"/>
      <c r="G5386" s="10">
        <v>0</v>
      </c>
      <c r="H5386" s="10">
        <f t="shared" si="84"/>
        <v>0</v>
      </c>
      <c r="I5386" s="10"/>
      <c r="J5386" s="10"/>
      <c r="K5386" s="10"/>
      <c r="L5386" s="4" t="s">
        <v>69</v>
      </c>
      <c r="M5386" s="4">
        <v>5381</v>
      </c>
    </row>
    <row r="5387" spans="1:13" x14ac:dyDescent="0.25">
      <c r="A5387" s="4" t="s">
        <v>5441</v>
      </c>
      <c r="B5387" s="4" t="s">
        <v>5442</v>
      </c>
      <c r="C5387" s="4" t="s">
        <v>65</v>
      </c>
      <c r="D5387" s="10">
        <v>22</v>
      </c>
      <c r="E5387" s="11" t="s">
        <v>51</v>
      </c>
      <c r="F5387" s="10">
        <v>3900</v>
      </c>
      <c r="G5387" s="10">
        <v>0</v>
      </c>
      <c r="H5387" s="10">
        <f t="shared" si="84"/>
        <v>3900</v>
      </c>
      <c r="I5387" s="10"/>
      <c r="J5387" s="10"/>
      <c r="K5387" s="10"/>
      <c r="L5387" s="4" t="s">
        <v>69</v>
      </c>
      <c r="M5387" s="4">
        <v>5382</v>
      </c>
    </row>
    <row r="5388" spans="1:13" x14ac:dyDescent="0.25">
      <c r="A5388" s="4" t="s">
        <v>5443</v>
      </c>
      <c r="B5388" s="4" t="s">
        <v>5444</v>
      </c>
      <c r="C5388" s="4" t="s">
        <v>68</v>
      </c>
      <c r="D5388" s="10">
        <v>18</v>
      </c>
      <c r="E5388" s="11" t="s">
        <v>51</v>
      </c>
      <c r="F5388" s="10">
        <v>2052</v>
      </c>
      <c r="G5388" s="10">
        <v>0</v>
      </c>
      <c r="H5388" s="10">
        <f t="shared" si="84"/>
        <v>2052</v>
      </c>
      <c r="I5388" s="10"/>
      <c r="J5388" s="10"/>
      <c r="K5388" s="10"/>
      <c r="L5388" s="4" t="s">
        <v>69</v>
      </c>
      <c r="M5388" s="4">
        <v>5383</v>
      </c>
    </row>
    <row r="5389" spans="1:13" x14ac:dyDescent="0.25">
      <c r="A5389" s="4" t="s">
        <v>5443</v>
      </c>
      <c r="B5389" s="4" t="s">
        <v>5445</v>
      </c>
      <c r="C5389" s="4" t="s">
        <v>68</v>
      </c>
      <c r="D5389" s="10">
        <v>24</v>
      </c>
      <c r="E5389" s="11" t="s">
        <v>51</v>
      </c>
      <c r="F5389" s="10">
        <v>284</v>
      </c>
      <c r="G5389" s="10">
        <v>0</v>
      </c>
      <c r="H5389" s="10">
        <f t="shared" si="84"/>
        <v>284</v>
      </c>
      <c r="I5389" s="10"/>
      <c r="J5389" s="10"/>
      <c r="K5389" s="10"/>
      <c r="L5389" s="4" t="s">
        <v>69</v>
      </c>
      <c r="M5389" s="4">
        <v>5384</v>
      </c>
    </row>
    <row r="5390" spans="1:13" x14ac:dyDescent="0.25">
      <c r="A5390" s="4" t="s">
        <v>5446</v>
      </c>
      <c r="B5390" s="4" t="s">
        <v>5447</v>
      </c>
      <c r="C5390" s="4" t="s">
        <v>68</v>
      </c>
      <c r="D5390" s="10"/>
      <c r="E5390" s="11" t="s">
        <v>51</v>
      </c>
      <c r="F5390" s="10"/>
      <c r="G5390" s="10">
        <v>0</v>
      </c>
      <c r="H5390" s="10">
        <f t="shared" si="84"/>
        <v>0</v>
      </c>
      <c r="I5390" s="10"/>
      <c r="J5390" s="10"/>
      <c r="K5390" s="10"/>
      <c r="L5390" s="4" t="s">
        <v>69</v>
      </c>
      <c r="M5390" s="4">
        <v>5385</v>
      </c>
    </row>
    <row r="5391" spans="1:13" x14ac:dyDescent="0.25">
      <c r="A5391" s="4" t="s">
        <v>5446</v>
      </c>
      <c r="B5391" s="4" t="s">
        <v>5448</v>
      </c>
      <c r="C5391" s="4" t="s">
        <v>68</v>
      </c>
      <c r="D5391" s="10"/>
      <c r="E5391" s="11" t="s">
        <v>51</v>
      </c>
      <c r="F5391" s="10">
        <v>1419</v>
      </c>
      <c r="G5391" s="10">
        <v>0</v>
      </c>
      <c r="H5391" s="10">
        <f t="shared" si="84"/>
        <v>1419</v>
      </c>
      <c r="I5391" s="10"/>
      <c r="J5391" s="10"/>
      <c r="K5391" s="10"/>
      <c r="L5391" s="4" t="s">
        <v>69</v>
      </c>
      <c r="M5391" s="4">
        <v>5386</v>
      </c>
    </row>
    <row r="5392" spans="1:13" x14ac:dyDescent="0.25">
      <c r="A5392" s="4" t="s">
        <v>5446</v>
      </c>
      <c r="B5392" s="4" t="s">
        <v>5449</v>
      </c>
      <c r="C5392" s="4" t="s">
        <v>68</v>
      </c>
      <c r="D5392" s="10"/>
      <c r="E5392" s="11" t="s">
        <v>51</v>
      </c>
      <c r="F5392" s="10"/>
      <c r="G5392" s="10">
        <v>0</v>
      </c>
      <c r="H5392" s="10">
        <f t="shared" si="84"/>
        <v>0</v>
      </c>
      <c r="I5392" s="10"/>
      <c r="J5392" s="10"/>
      <c r="K5392" s="10"/>
      <c r="L5392" s="4" t="s">
        <v>69</v>
      </c>
      <c r="M5392" s="4">
        <v>5387</v>
      </c>
    </row>
    <row r="5393" spans="1:13" x14ac:dyDescent="0.25">
      <c r="A5393" s="4" t="s">
        <v>5446</v>
      </c>
      <c r="B5393" s="4" t="s">
        <v>5450</v>
      </c>
      <c r="C5393" s="9" t="s">
        <v>50</v>
      </c>
      <c r="D5393" s="10"/>
      <c r="E5393" s="11" t="s">
        <v>51</v>
      </c>
      <c r="F5393" s="10"/>
      <c r="G5393" s="10">
        <v>0</v>
      </c>
      <c r="H5393" s="10">
        <f t="shared" si="84"/>
        <v>0</v>
      </c>
      <c r="I5393" s="10"/>
      <c r="J5393" s="10"/>
      <c r="K5393" s="10"/>
      <c r="L5393" s="4" t="s">
        <v>52</v>
      </c>
      <c r="M5393" s="4">
        <v>5388</v>
      </c>
    </row>
    <row r="5394" spans="1:13" x14ac:dyDescent="0.25">
      <c r="A5394" s="4" t="s">
        <v>5446</v>
      </c>
      <c r="B5394" s="4" t="s">
        <v>5451</v>
      </c>
      <c r="C5394" s="4" t="s">
        <v>65</v>
      </c>
      <c r="D5394" s="10">
        <v>24</v>
      </c>
      <c r="E5394" s="11" t="s">
        <v>51</v>
      </c>
      <c r="F5394" s="10"/>
      <c r="G5394" s="10">
        <v>0</v>
      </c>
      <c r="H5394" s="10">
        <f t="shared" si="84"/>
        <v>0</v>
      </c>
      <c r="I5394" s="10">
        <v>0</v>
      </c>
      <c r="J5394" s="10">
        <v>0</v>
      </c>
      <c r="K5394" s="10">
        <v>0</v>
      </c>
      <c r="L5394" s="4" t="s">
        <v>69</v>
      </c>
      <c r="M5394" s="4">
        <v>5389</v>
      </c>
    </row>
    <row r="5395" spans="1:13" x14ac:dyDescent="0.25">
      <c r="A5395" s="4" t="s">
        <v>5446</v>
      </c>
      <c r="B5395" s="4" t="s">
        <v>5452</v>
      </c>
      <c r="C5395" s="9" t="s">
        <v>50</v>
      </c>
      <c r="D5395" s="10"/>
      <c r="E5395" s="11" t="s">
        <v>51</v>
      </c>
      <c r="F5395" s="10"/>
      <c r="G5395" s="10">
        <v>0</v>
      </c>
      <c r="H5395" s="10">
        <f t="shared" si="84"/>
        <v>0</v>
      </c>
      <c r="I5395" s="10"/>
      <c r="J5395" s="10"/>
      <c r="K5395" s="10"/>
      <c r="L5395" s="4" t="s">
        <v>52</v>
      </c>
      <c r="M5395" s="4">
        <v>5390</v>
      </c>
    </row>
    <row r="5396" spans="1:13" x14ac:dyDescent="0.25">
      <c r="A5396" s="4" t="s">
        <v>5446</v>
      </c>
      <c r="B5396" s="4" t="s">
        <v>5453</v>
      </c>
      <c r="C5396" s="9" t="s">
        <v>50</v>
      </c>
      <c r="D5396" s="10"/>
      <c r="E5396" s="11" t="s">
        <v>51</v>
      </c>
      <c r="F5396" s="10"/>
      <c r="G5396" s="10">
        <v>0</v>
      </c>
      <c r="H5396" s="10">
        <f t="shared" si="84"/>
        <v>0</v>
      </c>
      <c r="I5396" s="10"/>
      <c r="J5396" s="10"/>
      <c r="K5396" s="10"/>
      <c r="L5396" s="4" t="s">
        <v>52</v>
      </c>
      <c r="M5396" s="4">
        <v>5391</v>
      </c>
    </row>
    <row r="5397" spans="1:13" x14ac:dyDescent="0.25">
      <c r="A5397" s="4" t="s">
        <v>5454</v>
      </c>
      <c r="B5397" s="4" t="s">
        <v>5299</v>
      </c>
      <c r="C5397" s="9" t="s">
        <v>50</v>
      </c>
      <c r="D5397" s="10"/>
      <c r="E5397" s="11" t="s">
        <v>51</v>
      </c>
      <c r="F5397" s="10"/>
      <c r="G5397" s="10">
        <v>0</v>
      </c>
      <c r="H5397" s="10">
        <f t="shared" si="84"/>
        <v>0</v>
      </c>
      <c r="I5397" s="10"/>
      <c r="J5397" s="10"/>
      <c r="K5397" s="10"/>
      <c r="L5397" s="4" t="s">
        <v>52</v>
      </c>
      <c r="M5397" s="4">
        <v>5392</v>
      </c>
    </row>
    <row r="5398" spans="1:13" x14ac:dyDescent="0.25">
      <c r="A5398" s="4" t="s">
        <v>5455</v>
      </c>
      <c r="B5398" s="4" t="s">
        <v>5310</v>
      </c>
      <c r="C5398" s="4" t="s">
        <v>65</v>
      </c>
      <c r="D5398" s="10"/>
      <c r="E5398" s="11" t="s">
        <v>51</v>
      </c>
      <c r="F5398" s="10"/>
      <c r="G5398" s="10">
        <v>0</v>
      </c>
      <c r="H5398" s="10">
        <f t="shared" si="84"/>
        <v>0</v>
      </c>
      <c r="I5398" s="10"/>
      <c r="J5398" s="10"/>
      <c r="K5398" s="10"/>
      <c r="L5398" s="4" t="s">
        <v>69</v>
      </c>
      <c r="M5398" s="4">
        <v>5393</v>
      </c>
    </row>
    <row r="5399" spans="1:13" x14ac:dyDescent="0.25">
      <c r="A5399" s="4" t="s">
        <v>5455</v>
      </c>
      <c r="B5399" s="4" t="s">
        <v>311</v>
      </c>
      <c r="C5399" s="4" t="s">
        <v>68</v>
      </c>
      <c r="D5399" s="10"/>
      <c r="E5399" s="11" t="s">
        <v>51</v>
      </c>
      <c r="F5399" s="10"/>
      <c r="G5399" s="10">
        <v>0</v>
      </c>
      <c r="H5399" s="10">
        <f t="shared" si="84"/>
        <v>0</v>
      </c>
      <c r="I5399" s="10"/>
      <c r="J5399" s="10"/>
      <c r="K5399" s="10"/>
      <c r="L5399" s="4" t="s">
        <v>69</v>
      </c>
      <c r="M5399" s="4">
        <v>5394</v>
      </c>
    </row>
    <row r="5400" spans="1:13" x14ac:dyDescent="0.25">
      <c r="A5400" s="4" t="s">
        <v>5456</v>
      </c>
      <c r="B5400" s="4" t="s">
        <v>5405</v>
      </c>
      <c r="C5400" s="9" t="s">
        <v>50</v>
      </c>
      <c r="D5400" s="10"/>
      <c r="E5400" s="11" t="s">
        <v>51</v>
      </c>
      <c r="F5400" s="10"/>
      <c r="G5400" s="10">
        <v>0</v>
      </c>
      <c r="H5400" s="10">
        <f t="shared" si="84"/>
        <v>0</v>
      </c>
      <c r="I5400" s="10"/>
      <c r="J5400" s="10"/>
      <c r="K5400" s="10"/>
      <c r="L5400" s="4" t="s">
        <v>52</v>
      </c>
      <c r="M5400" s="4">
        <v>5395</v>
      </c>
    </row>
    <row r="5401" spans="1:13" x14ac:dyDescent="0.25">
      <c r="A5401" s="4" t="s">
        <v>5456</v>
      </c>
      <c r="B5401" s="4" t="s">
        <v>1346</v>
      </c>
      <c r="C5401" s="4" t="s">
        <v>68</v>
      </c>
      <c r="D5401" s="10"/>
      <c r="E5401" s="11" t="s">
        <v>51</v>
      </c>
      <c r="F5401" s="10"/>
      <c r="G5401" s="10">
        <v>0</v>
      </c>
      <c r="H5401" s="10">
        <f t="shared" si="84"/>
        <v>0</v>
      </c>
      <c r="I5401" s="10"/>
      <c r="J5401" s="10"/>
      <c r="K5401" s="10"/>
      <c r="L5401" s="4" t="s">
        <v>69</v>
      </c>
      <c r="M5401" s="4">
        <v>5396</v>
      </c>
    </row>
  </sheetData>
  <autoFilter ref="A5:M5401" xr:uid="{00000000-0009-0000-0000-000001000000}"/>
  <dataValidations count="1">
    <dataValidation type="list" sqref="C6:C5401" xr:uid="{00000000-0002-0000-0100-000000000000}">
      <formula1>"Pauschale,Nachweis,Unbekannt"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U228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5457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IFERROR(INDEX('Projekt-Budget-Übersicht'!$C:$C,MATCH(10,'Projekt-Budget-Übersicht'!$L:$L,0)),"")</f>
        <v/>
      </c>
      <c r="D6" s="4">
        <v>8</v>
      </c>
      <c r="E6" s="4">
        <v>8</v>
      </c>
      <c r="F6" s="4">
        <v>8</v>
      </c>
      <c r="G6" s="14">
        <v>100</v>
      </c>
      <c r="H6" s="5"/>
      <c r="I6" s="5">
        <f t="shared" ref="I6:I30" si="0">IF(H6=0,0,F6-H6)</f>
        <v>0</v>
      </c>
      <c r="J6" s="4"/>
      <c r="K6" s="5">
        <f>IF('D. Brucker'!J6="A. Kokott",'D. Brucker'!I6,0)+IF('E. Bieler'!J6="A. Kokott",'E. Bieler'!I6,0)+IF('J. Dorchies'!J6="A. Kokott",'J. Dorchies'!I6,0)+IF('O. Haag BS-CAD'!J6="A. Kokott",'O. Haag BS-CAD'!I6,0)+IF('S. Schüler'!J6="A. Kokott",'S. Schüler'!I6,0)+IF('T. Trautmann'!J6="A. Kokott",'T. Trautmann'!I6,0)+IF('U. Sutter ADM'!J6="A. Kokott",'U.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30" si="1">IF($B$2="-",0,IF(C6="Pauschale",IF(OR(R6=0,N(D6)=0),0,MAX(0,MIN(R6*((N(F6)+N(K6))/N(D6)),R6-R6*(N(E6)/N(D6))))),L6*(N(F6)+N(K6))))</f>
        <v>0</v>
      </c>
      <c r="N6" s="10">
        <f t="shared" ref="N6:N30" si="2">IF($B$2="-",0,IF(C6="Pauschale",IF(OR(R6=0,N(D6)=0),0,R6*((N(F6)+N(K6))/N(D6))),L6*(N(F6)+N(K6))))</f>
        <v>0</v>
      </c>
      <c r="O6" s="10">
        <f t="shared" ref="O6:O30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22"/>
      <c r="B7" s="4" t="s">
        <v>5481</v>
      </c>
      <c r="C7" s="4" t="str">
        <f>IFERROR(INDEX('Projekt-Budget-Übersicht'!$C:$C,MATCH(10,'Projekt-Budget-Übersicht'!$L:$L,0)),"")</f>
        <v/>
      </c>
      <c r="D7" s="4">
        <v>8</v>
      </c>
      <c r="E7" s="4">
        <v>8</v>
      </c>
      <c r="F7" s="4">
        <v>8</v>
      </c>
      <c r="G7" s="14">
        <v>100</v>
      </c>
      <c r="H7" s="5"/>
      <c r="I7" s="5">
        <f t="shared" si="0"/>
        <v>0</v>
      </c>
      <c r="J7" s="4"/>
      <c r="K7" s="5">
        <f>IF('C. Trapp SV'!J6="A. Kokott",'C. Trapp SV'!I6,0)+IF('D. Brucker'!J7="A. Kokott",'D. Brucker'!I7,0)+IF('E. Bieler'!J7="A. Kokott",'E. Bieler'!I7,0)+IF('J. Dorchies'!J7="A. Kokott",'J. Dorchies'!I7,0)+IF('J. Dorn'!J6="A. Kokott",'J. Dorn'!I6,0)+IF('M. Bandlofsky'!J6="A. Kokott",'M. Bandlofsky'!I6,0)+IF('T. Trautmann'!J7="A. Kokott",'T. Trautmann'!I7,0)+IF('U. Sutter ADM'!J7="A. Kokott",'U. Sutter ADM'!I7,0)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IFERROR(INDEX('Projekt-Budget-Übersicht'!$F:$F,MATCH(10,'Projekt-Budget-Übersicht'!$L:$L,0)),0)</f>
        <v>0</v>
      </c>
      <c r="S7" s="10">
        <v>68628.19</v>
      </c>
      <c r="T7" s="4"/>
      <c r="U7" s="4"/>
    </row>
    <row r="8" spans="1:21" x14ac:dyDescent="0.25">
      <c r="A8" s="4" t="s">
        <v>5482</v>
      </c>
      <c r="B8" s="4" t="s">
        <v>5483</v>
      </c>
      <c r="C8" s="4" t="s">
        <v>50</v>
      </c>
      <c r="D8" s="4">
        <v>0</v>
      </c>
      <c r="E8" s="4">
        <v>0</v>
      </c>
      <c r="F8" s="4">
        <v>50</v>
      </c>
      <c r="G8" s="4">
        <v>0</v>
      </c>
      <c r="H8" s="5"/>
      <c r="I8" s="5">
        <f t="shared" si="0"/>
        <v>0</v>
      </c>
      <c r="J8" s="4"/>
      <c r="K8" s="5">
        <v>0</v>
      </c>
      <c r="L8" s="10">
        <f>IF($B$2="-",0,0)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'A. Kokott'!M8</f>
        <v>0</v>
      </c>
      <c r="Q8" s="10"/>
      <c r="R8" s="10">
        <f>0</f>
        <v>0</v>
      </c>
      <c r="S8" s="10"/>
      <c r="T8" s="4"/>
      <c r="U8" s="4"/>
    </row>
    <row r="9" spans="1:21" x14ac:dyDescent="0.25">
      <c r="A9" s="4" t="s">
        <v>636</v>
      </c>
      <c r="B9" s="4" t="s">
        <v>5484</v>
      </c>
      <c r="C9" s="4" t="str">
        <f>IFERROR(INDEX('Projekt-Budget-Übersicht'!$C:$C,MATCH(641,'Projekt-Budget-Übersicht'!$L:$L,0)),"")</f>
        <v/>
      </c>
      <c r="D9" s="4">
        <v>1</v>
      </c>
      <c r="E9" s="4">
        <v>1.25</v>
      </c>
      <c r="F9" s="4">
        <v>0.5</v>
      </c>
      <c r="G9" s="15">
        <v>125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124.0740740740741</v>
      </c>
      <c r="M9" s="10">
        <f t="shared" si="1"/>
        <v>62.037037037037052</v>
      </c>
      <c r="N9" s="10">
        <f t="shared" si="2"/>
        <v>62.037037037037052</v>
      </c>
      <c r="O9" s="10">
        <f t="shared" si="3"/>
        <v>0</v>
      </c>
      <c r="P9" s="10">
        <f>'A. Kokott'!M9</f>
        <v>62.037037037037052</v>
      </c>
      <c r="Q9" s="10">
        <v>27</v>
      </c>
      <c r="R9" s="10">
        <f>IFERROR(INDEX('Projekt-Budget-Übersicht'!$F:$F,MATCH(641,'Projekt-Budget-Übersicht'!$L:$L,0)),0)</f>
        <v>0</v>
      </c>
      <c r="S9" s="10">
        <v>2546.65</v>
      </c>
      <c r="T9" s="4"/>
      <c r="U9" s="4"/>
    </row>
    <row r="10" spans="1:21" x14ac:dyDescent="0.25">
      <c r="A10" s="4" t="s">
        <v>1490</v>
      </c>
      <c r="B10" s="4" t="s">
        <v>5485</v>
      </c>
      <c r="C10" s="4" t="str">
        <f>IFERROR(INDEX('Projekt-Budget-Übersicht'!$C:$C,MATCH(1679,'Projekt-Budget-Übersicht'!$L:$L,0)),"")</f>
        <v/>
      </c>
      <c r="D10" s="4">
        <v>29.75</v>
      </c>
      <c r="E10" s="4">
        <v>79.75</v>
      </c>
      <c r="F10" s="4">
        <v>0.5</v>
      </c>
      <c r="G10" s="15">
        <v>268.07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IF($B$2="-",0,IFERROR(INDEX(IF($B$2="SV",'Projekt-Budget-Übersicht'!$I:$I,IF($B$2="CAD",'Projekt-Budget-Übersicht'!$J:$J,IF($B$2="ADM",'Projekt-Budget-Übersicht'!$K:$K,'Projekt-Budget-Übersicht'!$I:$I))),MATCH(1679,'Projekt-Budget-Übersicht'!$M:$M,0)),0))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'A. Kokott'!M10</f>
        <v>0</v>
      </c>
      <c r="Q10" s="10">
        <v>129.75</v>
      </c>
      <c r="R10" s="10">
        <f>IFERROR(INDEX('Projekt-Budget-Übersicht'!$F:$F,MATCH(1679,'Projekt-Budget-Übersicht'!$L:$L,0)),0)</f>
        <v>0</v>
      </c>
      <c r="S10" s="10">
        <v>12307.13</v>
      </c>
      <c r="T10" s="4"/>
      <c r="U10" s="4"/>
    </row>
    <row r="11" spans="1:21" x14ac:dyDescent="0.25">
      <c r="A11" s="4" t="s">
        <v>1533</v>
      </c>
      <c r="B11" s="4" t="s">
        <v>5486</v>
      </c>
      <c r="C11" s="4" t="str">
        <f>IFERROR(INDEX('Projekt-Budget-Übersicht'!$C:$C,MATCH(1734,'Projekt-Budget-Übersicht'!$L:$L,0)),"")</f>
        <v/>
      </c>
      <c r="D11" s="4">
        <v>6</v>
      </c>
      <c r="E11" s="4">
        <v>2.75</v>
      </c>
      <c r="F11" s="4">
        <v>0.5</v>
      </c>
      <c r="G11" s="16">
        <v>45.83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IF($B$2="-",0,IFERROR(INDEX(IF($B$2="SV",'Projekt-Budget-Übersicht'!$I:$I,IF($B$2="CAD",'Projekt-Budget-Übersicht'!$J:$J,IF($B$2="ADM",'Projekt-Budget-Übersicht'!$K:$K,'Projekt-Budget-Übersicht'!$I:$I))),MATCH(1734,'Projekt-Budget-Übersicht'!$M:$M,0)),0))</f>
        <v>123.8095238095238</v>
      </c>
      <c r="M11" s="10">
        <f t="shared" si="1"/>
        <v>61.904761904761898</v>
      </c>
      <c r="N11" s="10">
        <f t="shared" si="2"/>
        <v>61.904761904761898</v>
      </c>
      <c r="O11" s="10">
        <f t="shared" si="3"/>
        <v>0</v>
      </c>
      <c r="P11" s="10">
        <f>'A. Kokott'!M11</f>
        <v>61.904761904761898</v>
      </c>
      <c r="Q11" s="10">
        <v>42</v>
      </c>
      <c r="R11" s="10">
        <f>IFERROR(INDEX('Projekt-Budget-Übersicht'!$F:$F,MATCH(1734,'Projekt-Budget-Übersicht'!$L:$L,0)),0)</f>
        <v>0</v>
      </c>
      <c r="S11" s="10">
        <v>287.5</v>
      </c>
      <c r="T11" s="4"/>
      <c r="U11" s="4"/>
    </row>
    <row r="12" spans="1:21" x14ac:dyDescent="0.25">
      <c r="A12" s="4" t="s">
        <v>1698</v>
      </c>
      <c r="B12" s="4" t="s">
        <v>5487</v>
      </c>
      <c r="C12" s="4" t="str">
        <f>IFERROR(INDEX('Projekt-Budget-Übersicht'!$C:$C,MATCH(1913,'Projekt-Budget-Übersicht'!$L:$L,0)),"")</f>
        <v/>
      </c>
      <c r="D12" s="4">
        <v>20</v>
      </c>
      <c r="E12" s="4">
        <v>1.75</v>
      </c>
      <c r="F12" s="4">
        <v>0.5</v>
      </c>
      <c r="G12" s="16">
        <v>8.75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IF($B$2="-",0,IFERROR(INDEX(IF($B$2="SV",'Projekt-Budget-Übersicht'!$I:$I,IF($B$2="CAD",'Projekt-Budget-Übersicht'!$J:$J,IF($B$2="ADM",'Projekt-Budget-Übersicht'!$K:$K,'Projekt-Budget-Übersicht'!$I:$I))),MATCH(1913,'Projekt-Budget-Übersicht'!$M:$M,0)),0))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'A. Kokott'!M12</f>
        <v>0</v>
      </c>
      <c r="Q12" s="10">
        <v>2080</v>
      </c>
      <c r="R12" s="10">
        <f>IFERROR(INDEX('Projekt-Budget-Übersicht'!$F:$F,MATCH(1913,'Projekt-Budget-Übersicht'!$L:$L,0)),0)</f>
        <v>0</v>
      </c>
      <c r="S12" s="10">
        <v>30</v>
      </c>
      <c r="T12" s="4"/>
      <c r="U12" s="4"/>
    </row>
    <row r="13" spans="1:21" x14ac:dyDescent="0.25">
      <c r="A13" s="4" t="s">
        <v>2051</v>
      </c>
      <c r="B13" s="4" t="s">
        <v>5484</v>
      </c>
      <c r="C13" s="4" t="str">
        <f>IFERROR(INDEX('Projekt-Budget-Übersicht'!$C:$C,MATCH(2421,'Projekt-Budget-Übersicht'!$L:$L,0)),"")</f>
        <v/>
      </c>
      <c r="D13" s="4">
        <v>1</v>
      </c>
      <c r="E13" s="4">
        <v>1.25</v>
      </c>
      <c r="F13" s="4">
        <v>0.5</v>
      </c>
      <c r="G13" s="15">
        <v>125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IF($B$2="-",0,IFERROR(INDEX(IF($B$2="SV",'Projekt-Budget-Übersicht'!$I:$I,IF($B$2="CAD",'Projekt-Budget-Übersicht'!$J:$J,IF($B$2="ADM",'Projekt-Budget-Übersicht'!$K:$K,'Projekt-Budget-Übersicht'!$I:$I))),MATCH(2421,'Projekt-Budget-Übersicht'!$M:$M,0)),0))</f>
        <v>118.4210526315789</v>
      </c>
      <c r="M13" s="10">
        <f t="shared" si="1"/>
        <v>59.210526315789451</v>
      </c>
      <c r="N13" s="10">
        <f t="shared" si="2"/>
        <v>59.210526315789451</v>
      </c>
      <c r="O13" s="10">
        <f t="shared" si="3"/>
        <v>0</v>
      </c>
      <c r="P13" s="10">
        <f>'A. Kokott'!M13</f>
        <v>59.210526315789451</v>
      </c>
      <c r="Q13" s="10">
        <v>50</v>
      </c>
      <c r="R13" s="10">
        <f>IFERROR(INDEX('Projekt-Budget-Übersicht'!$F:$F,MATCH(2421,'Projekt-Budget-Übersicht'!$L:$L,0)),0)</f>
        <v>0</v>
      </c>
      <c r="S13" s="10">
        <v>242.5</v>
      </c>
      <c r="T13" s="4"/>
      <c r="U13" s="4"/>
    </row>
    <row r="14" spans="1:21" x14ac:dyDescent="0.25">
      <c r="A14" s="4" t="s">
        <v>2834</v>
      </c>
      <c r="B14" s="4" t="s">
        <v>5459</v>
      </c>
      <c r="C14" s="4" t="str">
        <f>IFERROR(INDEX('Projekt-Budget-Übersicht'!$C:$C,MATCH(3122,'Projekt-Budget-Übersicht'!$L:$L,0)),"")</f>
        <v/>
      </c>
      <c r="D14" s="4">
        <v>6</v>
      </c>
      <c r="E14" s="4">
        <v>33.75</v>
      </c>
      <c r="F14" s="4">
        <v>0.25</v>
      </c>
      <c r="G14" s="15">
        <v>562.5</v>
      </c>
      <c r="H14" s="5"/>
      <c r="I14" s="5">
        <f t="shared" si="0"/>
        <v>0</v>
      </c>
      <c r="J14" s="4"/>
      <c r="K14" s="5">
        <f>IF('E. Bieler'!J20="A. Kokott",'E. Bieler'!I20,0)+IF('J. Dorchies'!J9="A. Kokott",'J. Dorchies'!I9,0)+IF('J. Dorn'!J23="A. Kokott",'J. Dorn'!I23,0)+IF('P. Bergner'!J7="A. Kokott",'P. Bergner'!I7,0)+IF('R. Böttiger'!J13="A. Kokott",'R. Böttiger'!I13,0)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14" s="10">
        <f t="shared" si="1"/>
        <v>14.583333333333336</v>
      </c>
      <c r="N14" s="10">
        <f t="shared" si="2"/>
        <v>14.583333333333336</v>
      </c>
      <c r="O14" s="10">
        <f t="shared" si="3"/>
        <v>0</v>
      </c>
      <c r="P14" s="10">
        <f>'A. Kokott'!M14+'E. Bieler'!M20+'J. Dorchies'!M9+'J. Dorn'!M23+'P. Bergner'!M7+'R. Böttiger'!M13</f>
        <v>1195.8333333333335</v>
      </c>
      <c r="Q14" s="10">
        <v>18</v>
      </c>
      <c r="R14" s="10">
        <f>IFERROR(INDEX('Projekt-Budget-Übersicht'!$F:$F,MATCH(3122,'Projekt-Budget-Übersicht'!$L:$L,0)),0)</f>
        <v>0</v>
      </c>
      <c r="S14" s="10">
        <v>2985.82</v>
      </c>
      <c r="T14" s="4"/>
      <c r="U14" s="4"/>
    </row>
    <row r="15" spans="1:21" x14ac:dyDescent="0.25">
      <c r="A15" s="4" t="s">
        <v>3401</v>
      </c>
      <c r="B15" s="4" t="s">
        <v>5488</v>
      </c>
      <c r="C15" s="4" t="str">
        <f>IFERROR(INDEX('Projekt-Budget-Übersicht'!$C:$C,MATCH(3615,'Projekt-Budget-Übersicht'!$L:$L,0)),"")</f>
        <v/>
      </c>
      <c r="D15" s="4">
        <v>2</v>
      </c>
      <c r="E15" s="4">
        <v>3.5</v>
      </c>
      <c r="F15" s="4">
        <v>0.5</v>
      </c>
      <c r="G15" s="15">
        <v>175</v>
      </c>
      <c r="H15" s="5"/>
      <c r="I15" s="5">
        <f t="shared" si="0"/>
        <v>0</v>
      </c>
      <c r="J15" s="4"/>
      <c r="K15" s="5">
        <f>IF('H. Bektas'!J6="A. Kokott",'H. Bektas'!I6,0)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IF($B$2="-",0,IFERROR(INDEX(IF($B$2="SV",'Projekt-Budget-Übersicht'!$I:$I,IF($B$2="CAD",'Projekt-Budget-Übersicht'!$J:$J,IF($B$2="ADM",'Projekt-Budget-Übersicht'!$K:$K,'Projekt-Budget-Übersicht'!$I:$I))),MATCH(3615,'Projekt-Budget-Übersicht'!$M:$M,0)),0))</f>
        <v>100</v>
      </c>
      <c r="M15" s="10">
        <f t="shared" si="1"/>
        <v>50</v>
      </c>
      <c r="N15" s="10">
        <f t="shared" si="2"/>
        <v>50</v>
      </c>
      <c r="O15" s="10">
        <f t="shared" si="3"/>
        <v>0</v>
      </c>
      <c r="P15" s="10">
        <f>'A. Kokott'!M15+'H. Bektas'!M6</f>
        <v>250</v>
      </c>
      <c r="Q15" s="10">
        <v>343.57</v>
      </c>
      <c r="R15" s="10">
        <f>IFERROR(INDEX('Projekt-Budget-Übersicht'!$F:$F,MATCH(3615,'Projekt-Budget-Übersicht'!$L:$L,0)),0)</f>
        <v>0</v>
      </c>
      <c r="S15" s="10">
        <v>17.5</v>
      </c>
      <c r="T15" s="4"/>
      <c r="U15" s="4"/>
    </row>
    <row r="16" spans="1:21" x14ac:dyDescent="0.25">
      <c r="A16" s="4" t="s">
        <v>3831</v>
      </c>
      <c r="B16" s="4" t="s">
        <v>5489</v>
      </c>
      <c r="C16" s="4" t="str">
        <f>IFERROR(INDEX('Projekt-Budget-Übersicht'!$C:$C,MATCH(3985,'Projekt-Budget-Übersicht'!$L:$L,0)),"")</f>
        <v/>
      </c>
      <c r="D16" s="4">
        <v>68</v>
      </c>
      <c r="E16" s="4">
        <v>47.25</v>
      </c>
      <c r="F16" s="4">
        <v>0.5</v>
      </c>
      <c r="G16" s="16">
        <v>69.489999999999995</v>
      </c>
      <c r="H16" s="5"/>
      <c r="I16" s="5">
        <f t="shared" si="0"/>
        <v>0</v>
      </c>
      <c r="J16" s="4"/>
      <c r="K16" s="5">
        <f>IF('H. Bektas'!J7="A. Kokott",'H. Bektas'!I7,0)</f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'A. Kokott'!M16+'H. Bektas'!M7</f>
        <v>0</v>
      </c>
      <c r="Q16" s="10">
        <v>68</v>
      </c>
      <c r="R16" s="10">
        <f>IFERROR(INDEX('Projekt-Budget-Übersicht'!$F:$F,MATCH(3985,'Projekt-Budget-Übersicht'!$L:$L,0)),0)</f>
        <v>0</v>
      </c>
      <c r="S16" s="10">
        <v>342.5</v>
      </c>
      <c r="T16" s="4"/>
      <c r="U16" s="4"/>
    </row>
    <row r="17" spans="1:21" x14ac:dyDescent="0.25">
      <c r="A17" s="4" t="s">
        <v>3950</v>
      </c>
      <c r="B17" s="4" t="s">
        <v>5484</v>
      </c>
      <c r="C17" s="4" t="str">
        <f>IFERROR(INDEX('Projekt-Budget-Übersicht'!$C:$C,MATCH(4086,'Projekt-Budget-Übersicht'!$L:$L,0)),"")</f>
        <v/>
      </c>
      <c r="D17" s="4">
        <v>1</v>
      </c>
      <c r="E17" s="4">
        <v>1.25</v>
      </c>
      <c r="F17" s="4">
        <v>0.5</v>
      </c>
      <c r="G17" s="15">
        <v>125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IF($B$2="-",0,IFERROR(INDEX(IF($B$2="SV",'Projekt-Budget-Übersicht'!$I:$I,IF($B$2="CAD",'Projekt-Budget-Übersicht'!$J:$J,IF($B$2="ADM",'Projekt-Budget-Übersicht'!$K:$K,'Projekt-Budget-Übersicht'!$I:$I))),MATCH(4086,'Projekt-Budget-Übersicht'!$M:$M,0)),0))</f>
        <v>130.55555555555549</v>
      </c>
      <c r="M17" s="10">
        <f t="shared" si="1"/>
        <v>65.277777777777743</v>
      </c>
      <c r="N17" s="10">
        <f t="shared" si="2"/>
        <v>65.277777777777743</v>
      </c>
      <c r="O17" s="10">
        <f t="shared" si="3"/>
        <v>0</v>
      </c>
      <c r="P17" s="10">
        <f>'A. Kokott'!M17</f>
        <v>65.277777777777743</v>
      </c>
      <c r="Q17" s="10">
        <v>58</v>
      </c>
      <c r="R17" s="10">
        <f>IFERROR(INDEX('Projekt-Budget-Übersicht'!$F:$F,MATCH(4086,'Projekt-Budget-Übersicht'!$L:$L,0)),0)</f>
        <v>0</v>
      </c>
      <c r="S17" s="10">
        <v>2335</v>
      </c>
      <c r="T17" s="4"/>
      <c r="U17" s="4"/>
    </row>
    <row r="18" spans="1:21" x14ac:dyDescent="0.25">
      <c r="A18" s="21" t="s">
        <v>4097</v>
      </c>
      <c r="B18" s="4" t="s">
        <v>5484</v>
      </c>
      <c r="C18" s="4" t="str">
        <f>IFERROR(INDEX('Projekt-Budget-Übersicht'!$C:$C,MATCH(4215,'Projekt-Budget-Übersicht'!$L:$L,0)),"")</f>
        <v/>
      </c>
      <c r="D18" s="4">
        <v>1</v>
      </c>
      <c r="E18" s="4">
        <v>1.75</v>
      </c>
      <c r="F18" s="4">
        <v>0.25</v>
      </c>
      <c r="G18" s="15">
        <v>175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IF($B$2="-",0,IFERROR(INDEX(IF($B$2="SV",'Projekt-Budget-Übersicht'!$I:$I,IF($B$2="CAD",'Projekt-Budget-Übersicht'!$J:$J,IF($B$2="ADM",'Projekt-Budget-Übersicht'!$K:$K,'Projekt-Budget-Übersicht'!$I:$I))),MATCH(4215,'Projekt-Budget-Übersicht'!$M:$M,0)),0))</f>
        <v>117.64705882352941</v>
      </c>
      <c r="M18" s="10">
        <f t="shared" si="1"/>
        <v>29.411764705882351</v>
      </c>
      <c r="N18" s="10">
        <f t="shared" si="2"/>
        <v>29.411764705882351</v>
      </c>
      <c r="O18" s="10">
        <f t="shared" si="3"/>
        <v>0</v>
      </c>
      <c r="P18" s="10">
        <f>'A. Kokott'!M18</f>
        <v>29.411764705882351</v>
      </c>
      <c r="Q18" s="10">
        <v>34</v>
      </c>
      <c r="R18" s="10">
        <f>IFERROR(INDEX('Projekt-Budget-Übersicht'!$F:$F,MATCH(4215,'Projekt-Budget-Übersicht'!$L:$L,0)),0)</f>
        <v>0</v>
      </c>
      <c r="S18" s="10">
        <v>312.5</v>
      </c>
      <c r="T18" s="4"/>
      <c r="U18" s="4"/>
    </row>
    <row r="19" spans="1:21" x14ac:dyDescent="0.25">
      <c r="A19" s="22"/>
      <c r="B19" s="4" t="s">
        <v>5459</v>
      </c>
      <c r="C19" s="4" t="str">
        <f>IFERROR(INDEX('Projekt-Budget-Übersicht'!$C:$C,MATCH(4215,'Projekt-Budget-Übersicht'!$L:$L,0)),"")</f>
        <v/>
      </c>
      <c r="D19" s="4">
        <v>12</v>
      </c>
      <c r="E19" s="4">
        <v>15.5</v>
      </c>
      <c r="F19" s="4">
        <v>0.5</v>
      </c>
      <c r="G19" s="15">
        <v>129.16999999999999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IF($B$2="-",0,IFERROR(INDEX(IF($B$2="SV",'Projekt-Budget-Übersicht'!$I:$I,IF($B$2="CAD",'Projekt-Budget-Übersicht'!$J:$J,IF($B$2="ADM",'Projekt-Budget-Übersicht'!$K:$K,'Projekt-Budget-Übersicht'!$I:$I))),MATCH(4215,'Projekt-Budget-Übersicht'!$M:$M,0)),0))</f>
        <v>117.64705882352941</v>
      </c>
      <c r="M19" s="10">
        <f t="shared" si="1"/>
        <v>58.823529411764703</v>
      </c>
      <c r="N19" s="10">
        <f t="shared" si="2"/>
        <v>58.823529411764703</v>
      </c>
      <c r="O19" s="10">
        <f t="shared" si="3"/>
        <v>0</v>
      </c>
      <c r="P19" s="10">
        <f>'A. Kokott'!M19</f>
        <v>58.823529411764703</v>
      </c>
      <c r="Q19" s="10">
        <v>34</v>
      </c>
      <c r="R19" s="10">
        <f>IFERROR(INDEX('Projekt-Budget-Übersicht'!$F:$F,MATCH(4215,'Projekt-Budget-Übersicht'!$L:$L,0)),0)</f>
        <v>0</v>
      </c>
      <c r="S19" s="10">
        <v>312.5</v>
      </c>
      <c r="T19" s="4"/>
      <c r="U19" s="4"/>
    </row>
    <row r="20" spans="1:21" x14ac:dyDescent="0.25">
      <c r="A20" s="4" t="s">
        <v>4465</v>
      </c>
      <c r="B20" s="4" t="s">
        <v>5490</v>
      </c>
      <c r="C20" s="4" t="str">
        <f>IFERROR(INDEX('Projekt-Budget-Übersicht'!$C:$C,MATCH(4533,'Projekt-Budget-Übersicht'!$L:$L,0)),"")</f>
        <v/>
      </c>
      <c r="D20" s="4">
        <v>1</v>
      </c>
      <c r="E20" s="4">
        <v>2</v>
      </c>
      <c r="F20" s="4">
        <v>1</v>
      </c>
      <c r="G20" s="15">
        <v>200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153.84615384615381</v>
      </c>
      <c r="M20" s="10">
        <f t="shared" si="1"/>
        <v>153.84615384615381</v>
      </c>
      <c r="N20" s="10">
        <f t="shared" si="2"/>
        <v>153.84615384615381</v>
      </c>
      <c r="O20" s="10">
        <f t="shared" si="3"/>
        <v>0</v>
      </c>
      <c r="P20" s="10">
        <f>'A. Kokott'!M20</f>
        <v>153.84615384615381</v>
      </c>
      <c r="Q20" s="10">
        <v>26</v>
      </c>
      <c r="R20" s="10">
        <f>IFERROR(INDEX('Projekt-Budget-Übersicht'!$F:$F,MATCH(4533,'Projekt-Budget-Übersicht'!$L:$L,0)),0)</f>
        <v>0</v>
      </c>
      <c r="S20" s="10">
        <v>287.5</v>
      </c>
      <c r="T20" s="4"/>
      <c r="U20" s="4"/>
    </row>
    <row r="21" spans="1:21" x14ac:dyDescent="0.25">
      <c r="A21" s="4" t="s">
        <v>4580</v>
      </c>
      <c r="B21" s="4" t="s">
        <v>5484</v>
      </c>
      <c r="C21" s="4" t="str">
        <f>IFERROR(INDEX('Projekt-Budget-Übersicht'!$C:$C,MATCH(4626,'Projekt-Budget-Übersicht'!$L:$L,0)),"")</f>
        <v/>
      </c>
      <c r="D21" s="4">
        <v>1</v>
      </c>
      <c r="E21" s="4">
        <v>1.75</v>
      </c>
      <c r="F21" s="4">
        <v>0.5</v>
      </c>
      <c r="G21" s="15">
        <v>175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IF($B$2="-",0,IFERROR(INDEX(IF($B$2="SV",'Projekt-Budget-Übersicht'!$I:$I,IF($B$2="CAD",'Projekt-Budget-Übersicht'!$J:$J,IF($B$2="ADM",'Projekt-Budget-Übersicht'!$K:$K,'Projekt-Budget-Übersicht'!$I:$I))),MATCH(4626,'Projekt-Budget-Übersicht'!$M:$M,0)),0))</f>
        <v>125</v>
      </c>
      <c r="M21" s="10">
        <f t="shared" si="1"/>
        <v>62.5</v>
      </c>
      <c r="N21" s="10">
        <f t="shared" si="2"/>
        <v>62.5</v>
      </c>
      <c r="O21" s="10">
        <f t="shared" si="3"/>
        <v>0</v>
      </c>
      <c r="P21" s="10">
        <f>'A. Kokott'!M21</f>
        <v>62.5</v>
      </c>
      <c r="Q21" s="10">
        <v>57</v>
      </c>
      <c r="R21" s="10">
        <f>IFERROR(INDEX('Projekt-Budget-Übersicht'!$F:$F,MATCH(4626,'Projekt-Budget-Übersicht'!$L:$L,0)),0)</f>
        <v>0</v>
      </c>
      <c r="S21" s="10">
        <v>387.5</v>
      </c>
      <c r="T21" s="4"/>
      <c r="U21" s="4"/>
    </row>
    <row r="22" spans="1:21" x14ac:dyDescent="0.25">
      <c r="A22" s="4" t="s">
        <v>4958</v>
      </c>
      <c r="B22" s="4" t="s">
        <v>5484</v>
      </c>
      <c r="C22" s="4" t="str">
        <f>IFERROR(INDEX('Projekt-Budget-Übersicht'!$C:$C,MATCH(4932,'Projekt-Budget-Übersicht'!$L:$L,0)),"")</f>
        <v/>
      </c>
      <c r="D22" s="4">
        <v>1</v>
      </c>
      <c r="E22" s="4">
        <v>1.25</v>
      </c>
      <c r="F22" s="4">
        <v>0.5</v>
      </c>
      <c r="G22" s="15">
        <v>125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127.27272727272729</v>
      </c>
      <c r="M22" s="10">
        <f t="shared" si="1"/>
        <v>63.636363636363647</v>
      </c>
      <c r="N22" s="10">
        <f t="shared" si="2"/>
        <v>63.636363636363647</v>
      </c>
      <c r="O22" s="10">
        <f t="shared" si="3"/>
        <v>0</v>
      </c>
      <c r="P22" s="10">
        <f>'A. Kokott'!M22</f>
        <v>63.636363636363647</v>
      </c>
      <c r="Q22" s="10">
        <v>73</v>
      </c>
      <c r="R22" s="10">
        <f>IFERROR(INDEX('Projekt-Budget-Übersicht'!$F:$F,MATCH(4932,'Projekt-Budget-Übersicht'!$L:$L,0)),0)</f>
        <v>0</v>
      </c>
      <c r="S22" s="10">
        <v>315.82</v>
      </c>
      <c r="T22" s="4"/>
      <c r="U22" s="4"/>
    </row>
    <row r="23" spans="1:21" x14ac:dyDescent="0.25">
      <c r="A23" s="4" t="s">
        <v>5033</v>
      </c>
      <c r="B23" s="4" t="s">
        <v>5484</v>
      </c>
      <c r="C23" s="4" t="str">
        <f>IFERROR(INDEX('Projekt-Budget-Übersicht'!$C:$C,MATCH(5015,'Projekt-Budget-Übersicht'!$L:$L,0)),"")</f>
        <v/>
      </c>
      <c r="D23" s="4">
        <v>1</v>
      </c>
      <c r="E23" s="4">
        <v>2</v>
      </c>
      <c r="F23" s="4">
        <v>0.5</v>
      </c>
      <c r="G23" s="15">
        <v>200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118.1818181818182</v>
      </c>
      <c r="M23" s="10">
        <f t="shared" si="1"/>
        <v>59.090909090909101</v>
      </c>
      <c r="N23" s="10">
        <f t="shared" si="2"/>
        <v>59.090909090909101</v>
      </c>
      <c r="O23" s="10">
        <f t="shared" si="3"/>
        <v>0</v>
      </c>
      <c r="P23" s="10">
        <f>'A. Kokott'!M23</f>
        <v>59.090909090909101</v>
      </c>
      <c r="Q23" s="10">
        <v>22</v>
      </c>
      <c r="R23" s="10">
        <f>IFERROR(INDEX('Projekt-Budget-Übersicht'!$F:$F,MATCH(5015,'Projekt-Budget-Übersicht'!$L:$L,0)),0)</f>
        <v>0</v>
      </c>
      <c r="S23" s="10">
        <v>248.32</v>
      </c>
      <c r="T23" s="4"/>
      <c r="U23" s="4"/>
    </row>
    <row r="24" spans="1:21" x14ac:dyDescent="0.25">
      <c r="A24" s="4" t="s">
        <v>5038</v>
      </c>
      <c r="B24" s="4" t="s">
        <v>5491</v>
      </c>
      <c r="C24" s="4" t="str">
        <f>IFERROR(INDEX('Projekt-Budget-Übersicht'!$C:$C,MATCH(5020,'Projekt-Budget-Übersicht'!$L:$L,0)),"")</f>
        <v/>
      </c>
      <c r="D24" s="4">
        <v>1</v>
      </c>
      <c r="E24" s="4">
        <v>2</v>
      </c>
      <c r="F24" s="4">
        <v>0.5</v>
      </c>
      <c r="G24" s="15">
        <v>200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123.8095238095238</v>
      </c>
      <c r="M24" s="10">
        <f t="shared" si="1"/>
        <v>61.904761904761898</v>
      </c>
      <c r="N24" s="10">
        <f t="shared" si="2"/>
        <v>61.904761904761898</v>
      </c>
      <c r="O24" s="10">
        <f t="shared" si="3"/>
        <v>0</v>
      </c>
      <c r="P24" s="10">
        <f>'A. Kokott'!M24</f>
        <v>61.904761904761898</v>
      </c>
      <c r="Q24" s="10">
        <v>123</v>
      </c>
      <c r="R24" s="10">
        <f>IFERROR(INDEX('Projekt-Budget-Übersicht'!$F:$F,MATCH(5020,'Projekt-Budget-Übersicht'!$L:$L,0)),0)</f>
        <v>0</v>
      </c>
      <c r="S24" s="10">
        <v>756.58</v>
      </c>
      <c r="T24" s="4"/>
      <c r="U24" s="4"/>
    </row>
    <row r="25" spans="1:21" x14ac:dyDescent="0.25">
      <c r="A25" s="4" t="s">
        <v>5056</v>
      </c>
      <c r="B25" s="4" t="s">
        <v>5484</v>
      </c>
      <c r="C25" s="4" t="str">
        <f>IFERROR(INDEX('Projekt-Budget-Übersicht'!$C:$C,MATCH(5033,'Projekt-Budget-Übersicht'!$L:$L,0)),"")</f>
        <v/>
      </c>
      <c r="D25" s="4">
        <v>1</v>
      </c>
      <c r="E25" s="4">
        <v>2.25</v>
      </c>
      <c r="F25" s="4">
        <v>1</v>
      </c>
      <c r="G25" s="15">
        <v>225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25" s="10">
        <f t="shared" si="1"/>
        <v>101</v>
      </c>
      <c r="N25" s="10">
        <f t="shared" si="2"/>
        <v>101</v>
      </c>
      <c r="O25" s="10">
        <f t="shared" si="3"/>
        <v>0</v>
      </c>
      <c r="P25" s="10">
        <f>'A. Kokott'!M25</f>
        <v>101</v>
      </c>
      <c r="Q25" s="10">
        <v>20</v>
      </c>
      <c r="R25" s="10">
        <f>IFERROR(INDEX('Projekt-Budget-Übersicht'!$F:$F,MATCH(5033,'Projekt-Budget-Übersicht'!$L:$L,0)),0)</f>
        <v>0</v>
      </c>
      <c r="S25" s="10">
        <v>507.9</v>
      </c>
      <c r="T25" s="4"/>
      <c r="U25" s="4"/>
    </row>
    <row r="26" spans="1:21" x14ac:dyDescent="0.25">
      <c r="A26" s="4" t="s">
        <v>5063</v>
      </c>
      <c r="B26" s="4" t="s">
        <v>5484</v>
      </c>
      <c r="C26" s="4" t="str">
        <f>IFERROR(INDEX('Projekt-Budget-Übersicht'!$C:$C,MATCH(5044,'Projekt-Budget-Übersicht'!$L:$L,0)),"")</f>
        <v/>
      </c>
      <c r="D26" s="4">
        <v>1</v>
      </c>
      <c r="E26" s="4">
        <v>1.25</v>
      </c>
      <c r="F26" s="4">
        <v>0.5</v>
      </c>
      <c r="G26" s="15">
        <v>125</v>
      </c>
      <c r="H26" s="5"/>
      <c r="I26" s="5">
        <f t="shared" si="0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127.27272727272729</v>
      </c>
      <c r="M26" s="10">
        <f t="shared" si="1"/>
        <v>63.636363636363647</v>
      </c>
      <c r="N26" s="10">
        <f t="shared" si="2"/>
        <v>63.636363636363647</v>
      </c>
      <c r="O26" s="10">
        <f t="shared" si="3"/>
        <v>0</v>
      </c>
      <c r="P26" s="10">
        <f>'A. Kokott'!M26</f>
        <v>63.636363636363647</v>
      </c>
      <c r="Q26" s="10">
        <v>44</v>
      </c>
      <c r="R26" s="10">
        <f>IFERROR(INDEX('Projekt-Budget-Übersicht'!$F:$F,MATCH(5044,'Projekt-Budget-Übersicht'!$L:$L,0)),0)</f>
        <v>0</v>
      </c>
      <c r="S26" s="10">
        <v>235</v>
      </c>
      <c r="T26" s="4"/>
      <c r="U26" s="4"/>
    </row>
    <row r="27" spans="1:21" x14ac:dyDescent="0.25">
      <c r="A27" s="4" t="s">
        <v>5064</v>
      </c>
      <c r="B27" s="4" t="s">
        <v>5484</v>
      </c>
      <c r="C27" s="4" t="str">
        <f>IFERROR(INDEX('Projekt-Budget-Übersicht'!$C:$C,MATCH(5045,'Projekt-Budget-Übersicht'!$L:$L,0)),"")</f>
        <v/>
      </c>
      <c r="D27" s="4">
        <v>1</v>
      </c>
      <c r="E27" s="4">
        <v>1.25</v>
      </c>
      <c r="F27" s="4">
        <v>0.5</v>
      </c>
      <c r="G27" s="15">
        <v>125</v>
      </c>
      <c r="H27" s="5"/>
      <c r="I27" s="5">
        <f t="shared" si="0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127.27272727272729</v>
      </c>
      <c r="M27" s="10">
        <f t="shared" si="1"/>
        <v>63.636363636363647</v>
      </c>
      <c r="N27" s="10">
        <f t="shared" si="2"/>
        <v>63.636363636363647</v>
      </c>
      <c r="O27" s="10">
        <f t="shared" si="3"/>
        <v>0</v>
      </c>
      <c r="P27" s="10">
        <f>'A. Kokott'!M27</f>
        <v>63.636363636363647</v>
      </c>
      <c r="Q27" s="10">
        <v>514</v>
      </c>
      <c r="R27" s="10">
        <f>IFERROR(INDEX('Projekt-Budget-Übersicht'!$F:$F,MATCH(5045,'Projekt-Budget-Übersicht'!$L:$L,0)),0)</f>
        <v>0</v>
      </c>
      <c r="S27" s="10">
        <v>222.5</v>
      </c>
      <c r="T27" s="4"/>
      <c r="U27" s="4"/>
    </row>
    <row r="28" spans="1:21" x14ac:dyDescent="0.25">
      <c r="A28" s="4" t="s">
        <v>5078</v>
      </c>
      <c r="B28" s="4" t="s">
        <v>5484</v>
      </c>
      <c r="C28" s="4" t="str">
        <f>IFERROR(INDEX('Projekt-Budget-Übersicht'!$C:$C,MATCH(5062,'Projekt-Budget-Übersicht'!$L:$L,0)),"")</f>
        <v/>
      </c>
      <c r="D28" s="4">
        <v>5</v>
      </c>
      <c r="E28" s="4">
        <v>1.25</v>
      </c>
      <c r="F28" s="4">
        <v>0.5</v>
      </c>
      <c r="G28" s="16">
        <v>25</v>
      </c>
      <c r="H28" s="5"/>
      <c r="I28" s="5">
        <f t="shared" si="0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IF($B$2="-",0,IFERROR(INDEX(IF($B$2="SV",'Projekt-Budget-Übersicht'!$I:$I,IF($B$2="CAD",'Projekt-Budget-Übersicht'!$J:$J,IF($B$2="ADM",'Projekt-Budget-Übersicht'!$K:$K,'Projekt-Budget-Übersicht'!$I:$I))),MATCH(5062,'Projekt-Budget-Übersicht'!$M:$M,0)),0))</f>
        <v>72</v>
      </c>
      <c r="M28" s="10">
        <f t="shared" si="1"/>
        <v>36</v>
      </c>
      <c r="N28" s="10">
        <f t="shared" si="2"/>
        <v>36</v>
      </c>
      <c r="O28" s="10">
        <f t="shared" si="3"/>
        <v>0</v>
      </c>
      <c r="P28" s="10">
        <f>'A. Kokott'!M28</f>
        <v>36</v>
      </c>
      <c r="Q28" s="10">
        <v>52.5</v>
      </c>
      <c r="R28" s="10">
        <f>IFERROR(INDEX('Projekt-Budget-Übersicht'!$F:$F,MATCH(5062,'Projekt-Budget-Übersicht'!$L:$L,0)),0)</f>
        <v>0</v>
      </c>
      <c r="S28" s="10">
        <v>17.5</v>
      </c>
      <c r="T28" s="4"/>
      <c r="U28" s="4"/>
    </row>
    <row r="29" spans="1:21" x14ac:dyDescent="0.25">
      <c r="A29" s="21" t="s">
        <v>5103</v>
      </c>
      <c r="B29" s="4" t="s">
        <v>5490</v>
      </c>
      <c r="C29" s="4" t="str">
        <f>IFERROR(INDEX('Projekt-Budget-Übersicht'!$C:$C,MATCH(5077,'Projekt-Budget-Übersicht'!$L:$L,0)),"")</f>
        <v/>
      </c>
      <c r="D29" s="4">
        <v>1</v>
      </c>
      <c r="E29" s="4">
        <v>1.25</v>
      </c>
      <c r="F29" s="4">
        <v>0.5</v>
      </c>
      <c r="G29" s="15">
        <v>125</v>
      </c>
      <c r="H29" s="5"/>
      <c r="I29" s="5">
        <f t="shared" si="0"/>
        <v>0</v>
      </c>
      <c r="J29" s="4"/>
      <c r="K29" s="5"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129.41176470588229</v>
      </c>
      <c r="M29" s="10">
        <f t="shared" si="1"/>
        <v>64.705882352941146</v>
      </c>
      <c r="N29" s="10">
        <f t="shared" si="2"/>
        <v>64.705882352941146</v>
      </c>
      <c r="O29" s="10">
        <f t="shared" si="3"/>
        <v>0</v>
      </c>
      <c r="P29" s="10">
        <f>'A. Kokott'!M29</f>
        <v>64.705882352941146</v>
      </c>
      <c r="Q29" s="10">
        <v>17</v>
      </c>
      <c r="R29" s="10">
        <f>IFERROR(INDEX('Projekt-Budget-Übersicht'!$F:$F,MATCH(5077,'Projekt-Budget-Übersicht'!$L:$L,0)),0)</f>
        <v>0</v>
      </c>
      <c r="S29" s="10">
        <v>99.15</v>
      </c>
      <c r="T29" s="4"/>
      <c r="U29" s="4"/>
    </row>
    <row r="30" spans="1:21" x14ac:dyDescent="0.25">
      <c r="A30" s="22"/>
      <c r="B30" s="4" t="s">
        <v>5485</v>
      </c>
      <c r="C30" s="4" t="str">
        <f>IFERROR(INDEX('Projekt-Budget-Übersicht'!$C:$C,MATCH(5077,'Projekt-Budget-Übersicht'!$L:$L,0)),"")</f>
        <v/>
      </c>
      <c r="D30" s="4">
        <v>14</v>
      </c>
      <c r="E30" s="4">
        <v>15.5</v>
      </c>
      <c r="F30" s="4">
        <v>0.5</v>
      </c>
      <c r="G30" s="15">
        <v>110.71</v>
      </c>
      <c r="H30" s="5"/>
      <c r="I30" s="5">
        <f t="shared" si="0"/>
        <v>0</v>
      </c>
      <c r="J30" s="4"/>
      <c r="K30" s="5">
        <f>IF('E. Bieler'!J38="A. Kokott",'E. Bieler'!I38,0)+IF('M. Bandlofsky'!J17="A. Kokott",'M. Bandlofsky'!I17,0)</f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129.41176470588229</v>
      </c>
      <c r="M30" s="10">
        <f t="shared" si="1"/>
        <v>64.705882352941146</v>
      </c>
      <c r="N30" s="10">
        <f t="shared" si="2"/>
        <v>64.705882352941146</v>
      </c>
      <c r="O30" s="10">
        <f t="shared" si="3"/>
        <v>0</v>
      </c>
      <c r="P30" s="10">
        <f>'A. Kokott'!M30+'E. Bieler'!M38+'M. Bandlofsky'!M17</f>
        <v>2005.8823529411754</v>
      </c>
      <c r="Q30" s="10">
        <v>17</v>
      </c>
      <c r="R30" s="10">
        <f>IFERROR(INDEX('Projekt-Budget-Übersicht'!$F:$F,MATCH(5077,'Projekt-Budget-Übersicht'!$L:$L,0)),0)</f>
        <v>0</v>
      </c>
      <c r="S30" s="10">
        <v>99.15</v>
      </c>
      <c r="T30" s="4"/>
      <c r="U30" s="4"/>
    </row>
    <row r="31" spans="1:21" x14ac:dyDescent="0.25">
      <c r="A31" s="3"/>
      <c r="B31" s="3" t="s">
        <v>5492</v>
      </c>
      <c r="C31" s="3"/>
      <c r="D31" s="3"/>
      <c r="E31" s="3"/>
      <c r="F31" s="6">
        <v>77.5</v>
      </c>
      <c r="G31" s="3"/>
      <c r="H31" s="3"/>
      <c r="I31" s="3"/>
      <c r="J31" s="3"/>
      <c r="K31" s="3"/>
      <c r="L31" s="3"/>
      <c r="M31" s="17">
        <f>SUM(M6:M30)</f>
        <v>1195.9114109431448</v>
      </c>
      <c r="N31" s="17">
        <f>SUM(N6:N30)</f>
        <v>1195.9114109431448</v>
      </c>
      <c r="O31" s="17">
        <f>SUM(O6:O30)</f>
        <v>0</v>
      </c>
      <c r="P31" s="17">
        <f>SUM(P6:P30)</f>
        <v>4518.337881531379</v>
      </c>
      <c r="Q31" s="3"/>
      <c r="R31" s="3"/>
      <c r="S31" s="3"/>
      <c r="T31" s="3"/>
      <c r="U31" s="3"/>
    </row>
    <row r="32" spans="1:21" x14ac:dyDescent="0.25">
      <c r="A32" s="3"/>
      <c r="B32" s="3" t="s">
        <v>4</v>
      </c>
      <c r="C32" s="3"/>
      <c r="D32" s="3"/>
      <c r="E32" s="3"/>
      <c r="F32" s="6">
        <f>G32+H32</f>
        <v>52</v>
      </c>
      <c r="G32" s="6">
        <v>52</v>
      </c>
      <c r="H32" s="6">
        <f>SUM(H8,H9,H10,H11,H12,H13,H14,H15,H16,H17,H18,H19,H20,H21,H22,H23,H24,H25,H26,H27,H28,H29,H30)</f>
        <v>0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21" x14ac:dyDescent="0.25">
      <c r="A33" s="3"/>
      <c r="B33" s="3" t="s">
        <v>5</v>
      </c>
      <c r="C33" s="3"/>
      <c r="D33" s="3"/>
      <c r="E33" s="3"/>
      <c r="F33" s="6">
        <f>G33+H33</f>
        <v>16</v>
      </c>
      <c r="G33" s="6">
        <v>16</v>
      </c>
      <c r="H33" s="6">
        <f>SUM(H6,H7)</f>
        <v>0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1:21" x14ac:dyDescent="0.25">
      <c r="A34" s="3"/>
      <c r="B34" s="3" t="s">
        <v>5493</v>
      </c>
      <c r="C34" s="3"/>
      <c r="D34" s="3"/>
      <c r="E34" s="3"/>
      <c r="F34" s="6">
        <f>SUM(K6:K30)</f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1:21" x14ac:dyDescent="0.25">
      <c r="A35" s="18"/>
      <c r="B35" s="18" t="s">
        <v>5494</v>
      </c>
      <c r="C35" s="18"/>
      <c r="D35" s="18"/>
      <c r="E35" s="18"/>
      <c r="F35" s="19">
        <f>F32+F33+F34</f>
        <v>68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</row>
    <row r="37" spans="1:21" ht="15.75" x14ac:dyDescent="0.25">
      <c r="A37" s="2" t="s">
        <v>5495</v>
      </c>
    </row>
    <row r="38" spans="1:21" x14ac:dyDescent="0.25">
      <c r="A38" s="3" t="s">
        <v>35</v>
      </c>
      <c r="B38" s="3" t="s">
        <v>5461</v>
      </c>
      <c r="C38" s="3" t="s">
        <v>37</v>
      </c>
      <c r="D38" s="3" t="s">
        <v>5462</v>
      </c>
      <c r="E38" s="3" t="s">
        <v>5463</v>
      </c>
      <c r="F38" s="3" t="s">
        <v>5496</v>
      </c>
      <c r="G38" s="3" t="s">
        <v>5465</v>
      </c>
      <c r="H38" s="3" t="s">
        <v>5466</v>
      </c>
      <c r="I38" s="3" t="s">
        <v>5467</v>
      </c>
      <c r="J38" s="3" t="s">
        <v>5468</v>
      </c>
      <c r="K38" s="3" t="s">
        <v>5469</v>
      </c>
      <c r="L38" s="3" t="s">
        <v>5470</v>
      </c>
      <c r="M38" s="3" t="s">
        <v>5471</v>
      </c>
      <c r="N38" s="3" t="s">
        <v>5472</v>
      </c>
      <c r="O38" s="3" t="s">
        <v>5473</v>
      </c>
      <c r="P38" s="3" t="s">
        <v>5474</v>
      </c>
      <c r="Q38" s="3" t="s">
        <v>5475</v>
      </c>
      <c r="R38" s="3" t="s">
        <v>5476</v>
      </c>
      <c r="S38" s="3" t="s">
        <v>5477</v>
      </c>
      <c r="T38" s="3" t="s">
        <v>5478</v>
      </c>
      <c r="U38" s="3" t="s">
        <v>5479</v>
      </c>
    </row>
    <row r="39" spans="1:21" x14ac:dyDescent="0.25">
      <c r="A39" s="21" t="s">
        <v>61</v>
      </c>
      <c r="B39" s="4" t="s">
        <v>5480</v>
      </c>
      <c r="C39" s="4" t="str">
        <f>IFERROR(INDEX('Projekt-Budget-Übersicht'!$C:$C,MATCH(10,'Projekt-Budget-Übersicht'!$L:$L,0)),"")</f>
        <v/>
      </c>
      <c r="D39" s="4">
        <v>8</v>
      </c>
      <c r="E39" s="4">
        <v>8</v>
      </c>
      <c r="F39" s="4">
        <v>8</v>
      </c>
      <c r="G39" s="14">
        <v>100</v>
      </c>
      <c r="H39" s="5"/>
      <c r="I39" s="5">
        <f t="shared" ref="I39:I76" si="4">IF(H39=0,0,F39-H39)</f>
        <v>0</v>
      </c>
      <c r="J39" s="4"/>
      <c r="K39" s="5">
        <f>IF('J. Dorn'!J45="A. Kokott",'J. Dorn'!I45,0)+IF('O. Haag BS-CAD'!J51="A. Kokott",'O. Haag BS-CAD'!I51,0)+IF('P. Bergner'!J21="A. Kokott",'P. Bergner'!I21,0)+IF('R. Böttiger'!J31="A. Kokott",'R. Böttiger'!I31,0)+IF('T. Trautmann'!J28="A. Kokott",'T. Trautmann'!I28,0)+IF('U. Sutter ADM'!J28="A. Kokott",'U. Sutter ADM'!I28,0)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9" s="10">
        <f t="shared" ref="M39:M76" si="5">IF($B$2="-",0,IF(C39="Pauschale",IF(OR(R39=0,N(D39)=0),0,MAX(0,MIN(R39*((N(F39)+N(K39))/N(D39)),R39-R39*(N(E39)/N(D39))))),L39*(N(F39)+N(K39))))</f>
        <v>0</v>
      </c>
      <c r="N39" s="10">
        <f t="shared" ref="N39:N76" si="6">IF($B$2="-",0,IF(C39="Pauschale",IF(OR(R39=0,N(D39)=0),0,R39*((N(F39)+N(K39))/N(D39))),L39*(N(F39)+N(K39))))</f>
        <v>0</v>
      </c>
      <c r="O39" s="10">
        <f t="shared" ref="O39:O76" si="7">N39-M39</f>
        <v>0</v>
      </c>
      <c r="P39" s="10">
        <f>'A. Kokott'!M39+'J. Dorn'!M45+'O. Haag BS-CAD'!M51+'P. Bergner'!M21+'R. Böttiger'!M31+'T. Trautmann'!M28+'U. Sutter ADM'!M28</f>
        <v>0</v>
      </c>
      <c r="Q39" s="10">
        <v>132</v>
      </c>
      <c r="R39" s="10">
        <f>IFERROR(INDEX('Projekt-Budget-Übersicht'!$F:$F,MATCH(10,'Projekt-Budget-Übersicht'!$L:$L,0)),0)</f>
        <v>0</v>
      </c>
      <c r="S39" s="10">
        <v>68628.19</v>
      </c>
      <c r="T39" s="4"/>
      <c r="U39" s="4"/>
    </row>
    <row r="40" spans="1:21" x14ac:dyDescent="0.25">
      <c r="A40" s="22"/>
      <c r="B40" s="4" t="s">
        <v>5481</v>
      </c>
      <c r="C40" s="4" t="str">
        <f>IFERROR(INDEX('Projekt-Budget-Übersicht'!$C:$C,MATCH(10,'Projekt-Budget-Übersicht'!$L:$L,0)),"")</f>
        <v/>
      </c>
      <c r="D40" s="4">
        <v>8</v>
      </c>
      <c r="E40" s="4">
        <v>3</v>
      </c>
      <c r="F40" s="4">
        <v>3</v>
      </c>
      <c r="G40" s="16">
        <v>37.5</v>
      </c>
      <c r="H40" s="5"/>
      <c r="I40" s="5">
        <f t="shared" si="4"/>
        <v>0</v>
      </c>
      <c r="J40" s="4"/>
      <c r="K40" s="5">
        <f>IF('M. Bandlofsky'!J26="A. Kokott",'M. Bandlofsky'!I26,0)+IF('O. Haag BS-CAD'!J52="A. Kokott",'O. Haag BS-CAD'!I52,0)+IF('P. Bergner'!J22="A. Kokott",'P. Bergner'!I22,0)+IF('R. Wagen CAD'!J31="A. Kokott",'R. Wagen CAD'!I31,0)+IF('T. Trautmann'!J29="A. Kokott",'T. Trautmann'!I29,0)+IF('U. Sutter ADM'!J29="A. Kokott",'U. Sutter ADM'!I29,0)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'A. Kokott'!M40+'M. Bandlofsky'!M26+'O. Haag BS-CAD'!M52+'P. Bergner'!M22+'R. Wagen CAD'!M31+'T. Trautmann'!M29+'U. Sutter ADM'!M29</f>
        <v>0</v>
      </c>
      <c r="Q40" s="10">
        <v>132</v>
      </c>
      <c r="R40" s="10">
        <f>IFERROR(INDEX('Projekt-Budget-Übersicht'!$F:$F,MATCH(10,'Projekt-Budget-Übersicht'!$L:$L,0)),0)</f>
        <v>0</v>
      </c>
      <c r="S40" s="10">
        <v>68628.19</v>
      </c>
      <c r="T40" s="4"/>
      <c r="U40" s="4"/>
    </row>
    <row r="41" spans="1:21" x14ac:dyDescent="0.25">
      <c r="A41" s="4" t="s">
        <v>299</v>
      </c>
      <c r="B41" s="4" t="s">
        <v>5484</v>
      </c>
      <c r="C41" s="4" t="str">
        <f>IFERROR(INDEX('Projekt-Budget-Übersicht'!$C:$C,MATCH(250,'Projekt-Budget-Übersicht'!$L:$L,0)),"")</f>
        <v/>
      </c>
      <c r="D41" s="4">
        <v>1</v>
      </c>
      <c r="E41" s="4">
        <v>1.25</v>
      </c>
      <c r="F41" s="4">
        <v>0.5</v>
      </c>
      <c r="G41" s="15">
        <v>125</v>
      </c>
      <c r="H41" s="5"/>
      <c r="I41" s="5">
        <f t="shared" si="4"/>
        <v>0</v>
      </c>
      <c r="J41" s="4"/>
      <c r="K41" s="5"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85.714285714285708</v>
      </c>
      <c r="M41" s="10">
        <f t="shared" si="5"/>
        <v>42.857142857142854</v>
      </c>
      <c r="N41" s="10">
        <f t="shared" si="6"/>
        <v>42.857142857142854</v>
      </c>
      <c r="O41" s="10">
        <f t="shared" si="7"/>
        <v>0</v>
      </c>
      <c r="P41" s="10">
        <f>'A. Kokott'!M41</f>
        <v>42.857142857142854</v>
      </c>
      <c r="Q41" s="10">
        <v>7</v>
      </c>
      <c r="R41" s="10">
        <f>IFERROR(INDEX('Projekt-Budget-Übersicht'!$F:$F,MATCH(250,'Projekt-Budget-Übersicht'!$L:$L,0)),0)</f>
        <v>0</v>
      </c>
      <c r="S41" s="10">
        <v>42.5</v>
      </c>
      <c r="T41" s="4"/>
      <c r="U41" s="4"/>
    </row>
    <row r="42" spans="1:21" x14ac:dyDescent="0.25">
      <c r="A42" s="4" t="s">
        <v>523</v>
      </c>
      <c r="B42" s="4" t="s">
        <v>5484</v>
      </c>
      <c r="C42" s="4" t="str">
        <f>IFERROR(INDEX('Projekt-Budget-Übersicht'!$C:$C,MATCH(535,'Projekt-Budget-Übersicht'!$L:$L,0)),"")</f>
        <v/>
      </c>
      <c r="D42" s="4">
        <v>1</v>
      </c>
      <c r="E42" s="4">
        <v>1.25</v>
      </c>
      <c r="F42" s="4">
        <v>0.5</v>
      </c>
      <c r="G42" s="15">
        <v>125</v>
      </c>
      <c r="H42" s="5"/>
      <c r="I42" s="5">
        <f t="shared" si="4"/>
        <v>0</v>
      </c>
      <c r="J42" s="4"/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IF($B$2="-",0,IFERROR(INDEX(IF($B$2="SV",'Projekt-Budget-Übersicht'!$I:$I,IF($B$2="CAD",'Projekt-Budget-Übersicht'!$J:$J,IF($B$2="ADM",'Projekt-Budget-Übersicht'!$K:$K,'Projekt-Budget-Übersicht'!$I:$I))),MATCH(535,'Projekt-Budget-Übersicht'!$M:$M,0)),0))</f>
        <v>79.166666666666671</v>
      </c>
      <c r="M42" s="10">
        <f t="shared" si="5"/>
        <v>39.583333333333336</v>
      </c>
      <c r="N42" s="10">
        <f t="shared" si="6"/>
        <v>39.583333333333336</v>
      </c>
      <c r="O42" s="10">
        <f t="shared" si="7"/>
        <v>0</v>
      </c>
      <c r="P42" s="10">
        <f>'A. Kokott'!M42</f>
        <v>39.583333333333336</v>
      </c>
      <c r="Q42" s="10">
        <v>12</v>
      </c>
      <c r="R42" s="10">
        <f>IFERROR(INDEX('Projekt-Budget-Übersicht'!$F:$F,MATCH(535,'Projekt-Budget-Übersicht'!$L:$L,0)),0)</f>
        <v>0</v>
      </c>
      <c r="S42" s="10">
        <v>17.5</v>
      </c>
      <c r="T42" s="4"/>
      <c r="U42" s="4"/>
    </row>
    <row r="43" spans="1:21" x14ac:dyDescent="0.25">
      <c r="A43" s="4" t="s">
        <v>5497</v>
      </c>
      <c r="B43" s="4" t="s">
        <v>5485</v>
      </c>
      <c r="C43" s="4" t="s">
        <v>50</v>
      </c>
      <c r="D43" s="4">
        <v>0</v>
      </c>
      <c r="E43" s="4">
        <v>0</v>
      </c>
      <c r="F43" s="4">
        <v>0.25</v>
      </c>
      <c r="G43" s="4">
        <v>0</v>
      </c>
      <c r="H43" s="5"/>
      <c r="I43" s="5">
        <f t="shared" si="4"/>
        <v>0</v>
      </c>
      <c r="J43" s="4"/>
      <c r="K43" s="5">
        <v>0</v>
      </c>
      <c r="L43" s="10">
        <f>IF($B$2="-",0,0)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'A. Kokott'!M43</f>
        <v>0</v>
      </c>
      <c r="Q43" s="10"/>
      <c r="R43" s="10">
        <f>0</f>
        <v>0</v>
      </c>
      <c r="S43" s="10"/>
      <c r="T43" s="4"/>
      <c r="U43" s="4"/>
    </row>
    <row r="44" spans="1:21" x14ac:dyDescent="0.25">
      <c r="A44" s="4" t="s">
        <v>770</v>
      </c>
      <c r="B44" s="4" t="s">
        <v>5484</v>
      </c>
      <c r="C44" s="4" t="str">
        <f>IFERROR(INDEX('Projekt-Budget-Übersicht'!$C:$C,MATCH(777,'Projekt-Budget-Übersicht'!$L:$L,0)),"")</f>
        <v/>
      </c>
      <c r="D44" s="4">
        <v>1</v>
      </c>
      <c r="E44" s="4">
        <v>3</v>
      </c>
      <c r="F44" s="4">
        <v>0.5</v>
      </c>
      <c r="G44" s="15">
        <v>300</v>
      </c>
      <c r="H44" s="5"/>
      <c r="I44" s="5">
        <f t="shared" si="4"/>
        <v>0</v>
      </c>
      <c r="J44" s="4"/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IF($B$2="-",0,IFERROR(INDEX(IF($B$2="SV",'Projekt-Budget-Übersicht'!$I:$I,IF($B$2="CAD",'Projekt-Budget-Übersicht'!$J:$J,IF($B$2="ADM",'Projekt-Budget-Übersicht'!$K:$K,'Projekt-Budget-Übersicht'!$I:$I))),MATCH(777,'Projekt-Budget-Übersicht'!$M:$M,0)),0))</f>
        <v>111.2903225806452</v>
      </c>
      <c r="M44" s="10">
        <f t="shared" si="5"/>
        <v>55.645161290322598</v>
      </c>
      <c r="N44" s="10">
        <f t="shared" si="6"/>
        <v>55.645161290322598</v>
      </c>
      <c r="O44" s="10">
        <f t="shared" si="7"/>
        <v>0</v>
      </c>
      <c r="P44" s="10">
        <f>'A. Kokott'!M44</f>
        <v>55.645161290322598</v>
      </c>
      <c r="Q44" s="10">
        <v>767</v>
      </c>
      <c r="R44" s="10">
        <f>IFERROR(INDEX('Projekt-Budget-Übersicht'!$F:$F,MATCH(777,'Projekt-Budget-Übersicht'!$L:$L,0)),0)</f>
        <v>0</v>
      </c>
      <c r="S44" s="10">
        <v>219.15</v>
      </c>
      <c r="T44" s="4"/>
      <c r="U44" s="4"/>
    </row>
    <row r="45" spans="1:21" x14ac:dyDescent="0.25">
      <c r="A45" s="4" t="s">
        <v>879</v>
      </c>
      <c r="B45" s="4" t="s">
        <v>5498</v>
      </c>
      <c r="C45" s="4" t="str">
        <f>IFERROR(INDEX('Projekt-Budget-Übersicht'!$C:$C,MATCH(899,'Projekt-Budget-Übersicht'!$L:$L,0)),"")</f>
        <v/>
      </c>
      <c r="D45" s="4">
        <v>230</v>
      </c>
      <c r="E45" s="4">
        <v>31.75</v>
      </c>
      <c r="F45" s="4">
        <v>0.25</v>
      </c>
      <c r="G45" s="16">
        <v>13.8</v>
      </c>
      <c r="H45" s="5"/>
      <c r="I45" s="5">
        <f t="shared" si="4"/>
        <v>0</v>
      </c>
      <c r="J45" s="4"/>
      <c r="K45" s="5">
        <f>IF('M. Warner'!J8="A. Kokott",'M. Warner'!I8,0)+IF('S. Schüler'!J62="A. Kokott",'S. Schüler'!I62,0)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81.25</v>
      </c>
      <c r="M45" s="10">
        <f t="shared" si="5"/>
        <v>20.3125</v>
      </c>
      <c r="N45" s="10">
        <f t="shared" si="6"/>
        <v>20.3125</v>
      </c>
      <c r="O45" s="10">
        <f t="shared" si="7"/>
        <v>0</v>
      </c>
      <c r="P45" s="10">
        <f>'A. Kokott'!M45+'M. Warner'!M8+'S. Schüler'!M62</f>
        <v>568.75</v>
      </c>
      <c r="Q45" s="10">
        <v>120</v>
      </c>
      <c r="R45" s="10">
        <f>IFERROR(INDEX('Projekt-Budget-Übersicht'!$F:$F,MATCH(899,'Projekt-Budget-Übersicht'!$L:$L,0)),0)</f>
        <v>0</v>
      </c>
      <c r="S45" s="10"/>
      <c r="T45" s="4"/>
      <c r="U45" s="4"/>
    </row>
    <row r="46" spans="1:21" x14ac:dyDescent="0.25">
      <c r="A46" s="4" t="s">
        <v>1403</v>
      </c>
      <c r="B46" s="4" t="s">
        <v>5484</v>
      </c>
      <c r="C46" s="4" t="str">
        <f>IFERROR(INDEX('Projekt-Budget-Übersicht'!$C:$C,MATCH(1544,'Projekt-Budget-Übersicht'!$L:$L,0)),"")</f>
        <v/>
      </c>
      <c r="D46" s="4">
        <v>1</v>
      </c>
      <c r="E46" s="4">
        <v>1.75</v>
      </c>
      <c r="F46" s="4">
        <v>1</v>
      </c>
      <c r="G46" s="15">
        <v>175</v>
      </c>
      <c r="H46" s="5"/>
      <c r="I46" s="5">
        <f t="shared" si="4"/>
        <v>0</v>
      </c>
      <c r="J46" s="4"/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124.32432432432429</v>
      </c>
      <c r="M46" s="10">
        <f t="shared" si="5"/>
        <v>124.32432432432429</v>
      </c>
      <c r="N46" s="10">
        <f t="shared" si="6"/>
        <v>124.32432432432429</v>
      </c>
      <c r="O46" s="10">
        <f t="shared" si="7"/>
        <v>0</v>
      </c>
      <c r="P46" s="10">
        <f>'A. Kokott'!M46</f>
        <v>124.32432432432429</v>
      </c>
      <c r="Q46" s="10">
        <v>161</v>
      </c>
      <c r="R46" s="10">
        <f>IFERROR(INDEX('Projekt-Budget-Übersicht'!$F:$F,MATCH(1544,'Projekt-Budget-Übersicht'!$L:$L,0)),0)</f>
        <v>0</v>
      </c>
      <c r="S46" s="10">
        <v>215</v>
      </c>
      <c r="T46" s="4"/>
      <c r="U46" s="4"/>
    </row>
    <row r="47" spans="1:21" x14ac:dyDescent="0.25">
      <c r="A47" s="21" t="s">
        <v>1490</v>
      </c>
      <c r="B47" s="4" t="s">
        <v>5499</v>
      </c>
      <c r="C47" s="4" t="str">
        <f>IFERROR(INDEX('Projekt-Budget-Übersicht'!$C:$C,MATCH(1677,'Projekt-Budget-Übersicht'!$L:$L,0)),"")</f>
        <v/>
      </c>
      <c r="D47" s="4">
        <v>32</v>
      </c>
      <c r="E47" s="4">
        <v>51.75</v>
      </c>
      <c r="F47" s="4">
        <v>0.5</v>
      </c>
      <c r="G47" s="15">
        <v>161.72</v>
      </c>
      <c r="H47" s="5"/>
      <c r="I47" s="5">
        <f t="shared" si="4"/>
        <v>0</v>
      </c>
      <c r="J47" s="4"/>
      <c r="K47" s="5">
        <f>IF('C. Trapp SV'!J39="A. Kokott",'C. Trapp SV'!I39,0)+IF('S. Roßkopf'!J7="A. Kokott",'S. Roßkopf'!I7,0)</f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47" s="10">
        <f t="shared" si="5"/>
        <v>85</v>
      </c>
      <c r="N47" s="10">
        <f t="shared" si="6"/>
        <v>85</v>
      </c>
      <c r="O47" s="10">
        <f t="shared" si="7"/>
        <v>0</v>
      </c>
      <c r="P47" s="10">
        <f>'A. Kokott'!M47+'C. Trapp SV'!M39+'S. Roßkopf'!M7</f>
        <v>8585</v>
      </c>
      <c r="Q47" s="10">
        <v>32</v>
      </c>
      <c r="R47" s="10">
        <f>IFERROR(INDEX('Projekt-Budget-Übersicht'!$F:$F,MATCH(1677,'Projekt-Budget-Übersicht'!$L:$L,0)),0)</f>
        <v>0</v>
      </c>
      <c r="S47" s="10">
        <v>42.5</v>
      </c>
      <c r="T47" s="4"/>
      <c r="U47" s="4"/>
    </row>
    <row r="48" spans="1:21" x14ac:dyDescent="0.25">
      <c r="A48" s="22"/>
      <c r="B48" s="4" t="s">
        <v>5500</v>
      </c>
      <c r="C48" s="4" t="str">
        <f>IFERROR(INDEX('Projekt-Budget-Übersicht'!$C:$C,MATCH(1680,'Projekt-Budget-Übersicht'!$L:$L,0)),"")</f>
        <v/>
      </c>
      <c r="D48" s="4">
        <v>14.25</v>
      </c>
      <c r="E48" s="4">
        <v>53.25</v>
      </c>
      <c r="F48" s="4">
        <v>0.5</v>
      </c>
      <c r="G48" s="15">
        <v>373.68</v>
      </c>
      <c r="H48" s="5"/>
      <c r="I48" s="5">
        <f t="shared" si="4"/>
        <v>0</v>
      </c>
      <c r="J48" s="4"/>
      <c r="K48" s="5">
        <f>IF('S. Schüler'!J64="A. Kokott",'S. Schüler'!I64,0)</f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48" s="10">
        <f t="shared" si="5"/>
        <v>0</v>
      </c>
      <c r="N48" s="10">
        <f t="shared" si="6"/>
        <v>0</v>
      </c>
      <c r="O48" s="10">
        <f t="shared" si="7"/>
        <v>0</v>
      </c>
      <c r="P48" s="10">
        <f>'A. Kokott'!M48+'S. Schüler'!M64</f>
        <v>0</v>
      </c>
      <c r="Q48" s="10">
        <v>122.25</v>
      </c>
      <c r="R48" s="10">
        <f>IFERROR(INDEX('Projekt-Budget-Übersicht'!$F:$F,MATCH(1680,'Projekt-Budget-Übersicht'!$L:$L,0)),0)</f>
        <v>0</v>
      </c>
      <c r="S48" s="10">
        <v>7561.84</v>
      </c>
      <c r="T48" s="4"/>
      <c r="U48" s="4"/>
    </row>
    <row r="49" spans="1:21" x14ac:dyDescent="0.25">
      <c r="A49" s="4" t="s">
        <v>1562</v>
      </c>
      <c r="B49" s="4" t="s">
        <v>5501</v>
      </c>
      <c r="C49" s="4" t="str">
        <f>IFERROR(INDEX('Projekt-Budget-Übersicht'!$C:$C,MATCH(1764,'Projekt-Budget-Übersicht'!$L:$L,0)),"")</f>
        <v/>
      </c>
      <c r="D49" s="4">
        <v>16</v>
      </c>
      <c r="E49" s="4">
        <v>18</v>
      </c>
      <c r="F49" s="4">
        <v>0.25</v>
      </c>
      <c r="G49" s="15">
        <v>112.5</v>
      </c>
      <c r="H49" s="5"/>
      <c r="I49" s="5">
        <f t="shared" si="4"/>
        <v>0</v>
      </c>
      <c r="J49" s="4"/>
      <c r="K49" s="5">
        <f>IF('J. Dorn'!J51="A. Kokott",'J. Dorn'!I51,0)+IF('T. Trautmann'!J41="A. Kokott",'T. Trautmann'!I41,0)</f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107.8947368421053</v>
      </c>
      <c r="M49" s="10">
        <f t="shared" si="5"/>
        <v>26.973684210526326</v>
      </c>
      <c r="N49" s="10">
        <f t="shared" si="6"/>
        <v>26.973684210526326</v>
      </c>
      <c r="O49" s="10">
        <f t="shared" si="7"/>
        <v>0</v>
      </c>
      <c r="P49" s="10">
        <f>'A. Kokott'!M49+'J. Dorn'!M51+'T. Trautmann'!M41</f>
        <v>269.73684210526324</v>
      </c>
      <c r="Q49" s="10">
        <v>49</v>
      </c>
      <c r="R49" s="10">
        <f>IFERROR(INDEX('Projekt-Budget-Übersicht'!$F:$F,MATCH(1764,'Projekt-Budget-Übersicht'!$L:$L,0)),0)</f>
        <v>0</v>
      </c>
      <c r="S49" s="10">
        <v>1574.15</v>
      </c>
      <c r="T49" s="4"/>
      <c r="U49" s="4"/>
    </row>
    <row r="50" spans="1:21" x14ac:dyDescent="0.25">
      <c r="A50" s="4" t="s">
        <v>2485</v>
      </c>
      <c r="B50" s="4" t="s">
        <v>5502</v>
      </c>
      <c r="C50" s="4" t="str">
        <f>IFERROR(INDEX('Projekt-Budget-Übersicht'!$C:$C,MATCH(2808,'Projekt-Budget-Übersicht'!$L:$L,0)),"")</f>
        <v/>
      </c>
      <c r="D50" s="4">
        <v>100</v>
      </c>
      <c r="E50" s="4">
        <v>101.5</v>
      </c>
      <c r="F50" s="4">
        <v>0.75</v>
      </c>
      <c r="G50" s="15">
        <v>101.5</v>
      </c>
      <c r="H50" s="5"/>
      <c r="I50" s="5">
        <f t="shared" si="4"/>
        <v>0</v>
      </c>
      <c r="J50" s="4"/>
      <c r="K50" s="5"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IF($B$2="-",0,IFERROR(INDEX(IF($B$2="SV",'Projekt-Budget-Übersicht'!$I:$I,IF($B$2="CAD",'Projekt-Budget-Übersicht'!$J:$J,IF($B$2="ADM",'Projekt-Budget-Übersicht'!$K:$K,'Projekt-Budget-Übersicht'!$I:$I))),MATCH(2808,'Projekt-Budget-Übersicht'!$M:$M,0)),0))</f>
        <v>0</v>
      </c>
      <c r="M50" s="10">
        <f t="shared" si="5"/>
        <v>0</v>
      </c>
      <c r="N50" s="10">
        <f t="shared" si="6"/>
        <v>0</v>
      </c>
      <c r="O50" s="10">
        <f t="shared" si="7"/>
        <v>0</v>
      </c>
      <c r="P50" s="10">
        <f>'A. Kokott'!M50</f>
        <v>0</v>
      </c>
      <c r="Q50" s="10">
        <v>180.75</v>
      </c>
      <c r="R50" s="10">
        <f>IFERROR(INDEX('Projekt-Budget-Übersicht'!$F:$F,MATCH(2808,'Projekt-Budget-Übersicht'!$L:$L,0)),0)</f>
        <v>0</v>
      </c>
      <c r="S50" s="10">
        <v>10469.790000000001</v>
      </c>
      <c r="T50" s="4"/>
      <c r="U50" s="4"/>
    </row>
    <row r="51" spans="1:21" x14ac:dyDescent="0.25">
      <c r="A51" s="4" t="s">
        <v>5503</v>
      </c>
      <c r="B51" s="4" t="s">
        <v>5459</v>
      </c>
      <c r="C51" s="4" t="s">
        <v>50</v>
      </c>
      <c r="D51" s="4">
        <v>0</v>
      </c>
      <c r="E51" s="4">
        <v>-1</v>
      </c>
      <c r="F51" s="4">
        <v>0.5</v>
      </c>
      <c r="G51" s="4">
        <v>0</v>
      </c>
      <c r="H51" s="5"/>
      <c r="I51" s="5">
        <f t="shared" si="4"/>
        <v>0</v>
      </c>
      <c r="J51" s="4"/>
      <c r="K51" s="5">
        <f>IF('J. Dorn'!J64="A. Kokott",'J. Dorn'!I64,0)+IF('T. Trautmann'!J50="A. Kokott",'T. Trautmann'!I50,0)</f>
        <v>0</v>
      </c>
      <c r="L51" s="10">
        <f>IF($B$2="-",0,0)</f>
        <v>0</v>
      </c>
      <c r="M51" s="10">
        <f t="shared" si="5"/>
        <v>0</v>
      </c>
      <c r="N51" s="10">
        <f t="shared" si="6"/>
        <v>0</v>
      </c>
      <c r="O51" s="10">
        <f t="shared" si="7"/>
        <v>0</v>
      </c>
      <c r="P51" s="10">
        <f>'A. Kokott'!M51+'J. Dorn'!M64+'T. Trautmann'!M50</f>
        <v>0</v>
      </c>
      <c r="Q51" s="10"/>
      <c r="R51" s="10">
        <f>0</f>
        <v>0</v>
      </c>
      <c r="S51" s="10"/>
      <c r="T51" s="4"/>
      <c r="U51" s="4"/>
    </row>
    <row r="52" spans="1:21" x14ac:dyDescent="0.25">
      <c r="A52" s="4" t="s">
        <v>3244</v>
      </c>
      <c r="B52" s="4" t="s">
        <v>5504</v>
      </c>
      <c r="C52" s="4" t="str">
        <f>IFERROR(INDEX('Projekt-Budget-Übersicht'!$C:$C,MATCH(3472,'Projekt-Budget-Übersicht'!$L:$L,0)),"")</f>
        <v/>
      </c>
      <c r="D52" s="4">
        <v>25</v>
      </c>
      <c r="E52" s="4">
        <v>3.25</v>
      </c>
      <c r="F52" s="4">
        <v>0.5</v>
      </c>
      <c r="G52" s="16">
        <v>13</v>
      </c>
      <c r="H52" s="5"/>
      <c r="I52" s="5">
        <f t="shared" si="4"/>
        <v>0</v>
      </c>
      <c r="J52" s="4"/>
      <c r="K52" s="5">
        <f>IF('P. Bergner'!J32="A. Kokott",'P. Bergner'!I32,0)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IF($B$2="-",0,IFERROR(INDEX(IF($B$2="SV",'Projekt-Budget-Übersicht'!$I:$I,IF($B$2="CAD",'Projekt-Budget-Übersicht'!$J:$J,IF($B$2="ADM",'Projekt-Budget-Übersicht'!$K:$K,'Projekt-Budget-Übersicht'!$I:$I))),MATCH(3472,'Projekt-Budget-Übersicht'!$M:$M,0)),0))</f>
        <v>134</v>
      </c>
      <c r="M52" s="10">
        <f t="shared" si="5"/>
        <v>67</v>
      </c>
      <c r="N52" s="10">
        <f t="shared" si="6"/>
        <v>67</v>
      </c>
      <c r="O52" s="10">
        <f t="shared" si="7"/>
        <v>0</v>
      </c>
      <c r="P52" s="10">
        <f>'A. Kokott'!M52+'P. Bergner'!M32</f>
        <v>335</v>
      </c>
      <c r="Q52" s="10">
        <v>63</v>
      </c>
      <c r="R52" s="10">
        <f>IFERROR(INDEX('Projekt-Budget-Übersicht'!$F:$F,MATCH(3472,'Projekt-Budget-Übersicht'!$L:$L,0)),0)</f>
        <v>0</v>
      </c>
      <c r="S52" s="10">
        <v>235</v>
      </c>
      <c r="T52" s="4"/>
      <c r="U52" s="4"/>
    </row>
    <row r="53" spans="1:21" x14ac:dyDescent="0.25">
      <c r="A53" s="4" t="s">
        <v>3916</v>
      </c>
      <c r="B53" s="4" t="s">
        <v>5484</v>
      </c>
      <c r="C53" s="4" t="str">
        <f>IFERROR(INDEX('Projekt-Budget-Übersicht'!$C:$C,MATCH(4059,'Projekt-Budget-Übersicht'!$L:$L,0)),"")</f>
        <v/>
      </c>
      <c r="D53" s="4">
        <v>1</v>
      </c>
      <c r="E53" s="4">
        <v>1.25</v>
      </c>
      <c r="F53" s="4">
        <v>0.5</v>
      </c>
      <c r="G53" s="15">
        <v>125</v>
      </c>
      <c r="H53" s="5"/>
      <c r="I53" s="5">
        <f t="shared" si="4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112.5</v>
      </c>
      <c r="M53" s="10">
        <f t="shared" si="5"/>
        <v>56.25</v>
      </c>
      <c r="N53" s="10">
        <f t="shared" si="6"/>
        <v>56.25</v>
      </c>
      <c r="O53" s="10">
        <f t="shared" si="7"/>
        <v>0</v>
      </c>
      <c r="P53" s="10">
        <f>'A. Kokott'!M53</f>
        <v>56.25</v>
      </c>
      <c r="Q53" s="10">
        <v>199</v>
      </c>
      <c r="R53" s="10">
        <f>IFERROR(INDEX('Projekt-Budget-Übersicht'!$F:$F,MATCH(4059,'Projekt-Budget-Übersicht'!$L:$L,0)),0)</f>
        <v>0</v>
      </c>
      <c r="S53" s="10">
        <v>67.5</v>
      </c>
      <c r="T53" s="4"/>
      <c r="U53" s="4"/>
    </row>
    <row r="54" spans="1:21" x14ac:dyDescent="0.25">
      <c r="A54" s="4" t="s">
        <v>5505</v>
      </c>
      <c r="B54" s="4" t="s">
        <v>5484</v>
      </c>
      <c r="C54" s="4" t="s">
        <v>50</v>
      </c>
      <c r="D54" s="4">
        <v>0</v>
      </c>
      <c r="E54" s="4">
        <v>0</v>
      </c>
      <c r="F54" s="4">
        <v>0.5</v>
      </c>
      <c r="G54" s="4">
        <v>0</v>
      </c>
      <c r="H54" s="5"/>
      <c r="I54" s="5">
        <f t="shared" si="4"/>
        <v>0</v>
      </c>
      <c r="J54" s="4"/>
      <c r="K54" s="5">
        <v>0</v>
      </c>
      <c r="L54" s="10">
        <f>IF($B$2="-",0,0)</f>
        <v>0</v>
      </c>
      <c r="M54" s="10">
        <f t="shared" si="5"/>
        <v>0</v>
      </c>
      <c r="N54" s="10">
        <f t="shared" si="6"/>
        <v>0</v>
      </c>
      <c r="O54" s="10">
        <f t="shared" si="7"/>
        <v>0</v>
      </c>
      <c r="P54" s="10">
        <f>'A. Kokott'!M54</f>
        <v>0</v>
      </c>
      <c r="Q54" s="10"/>
      <c r="R54" s="10">
        <f>0</f>
        <v>0</v>
      </c>
      <c r="S54" s="10"/>
      <c r="T54" s="4"/>
      <c r="U54" s="4"/>
    </row>
    <row r="55" spans="1:21" x14ac:dyDescent="0.25">
      <c r="A55" s="4" t="s">
        <v>4757</v>
      </c>
      <c r="B55" s="4" t="s">
        <v>5484</v>
      </c>
      <c r="C55" s="4" t="str">
        <f>IFERROR(INDEX('Projekt-Budget-Übersicht'!$C:$C,MATCH(4775,'Projekt-Budget-Übersicht'!$L:$L,0)),"")</f>
        <v/>
      </c>
      <c r="D55" s="4">
        <v>1</v>
      </c>
      <c r="E55" s="4">
        <v>1.5</v>
      </c>
      <c r="F55" s="4">
        <v>0.5</v>
      </c>
      <c r="G55" s="15">
        <v>150</v>
      </c>
      <c r="H55" s="5"/>
      <c r="I55" s="5">
        <f t="shared" si="4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117.07317073170729</v>
      </c>
      <c r="M55" s="10">
        <f t="shared" si="5"/>
        <v>58.536585365853647</v>
      </c>
      <c r="N55" s="10">
        <f t="shared" si="6"/>
        <v>58.536585365853647</v>
      </c>
      <c r="O55" s="10">
        <f t="shared" si="7"/>
        <v>0</v>
      </c>
      <c r="P55" s="10">
        <f>'A. Kokott'!M55</f>
        <v>58.536585365853647</v>
      </c>
      <c r="Q55" s="10">
        <v>64</v>
      </c>
      <c r="R55" s="10">
        <f>IFERROR(INDEX('Projekt-Budget-Übersicht'!$F:$F,MATCH(4775,'Projekt-Budget-Übersicht'!$L:$L,0)),0)</f>
        <v>0</v>
      </c>
      <c r="S55" s="10">
        <v>687.5</v>
      </c>
      <c r="T55" s="4"/>
      <c r="U55" s="4"/>
    </row>
    <row r="56" spans="1:21" x14ac:dyDescent="0.25">
      <c r="A56" s="4" t="s">
        <v>4785</v>
      </c>
      <c r="B56" s="4" t="s">
        <v>5484</v>
      </c>
      <c r="C56" s="4" t="str">
        <f>IFERROR(INDEX('Projekt-Budget-Übersicht'!$C:$C,MATCH(4792,'Projekt-Budget-Übersicht'!$L:$L,0)),"")</f>
        <v/>
      </c>
      <c r="D56" s="4">
        <v>1</v>
      </c>
      <c r="E56" s="4">
        <v>0.5</v>
      </c>
      <c r="F56" s="4">
        <v>0.5</v>
      </c>
      <c r="G56" s="16">
        <v>50</v>
      </c>
      <c r="H56" s="5"/>
      <c r="I56" s="5">
        <f t="shared" si="4"/>
        <v>0</v>
      </c>
      <c r="J56" s="4"/>
      <c r="K56" s="5"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126.92307692307691</v>
      </c>
      <c r="M56" s="10">
        <f t="shared" si="5"/>
        <v>63.461538461538453</v>
      </c>
      <c r="N56" s="10">
        <f t="shared" si="6"/>
        <v>63.461538461538453</v>
      </c>
      <c r="O56" s="10">
        <f t="shared" si="7"/>
        <v>0</v>
      </c>
      <c r="P56" s="10">
        <f>'A. Kokott'!M56</f>
        <v>63.461538461538453</v>
      </c>
      <c r="Q56" s="10">
        <v>59</v>
      </c>
      <c r="R56" s="10">
        <f>IFERROR(INDEX('Projekt-Budget-Übersicht'!$F:$F,MATCH(4792,'Projekt-Budget-Übersicht'!$L:$L,0)),0)</f>
        <v>0</v>
      </c>
      <c r="S56" s="10">
        <v>330.82</v>
      </c>
      <c r="T56" s="4"/>
      <c r="U56" s="4"/>
    </row>
    <row r="57" spans="1:21" x14ac:dyDescent="0.25">
      <c r="A57" s="4" t="s">
        <v>4797</v>
      </c>
      <c r="B57" s="4" t="s">
        <v>5484</v>
      </c>
      <c r="C57" s="4" t="str">
        <f>IFERROR(INDEX('Projekt-Budget-Übersicht'!$C:$C,MATCH(4803,'Projekt-Budget-Übersicht'!$L:$L,0)),"")</f>
        <v/>
      </c>
      <c r="D57" s="4">
        <v>1</v>
      </c>
      <c r="E57" s="4">
        <v>1.25</v>
      </c>
      <c r="F57" s="4">
        <v>0.5</v>
      </c>
      <c r="G57" s="15">
        <v>125</v>
      </c>
      <c r="H57" s="5"/>
      <c r="I57" s="5">
        <f t="shared" si="4"/>
        <v>0</v>
      </c>
      <c r="J57" s="4"/>
      <c r="K57" s="5"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126.92307692307691</v>
      </c>
      <c r="M57" s="10">
        <f t="shared" si="5"/>
        <v>63.461538461538453</v>
      </c>
      <c r="N57" s="10">
        <f t="shared" si="6"/>
        <v>63.461538461538453</v>
      </c>
      <c r="O57" s="10">
        <f t="shared" si="7"/>
        <v>0</v>
      </c>
      <c r="P57" s="10">
        <f>'A. Kokott'!M57</f>
        <v>63.461538461538453</v>
      </c>
      <c r="Q57" s="10">
        <v>126</v>
      </c>
      <c r="R57" s="10">
        <f>IFERROR(INDEX('Projekt-Budget-Übersicht'!$F:$F,MATCH(4803,'Projekt-Budget-Übersicht'!$L:$L,0)),0)</f>
        <v>0</v>
      </c>
      <c r="S57" s="10">
        <v>330.82</v>
      </c>
      <c r="T57" s="4"/>
      <c r="U57" s="4"/>
    </row>
    <row r="58" spans="1:21" x14ac:dyDescent="0.25">
      <c r="A58" s="4" t="s">
        <v>4799</v>
      </c>
      <c r="B58" s="4" t="s">
        <v>5485</v>
      </c>
      <c r="C58" s="4" t="str">
        <f>IFERROR(INDEX('Projekt-Budget-Übersicht'!$C:$C,MATCH(4805,'Projekt-Budget-Übersicht'!$L:$L,0)),"")</f>
        <v/>
      </c>
      <c r="D58" s="4">
        <v>20</v>
      </c>
      <c r="E58" s="4">
        <v>19.25</v>
      </c>
      <c r="F58" s="4">
        <v>0.5</v>
      </c>
      <c r="G58" s="14">
        <v>96.25</v>
      </c>
      <c r="H58" s="5"/>
      <c r="I58" s="5">
        <f t="shared" si="4"/>
        <v>0</v>
      </c>
      <c r="J58" s="4"/>
      <c r="K58" s="5">
        <f>IF('R. Böttiger'!J40="A. Kokott",'R. Böttiger'!I40,0)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IF($B$2="-",0,IFERROR(INDEX(IF($B$2="SV",'Projekt-Budget-Übersicht'!$I:$I,IF($B$2="CAD",'Projekt-Budget-Übersicht'!$J:$J,IF($B$2="ADM",'Projekt-Budget-Übersicht'!$K:$K,'Projekt-Budget-Übersicht'!$I:$I))),MATCH(4805,'Projekt-Budget-Übersicht'!$M:$M,0)),0))</f>
        <v>123.8095238095238</v>
      </c>
      <c r="M58" s="10">
        <f t="shared" si="5"/>
        <v>61.904761904761898</v>
      </c>
      <c r="N58" s="10">
        <f t="shared" si="6"/>
        <v>61.904761904761898</v>
      </c>
      <c r="O58" s="10">
        <f t="shared" si="7"/>
        <v>0</v>
      </c>
      <c r="P58" s="10">
        <f>'A. Kokott'!M58+'R. Böttiger'!M40</f>
        <v>1330.9523809523807</v>
      </c>
      <c r="Q58" s="10">
        <v>21</v>
      </c>
      <c r="R58" s="10">
        <f>IFERROR(INDEX('Projekt-Budget-Übersicht'!$F:$F,MATCH(4805,'Projekt-Budget-Übersicht'!$L:$L,0)),0)</f>
        <v>0</v>
      </c>
      <c r="S58" s="10">
        <v>55</v>
      </c>
      <c r="T58" s="4"/>
      <c r="U58" s="4"/>
    </row>
    <row r="59" spans="1:21" x14ac:dyDescent="0.25">
      <c r="A59" s="4" t="s">
        <v>4809</v>
      </c>
      <c r="B59" s="4" t="s">
        <v>5485</v>
      </c>
      <c r="C59" s="4" t="str">
        <f>IFERROR(INDEX('Projekt-Budget-Übersicht'!$C:$C,MATCH(4813,'Projekt-Budget-Übersicht'!$L:$L,0)),"")</f>
        <v/>
      </c>
      <c r="D59" s="4">
        <v>20</v>
      </c>
      <c r="E59" s="4">
        <v>21</v>
      </c>
      <c r="F59" s="4">
        <v>0.5</v>
      </c>
      <c r="G59" s="15">
        <v>105</v>
      </c>
      <c r="H59" s="5"/>
      <c r="I59" s="5">
        <f t="shared" si="4"/>
        <v>0</v>
      </c>
      <c r="J59" s="4"/>
      <c r="K59" s="5">
        <f>IF('J. Dorn'!J72="A. Kokott",'J. Dorn'!I72,0)</f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118.5185185185185</v>
      </c>
      <c r="M59" s="10">
        <f t="shared" si="5"/>
        <v>59.259259259259252</v>
      </c>
      <c r="N59" s="10">
        <f t="shared" si="6"/>
        <v>59.259259259259252</v>
      </c>
      <c r="O59" s="10">
        <f t="shared" si="7"/>
        <v>0</v>
      </c>
      <c r="P59" s="10">
        <f>'A. Kokott'!M59+'J. Dorn'!M72</f>
        <v>237.03703703703701</v>
      </c>
      <c r="Q59" s="10">
        <v>62</v>
      </c>
      <c r="R59" s="10">
        <f>IFERROR(INDEX('Projekt-Budget-Übersicht'!$F:$F,MATCH(4813,'Projekt-Budget-Übersicht'!$L:$L,0)),0)</f>
        <v>0</v>
      </c>
      <c r="S59" s="10">
        <v>440</v>
      </c>
      <c r="T59" s="4"/>
      <c r="U59" s="4"/>
    </row>
    <row r="60" spans="1:21" x14ac:dyDescent="0.25">
      <c r="A60" s="4" t="s">
        <v>4818</v>
      </c>
      <c r="B60" s="4" t="s">
        <v>5484</v>
      </c>
      <c r="C60" s="4" t="str">
        <f>IFERROR(INDEX('Projekt-Budget-Übersicht'!$C:$C,MATCH(4820,'Projekt-Budget-Übersicht'!$L:$L,0)),"")</f>
        <v/>
      </c>
      <c r="D60" s="4">
        <v>60</v>
      </c>
      <c r="E60" s="4">
        <v>1</v>
      </c>
      <c r="F60" s="4">
        <v>1</v>
      </c>
      <c r="G60" s="16">
        <v>1.67</v>
      </c>
      <c r="H60" s="5"/>
      <c r="I60" s="5">
        <f t="shared" si="4"/>
        <v>0</v>
      </c>
      <c r="J60" s="4"/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1.1503067484662579</v>
      </c>
      <c r="M60" s="10">
        <f t="shared" si="5"/>
        <v>1.1503067484662579</v>
      </c>
      <c r="N60" s="10">
        <f t="shared" si="6"/>
        <v>1.1503067484662579</v>
      </c>
      <c r="O60" s="10">
        <f t="shared" si="7"/>
        <v>0</v>
      </c>
      <c r="P60" s="10">
        <f>'A. Kokott'!M60</f>
        <v>1.1503067484662579</v>
      </c>
      <c r="Q60" s="10">
        <v>3275</v>
      </c>
      <c r="R60" s="10">
        <f>IFERROR(INDEX('Projekt-Budget-Übersicht'!$F:$F,MATCH(4820,'Projekt-Budget-Übersicht'!$L:$L,0)),0)</f>
        <v>0</v>
      </c>
      <c r="S60" s="10">
        <v>335.82</v>
      </c>
      <c r="T60" s="4"/>
      <c r="U60" s="4"/>
    </row>
    <row r="61" spans="1:21" x14ac:dyDescent="0.25">
      <c r="A61" s="21" t="s">
        <v>5506</v>
      </c>
      <c r="B61" s="4" t="s">
        <v>5507</v>
      </c>
      <c r="C61" s="4" t="str">
        <f>IFERROR(INDEX('Projekt-Budget-Übersicht'!$C:$C,MATCH(4888,'Projekt-Budget-Übersicht'!$L:$L,0)),"")</f>
        <v/>
      </c>
      <c r="D61" s="4">
        <v>10</v>
      </c>
      <c r="E61" s="4">
        <v>11.5</v>
      </c>
      <c r="F61" s="4">
        <v>0.5</v>
      </c>
      <c r="G61" s="15">
        <v>115</v>
      </c>
      <c r="H61" s="5"/>
      <c r="I61" s="5">
        <f t="shared" si="4"/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IF($B$2="-",0,IFERROR(INDEX(IF($B$2="SV",'Projekt-Budget-Übersicht'!$I:$I,IF($B$2="CAD",'Projekt-Budget-Übersicht'!$J:$J,IF($B$2="ADM",'Projekt-Budget-Übersicht'!$K:$K,'Projekt-Budget-Übersicht'!$I:$I))),MATCH(4888,'Projekt-Budget-Übersicht'!$M:$M,0)),0))</f>
        <v>0</v>
      </c>
      <c r="M61" s="10">
        <f t="shared" si="5"/>
        <v>0</v>
      </c>
      <c r="N61" s="10">
        <f t="shared" si="6"/>
        <v>0</v>
      </c>
      <c r="O61" s="10">
        <f t="shared" si="7"/>
        <v>0</v>
      </c>
      <c r="P61" s="10">
        <f>'A. Kokott'!M61</f>
        <v>0</v>
      </c>
      <c r="Q61" s="10">
        <v>10</v>
      </c>
      <c r="R61" s="10">
        <f>IFERROR(INDEX('Projekt-Budget-Übersicht'!$F:$F,MATCH(4888,'Projekt-Budget-Übersicht'!$L:$L,0)),0)</f>
        <v>0</v>
      </c>
      <c r="S61" s="10">
        <v>107.5</v>
      </c>
      <c r="T61" s="4"/>
      <c r="U61" s="4"/>
    </row>
    <row r="62" spans="1:21" x14ac:dyDescent="0.25">
      <c r="A62" s="22"/>
      <c r="B62" s="4" t="s">
        <v>5508</v>
      </c>
      <c r="C62" s="4" t="str">
        <f>IFERROR(INDEX('Projekt-Budget-Übersicht'!$C:$C,MATCH(4890,'Projekt-Budget-Übersicht'!$L:$L,0)),"")</f>
        <v/>
      </c>
      <c r="D62" s="4">
        <v>10</v>
      </c>
      <c r="E62" s="4">
        <v>10</v>
      </c>
      <c r="F62" s="4">
        <v>0.5</v>
      </c>
      <c r="G62" s="14">
        <v>100</v>
      </c>
      <c r="H62" s="5"/>
      <c r="I62" s="5">
        <f t="shared" si="4"/>
        <v>0</v>
      </c>
      <c r="J62" s="4"/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IF($B$2="-",0,IFERROR(INDEX(IF($B$2="SV",'Projekt-Budget-Übersicht'!$I:$I,IF($B$2="CAD",'Projekt-Budget-Übersicht'!$J:$J,IF($B$2="ADM",'Projekt-Budget-Übersicht'!$K:$K,'Projekt-Budget-Übersicht'!$I:$I))),MATCH(4890,'Projekt-Budget-Übersicht'!$M:$M,0)),0))</f>
        <v>0</v>
      </c>
      <c r="M62" s="10">
        <f t="shared" si="5"/>
        <v>0</v>
      </c>
      <c r="N62" s="10">
        <f t="shared" si="6"/>
        <v>0</v>
      </c>
      <c r="O62" s="10">
        <f t="shared" si="7"/>
        <v>0</v>
      </c>
      <c r="P62" s="10">
        <f>'A. Kokott'!M62</f>
        <v>0</v>
      </c>
      <c r="Q62" s="10">
        <v>10</v>
      </c>
      <c r="R62" s="10">
        <f>IFERROR(INDEX('Projekt-Budget-Übersicht'!$F:$F,MATCH(4890,'Projekt-Budget-Übersicht'!$L:$L,0)),0)</f>
        <v>0</v>
      </c>
      <c r="S62" s="10">
        <v>17.5</v>
      </c>
      <c r="T62" s="4"/>
      <c r="U62" s="4"/>
    </row>
    <row r="63" spans="1:21" x14ac:dyDescent="0.25">
      <c r="A63" s="4" t="s">
        <v>4911</v>
      </c>
      <c r="B63" s="4" t="s">
        <v>5484</v>
      </c>
      <c r="C63" s="4" t="str">
        <f>IFERROR(INDEX('Projekt-Budget-Übersicht'!$C:$C,MATCH(4897,'Projekt-Budget-Übersicht'!$L:$L,0)),"")</f>
        <v/>
      </c>
      <c r="D63" s="4">
        <v>1</v>
      </c>
      <c r="E63" s="4">
        <v>1.25</v>
      </c>
      <c r="F63" s="4">
        <v>0.5</v>
      </c>
      <c r="G63" s="15">
        <v>125</v>
      </c>
      <c r="H63" s="5"/>
      <c r="I63" s="5">
        <f t="shared" si="4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127.27272727272729</v>
      </c>
      <c r="M63" s="10">
        <f t="shared" si="5"/>
        <v>63.636363636363647</v>
      </c>
      <c r="N63" s="10">
        <f t="shared" si="6"/>
        <v>63.636363636363647</v>
      </c>
      <c r="O63" s="10">
        <f t="shared" si="7"/>
        <v>0</v>
      </c>
      <c r="P63" s="10">
        <f>'A. Kokott'!M63</f>
        <v>63.636363636363647</v>
      </c>
      <c r="Q63" s="10">
        <v>68</v>
      </c>
      <c r="R63" s="10">
        <f>IFERROR(INDEX('Projekt-Budget-Übersicht'!$F:$F,MATCH(4897,'Projekt-Budget-Übersicht'!$L:$L,0)),0)</f>
        <v>0</v>
      </c>
      <c r="S63" s="10">
        <v>267.5</v>
      </c>
      <c r="T63" s="4"/>
      <c r="U63" s="4"/>
    </row>
    <row r="64" spans="1:21" x14ac:dyDescent="0.25">
      <c r="A64" s="4" t="s">
        <v>4954</v>
      </c>
      <c r="B64" s="4" t="s">
        <v>5484</v>
      </c>
      <c r="C64" s="4" t="str">
        <f>IFERROR(INDEX('Projekt-Budget-Übersicht'!$C:$C,MATCH(4930,'Projekt-Budget-Übersicht'!$L:$L,0)),"")</f>
        <v/>
      </c>
      <c r="D64" s="4">
        <v>1</v>
      </c>
      <c r="E64" s="4">
        <v>1.25</v>
      </c>
      <c r="F64" s="4">
        <v>0.5</v>
      </c>
      <c r="G64" s="15">
        <v>125</v>
      </c>
      <c r="H64" s="5"/>
      <c r="I64" s="5">
        <f t="shared" si="4"/>
        <v>0</v>
      </c>
      <c r="J64" s="4"/>
      <c r="K64" s="5"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127.7777777777778</v>
      </c>
      <c r="M64" s="10">
        <f t="shared" si="5"/>
        <v>63.8888888888889</v>
      </c>
      <c r="N64" s="10">
        <f t="shared" si="6"/>
        <v>63.8888888888889</v>
      </c>
      <c r="O64" s="10">
        <f t="shared" si="7"/>
        <v>0</v>
      </c>
      <c r="P64" s="10">
        <f>'A. Kokott'!M64</f>
        <v>63.8888888888889</v>
      </c>
      <c r="Q64" s="10">
        <v>17</v>
      </c>
      <c r="R64" s="10">
        <f>IFERROR(INDEX('Projekt-Budget-Übersicht'!$F:$F,MATCH(4930,'Projekt-Budget-Übersicht'!$L:$L,0)),0)</f>
        <v>0</v>
      </c>
      <c r="S64" s="10">
        <v>85</v>
      </c>
      <c r="T64" s="4"/>
      <c r="U64" s="4"/>
    </row>
    <row r="65" spans="1:21" x14ac:dyDescent="0.25">
      <c r="A65" s="4" t="s">
        <v>4958</v>
      </c>
      <c r="B65" s="4" t="s">
        <v>5484</v>
      </c>
      <c r="C65" s="4" t="str">
        <f>IFERROR(INDEX('Projekt-Budget-Übersicht'!$C:$C,MATCH(4932,'Projekt-Budget-Übersicht'!$L:$L,0)),"")</f>
        <v/>
      </c>
      <c r="D65" s="4">
        <v>1</v>
      </c>
      <c r="E65" s="4">
        <v>2.25</v>
      </c>
      <c r="F65" s="4">
        <v>1</v>
      </c>
      <c r="G65" s="15">
        <v>225</v>
      </c>
      <c r="H65" s="5"/>
      <c r="I65" s="5">
        <f t="shared" si="4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127.27272727272729</v>
      </c>
      <c r="M65" s="10">
        <f t="shared" si="5"/>
        <v>127.27272727272729</v>
      </c>
      <c r="N65" s="10">
        <f t="shared" si="6"/>
        <v>127.27272727272729</v>
      </c>
      <c r="O65" s="10">
        <f t="shared" si="7"/>
        <v>0</v>
      </c>
      <c r="P65" s="10">
        <f>'A. Kokott'!M65</f>
        <v>127.27272727272729</v>
      </c>
      <c r="Q65" s="10">
        <v>73</v>
      </c>
      <c r="R65" s="10">
        <f>IFERROR(INDEX('Projekt-Budget-Übersicht'!$F:$F,MATCH(4932,'Projekt-Budget-Übersicht'!$L:$L,0)),0)</f>
        <v>0</v>
      </c>
      <c r="S65" s="10">
        <v>315.82</v>
      </c>
      <c r="T65" s="4"/>
      <c r="U65" s="4"/>
    </row>
    <row r="66" spans="1:21" x14ac:dyDescent="0.25">
      <c r="A66" s="4" t="s">
        <v>5033</v>
      </c>
      <c r="B66" s="4" t="s">
        <v>5484</v>
      </c>
      <c r="C66" s="4" t="str">
        <f>IFERROR(INDEX('Projekt-Budget-Übersicht'!$C:$C,MATCH(5015,'Projekt-Budget-Übersicht'!$L:$L,0)),"")</f>
        <v/>
      </c>
      <c r="D66" s="4">
        <v>1</v>
      </c>
      <c r="E66" s="4">
        <v>2.5</v>
      </c>
      <c r="F66" s="4">
        <v>0.5</v>
      </c>
      <c r="G66" s="15">
        <v>250</v>
      </c>
      <c r="H66" s="5"/>
      <c r="I66" s="5">
        <f t="shared" si="4"/>
        <v>0</v>
      </c>
      <c r="J66" s="4"/>
      <c r="K66" s="5"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118.1818181818182</v>
      </c>
      <c r="M66" s="10">
        <f t="shared" si="5"/>
        <v>59.090909090909101</v>
      </c>
      <c r="N66" s="10">
        <f t="shared" si="6"/>
        <v>59.090909090909101</v>
      </c>
      <c r="O66" s="10">
        <f t="shared" si="7"/>
        <v>0</v>
      </c>
      <c r="P66" s="10">
        <f>'A. Kokott'!M66</f>
        <v>59.090909090909101</v>
      </c>
      <c r="Q66" s="10">
        <v>22</v>
      </c>
      <c r="R66" s="10">
        <f>IFERROR(INDEX('Projekt-Budget-Übersicht'!$F:$F,MATCH(5015,'Projekt-Budget-Übersicht'!$L:$L,0)),0)</f>
        <v>0</v>
      </c>
      <c r="S66" s="10">
        <v>248.32</v>
      </c>
      <c r="T66" s="4"/>
      <c r="U66" s="4"/>
    </row>
    <row r="67" spans="1:21" x14ac:dyDescent="0.25">
      <c r="A67" s="4" t="s">
        <v>5038</v>
      </c>
      <c r="B67" s="4" t="s">
        <v>5509</v>
      </c>
      <c r="C67" s="4" t="str">
        <f>IFERROR(INDEX('Projekt-Budget-Übersicht'!$C:$C,MATCH(5020,'Projekt-Budget-Übersicht'!$L:$L,0)),"")</f>
        <v/>
      </c>
      <c r="D67" s="4">
        <v>31</v>
      </c>
      <c r="E67" s="4">
        <v>38.75</v>
      </c>
      <c r="F67" s="4">
        <v>0.5</v>
      </c>
      <c r="G67" s="15">
        <v>125</v>
      </c>
      <c r="H67" s="5"/>
      <c r="I67" s="5">
        <f t="shared" si="4"/>
        <v>0</v>
      </c>
      <c r="J67" s="4"/>
      <c r="K67" s="5">
        <f>IF('M. Bandlofsky'!J36="A. Kokott",'M. Bandlofsky'!I36,0)</f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123.8095238095238</v>
      </c>
      <c r="M67" s="10">
        <f t="shared" si="5"/>
        <v>61.904761904761898</v>
      </c>
      <c r="N67" s="10">
        <f t="shared" si="6"/>
        <v>61.904761904761898</v>
      </c>
      <c r="O67" s="10">
        <f t="shared" si="7"/>
        <v>0</v>
      </c>
      <c r="P67" s="10">
        <f>'A. Kokott'!M67+'M. Bandlofsky'!M36</f>
        <v>433.33333333333326</v>
      </c>
      <c r="Q67" s="10">
        <v>123</v>
      </c>
      <c r="R67" s="10">
        <f>IFERROR(INDEX('Projekt-Budget-Übersicht'!$F:$F,MATCH(5020,'Projekt-Budget-Übersicht'!$L:$L,0)),0)</f>
        <v>0</v>
      </c>
      <c r="S67" s="10">
        <v>756.58</v>
      </c>
      <c r="T67" s="4"/>
      <c r="U67" s="4"/>
    </row>
    <row r="68" spans="1:21" x14ac:dyDescent="0.25">
      <c r="A68" s="4" t="s">
        <v>5063</v>
      </c>
      <c r="B68" s="4" t="s">
        <v>5484</v>
      </c>
      <c r="C68" s="4" t="str">
        <f>IFERROR(INDEX('Projekt-Budget-Übersicht'!$C:$C,MATCH(5044,'Projekt-Budget-Übersicht'!$L:$L,0)),"")</f>
        <v/>
      </c>
      <c r="D68" s="4">
        <v>1</v>
      </c>
      <c r="E68" s="4">
        <v>1.75</v>
      </c>
      <c r="F68" s="4">
        <v>0.5</v>
      </c>
      <c r="G68" s="15">
        <v>175</v>
      </c>
      <c r="H68" s="5"/>
      <c r="I68" s="5">
        <f t="shared" si="4"/>
        <v>0</v>
      </c>
      <c r="J68" s="4"/>
      <c r="K68" s="5"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127.27272727272729</v>
      </c>
      <c r="M68" s="10">
        <f t="shared" si="5"/>
        <v>63.636363636363647</v>
      </c>
      <c r="N68" s="10">
        <f t="shared" si="6"/>
        <v>63.636363636363647</v>
      </c>
      <c r="O68" s="10">
        <f t="shared" si="7"/>
        <v>0</v>
      </c>
      <c r="P68" s="10">
        <f>'A. Kokott'!M68</f>
        <v>63.636363636363647</v>
      </c>
      <c r="Q68" s="10">
        <v>44</v>
      </c>
      <c r="R68" s="10">
        <f>IFERROR(INDEX('Projekt-Budget-Übersicht'!$F:$F,MATCH(5044,'Projekt-Budget-Übersicht'!$L:$L,0)),0)</f>
        <v>0</v>
      </c>
      <c r="S68" s="10">
        <v>235</v>
      </c>
      <c r="T68" s="4"/>
      <c r="U68" s="4"/>
    </row>
    <row r="69" spans="1:21" x14ac:dyDescent="0.25">
      <c r="A69" s="4" t="s">
        <v>5064</v>
      </c>
      <c r="B69" s="4" t="s">
        <v>5484</v>
      </c>
      <c r="C69" s="4" t="str">
        <f>IFERROR(INDEX('Projekt-Budget-Übersicht'!$C:$C,MATCH(5045,'Projekt-Budget-Übersicht'!$L:$L,0)),"")</f>
        <v/>
      </c>
      <c r="D69" s="4">
        <v>1</v>
      </c>
      <c r="E69" s="4">
        <v>1.75</v>
      </c>
      <c r="F69" s="4">
        <v>0.5</v>
      </c>
      <c r="G69" s="15">
        <v>175</v>
      </c>
      <c r="H69" s="5"/>
      <c r="I69" s="5">
        <f t="shared" si="4"/>
        <v>0</v>
      </c>
      <c r="J69" s="4"/>
      <c r="K69" s="5"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127.27272727272729</v>
      </c>
      <c r="M69" s="10">
        <f t="shared" si="5"/>
        <v>63.636363636363647</v>
      </c>
      <c r="N69" s="10">
        <f t="shared" si="6"/>
        <v>63.636363636363647</v>
      </c>
      <c r="O69" s="10">
        <f t="shared" si="7"/>
        <v>0</v>
      </c>
      <c r="P69" s="10">
        <f>'A. Kokott'!M69</f>
        <v>63.636363636363647</v>
      </c>
      <c r="Q69" s="10">
        <v>514</v>
      </c>
      <c r="R69" s="10">
        <f>IFERROR(INDEX('Projekt-Budget-Übersicht'!$F:$F,MATCH(5045,'Projekt-Budget-Übersicht'!$L:$L,0)),0)</f>
        <v>0</v>
      </c>
      <c r="S69" s="10">
        <v>222.5</v>
      </c>
      <c r="T69" s="4"/>
      <c r="U69" s="4"/>
    </row>
    <row r="70" spans="1:21" x14ac:dyDescent="0.25">
      <c r="A70" s="4" t="s">
        <v>5142</v>
      </c>
      <c r="B70" s="4" t="s">
        <v>5484</v>
      </c>
      <c r="C70" s="4" t="str">
        <f>IFERROR(INDEX('Projekt-Budget-Übersicht'!$C:$C,MATCH(5106,'Projekt-Budget-Übersicht'!$L:$L,0)),"")</f>
        <v/>
      </c>
      <c r="D70" s="4">
        <v>1</v>
      </c>
      <c r="E70" s="4">
        <v>1.75</v>
      </c>
      <c r="F70" s="4">
        <v>0.5</v>
      </c>
      <c r="G70" s="15">
        <v>175</v>
      </c>
      <c r="H70" s="5"/>
      <c r="I70" s="5">
        <f t="shared" si="4"/>
        <v>0</v>
      </c>
      <c r="J70" s="4"/>
      <c r="K70" s="5">
        <v>0</v>
      </c>
      <c r="L70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114.8148148148148</v>
      </c>
      <c r="M70" s="10">
        <f t="shared" si="5"/>
        <v>57.407407407407398</v>
      </c>
      <c r="N70" s="10">
        <f t="shared" si="6"/>
        <v>57.407407407407398</v>
      </c>
      <c r="O70" s="10">
        <f t="shared" si="7"/>
        <v>0</v>
      </c>
      <c r="P70" s="10">
        <f>'A. Kokott'!M70</f>
        <v>57.407407407407398</v>
      </c>
      <c r="Q70" s="10">
        <v>54</v>
      </c>
      <c r="R70" s="10">
        <f>IFERROR(INDEX('Projekt-Budget-Übersicht'!$F:$F,MATCH(5106,'Projekt-Budget-Übersicht'!$L:$L,0)),0)</f>
        <v>0</v>
      </c>
      <c r="S70" s="10">
        <v>385</v>
      </c>
      <c r="T70" s="4"/>
      <c r="U70" s="4"/>
    </row>
    <row r="71" spans="1:21" x14ac:dyDescent="0.25">
      <c r="A71" s="4" t="s">
        <v>5143</v>
      </c>
      <c r="B71" s="4" t="s">
        <v>5484</v>
      </c>
      <c r="C71" s="4" t="str">
        <f>IFERROR(INDEX('Projekt-Budget-Übersicht'!$C:$C,MATCH(5107,'Projekt-Budget-Übersicht'!$L:$L,0)),"")</f>
        <v/>
      </c>
      <c r="D71" s="4">
        <v>1</v>
      </c>
      <c r="E71" s="4">
        <v>1.75</v>
      </c>
      <c r="F71" s="4">
        <v>0.5</v>
      </c>
      <c r="G71" s="15">
        <v>175</v>
      </c>
      <c r="H71" s="5"/>
      <c r="I71" s="5">
        <f t="shared" si="4"/>
        <v>0</v>
      </c>
      <c r="J71" s="4"/>
      <c r="K71" s="5"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114.8148148148148</v>
      </c>
      <c r="M71" s="10">
        <f t="shared" si="5"/>
        <v>57.407407407407398</v>
      </c>
      <c r="N71" s="10">
        <f t="shared" si="6"/>
        <v>57.407407407407398</v>
      </c>
      <c r="O71" s="10">
        <f t="shared" si="7"/>
        <v>0</v>
      </c>
      <c r="P71" s="10">
        <f>'A. Kokott'!M71</f>
        <v>57.407407407407398</v>
      </c>
      <c r="Q71" s="10">
        <v>59</v>
      </c>
      <c r="R71" s="10">
        <f>IFERROR(INDEX('Projekt-Budget-Übersicht'!$F:$F,MATCH(5107,'Projekt-Budget-Übersicht'!$L:$L,0)),0)</f>
        <v>0</v>
      </c>
      <c r="S71" s="10">
        <v>347.5</v>
      </c>
      <c r="T71" s="4"/>
      <c r="U71" s="4"/>
    </row>
    <row r="72" spans="1:21" x14ac:dyDescent="0.25">
      <c r="A72" s="4" t="s">
        <v>5149</v>
      </c>
      <c r="B72" s="4" t="s">
        <v>5510</v>
      </c>
      <c r="C72" s="4" t="str">
        <f>IFERROR(INDEX('Projekt-Budget-Übersicht'!$C:$C,MATCH(5113,'Projekt-Budget-Übersicht'!$L:$L,0)),"")</f>
        <v/>
      </c>
      <c r="D72" s="4">
        <v>3</v>
      </c>
      <c r="E72" s="4">
        <v>2</v>
      </c>
      <c r="F72" s="4">
        <v>0.5</v>
      </c>
      <c r="G72" s="16">
        <v>66.67</v>
      </c>
      <c r="H72" s="5"/>
      <c r="I72" s="5">
        <f t="shared" si="4"/>
        <v>0</v>
      </c>
      <c r="J72" s="4"/>
      <c r="K72" s="5"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IF($B$2="-",0,IFERROR(INDEX(IF($B$2="SV",'Projekt-Budget-Übersicht'!$I:$I,IF($B$2="CAD",'Projekt-Budget-Übersicht'!$J:$J,IF($B$2="ADM",'Projekt-Budget-Übersicht'!$K:$K,'Projekt-Budget-Übersicht'!$I:$I))),MATCH(5113,'Projekt-Budget-Übersicht'!$M:$M,0)),0))</f>
        <v>0</v>
      </c>
      <c r="M72" s="10">
        <f t="shared" si="5"/>
        <v>0</v>
      </c>
      <c r="N72" s="10">
        <f t="shared" si="6"/>
        <v>0</v>
      </c>
      <c r="O72" s="10">
        <f t="shared" si="7"/>
        <v>0</v>
      </c>
      <c r="P72" s="10">
        <f>'A. Kokott'!M72</f>
        <v>0</v>
      </c>
      <c r="Q72" s="10">
        <v>96</v>
      </c>
      <c r="R72" s="10">
        <f>IFERROR(INDEX('Projekt-Budget-Übersicht'!$F:$F,MATCH(5113,'Projekt-Budget-Übersicht'!$L:$L,0)),0)</f>
        <v>0</v>
      </c>
      <c r="S72" s="10">
        <v>42.5</v>
      </c>
      <c r="T72" s="4"/>
      <c r="U72" s="4"/>
    </row>
    <row r="73" spans="1:21" x14ac:dyDescent="0.25">
      <c r="A73" s="4" t="s">
        <v>5159</v>
      </c>
      <c r="B73" s="4" t="s">
        <v>5484</v>
      </c>
      <c r="C73" s="4" t="str">
        <f>IFERROR(INDEX('Projekt-Budget-Übersicht'!$C:$C,MATCH(5122,'Projekt-Budget-Übersicht'!$L:$L,0)),"")</f>
        <v/>
      </c>
      <c r="D73" s="4">
        <v>1</v>
      </c>
      <c r="E73" s="4">
        <v>1</v>
      </c>
      <c r="F73" s="4">
        <v>0.25</v>
      </c>
      <c r="G73" s="14">
        <v>100</v>
      </c>
      <c r="H73" s="5"/>
      <c r="I73" s="5">
        <f t="shared" si="4"/>
        <v>0</v>
      </c>
      <c r="J73" s="4"/>
      <c r="K73" s="5"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IF($B$2="-",0,IFERROR(INDEX(IF($B$2="SV",'Projekt-Budget-Übersicht'!$I:$I,IF($B$2="CAD",'Projekt-Budget-Übersicht'!$J:$J,IF($B$2="ADM",'Projekt-Budget-Übersicht'!$K:$K,'Projekt-Budget-Übersicht'!$I:$I))),MATCH(5122,'Projekt-Budget-Übersicht'!$M:$M,0)),0))</f>
        <v>0</v>
      </c>
      <c r="M73" s="10">
        <f t="shared" si="5"/>
        <v>0</v>
      </c>
      <c r="N73" s="10">
        <f t="shared" si="6"/>
        <v>0</v>
      </c>
      <c r="O73" s="10">
        <f t="shared" si="7"/>
        <v>0</v>
      </c>
      <c r="P73" s="10">
        <f>'A. Kokott'!M73</f>
        <v>0</v>
      </c>
      <c r="Q73" s="10">
        <v>18</v>
      </c>
      <c r="R73" s="10">
        <f>IFERROR(INDEX('Projekt-Budget-Übersicht'!$F:$F,MATCH(5122,'Projekt-Budget-Übersicht'!$L:$L,0)),0)</f>
        <v>0</v>
      </c>
      <c r="S73" s="10">
        <v>8.75</v>
      </c>
      <c r="T73" s="4"/>
      <c r="U73" s="4"/>
    </row>
    <row r="74" spans="1:21" x14ac:dyDescent="0.25">
      <c r="A74" s="4" t="s">
        <v>5161</v>
      </c>
      <c r="B74" s="4" t="s">
        <v>5484</v>
      </c>
      <c r="C74" s="4" t="str">
        <f>IFERROR(INDEX('Projekt-Budget-Übersicht'!$C:$C,MATCH(5123,'Projekt-Budget-Übersicht'!$L:$L,0)),"")</f>
        <v/>
      </c>
      <c r="D74" s="4">
        <v>1</v>
      </c>
      <c r="E74" s="4">
        <v>1.75</v>
      </c>
      <c r="F74" s="4">
        <v>0.5</v>
      </c>
      <c r="G74" s="15">
        <v>175</v>
      </c>
      <c r="H74" s="5"/>
      <c r="I74" s="5">
        <f t="shared" si="4"/>
        <v>0</v>
      </c>
      <c r="J74" s="4"/>
      <c r="K74" s="5"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IF($B$2="-",0,IFERROR(INDEX(IF($B$2="SV",'Projekt-Budget-Übersicht'!$I:$I,IF($B$2="CAD",'Projekt-Budget-Übersicht'!$J:$J,IF($B$2="ADM",'Projekt-Budget-Übersicht'!$K:$K,'Projekt-Budget-Übersicht'!$I:$I))),MATCH(5123,'Projekt-Budget-Übersicht'!$M:$M,0)),0))</f>
        <v>116.6666666666667</v>
      </c>
      <c r="M74" s="10">
        <f t="shared" si="5"/>
        <v>58.33333333333335</v>
      </c>
      <c r="N74" s="10">
        <f t="shared" si="6"/>
        <v>58.33333333333335</v>
      </c>
      <c r="O74" s="10">
        <f t="shared" si="7"/>
        <v>0</v>
      </c>
      <c r="P74" s="10">
        <f>'A. Kokott'!M74</f>
        <v>58.33333333333335</v>
      </c>
      <c r="Q74" s="10">
        <v>63</v>
      </c>
      <c r="R74" s="10">
        <f>IFERROR(INDEX('Projekt-Budget-Übersicht'!$F:$F,MATCH(5123,'Projekt-Budget-Übersicht'!$L:$L,0)),0)</f>
        <v>0</v>
      </c>
      <c r="S74" s="10">
        <v>217.5</v>
      </c>
      <c r="T74" s="4"/>
      <c r="U74" s="4"/>
    </row>
    <row r="75" spans="1:21" x14ac:dyDescent="0.25">
      <c r="A75" s="4" t="s">
        <v>5182</v>
      </c>
      <c r="B75" s="4" t="s">
        <v>5511</v>
      </c>
      <c r="C75" s="4" t="str">
        <f>IFERROR(INDEX('Projekt-Budget-Übersicht'!$C:$C,MATCH(5137,'Projekt-Budget-Übersicht'!$L:$L,0)),"")</f>
        <v/>
      </c>
      <c r="D75" s="4">
        <v>6</v>
      </c>
      <c r="E75" s="4">
        <v>1.25</v>
      </c>
      <c r="F75" s="4">
        <v>0.5</v>
      </c>
      <c r="G75" s="16">
        <v>20.83</v>
      </c>
      <c r="H75" s="5"/>
      <c r="I75" s="5">
        <f t="shared" si="4"/>
        <v>0</v>
      </c>
      <c r="J75" s="4"/>
      <c r="K75" s="5"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IF($B$2="-",0,IFERROR(INDEX(IF($B$2="SV",'Projekt-Budget-Übersicht'!$I:$I,IF($B$2="CAD",'Projekt-Budget-Übersicht'!$J:$J,IF($B$2="ADM",'Projekt-Budget-Übersicht'!$K:$K,'Projekt-Budget-Übersicht'!$I:$I))),MATCH(5137,'Projekt-Budget-Übersicht'!$M:$M,0)),0))</f>
        <v>0</v>
      </c>
      <c r="M75" s="10">
        <f t="shared" si="5"/>
        <v>0</v>
      </c>
      <c r="N75" s="10">
        <f t="shared" si="6"/>
        <v>0</v>
      </c>
      <c r="O75" s="10">
        <f t="shared" si="7"/>
        <v>0</v>
      </c>
      <c r="P75" s="10">
        <f>'A. Kokott'!M75</f>
        <v>0</v>
      </c>
      <c r="Q75" s="10">
        <v>6</v>
      </c>
      <c r="R75" s="10">
        <f>IFERROR(INDEX('Projekt-Budget-Übersicht'!$F:$F,MATCH(5137,'Projekt-Budget-Übersicht'!$L:$L,0)),0)</f>
        <v>0</v>
      </c>
      <c r="S75" s="10">
        <v>152.5</v>
      </c>
      <c r="T75" s="4"/>
      <c r="U75" s="4"/>
    </row>
    <row r="76" spans="1:21" x14ac:dyDescent="0.25">
      <c r="A76" s="4" t="s">
        <v>5363</v>
      </c>
      <c r="B76" s="4" t="s">
        <v>5484</v>
      </c>
      <c r="C76" s="4" t="str">
        <f>IFERROR(INDEX('Projekt-Budget-Übersicht'!$C:$C,MATCH(5320,'Projekt-Budget-Übersicht'!$L:$L,0)),"")</f>
        <v/>
      </c>
      <c r="D76" s="4">
        <v>0</v>
      </c>
      <c r="E76" s="4">
        <v>0.5</v>
      </c>
      <c r="F76" s="4">
        <v>0.5</v>
      </c>
      <c r="G76" s="4">
        <v>0</v>
      </c>
      <c r="H76" s="5"/>
      <c r="I76" s="5">
        <f t="shared" si="4"/>
        <v>0</v>
      </c>
      <c r="J76" s="4"/>
      <c r="K76" s="5"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IF($B$2="-",0,IFERROR(INDEX(IF($B$2="SV",'Projekt-Budget-Übersicht'!$I:$I,IF($B$2="CAD",'Projekt-Budget-Übersicht'!$J:$J,IF($B$2="ADM",'Projekt-Budget-Übersicht'!$K:$K,'Projekt-Budget-Übersicht'!$I:$I))),MATCH(5320,'Projekt-Budget-Übersicht'!$M:$M,0)),0))</f>
        <v>0</v>
      </c>
      <c r="M76" s="10">
        <f t="shared" si="5"/>
        <v>0</v>
      </c>
      <c r="N76" s="10">
        <f t="shared" si="6"/>
        <v>0</v>
      </c>
      <c r="O76" s="10">
        <f t="shared" si="7"/>
        <v>0</v>
      </c>
      <c r="P76" s="10">
        <f>'A. Kokott'!M76</f>
        <v>0</v>
      </c>
      <c r="Q76" s="10"/>
      <c r="R76" s="10">
        <f>IFERROR(INDEX('Projekt-Budget-Übersicht'!$F:$F,MATCH(5320,'Projekt-Budget-Übersicht'!$L:$L,0)),0)</f>
        <v>0</v>
      </c>
      <c r="S76" s="10">
        <v>17.5</v>
      </c>
      <c r="T76" s="4"/>
      <c r="U76" s="4"/>
    </row>
    <row r="77" spans="1:21" x14ac:dyDescent="0.25">
      <c r="A77" s="3"/>
      <c r="B77" s="3" t="s">
        <v>5492</v>
      </c>
      <c r="C77" s="3"/>
      <c r="D77" s="3"/>
      <c r="E77" s="3"/>
      <c r="F77" s="6">
        <v>29.75</v>
      </c>
      <c r="G77" s="3"/>
      <c r="H77" s="3"/>
      <c r="I77" s="3"/>
      <c r="J77" s="3"/>
      <c r="K77" s="3"/>
      <c r="L77" s="3"/>
      <c r="M77" s="17">
        <f>SUM(M39:M76)</f>
        <v>1501.9346624315938</v>
      </c>
      <c r="N77" s="17">
        <f>SUM(N39:N76)</f>
        <v>1501.9346624315938</v>
      </c>
      <c r="O77" s="17">
        <f>SUM(O39:O76)</f>
        <v>0</v>
      </c>
      <c r="P77" s="17">
        <f>SUM(P39:P76)</f>
        <v>12879.3892885803</v>
      </c>
      <c r="Q77" s="3"/>
      <c r="R77" s="3"/>
      <c r="S77" s="3"/>
      <c r="T77" s="3"/>
      <c r="U77" s="3"/>
    </row>
    <row r="78" spans="1:21" x14ac:dyDescent="0.25">
      <c r="A78" s="3"/>
      <c r="B78" s="3" t="s">
        <v>4</v>
      </c>
      <c r="C78" s="3"/>
      <c r="D78" s="3"/>
      <c r="E78" s="3"/>
      <c r="F78" s="6">
        <f>G78+H78</f>
        <v>6.25</v>
      </c>
      <c r="G78" s="6">
        <v>6.25</v>
      </c>
      <c r="H78" s="6">
        <f>SUM(H41,H42,H43,H44,H45,H46,H47,H48,H49,H50,H51,H52,H53,H54,H55,H56,H57,H58,H59,H60,H61,H62,H63,H64,H65,H66,H67,H68,H69,H70,H71,H72,H73,H74,H75,H76)</f>
        <v>0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1:21" x14ac:dyDescent="0.25">
      <c r="A79" s="3"/>
      <c r="B79" s="3" t="s">
        <v>5</v>
      </c>
      <c r="C79" s="3"/>
      <c r="D79" s="3"/>
      <c r="E79" s="3"/>
      <c r="F79" s="6">
        <f>G79+H79</f>
        <v>11</v>
      </c>
      <c r="G79" s="6">
        <v>11</v>
      </c>
      <c r="H79" s="6">
        <f>SUM(H39,H40)</f>
        <v>0</v>
      </c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1:21" x14ac:dyDescent="0.25">
      <c r="A80" s="3"/>
      <c r="B80" s="3" t="s">
        <v>5493</v>
      </c>
      <c r="C80" s="3"/>
      <c r="D80" s="3"/>
      <c r="E80" s="3"/>
      <c r="F80" s="6">
        <f>SUM(K39:K76)</f>
        <v>0</v>
      </c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1:21" x14ac:dyDescent="0.25">
      <c r="A81" s="18"/>
      <c r="B81" s="18" t="s">
        <v>5494</v>
      </c>
      <c r="C81" s="18"/>
      <c r="D81" s="18"/>
      <c r="E81" s="18"/>
      <c r="F81" s="19">
        <f>F78+F79+F80</f>
        <v>17.25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3" spans="1:21" ht="15.75" x14ac:dyDescent="0.25">
      <c r="A83" s="2" t="s">
        <v>5512</v>
      </c>
    </row>
    <row r="84" spans="1:21" x14ac:dyDescent="0.25">
      <c r="A84" s="3" t="s">
        <v>35</v>
      </c>
      <c r="B84" s="3" t="s">
        <v>5461</v>
      </c>
      <c r="C84" s="3" t="s">
        <v>37</v>
      </c>
      <c r="D84" s="3" t="s">
        <v>5462</v>
      </c>
      <c r="E84" s="3" t="s">
        <v>5463</v>
      </c>
      <c r="F84" s="3" t="s">
        <v>5513</v>
      </c>
      <c r="G84" s="3" t="s">
        <v>5465</v>
      </c>
      <c r="H84" s="3" t="s">
        <v>5466</v>
      </c>
      <c r="I84" s="3" t="s">
        <v>5467</v>
      </c>
      <c r="J84" s="3" t="s">
        <v>5468</v>
      </c>
      <c r="K84" s="3" t="s">
        <v>5469</v>
      </c>
      <c r="L84" s="3" t="s">
        <v>5470</v>
      </c>
      <c r="M84" s="3" t="s">
        <v>5471</v>
      </c>
      <c r="N84" s="3" t="s">
        <v>5472</v>
      </c>
      <c r="O84" s="3" t="s">
        <v>5473</v>
      </c>
      <c r="P84" s="3" t="s">
        <v>5474</v>
      </c>
      <c r="Q84" s="3" t="s">
        <v>5475</v>
      </c>
      <c r="R84" s="3" t="s">
        <v>5476</v>
      </c>
      <c r="S84" s="3" t="s">
        <v>5477</v>
      </c>
      <c r="T84" s="3" t="s">
        <v>5478</v>
      </c>
      <c r="U84" s="3" t="s">
        <v>5479</v>
      </c>
    </row>
    <row r="85" spans="1:21" x14ac:dyDescent="0.25">
      <c r="A85" s="21" t="s">
        <v>61</v>
      </c>
      <c r="B85" s="4" t="s">
        <v>5480</v>
      </c>
      <c r="C85" s="4" t="str">
        <f>IFERROR(INDEX('Projekt-Budget-Übersicht'!$C:$C,MATCH(10,'Projekt-Budget-Übersicht'!$L:$L,0)),"")</f>
        <v/>
      </c>
      <c r="D85" s="4">
        <v>8</v>
      </c>
      <c r="E85" s="4">
        <v>7</v>
      </c>
      <c r="F85" s="4">
        <v>7</v>
      </c>
      <c r="G85" s="16">
        <v>87.5</v>
      </c>
      <c r="H85" s="5"/>
      <c r="I85" s="5">
        <f t="shared" ref="I85:I122" si="8">IF(H85=0,0,F85-H85)</f>
        <v>0</v>
      </c>
      <c r="J85" s="4"/>
      <c r="K85" s="5">
        <f>IF('C. Trapp SV'!J56="A. Kokott",'C. Trapp SV'!I56,0)+IF('D. Brucker'!J33="A. Kokott",'D. Brucker'!I33,0)+IF('J. Dorn'!J83="A. Kokott",'J. Dorn'!I83,0)+IF('O. Haag BS-CAD'!J92="A. Kokott",'O. Haag BS-CAD'!I92,0)+IF('S. Schüler'!J93="A. Kokott",'S. Schüler'!I93,0)+IF('U. Sutter ADM'!J51="A. Kokott",'U. Sutter ADM'!I51,0)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5" s="10">
        <f t="shared" ref="M85:M122" si="9">IF($B$2="-",0,IF(C85="Pauschale",IF(OR(R85=0,N(D85)=0),0,MAX(0,MIN(R85*((N(F85)+N(K85))/N(D85)),R85-R85*(N(E85)/N(D85))))),L85*(N(F85)+N(K85))))</f>
        <v>0</v>
      </c>
      <c r="N85" s="10">
        <f t="shared" ref="N85:N122" si="10">IF($B$2="-",0,IF(C85="Pauschale",IF(OR(R85=0,N(D85)=0),0,R85*((N(F85)+N(K85))/N(D85))),L85*(N(F85)+N(K85))))</f>
        <v>0</v>
      </c>
      <c r="O85" s="10">
        <f t="shared" ref="O85:O122" si="11">N85-M85</f>
        <v>0</v>
      </c>
      <c r="P85" s="10">
        <f>'A. Kokott'!M85+'C. Trapp SV'!M56+'D. Brucker'!M33+'J. Dorn'!M83+'O. Haag BS-CAD'!M92+'S. Schüler'!M93+'U. Sutter ADM'!M51</f>
        <v>0</v>
      </c>
      <c r="Q85" s="10">
        <v>132</v>
      </c>
      <c r="R85" s="10">
        <f>IFERROR(INDEX('Projekt-Budget-Übersicht'!$F:$F,MATCH(10,'Projekt-Budget-Übersicht'!$L:$L,0)),0)</f>
        <v>0</v>
      </c>
      <c r="S85" s="10">
        <v>68628.19</v>
      </c>
      <c r="T85" s="4"/>
      <c r="U85" s="4"/>
    </row>
    <row r="86" spans="1:21" x14ac:dyDescent="0.25">
      <c r="A86" s="22"/>
      <c r="B86" s="4" t="s">
        <v>5481</v>
      </c>
      <c r="C86" s="4" t="str">
        <f>IFERROR(INDEX('Projekt-Budget-Übersicht'!$C:$C,MATCH(10,'Projekt-Budget-Übersicht'!$L:$L,0)),"")</f>
        <v/>
      </c>
      <c r="D86" s="4">
        <v>8</v>
      </c>
      <c r="E86" s="4">
        <v>2</v>
      </c>
      <c r="F86" s="4">
        <v>2</v>
      </c>
      <c r="G86" s="16">
        <v>25</v>
      </c>
      <c r="H86" s="5"/>
      <c r="I86" s="5">
        <f t="shared" si="8"/>
        <v>0</v>
      </c>
      <c r="J86" s="4"/>
      <c r="K86" s="5">
        <f>IF('C. Trapp SV'!J57="A. Kokott",'C. Trapp SV'!I57,0)+IF('J. Dorn'!J84="A. Kokott",'J. Dorn'!I84,0)+IF('M. Bandlofsky'!J45="A. Kokott",'M. Bandlofsky'!I45,0)+IF('O. Haag BS-CAD'!J93="A. Kokott",'O. Haag BS-CAD'!I93,0)+IF('R. Wagen CAD'!J57="A. Kokott",'R. Wagen CAD'!I57,0)+IF('T. Trautmann'!J72="A. Kokott",'T. Trautmann'!I72,0)+IF('U. Sutter ADM'!J52="A. Kokott",'U. Sutter ADM'!I52,0)</f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6" s="10">
        <f t="shared" si="9"/>
        <v>0</v>
      </c>
      <c r="N86" s="10">
        <f t="shared" si="10"/>
        <v>0</v>
      </c>
      <c r="O86" s="10">
        <f t="shared" si="11"/>
        <v>0</v>
      </c>
      <c r="P86" s="10">
        <f>'A. Kokott'!M86+'C. Trapp SV'!M57+'J. Dorn'!M84+'M. Bandlofsky'!M45+'O. Haag BS-CAD'!M93+'R. Wagen CAD'!M57+'T. Trautmann'!M72+'U. Sutter ADM'!M52</f>
        <v>0</v>
      </c>
      <c r="Q86" s="10">
        <v>132</v>
      </c>
      <c r="R86" s="10">
        <f>IFERROR(INDEX('Projekt-Budget-Übersicht'!$F:$F,MATCH(10,'Projekt-Budget-Übersicht'!$L:$L,0)),0)</f>
        <v>0</v>
      </c>
      <c r="S86" s="10">
        <v>68628.19</v>
      </c>
      <c r="T86" s="4"/>
      <c r="U86" s="4"/>
    </row>
    <row r="87" spans="1:21" x14ac:dyDescent="0.25">
      <c r="A87" s="4" t="s">
        <v>91</v>
      </c>
      <c r="B87" s="4" t="s">
        <v>5459</v>
      </c>
      <c r="C87" s="4" t="str">
        <f>IFERROR(INDEX('Projekt-Budget-Übersicht'!$C:$C,MATCH(26,'Projekt-Budget-Übersicht'!$L:$L,0)),"")</f>
        <v/>
      </c>
      <c r="D87" s="4">
        <v>20</v>
      </c>
      <c r="E87" s="4">
        <v>19.5</v>
      </c>
      <c r="F87" s="4">
        <v>0.25</v>
      </c>
      <c r="G87" s="14">
        <v>97.5</v>
      </c>
      <c r="H87" s="5"/>
      <c r="I87" s="5">
        <f t="shared" si="8"/>
        <v>0</v>
      </c>
      <c r="J87" s="4"/>
      <c r="K87" s="5">
        <f>IF('M. Bandlofsky'!J47="A. Kokott",'M. Bandlofsky'!I47,0)</f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IF($B$2="-",0,IFERROR(INDEX(IF($B$2="SV",'Projekt-Budget-Übersicht'!$I:$I,IF($B$2="CAD",'Projekt-Budget-Übersicht'!$J:$J,IF($B$2="ADM",'Projekt-Budget-Übersicht'!$K:$K,'Projekt-Budget-Übersicht'!$I:$I))),MATCH(26,'Projekt-Budget-Übersicht'!$M:$M,0)),0))</f>
        <v>108.75</v>
      </c>
      <c r="M87" s="10">
        <f t="shared" si="9"/>
        <v>27.1875</v>
      </c>
      <c r="N87" s="10">
        <f t="shared" si="10"/>
        <v>27.1875</v>
      </c>
      <c r="O87" s="10">
        <f t="shared" si="11"/>
        <v>0</v>
      </c>
      <c r="P87" s="10">
        <f>'A. Kokott'!M87+'M. Bandlofsky'!M47</f>
        <v>135.9375</v>
      </c>
      <c r="Q87" s="10">
        <v>131</v>
      </c>
      <c r="R87" s="10">
        <f>IFERROR(INDEX('Projekt-Budget-Übersicht'!$F:$F,MATCH(26,'Projekt-Budget-Übersicht'!$L:$L,0)),0)</f>
        <v>0</v>
      </c>
      <c r="S87" s="10">
        <v>1453.75</v>
      </c>
      <c r="T87" s="4"/>
      <c r="U87" s="4"/>
    </row>
    <row r="88" spans="1:21" x14ac:dyDescent="0.25">
      <c r="A88" s="4" t="s">
        <v>93</v>
      </c>
      <c r="B88" s="4" t="s">
        <v>5484</v>
      </c>
      <c r="C88" s="4" t="str">
        <f>IFERROR(INDEX('Projekt-Budget-Übersicht'!$C:$C,MATCH(30,'Projekt-Budget-Übersicht'!$L:$L,0)),"")</f>
        <v/>
      </c>
      <c r="D88" s="4">
        <v>1</v>
      </c>
      <c r="E88" s="4">
        <v>2</v>
      </c>
      <c r="F88" s="4">
        <v>0.5</v>
      </c>
      <c r="G88" s="15">
        <v>200</v>
      </c>
      <c r="H88" s="5"/>
      <c r="I88" s="5">
        <f t="shared" si="8"/>
        <v>0</v>
      </c>
      <c r="J88" s="4"/>
      <c r="K88" s="5"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IF($B$2="-",0,IFERROR(INDEX(IF($B$2="SV",'Projekt-Budget-Übersicht'!$I:$I,IF($B$2="CAD",'Projekt-Budget-Übersicht'!$J:$J,IF($B$2="ADM",'Projekt-Budget-Übersicht'!$K:$K,'Projekt-Budget-Übersicht'!$I:$I))),MATCH(30,'Projekt-Budget-Übersicht'!$M:$M,0)),0))</f>
        <v>0</v>
      </c>
      <c r="M88" s="10">
        <f t="shared" si="9"/>
        <v>0</v>
      </c>
      <c r="N88" s="10">
        <f t="shared" si="10"/>
        <v>0</v>
      </c>
      <c r="O88" s="10">
        <f t="shared" si="11"/>
        <v>0</v>
      </c>
      <c r="P88" s="10">
        <f>'A. Kokott'!M88</f>
        <v>0</v>
      </c>
      <c r="Q88" s="10">
        <v>29</v>
      </c>
      <c r="R88" s="10">
        <f>IFERROR(INDEX('Projekt-Budget-Übersicht'!$F:$F,MATCH(30,'Projekt-Budget-Übersicht'!$L:$L,0)),0)</f>
        <v>0</v>
      </c>
      <c r="S88" s="10">
        <v>17.5</v>
      </c>
      <c r="T88" s="4"/>
      <c r="U88" s="4"/>
    </row>
    <row r="89" spans="1:21" x14ac:dyDescent="0.25">
      <c r="A89" s="4" t="s">
        <v>865</v>
      </c>
      <c r="B89" s="4" t="s">
        <v>5514</v>
      </c>
      <c r="C89" s="4" t="str">
        <f>IFERROR(INDEX('Projekt-Budget-Übersicht'!$C:$C,MATCH(894,'Projekt-Budget-Übersicht'!$L:$L,0)),"")</f>
        <v/>
      </c>
      <c r="D89" s="4">
        <v>13</v>
      </c>
      <c r="E89" s="4">
        <v>0.25</v>
      </c>
      <c r="F89" s="4">
        <v>0.25</v>
      </c>
      <c r="G89" s="16">
        <v>1.92</v>
      </c>
      <c r="H89" s="5"/>
      <c r="I89" s="5">
        <f t="shared" si="8"/>
        <v>0</v>
      </c>
      <c r="J89" s="4"/>
      <c r="K89" s="5"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IF($B$2="-",0,IFERROR(INDEX(IF($B$2="SV",'Projekt-Budget-Übersicht'!$I:$I,IF($B$2="CAD",'Projekt-Budget-Übersicht'!$J:$J,IF($B$2="ADM",'Projekt-Budget-Übersicht'!$K:$K,'Projekt-Budget-Übersicht'!$I:$I))),MATCH(894,'Projekt-Budget-Übersicht'!$M:$M,0)),0))</f>
        <v>0</v>
      </c>
      <c r="M89" s="10">
        <f t="shared" si="9"/>
        <v>0</v>
      </c>
      <c r="N89" s="10">
        <f t="shared" si="10"/>
        <v>0</v>
      </c>
      <c r="O89" s="10">
        <f t="shared" si="11"/>
        <v>0</v>
      </c>
      <c r="P89" s="10">
        <f>'A. Kokott'!M89</f>
        <v>0</v>
      </c>
      <c r="Q89" s="10">
        <v>320.5</v>
      </c>
      <c r="R89" s="10">
        <f>IFERROR(INDEX('Projekt-Budget-Übersicht'!$F:$F,MATCH(894,'Projekt-Budget-Übersicht'!$L:$L,0)),0)</f>
        <v>0</v>
      </c>
      <c r="S89" s="10">
        <v>30</v>
      </c>
      <c r="T89" s="4"/>
      <c r="U89" s="4"/>
    </row>
    <row r="90" spans="1:21" x14ac:dyDescent="0.25">
      <c r="A90" s="4" t="s">
        <v>879</v>
      </c>
      <c r="B90" s="4" t="s">
        <v>5498</v>
      </c>
      <c r="C90" s="4" t="str">
        <f>IFERROR(INDEX('Projekt-Budget-Übersicht'!$C:$C,MATCH(899,'Projekt-Budget-Übersicht'!$L:$L,0)),"")</f>
        <v/>
      </c>
      <c r="D90" s="4">
        <v>230</v>
      </c>
      <c r="E90" s="4">
        <v>140.25</v>
      </c>
      <c r="F90" s="4">
        <v>0.5</v>
      </c>
      <c r="G90" s="16">
        <v>60.98</v>
      </c>
      <c r="H90" s="5"/>
      <c r="I90" s="5">
        <f t="shared" si="8"/>
        <v>0</v>
      </c>
      <c r="J90" s="4"/>
      <c r="K90" s="5">
        <f>IF('M. Warner'!J24="A. Kokott",'M. Warner'!I24,0)+IF('S. Schüler'!J97="A. Kokott",'S. Schüler'!I97,0)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81.25</v>
      </c>
      <c r="M90" s="10">
        <f t="shared" si="9"/>
        <v>40.625</v>
      </c>
      <c r="N90" s="10">
        <f t="shared" si="10"/>
        <v>40.625</v>
      </c>
      <c r="O90" s="10">
        <f t="shared" si="11"/>
        <v>0</v>
      </c>
      <c r="P90" s="10">
        <f>'A. Kokott'!M90+'M. Warner'!M24+'S. Schüler'!M97</f>
        <v>8815.625</v>
      </c>
      <c r="Q90" s="10">
        <v>120</v>
      </c>
      <c r="R90" s="10">
        <f>IFERROR(INDEX('Projekt-Budget-Übersicht'!$F:$F,MATCH(899,'Projekt-Budget-Übersicht'!$L:$L,0)),0)</f>
        <v>0</v>
      </c>
      <c r="S90" s="10"/>
      <c r="T90" s="4"/>
      <c r="U90" s="4"/>
    </row>
    <row r="91" spans="1:21" x14ac:dyDescent="0.25">
      <c r="A91" s="4" t="s">
        <v>1367</v>
      </c>
      <c r="B91" s="4" t="s">
        <v>5459</v>
      </c>
      <c r="C91" s="4" t="s">
        <v>50</v>
      </c>
      <c r="D91" s="4">
        <v>0</v>
      </c>
      <c r="E91" s="4">
        <v>0</v>
      </c>
      <c r="F91" s="4">
        <v>0.5</v>
      </c>
      <c r="G91" s="4">
        <v>0</v>
      </c>
      <c r="H91" s="5"/>
      <c r="I91" s="5">
        <f t="shared" si="8"/>
        <v>0</v>
      </c>
      <c r="J91" s="4"/>
      <c r="K91" s="5">
        <f>IF('M. Bandlofsky'!J50="A. Kokott",'M. Bandlofsky'!I50,0)</f>
        <v>0</v>
      </c>
      <c r="L91" s="10">
        <f>IF($B$2="-",0,0)</f>
        <v>0</v>
      </c>
      <c r="M91" s="10">
        <f t="shared" si="9"/>
        <v>0</v>
      </c>
      <c r="N91" s="10">
        <f t="shared" si="10"/>
        <v>0</v>
      </c>
      <c r="O91" s="10">
        <f t="shared" si="11"/>
        <v>0</v>
      </c>
      <c r="P91" s="10">
        <f>'A. Kokott'!M91+'M. Bandlofsky'!M50</f>
        <v>0</v>
      </c>
      <c r="Q91" s="10"/>
      <c r="R91" s="10">
        <f>0</f>
        <v>0</v>
      </c>
      <c r="S91" s="10"/>
      <c r="T91" s="4"/>
      <c r="U91" s="4"/>
    </row>
    <row r="92" spans="1:21" x14ac:dyDescent="0.25">
      <c r="A92" s="4" t="s">
        <v>1535</v>
      </c>
      <c r="B92" s="4" t="s">
        <v>5484</v>
      </c>
      <c r="C92" s="4" t="str">
        <f>IFERROR(INDEX('Projekt-Budget-Übersicht'!$C:$C,MATCH(1735,'Projekt-Budget-Übersicht'!$L:$L,0)),"")</f>
        <v/>
      </c>
      <c r="D92" s="4">
        <v>1</v>
      </c>
      <c r="E92" s="4">
        <v>2</v>
      </c>
      <c r="F92" s="4">
        <v>1</v>
      </c>
      <c r="G92" s="15">
        <v>200</v>
      </c>
      <c r="H92" s="5"/>
      <c r="I92" s="5">
        <f t="shared" si="8"/>
        <v>0</v>
      </c>
      <c r="J92" s="4"/>
      <c r="K92" s="5"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IF($B$2="-",0,IFERROR(INDEX(IF($B$2="SV",'Projekt-Budget-Übersicht'!$I:$I,IF($B$2="CAD",'Projekt-Budget-Übersicht'!$J:$J,IF($B$2="ADM",'Projekt-Budget-Übersicht'!$K:$K,'Projekt-Budget-Übersicht'!$I:$I))),MATCH(1735,'Projekt-Budget-Übersicht'!$M:$M,0)),0))</f>
        <v>121.4285714285714</v>
      </c>
      <c r="M92" s="10">
        <f t="shared" si="9"/>
        <v>121.4285714285714</v>
      </c>
      <c r="N92" s="10">
        <f t="shared" si="10"/>
        <v>121.4285714285714</v>
      </c>
      <c r="O92" s="10">
        <f t="shared" si="11"/>
        <v>0</v>
      </c>
      <c r="P92" s="10">
        <f>'A. Kokott'!M92</f>
        <v>121.4285714285714</v>
      </c>
      <c r="Q92" s="10">
        <v>397</v>
      </c>
      <c r="R92" s="10">
        <f>IFERROR(INDEX('Projekt-Budget-Übersicht'!$F:$F,MATCH(1735,'Projekt-Budget-Übersicht'!$L:$L,0)),0)</f>
        <v>0</v>
      </c>
      <c r="S92" s="10">
        <v>1250</v>
      </c>
      <c r="T92" s="4"/>
      <c r="U92" s="4"/>
    </row>
    <row r="93" spans="1:21" x14ac:dyDescent="0.25">
      <c r="A93" s="4" t="s">
        <v>1564</v>
      </c>
      <c r="B93" s="4" t="s">
        <v>5515</v>
      </c>
      <c r="C93" s="4" t="str">
        <f>IFERROR(INDEX('Projekt-Budget-Übersicht'!$C:$C,MATCH(1765,'Projekt-Budget-Übersicht'!$L:$L,0)),"")</f>
        <v/>
      </c>
      <c r="D93" s="4">
        <v>30</v>
      </c>
      <c r="E93" s="4">
        <v>12.75</v>
      </c>
      <c r="F93" s="4">
        <v>0.25</v>
      </c>
      <c r="G93" s="16">
        <v>42.5</v>
      </c>
      <c r="H93" s="5"/>
      <c r="I93" s="5">
        <f t="shared" si="8"/>
        <v>0</v>
      </c>
      <c r="J93" s="4"/>
      <c r="K93" s="5"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IF($B$2="-",0,IFERROR(INDEX(IF($B$2="SV",'Projekt-Budget-Übersicht'!$I:$I,IF($B$2="CAD",'Projekt-Budget-Übersicht'!$J:$J,IF($B$2="ADM",'Projekt-Budget-Übersicht'!$K:$K,'Projekt-Budget-Übersicht'!$I:$I))),MATCH(1765,'Projekt-Budget-Übersicht'!$M:$M,0)),0))</f>
        <v>0</v>
      </c>
      <c r="M93" s="10">
        <f t="shared" si="9"/>
        <v>0</v>
      </c>
      <c r="N93" s="10">
        <f t="shared" si="10"/>
        <v>0</v>
      </c>
      <c r="O93" s="10">
        <f t="shared" si="11"/>
        <v>0</v>
      </c>
      <c r="P93" s="10">
        <f>'A. Kokott'!M93</f>
        <v>0</v>
      </c>
      <c r="Q93" s="10">
        <v>30</v>
      </c>
      <c r="R93" s="10">
        <f>IFERROR(INDEX('Projekt-Budget-Übersicht'!$F:$F,MATCH(1765,'Projekt-Budget-Übersicht'!$L:$L,0)),0)</f>
        <v>0</v>
      </c>
      <c r="S93" s="10">
        <v>1133.75</v>
      </c>
      <c r="T93" s="4"/>
      <c r="U93" s="4"/>
    </row>
    <row r="94" spans="1:21" x14ac:dyDescent="0.25">
      <c r="A94" s="4" t="s">
        <v>1743</v>
      </c>
      <c r="B94" s="4" t="s">
        <v>5510</v>
      </c>
      <c r="C94" s="4" t="str">
        <f>IFERROR(INDEX('Projekt-Budget-Übersicht'!$C:$C,MATCH(1973,'Projekt-Budget-Übersicht'!$L:$L,0)),"")</f>
        <v/>
      </c>
      <c r="D94" s="4">
        <v>1</v>
      </c>
      <c r="E94" s="4">
        <v>1.5</v>
      </c>
      <c r="F94" s="4">
        <v>0.5</v>
      </c>
      <c r="G94" s="15">
        <v>150</v>
      </c>
      <c r="H94" s="5"/>
      <c r="I94" s="5">
        <f t="shared" si="8"/>
        <v>0</v>
      </c>
      <c r="J94" s="4"/>
      <c r="K94" s="5"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IF($B$2="-",0,IFERROR(INDEX(IF($B$2="SV",'Projekt-Budget-Übersicht'!$I:$I,IF($B$2="CAD",'Projekt-Budget-Übersicht'!$J:$J,IF($B$2="ADM",'Projekt-Budget-Übersicht'!$K:$K,'Projekt-Budget-Übersicht'!$I:$I))),MATCH(1973,'Projekt-Budget-Übersicht'!$M:$M,0)),0))</f>
        <v>0</v>
      </c>
      <c r="M94" s="10">
        <f t="shared" si="9"/>
        <v>0</v>
      </c>
      <c r="N94" s="10">
        <f t="shared" si="10"/>
        <v>0</v>
      </c>
      <c r="O94" s="10">
        <f t="shared" si="11"/>
        <v>0</v>
      </c>
      <c r="P94" s="10">
        <f>'A. Kokott'!M94</f>
        <v>0</v>
      </c>
      <c r="Q94" s="10">
        <v>266</v>
      </c>
      <c r="R94" s="10">
        <f>IFERROR(INDEX('Projekt-Budget-Übersicht'!$F:$F,MATCH(1973,'Projekt-Budget-Übersicht'!$L:$L,0)),0)</f>
        <v>0</v>
      </c>
      <c r="S94" s="10">
        <v>17.5</v>
      </c>
      <c r="T94" s="4"/>
      <c r="U94" s="4"/>
    </row>
    <row r="95" spans="1:21" x14ac:dyDescent="0.25">
      <c r="A95" s="4" t="s">
        <v>1802</v>
      </c>
      <c r="B95" s="4" t="s">
        <v>5484</v>
      </c>
      <c r="C95" s="4" t="str">
        <f>IFERROR(INDEX('Projekt-Budget-Übersicht'!$C:$C,MATCH(2041,'Projekt-Budget-Übersicht'!$L:$L,0)),"")</f>
        <v/>
      </c>
      <c r="D95" s="4">
        <v>1.5</v>
      </c>
      <c r="E95" s="4">
        <v>0.75</v>
      </c>
      <c r="F95" s="4">
        <v>0.5</v>
      </c>
      <c r="G95" s="16">
        <v>50</v>
      </c>
      <c r="H95" s="5"/>
      <c r="I95" s="5">
        <f t="shared" si="8"/>
        <v>0</v>
      </c>
      <c r="J95" s="4"/>
      <c r="K95" s="5"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IF($B$2="-",0,IFERROR(INDEX(IF($B$2="SV",'Projekt-Budget-Übersicht'!$I:$I,IF($B$2="CAD",'Projekt-Budget-Übersicht'!$J:$J,IF($B$2="ADM",'Projekt-Budget-Übersicht'!$K:$K,'Projekt-Budget-Übersicht'!$I:$I))),MATCH(2041,'Projekt-Budget-Übersicht'!$M:$M,0)),0))</f>
        <v>131.9327731092437</v>
      </c>
      <c r="M95" s="10">
        <f t="shared" si="9"/>
        <v>65.966386554621849</v>
      </c>
      <c r="N95" s="10">
        <f t="shared" si="10"/>
        <v>65.966386554621849</v>
      </c>
      <c r="O95" s="10">
        <f t="shared" si="11"/>
        <v>0</v>
      </c>
      <c r="P95" s="10">
        <f>'A. Kokott'!M95</f>
        <v>65.966386554621849</v>
      </c>
      <c r="Q95" s="10">
        <v>59.5</v>
      </c>
      <c r="R95" s="10">
        <f>IFERROR(INDEX('Projekt-Budget-Übersicht'!$F:$F,MATCH(2041,'Projekt-Budget-Übersicht'!$L:$L,0)),0)</f>
        <v>0</v>
      </c>
      <c r="S95" s="10">
        <v>2760</v>
      </c>
      <c r="T95" s="4"/>
      <c r="U95" s="4"/>
    </row>
    <row r="96" spans="1:21" x14ac:dyDescent="0.25">
      <c r="A96" s="4" t="s">
        <v>2104</v>
      </c>
      <c r="B96" s="4" t="s">
        <v>5484</v>
      </c>
      <c r="C96" s="4" t="str">
        <f>IFERROR(INDEX('Projekt-Budget-Übersicht'!$C:$C,MATCH(2473,'Projekt-Budget-Übersicht'!$L:$L,0)),"")</f>
        <v/>
      </c>
      <c r="D96" s="4">
        <v>1</v>
      </c>
      <c r="E96" s="4">
        <v>1.25</v>
      </c>
      <c r="F96" s="4">
        <v>0.5</v>
      </c>
      <c r="G96" s="15">
        <v>125</v>
      </c>
      <c r="H96" s="5"/>
      <c r="I96" s="5">
        <f t="shared" si="8"/>
        <v>0</v>
      </c>
      <c r="J96" s="4"/>
      <c r="K96" s="5"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IF($B$2="-",0,IFERROR(INDEX(IF($B$2="SV",'Projekt-Budget-Übersicht'!$I:$I,IF($B$2="CAD",'Projekt-Budget-Übersicht'!$J:$J,IF($B$2="ADM",'Projekt-Budget-Übersicht'!$K:$K,'Projekt-Budget-Übersicht'!$I:$I))),MATCH(2473,'Projekt-Budget-Übersicht'!$M:$M,0)),0))</f>
        <v>118.1818181818182</v>
      </c>
      <c r="M96" s="10">
        <f t="shared" si="9"/>
        <v>59.090909090909101</v>
      </c>
      <c r="N96" s="10">
        <f t="shared" si="10"/>
        <v>59.090909090909101</v>
      </c>
      <c r="O96" s="10">
        <f t="shared" si="11"/>
        <v>0</v>
      </c>
      <c r="P96" s="10">
        <f>'A. Kokott'!M96</f>
        <v>59.090909090909101</v>
      </c>
      <c r="Q96" s="10">
        <v>11</v>
      </c>
      <c r="R96" s="10">
        <f>IFERROR(INDEX('Projekt-Budget-Übersicht'!$F:$F,MATCH(2473,'Projekt-Budget-Übersicht'!$L:$L,0)),0)</f>
        <v>0</v>
      </c>
      <c r="S96" s="10">
        <v>92.5</v>
      </c>
      <c r="T96" s="4"/>
      <c r="U96" s="4"/>
    </row>
    <row r="97" spans="1:21" x14ac:dyDescent="0.25">
      <c r="A97" s="4" t="s">
        <v>2578</v>
      </c>
      <c r="B97" s="4" t="s">
        <v>5516</v>
      </c>
      <c r="C97" s="4" t="str">
        <f>IFERROR(INDEX('Projekt-Budget-Übersicht'!$C:$C,MATCH(2893,'Projekt-Budget-Übersicht'!$L:$L,0)),"")</f>
        <v/>
      </c>
      <c r="D97" s="4">
        <v>37</v>
      </c>
      <c r="E97" s="4">
        <v>27.75</v>
      </c>
      <c r="F97" s="4">
        <v>0.75</v>
      </c>
      <c r="G97" s="16">
        <v>75</v>
      </c>
      <c r="H97" s="5"/>
      <c r="I97" s="5">
        <f t="shared" si="8"/>
        <v>0</v>
      </c>
      <c r="J97" s="4"/>
      <c r="K97" s="5">
        <f>IF('J. Dorn'!J90="A. Kokott",'J. Dorn'!I90,0)+IF('M. Bandlofsky'!J61="A. Kokott",'M. Bandlofsky'!I61,0)+IF('O. Haag BS-CAD'!J106="A. Kokott",'O. Haag BS-CAD'!I106,0)+IF('T. Trautmann'!J88="A. Kokott",'T. Trautmann'!I88,0)</f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97" s="10">
        <f t="shared" si="9"/>
        <v>0</v>
      </c>
      <c r="N97" s="10">
        <f t="shared" si="10"/>
        <v>0</v>
      </c>
      <c r="O97" s="10">
        <f t="shared" si="11"/>
        <v>0</v>
      </c>
      <c r="P97" s="10">
        <f>'A. Kokott'!M97+'J. Dorn'!M90+'M. Bandlofsky'!M61+'O. Haag BS-CAD'!M106+'T. Trautmann'!M88</f>
        <v>0</v>
      </c>
      <c r="Q97" s="10">
        <v>37</v>
      </c>
      <c r="R97" s="10">
        <f>IFERROR(INDEX('Projekt-Budget-Übersicht'!$F:$F,MATCH(2893,'Projekt-Budget-Übersicht'!$L:$L,0)),0)</f>
        <v>0</v>
      </c>
      <c r="S97" s="10">
        <v>1736.25</v>
      </c>
      <c r="T97" s="4"/>
      <c r="U97" s="4"/>
    </row>
    <row r="98" spans="1:21" x14ac:dyDescent="0.25">
      <c r="A98" s="4" t="s">
        <v>2619</v>
      </c>
      <c r="B98" s="4" t="s">
        <v>5484</v>
      </c>
      <c r="C98" s="4" t="str">
        <f>IFERROR(INDEX('Projekt-Budget-Übersicht'!$C:$C,MATCH(2931,'Projekt-Budget-Übersicht'!$L:$L,0)),"")</f>
        <v/>
      </c>
      <c r="D98" s="4">
        <v>2</v>
      </c>
      <c r="E98" s="4">
        <v>2.25</v>
      </c>
      <c r="F98" s="4">
        <v>1</v>
      </c>
      <c r="G98" s="15">
        <v>112.5</v>
      </c>
      <c r="H98" s="5"/>
      <c r="I98" s="5">
        <f t="shared" si="8"/>
        <v>0</v>
      </c>
      <c r="J98" s="4"/>
      <c r="K98" s="5"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124.28571428571431</v>
      </c>
      <c r="M98" s="10">
        <f t="shared" si="9"/>
        <v>124.28571428571431</v>
      </c>
      <c r="N98" s="10">
        <f t="shared" si="10"/>
        <v>124.28571428571431</v>
      </c>
      <c r="O98" s="10">
        <f t="shared" si="11"/>
        <v>0</v>
      </c>
      <c r="P98" s="10">
        <f>'A. Kokott'!M98</f>
        <v>124.28571428571431</v>
      </c>
      <c r="Q98" s="10">
        <v>35</v>
      </c>
      <c r="R98" s="10">
        <f>IFERROR(INDEX('Projekt-Budget-Übersicht'!$F:$F,MATCH(2931,'Projekt-Budget-Übersicht'!$L:$L,0)),0)</f>
        <v>0</v>
      </c>
      <c r="S98" s="10">
        <v>2519.94</v>
      </c>
      <c r="T98" s="4"/>
      <c r="U98" s="4"/>
    </row>
    <row r="99" spans="1:21" x14ac:dyDescent="0.25">
      <c r="A99" s="4" t="s">
        <v>2668</v>
      </c>
      <c r="B99" s="4" t="s">
        <v>5484</v>
      </c>
      <c r="C99" s="4" t="str">
        <f>IFERROR(INDEX('Projekt-Budget-Übersicht'!$C:$C,MATCH(2976,'Projekt-Budget-Übersicht'!$L:$L,0)),"")</f>
        <v/>
      </c>
      <c r="D99" s="4">
        <v>1</v>
      </c>
      <c r="E99" s="4">
        <v>1.75</v>
      </c>
      <c r="F99" s="4">
        <v>0.5</v>
      </c>
      <c r="G99" s="15">
        <v>175</v>
      </c>
      <c r="H99" s="5"/>
      <c r="I99" s="5">
        <f t="shared" si="8"/>
        <v>0</v>
      </c>
      <c r="J99" s="4"/>
      <c r="K99" s="5"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IF($B$2="-",0,IFERROR(INDEX(IF($B$2="SV",'Projekt-Budget-Übersicht'!$I:$I,IF($B$2="CAD",'Projekt-Budget-Übersicht'!$J:$J,IF($B$2="ADM",'Projekt-Budget-Übersicht'!$K:$K,'Projekt-Budget-Übersicht'!$I:$I))),MATCH(2976,'Projekt-Budget-Übersicht'!$M:$M,0)),0))</f>
        <v>127.7777777777778</v>
      </c>
      <c r="M99" s="10">
        <f t="shared" si="9"/>
        <v>63.8888888888889</v>
      </c>
      <c r="N99" s="10">
        <f t="shared" si="10"/>
        <v>63.8888888888889</v>
      </c>
      <c r="O99" s="10">
        <f t="shared" si="11"/>
        <v>0</v>
      </c>
      <c r="P99" s="10">
        <f>'A. Kokott'!M99</f>
        <v>63.8888888888889</v>
      </c>
      <c r="Q99" s="10">
        <v>36</v>
      </c>
      <c r="R99" s="10">
        <f>IFERROR(INDEX('Projekt-Budget-Übersicht'!$F:$F,MATCH(2976,'Projekt-Budget-Übersicht'!$L:$L,0)),0)</f>
        <v>0</v>
      </c>
      <c r="S99" s="10">
        <v>467.5</v>
      </c>
      <c r="T99" s="4"/>
      <c r="U99" s="4"/>
    </row>
    <row r="100" spans="1:21" x14ac:dyDescent="0.25">
      <c r="A100" s="4" t="s">
        <v>2725</v>
      </c>
      <c r="B100" s="4" t="s">
        <v>5516</v>
      </c>
      <c r="C100" s="4" t="s">
        <v>50</v>
      </c>
      <c r="D100" s="4">
        <v>0</v>
      </c>
      <c r="E100" s="4">
        <v>0</v>
      </c>
      <c r="F100" s="4">
        <v>0.5</v>
      </c>
      <c r="G100" s="4">
        <v>0</v>
      </c>
      <c r="H100" s="5"/>
      <c r="I100" s="5">
        <f t="shared" si="8"/>
        <v>0</v>
      </c>
      <c r="J100" s="4"/>
      <c r="K100" s="5">
        <f>IF('J. Dorn'!J91="A. Kokott",'J. Dorn'!I91,0)+IF('T. Trautmann'!J91="A. Kokott",'T. Trautmann'!I91,0)</f>
        <v>0</v>
      </c>
      <c r="L100" s="10">
        <f>IF($B$2="-",0,0)</f>
        <v>0</v>
      </c>
      <c r="M100" s="10">
        <f t="shared" si="9"/>
        <v>0</v>
      </c>
      <c r="N100" s="10">
        <f t="shared" si="10"/>
        <v>0</v>
      </c>
      <c r="O100" s="10">
        <f t="shared" si="11"/>
        <v>0</v>
      </c>
      <c r="P100" s="10">
        <f>'A. Kokott'!M100+'J. Dorn'!M91+'T. Trautmann'!M91</f>
        <v>0</v>
      </c>
      <c r="Q100" s="10"/>
      <c r="R100" s="10">
        <f>0</f>
        <v>0</v>
      </c>
      <c r="S100" s="10"/>
      <c r="T100" s="4"/>
      <c r="U100" s="4"/>
    </row>
    <row r="101" spans="1:21" x14ac:dyDescent="0.25">
      <c r="A101" s="4" t="s">
        <v>2834</v>
      </c>
      <c r="B101" s="4" t="s">
        <v>5459</v>
      </c>
      <c r="C101" s="4" t="str">
        <f>IFERROR(INDEX('Projekt-Budget-Übersicht'!$C:$C,MATCH(3122,'Projekt-Budget-Übersicht'!$L:$L,0)),"")</f>
        <v/>
      </c>
      <c r="D101" s="4">
        <v>6</v>
      </c>
      <c r="E101" s="4">
        <v>48</v>
      </c>
      <c r="F101" s="4">
        <v>0.75</v>
      </c>
      <c r="G101" s="15">
        <v>800</v>
      </c>
      <c r="H101" s="5"/>
      <c r="I101" s="5">
        <f t="shared" si="8"/>
        <v>0</v>
      </c>
      <c r="J101" s="4"/>
      <c r="K101" s="5">
        <f>IF('J. Dorn'!J92="A. Kokott",'J. Dorn'!I92,0)+IF('O. Haag BS-CAD'!J109="A. Kokott",'O. Haag BS-CAD'!I109,0)</f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101" s="10">
        <f t="shared" si="9"/>
        <v>43.750000000000007</v>
      </c>
      <c r="N101" s="10">
        <f t="shared" si="10"/>
        <v>43.750000000000007</v>
      </c>
      <c r="O101" s="10">
        <f t="shared" si="11"/>
        <v>0</v>
      </c>
      <c r="P101" s="10">
        <f>'A. Kokott'!M101+'J. Dorn'!M92+'O. Haag BS-CAD'!M109</f>
        <v>393.75000000000011</v>
      </c>
      <c r="Q101" s="10">
        <v>18</v>
      </c>
      <c r="R101" s="10">
        <f>IFERROR(INDEX('Projekt-Budget-Übersicht'!$F:$F,MATCH(3122,'Projekt-Budget-Übersicht'!$L:$L,0)),0)</f>
        <v>0</v>
      </c>
      <c r="S101" s="10">
        <v>2985.82</v>
      </c>
      <c r="T101" s="4"/>
      <c r="U101" s="4"/>
    </row>
    <row r="102" spans="1:21" x14ac:dyDescent="0.25">
      <c r="A102" s="4" t="s">
        <v>5503</v>
      </c>
      <c r="B102" s="4" t="s">
        <v>5484</v>
      </c>
      <c r="C102" s="4" t="s">
        <v>50</v>
      </c>
      <c r="D102" s="4">
        <v>0</v>
      </c>
      <c r="E102" s="4">
        <v>0</v>
      </c>
      <c r="F102" s="4">
        <v>1</v>
      </c>
      <c r="G102" s="4">
        <v>0</v>
      </c>
      <c r="H102" s="5"/>
      <c r="I102" s="5">
        <f t="shared" si="8"/>
        <v>0</v>
      </c>
      <c r="J102" s="4"/>
      <c r="K102" s="5">
        <v>0</v>
      </c>
      <c r="L102" s="10">
        <f>IF($B$2="-",0,0)</f>
        <v>0</v>
      </c>
      <c r="M102" s="10">
        <f t="shared" si="9"/>
        <v>0</v>
      </c>
      <c r="N102" s="10">
        <f t="shared" si="10"/>
        <v>0</v>
      </c>
      <c r="O102" s="10">
        <f t="shared" si="11"/>
        <v>0</v>
      </c>
      <c r="P102" s="10">
        <f>'A. Kokott'!M102</f>
        <v>0</v>
      </c>
      <c r="Q102" s="10"/>
      <c r="R102" s="10">
        <f>0</f>
        <v>0</v>
      </c>
      <c r="S102" s="10"/>
      <c r="T102" s="4"/>
      <c r="U102" s="4"/>
    </row>
    <row r="103" spans="1:21" x14ac:dyDescent="0.25">
      <c r="A103" s="4" t="s">
        <v>3158</v>
      </c>
      <c r="B103" s="4" t="s">
        <v>5490</v>
      </c>
      <c r="C103" s="4" t="str">
        <f>IFERROR(INDEX('Projekt-Budget-Übersicht'!$C:$C,MATCH(3395,'Projekt-Budget-Übersicht'!$L:$L,0)),"")</f>
        <v/>
      </c>
      <c r="D103" s="4">
        <v>1</v>
      </c>
      <c r="E103" s="4">
        <v>1.5</v>
      </c>
      <c r="F103" s="4">
        <v>0.5</v>
      </c>
      <c r="G103" s="15">
        <v>150</v>
      </c>
      <c r="H103" s="5"/>
      <c r="I103" s="5">
        <f t="shared" si="8"/>
        <v>0</v>
      </c>
      <c r="J103" s="4"/>
      <c r="K103" s="5">
        <v>0</v>
      </c>
      <c r="L103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81.818181818181813</v>
      </c>
      <c r="M103" s="10">
        <f t="shared" si="9"/>
        <v>40.909090909090907</v>
      </c>
      <c r="N103" s="10">
        <f t="shared" si="10"/>
        <v>40.909090909090907</v>
      </c>
      <c r="O103" s="10">
        <f t="shared" si="11"/>
        <v>0</v>
      </c>
      <c r="P103" s="10">
        <f>'A. Kokott'!M103</f>
        <v>40.909090909090907</v>
      </c>
      <c r="Q103" s="10">
        <v>11</v>
      </c>
      <c r="R103" s="10">
        <f>IFERROR(INDEX('Projekt-Budget-Übersicht'!$F:$F,MATCH(3395,'Projekt-Budget-Übersicht'!$L:$L,0)),0)</f>
        <v>0</v>
      </c>
      <c r="S103" s="10">
        <v>100</v>
      </c>
      <c r="T103" s="4"/>
      <c r="U103" s="4"/>
    </row>
    <row r="104" spans="1:21" x14ac:dyDescent="0.25">
      <c r="A104" s="4" t="s">
        <v>3822</v>
      </c>
      <c r="B104" s="4" t="s">
        <v>5484</v>
      </c>
      <c r="C104" s="4" t="str">
        <f>IFERROR(INDEX('Projekt-Budget-Übersicht'!$C:$C,MATCH(3980,'Projekt-Budget-Übersicht'!$L:$L,0)),"")</f>
        <v/>
      </c>
      <c r="D104" s="4">
        <v>1</v>
      </c>
      <c r="E104" s="4">
        <v>1.25</v>
      </c>
      <c r="F104" s="4">
        <v>0.5</v>
      </c>
      <c r="G104" s="15">
        <v>125</v>
      </c>
      <c r="H104" s="5"/>
      <c r="I104" s="5">
        <f t="shared" si="8"/>
        <v>0</v>
      </c>
      <c r="J104" s="4"/>
      <c r="K104" s="5">
        <v>0</v>
      </c>
      <c r="L104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118.1818181818182</v>
      </c>
      <c r="M104" s="10">
        <f t="shared" si="9"/>
        <v>59.090909090909101</v>
      </c>
      <c r="N104" s="10">
        <f t="shared" si="10"/>
        <v>59.090909090909101</v>
      </c>
      <c r="O104" s="10">
        <f t="shared" si="11"/>
        <v>0</v>
      </c>
      <c r="P104" s="10">
        <f>'A. Kokott'!M104</f>
        <v>59.090909090909101</v>
      </c>
      <c r="Q104" s="10">
        <v>58</v>
      </c>
      <c r="R104" s="10">
        <f>IFERROR(INDEX('Projekt-Budget-Übersicht'!$F:$F,MATCH(3980,'Projekt-Budget-Übersicht'!$L:$L,0)),0)</f>
        <v>0</v>
      </c>
      <c r="S104" s="10">
        <v>267.5</v>
      </c>
      <c r="T104" s="4"/>
      <c r="U104" s="4"/>
    </row>
    <row r="105" spans="1:21" x14ac:dyDescent="0.25">
      <c r="A105" s="4" t="s">
        <v>4152</v>
      </c>
      <c r="B105" s="4" t="s">
        <v>5517</v>
      </c>
      <c r="C105" s="4" t="str">
        <f>IFERROR(INDEX('Projekt-Budget-Übersicht'!$C:$C,MATCH(4257,'Projekt-Budget-Übersicht'!$L:$L,0)),"")</f>
        <v/>
      </c>
      <c r="D105" s="4">
        <v>4</v>
      </c>
      <c r="E105" s="4">
        <v>4.75</v>
      </c>
      <c r="F105" s="4">
        <v>0.5</v>
      </c>
      <c r="G105" s="15">
        <v>118.75</v>
      </c>
      <c r="H105" s="5"/>
      <c r="I105" s="5">
        <f t="shared" si="8"/>
        <v>0</v>
      </c>
      <c r="J105" s="4"/>
      <c r="K105" s="5">
        <f>IF('H. Bektas'!J50="A. Kokott",'H. Bektas'!I50,0)</f>
        <v>0</v>
      </c>
      <c r="L105" s="10">
        <f>IF($B$2="-",0,IFERROR(INDEX(IF($B$2="SV",'Projekt-Budget-Übersicht'!$I:$I,IF($B$2="CAD",'Projekt-Budget-Übersicht'!$J:$J,IF($B$2="ADM",'Projekt-Budget-Übersicht'!$K:$K,'Projekt-Budget-Übersicht'!$I:$I))),MATCH(4257,'Projekt-Budget-Übersicht'!$M:$M,0)),0))</f>
        <v>0</v>
      </c>
      <c r="M105" s="10">
        <f t="shared" si="9"/>
        <v>0</v>
      </c>
      <c r="N105" s="10">
        <f t="shared" si="10"/>
        <v>0</v>
      </c>
      <c r="O105" s="10">
        <f t="shared" si="11"/>
        <v>0</v>
      </c>
      <c r="P105" s="10">
        <f>'A. Kokott'!M105+'H. Bektas'!M50</f>
        <v>0</v>
      </c>
      <c r="Q105" s="10">
        <v>16</v>
      </c>
      <c r="R105" s="10">
        <f>IFERROR(INDEX('Projekt-Budget-Übersicht'!$F:$F,MATCH(4257,'Projekt-Budget-Übersicht'!$L:$L,0)),0)</f>
        <v>0</v>
      </c>
      <c r="S105" s="10">
        <v>17.5</v>
      </c>
      <c r="T105" s="4"/>
      <c r="U105" s="4"/>
    </row>
    <row r="106" spans="1:21" x14ac:dyDescent="0.25">
      <c r="A106" s="4" t="s">
        <v>4356</v>
      </c>
      <c r="B106" s="4" t="s">
        <v>5459</v>
      </c>
      <c r="C106" s="4" t="str">
        <f>IFERROR(INDEX('Projekt-Budget-Übersicht'!$C:$C,MATCH(4432,'Projekt-Budget-Übersicht'!$L:$L,0)),"")</f>
        <v/>
      </c>
      <c r="D106" s="4">
        <v>3</v>
      </c>
      <c r="E106" s="4">
        <v>3.5</v>
      </c>
      <c r="F106" s="4">
        <v>0.5</v>
      </c>
      <c r="G106" s="15">
        <v>116.67</v>
      </c>
      <c r="H106" s="5"/>
      <c r="I106" s="5">
        <f t="shared" si="8"/>
        <v>0</v>
      </c>
      <c r="J106" s="4"/>
      <c r="K106" s="5">
        <f>IF('H. Bektas'!J51="A. Kokott",'H. Bektas'!I51,0)</f>
        <v>0</v>
      </c>
      <c r="L106" s="10">
        <f>IF($B$2="-",0,IFERROR(INDEX(IF($B$2="SV",'Projekt-Budget-Übersicht'!$I:$I,IF($B$2="CAD",'Projekt-Budget-Übersicht'!$J:$J,IF($B$2="ADM",'Projekt-Budget-Übersicht'!$K:$K,'Projekt-Budget-Übersicht'!$I:$I))),MATCH(4432,'Projekt-Budget-Übersicht'!$M:$M,0)),0))</f>
        <v>93.333333333333329</v>
      </c>
      <c r="M106" s="10">
        <f t="shared" si="9"/>
        <v>46.666666666666664</v>
      </c>
      <c r="N106" s="10">
        <f t="shared" si="10"/>
        <v>46.666666666666664</v>
      </c>
      <c r="O106" s="10">
        <f t="shared" si="11"/>
        <v>0</v>
      </c>
      <c r="P106" s="10">
        <f>'A. Kokott'!M106+'H. Bektas'!M51</f>
        <v>326.66666666666669</v>
      </c>
      <c r="Q106" s="10">
        <v>36</v>
      </c>
      <c r="R106" s="10">
        <f>IFERROR(INDEX('Projekt-Budget-Übersicht'!$F:$F,MATCH(4432,'Projekt-Budget-Übersicht'!$L:$L,0)),0)</f>
        <v>0</v>
      </c>
      <c r="S106" s="10">
        <v>117.5</v>
      </c>
      <c r="T106" s="4"/>
      <c r="U106" s="4"/>
    </row>
    <row r="107" spans="1:21" x14ac:dyDescent="0.25">
      <c r="A107" s="4" t="s">
        <v>4373</v>
      </c>
      <c r="B107" s="4" t="s">
        <v>5484</v>
      </c>
      <c r="C107" s="4" t="str">
        <f>IFERROR(INDEX('Projekt-Budget-Übersicht'!$C:$C,MATCH(4448,'Projekt-Budget-Übersicht'!$L:$L,0)),"")</f>
        <v/>
      </c>
      <c r="D107" s="4">
        <v>1</v>
      </c>
      <c r="E107" s="4">
        <v>2.5</v>
      </c>
      <c r="F107" s="4">
        <v>0.75</v>
      </c>
      <c r="G107" s="15">
        <v>250</v>
      </c>
      <c r="H107" s="5"/>
      <c r="I107" s="5">
        <f t="shared" si="8"/>
        <v>0</v>
      </c>
      <c r="J107" s="4"/>
      <c r="K107" s="5">
        <v>0</v>
      </c>
      <c r="L107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120.8333333333333</v>
      </c>
      <c r="M107" s="10">
        <f t="shared" si="9"/>
        <v>90.624999999999972</v>
      </c>
      <c r="N107" s="10">
        <f t="shared" si="10"/>
        <v>90.624999999999972</v>
      </c>
      <c r="O107" s="10">
        <f t="shared" si="11"/>
        <v>0</v>
      </c>
      <c r="P107" s="10">
        <f>'A. Kokott'!M107</f>
        <v>90.624999999999972</v>
      </c>
      <c r="Q107" s="10">
        <v>47</v>
      </c>
      <c r="R107" s="10">
        <f>IFERROR(INDEX('Projekt-Budget-Übersicht'!$F:$F,MATCH(4448,'Projekt-Budget-Übersicht'!$L:$L,0)),0)</f>
        <v>0</v>
      </c>
      <c r="S107" s="10">
        <v>2173.75</v>
      </c>
      <c r="T107" s="4"/>
      <c r="U107" s="4"/>
    </row>
    <row r="108" spans="1:21" x14ac:dyDescent="0.25">
      <c r="A108" s="4" t="s">
        <v>5518</v>
      </c>
      <c r="B108" s="4" t="s">
        <v>5484</v>
      </c>
      <c r="C108" s="4" t="s">
        <v>50</v>
      </c>
      <c r="D108" s="4">
        <v>0</v>
      </c>
      <c r="E108" s="4">
        <v>0</v>
      </c>
      <c r="F108" s="4">
        <v>0.5</v>
      </c>
      <c r="G108" s="4">
        <v>0</v>
      </c>
      <c r="H108" s="5"/>
      <c r="I108" s="5">
        <f t="shared" si="8"/>
        <v>0</v>
      </c>
      <c r="J108" s="4"/>
      <c r="K108" s="5">
        <v>0</v>
      </c>
      <c r="L108" s="10">
        <f>IF($B$2="-",0,0)</f>
        <v>0</v>
      </c>
      <c r="M108" s="10">
        <f t="shared" si="9"/>
        <v>0</v>
      </c>
      <c r="N108" s="10">
        <f t="shared" si="10"/>
        <v>0</v>
      </c>
      <c r="O108" s="10">
        <f t="shared" si="11"/>
        <v>0</v>
      </c>
      <c r="P108" s="10">
        <f>'A. Kokott'!M108</f>
        <v>0</v>
      </c>
      <c r="Q108" s="10"/>
      <c r="R108" s="10">
        <f>0</f>
        <v>0</v>
      </c>
      <c r="S108" s="10"/>
      <c r="T108" s="4"/>
      <c r="U108" s="4"/>
    </row>
    <row r="109" spans="1:21" x14ac:dyDescent="0.25">
      <c r="A109" s="4" t="s">
        <v>4461</v>
      </c>
      <c r="B109" s="4" t="s">
        <v>5519</v>
      </c>
      <c r="C109" s="4" t="str">
        <f>IFERROR(INDEX('Projekt-Budget-Übersicht'!$C:$C,MATCH(4528,'Projekt-Budget-Übersicht'!$L:$L,0)),"")</f>
        <v/>
      </c>
      <c r="D109" s="4">
        <v>100</v>
      </c>
      <c r="E109" s="4">
        <v>26.5</v>
      </c>
      <c r="F109" s="4">
        <v>0.25</v>
      </c>
      <c r="G109" s="16">
        <v>26.5</v>
      </c>
      <c r="H109" s="5"/>
      <c r="I109" s="5">
        <f t="shared" si="8"/>
        <v>0</v>
      </c>
      <c r="J109" s="4"/>
      <c r="K109" s="5">
        <f>IF('S. Schüler'!J109="A. Kokott",'S. Schüler'!I109,0)</f>
        <v>0</v>
      </c>
      <c r="L109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109" s="10">
        <f t="shared" si="9"/>
        <v>0</v>
      </c>
      <c r="N109" s="10">
        <f t="shared" si="10"/>
        <v>0</v>
      </c>
      <c r="O109" s="10">
        <f t="shared" si="11"/>
        <v>0</v>
      </c>
      <c r="P109" s="10">
        <f>'A. Kokott'!M109+'S. Schüler'!M109</f>
        <v>0</v>
      </c>
      <c r="Q109" s="10">
        <v>100</v>
      </c>
      <c r="R109" s="10">
        <f>IFERROR(INDEX('Projekt-Budget-Übersicht'!$F:$F,MATCH(4528,'Projekt-Budget-Übersicht'!$L:$L,0)),0)</f>
        <v>0</v>
      </c>
      <c r="S109" s="10">
        <v>1763.75</v>
      </c>
      <c r="T109" s="4"/>
      <c r="U109" s="4"/>
    </row>
    <row r="110" spans="1:21" x14ac:dyDescent="0.25">
      <c r="A110" s="4" t="s">
        <v>4604</v>
      </c>
      <c r="B110" s="4" t="s">
        <v>5459</v>
      </c>
      <c r="C110" s="4" t="str">
        <f>IFERROR(INDEX('Projekt-Budget-Übersicht'!$C:$C,MATCH(4641,'Projekt-Budget-Übersicht'!$L:$L,0)),"")</f>
        <v/>
      </c>
      <c r="D110" s="4">
        <v>20</v>
      </c>
      <c r="E110" s="4">
        <v>5.75</v>
      </c>
      <c r="F110" s="4">
        <v>0.5</v>
      </c>
      <c r="G110" s="16">
        <v>28.75</v>
      </c>
      <c r="H110" s="5"/>
      <c r="I110" s="5">
        <f t="shared" si="8"/>
        <v>0</v>
      </c>
      <c r="J110" s="4"/>
      <c r="K110" s="5">
        <v>0</v>
      </c>
      <c r="L110" s="10">
        <f>IF($B$2="-",0,IFERROR(INDEX(IF($B$2="SV",'Projekt-Budget-Übersicht'!$I:$I,IF($B$2="CAD",'Projekt-Budget-Übersicht'!$J:$J,IF($B$2="ADM",'Projekt-Budget-Übersicht'!$K:$K,'Projekt-Budget-Übersicht'!$I:$I))),MATCH(4641,'Projekt-Budget-Übersicht'!$M:$M,0)),0))</f>
        <v>0</v>
      </c>
      <c r="M110" s="10">
        <f t="shared" si="9"/>
        <v>0</v>
      </c>
      <c r="N110" s="10">
        <f t="shared" si="10"/>
        <v>0</v>
      </c>
      <c r="O110" s="10">
        <f t="shared" si="11"/>
        <v>0</v>
      </c>
      <c r="P110" s="10">
        <f>'A. Kokott'!M110</f>
        <v>0</v>
      </c>
      <c r="Q110" s="10">
        <v>125</v>
      </c>
      <c r="R110" s="10">
        <f>IFERROR(INDEX('Projekt-Budget-Übersicht'!$F:$F,MATCH(4641,'Projekt-Budget-Übersicht'!$L:$L,0)),0)</f>
        <v>0</v>
      </c>
      <c r="S110" s="10">
        <v>17.5</v>
      </c>
      <c r="T110" s="4"/>
      <c r="U110" s="4"/>
    </row>
    <row r="111" spans="1:21" x14ac:dyDescent="0.25">
      <c r="A111" s="4" t="s">
        <v>4671</v>
      </c>
      <c r="B111" s="4" t="s">
        <v>5520</v>
      </c>
      <c r="C111" s="4" t="str">
        <f>IFERROR(INDEX('Projekt-Budget-Übersicht'!$C:$C,MATCH(4699,'Projekt-Budget-Übersicht'!$L:$L,0)),"")</f>
        <v/>
      </c>
      <c r="D111" s="4">
        <v>1.5</v>
      </c>
      <c r="E111" s="4">
        <v>1.5</v>
      </c>
      <c r="F111" s="4">
        <v>0.5</v>
      </c>
      <c r="G111" s="14">
        <v>100</v>
      </c>
      <c r="H111" s="5"/>
      <c r="I111" s="5">
        <f t="shared" si="8"/>
        <v>0</v>
      </c>
      <c r="J111" s="4"/>
      <c r="K111" s="5">
        <v>0</v>
      </c>
      <c r="L111" s="10">
        <f>IF($B$2="-",0,IFERROR(INDEX(IF($B$2="SV",'Projekt-Budget-Übersicht'!$I:$I,IF($B$2="CAD",'Projekt-Budget-Übersicht'!$J:$J,IF($B$2="ADM",'Projekt-Budget-Übersicht'!$K:$K,'Projekt-Budget-Übersicht'!$I:$I))),MATCH(4699,'Projekt-Budget-Übersicht'!$M:$M,0)),0))</f>
        <v>933.33333333333337</v>
      </c>
      <c r="M111" s="10">
        <f t="shared" si="9"/>
        <v>466.66666666666669</v>
      </c>
      <c r="N111" s="10">
        <f t="shared" si="10"/>
        <v>466.66666666666669</v>
      </c>
      <c r="O111" s="10">
        <f t="shared" si="11"/>
        <v>0</v>
      </c>
      <c r="P111" s="10">
        <f>'A. Kokott'!M111</f>
        <v>466.66666666666669</v>
      </c>
      <c r="Q111" s="10">
        <v>1.5</v>
      </c>
      <c r="R111" s="10">
        <f>IFERROR(INDEX('Projekt-Budget-Übersicht'!$F:$F,MATCH(4699,'Projekt-Budget-Übersicht'!$L:$L,0)),0)</f>
        <v>0</v>
      </c>
      <c r="S111" s="10">
        <v>107.5</v>
      </c>
      <c r="T111" s="4"/>
      <c r="U111" s="4"/>
    </row>
    <row r="112" spans="1:21" x14ac:dyDescent="0.25">
      <c r="A112" s="4" t="s">
        <v>4758</v>
      </c>
      <c r="B112" s="4" t="s">
        <v>5484</v>
      </c>
      <c r="C112" s="4" t="str">
        <f>IFERROR(INDEX('Projekt-Budget-Übersicht'!$C:$C,MATCH(4776,'Projekt-Budget-Übersicht'!$L:$L,0)),"")</f>
        <v/>
      </c>
      <c r="D112" s="4">
        <v>1.5</v>
      </c>
      <c r="E112" s="4">
        <v>1.75</v>
      </c>
      <c r="F112" s="4">
        <v>0.5</v>
      </c>
      <c r="G112" s="15">
        <v>116.67</v>
      </c>
      <c r="H112" s="5"/>
      <c r="I112" s="5">
        <f t="shared" si="8"/>
        <v>0</v>
      </c>
      <c r="J112" s="4"/>
      <c r="K112" s="5">
        <v>0</v>
      </c>
      <c r="L112" s="10">
        <f>IF($B$2="-",0,IFERROR(INDEX(IF($B$2="SV",'Projekt-Budget-Übersicht'!$I:$I,IF($B$2="CAD",'Projekt-Budget-Übersicht'!$J:$J,IF($B$2="ADM",'Projekt-Budget-Übersicht'!$K:$K,'Projekt-Budget-Übersicht'!$I:$I))),MATCH(4776,'Projekt-Budget-Übersicht'!$M:$M,0)),0))</f>
        <v>0</v>
      </c>
      <c r="M112" s="10">
        <f t="shared" si="9"/>
        <v>0</v>
      </c>
      <c r="N112" s="10">
        <f t="shared" si="10"/>
        <v>0</v>
      </c>
      <c r="O112" s="10">
        <f t="shared" si="11"/>
        <v>0</v>
      </c>
      <c r="P112" s="10">
        <f>'A. Kokott'!M112</f>
        <v>0</v>
      </c>
      <c r="Q112" s="10">
        <v>23</v>
      </c>
      <c r="R112" s="10">
        <f>IFERROR(INDEX('Projekt-Budget-Übersicht'!$F:$F,MATCH(4776,'Projekt-Budget-Übersicht'!$L:$L,0)),0)</f>
        <v>0</v>
      </c>
      <c r="S112" s="10">
        <v>35</v>
      </c>
      <c r="T112" s="4"/>
      <c r="U112" s="4"/>
    </row>
    <row r="113" spans="1:21" x14ac:dyDescent="0.25">
      <c r="A113" s="4" t="s">
        <v>4799</v>
      </c>
      <c r="B113" s="4" t="s">
        <v>5521</v>
      </c>
      <c r="C113" s="4" t="str">
        <f>IFERROR(INDEX('Projekt-Budget-Übersicht'!$C:$C,MATCH(4806,'Projekt-Budget-Übersicht'!$L:$L,0)),"")</f>
        <v/>
      </c>
      <c r="D113" s="4">
        <v>15</v>
      </c>
      <c r="E113" s="4">
        <v>0.5</v>
      </c>
      <c r="F113" s="4">
        <v>0.5</v>
      </c>
      <c r="G113" s="16">
        <v>3.33</v>
      </c>
      <c r="H113" s="5"/>
      <c r="I113" s="5">
        <f t="shared" si="8"/>
        <v>0</v>
      </c>
      <c r="J113" s="4"/>
      <c r="K113" s="5">
        <v>0</v>
      </c>
      <c r="L113" s="10">
        <f>IF($B$2="-",0,IFERROR(INDEX(IF($B$2="SV",'Projekt-Budget-Übersicht'!$I:$I,IF($B$2="CAD",'Projekt-Budget-Übersicht'!$J:$J,IF($B$2="ADM",'Projekt-Budget-Übersicht'!$K:$K,'Projekt-Budget-Übersicht'!$I:$I))),MATCH(4806,'Projekt-Budget-Übersicht'!$M:$M,0)),0))</f>
        <v>0</v>
      </c>
      <c r="M113" s="10">
        <f t="shared" si="9"/>
        <v>0</v>
      </c>
      <c r="N113" s="10">
        <f t="shared" si="10"/>
        <v>0</v>
      </c>
      <c r="O113" s="10">
        <f t="shared" si="11"/>
        <v>0</v>
      </c>
      <c r="P113" s="10">
        <f>'A. Kokott'!M113</f>
        <v>0</v>
      </c>
      <c r="Q113" s="10">
        <v>525.5</v>
      </c>
      <c r="R113" s="10">
        <f>IFERROR(INDEX('Projekt-Budget-Übersicht'!$F:$F,MATCH(4806,'Projekt-Budget-Übersicht'!$L:$L,0)),0)</f>
        <v>0</v>
      </c>
      <c r="S113" s="10">
        <v>17.5</v>
      </c>
      <c r="T113" s="4"/>
      <c r="U113" s="4"/>
    </row>
    <row r="114" spans="1:21" x14ac:dyDescent="0.25">
      <c r="A114" s="4" t="s">
        <v>4929</v>
      </c>
      <c r="B114" s="4" t="s">
        <v>5484</v>
      </c>
      <c r="C114" s="4" t="str">
        <f>IFERROR(INDEX('Projekt-Budget-Übersicht'!$C:$C,MATCH(4909,'Projekt-Budget-Übersicht'!$L:$L,0)),"")</f>
        <v/>
      </c>
      <c r="D114" s="4">
        <v>1</v>
      </c>
      <c r="E114" s="4">
        <v>1.5</v>
      </c>
      <c r="F114" s="4">
        <v>0.5</v>
      </c>
      <c r="G114" s="15">
        <v>150</v>
      </c>
      <c r="H114" s="5"/>
      <c r="I114" s="5">
        <f t="shared" si="8"/>
        <v>0</v>
      </c>
      <c r="J114" s="4"/>
      <c r="K114" s="5">
        <v>0</v>
      </c>
      <c r="L114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116.6666666666667</v>
      </c>
      <c r="M114" s="10">
        <f t="shared" si="9"/>
        <v>58.33333333333335</v>
      </c>
      <c r="N114" s="10">
        <f t="shared" si="10"/>
        <v>58.33333333333335</v>
      </c>
      <c r="O114" s="10">
        <f t="shared" si="11"/>
        <v>0</v>
      </c>
      <c r="P114" s="10">
        <f>'A. Kokott'!M114</f>
        <v>58.33333333333335</v>
      </c>
      <c r="Q114" s="10">
        <v>210</v>
      </c>
      <c r="R114" s="10">
        <f>IFERROR(INDEX('Projekt-Budget-Übersicht'!$F:$F,MATCH(4909,'Projekt-Budget-Übersicht'!$L:$L,0)),0)</f>
        <v>0</v>
      </c>
      <c r="S114" s="10">
        <v>866.58</v>
      </c>
      <c r="T114" s="4"/>
      <c r="U114" s="4"/>
    </row>
    <row r="115" spans="1:21" x14ac:dyDescent="0.25">
      <c r="A115" s="4" t="s">
        <v>4949</v>
      </c>
      <c r="B115" s="4" t="s">
        <v>5522</v>
      </c>
      <c r="C115" s="4" t="str">
        <f>IFERROR(INDEX('Projekt-Budget-Übersicht'!$C:$C,MATCH(4926,'Projekt-Budget-Übersicht'!$L:$L,0)),"")</f>
        <v/>
      </c>
      <c r="D115" s="4">
        <v>70</v>
      </c>
      <c r="E115" s="4">
        <v>37.25</v>
      </c>
      <c r="F115" s="4">
        <v>0.5</v>
      </c>
      <c r="G115" s="16">
        <v>53.21</v>
      </c>
      <c r="H115" s="5"/>
      <c r="I115" s="5">
        <f t="shared" si="8"/>
        <v>0</v>
      </c>
      <c r="J115" s="4"/>
      <c r="K115" s="5">
        <v>0</v>
      </c>
      <c r="L115" s="10">
        <f>IF($B$2="-",0,IFERROR(INDEX(IF($B$2="SV",'Projekt-Budget-Übersicht'!$I:$I,IF($B$2="CAD",'Projekt-Budget-Übersicht'!$J:$J,IF($B$2="ADM",'Projekt-Budget-Übersicht'!$K:$K,'Projekt-Budget-Übersicht'!$I:$I))),MATCH(4926,'Projekt-Budget-Übersicht'!$M:$M,0)),0))</f>
        <v>0</v>
      </c>
      <c r="M115" s="10">
        <f t="shared" si="9"/>
        <v>0</v>
      </c>
      <c r="N115" s="10">
        <f t="shared" si="10"/>
        <v>0</v>
      </c>
      <c r="O115" s="10">
        <f t="shared" si="11"/>
        <v>0</v>
      </c>
      <c r="P115" s="10">
        <f>'A. Kokott'!M115</f>
        <v>0</v>
      </c>
      <c r="Q115" s="10">
        <v>57</v>
      </c>
      <c r="R115" s="10">
        <f>IFERROR(INDEX('Projekt-Budget-Übersicht'!$F:$F,MATCH(4926,'Projekt-Budget-Übersicht'!$L:$L,0)),0)</f>
        <v>0</v>
      </c>
      <c r="S115" s="10">
        <v>17.5</v>
      </c>
      <c r="T115" s="4"/>
      <c r="U115" s="4"/>
    </row>
    <row r="116" spans="1:21" x14ac:dyDescent="0.25">
      <c r="A116" s="4" t="s">
        <v>4980</v>
      </c>
      <c r="B116" s="4" t="s">
        <v>5487</v>
      </c>
      <c r="C116" s="4" t="str">
        <f>IFERROR(INDEX('Projekt-Budget-Übersicht'!$C:$C,MATCH(4962,'Projekt-Budget-Übersicht'!$L:$L,0)),"")</f>
        <v/>
      </c>
      <c r="D116" s="4">
        <v>26</v>
      </c>
      <c r="E116" s="4">
        <v>42.75</v>
      </c>
      <c r="F116" s="4">
        <v>0.5</v>
      </c>
      <c r="G116" s="15">
        <v>164.42</v>
      </c>
      <c r="H116" s="5"/>
      <c r="I116" s="5">
        <f t="shared" si="8"/>
        <v>0</v>
      </c>
      <c r="J116" s="4"/>
      <c r="K116" s="5">
        <f>IF('M. Bandlofsky'!J62="A. Kokott",'M. Bandlofsky'!I62,0)</f>
        <v>0</v>
      </c>
      <c r="L116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116" s="10">
        <f t="shared" si="9"/>
        <v>0</v>
      </c>
      <c r="N116" s="10">
        <f t="shared" si="10"/>
        <v>0</v>
      </c>
      <c r="O116" s="10">
        <f t="shared" si="11"/>
        <v>0</v>
      </c>
      <c r="P116" s="10">
        <f>'A. Kokott'!M116+'M. Bandlofsky'!M62</f>
        <v>0</v>
      </c>
      <c r="Q116" s="10">
        <v>178</v>
      </c>
      <c r="R116" s="10">
        <f>IFERROR(INDEX('Projekt-Budget-Übersicht'!$F:$F,MATCH(4962,'Projekt-Budget-Übersicht'!$L:$L,0)),0)</f>
        <v>0</v>
      </c>
      <c r="S116" s="10">
        <v>606.65</v>
      </c>
      <c r="T116" s="4"/>
      <c r="U116" s="4"/>
    </row>
    <row r="117" spans="1:21" x14ac:dyDescent="0.25">
      <c r="A117" s="4" t="s">
        <v>5056</v>
      </c>
      <c r="B117" s="4" t="s">
        <v>5484</v>
      </c>
      <c r="C117" s="4" t="str">
        <f>IFERROR(INDEX('Projekt-Budget-Übersicht'!$C:$C,MATCH(5033,'Projekt-Budget-Übersicht'!$L:$L,0)),"")</f>
        <v/>
      </c>
      <c r="D117" s="4">
        <v>1</v>
      </c>
      <c r="E117" s="4">
        <v>2.5</v>
      </c>
      <c r="F117" s="4">
        <v>0.25</v>
      </c>
      <c r="G117" s="15">
        <v>250</v>
      </c>
      <c r="H117" s="5"/>
      <c r="I117" s="5">
        <f t="shared" si="8"/>
        <v>0</v>
      </c>
      <c r="J117" s="4"/>
      <c r="K117" s="5">
        <v>0</v>
      </c>
      <c r="L117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117" s="10">
        <f t="shared" si="9"/>
        <v>25.25</v>
      </c>
      <c r="N117" s="10">
        <f t="shared" si="10"/>
        <v>25.25</v>
      </c>
      <c r="O117" s="10">
        <f t="shared" si="11"/>
        <v>0</v>
      </c>
      <c r="P117" s="10">
        <f>'A. Kokott'!M117</f>
        <v>25.25</v>
      </c>
      <c r="Q117" s="10">
        <v>20</v>
      </c>
      <c r="R117" s="10">
        <f>IFERROR(INDEX('Projekt-Budget-Übersicht'!$F:$F,MATCH(5033,'Projekt-Budget-Übersicht'!$L:$L,0)),0)</f>
        <v>0</v>
      </c>
      <c r="S117" s="10">
        <v>507.9</v>
      </c>
      <c r="T117" s="4"/>
      <c r="U117" s="4"/>
    </row>
    <row r="118" spans="1:21" x14ac:dyDescent="0.25">
      <c r="A118" s="4" t="s">
        <v>5146</v>
      </c>
      <c r="B118" s="4" t="s">
        <v>5490</v>
      </c>
      <c r="C118" s="4" t="str">
        <f>IFERROR(INDEX('Projekt-Budget-Übersicht'!$C:$C,MATCH(5109,'Projekt-Budget-Übersicht'!$L:$L,0)),"")</f>
        <v/>
      </c>
      <c r="D118" s="4">
        <v>1</v>
      </c>
      <c r="E118" s="4">
        <v>1</v>
      </c>
      <c r="F118" s="4">
        <v>0.5</v>
      </c>
      <c r="G118" s="14">
        <v>100</v>
      </c>
      <c r="H118" s="5"/>
      <c r="I118" s="5">
        <f t="shared" si="8"/>
        <v>0</v>
      </c>
      <c r="J118" s="4"/>
      <c r="K118" s="5">
        <v>0</v>
      </c>
      <c r="L118" s="10">
        <f>IF($B$2="-",0,IFERROR(INDEX(IF($B$2="SV",'Projekt-Budget-Übersicht'!$I:$I,IF($B$2="CAD",'Projekt-Budget-Übersicht'!$J:$J,IF($B$2="ADM",'Projekt-Budget-Übersicht'!$K:$K,'Projekt-Budget-Übersicht'!$I:$I))),MATCH(5109,'Projekt-Budget-Übersicht'!$M:$M,0)),0))</f>
        <v>127.7777777777778</v>
      </c>
      <c r="M118" s="10">
        <f t="shared" si="9"/>
        <v>63.8888888888889</v>
      </c>
      <c r="N118" s="10">
        <f t="shared" si="10"/>
        <v>63.8888888888889</v>
      </c>
      <c r="O118" s="10">
        <f t="shared" si="11"/>
        <v>0</v>
      </c>
      <c r="P118" s="10">
        <f>'A. Kokott'!M118</f>
        <v>63.8888888888889</v>
      </c>
      <c r="Q118" s="10">
        <v>9</v>
      </c>
      <c r="R118" s="10">
        <f>IFERROR(INDEX('Projekt-Budget-Übersicht'!$F:$F,MATCH(5109,'Projekt-Budget-Übersicht'!$L:$L,0)),0)</f>
        <v>0</v>
      </c>
      <c r="S118" s="10">
        <v>560</v>
      </c>
      <c r="T118" s="4"/>
      <c r="U118" s="4"/>
    </row>
    <row r="119" spans="1:21" x14ac:dyDescent="0.25">
      <c r="A119" s="4" t="s">
        <v>5186</v>
      </c>
      <c r="B119" s="4" t="s">
        <v>5484</v>
      </c>
      <c r="C119" s="4" t="s">
        <v>50</v>
      </c>
      <c r="D119" s="4">
        <v>0</v>
      </c>
      <c r="E119" s="4">
        <v>0</v>
      </c>
      <c r="F119" s="4">
        <v>0.5</v>
      </c>
      <c r="G119" s="4">
        <v>0</v>
      </c>
      <c r="H119" s="5"/>
      <c r="I119" s="5">
        <f t="shared" si="8"/>
        <v>0</v>
      </c>
      <c r="J119" s="4"/>
      <c r="K119" s="5">
        <v>0</v>
      </c>
      <c r="L119" s="10">
        <f>IF($B$2="-",0,0)</f>
        <v>0</v>
      </c>
      <c r="M119" s="10">
        <f t="shared" si="9"/>
        <v>0</v>
      </c>
      <c r="N119" s="10">
        <f t="shared" si="10"/>
        <v>0</v>
      </c>
      <c r="O119" s="10">
        <f t="shared" si="11"/>
        <v>0</v>
      </c>
      <c r="P119" s="10">
        <f>'A. Kokott'!M119</f>
        <v>0</v>
      </c>
      <c r="Q119" s="10"/>
      <c r="R119" s="10">
        <f>0</f>
        <v>0</v>
      </c>
      <c r="S119" s="10"/>
      <c r="T119" s="4"/>
      <c r="U119" s="4"/>
    </row>
    <row r="120" spans="1:21" x14ac:dyDescent="0.25">
      <c r="A120" s="4" t="s">
        <v>5215</v>
      </c>
      <c r="B120" s="4" t="s">
        <v>5484</v>
      </c>
      <c r="C120" s="4" t="str">
        <f>IFERROR(INDEX('Projekt-Budget-Übersicht'!$C:$C,MATCH(5169,'Projekt-Budget-Übersicht'!$L:$L,0)),"")</f>
        <v/>
      </c>
      <c r="D120" s="4">
        <v>1</v>
      </c>
      <c r="E120" s="4">
        <v>1.25</v>
      </c>
      <c r="F120" s="4">
        <v>0.5</v>
      </c>
      <c r="G120" s="15">
        <v>125</v>
      </c>
      <c r="H120" s="5"/>
      <c r="I120" s="5">
        <f t="shared" si="8"/>
        <v>0</v>
      </c>
      <c r="J120" s="4"/>
      <c r="K120" s="5">
        <v>0</v>
      </c>
      <c r="L120" s="10">
        <f>IF($B$2="-",0,IFERROR(INDEX(IF($B$2="SV",'Projekt-Budget-Übersicht'!$I:$I,IF($B$2="CAD",'Projekt-Budget-Übersicht'!$J:$J,IF($B$2="ADM",'Projekt-Budget-Übersicht'!$K:$K,'Projekt-Budget-Übersicht'!$I:$I))),MATCH(5169,'Projekt-Budget-Übersicht'!$M:$M,0)),0))</f>
        <v>93.269230769230774</v>
      </c>
      <c r="M120" s="10">
        <f t="shared" si="9"/>
        <v>46.634615384615387</v>
      </c>
      <c r="N120" s="10">
        <f t="shared" si="10"/>
        <v>46.634615384615387</v>
      </c>
      <c r="O120" s="10">
        <f t="shared" si="11"/>
        <v>0</v>
      </c>
      <c r="P120" s="10">
        <f>'A. Kokott'!M120</f>
        <v>46.634615384615387</v>
      </c>
      <c r="Q120" s="10">
        <v>52</v>
      </c>
      <c r="R120" s="10">
        <f>IFERROR(INDEX('Projekt-Budget-Übersicht'!$F:$F,MATCH(5169,'Projekt-Budget-Übersicht'!$L:$L,0)),0)</f>
        <v>0</v>
      </c>
      <c r="S120" s="10">
        <v>469.15</v>
      </c>
      <c r="T120" s="4"/>
      <c r="U120" s="4"/>
    </row>
    <row r="121" spans="1:21" x14ac:dyDescent="0.25">
      <c r="A121" s="4" t="s">
        <v>5231</v>
      </c>
      <c r="B121" s="4" t="s">
        <v>5484</v>
      </c>
      <c r="C121" s="4" t="str">
        <f>IFERROR(INDEX('Projekt-Budget-Übersicht'!$C:$C,MATCH(5184,'Projekt-Budget-Übersicht'!$L:$L,0)),"")</f>
        <v/>
      </c>
      <c r="D121" s="4">
        <v>1</v>
      </c>
      <c r="E121" s="4">
        <v>1.25</v>
      </c>
      <c r="F121" s="4">
        <v>0.5</v>
      </c>
      <c r="G121" s="15">
        <v>125</v>
      </c>
      <c r="H121" s="5"/>
      <c r="I121" s="5">
        <f t="shared" si="8"/>
        <v>0</v>
      </c>
      <c r="J121" s="4"/>
      <c r="K121" s="5">
        <v>0</v>
      </c>
      <c r="L121" s="10">
        <f>IF($B$2="-",0,IFERROR(INDEX(IF($B$2="SV",'Projekt-Budget-Übersicht'!$I:$I,IF($B$2="CAD",'Projekt-Budget-Übersicht'!$J:$J,IF($B$2="ADM",'Projekt-Budget-Übersicht'!$K:$K,'Projekt-Budget-Übersicht'!$I:$I))),MATCH(5184,'Projekt-Budget-Übersicht'!$M:$M,0)),0))</f>
        <v>80</v>
      </c>
      <c r="M121" s="10">
        <f t="shared" si="9"/>
        <v>40</v>
      </c>
      <c r="N121" s="10">
        <f t="shared" si="10"/>
        <v>40</v>
      </c>
      <c r="O121" s="10">
        <f t="shared" si="11"/>
        <v>0</v>
      </c>
      <c r="P121" s="10">
        <f>'A. Kokott'!M121</f>
        <v>40</v>
      </c>
      <c r="Q121" s="10">
        <v>194.5</v>
      </c>
      <c r="R121" s="10">
        <f>IFERROR(INDEX('Projekt-Budget-Übersicht'!$F:$F,MATCH(5184,'Projekt-Budget-Übersicht'!$L:$L,0)),0)</f>
        <v>0</v>
      </c>
      <c r="S121" s="10">
        <v>17.5</v>
      </c>
      <c r="T121" s="4"/>
      <c r="U121" s="4"/>
    </row>
    <row r="122" spans="1:21" x14ac:dyDescent="0.25">
      <c r="A122" s="4" t="s">
        <v>5232</v>
      </c>
      <c r="B122" s="4" t="s">
        <v>5523</v>
      </c>
      <c r="C122" s="4" t="s">
        <v>50</v>
      </c>
      <c r="D122" s="4">
        <v>0</v>
      </c>
      <c r="E122" s="4">
        <v>0</v>
      </c>
      <c r="F122" s="4">
        <v>0.5</v>
      </c>
      <c r="G122" s="4">
        <v>0</v>
      </c>
      <c r="H122" s="5"/>
      <c r="I122" s="5">
        <f t="shared" si="8"/>
        <v>0</v>
      </c>
      <c r="J122" s="4"/>
      <c r="K122" s="5">
        <v>0</v>
      </c>
      <c r="L122" s="10">
        <f>IF($B$2="-",0,0)</f>
        <v>0</v>
      </c>
      <c r="M122" s="10">
        <f t="shared" si="9"/>
        <v>0</v>
      </c>
      <c r="N122" s="10">
        <f t="shared" si="10"/>
        <v>0</v>
      </c>
      <c r="O122" s="10">
        <f t="shared" si="11"/>
        <v>0</v>
      </c>
      <c r="P122" s="10">
        <f>'A. Kokott'!M122</f>
        <v>0</v>
      </c>
      <c r="Q122" s="10"/>
      <c r="R122" s="10">
        <f>0</f>
        <v>0</v>
      </c>
      <c r="S122" s="10"/>
      <c r="T122" s="4"/>
      <c r="U122" s="4"/>
    </row>
    <row r="123" spans="1:21" x14ac:dyDescent="0.25">
      <c r="A123" s="3"/>
      <c r="B123" s="3" t="s">
        <v>5492</v>
      </c>
      <c r="C123" s="3"/>
      <c r="D123" s="3"/>
      <c r="E123" s="3"/>
      <c r="F123" s="6">
        <v>28</v>
      </c>
      <c r="G123" s="3"/>
      <c r="H123" s="3"/>
      <c r="I123" s="3"/>
      <c r="J123" s="3"/>
      <c r="K123" s="3"/>
      <c r="L123" s="3"/>
      <c r="M123" s="17">
        <f>SUM(M85:M122)</f>
        <v>1484.2881411888766</v>
      </c>
      <c r="N123" s="17">
        <f>SUM(N85:N122)</f>
        <v>1484.2881411888766</v>
      </c>
      <c r="O123" s="17">
        <f>SUM(O85:O122)</f>
        <v>0</v>
      </c>
      <c r="P123" s="17">
        <f>SUM(P85:P122)</f>
        <v>10998.038141188876</v>
      </c>
      <c r="Q123" s="3"/>
      <c r="R123" s="3"/>
      <c r="S123" s="3"/>
      <c r="T123" s="3"/>
      <c r="U123" s="3"/>
    </row>
    <row r="124" spans="1:21" x14ac:dyDescent="0.25">
      <c r="A124" s="3"/>
      <c r="B124" s="3" t="s">
        <v>4</v>
      </c>
      <c r="C124" s="3"/>
      <c r="D124" s="3"/>
      <c r="E124" s="3"/>
      <c r="F124" s="6">
        <f>G124+H124</f>
        <v>8.75</v>
      </c>
      <c r="G124" s="6">
        <v>8.75</v>
      </c>
      <c r="H124" s="6">
        <f>SUM(H87,H88,H89,H90,H91,H92,H93,H94,H95,H96,H97,H98,H99,H100,H101,H102,H103,H104,H105,H106,H107,H108,H109,H110,H111,H112,H113,H114,H115,H116,H117,H118,H119,H120,H121,H122)</f>
        <v>0</v>
      </c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1:21" x14ac:dyDescent="0.25">
      <c r="A125" s="3"/>
      <c r="B125" s="3" t="s">
        <v>5</v>
      </c>
      <c r="C125" s="3"/>
      <c r="D125" s="3"/>
      <c r="E125" s="3"/>
      <c r="F125" s="6">
        <f>G125+H125</f>
        <v>9</v>
      </c>
      <c r="G125" s="6">
        <v>9</v>
      </c>
      <c r="H125" s="6">
        <f>SUM(H85,H86)</f>
        <v>0</v>
      </c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1:21" x14ac:dyDescent="0.25">
      <c r="A126" s="3"/>
      <c r="B126" s="3" t="s">
        <v>5493</v>
      </c>
      <c r="C126" s="3"/>
      <c r="D126" s="3"/>
      <c r="E126" s="3"/>
      <c r="F126" s="6">
        <f>SUM(K85:K122)</f>
        <v>0</v>
      </c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1:21" x14ac:dyDescent="0.25">
      <c r="A127" s="18"/>
      <c r="B127" s="18" t="s">
        <v>5494</v>
      </c>
      <c r="C127" s="18"/>
      <c r="D127" s="18"/>
      <c r="E127" s="18"/>
      <c r="F127" s="19">
        <f>F124+F125+F126</f>
        <v>17.75</v>
      </c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9" spans="1:21" ht="15.75" x14ac:dyDescent="0.25">
      <c r="A129" s="2" t="s">
        <v>5524</v>
      </c>
    </row>
    <row r="130" spans="1:21" x14ac:dyDescent="0.25">
      <c r="A130" s="3" t="s">
        <v>2</v>
      </c>
      <c r="B130" s="3" t="s">
        <v>5525</v>
      </c>
      <c r="C130" s="3" t="s">
        <v>5526</v>
      </c>
      <c r="D130" s="3" t="s">
        <v>4</v>
      </c>
      <c r="E130" s="3" t="s">
        <v>5</v>
      </c>
      <c r="F130" s="3" t="s">
        <v>5527</v>
      </c>
      <c r="G130" s="3" t="s">
        <v>5528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1:21" x14ac:dyDescent="0.25">
      <c r="A131" s="4" t="s">
        <v>6</v>
      </c>
      <c r="B131" s="4" t="s">
        <v>14</v>
      </c>
      <c r="C131" s="4">
        <f>F31</f>
        <v>77.5</v>
      </c>
      <c r="D131" s="4">
        <f>F32</f>
        <v>52</v>
      </c>
      <c r="E131" s="4">
        <f>F33</f>
        <v>16</v>
      </c>
      <c r="F131" s="4">
        <f>F34</f>
        <v>0</v>
      </c>
      <c r="G131" s="4">
        <f>F35</f>
        <v>68</v>
      </c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</row>
    <row r="132" spans="1:21" x14ac:dyDescent="0.25">
      <c r="A132" s="4" t="s">
        <v>7</v>
      </c>
      <c r="B132" s="4" t="s">
        <v>14</v>
      </c>
      <c r="C132" s="4">
        <f>F77</f>
        <v>29.75</v>
      </c>
      <c r="D132" s="4">
        <f>F78</f>
        <v>6.25</v>
      </c>
      <c r="E132" s="4">
        <f>F79</f>
        <v>11</v>
      </c>
      <c r="F132" s="4">
        <f>F80</f>
        <v>0</v>
      </c>
      <c r="G132" s="4">
        <f>F81</f>
        <v>17.25</v>
      </c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</row>
    <row r="133" spans="1:21" x14ac:dyDescent="0.25">
      <c r="A133" s="4" t="s">
        <v>8</v>
      </c>
      <c r="B133" s="4" t="s">
        <v>14</v>
      </c>
      <c r="C133" s="4">
        <f>F123</f>
        <v>28</v>
      </c>
      <c r="D133" s="4">
        <f>F124</f>
        <v>8.75</v>
      </c>
      <c r="E133" s="4">
        <f>F125</f>
        <v>9</v>
      </c>
      <c r="F133" s="4">
        <f>F126</f>
        <v>0</v>
      </c>
      <c r="G133" s="4">
        <f>F127</f>
        <v>17.75</v>
      </c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</row>
    <row r="136" spans="1:21" ht="18.75" x14ac:dyDescent="0.3">
      <c r="A136" s="1" t="s">
        <v>5529</v>
      </c>
    </row>
    <row r="137" spans="1:21" x14ac:dyDescent="0.25">
      <c r="A137" s="3" t="s">
        <v>35</v>
      </c>
      <c r="B137" s="3" t="s">
        <v>5461</v>
      </c>
      <c r="C137" s="3" t="s">
        <v>37</v>
      </c>
      <c r="D137" s="3" t="s">
        <v>5462</v>
      </c>
      <c r="E137" s="3" t="s">
        <v>5463</v>
      </c>
      <c r="F137" s="3" t="s">
        <v>5530</v>
      </c>
      <c r="G137" s="3" t="s">
        <v>5465</v>
      </c>
      <c r="H137" s="3" t="s">
        <v>5466</v>
      </c>
      <c r="I137" s="3" t="s">
        <v>5467</v>
      </c>
      <c r="J137" s="3" t="s">
        <v>5468</v>
      </c>
      <c r="K137" s="3" t="s">
        <v>5469</v>
      </c>
      <c r="L137" s="3" t="s">
        <v>5470</v>
      </c>
      <c r="M137" s="3" t="s">
        <v>5471</v>
      </c>
      <c r="N137" s="3" t="s">
        <v>5472</v>
      </c>
      <c r="O137" s="3" t="s">
        <v>5473</v>
      </c>
      <c r="P137" s="3" t="s">
        <v>5474</v>
      </c>
      <c r="Q137" s="3" t="s">
        <v>5476</v>
      </c>
      <c r="R137" s="3" t="s">
        <v>5477</v>
      </c>
      <c r="S137" s="3"/>
      <c r="T137" s="3"/>
      <c r="U137" s="3"/>
    </row>
    <row r="138" spans="1:21" x14ac:dyDescent="0.25">
      <c r="A138" s="21" t="s">
        <v>61</v>
      </c>
      <c r="B138" s="4" t="s">
        <v>5480</v>
      </c>
      <c r="C138" s="4" t="str">
        <f>IFERROR(INDEX('Projekt-Budget-Übersicht'!$C:$C,MATCH(10,'Projekt-Budget-Übersicht'!$L:$L,0)),"")</f>
        <v/>
      </c>
      <c r="D138" s="4">
        <v>24</v>
      </c>
      <c r="E138" s="4">
        <v>23</v>
      </c>
      <c r="F138" s="5">
        <f>SUM(F6,F39,F85,I6,I39,I85,K6,K39,K85)</f>
        <v>23</v>
      </c>
      <c r="G138" s="14">
        <v>95.83</v>
      </c>
      <c r="H138" s="5">
        <f>SUM(H6,H39,H85)</f>
        <v>0</v>
      </c>
      <c r="I138" s="5">
        <f t="shared" ref="I138:I169" si="12">IF(H138=0,0,F138-H138)</f>
        <v>0</v>
      </c>
      <c r="J138" s="4" t="s">
        <v>5531</v>
      </c>
      <c r="K138" s="5">
        <f>SUM(K6,K39,K85)</f>
        <v>0</v>
      </c>
      <c r="L138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38" s="10">
        <f t="shared" ref="M138:M169" si="13">IF($B$2="-",0,IF(C138="Pauschale",IF(OR(Q138=0,N(D138)=0),0,MAX(0,MIN(Q138*((N(F138)+N(K138))/N(D138)),Q138-Q138*(N(E138)/N(D138))))),L138*(N(F138)+N(K138))))</f>
        <v>0</v>
      </c>
      <c r="N138" s="10">
        <f t="shared" ref="N138:N169" si="14">IF($B$2="-",0,IF(C138="Pauschale",IF(OR(Q138=0,N(D138)=0),0,Q138*((N(F138)+N(K138))/N(D138))),L138*(N(F138)+N(K138))))</f>
        <v>0</v>
      </c>
      <c r="O138" s="10">
        <f t="shared" ref="O138:O169" si="15">N138-M138</f>
        <v>0</v>
      </c>
      <c r="P138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138" s="10">
        <f>IFERROR(INDEX('Projekt-Budget-Übersicht'!$E:$E,MATCH(10,'Projekt-Budget-Übersicht'!$L:$L,0)),0)</f>
        <v>0</v>
      </c>
      <c r="R138" s="10">
        <v>68628.19</v>
      </c>
      <c r="S138" s="4"/>
      <c r="T138" s="4"/>
      <c r="U138" s="4"/>
    </row>
    <row r="139" spans="1:21" x14ac:dyDescent="0.25">
      <c r="A139" s="22"/>
      <c r="B139" s="4" t="s">
        <v>5481</v>
      </c>
      <c r="C139" s="4" t="str">
        <f>IFERROR(INDEX('Projekt-Budget-Übersicht'!$C:$C,MATCH(10,'Projekt-Budget-Übersicht'!$L:$L,0)),"")</f>
        <v/>
      </c>
      <c r="D139" s="4">
        <v>24</v>
      </c>
      <c r="E139" s="4">
        <v>13</v>
      </c>
      <c r="F139" s="5">
        <f>SUM(F7,F40,F86,I7,I40,I86,K7,K40,K86)</f>
        <v>13</v>
      </c>
      <c r="G139" s="16">
        <v>54.17</v>
      </c>
      <c r="H139" s="5">
        <f>SUM(H7,H40,H86)</f>
        <v>0</v>
      </c>
      <c r="I139" s="5">
        <f t="shared" si="12"/>
        <v>0</v>
      </c>
      <c r="J139" s="4" t="s">
        <v>5531</v>
      </c>
      <c r="K139" s="5">
        <f>SUM(K7,K40,K86)</f>
        <v>0</v>
      </c>
      <c r="L139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39" s="10">
        <f t="shared" si="13"/>
        <v>0</v>
      </c>
      <c r="N139" s="10">
        <f t="shared" si="14"/>
        <v>0</v>
      </c>
      <c r="O139" s="10">
        <f t="shared" si="15"/>
        <v>0</v>
      </c>
      <c r="P139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139" s="10">
        <f>IFERROR(INDEX('Projekt-Budget-Übersicht'!$E:$E,MATCH(10,'Projekt-Budget-Übersicht'!$L:$L,0)),0)</f>
        <v>0</v>
      </c>
      <c r="R139" s="10">
        <v>68628.19</v>
      </c>
      <c r="S139" s="4"/>
      <c r="T139" s="4"/>
      <c r="U139" s="4"/>
    </row>
    <row r="140" spans="1:21" x14ac:dyDescent="0.25">
      <c r="A140" s="4" t="s">
        <v>91</v>
      </c>
      <c r="B140" s="4" t="s">
        <v>5459</v>
      </c>
      <c r="C140" s="4" t="str">
        <f>IFERROR(INDEX('Projekt-Budget-Übersicht'!$C:$C,MATCH(26,'Projekt-Budget-Übersicht'!$L:$L,0)),"")</f>
        <v/>
      </c>
      <c r="D140" s="4">
        <v>20</v>
      </c>
      <c r="E140" s="4">
        <v>19.5</v>
      </c>
      <c r="F140" s="5">
        <f>SUM(F87,I87,K87)</f>
        <v>0.25</v>
      </c>
      <c r="G140" s="14">
        <v>97.5</v>
      </c>
      <c r="H140" s="5">
        <f>SUM(H87)</f>
        <v>0</v>
      </c>
      <c r="I140" s="5">
        <f t="shared" si="12"/>
        <v>0</v>
      </c>
      <c r="J140" s="4" t="s">
        <v>5531</v>
      </c>
      <c r="K140" s="5">
        <f>SUM(K87)</f>
        <v>0</v>
      </c>
      <c r="L140" s="10">
        <f>IF($B$2="-",0,IFERROR(INDEX(IF($B$2="SV",'Projekt-Budget-Übersicht'!$H:$H,IF($B$2="CAD",'Projekt-Budget-Übersicht'!$I:$I,IF($B$2="ADM",'Projekt-Budget-Übersicht'!$J:$J,'Projekt-Budget-Übersicht'!$H:$H))),MATCH(26,'Projekt-Budget-Übersicht'!$L:$L,0)),0))</f>
        <v>0</v>
      </c>
      <c r="M140" s="10">
        <f t="shared" si="13"/>
        <v>0</v>
      </c>
      <c r="N140" s="10">
        <f t="shared" si="14"/>
        <v>0</v>
      </c>
      <c r="O140" s="10">
        <f t="shared" si="15"/>
        <v>0</v>
      </c>
      <c r="P140" s="10">
        <f>'A. Kokott'!M140+'M. Bandlofsky'!M85</f>
        <v>0</v>
      </c>
      <c r="Q140" s="10">
        <f>IFERROR(INDEX('Projekt-Budget-Übersicht'!$E:$E,MATCH(26,'Projekt-Budget-Übersicht'!$L:$L,0)),0)</f>
        <v>0</v>
      </c>
      <c r="R140" s="10">
        <v>1453.75</v>
      </c>
      <c r="S140" s="4"/>
      <c r="T140" s="4"/>
      <c r="U140" s="4"/>
    </row>
    <row r="141" spans="1:21" x14ac:dyDescent="0.25">
      <c r="A141" s="4" t="s">
        <v>93</v>
      </c>
      <c r="B141" s="4" t="s">
        <v>5484</v>
      </c>
      <c r="C141" s="4" t="str">
        <f>IFERROR(INDEX('Projekt-Budget-Übersicht'!$C:$C,MATCH(30,'Projekt-Budget-Übersicht'!$L:$L,0)),"")</f>
        <v/>
      </c>
      <c r="D141" s="4">
        <v>1</v>
      </c>
      <c r="E141" s="4">
        <v>2</v>
      </c>
      <c r="F141" s="5">
        <f>SUM(F88,I88,K88)</f>
        <v>0.5</v>
      </c>
      <c r="G141" s="15">
        <v>200</v>
      </c>
      <c r="H141" s="5">
        <f>SUM(H88)</f>
        <v>0</v>
      </c>
      <c r="I141" s="5">
        <f t="shared" si="12"/>
        <v>0</v>
      </c>
      <c r="J141" s="4" t="s">
        <v>5531</v>
      </c>
      <c r="K141" s="5">
        <f>SUM(K88)</f>
        <v>0</v>
      </c>
      <c r="L141" s="10">
        <f>IF($B$2="-",0,IFERROR(INDEX(IF($B$2="SV",'Projekt-Budget-Übersicht'!$H:$H,IF($B$2="CAD",'Projekt-Budget-Übersicht'!$I:$I,IF($B$2="ADM",'Projekt-Budget-Übersicht'!$J:$J,'Projekt-Budget-Übersicht'!$H:$H))),MATCH(30,'Projekt-Budget-Übersicht'!$L:$L,0)),0))</f>
        <v>0</v>
      </c>
      <c r="M141" s="10">
        <f t="shared" si="13"/>
        <v>0</v>
      </c>
      <c r="N141" s="10">
        <f t="shared" si="14"/>
        <v>0</v>
      </c>
      <c r="O141" s="10">
        <f t="shared" si="15"/>
        <v>0</v>
      </c>
      <c r="P141" s="10">
        <f>'A. Kokott'!M141</f>
        <v>0</v>
      </c>
      <c r="Q141" s="10">
        <f>IFERROR(INDEX('Projekt-Budget-Übersicht'!$E:$E,MATCH(30,'Projekt-Budget-Übersicht'!$L:$L,0)),0)</f>
        <v>0</v>
      </c>
      <c r="R141" s="10">
        <v>17.5</v>
      </c>
      <c r="S141" s="4"/>
      <c r="T141" s="4"/>
      <c r="U141" s="4"/>
    </row>
    <row r="142" spans="1:21" x14ac:dyDescent="0.25">
      <c r="A142" s="4" t="s">
        <v>299</v>
      </c>
      <c r="B142" s="4" t="s">
        <v>5484</v>
      </c>
      <c r="C142" s="4" t="str">
        <f>IFERROR(INDEX('Projekt-Budget-Übersicht'!$C:$C,MATCH(250,'Projekt-Budget-Übersicht'!$L:$L,0)),"")</f>
        <v/>
      </c>
      <c r="D142" s="4">
        <v>1</v>
      </c>
      <c r="E142" s="4">
        <v>1.25</v>
      </c>
      <c r="F142" s="5">
        <f>SUM(F41,I41,K41)</f>
        <v>0.5</v>
      </c>
      <c r="G142" s="15">
        <v>125</v>
      </c>
      <c r="H142" s="5">
        <f>SUM(H41)</f>
        <v>0</v>
      </c>
      <c r="I142" s="5">
        <f t="shared" si="12"/>
        <v>0</v>
      </c>
      <c r="J142" s="4" t="s">
        <v>5531</v>
      </c>
      <c r="K142" s="5">
        <f>SUM(K41)</f>
        <v>0</v>
      </c>
      <c r="L142" s="10">
        <f>IF($B$2="-",0,IFERROR(INDEX(IF($B$2="SV",'Projekt-Budget-Übersicht'!$H:$H,IF($B$2="CAD",'Projekt-Budget-Übersicht'!$I:$I,IF($B$2="ADM",'Projekt-Budget-Übersicht'!$J:$J,'Projekt-Budget-Übersicht'!$H:$H))),MATCH(250,'Projekt-Budget-Übersicht'!$L:$L,0)),0))</f>
        <v>0</v>
      </c>
      <c r="M142" s="10">
        <f t="shared" si="13"/>
        <v>0</v>
      </c>
      <c r="N142" s="10">
        <f t="shared" si="14"/>
        <v>0</v>
      </c>
      <c r="O142" s="10">
        <f t="shared" si="15"/>
        <v>0</v>
      </c>
      <c r="P142" s="10">
        <f>'A. Kokott'!M142</f>
        <v>0</v>
      </c>
      <c r="Q142" s="10">
        <f>IFERROR(INDEX('Projekt-Budget-Übersicht'!$E:$E,MATCH(250,'Projekt-Budget-Übersicht'!$L:$L,0)),0)</f>
        <v>0</v>
      </c>
      <c r="R142" s="10">
        <v>42.5</v>
      </c>
      <c r="S142" s="4"/>
      <c r="T142" s="4"/>
      <c r="U142" s="4"/>
    </row>
    <row r="143" spans="1:21" x14ac:dyDescent="0.25">
      <c r="A143" s="4" t="s">
        <v>523</v>
      </c>
      <c r="B143" s="4" t="s">
        <v>5484</v>
      </c>
      <c r="C143" s="4" t="str">
        <f>IFERROR(INDEX('Projekt-Budget-Übersicht'!$C:$C,MATCH(535,'Projekt-Budget-Übersicht'!$L:$L,0)),"")</f>
        <v/>
      </c>
      <c r="D143" s="4">
        <v>1</v>
      </c>
      <c r="E143" s="4">
        <v>1.25</v>
      </c>
      <c r="F143" s="5">
        <f>SUM(F42,I42,K42)</f>
        <v>0.5</v>
      </c>
      <c r="G143" s="15">
        <v>125</v>
      </c>
      <c r="H143" s="5">
        <f>SUM(H42)</f>
        <v>0</v>
      </c>
      <c r="I143" s="5">
        <f t="shared" si="12"/>
        <v>0</v>
      </c>
      <c r="J143" s="4" t="s">
        <v>5531</v>
      </c>
      <c r="K143" s="5">
        <f>SUM(K42)</f>
        <v>0</v>
      </c>
      <c r="L143" s="10">
        <f>IF($B$2="-",0,IFERROR(INDEX(IF($B$2="SV",'Projekt-Budget-Übersicht'!$H:$H,IF($B$2="CAD",'Projekt-Budget-Übersicht'!$I:$I,IF($B$2="ADM",'Projekt-Budget-Übersicht'!$J:$J,'Projekt-Budget-Übersicht'!$H:$H))),MATCH(535,'Projekt-Budget-Übersicht'!$L:$L,0)),0))</f>
        <v>0</v>
      </c>
      <c r="M143" s="10">
        <f t="shared" si="13"/>
        <v>0</v>
      </c>
      <c r="N143" s="10">
        <f t="shared" si="14"/>
        <v>0</v>
      </c>
      <c r="O143" s="10">
        <f t="shared" si="15"/>
        <v>0</v>
      </c>
      <c r="P143" s="10">
        <f>'A. Kokott'!M143</f>
        <v>0</v>
      </c>
      <c r="Q143" s="10">
        <f>IFERROR(INDEX('Projekt-Budget-Übersicht'!$E:$E,MATCH(535,'Projekt-Budget-Übersicht'!$L:$L,0)),0)</f>
        <v>0</v>
      </c>
      <c r="R143" s="10">
        <v>17.5</v>
      </c>
      <c r="S143" s="4"/>
      <c r="T143" s="4"/>
      <c r="U143" s="4"/>
    </row>
    <row r="144" spans="1:21" x14ac:dyDescent="0.25">
      <c r="A144" s="4" t="s">
        <v>636</v>
      </c>
      <c r="B144" s="4" t="s">
        <v>5484</v>
      </c>
      <c r="C144" s="4" t="str">
        <f>IFERROR(INDEX('Projekt-Budget-Übersicht'!$C:$C,MATCH(641,'Projekt-Budget-Übersicht'!$L:$L,0)),"")</f>
        <v/>
      </c>
      <c r="D144" s="4">
        <v>1</v>
      </c>
      <c r="E144" s="4">
        <v>1.25</v>
      </c>
      <c r="F144" s="5">
        <f>SUM(F9,I9,K9)</f>
        <v>0.5</v>
      </c>
      <c r="G144" s="15">
        <v>125</v>
      </c>
      <c r="H144" s="5">
        <f>SUM(H9)</f>
        <v>0</v>
      </c>
      <c r="I144" s="5">
        <f t="shared" si="12"/>
        <v>0</v>
      </c>
      <c r="J144" s="4" t="s">
        <v>5531</v>
      </c>
      <c r="K144" s="5">
        <f>SUM(K9)</f>
        <v>0</v>
      </c>
      <c r="L144" s="10">
        <f>IF($B$2="-",0,IFERROR(INDEX(IF($B$2="SV",'Projekt-Budget-Übersicht'!$H:$H,IF($B$2="CAD",'Projekt-Budget-Übersicht'!$I:$I,IF($B$2="ADM",'Projekt-Budget-Übersicht'!$J:$J,'Projekt-Budget-Übersicht'!$H:$H))),MATCH(641,'Projekt-Budget-Übersicht'!$L:$L,0)),0))</f>
        <v>0</v>
      </c>
      <c r="M144" s="10">
        <f t="shared" si="13"/>
        <v>0</v>
      </c>
      <c r="N144" s="10">
        <f t="shared" si="14"/>
        <v>0</v>
      </c>
      <c r="O144" s="10">
        <f t="shared" si="15"/>
        <v>0</v>
      </c>
      <c r="P144" s="10">
        <f>'A. Kokott'!M144</f>
        <v>0</v>
      </c>
      <c r="Q144" s="10">
        <f>IFERROR(INDEX('Projekt-Budget-Übersicht'!$E:$E,MATCH(641,'Projekt-Budget-Übersicht'!$L:$L,0)),0)</f>
        <v>0</v>
      </c>
      <c r="R144" s="10">
        <v>2546.65</v>
      </c>
      <c r="S144" s="4"/>
      <c r="T144" s="4"/>
      <c r="U144" s="4"/>
    </row>
    <row r="145" spans="1:21" x14ac:dyDescent="0.25">
      <c r="A145" s="4" t="s">
        <v>770</v>
      </c>
      <c r="B145" s="4" t="s">
        <v>5484</v>
      </c>
      <c r="C145" s="4" t="str">
        <f>IFERROR(INDEX('Projekt-Budget-Übersicht'!$C:$C,MATCH(777,'Projekt-Budget-Übersicht'!$L:$L,0)),"")</f>
        <v/>
      </c>
      <c r="D145" s="4">
        <v>1</v>
      </c>
      <c r="E145" s="4">
        <v>3</v>
      </c>
      <c r="F145" s="5">
        <f>SUM(F44,I44,K44)</f>
        <v>0.5</v>
      </c>
      <c r="G145" s="15">
        <v>300</v>
      </c>
      <c r="H145" s="5">
        <f>SUM(H44)</f>
        <v>0</v>
      </c>
      <c r="I145" s="5">
        <f t="shared" si="12"/>
        <v>0</v>
      </c>
      <c r="J145" s="4" t="s">
        <v>5531</v>
      </c>
      <c r="K145" s="5">
        <f>SUM(K44)</f>
        <v>0</v>
      </c>
      <c r="L145" s="10">
        <f>IF($B$2="-",0,IFERROR(INDEX(IF($B$2="SV",'Projekt-Budget-Übersicht'!$H:$H,IF($B$2="CAD",'Projekt-Budget-Übersicht'!$I:$I,IF($B$2="ADM",'Projekt-Budget-Übersicht'!$J:$J,'Projekt-Budget-Übersicht'!$H:$H))),MATCH(777,'Projekt-Budget-Übersicht'!$L:$L,0)),0))</f>
        <v>0</v>
      </c>
      <c r="M145" s="10">
        <f t="shared" si="13"/>
        <v>0</v>
      </c>
      <c r="N145" s="10">
        <f t="shared" si="14"/>
        <v>0</v>
      </c>
      <c r="O145" s="10">
        <f t="shared" si="15"/>
        <v>0</v>
      </c>
      <c r="P145" s="10">
        <f>'A. Kokott'!M145</f>
        <v>0</v>
      </c>
      <c r="Q145" s="10">
        <f>IFERROR(INDEX('Projekt-Budget-Übersicht'!$E:$E,MATCH(777,'Projekt-Budget-Übersicht'!$L:$L,0)),0)</f>
        <v>0</v>
      </c>
      <c r="R145" s="10">
        <v>219.15</v>
      </c>
      <c r="S145" s="4"/>
      <c r="T145" s="4"/>
      <c r="U145" s="4"/>
    </row>
    <row r="146" spans="1:21" x14ac:dyDescent="0.25">
      <c r="A146" s="4" t="s">
        <v>865</v>
      </c>
      <c r="B146" s="4" t="s">
        <v>5514</v>
      </c>
      <c r="C146" s="4" t="str">
        <f>IFERROR(INDEX('Projekt-Budget-Übersicht'!$C:$C,MATCH(894,'Projekt-Budget-Übersicht'!$L:$L,0)),"")</f>
        <v/>
      </c>
      <c r="D146" s="4">
        <v>13</v>
      </c>
      <c r="E146" s="4">
        <v>0.25</v>
      </c>
      <c r="F146" s="5">
        <f>SUM(F89,I89,K89)</f>
        <v>0.25</v>
      </c>
      <c r="G146" s="16">
        <v>1.92</v>
      </c>
      <c r="H146" s="5">
        <f>SUM(H89)</f>
        <v>0</v>
      </c>
      <c r="I146" s="5">
        <f t="shared" si="12"/>
        <v>0</v>
      </c>
      <c r="J146" s="4" t="s">
        <v>5531</v>
      </c>
      <c r="K146" s="5">
        <f>SUM(K89)</f>
        <v>0</v>
      </c>
      <c r="L146" s="10">
        <f>IF($B$2="-",0,IFERROR(INDEX(IF($B$2="SV",'Projekt-Budget-Übersicht'!$H:$H,IF($B$2="CAD",'Projekt-Budget-Übersicht'!$I:$I,IF($B$2="ADM",'Projekt-Budget-Übersicht'!$J:$J,'Projekt-Budget-Übersicht'!$H:$H))),MATCH(894,'Projekt-Budget-Übersicht'!$L:$L,0)),0))</f>
        <v>0</v>
      </c>
      <c r="M146" s="10">
        <f t="shared" si="13"/>
        <v>0</v>
      </c>
      <c r="N146" s="10">
        <f t="shared" si="14"/>
        <v>0</v>
      </c>
      <c r="O146" s="10">
        <f t="shared" si="15"/>
        <v>0</v>
      </c>
      <c r="P146" s="10">
        <f>'A. Kokott'!M146</f>
        <v>0</v>
      </c>
      <c r="Q146" s="10">
        <f>IFERROR(INDEX('Projekt-Budget-Übersicht'!$E:$E,MATCH(894,'Projekt-Budget-Übersicht'!$L:$L,0)),0)</f>
        <v>0</v>
      </c>
      <c r="R146" s="10">
        <v>30</v>
      </c>
      <c r="S146" s="4"/>
      <c r="T146" s="4"/>
      <c r="U146" s="4"/>
    </row>
    <row r="147" spans="1:21" x14ac:dyDescent="0.25">
      <c r="A147" s="4" t="s">
        <v>879</v>
      </c>
      <c r="B147" s="4" t="s">
        <v>5498</v>
      </c>
      <c r="C147" s="4" t="str">
        <f>IFERROR(INDEX('Projekt-Budget-Übersicht'!$C:$C,MATCH(899,'Projekt-Budget-Übersicht'!$L:$L,0)),"")</f>
        <v/>
      </c>
      <c r="D147" s="4">
        <v>230</v>
      </c>
      <c r="E147" s="4">
        <v>140.25</v>
      </c>
      <c r="F147" s="5">
        <f>SUM(F45,F90,I45,I90,K45,K90)</f>
        <v>0.75</v>
      </c>
      <c r="G147" s="16">
        <v>60.98</v>
      </c>
      <c r="H147" s="5">
        <f>SUM(H45,H90)</f>
        <v>0</v>
      </c>
      <c r="I147" s="5">
        <f t="shared" si="12"/>
        <v>0</v>
      </c>
      <c r="J147" s="4" t="s">
        <v>5531</v>
      </c>
      <c r="K147" s="5">
        <f>SUM(K45,K90)</f>
        <v>0</v>
      </c>
      <c r="L147" s="10">
        <f>IF($B$2="-",0,IFERROR(INDEX(IF($B$2="SV",'Projekt-Budget-Übersicht'!$H:$H,IF($B$2="CAD",'Projekt-Budget-Übersicht'!$I:$I,IF($B$2="ADM",'Projekt-Budget-Übersicht'!$J:$J,'Projekt-Budget-Übersicht'!$H:$H))),MATCH(899,'Projekt-Budget-Übersicht'!$L:$L,0)),0))</f>
        <v>0</v>
      </c>
      <c r="M147" s="10">
        <f t="shared" si="13"/>
        <v>0</v>
      </c>
      <c r="N147" s="10">
        <f t="shared" si="14"/>
        <v>0</v>
      </c>
      <c r="O147" s="10">
        <f t="shared" si="15"/>
        <v>0</v>
      </c>
      <c r="P147" s="10">
        <f>'A. Kokott'!M147+'M. Warner'!M46+'S. Schüler'!M148</f>
        <v>0</v>
      </c>
      <c r="Q147" s="10">
        <f>IFERROR(INDEX('Projekt-Budget-Übersicht'!$E:$E,MATCH(899,'Projekt-Budget-Übersicht'!$L:$L,0)),0)</f>
        <v>0</v>
      </c>
      <c r="R147" s="10"/>
      <c r="S147" s="4"/>
      <c r="T147" s="4"/>
      <c r="U147" s="4"/>
    </row>
    <row r="148" spans="1:21" x14ac:dyDescent="0.25">
      <c r="A148" s="4" t="s">
        <v>1403</v>
      </c>
      <c r="B148" s="4" t="s">
        <v>5484</v>
      </c>
      <c r="C148" s="4" t="str">
        <f>IFERROR(INDEX('Projekt-Budget-Übersicht'!$C:$C,MATCH(1544,'Projekt-Budget-Übersicht'!$L:$L,0)),"")</f>
        <v/>
      </c>
      <c r="D148" s="4">
        <v>1</v>
      </c>
      <c r="E148" s="4">
        <v>1.75</v>
      </c>
      <c r="F148" s="5">
        <f>SUM(F46,I46,K46)</f>
        <v>1</v>
      </c>
      <c r="G148" s="15">
        <v>175</v>
      </c>
      <c r="H148" s="5">
        <f>SUM(H46)</f>
        <v>0</v>
      </c>
      <c r="I148" s="5">
        <f t="shared" si="12"/>
        <v>0</v>
      </c>
      <c r="J148" s="4" t="s">
        <v>5531</v>
      </c>
      <c r="K148" s="5">
        <f>SUM(K46)</f>
        <v>0</v>
      </c>
      <c r="L148" s="10">
        <f>IF($B$2="-",0,IFERROR(INDEX(IF($B$2="SV",'Projekt-Budget-Übersicht'!$H:$H,IF($B$2="CAD",'Projekt-Budget-Übersicht'!$I:$I,IF($B$2="ADM",'Projekt-Budget-Übersicht'!$J:$J,'Projekt-Budget-Übersicht'!$H:$H))),MATCH(1544,'Projekt-Budget-Übersicht'!$L:$L,0)),0))</f>
        <v>0</v>
      </c>
      <c r="M148" s="10">
        <f t="shared" si="13"/>
        <v>0</v>
      </c>
      <c r="N148" s="10">
        <f t="shared" si="14"/>
        <v>0</v>
      </c>
      <c r="O148" s="10">
        <f t="shared" si="15"/>
        <v>0</v>
      </c>
      <c r="P148" s="10">
        <f>'A. Kokott'!M148</f>
        <v>0</v>
      </c>
      <c r="Q148" s="10">
        <f>IFERROR(INDEX('Projekt-Budget-Übersicht'!$E:$E,MATCH(1544,'Projekt-Budget-Übersicht'!$L:$L,0)),0)</f>
        <v>0</v>
      </c>
      <c r="R148" s="10">
        <v>215</v>
      </c>
      <c r="S148" s="4"/>
      <c r="T148" s="4"/>
      <c r="U148" s="4"/>
    </row>
    <row r="149" spans="1:21" x14ac:dyDescent="0.25">
      <c r="A149" s="21" t="s">
        <v>1490</v>
      </c>
      <c r="B149" s="4" t="s">
        <v>5499</v>
      </c>
      <c r="C149" s="4" t="str">
        <f>IFERROR(INDEX('Projekt-Budget-Übersicht'!$C:$C,MATCH(1677,'Projekt-Budget-Übersicht'!$L:$L,0)),"")</f>
        <v/>
      </c>
      <c r="D149" s="4">
        <v>32</v>
      </c>
      <c r="E149" s="4">
        <v>51.75</v>
      </c>
      <c r="F149" s="5">
        <f>SUM(F47,I47,K47)</f>
        <v>0.5</v>
      </c>
      <c r="G149" s="15">
        <v>161.72</v>
      </c>
      <c r="H149" s="5">
        <f>SUM(H47)</f>
        <v>0</v>
      </c>
      <c r="I149" s="5">
        <f t="shared" si="12"/>
        <v>0</v>
      </c>
      <c r="J149" s="4" t="s">
        <v>5531</v>
      </c>
      <c r="K149" s="5">
        <f>SUM(K47)</f>
        <v>0</v>
      </c>
      <c r="L149" s="10">
        <f>IF($B$2="-",0,IFERROR(INDEX(IF($B$2="SV",'Projekt-Budget-Übersicht'!$H:$H,IF($B$2="CAD",'Projekt-Budget-Übersicht'!$I:$I,IF($B$2="ADM",'Projekt-Budget-Übersicht'!$J:$J,'Projekt-Budget-Übersicht'!$H:$H))),MATCH(1677,'Projekt-Budget-Übersicht'!$L:$L,0)),0))</f>
        <v>0</v>
      </c>
      <c r="M149" s="10">
        <f t="shared" si="13"/>
        <v>0</v>
      </c>
      <c r="N149" s="10">
        <f t="shared" si="14"/>
        <v>0</v>
      </c>
      <c r="O149" s="10">
        <f t="shared" si="15"/>
        <v>0</v>
      </c>
      <c r="P149" s="10">
        <f>'A. Kokott'!M149+'C. Trapp SV'!M100+'S. Roßkopf'!M38</f>
        <v>0</v>
      </c>
      <c r="Q149" s="10">
        <f>IFERROR(INDEX('Projekt-Budget-Übersicht'!$E:$E,MATCH(1677,'Projekt-Budget-Übersicht'!$L:$L,0)),0)</f>
        <v>0</v>
      </c>
      <c r="R149" s="10">
        <v>42.5</v>
      </c>
      <c r="S149" s="4"/>
      <c r="T149" s="4"/>
      <c r="U149" s="4"/>
    </row>
    <row r="150" spans="1:21" x14ac:dyDescent="0.25">
      <c r="A150" s="23"/>
      <c r="B150" s="4" t="s">
        <v>5485</v>
      </c>
      <c r="C150" s="4" t="str">
        <f>IFERROR(INDEX('Projekt-Budget-Übersicht'!$C:$C,MATCH(1679,'Projekt-Budget-Übersicht'!$L:$L,0)),"")</f>
        <v/>
      </c>
      <c r="D150" s="4">
        <v>29.75</v>
      </c>
      <c r="E150" s="4">
        <v>79.75</v>
      </c>
      <c r="F150" s="5">
        <f>SUM(F10,I10,K10)</f>
        <v>0.5</v>
      </c>
      <c r="G150" s="15">
        <v>268.07</v>
      </c>
      <c r="H150" s="5">
        <f>SUM(H10)</f>
        <v>0</v>
      </c>
      <c r="I150" s="5">
        <f t="shared" si="12"/>
        <v>0</v>
      </c>
      <c r="J150" s="4" t="s">
        <v>5531</v>
      </c>
      <c r="K150" s="5">
        <f>SUM(K10)</f>
        <v>0</v>
      </c>
      <c r="L150" s="10">
        <f>IF($B$2="-",0,IFERROR(INDEX(IF($B$2="SV",'Projekt-Budget-Übersicht'!$H:$H,IF($B$2="CAD",'Projekt-Budget-Übersicht'!$I:$I,IF($B$2="ADM",'Projekt-Budget-Übersicht'!$J:$J,'Projekt-Budget-Übersicht'!$H:$H))),MATCH(1679,'Projekt-Budget-Übersicht'!$L:$L,0)),0))</f>
        <v>0</v>
      </c>
      <c r="M150" s="10">
        <f t="shared" si="13"/>
        <v>0</v>
      </c>
      <c r="N150" s="10">
        <f t="shared" si="14"/>
        <v>0</v>
      </c>
      <c r="O150" s="10">
        <f t="shared" si="15"/>
        <v>0</v>
      </c>
      <c r="P150" s="10">
        <f>'A. Kokott'!M150</f>
        <v>0</v>
      </c>
      <c r="Q150" s="10">
        <f>IFERROR(INDEX('Projekt-Budget-Übersicht'!$E:$E,MATCH(1679,'Projekt-Budget-Übersicht'!$L:$L,0)),0)</f>
        <v>0</v>
      </c>
      <c r="R150" s="10">
        <v>12307.13</v>
      </c>
      <c r="S150" s="4"/>
      <c r="T150" s="4"/>
      <c r="U150" s="4"/>
    </row>
    <row r="151" spans="1:21" x14ac:dyDescent="0.25">
      <c r="A151" s="22"/>
      <c r="B151" s="4" t="s">
        <v>5500</v>
      </c>
      <c r="C151" s="4" t="str">
        <f>IFERROR(INDEX('Projekt-Budget-Übersicht'!$C:$C,MATCH(1680,'Projekt-Budget-Übersicht'!$L:$L,0)),"")</f>
        <v/>
      </c>
      <c r="D151" s="4">
        <v>14.25</v>
      </c>
      <c r="E151" s="4">
        <v>53.25</v>
      </c>
      <c r="F151" s="5">
        <f>SUM(F48,I48,K48)</f>
        <v>0.5</v>
      </c>
      <c r="G151" s="15">
        <v>373.68</v>
      </c>
      <c r="H151" s="5">
        <f>SUM(H48)</f>
        <v>0</v>
      </c>
      <c r="I151" s="5">
        <f t="shared" si="12"/>
        <v>0</v>
      </c>
      <c r="J151" s="4" t="s">
        <v>5531</v>
      </c>
      <c r="K151" s="5">
        <f>SUM(K48)</f>
        <v>0</v>
      </c>
      <c r="L151" s="10">
        <f>IF($B$2="-",0,IFERROR(INDEX(IF($B$2="SV",'Projekt-Budget-Übersicht'!$H:$H,IF($B$2="CAD",'Projekt-Budget-Übersicht'!$I:$I,IF($B$2="ADM",'Projekt-Budget-Übersicht'!$J:$J,'Projekt-Budget-Übersicht'!$H:$H))),MATCH(1680,'Projekt-Budget-Übersicht'!$L:$L,0)),0))</f>
        <v>0</v>
      </c>
      <c r="M151" s="10">
        <f t="shared" si="13"/>
        <v>0</v>
      </c>
      <c r="N151" s="10">
        <f t="shared" si="14"/>
        <v>0</v>
      </c>
      <c r="O151" s="10">
        <f t="shared" si="15"/>
        <v>0</v>
      </c>
      <c r="P151" s="10">
        <f>'A. Kokott'!M151+'S. Schüler'!M152</f>
        <v>0</v>
      </c>
      <c r="Q151" s="10">
        <f>IFERROR(INDEX('Projekt-Budget-Übersicht'!$E:$E,MATCH(1680,'Projekt-Budget-Übersicht'!$L:$L,0)),0)</f>
        <v>0</v>
      </c>
      <c r="R151" s="10">
        <v>7561.84</v>
      </c>
      <c r="S151" s="4"/>
      <c r="T151" s="4"/>
      <c r="U151" s="4"/>
    </row>
    <row r="152" spans="1:21" x14ac:dyDescent="0.25">
      <c r="A152" s="4" t="s">
        <v>1533</v>
      </c>
      <c r="B152" s="4" t="s">
        <v>5486</v>
      </c>
      <c r="C152" s="4" t="str">
        <f>IFERROR(INDEX('Projekt-Budget-Übersicht'!$C:$C,MATCH(1734,'Projekt-Budget-Übersicht'!$L:$L,0)),"")</f>
        <v/>
      </c>
      <c r="D152" s="4">
        <v>6</v>
      </c>
      <c r="E152" s="4">
        <v>2.75</v>
      </c>
      <c r="F152" s="5">
        <f>SUM(F11,I11,K11)</f>
        <v>0.5</v>
      </c>
      <c r="G152" s="16">
        <v>45.83</v>
      </c>
      <c r="H152" s="5">
        <f>SUM(H11)</f>
        <v>0</v>
      </c>
      <c r="I152" s="5">
        <f t="shared" si="12"/>
        <v>0</v>
      </c>
      <c r="J152" s="4" t="s">
        <v>5531</v>
      </c>
      <c r="K152" s="5">
        <f>SUM(K11)</f>
        <v>0</v>
      </c>
      <c r="L152" s="10">
        <f>IF($B$2="-",0,IFERROR(INDEX(IF($B$2="SV",'Projekt-Budget-Übersicht'!$H:$H,IF($B$2="CAD",'Projekt-Budget-Übersicht'!$I:$I,IF($B$2="ADM",'Projekt-Budget-Übersicht'!$J:$J,'Projekt-Budget-Übersicht'!$H:$H))),MATCH(1734,'Projekt-Budget-Übersicht'!$L:$L,0)),0))</f>
        <v>0</v>
      </c>
      <c r="M152" s="10">
        <f t="shared" si="13"/>
        <v>0</v>
      </c>
      <c r="N152" s="10">
        <f t="shared" si="14"/>
        <v>0</v>
      </c>
      <c r="O152" s="10">
        <f t="shared" si="15"/>
        <v>0</v>
      </c>
      <c r="P152" s="10">
        <f>'A. Kokott'!M152</f>
        <v>0</v>
      </c>
      <c r="Q152" s="10">
        <f>IFERROR(INDEX('Projekt-Budget-Übersicht'!$E:$E,MATCH(1734,'Projekt-Budget-Übersicht'!$L:$L,0)),0)</f>
        <v>0</v>
      </c>
      <c r="R152" s="10">
        <v>287.5</v>
      </c>
      <c r="S152" s="4"/>
      <c r="T152" s="4"/>
      <c r="U152" s="4"/>
    </row>
    <row r="153" spans="1:21" x14ac:dyDescent="0.25">
      <c r="A153" s="4" t="s">
        <v>1535</v>
      </c>
      <c r="B153" s="4" t="s">
        <v>5484</v>
      </c>
      <c r="C153" s="4" t="str">
        <f>IFERROR(INDEX('Projekt-Budget-Übersicht'!$C:$C,MATCH(1735,'Projekt-Budget-Übersicht'!$L:$L,0)),"")</f>
        <v/>
      </c>
      <c r="D153" s="4">
        <v>1</v>
      </c>
      <c r="E153" s="4">
        <v>2</v>
      </c>
      <c r="F153" s="5">
        <f>SUM(F92,I92,K92)</f>
        <v>1</v>
      </c>
      <c r="G153" s="15">
        <v>200</v>
      </c>
      <c r="H153" s="5">
        <f>SUM(H92)</f>
        <v>0</v>
      </c>
      <c r="I153" s="5">
        <f t="shared" si="12"/>
        <v>0</v>
      </c>
      <c r="J153" s="4" t="s">
        <v>5531</v>
      </c>
      <c r="K153" s="5">
        <f>SUM(K92)</f>
        <v>0</v>
      </c>
      <c r="L153" s="10">
        <f>IF($B$2="-",0,IFERROR(INDEX(IF($B$2="SV",'Projekt-Budget-Übersicht'!$H:$H,IF($B$2="CAD",'Projekt-Budget-Übersicht'!$I:$I,IF($B$2="ADM",'Projekt-Budget-Übersicht'!$J:$J,'Projekt-Budget-Übersicht'!$H:$H))),MATCH(1735,'Projekt-Budget-Übersicht'!$L:$L,0)),0))</f>
        <v>0</v>
      </c>
      <c r="M153" s="10">
        <f t="shared" si="13"/>
        <v>0</v>
      </c>
      <c r="N153" s="10">
        <f t="shared" si="14"/>
        <v>0</v>
      </c>
      <c r="O153" s="10">
        <f t="shared" si="15"/>
        <v>0</v>
      </c>
      <c r="P153" s="10">
        <f>'A. Kokott'!M153</f>
        <v>0</v>
      </c>
      <c r="Q153" s="10">
        <f>IFERROR(INDEX('Projekt-Budget-Übersicht'!$E:$E,MATCH(1735,'Projekt-Budget-Übersicht'!$L:$L,0)),0)</f>
        <v>0</v>
      </c>
      <c r="R153" s="10">
        <v>1250</v>
      </c>
      <c r="S153" s="4"/>
      <c r="T153" s="4"/>
      <c r="U153" s="4"/>
    </row>
    <row r="154" spans="1:21" x14ac:dyDescent="0.25">
      <c r="A154" s="4" t="s">
        <v>1562</v>
      </c>
      <c r="B154" s="4" t="s">
        <v>5501</v>
      </c>
      <c r="C154" s="4" t="str">
        <f>IFERROR(INDEX('Projekt-Budget-Übersicht'!$C:$C,MATCH(1764,'Projekt-Budget-Übersicht'!$L:$L,0)),"")</f>
        <v/>
      </c>
      <c r="D154" s="4">
        <v>16</v>
      </c>
      <c r="E154" s="4">
        <v>18</v>
      </c>
      <c r="F154" s="5">
        <f>SUM(F49,I49,K49)</f>
        <v>0.25</v>
      </c>
      <c r="G154" s="15">
        <v>112.5</v>
      </c>
      <c r="H154" s="5">
        <f>SUM(H49)</f>
        <v>0</v>
      </c>
      <c r="I154" s="5">
        <f t="shared" si="12"/>
        <v>0</v>
      </c>
      <c r="J154" s="4" t="s">
        <v>5531</v>
      </c>
      <c r="K154" s="5">
        <f>SUM(K49)</f>
        <v>0</v>
      </c>
      <c r="L154" s="10">
        <f>IF($B$2="-",0,IFERROR(INDEX(IF($B$2="SV",'Projekt-Budget-Übersicht'!$H:$H,IF($B$2="CAD",'Projekt-Budget-Übersicht'!$I:$I,IF($B$2="ADM",'Projekt-Budget-Übersicht'!$J:$J,'Projekt-Budget-Übersicht'!$H:$H))),MATCH(1764,'Projekt-Budget-Übersicht'!$L:$L,0)),0))</f>
        <v>0</v>
      </c>
      <c r="M154" s="10">
        <f t="shared" si="13"/>
        <v>0</v>
      </c>
      <c r="N154" s="10">
        <f t="shared" si="14"/>
        <v>0</v>
      </c>
      <c r="O154" s="10">
        <f t="shared" si="15"/>
        <v>0</v>
      </c>
      <c r="P154" s="10">
        <f>'A. Kokott'!M154+'J. Dorn'!M127+'T. Trautmann'!M130</f>
        <v>0</v>
      </c>
      <c r="Q154" s="10">
        <f>IFERROR(INDEX('Projekt-Budget-Übersicht'!$E:$E,MATCH(1764,'Projekt-Budget-Übersicht'!$L:$L,0)),0)</f>
        <v>0</v>
      </c>
      <c r="R154" s="10">
        <v>1574.15</v>
      </c>
      <c r="S154" s="4"/>
      <c r="T154" s="4"/>
      <c r="U154" s="4"/>
    </row>
    <row r="155" spans="1:21" x14ac:dyDescent="0.25">
      <c r="A155" s="4" t="s">
        <v>1564</v>
      </c>
      <c r="B155" s="4" t="s">
        <v>5515</v>
      </c>
      <c r="C155" s="4" t="str">
        <f>IFERROR(INDEX('Projekt-Budget-Übersicht'!$C:$C,MATCH(1765,'Projekt-Budget-Übersicht'!$L:$L,0)),"")</f>
        <v/>
      </c>
      <c r="D155" s="4">
        <v>30</v>
      </c>
      <c r="E155" s="4">
        <v>12.75</v>
      </c>
      <c r="F155" s="5">
        <f>SUM(F93,I93,K93)</f>
        <v>0.25</v>
      </c>
      <c r="G155" s="16">
        <v>42.5</v>
      </c>
      <c r="H155" s="5">
        <f>SUM(H93)</f>
        <v>0</v>
      </c>
      <c r="I155" s="5">
        <f t="shared" si="12"/>
        <v>0</v>
      </c>
      <c r="J155" s="4" t="s">
        <v>5531</v>
      </c>
      <c r="K155" s="5">
        <f>SUM(K93)</f>
        <v>0</v>
      </c>
      <c r="L155" s="10">
        <f>IF($B$2="-",0,IFERROR(INDEX(IF($B$2="SV",'Projekt-Budget-Übersicht'!$H:$H,IF($B$2="CAD",'Projekt-Budget-Übersicht'!$I:$I,IF($B$2="ADM",'Projekt-Budget-Übersicht'!$J:$J,'Projekt-Budget-Übersicht'!$H:$H))),MATCH(1765,'Projekt-Budget-Übersicht'!$L:$L,0)),0))</f>
        <v>0</v>
      </c>
      <c r="M155" s="10">
        <f t="shared" si="13"/>
        <v>0</v>
      </c>
      <c r="N155" s="10">
        <f t="shared" si="14"/>
        <v>0</v>
      </c>
      <c r="O155" s="10">
        <f t="shared" si="15"/>
        <v>0</v>
      </c>
      <c r="P155" s="10">
        <f>'A. Kokott'!M155+'J. Dorn'!M128+'T. Trautmann'!M131</f>
        <v>0</v>
      </c>
      <c r="Q155" s="10">
        <f>IFERROR(INDEX('Projekt-Budget-Übersicht'!$E:$E,MATCH(1765,'Projekt-Budget-Übersicht'!$L:$L,0)),0)</f>
        <v>0</v>
      </c>
      <c r="R155" s="10">
        <v>1133.75</v>
      </c>
      <c r="S155" s="4"/>
      <c r="T155" s="4"/>
      <c r="U155" s="4"/>
    </row>
    <row r="156" spans="1:21" x14ac:dyDescent="0.25">
      <c r="A156" s="4" t="s">
        <v>1698</v>
      </c>
      <c r="B156" s="4" t="s">
        <v>5487</v>
      </c>
      <c r="C156" s="4" t="str">
        <f>IFERROR(INDEX('Projekt-Budget-Übersicht'!$C:$C,MATCH(1913,'Projekt-Budget-Übersicht'!$L:$L,0)),"")</f>
        <v/>
      </c>
      <c r="D156" s="4">
        <v>20</v>
      </c>
      <c r="E156" s="4">
        <v>1.75</v>
      </c>
      <c r="F156" s="5">
        <f>SUM(F12,I12,K12)</f>
        <v>0.5</v>
      </c>
      <c r="G156" s="16">
        <v>8.75</v>
      </c>
      <c r="H156" s="5">
        <f>SUM(H12)</f>
        <v>0</v>
      </c>
      <c r="I156" s="5">
        <f t="shared" si="12"/>
        <v>0</v>
      </c>
      <c r="J156" s="4" t="s">
        <v>5531</v>
      </c>
      <c r="K156" s="5">
        <f>SUM(K12)</f>
        <v>0</v>
      </c>
      <c r="L156" s="10">
        <f>IF($B$2="-",0,IFERROR(INDEX(IF($B$2="SV",'Projekt-Budget-Übersicht'!$H:$H,IF($B$2="CAD",'Projekt-Budget-Übersicht'!$I:$I,IF($B$2="ADM",'Projekt-Budget-Übersicht'!$J:$J,'Projekt-Budget-Übersicht'!$H:$H))),MATCH(1913,'Projekt-Budget-Übersicht'!$L:$L,0)),0))</f>
        <v>0</v>
      </c>
      <c r="M156" s="10">
        <f t="shared" si="13"/>
        <v>0</v>
      </c>
      <c r="N156" s="10">
        <f t="shared" si="14"/>
        <v>0</v>
      </c>
      <c r="O156" s="10">
        <f t="shared" si="15"/>
        <v>0</v>
      </c>
      <c r="P156" s="10">
        <f>'A. Kokott'!M156</f>
        <v>0</v>
      </c>
      <c r="Q156" s="10">
        <f>IFERROR(INDEX('Projekt-Budget-Übersicht'!$E:$E,MATCH(1913,'Projekt-Budget-Übersicht'!$L:$L,0)),0)</f>
        <v>0</v>
      </c>
      <c r="R156" s="10">
        <v>30</v>
      </c>
      <c r="S156" s="4"/>
      <c r="T156" s="4"/>
      <c r="U156" s="4"/>
    </row>
    <row r="157" spans="1:21" x14ac:dyDescent="0.25">
      <c r="A157" s="4" t="s">
        <v>1743</v>
      </c>
      <c r="B157" s="4" t="s">
        <v>5510</v>
      </c>
      <c r="C157" s="4" t="str">
        <f>IFERROR(INDEX('Projekt-Budget-Übersicht'!$C:$C,MATCH(1973,'Projekt-Budget-Übersicht'!$L:$L,0)),"")</f>
        <v/>
      </c>
      <c r="D157" s="4">
        <v>1</v>
      </c>
      <c r="E157" s="4">
        <v>1.5</v>
      </c>
      <c r="F157" s="5">
        <f>SUM(F94,I94,K94)</f>
        <v>0.5</v>
      </c>
      <c r="G157" s="15">
        <v>150</v>
      </c>
      <c r="H157" s="5">
        <f>SUM(H94)</f>
        <v>0</v>
      </c>
      <c r="I157" s="5">
        <f t="shared" si="12"/>
        <v>0</v>
      </c>
      <c r="J157" s="4" t="s">
        <v>5531</v>
      </c>
      <c r="K157" s="5">
        <f>SUM(K94)</f>
        <v>0</v>
      </c>
      <c r="L157" s="10">
        <f>IF($B$2="-",0,IFERROR(INDEX(IF($B$2="SV",'Projekt-Budget-Übersicht'!$H:$H,IF($B$2="CAD",'Projekt-Budget-Übersicht'!$I:$I,IF($B$2="ADM",'Projekt-Budget-Übersicht'!$J:$J,'Projekt-Budget-Übersicht'!$H:$H))),MATCH(1973,'Projekt-Budget-Übersicht'!$L:$L,0)),0))</f>
        <v>0</v>
      </c>
      <c r="M157" s="10">
        <f t="shared" si="13"/>
        <v>0</v>
      </c>
      <c r="N157" s="10">
        <f t="shared" si="14"/>
        <v>0</v>
      </c>
      <c r="O157" s="10">
        <f t="shared" si="15"/>
        <v>0</v>
      </c>
      <c r="P157" s="10">
        <f>'A. Kokott'!M157</f>
        <v>0</v>
      </c>
      <c r="Q157" s="10">
        <f>IFERROR(INDEX('Projekt-Budget-Übersicht'!$E:$E,MATCH(1973,'Projekt-Budget-Übersicht'!$L:$L,0)),0)</f>
        <v>0</v>
      </c>
      <c r="R157" s="10">
        <v>17.5</v>
      </c>
      <c r="S157" s="4"/>
      <c r="T157" s="4"/>
      <c r="U157" s="4"/>
    </row>
    <row r="158" spans="1:21" x14ac:dyDescent="0.25">
      <c r="A158" s="4" t="s">
        <v>1802</v>
      </c>
      <c r="B158" s="4" t="s">
        <v>5484</v>
      </c>
      <c r="C158" s="4" t="str">
        <f>IFERROR(INDEX('Projekt-Budget-Übersicht'!$C:$C,MATCH(2041,'Projekt-Budget-Übersicht'!$L:$L,0)),"")</f>
        <v/>
      </c>
      <c r="D158" s="4">
        <v>1.5</v>
      </c>
      <c r="E158" s="4">
        <v>0.75</v>
      </c>
      <c r="F158" s="5">
        <f>SUM(F95,I95,K95)</f>
        <v>0.5</v>
      </c>
      <c r="G158" s="16">
        <v>50</v>
      </c>
      <c r="H158" s="5">
        <f>SUM(H95)</f>
        <v>0</v>
      </c>
      <c r="I158" s="5">
        <f t="shared" si="12"/>
        <v>0</v>
      </c>
      <c r="J158" s="4" t="s">
        <v>5531</v>
      </c>
      <c r="K158" s="5">
        <f>SUM(K95)</f>
        <v>0</v>
      </c>
      <c r="L158" s="10">
        <f>IF($B$2="-",0,IFERROR(INDEX(IF($B$2="SV",'Projekt-Budget-Übersicht'!$H:$H,IF($B$2="CAD",'Projekt-Budget-Übersicht'!$I:$I,IF($B$2="ADM",'Projekt-Budget-Übersicht'!$J:$J,'Projekt-Budget-Übersicht'!$H:$H))),MATCH(2041,'Projekt-Budget-Übersicht'!$L:$L,0)),0))</f>
        <v>0</v>
      </c>
      <c r="M158" s="10">
        <f t="shared" si="13"/>
        <v>0</v>
      </c>
      <c r="N158" s="10">
        <f t="shared" si="14"/>
        <v>0</v>
      </c>
      <c r="O158" s="10">
        <f t="shared" si="15"/>
        <v>0</v>
      </c>
      <c r="P158" s="10">
        <f>'A. Kokott'!M158</f>
        <v>0</v>
      </c>
      <c r="Q158" s="10">
        <f>IFERROR(INDEX('Projekt-Budget-Übersicht'!$E:$E,MATCH(2041,'Projekt-Budget-Übersicht'!$L:$L,0)),0)</f>
        <v>0</v>
      </c>
      <c r="R158" s="10">
        <v>2760</v>
      </c>
      <c r="S158" s="4"/>
      <c r="T158" s="4"/>
      <c r="U158" s="4"/>
    </row>
    <row r="159" spans="1:21" x14ac:dyDescent="0.25">
      <c r="A159" s="4" t="s">
        <v>2051</v>
      </c>
      <c r="B159" s="4" t="s">
        <v>5484</v>
      </c>
      <c r="C159" s="4" t="str">
        <f>IFERROR(INDEX('Projekt-Budget-Übersicht'!$C:$C,MATCH(2421,'Projekt-Budget-Übersicht'!$L:$L,0)),"")</f>
        <v/>
      </c>
      <c r="D159" s="4">
        <v>1</v>
      </c>
      <c r="E159" s="4">
        <v>1.25</v>
      </c>
      <c r="F159" s="5">
        <f>SUM(F13,I13,K13)</f>
        <v>0.5</v>
      </c>
      <c r="G159" s="15">
        <v>125</v>
      </c>
      <c r="H159" s="5">
        <f>SUM(H13)</f>
        <v>0</v>
      </c>
      <c r="I159" s="5">
        <f t="shared" si="12"/>
        <v>0</v>
      </c>
      <c r="J159" s="4" t="s">
        <v>5531</v>
      </c>
      <c r="K159" s="5">
        <f>SUM(K13)</f>
        <v>0</v>
      </c>
      <c r="L159" s="10">
        <f>IF($B$2="-",0,IFERROR(INDEX(IF($B$2="SV",'Projekt-Budget-Übersicht'!$H:$H,IF($B$2="CAD",'Projekt-Budget-Übersicht'!$I:$I,IF($B$2="ADM",'Projekt-Budget-Übersicht'!$J:$J,'Projekt-Budget-Übersicht'!$H:$H))),MATCH(2421,'Projekt-Budget-Übersicht'!$L:$L,0)),0))</f>
        <v>0</v>
      </c>
      <c r="M159" s="10">
        <f t="shared" si="13"/>
        <v>0</v>
      </c>
      <c r="N159" s="10">
        <f t="shared" si="14"/>
        <v>0</v>
      </c>
      <c r="O159" s="10">
        <f t="shared" si="15"/>
        <v>0</v>
      </c>
      <c r="P159" s="10">
        <f>'A. Kokott'!M159</f>
        <v>0</v>
      </c>
      <c r="Q159" s="10">
        <f>IFERROR(INDEX('Projekt-Budget-Übersicht'!$E:$E,MATCH(2421,'Projekt-Budget-Übersicht'!$L:$L,0)),0)</f>
        <v>0</v>
      </c>
      <c r="R159" s="10">
        <v>242.5</v>
      </c>
      <c r="S159" s="4"/>
      <c r="T159" s="4"/>
      <c r="U159" s="4"/>
    </row>
    <row r="160" spans="1:21" x14ac:dyDescent="0.25">
      <c r="A160" s="4" t="s">
        <v>2104</v>
      </c>
      <c r="B160" s="4" t="s">
        <v>5484</v>
      </c>
      <c r="C160" s="4" t="str">
        <f>IFERROR(INDEX('Projekt-Budget-Übersicht'!$C:$C,MATCH(2473,'Projekt-Budget-Übersicht'!$L:$L,0)),"")</f>
        <v/>
      </c>
      <c r="D160" s="4">
        <v>1</v>
      </c>
      <c r="E160" s="4">
        <v>1.25</v>
      </c>
      <c r="F160" s="5">
        <f>SUM(F96,I96,K96)</f>
        <v>0.5</v>
      </c>
      <c r="G160" s="15">
        <v>125</v>
      </c>
      <c r="H160" s="5">
        <f>SUM(H96)</f>
        <v>0</v>
      </c>
      <c r="I160" s="5">
        <f t="shared" si="12"/>
        <v>0</v>
      </c>
      <c r="J160" s="4" t="s">
        <v>5531</v>
      </c>
      <c r="K160" s="5">
        <f>SUM(K96)</f>
        <v>0</v>
      </c>
      <c r="L160" s="10">
        <f>IF($B$2="-",0,IFERROR(INDEX(IF($B$2="SV",'Projekt-Budget-Übersicht'!$H:$H,IF($B$2="CAD",'Projekt-Budget-Übersicht'!$I:$I,IF($B$2="ADM",'Projekt-Budget-Übersicht'!$J:$J,'Projekt-Budget-Übersicht'!$H:$H))),MATCH(2473,'Projekt-Budget-Übersicht'!$L:$L,0)),0))</f>
        <v>0</v>
      </c>
      <c r="M160" s="10">
        <f t="shared" si="13"/>
        <v>0</v>
      </c>
      <c r="N160" s="10">
        <f t="shared" si="14"/>
        <v>0</v>
      </c>
      <c r="O160" s="10">
        <f t="shared" si="15"/>
        <v>0</v>
      </c>
      <c r="P160" s="10">
        <f>'A. Kokott'!M160</f>
        <v>0</v>
      </c>
      <c r="Q160" s="10">
        <f>IFERROR(INDEX('Projekt-Budget-Übersicht'!$E:$E,MATCH(2473,'Projekt-Budget-Übersicht'!$L:$L,0)),0)</f>
        <v>0</v>
      </c>
      <c r="R160" s="10">
        <v>92.5</v>
      </c>
      <c r="S160" s="4"/>
      <c r="T160" s="4"/>
      <c r="U160" s="4"/>
    </row>
    <row r="161" spans="1:21" x14ac:dyDescent="0.25">
      <c r="A161" s="4" t="s">
        <v>2485</v>
      </c>
      <c r="B161" s="4" t="s">
        <v>5502</v>
      </c>
      <c r="C161" s="4" t="str">
        <f>IFERROR(INDEX('Projekt-Budget-Übersicht'!$C:$C,MATCH(2808,'Projekt-Budget-Übersicht'!$L:$L,0)),"")</f>
        <v/>
      </c>
      <c r="D161" s="4">
        <v>100</v>
      </c>
      <c r="E161" s="4">
        <v>101.5</v>
      </c>
      <c r="F161" s="5">
        <f>SUM(F50,I50,K50)</f>
        <v>0.75</v>
      </c>
      <c r="G161" s="15">
        <v>101.5</v>
      </c>
      <c r="H161" s="5">
        <f>SUM(H50)</f>
        <v>0</v>
      </c>
      <c r="I161" s="5">
        <f t="shared" si="12"/>
        <v>0</v>
      </c>
      <c r="J161" s="4" t="s">
        <v>5531</v>
      </c>
      <c r="K161" s="5">
        <f>SUM(K50)</f>
        <v>0</v>
      </c>
      <c r="L161" s="10">
        <f>IF($B$2="-",0,IFERROR(INDEX(IF($B$2="SV",'Projekt-Budget-Übersicht'!$H:$H,IF($B$2="CAD",'Projekt-Budget-Übersicht'!$I:$I,IF($B$2="ADM",'Projekt-Budget-Übersicht'!$J:$J,'Projekt-Budget-Übersicht'!$H:$H))),MATCH(2808,'Projekt-Budget-Übersicht'!$L:$L,0)),0))</f>
        <v>0</v>
      </c>
      <c r="M161" s="10">
        <f t="shared" si="13"/>
        <v>0</v>
      </c>
      <c r="N161" s="10">
        <f t="shared" si="14"/>
        <v>0</v>
      </c>
      <c r="O161" s="10">
        <f t="shared" si="15"/>
        <v>0</v>
      </c>
      <c r="P161" s="10">
        <f>'A. Kokott'!M161</f>
        <v>0</v>
      </c>
      <c r="Q161" s="10">
        <f>IFERROR(INDEX('Projekt-Budget-Übersicht'!$E:$E,MATCH(2808,'Projekt-Budget-Übersicht'!$L:$L,0)),0)</f>
        <v>0</v>
      </c>
      <c r="R161" s="10">
        <v>10469.790000000001</v>
      </c>
      <c r="S161" s="4"/>
      <c r="T161" s="4"/>
      <c r="U161" s="4"/>
    </row>
    <row r="162" spans="1:21" x14ac:dyDescent="0.25">
      <c r="A162" s="4" t="s">
        <v>2578</v>
      </c>
      <c r="B162" s="4" t="s">
        <v>5516</v>
      </c>
      <c r="C162" s="4" t="str">
        <f>IFERROR(INDEX('Projekt-Budget-Übersicht'!$C:$C,MATCH(2893,'Projekt-Budget-Übersicht'!$L:$L,0)),"")</f>
        <v/>
      </c>
      <c r="D162" s="4">
        <v>37</v>
      </c>
      <c r="E162" s="4">
        <v>27.75</v>
      </c>
      <c r="F162" s="5">
        <f>SUM(F97,I97,K97)</f>
        <v>0.75</v>
      </c>
      <c r="G162" s="16">
        <v>75</v>
      </c>
      <c r="H162" s="5">
        <f>SUM(H97)</f>
        <v>0</v>
      </c>
      <c r="I162" s="5">
        <f t="shared" si="12"/>
        <v>0</v>
      </c>
      <c r="J162" s="4" t="s">
        <v>5531</v>
      </c>
      <c r="K162" s="5">
        <f>SUM(K97)</f>
        <v>0</v>
      </c>
      <c r="L162" s="10">
        <f>IF($B$2="-",0,IFERROR(INDEX(IF($B$2="SV",'Projekt-Budget-Übersicht'!$H:$H,IF($B$2="CAD",'Projekt-Budget-Übersicht'!$I:$I,IF($B$2="ADM",'Projekt-Budget-Übersicht'!$J:$J,'Projekt-Budget-Übersicht'!$H:$H))),MATCH(2893,'Projekt-Budget-Übersicht'!$L:$L,0)),0))</f>
        <v>0</v>
      </c>
      <c r="M162" s="10">
        <f t="shared" si="13"/>
        <v>0</v>
      </c>
      <c r="N162" s="10">
        <f t="shared" si="14"/>
        <v>0</v>
      </c>
      <c r="O162" s="10">
        <f t="shared" si="15"/>
        <v>0</v>
      </c>
      <c r="P162" s="10">
        <f>'A. Kokott'!M162+'J. Dorn'!M141+'M. Bandlofsky'!M101+'O. Haag BS-CAD'!M175+'T. Trautmann'!M139</f>
        <v>0</v>
      </c>
      <c r="Q162" s="10">
        <f>IFERROR(INDEX('Projekt-Budget-Übersicht'!$E:$E,MATCH(2893,'Projekt-Budget-Übersicht'!$L:$L,0)),0)</f>
        <v>0</v>
      </c>
      <c r="R162" s="10">
        <v>1736.25</v>
      </c>
      <c r="S162" s="4"/>
      <c r="T162" s="4"/>
      <c r="U162" s="4"/>
    </row>
    <row r="163" spans="1:21" x14ac:dyDescent="0.25">
      <c r="A163" s="4" t="s">
        <v>2619</v>
      </c>
      <c r="B163" s="4" t="s">
        <v>5484</v>
      </c>
      <c r="C163" s="4" t="str">
        <f>IFERROR(INDEX('Projekt-Budget-Übersicht'!$C:$C,MATCH(2931,'Projekt-Budget-Übersicht'!$L:$L,0)),"")</f>
        <v/>
      </c>
      <c r="D163" s="4">
        <v>2</v>
      </c>
      <c r="E163" s="4">
        <v>2.25</v>
      </c>
      <c r="F163" s="5">
        <f>SUM(F98,I98,K98)</f>
        <v>1</v>
      </c>
      <c r="G163" s="15">
        <v>112.5</v>
      </c>
      <c r="H163" s="5">
        <f>SUM(H98)</f>
        <v>0</v>
      </c>
      <c r="I163" s="5">
        <f t="shared" si="12"/>
        <v>0</v>
      </c>
      <c r="J163" s="4" t="s">
        <v>5531</v>
      </c>
      <c r="K163" s="5">
        <f>SUM(K98)</f>
        <v>0</v>
      </c>
      <c r="L163" s="10">
        <f>IF($B$2="-",0,IFERROR(INDEX(IF($B$2="SV",'Projekt-Budget-Übersicht'!$H:$H,IF($B$2="CAD",'Projekt-Budget-Übersicht'!$I:$I,IF($B$2="ADM",'Projekt-Budget-Übersicht'!$J:$J,'Projekt-Budget-Übersicht'!$H:$H))),MATCH(2931,'Projekt-Budget-Übersicht'!$L:$L,0)),0))</f>
        <v>0</v>
      </c>
      <c r="M163" s="10">
        <f t="shared" si="13"/>
        <v>0</v>
      </c>
      <c r="N163" s="10">
        <f t="shared" si="14"/>
        <v>0</v>
      </c>
      <c r="O163" s="10">
        <f t="shared" si="15"/>
        <v>0</v>
      </c>
      <c r="P163" s="10">
        <f>'A. Kokott'!M163</f>
        <v>0</v>
      </c>
      <c r="Q163" s="10">
        <f>IFERROR(INDEX('Projekt-Budget-Übersicht'!$E:$E,MATCH(2931,'Projekt-Budget-Übersicht'!$L:$L,0)),0)</f>
        <v>0</v>
      </c>
      <c r="R163" s="10">
        <v>2519.94</v>
      </c>
      <c r="S163" s="4"/>
      <c r="T163" s="4"/>
      <c r="U163" s="4"/>
    </row>
    <row r="164" spans="1:21" x14ac:dyDescent="0.25">
      <c r="A164" s="4" t="s">
        <v>2668</v>
      </c>
      <c r="B164" s="4" t="s">
        <v>5484</v>
      </c>
      <c r="C164" s="4" t="str">
        <f>IFERROR(INDEX('Projekt-Budget-Übersicht'!$C:$C,MATCH(2976,'Projekt-Budget-Übersicht'!$L:$L,0)),"")</f>
        <v/>
      </c>
      <c r="D164" s="4">
        <v>1</v>
      </c>
      <c r="E164" s="4">
        <v>1.75</v>
      </c>
      <c r="F164" s="5">
        <f>SUM(F99,I99,K99)</f>
        <v>0.5</v>
      </c>
      <c r="G164" s="15">
        <v>175</v>
      </c>
      <c r="H164" s="5">
        <f>SUM(H99)</f>
        <v>0</v>
      </c>
      <c r="I164" s="5">
        <f t="shared" si="12"/>
        <v>0</v>
      </c>
      <c r="J164" s="4" t="s">
        <v>5531</v>
      </c>
      <c r="K164" s="5">
        <f>SUM(K99)</f>
        <v>0</v>
      </c>
      <c r="L164" s="10">
        <f>IF($B$2="-",0,IFERROR(INDEX(IF($B$2="SV",'Projekt-Budget-Übersicht'!$H:$H,IF($B$2="CAD",'Projekt-Budget-Übersicht'!$I:$I,IF($B$2="ADM",'Projekt-Budget-Übersicht'!$J:$J,'Projekt-Budget-Übersicht'!$H:$H))),MATCH(2976,'Projekt-Budget-Übersicht'!$L:$L,0)),0))</f>
        <v>0</v>
      </c>
      <c r="M164" s="10">
        <f t="shared" si="13"/>
        <v>0</v>
      </c>
      <c r="N164" s="10">
        <f t="shared" si="14"/>
        <v>0</v>
      </c>
      <c r="O164" s="10">
        <f t="shared" si="15"/>
        <v>0</v>
      </c>
      <c r="P164" s="10">
        <f>'A. Kokott'!M164</f>
        <v>0</v>
      </c>
      <c r="Q164" s="10">
        <f>IFERROR(INDEX('Projekt-Budget-Übersicht'!$E:$E,MATCH(2976,'Projekt-Budget-Übersicht'!$L:$L,0)),0)</f>
        <v>0</v>
      </c>
      <c r="R164" s="10">
        <v>467.5</v>
      </c>
      <c r="S164" s="4"/>
      <c r="T164" s="4"/>
      <c r="U164" s="4"/>
    </row>
    <row r="165" spans="1:21" x14ac:dyDescent="0.25">
      <c r="A165" s="4" t="s">
        <v>2834</v>
      </c>
      <c r="B165" s="4" t="s">
        <v>5459</v>
      </c>
      <c r="C165" s="4" t="str">
        <f>IFERROR(INDEX('Projekt-Budget-Übersicht'!$C:$C,MATCH(3122,'Projekt-Budget-Übersicht'!$L:$L,0)),"")</f>
        <v/>
      </c>
      <c r="D165" s="4">
        <v>6</v>
      </c>
      <c r="E165" s="4">
        <v>48</v>
      </c>
      <c r="F165" s="5">
        <f>SUM(F14,F101,I14,I101,K14,K101)</f>
        <v>1</v>
      </c>
      <c r="G165" s="15">
        <v>800</v>
      </c>
      <c r="H165" s="5">
        <f>SUM(H14,H101)</f>
        <v>0</v>
      </c>
      <c r="I165" s="5">
        <f t="shared" si="12"/>
        <v>0</v>
      </c>
      <c r="J165" s="4" t="s">
        <v>5531</v>
      </c>
      <c r="K165" s="5">
        <f>SUM(K14,K101)</f>
        <v>0</v>
      </c>
      <c r="L165" s="10">
        <f>IF($B$2="-",0,IFERROR(INDEX(IF($B$2="SV",'Projekt-Budget-Übersicht'!$H:$H,IF($B$2="CAD",'Projekt-Budget-Übersicht'!$I:$I,IF($B$2="ADM",'Projekt-Budget-Übersicht'!$J:$J,'Projekt-Budget-Übersicht'!$H:$H))),MATCH(3122,'Projekt-Budget-Übersicht'!$L:$L,0)),0))</f>
        <v>0</v>
      </c>
      <c r="M165" s="10">
        <f t="shared" si="13"/>
        <v>0</v>
      </c>
      <c r="N165" s="10">
        <f t="shared" si="14"/>
        <v>0</v>
      </c>
      <c r="O165" s="10">
        <f t="shared" si="15"/>
        <v>0</v>
      </c>
      <c r="P165" s="10">
        <f>'A. Kokott'!M165+'E. Bieler'!M94+'J. Dorchies'!M41+'J. Dorn'!M142+'O. Haag BS-CAD'!M178+'P. Bergner'!M88+'R. Böttiger'!M95</f>
        <v>0</v>
      </c>
      <c r="Q165" s="10">
        <f>IFERROR(INDEX('Projekt-Budget-Übersicht'!$E:$E,MATCH(3122,'Projekt-Budget-Übersicht'!$L:$L,0)),0)</f>
        <v>0</v>
      </c>
      <c r="R165" s="10">
        <v>2985.82</v>
      </c>
      <c r="S165" s="4"/>
      <c r="T165" s="4"/>
      <c r="U165" s="4"/>
    </row>
    <row r="166" spans="1:21" x14ac:dyDescent="0.25">
      <c r="A166" s="4" t="s">
        <v>3158</v>
      </c>
      <c r="B166" s="4" t="s">
        <v>5490</v>
      </c>
      <c r="C166" s="4" t="str">
        <f>IFERROR(INDEX('Projekt-Budget-Übersicht'!$C:$C,MATCH(3395,'Projekt-Budget-Übersicht'!$L:$L,0)),"")</f>
        <v/>
      </c>
      <c r="D166" s="4">
        <v>1</v>
      </c>
      <c r="E166" s="4">
        <v>1.5</v>
      </c>
      <c r="F166" s="5">
        <f>SUM(F103,I103,K103)</f>
        <v>0.5</v>
      </c>
      <c r="G166" s="15">
        <v>150</v>
      </c>
      <c r="H166" s="5">
        <f>SUM(H103)</f>
        <v>0</v>
      </c>
      <c r="I166" s="5">
        <f t="shared" si="12"/>
        <v>0</v>
      </c>
      <c r="J166" s="4" t="s">
        <v>5531</v>
      </c>
      <c r="K166" s="5">
        <f>SUM(K103)</f>
        <v>0</v>
      </c>
      <c r="L166" s="10">
        <f>IF($B$2="-",0,IFERROR(INDEX(IF($B$2="SV",'Projekt-Budget-Übersicht'!$H:$H,IF($B$2="CAD",'Projekt-Budget-Übersicht'!$I:$I,IF($B$2="ADM",'Projekt-Budget-Übersicht'!$J:$J,'Projekt-Budget-Übersicht'!$H:$H))),MATCH(3395,'Projekt-Budget-Übersicht'!$L:$L,0)),0))</f>
        <v>0</v>
      </c>
      <c r="M166" s="10">
        <f t="shared" si="13"/>
        <v>0</v>
      </c>
      <c r="N166" s="10">
        <f t="shared" si="14"/>
        <v>0</v>
      </c>
      <c r="O166" s="10">
        <f t="shared" si="15"/>
        <v>0</v>
      </c>
      <c r="P166" s="10">
        <f>'A. Kokott'!M166</f>
        <v>0</v>
      </c>
      <c r="Q166" s="10">
        <f>IFERROR(INDEX('Projekt-Budget-Übersicht'!$E:$E,MATCH(3395,'Projekt-Budget-Übersicht'!$L:$L,0)),0)</f>
        <v>0</v>
      </c>
      <c r="R166" s="10">
        <v>100</v>
      </c>
      <c r="S166" s="4"/>
      <c r="T166" s="4"/>
      <c r="U166" s="4"/>
    </row>
    <row r="167" spans="1:21" x14ac:dyDescent="0.25">
      <c r="A167" s="4" t="s">
        <v>3244</v>
      </c>
      <c r="B167" s="4" t="s">
        <v>5504</v>
      </c>
      <c r="C167" s="4" t="str">
        <f>IFERROR(INDEX('Projekt-Budget-Übersicht'!$C:$C,MATCH(3472,'Projekt-Budget-Übersicht'!$L:$L,0)),"")</f>
        <v/>
      </c>
      <c r="D167" s="4">
        <v>25</v>
      </c>
      <c r="E167" s="4">
        <v>3.25</v>
      </c>
      <c r="F167" s="5">
        <f>SUM(F52,I52,K52)</f>
        <v>0.5</v>
      </c>
      <c r="G167" s="16">
        <v>13</v>
      </c>
      <c r="H167" s="5">
        <f>SUM(H52)</f>
        <v>0</v>
      </c>
      <c r="I167" s="5">
        <f t="shared" si="12"/>
        <v>0</v>
      </c>
      <c r="J167" s="4" t="s">
        <v>5531</v>
      </c>
      <c r="K167" s="5">
        <f>SUM(K52)</f>
        <v>0</v>
      </c>
      <c r="L167" s="10">
        <f>IF($B$2="-",0,IFERROR(INDEX(IF($B$2="SV",'Projekt-Budget-Übersicht'!$H:$H,IF($B$2="CAD",'Projekt-Budget-Übersicht'!$I:$I,IF($B$2="ADM",'Projekt-Budget-Übersicht'!$J:$J,'Projekt-Budget-Übersicht'!$H:$H))),MATCH(3472,'Projekt-Budget-Übersicht'!$L:$L,0)),0))</f>
        <v>0</v>
      </c>
      <c r="M167" s="10">
        <f t="shared" si="13"/>
        <v>0</v>
      </c>
      <c r="N167" s="10">
        <f t="shared" si="14"/>
        <v>0</v>
      </c>
      <c r="O167" s="10">
        <f t="shared" si="15"/>
        <v>0</v>
      </c>
      <c r="P167" s="10">
        <f>'A. Kokott'!M167+'P. Bergner'!M92</f>
        <v>0</v>
      </c>
      <c r="Q167" s="10">
        <f>IFERROR(INDEX('Projekt-Budget-Übersicht'!$E:$E,MATCH(3472,'Projekt-Budget-Übersicht'!$L:$L,0)),0)</f>
        <v>0</v>
      </c>
      <c r="R167" s="10">
        <v>235</v>
      </c>
      <c r="S167" s="4"/>
      <c r="T167" s="4"/>
      <c r="U167" s="4"/>
    </row>
    <row r="168" spans="1:21" x14ac:dyDescent="0.25">
      <c r="A168" s="4" t="s">
        <v>3401</v>
      </c>
      <c r="B168" s="4" t="s">
        <v>5488</v>
      </c>
      <c r="C168" s="4" t="str">
        <f>IFERROR(INDEX('Projekt-Budget-Übersicht'!$C:$C,MATCH(3615,'Projekt-Budget-Übersicht'!$L:$L,0)),"")</f>
        <v/>
      </c>
      <c r="D168" s="4">
        <v>2</v>
      </c>
      <c r="E168" s="4">
        <v>3.5</v>
      </c>
      <c r="F168" s="5">
        <f>SUM(F15,I15,K15)</f>
        <v>0.5</v>
      </c>
      <c r="G168" s="15">
        <v>175</v>
      </c>
      <c r="H168" s="5">
        <f>SUM(H15)</f>
        <v>0</v>
      </c>
      <c r="I168" s="5">
        <f t="shared" si="12"/>
        <v>0</v>
      </c>
      <c r="J168" s="4" t="s">
        <v>5531</v>
      </c>
      <c r="K168" s="5">
        <f>SUM(K15)</f>
        <v>0</v>
      </c>
      <c r="L168" s="10">
        <f>IF($B$2="-",0,IFERROR(INDEX(IF($B$2="SV",'Projekt-Budget-Übersicht'!$H:$H,IF($B$2="CAD",'Projekt-Budget-Übersicht'!$I:$I,IF($B$2="ADM",'Projekt-Budget-Übersicht'!$J:$J,'Projekt-Budget-Übersicht'!$H:$H))),MATCH(3615,'Projekt-Budget-Übersicht'!$L:$L,0)),0))</f>
        <v>0</v>
      </c>
      <c r="M168" s="10">
        <f t="shared" si="13"/>
        <v>0</v>
      </c>
      <c r="N168" s="10">
        <f t="shared" si="14"/>
        <v>0</v>
      </c>
      <c r="O168" s="10">
        <f t="shared" si="15"/>
        <v>0</v>
      </c>
      <c r="P168" s="10">
        <f>'A. Kokott'!M168+'H. Bektas'!M72</f>
        <v>0</v>
      </c>
      <c r="Q168" s="10">
        <f>IFERROR(INDEX('Projekt-Budget-Übersicht'!$E:$E,MATCH(3615,'Projekt-Budget-Übersicht'!$L:$L,0)),0)</f>
        <v>0</v>
      </c>
      <c r="R168" s="10">
        <v>17.5</v>
      </c>
      <c r="S168" s="4"/>
      <c r="T168" s="4"/>
      <c r="U168" s="4"/>
    </row>
    <row r="169" spans="1:21" x14ac:dyDescent="0.25">
      <c r="A169" s="4" t="s">
        <v>3822</v>
      </c>
      <c r="B169" s="4" t="s">
        <v>5484</v>
      </c>
      <c r="C169" s="4" t="str">
        <f>IFERROR(INDEX('Projekt-Budget-Übersicht'!$C:$C,MATCH(3980,'Projekt-Budget-Übersicht'!$L:$L,0)),"")</f>
        <v/>
      </c>
      <c r="D169" s="4">
        <v>1</v>
      </c>
      <c r="E169" s="4">
        <v>1.25</v>
      </c>
      <c r="F169" s="5">
        <f>SUM(F104,I104,K104)</f>
        <v>0.5</v>
      </c>
      <c r="G169" s="15">
        <v>125</v>
      </c>
      <c r="H169" s="5">
        <f>SUM(H104)</f>
        <v>0</v>
      </c>
      <c r="I169" s="5">
        <f t="shared" si="12"/>
        <v>0</v>
      </c>
      <c r="J169" s="4" t="s">
        <v>5531</v>
      </c>
      <c r="K169" s="5">
        <f>SUM(K104)</f>
        <v>0</v>
      </c>
      <c r="L169" s="10">
        <f>IF($B$2="-",0,IFERROR(INDEX(IF($B$2="SV",'Projekt-Budget-Übersicht'!$H:$H,IF($B$2="CAD",'Projekt-Budget-Übersicht'!$I:$I,IF($B$2="ADM",'Projekt-Budget-Übersicht'!$J:$J,'Projekt-Budget-Übersicht'!$H:$H))),MATCH(3980,'Projekt-Budget-Übersicht'!$L:$L,0)),0))</f>
        <v>0</v>
      </c>
      <c r="M169" s="10">
        <f t="shared" si="13"/>
        <v>0</v>
      </c>
      <c r="N169" s="10">
        <f t="shared" si="14"/>
        <v>0</v>
      </c>
      <c r="O169" s="10">
        <f t="shared" si="15"/>
        <v>0</v>
      </c>
      <c r="P169" s="10">
        <f>'A. Kokott'!M169</f>
        <v>0</v>
      </c>
      <c r="Q169" s="10">
        <f>IFERROR(INDEX('Projekt-Budget-Übersicht'!$E:$E,MATCH(3980,'Projekt-Budget-Übersicht'!$L:$L,0)),0)</f>
        <v>0</v>
      </c>
      <c r="R169" s="10">
        <v>267.5</v>
      </c>
      <c r="S169" s="4"/>
      <c r="T169" s="4"/>
      <c r="U169" s="4"/>
    </row>
    <row r="170" spans="1:21" x14ac:dyDescent="0.25">
      <c r="A170" s="4" t="s">
        <v>3831</v>
      </c>
      <c r="B170" s="4" t="s">
        <v>5489</v>
      </c>
      <c r="C170" s="4" t="str">
        <f>IFERROR(INDEX('Projekt-Budget-Übersicht'!$C:$C,MATCH(3985,'Projekt-Budget-Übersicht'!$L:$L,0)),"")</f>
        <v/>
      </c>
      <c r="D170" s="4">
        <v>68</v>
      </c>
      <c r="E170" s="4">
        <v>72.25</v>
      </c>
      <c r="F170" s="5">
        <f>SUM(F16,I16,K16)</f>
        <v>0.5</v>
      </c>
      <c r="G170" s="15">
        <v>106.25</v>
      </c>
      <c r="H170" s="5">
        <f>SUM(H16)</f>
        <v>0</v>
      </c>
      <c r="I170" s="5">
        <f t="shared" ref="I170:I201" si="16">IF(H170=0,0,F170-H170)</f>
        <v>0</v>
      </c>
      <c r="J170" s="4" t="s">
        <v>5531</v>
      </c>
      <c r="K170" s="5">
        <f>SUM(K16)</f>
        <v>0</v>
      </c>
      <c r="L170" s="10">
        <f>IF($B$2="-",0,IFERROR(INDEX(IF($B$2="SV",'Projekt-Budget-Übersicht'!$H:$H,IF($B$2="CAD",'Projekt-Budget-Übersicht'!$I:$I,IF($B$2="ADM",'Projekt-Budget-Übersicht'!$J:$J,'Projekt-Budget-Übersicht'!$H:$H))),MATCH(3985,'Projekt-Budget-Übersicht'!$L:$L,0)),0))</f>
        <v>0</v>
      </c>
      <c r="M170" s="10">
        <f t="shared" ref="M170:M201" si="17">IF($B$2="-",0,IF(C170="Pauschale",IF(OR(Q170=0,N(D170)=0),0,MAX(0,MIN(Q170*((N(F170)+N(K170))/N(D170)),Q170-Q170*(N(E170)/N(D170))))),L170*(N(F170)+N(K170))))</f>
        <v>0</v>
      </c>
      <c r="N170" s="10">
        <f t="shared" ref="N170:N201" si="18">IF($B$2="-",0,IF(C170="Pauschale",IF(OR(Q170=0,N(D170)=0),0,Q170*((N(F170)+N(K170))/N(D170))),L170*(N(F170)+N(K170))))</f>
        <v>0</v>
      </c>
      <c r="O170" s="10">
        <f t="shared" ref="O170:O201" si="19">N170-M170</f>
        <v>0</v>
      </c>
      <c r="P170" s="10">
        <f>'A. Kokott'!M170+'H. Bektas'!M74</f>
        <v>0</v>
      </c>
      <c r="Q170" s="10">
        <f>IFERROR(INDEX('Projekt-Budget-Übersicht'!$E:$E,MATCH(3985,'Projekt-Budget-Übersicht'!$L:$L,0)),0)</f>
        <v>0</v>
      </c>
      <c r="R170" s="10">
        <v>342.5</v>
      </c>
      <c r="S170" s="4"/>
      <c r="T170" s="4"/>
      <c r="U170" s="4"/>
    </row>
    <row r="171" spans="1:21" x14ac:dyDescent="0.25">
      <c r="A171" s="4" t="s">
        <v>3916</v>
      </c>
      <c r="B171" s="4" t="s">
        <v>5484</v>
      </c>
      <c r="C171" s="4" t="str">
        <f>IFERROR(INDEX('Projekt-Budget-Übersicht'!$C:$C,MATCH(4059,'Projekt-Budget-Übersicht'!$L:$L,0)),"")</f>
        <v/>
      </c>
      <c r="D171" s="4">
        <v>1</v>
      </c>
      <c r="E171" s="4">
        <v>1.25</v>
      </c>
      <c r="F171" s="5">
        <f>SUM(F53,I53,K53)</f>
        <v>0.5</v>
      </c>
      <c r="G171" s="15">
        <v>125</v>
      </c>
      <c r="H171" s="5">
        <f>SUM(H53)</f>
        <v>0</v>
      </c>
      <c r="I171" s="5">
        <f t="shared" si="16"/>
        <v>0</v>
      </c>
      <c r="J171" s="4" t="s">
        <v>5531</v>
      </c>
      <c r="K171" s="5">
        <f>SUM(K53)</f>
        <v>0</v>
      </c>
      <c r="L171" s="10">
        <f>IF($B$2="-",0,IFERROR(INDEX(IF($B$2="SV",'Projekt-Budget-Übersicht'!$H:$H,IF($B$2="CAD",'Projekt-Budget-Übersicht'!$I:$I,IF($B$2="ADM",'Projekt-Budget-Übersicht'!$J:$J,'Projekt-Budget-Übersicht'!$H:$H))),MATCH(4059,'Projekt-Budget-Übersicht'!$L:$L,0)),0))</f>
        <v>0</v>
      </c>
      <c r="M171" s="10">
        <f t="shared" si="17"/>
        <v>0</v>
      </c>
      <c r="N171" s="10">
        <f t="shared" si="18"/>
        <v>0</v>
      </c>
      <c r="O171" s="10">
        <f t="shared" si="19"/>
        <v>0</v>
      </c>
      <c r="P171" s="10">
        <f>'A. Kokott'!M171</f>
        <v>0</v>
      </c>
      <c r="Q171" s="10">
        <f>IFERROR(INDEX('Projekt-Budget-Übersicht'!$E:$E,MATCH(4059,'Projekt-Budget-Übersicht'!$L:$L,0)),0)</f>
        <v>0</v>
      </c>
      <c r="R171" s="10">
        <v>67.5</v>
      </c>
      <c r="S171" s="4"/>
      <c r="T171" s="4"/>
      <c r="U171" s="4"/>
    </row>
    <row r="172" spans="1:21" x14ac:dyDescent="0.25">
      <c r="A172" s="4" t="s">
        <v>3950</v>
      </c>
      <c r="B172" s="4" t="s">
        <v>5484</v>
      </c>
      <c r="C172" s="4" t="str">
        <f>IFERROR(INDEX('Projekt-Budget-Übersicht'!$C:$C,MATCH(4086,'Projekt-Budget-Übersicht'!$L:$L,0)),"")</f>
        <v/>
      </c>
      <c r="D172" s="4">
        <v>1</v>
      </c>
      <c r="E172" s="4">
        <v>1.25</v>
      </c>
      <c r="F172" s="5">
        <f>SUM(F17,I17,K17)</f>
        <v>0.5</v>
      </c>
      <c r="G172" s="15">
        <v>125</v>
      </c>
      <c r="H172" s="5">
        <f>SUM(H17)</f>
        <v>0</v>
      </c>
      <c r="I172" s="5">
        <f t="shared" si="16"/>
        <v>0</v>
      </c>
      <c r="J172" s="4" t="s">
        <v>5531</v>
      </c>
      <c r="K172" s="5">
        <f>SUM(K17)</f>
        <v>0</v>
      </c>
      <c r="L172" s="10">
        <f>IF($B$2="-",0,IFERROR(INDEX(IF($B$2="SV",'Projekt-Budget-Übersicht'!$H:$H,IF($B$2="CAD",'Projekt-Budget-Übersicht'!$I:$I,IF($B$2="ADM",'Projekt-Budget-Übersicht'!$J:$J,'Projekt-Budget-Übersicht'!$H:$H))),MATCH(4086,'Projekt-Budget-Übersicht'!$L:$L,0)),0))</f>
        <v>0</v>
      </c>
      <c r="M172" s="10">
        <f t="shared" si="17"/>
        <v>0</v>
      </c>
      <c r="N172" s="10">
        <f t="shared" si="18"/>
        <v>0</v>
      </c>
      <c r="O172" s="10">
        <f t="shared" si="19"/>
        <v>0</v>
      </c>
      <c r="P172" s="10">
        <f>'A. Kokott'!M172</f>
        <v>0</v>
      </c>
      <c r="Q172" s="10">
        <f>IFERROR(INDEX('Projekt-Budget-Übersicht'!$E:$E,MATCH(4086,'Projekt-Budget-Übersicht'!$L:$L,0)),0)</f>
        <v>0</v>
      </c>
      <c r="R172" s="10">
        <v>2335</v>
      </c>
      <c r="S172" s="4"/>
      <c r="T172" s="4"/>
      <c r="U172" s="4"/>
    </row>
    <row r="173" spans="1:21" x14ac:dyDescent="0.25">
      <c r="A173" s="21" t="s">
        <v>4097</v>
      </c>
      <c r="B173" s="4" t="s">
        <v>5484</v>
      </c>
      <c r="C173" s="4" t="str">
        <f>IFERROR(INDEX('Projekt-Budget-Übersicht'!$C:$C,MATCH(4215,'Projekt-Budget-Übersicht'!$L:$L,0)),"")</f>
        <v/>
      </c>
      <c r="D173" s="4">
        <v>1</v>
      </c>
      <c r="E173" s="4">
        <v>1.75</v>
      </c>
      <c r="F173" s="5">
        <f>SUM(F18,I18,K18)</f>
        <v>0.25</v>
      </c>
      <c r="G173" s="15">
        <v>175</v>
      </c>
      <c r="H173" s="5">
        <f>SUM(H18)</f>
        <v>0</v>
      </c>
      <c r="I173" s="5">
        <f t="shared" si="16"/>
        <v>0</v>
      </c>
      <c r="J173" s="4" t="s">
        <v>5531</v>
      </c>
      <c r="K173" s="5">
        <f>SUM(K18)</f>
        <v>0</v>
      </c>
      <c r="L173" s="10">
        <f>IF($B$2="-",0,IFERROR(INDEX(IF($B$2="SV",'Projekt-Budget-Übersicht'!$H:$H,IF($B$2="CAD",'Projekt-Budget-Übersicht'!$I:$I,IF($B$2="ADM",'Projekt-Budget-Übersicht'!$J:$J,'Projekt-Budget-Übersicht'!$H:$H))),MATCH(4215,'Projekt-Budget-Übersicht'!$L:$L,0)),0))</f>
        <v>0</v>
      </c>
      <c r="M173" s="10">
        <f t="shared" si="17"/>
        <v>0</v>
      </c>
      <c r="N173" s="10">
        <f t="shared" si="18"/>
        <v>0</v>
      </c>
      <c r="O173" s="10">
        <f t="shared" si="19"/>
        <v>0</v>
      </c>
      <c r="P173" s="10">
        <f>'A. Kokott'!M173</f>
        <v>0</v>
      </c>
      <c r="Q173" s="10">
        <f>IFERROR(INDEX('Projekt-Budget-Übersicht'!$E:$E,MATCH(4215,'Projekt-Budget-Übersicht'!$L:$L,0)),0)</f>
        <v>0</v>
      </c>
      <c r="R173" s="10">
        <v>312.5</v>
      </c>
      <c r="S173" s="4"/>
      <c r="T173" s="4"/>
      <c r="U173" s="4"/>
    </row>
    <row r="174" spans="1:21" x14ac:dyDescent="0.25">
      <c r="A174" s="22"/>
      <c r="B174" s="4" t="s">
        <v>5459</v>
      </c>
      <c r="C174" s="4" t="str">
        <f>IFERROR(INDEX('Projekt-Budget-Übersicht'!$C:$C,MATCH(4215,'Projekt-Budget-Übersicht'!$L:$L,0)),"")</f>
        <v/>
      </c>
      <c r="D174" s="4">
        <v>12</v>
      </c>
      <c r="E174" s="4">
        <v>15.5</v>
      </c>
      <c r="F174" s="5">
        <f>SUM(F19,I19,K19)</f>
        <v>0.5</v>
      </c>
      <c r="G174" s="15">
        <v>129.16999999999999</v>
      </c>
      <c r="H174" s="5">
        <f>SUM(H19)</f>
        <v>0</v>
      </c>
      <c r="I174" s="5">
        <f t="shared" si="16"/>
        <v>0</v>
      </c>
      <c r="J174" s="4" t="s">
        <v>5531</v>
      </c>
      <c r="K174" s="5">
        <f>SUM(K19)</f>
        <v>0</v>
      </c>
      <c r="L174" s="10">
        <f>IF($B$2="-",0,IFERROR(INDEX(IF($B$2="SV",'Projekt-Budget-Übersicht'!$H:$H,IF($B$2="CAD",'Projekt-Budget-Übersicht'!$I:$I,IF($B$2="ADM",'Projekt-Budget-Übersicht'!$J:$J,'Projekt-Budget-Übersicht'!$H:$H))),MATCH(4215,'Projekt-Budget-Übersicht'!$L:$L,0)),0))</f>
        <v>0</v>
      </c>
      <c r="M174" s="10">
        <f t="shared" si="17"/>
        <v>0</v>
      </c>
      <c r="N174" s="10">
        <f t="shared" si="18"/>
        <v>0</v>
      </c>
      <c r="O174" s="10">
        <f t="shared" si="19"/>
        <v>0</v>
      </c>
      <c r="P174" s="10">
        <f>'A. Kokott'!M174</f>
        <v>0</v>
      </c>
      <c r="Q174" s="10">
        <f>IFERROR(INDEX('Projekt-Budget-Übersicht'!$E:$E,MATCH(4215,'Projekt-Budget-Übersicht'!$L:$L,0)),0)</f>
        <v>0</v>
      </c>
      <c r="R174" s="10">
        <v>312.5</v>
      </c>
      <c r="S174" s="4"/>
      <c r="T174" s="4"/>
      <c r="U174" s="4"/>
    </row>
    <row r="175" spans="1:21" x14ac:dyDescent="0.25">
      <c r="A175" s="4" t="s">
        <v>4152</v>
      </c>
      <c r="B175" s="4" t="s">
        <v>5517</v>
      </c>
      <c r="C175" s="4" t="str">
        <f>IFERROR(INDEX('Projekt-Budget-Übersicht'!$C:$C,MATCH(4257,'Projekt-Budget-Übersicht'!$L:$L,0)),"")</f>
        <v/>
      </c>
      <c r="D175" s="4">
        <v>4</v>
      </c>
      <c r="E175" s="4">
        <v>4.75</v>
      </c>
      <c r="F175" s="5">
        <f>SUM(F105,I105,K105)</f>
        <v>0.5</v>
      </c>
      <c r="G175" s="15">
        <v>118.75</v>
      </c>
      <c r="H175" s="5">
        <f>SUM(H105)</f>
        <v>0</v>
      </c>
      <c r="I175" s="5">
        <f t="shared" si="16"/>
        <v>0</v>
      </c>
      <c r="J175" s="4" t="s">
        <v>5531</v>
      </c>
      <c r="K175" s="5">
        <f>SUM(K105)</f>
        <v>0</v>
      </c>
      <c r="L175" s="10">
        <f>IF($B$2="-",0,IFERROR(INDEX(IF($B$2="SV",'Projekt-Budget-Übersicht'!$H:$H,IF($B$2="CAD",'Projekt-Budget-Übersicht'!$I:$I,IF($B$2="ADM",'Projekt-Budget-Übersicht'!$J:$J,'Projekt-Budget-Übersicht'!$H:$H))),MATCH(4257,'Projekt-Budget-Übersicht'!$L:$L,0)),0))</f>
        <v>0</v>
      </c>
      <c r="M175" s="10">
        <f t="shared" si="17"/>
        <v>0</v>
      </c>
      <c r="N175" s="10">
        <f t="shared" si="18"/>
        <v>0</v>
      </c>
      <c r="O175" s="10">
        <f t="shared" si="19"/>
        <v>0</v>
      </c>
      <c r="P175" s="10">
        <f>'A. Kokott'!M175+'H. Bektas'!M77</f>
        <v>0</v>
      </c>
      <c r="Q175" s="10">
        <f>IFERROR(INDEX('Projekt-Budget-Übersicht'!$E:$E,MATCH(4257,'Projekt-Budget-Übersicht'!$L:$L,0)),0)</f>
        <v>0</v>
      </c>
      <c r="R175" s="10">
        <v>17.5</v>
      </c>
      <c r="S175" s="4"/>
      <c r="T175" s="4"/>
      <c r="U175" s="4"/>
    </row>
    <row r="176" spans="1:21" x14ac:dyDescent="0.25">
      <c r="A176" s="4" t="s">
        <v>4356</v>
      </c>
      <c r="B176" s="4" t="s">
        <v>5459</v>
      </c>
      <c r="C176" s="4" t="str">
        <f>IFERROR(INDEX('Projekt-Budget-Übersicht'!$C:$C,MATCH(4432,'Projekt-Budget-Übersicht'!$L:$L,0)),"")</f>
        <v/>
      </c>
      <c r="D176" s="4">
        <v>3</v>
      </c>
      <c r="E176" s="4">
        <v>3.5</v>
      </c>
      <c r="F176" s="5">
        <f>SUM(F106,I106,K106)</f>
        <v>0.5</v>
      </c>
      <c r="G176" s="15">
        <v>116.67</v>
      </c>
      <c r="H176" s="5">
        <f>SUM(H106)</f>
        <v>0</v>
      </c>
      <c r="I176" s="5">
        <f t="shared" si="16"/>
        <v>0</v>
      </c>
      <c r="J176" s="4" t="s">
        <v>5531</v>
      </c>
      <c r="K176" s="5">
        <f>SUM(K106)</f>
        <v>0</v>
      </c>
      <c r="L176" s="10">
        <f>IF($B$2="-",0,IFERROR(INDEX(IF($B$2="SV",'Projekt-Budget-Übersicht'!$H:$H,IF($B$2="CAD",'Projekt-Budget-Übersicht'!$I:$I,IF($B$2="ADM",'Projekt-Budget-Übersicht'!$J:$J,'Projekt-Budget-Übersicht'!$H:$H))),MATCH(4432,'Projekt-Budget-Übersicht'!$L:$L,0)),0))</f>
        <v>0</v>
      </c>
      <c r="M176" s="10">
        <f t="shared" si="17"/>
        <v>0</v>
      </c>
      <c r="N176" s="10">
        <f t="shared" si="18"/>
        <v>0</v>
      </c>
      <c r="O176" s="10">
        <f t="shared" si="19"/>
        <v>0</v>
      </c>
      <c r="P176" s="10">
        <f>'A. Kokott'!M176+'H. Bektas'!M78</f>
        <v>0</v>
      </c>
      <c r="Q176" s="10">
        <f>IFERROR(INDEX('Projekt-Budget-Übersicht'!$E:$E,MATCH(4432,'Projekt-Budget-Übersicht'!$L:$L,0)),0)</f>
        <v>0</v>
      </c>
      <c r="R176" s="10">
        <v>117.5</v>
      </c>
      <c r="S176" s="4"/>
      <c r="T176" s="4"/>
      <c r="U176" s="4"/>
    </row>
    <row r="177" spans="1:21" x14ac:dyDescent="0.25">
      <c r="A177" s="4" t="s">
        <v>4373</v>
      </c>
      <c r="B177" s="4" t="s">
        <v>5484</v>
      </c>
      <c r="C177" s="4" t="str">
        <f>IFERROR(INDEX('Projekt-Budget-Übersicht'!$C:$C,MATCH(4448,'Projekt-Budget-Übersicht'!$L:$L,0)),"")</f>
        <v/>
      </c>
      <c r="D177" s="4">
        <v>1</v>
      </c>
      <c r="E177" s="4">
        <v>2.5</v>
      </c>
      <c r="F177" s="5">
        <f>SUM(F107,I107,K107)</f>
        <v>0.75</v>
      </c>
      <c r="G177" s="15">
        <v>250</v>
      </c>
      <c r="H177" s="5">
        <f>SUM(H107)</f>
        <v>0</v>
      </c>
      <c r="I177" s="5">
        <f t="shared" si="16"/>
        <v>0</v>
      </c>
      <c r="J177" s="4" t="s">
        <v>5531</v>
      </c>
      <c r="K177" s="5">
        <f>SUM(K107)</f>
        <v>0</v>
      </c>
      <c r="L177" s="10">
        <f>IF($B$2="-",0,IFERROR(INDEX(IF($B$2="SV",'Projekt-Budget-Übersicht'!$H:$H,IF($B$2="CAD",'Projekt-Budget-Übersicht'!$I:$I,IF($B$2="ADM",'Projekt-Budget-Übersicht'!$J:$J,'Projekt-Budget-Übersicht'!$H:$H))),MATCH(4448,'Projekt-Budget-Übersicht'!$L:$L,0)),0))</f>
        <v>0</v>
      </c>
      <c r="M177" s="10">
        <f t="shared" si="17"/>
        <v>0</v>
      </c>
      <c r="N177" s="10">
        <f t="shared" si="18"/>
        <v>0</v>
      </c>
      <c r="O177" s="10">
        <f t="shared" si="19"/>
        <v>0</v>
      </c>
      <c r="P177" s="10">
        <f>'A. Kokott'!M177</f>
        <v>0</v>
      </c>
      <c r="Q177" s="10">
        <f>IFERROR(INDEX('Projekt-Budget-Übersicht'!$E:$E,MATCH(4448,'Projekt-Budget-Übersicht'!$L:$L,0)),0)</f>
        <v>0</v>
      </c>
      <c r="R177" s="10">
        <v>2173.75</v>
      </c>
      <c r="S177" s="4"/>
      <c r="T177" s="4"/>
      <c r="U177" s="4"/>
    </row>
    <row r="178" spans="1:21" x14ac:dyDescent="0.25">
      <c r="A178" s="4" t="s">
        <v>4461</v>
      </c>
      <c r="B178" s="4" t="s">
        <v>5519</v>
      </c>
      <c r="C178" s="4" t="str">
        <f>IFERROR(INDEX('Projekt-Budget-Übersicht'!$C:$C,MATCH(4528,'Projekt-Budget-Übersicht'!$L:$L,0)),"")</f>
        <v/>
      </c>
      <c r="D178" s="4">
        <v>100</v>
      </c>
      <c r="E178" s="4">
        <v>26.5</v>
      </c>
      <c r="F178" s="5">
        <f>SUM(F109,I109,K109)</f>
        <v>0.25</v>
      </c>
      <c r="G178" s="16">
        <v>26.5</v>
      </c>
      <c r="H178" s="5">
        <f>SUM(H109)</f>
        <v>0</v>
      </c>
      <c r="I178" s="5">
        <f t="shared" si="16"/>
        <v>0</v>
      </c>
      <c r="J178" s="4" t="s">
        <v>5531</v>
      </c>
      <c r="K178" s="5">
        <f>SUM(K109)</f>
        <v>0</v>
      </c>
      <c r="L178" s="10">
        <f>IF($B$2="-",0,IFERROR(INDEX(IF($B$2="SV",'Projekt-Budget-Übersicht'!$H:$H,IF($B$2="CAD",'Projekt-Budget-Übersicht'!$I:$I,IF($B$2="ADM",'Projekt-Budget-Übersicht'!$J:$J,'Projekt-Budget-Übersicht'!$H:$H))),MATCH(4528,'Projekt-Budget-Übersicht'!$L:$L,0)),0))</f>
        <v>0</v>
      </c>
      <c r="M178" s="10">
        <f t="shared" si="17"/>
        <v>0</v>
      </c>
      <c r="N178" s="10">
        <f t="shared" si="18"/>
        <v>0</v>
      </c>
      <c r="O178" s="10">
        <f t="shared" si="19"/>
        <v>0</v>
      </c>
      <c r="P178" s="10">
        <f>'A. Kokott'!M178+'C. Trapp SV'!M111+'S. Schüler'!M168</f>
        <v>0</v>
      </c>
      <c r="Q178" s="10">
        <f>IFERROR(INDEX('Projekt-Budget-Übersicht'!$E:$E,MATCH(4528,'Projekt-Budget-Übersicht'!$L:$L,0)),0)</f>
        <v>0</v>
      </c>
      <c r="R178" s="10">
        <v>1763.75</v>
      </c>
      <c r="S178" s="4"/>
      <c r="T178" s="4"/>
      <c r="U178" s="4"/>
    </row>
    <row r="179" spans="1:21" x14ac:dyDescent="0.25">
      <c r="A179" s="4" t="s">
        <v>4465</v>
      </c>
      <c r="B179" s="4" t="s">
        <v>5490</v>
      </c>
      <c r="C179" s="4" t="str">
        <f>IFERROR(INDEX('Projekt-Budget-Übersicht'!$C:$C,MATCH(4533,'Projekt-Budget-Übersicht'!$L:$L,0)),"")</f>
        <v/>
      </c>
      <c r="D179" s="4">
        <v>1</v>
      </c>
      <c r="E179" s="4">
        <v>2</v>
      </c>
      <c r="F179" s="5">
        <f>SUM(F20,I20,K20)</f>
        <v>1</v>
      </c>
      <c r="G179" s="15">
        <v>200</v>
      </c>
      <c r="H179" s="5">
        <f>SUM(H20)</f>
        <v>0</v>
      </c>
      <c r="I179" s="5">
        <f t="shared" si="16"/>
        <v>0</v>
      </c>
      <c r="J179" s="4" t="s">
        <v>5531</v>
      </c>
      <c r="K179" s="5">
        <f>SUM(K20)</f>
        <v>0</v>
      </c>
      <c r="L179" s="10">
        <f>IF($B$2="-",0,IFERROR(INDEX(IF($B$2="SV",'Projekt-Budget-Übersicht'!$H:$H,IF($B$2="CAD",'Projekt-Budget-Übersicht'!$I:$I,IF($B$2="ADM",'Projekt-Budget-Übersicht'!$J:$J,'Projekt-Budget-Übersicht'!$H:$H))),MATCH(4533,'Projekt-Budget-Übersicht'!$L:$L,0)),0))</f>
        <v>0</v>
      </c>
      <c r="M179" s="10">
        <f t="shared" si="17"/>
        <v>0</v>
      </c>
      <c r="N179" s="10">
        <f t="shared" si="18"/>
        <v>0</v>
      </c>
      <c r="O179" s="10">
        <f t="shared" si="19"/>
        <v>0</v>
      </c>
      <c r="P179" s="10">
        <f>'A. Kokott'!M179</f>
        <v>0</v>
      </c>
      <c r="Q179" s="10">
        <f>IFERROR(INDEX('Projekt-Budget-Übersicht'!$E:$E,MATCH(4533,'Projekt-Budget-Übersicht'!$L:$L,0)),0)</f>
        <v>0</v>
      </c>
      <c r="R179" s="10">
        <v>287.5</v>
      </c>
      <c r="S179" s="4"/>
      <c r="T179" s="4"/>
      <c r="U179" s="4"/>
    </row>
    <row r="180" spans="1:21" x14ac:dyDescent="0.25">
      <c r="A180" s="4" t="s">
        <v>4580</v>
      </c>
      <c r="B180" s="4" t="s">
        <v>5484</v>
      </c>
      <c r="C180" s="4" t="str">
        <f>IFERROR(INDEX('Projekt-Budget-Übersicht'!$C:$C,MATCH(4626,'Projekt-Budget-Übersicht'!$L:$L,0)),"")</f>
        <v/>
      </c>
      <c r="D180" s="4">
        <v>1</v>
      </c>
      <c r="E180" s="4">
        <v>1.75</v>
      </c>
      <c r="F180" s="5">
        <f>SUM(F21,I21,K21)</f>
        <v>0.5</v>
      </c>
      <c r="G180" s="15">
        <v>175</v>
      </c>
      <c r="H180" s="5">
        <f>SUM(H21)</f>
        <v>0</v>
      </c>
      <c r="I180" s="5">
        <f t="shared" si="16"/>
        <v>0</v>
      </c>
      <c r="J180" s="4" t="s">
        <v>5531</v>
      </c>
      <c r="K180" s="5">
        <f>SUM(K21)</f>
        <v>0</v>
      </c>
      <c r="L180" s="10">
        <f>IF($B$2="-",0,IFERROR(INDEX(IF($B$2="SV",'Projekt-Budget-Übersicht'!$H:$H,IF($B$2="CAD",'Projekt-Budget-Übersicht'!$I:$I,IF($B$2="ADM",'Projekt-Budget-Übersicht'!$J:$J,'Projekt-Budget-Übersicht'!$H:$H))),MATCH(4626,'Projekt-Budget-Übersicht'!$L:$L,0)),0))</f>
        <v>0</v>
      </c>
      <c r="M180" s="10">
        <f t="shared" si="17"/>
        <v>0</v>
      </c>
      <c r="N180" s="10">
        <f t="shared" si="18"/>
        <v>0</v>
      </c>
      <c r="O180" s="10">
        <f t="shared" si="19"/>
        <v>0</v>
      </c>
      <c r="P180" s="10">
        <f>'A. Kokott'!M180</f>
        <v>0</v>
      </c>
      <c r="Q180" s="10">
        <f>IFERROR(INDEX('Projekt-Budget-Übersicht'!$E:$E,MATCH(4626,'Projekt-Budget-Übersicht'!$L:$L,0)),0)</f>
        <v>0</v>
      </c>
      <c r="R180" s="10">
        <v>387.5</v>
      </c>
      <c r="S180" s="4"/>
      <c r="T180" s="4"/>
      <c r="U180" s="4"/>
    </row>
    <row r="181" spans="1:21" x14ac:dyDescent="0.25">
      <c r="A181" s="4" t="s">
        <v>4604</v>
      </c>
      <c r="B181" s="4" t="s">
        <v>5459</v>
      </c>
      <c r="C181" s="4" t="str">
        <f>IFERROR(INDEX('Projekt-Budget-Übersicht'!$C:$C,MATCH(4641,'Projekt-Budget-Übersicht'!$L:$L,0)),"")</f>
        <v/>
      </c>
      <c r="D181" s="4">
        <v>20</v>
      </c>
      <c r="E181" s="4">
        <v>5.75</v>
      </c>
      <c r="F181" s="5">
        <f>SUM(F110,I110,K110)</f>
        <v>0.5</v>
      </c>
      <c r="G181" s="16">
        <v>28.75</v>
      </c>
      <c r="H181" s="5">
        <f>SUM(H110)</f>
        <v>0</v>
      </c>
      <c r="I181" s="5">
        <f t="shared" si="16"/>
        <v>0</v>
      </c>
      <c r="J181" s="4" t="s">
        <v>5531</v>
      </c>
      <c r="K181" s="5">
        <f>SUM(K110)</f>
        <v>0</v>
      </c>
      <c r="L181" s="10">
        <f>IF($B$2="-",0,IFERROR(INDEX(IF($B$2="SV",'Projekt-Budget-Übersicht'!$H:$H,IF($B$2="CAD",'Projekt-Budget-Übersicht'!$I:$I,IF($B$2="ADM",'Projekt-Budget-Übersicht'!$J:$J,'Projekt-Budget-Übersicht'!$H:$H))),MATCH(4641,'Projekt-Budget-Übersicht'!$L:$L,0)),0))</f>
        <v>0</v>
      </c>
      <c r="M181" s="10">
        <f t="shared" si="17"/>
        <v>0</v>
      </c>
      <c r="N181" s="10">
        <f t="shared" si="18"/>
        <v>0</v>
      </c>
      <c r="O181" s="10">
        <f t="shared" si="19"/>
        <v>0</v>
      </c>
      <c r="P181" s="10">
        <f>'A. Kokott'!M181+'D. Brucker'!M59</f>
        <v>0</v>
      </c>
      <c r="Q181" s="10">
        <f>IFERROR(INDEX('Projekt-Budget-Übersicht'!$E:$E,MATCH(4641,'Projekt-Budget-Übersicht'!$L:$L,0)),0)</f>
        <v>0</v>
      </c>
      <c r="R181" s="10">
        <v>17.5</v>
      </c>
      <c r="S181" s="4"/>
      <c r="T181" s="4"/>
      <c r="U181" s="4"/>
    </row>
    <row r="182" spans="1:21" x14ac:dyDescent="0.25">
      <c r="A182" s="4" t="s">
        <v>4671</v>
      </c>
      <c r="B182" s="4" t="s">
        <v>5520</v>
      </c>
      <c r="C182" s="4" t="str">
        <f>IFERROR(INDEX('Projekt-Budget-Übersicht'!$C:$C,MATCH(4699,'Projekt-Budget-Übersicht'!$L:$L,0)),"")</f>
        <v/>
      </c>
      <c r="D182" s="4">
        <v>1.5</v>
      </c>
      <c r="E182" s="4">
        <v>1.5</v>
      </c>
      <c r="F182" s="5">
        <f>SUM(F111,I111,K111)</f>
        <v>0.5</v>
      </c>
      <c r="G182" s="14">
        <v>100</v>
      </c>
      <c r="H182" s="5">
        <f>SUM(H111)</f>
        <v>0</v>
      </c>
      <c r="I182" s="5">
        <f t="shared" si="16"/>
        <v>0</v>
      </c>
      <c r="J182" s="4" t="s">
        <v>5531</v>
      </c>
      <c r="K182" s="5">
        <f>SUM(K111)</f>
        <v>0</v>
      </c>
      <c r="L182" s="10">
        <f>IF($B$2="-",0,IFERROR(INDEX(IF($B$2="SV",'Projekt-Budget-Übersicht'!$H:$H,IF($B$2="CAD",'Projekt-Budget-Übersicht'!$I:$I,IF($B$2="ADM",'Projekt-Budget-Übersicht'!$J:$J,'Projekt-Budget-Übersicht'!$H:$H))),MATCH(4699,'Projekt-Budget-Übersicht'!$L:$L,0)),0))</f>
        <v>0</v>
      </c>
      <c r="M182" s="10">
        <f t="shared" si="17"/>
        <v>0</v>
      </c>
      <c r="N182" s="10">
        <f t="shared" si="18"/>
        <v>0</v>
      </c>
      <c r="O182" s="10">
        <f t="shared" si="19"/>
        <v>0</v>
      </c>
      <c r="P182" s="10">
        <f>'A. Kokott'!M182</f>
        <v>0</v>
      </c>
      <c r="Q182" s="10">
        <f>IFERROR(INDEX('Projekt-Budget-Übersicht'!$E:$E,MATCH(4699,'Projekt-Budget-Übersicht'!$L:$L,0)),0)</f>
        <v>0</v>
      </c>
      <c r="R182" s="10">
        <v>107.5</v>
      </c>
      <c r="S182" s="4"/>
      <c r="T182" s="4"/>
      <c r="U182" s="4"/>
    </row>
    <row r="183" spans="1:21" x14ac:dyDescent="0.25">
      <c r="A183" s="4" t="s">
        <v>4757</v>
      </c>
      <c r="B183" s="4" t="s">
        <v>5484</v>
      </c>
      <c r="C183" s="4" t="str">
        <f>IFERROR(INDEX('Projekt-Budget-Übersicht'!$C:$C,MATCH(4775,'Projekt-Budget-Übersicht'!$L:$L,0)),"")</f>
        <v/>
      </c>
      <c r="D183" s="4">
        <v>1</v>
      </c>
      <c r="E183" s="4">
        <v>1.5</v>
      </c>
      <c r="F183" s="5">
        <f>SUM(F55,I55,K55)</f>
        <v>0.5</v>
      </c>
      <c r="G183" s="15">
        <v>150</v>
      </c>
      <c r="H183" s="5">
        <f>SUM(H55)</f>
        <v>0</v>
      </c>
      <c r="I183" s="5">
        <f t="shared" si="16"/>
        <v>0</v>
      </c>
      <c r="J183" s="4" t="s">
        <v>5531</v>
      </c>
      <c r="K183" s="5">
        <f>SUM(K55)</f>
        <v>0</v>
      </c>
      <c r="L183" s="10">
        <f>IF($B$2="-",0,IFERROR(INDEX(IF($B$2="SV",'Projekt-Budget-Übersicht'!$H:$H,IF($B$2="CAD",'Projekt-Budget-Übersicht'!$I:$I,IF($B$2="ADM",'Projekt-Budget-Übersicht'!$J:$J,'Projekt-Budget-Übersicht'!$H:$H))),MATCH(4775,'Projekt-Budget-Übersicht'!$L:$L,0)),0))</f>
        <v>0</v>
      </c>
      <c r="M183" s="10">
        <f t="shared" si="17"/>
        <v>0</v>
      </c>
      <c r="N183" s="10">
        <f t="shared" si="18"/>
        <v>0</v>
      </c>
      <c r="O183" s="10">
        <f t="shared" si="19"/>
        <v>0</v>
      </c>
      <c r="P183" s="10">
        <f>'A. Kokott'!M183</f>
        <v>0</v>
      </c>
      <c r="Q183" s="10">
        <f>IFERROR(INDEX('Projekt-Budget-Übersicht'!$E:$E,MATCH(4775,'Projekt-Budget-Übersicht'!$L:$L,0)),0)</f>
        <v>0</v>
      </c>
      <c r="R183" s="10">
        <v>687.5</v>
      </c>
      <c r="S183" s="4"/>
      <c r="T183" s="4"/>
      <c r="U183" s="4"/>
    </row>
    <row r="184" spans="1:21" x14ac:dyDescent="0.25">
      <c r="A184" s="4" t="s">
        <v>4758</v>
      </c>
      <c r="B184" s="4" t="s">
        <v>5484</v>
      </c>
      <c r="C184" s="4" t="str">
        <f>IFERROR(INDEX('Projekt-Budget-Übersicht'!$C:$C,MATCH(4776,'Projekt-Budget-Übersicht'!$L:$L,0)),"")</f>
        <v/>
      </c>
      <c r="D184" s="4">
        <v>1.5</v>
      </c>
      <c r="E184" s="4">
        <v>1.75</v>
      </c>
      <c r="F184" s="5">
        <f>SUM(F112,I112,K112)</f>
        <v>0.5</v>
      </c>
      <c r="G184" s="15">
        <v>116.67</v>
      </c>
      <c r="H184" s="5">
        <f>SUM(H112)</f>
        <v>0</v>
      </c>
      <c r="I184" s="5">
        <f t="shared" si="16"/>
        <v>0</v>
      </c>
      <c r="J184" s="4" t="s">
        <v>5531</v>
      </c>
      <c r="K184" s="5">
        <f>SUM(K112)</f>
        <v>0</v>
      </c>
      <c r="L184" s="10">
        <f>IF($B$2="-",0,IFERROR(INDEX(IF($B$2="SV",'Projekt-Budget-Übersicht'!$H:$H,IF($B$2="CAD",'Projekt-Budget-Übersicht'!$I:$I,IF($B$2="ADM",'Projekt-Budget-Übersicht'!$J:$J,'Projekt-Budget-Übersicht'!$H:$H))),MATCH(4776,'Projekt-Budget-Übersicht'!$L:$L,0)),0))</f>
        <v>0</v>
      </c>
      <c r="M184" s="10">
        <f t="shared" si="17"/>
        <v>0</v>
      </c>
      <c r="N184" s="10">
        <f t="shared" si="18"/>
        <v>0</v>
      </c>
      <c r="O184" s="10">
        <f t="shared" si="19"/>
        <v>0</v>
      </c>
      <c r="P184" s="10">
        <f>'A. Kokott'!M184</f>
        <v>0</v>
      </c>
      <c r="Q184" s="10">
        <f>IFERROR(INDEX('Projekt-Budget-Übersicht'!$E:$E,MATCH(4776,'Projekt-Budget-Übersicht'!$L:$L,0)),0)</f>
        <v>0</v>
      </c>
      <c r="R184" s="10">
        <v>35</v>
      </c>
      <c r="S184" s="4"/>
      <c r="T184" s="4"/>
      <c r="U184" s="4"/>
    </row>
    <row r="185" spans="1:21" x14ac:dyDescent="0.25">
      <c r="A185" s="4" t="s">
        <v>4785</v>
      </c>
      <c r="B185" s="4" t="s">
        <v>5484</v>
      </c>
      <c r="C185" s="4" t="str">
        <f>IFERROR(INDEX('Projekt-Budget-Übersicht'!$C:$C,MATCH(4792,'Projekt-Budget-Übersicht'!$L:$L,0)),"")</f>
        <v/>
      </c>
      <c r="D185" s="4">
        <v>1</v>
      </c>
      <c r="E185" s="4">
        <v>0.5</v>
      </c>
      <c r="F185" s="5">
        <f>SUM(F56,I56,K56)</f>
        <v>0.5</v>
      </c>
      <c r="G185" s="16">
        <v>50</v>
      </c>
      <c r="H185" s="5">
        <f>SUM(H56)</f>
        <v>0</v>
      </c>
      <c r="I185" s="5">
        <f t="shared" si="16"/>
        <v>0</v>
      </c>
      <c r="J185" s="4" t="s">
        <v>5531</v>
      </c>
      <c r="K185" s="5">
        <f>SUM(K56)</f>
        <v>0</v>
      </c>
      <c r="L185" s="10">
        <f>IF($B$2="-",0,IFERROR(INDEX(IF($B$2="SV",'Projekt-Budget-Übersicht'!$H:$H,IF($B$2="CAD",'Projekt-Budget-Übersicht'!$I:$I,IF($B$2="ADM",'Projekt-Budget-Übersicht'!$J:$J,'Projekt-Budget-Übersicht'!$H:$H))),MATCH(4792,'Projekt-Budget-Übersicht'!$L:$L,0)),0))</f>
        <v>0</v>
      </c>
      <c r="M185" s="10">
        <f t="shared" si="17"/>
        <v>0</v>
      </c>
      <c r="N185" s="10">
        <f t="shared" si="18"/>
        <v>0</v>
      </c>
      <c r="O185" s="10">
        <f t="shared" si="19"/>
        <v>0</v>
      </c>
      <c r="P185" s="10">
        <f>'A. Kokott'!M185</f>
        <v>0</v>
      </c>
      <c r="Q185" s="10">
        <f>IFERROR(INDEX('Projekt-Budget-Übersicht'!$E:$E,MATCH(4792,'Projekt-Budget-Übersicht'!$L:$L,0)),0)</f>
        <v>0</v>
      </c>
      <c r="R185" s="10">
        <v>330.82</v>
      </c>
      <c r="S185" s="4"/>
      <c r="T185" s="4"/>
      <c r="U185" s="4"/>
    </row>
    <row r="186" spans="1:21" x14ac:dyDescent="0.25">
      <c r="A186" s="4" t="s">
        <v>4797</v>
      </c>
      <c r="B186" s="4" t="s">
        <v>5484</v>
      </c>
      <c r="C186" s="4" t="str">
        <f>IFERROR(INDEX('Projekt-Budget-Übersicht'!$C:$C,MATCH(4803,'Projekt-Budget-Übersicht'!$L:$L,0)),"")</f>
        <v/>
      </c>
      <c r="D186" s="4">
        <v>1</v>
      </c>
      <c r="E186" s="4">
        <v>1.25</v>
      </c>
      <c r="F186" s="5">
        <f>SUM(F57,I57,K57)</f>
        <v>0.5</v>
      </c>
      <c r="G186" s="15">
        <v>125</v>
      </c>
      <c r="H186" s="5">
        <f>SUM(H57)</f>
        <v>0</v>
      </c>
      <c r="I186" s="5">
        <f t="shared" si="16"/>
        <v>0</v>
      </c>
      <c r="J186" s="4" t="s">
        <v>5531</v>
      </c>
      <c r="K186" s="5">
        <f>SUM(K57)</f>
        <v>0</v>
      </c>
      <c r="L186" s="10">
        <f>IF($B$2="-",0,IFERROR(INDEX(IF($B$2="SV",'Projekt-Budget-Übersicht'!$H:$H,IF($B$2="CAD",'Projekt-Budget-Übersicht'!$I:$I,IF($B$2="ADM",'Projekt-Budget-Übersicht'!$J:$J,'Projekt-Budget-Übersicht'!$H:$H))),MATCH(4803,'Projekt-Budget-Übersicht'!$L:$L,0)),0))</f>
        <v>0</v>
      </c>
      <c r="M186" s="10">
        <f t="shared" si="17"/>
        <v>0</v>
      </c>
      <c r="N186" s="10">
        <f t="shared" si="18"/>
        <v>0</v>
      </c>
      <c r="O186" s="10">
        <f t="shared" si="19"/>
        <v>0</v>
      </c>
      <c r="P186" s="10">
        <f>'A. Kokott'!M186</f>
        <v>0</v>
      </c>
      <c r="Q186" s="10">
        <f>IFERROR(INDEX('Projekt-Budget-Übersicht'!$E:$E,MATCH(4803,'Projekt-Budget-Übersicht'!$L:$L,0)),0)</f>
        <v>0</v>
      </c>
      <c r="R186" s="10">
        <v>330.82</v>
      </c>
      <c r="S186" s="4"/>
      <c r="T186" s="4"/>
      <c r="U186" s="4"/>
    </row>
    <row r="187" spans="1:21" x14ac:dyDescent="0.25">
      <c r="A187" s="21" t="s">
        <v>4799</v>
      </c>
      <c r="B187" s="4" t="s">
        <v>5485</v>
      </c>
      <c r="C187" s="4" t="str">
        <f>IFERROR(INDEX('Projekt-Budget-Übersicht'!$C:$C,MATCH(4805,'Projekt-Budget-Übersicht'!$L:$L,0)),"")</f>
        <v/>
      </c>
      <c r="D187" s="4">
        <v>20</v>
      </c>
      <c r="E187" s="4">
        <v>19.25</v>
      </c>
      <c r="F187" s="5">
        <f>SUM(F58,I58,K58)</f>
        <v>0.5</v>
      </c>
      <c r="G187" s="14">
        <v>96.25</v>
      </c>
      <c r="H187" s="5">
        <f>SUM(H58)</f>
        <v>0</v>
      </c>
      <c r="I187" s="5">
        <f t="shared" si="16"/>
        <v>0</v>
      </c>
      <c r="J187" s="4" t="s">
        <v>5531</v>
      </c>
      <c r="K187" s="5">
        <f>SUM(K58)</f>
        <v>0</v>
      </c>
      <c r="L187" s="10">
        <f>IF($B$2="-",0,IFERROR(INDEX(IF($B$2="SV",'Projekt-Budget-Übersicht'!$H:$H,IF($B$2="CAD",'Projekt-Budget-Übersicht'!$I:$I,IF($B$2="ADM",'Projekt-Budget-Übersicht'!$J:$J,'Projekt-Budget-Übersicht'!$H:$H))),MATCH(4805,'Projekt-Budget-Übersicht'!$L:$L,0)),0))</f>
        <v>0</v>
      </c>
      <c r="M187" s="10">
        <f t="shared" si="17"/>
        <v>0</v>
      </c>
      <c r="N187" s="10">
        <f t="shared" si="18"/>
        <v>0</v>
      </c>
      <c r="O187" s="10">
        <f t="shared" si="19"/>
        <v>0</v>
      </c>
      <c r="P187" s="10">
        <f>'A. Kokott'!M187+'R. Böttiger'!M103</f>
        <v>0</v>
      </c>
      <c r="Q187" s="10">
        <f>IFERROR(INDEX('Projekt-Budget-Übersicht'!$E:$E,MATCH(4805,'Projekt-Budget-Übersicht'!$L:$L,0)),0)</f>
        <v>0</v>
      </c>
      <c r="R187" s="10">
        <v>55</v>
      </c>
      <c r="S187" s="4"/>
      <c r="T187" s="4"/>
      <c r="U187" s="4"/>
    </row>
    <row r="188" spans="1:21" x14ac:dyDescent="0.25">
      <c r="A188" s="22"/>
      <c r="B188" s="4" t="s">
        <v>5521</v>
      </c>
      <c r="C188" s="4" t="str">
        <f>IFERROR(INDEX('Projekt-Budget-Übersicht'!$C:$C,MATCH(4806,'Projekt-Budget-Übersicht'!$L:$L,0)),"")</f>
        <v/>
      </c>
      <c r="D188" s="4">
        <v>15</v>
      </c>
      <c r="E188" s="4">
        <v>0.5</v>
      </c>
      <c r="F188" s="5">
        <f>SUM(F113,I113,K113)</f>
        <v>0.5</v>
      </c>
      <c r="G188" s="16">
        <v>3.33</v>
      </c>
      <c r="H188" s="5">
        <f>SUM(H113)</f>
        <v>0</v>
      </c>
      <c r="I188" s="5">
        <f t="shared" si="16"/>
        <v>0</v>
      </c>
      <c r="J188" s="4" t="s">
        <v>5531</v>
      </c>
      <c r="K188" s="5">
        <f>SUM(K113)</f>
        <v>0</v>
      </c>
      <c r="L188" s="10">
        <f>IF($B$2="-",0,IFERROR(INDEX(IF($B$2="SV",'Projekt-Budget-Übersicht'!$H:$H,IF($B$2="CAD",'Projekt-Budget-Übersicht'!$I:$I,IF($B$2="ADM",'Projekt-Budget-Übersicht'!$J:$J,'Projekt-Budget-Übersicht'!$H:$H))),MATCH(4806,'Projekt-Budget-Übersicht'!$L:$L,0)),0))</f>
        <v>0</v>
      </c>
      <c r="M188" s="10">
        <f t="shared" si="17"/>
        <v>0</v>
      </c>
      <c r="N188" s="10">
        <f t="shared" si="18"/>
        <v>0</v>
      </c>
      <c r="O188" s="10">
        <f t="shared" si="19"/>
        <v>0</v>
      </c>
      <c r="P188" s="10">
        <f>'A. Kokott'!M188</f>
        <v>0</v>
      </c>
      <c r="Q188" s="10">
        <f>IFERROR(INDEX('Projekt-Budget-Übersicht'!$E:$E,MATCH(4806,'Projekt-Budget-Übersicht'!$L:$L,0)),0)</f>
        <v>0</v>
      </c>
      <c r="R188" s="10">
        <v>17.5</v>
      </c>
      <c r="S188" s="4"/>
      <c r="T188" s="4"/>
      <c r="U188" s="4"/>
    </row>
    <row r="189" spans="1:21" x14ac:dyDescent="0.25">
      <c r="A189" s="4" t="s">
        <v>4809</v>
      </c>
      <c r="B189" s="4" t="s">
        <v>5485</v>
      </c>
      <c r="C189" s="4" t="str">
        <f>IFERROR(INDEX('Projekt-Budget-Übersicht'!$C:$C,MATCH(4813,'Projekt-Budget-Übersicht'!$L:$L,0)),"")</f>
        <v/>
      </c>
      <c r="D189" s="4">
        <v>20</v>
      </c>
      <c r="E189" s="4">
        <v>21</v>
      </c>
      <c r="F189" s="5">
        <f>SUM(F59,I59,K59)</f>
        <v>0.5</v>
      </c>
      <c r="G189" s="15">
        <v>105</v>
      </c>
      <c r="H189" s="5">
        <f>SUM(H59)</f>
        <v>0</v>
      </c>
      <c r="I189" s="5">
        <f t="shared" si="16"/>
        <v>0</v>
      </c>
      <c r="J189" s="4" t="s">
        <v>5531</v>
      </c>
      <c r="K189" s="5">
        <f>SUM(K59)</f>
        <v>0</v>
      </c>
      <c r="L189" s="10">
        <f>IF($B$2="-",0,IFERROR(INDEX(IF($B$2="SV",'Projekt-Budget-Übersicht'!$H:$H,IF($B$2="CAD",'Projekt-Budget-Übersicht'!$I:$I,IF($B$2="ADM",'Projekt-Budget-Übersicht'!$J:$J,'Projekt-Budget-Übersicht'!$H:$H))),MATCH(4813,'Projekt-Budget-Übersicht'!$L:$L,0)),0))</f>
        <v>0</v>
      </c>
      <c r="M189" s="10">
        <f t="shared" si="17"/>
        <v>0</v>
      </c>
      <c r="N189" s="10">
        <f t="shared" si="18"/>
        <v>0</v>
      </c>
      <c r="O189" s="10">
        <f t="shared" si="19"/>
        <v>0</v>
      </c>
      <c r="P189" s="10">
        <f>'A. Kokott'!M189+'H. Bektas'!M84+'J. Dorn'!M155</f>
        <v>0</v>
      </c>
      <c r="Q189" s="10">
        <f>IFERROR(INDEX('Projekt-Budget-Übersicht'!$E:$E,MATCH(4813,'Projekt-Budget-Übersicht'!$L:$L,0)),0)</f>
        <v>0</v>
      </c>
      <c r="R189" s="10">
        <v>440</v>
      </c>
      <c r="S189" s="4"/>
      <c r="T189" s="4"/>
      <c r="U189" s="4"/>
    </row>
    <row r="190" spans="1:21" x14ac:dyDescent="0.25">
      <c r="A190" s="4" t="s">
        <v>4818</v>
      </c>
      <c r="B190" s="4" t="s">
        <v>5484</v>
      </c>
      <c r="C190" s="4" t="str">
        <f>IFERROR(INDEX('Projekt-Budget-Übersicht'!$C:$C,MATCH(4820,'Projekt-Budget-Übersicht'!$L:$L,0)),"")</f>
        <v/>
      </c>
      <c r="D190" s="4">
        <v>60</v>
      </c>
      <c r="E190" s="4">
        <v>1</v>
      </c>
      <c r="F190" s="5">
        <f>SUM(F60,I60,K60)</f>
        <v>1</v>
      </c>
      <c r="G190" s="16">
        <v>1.67</v>
      </c>
      <c r="H190" s="5">
        <f>SUM(H60)</f>
        <v>0</v>
      </c>
      <c r="I190" s="5">
        <f t="shared" si="16"/>
        <v>0</v>
      </c>
      <c r="J190" s="4" t="s">
        <v>5531</v>
      </c>
      <c r="K190" s="5">
        <f>SUM(K60)</f>
        <v>0</v>
      </c>
      <c r="L190" s="10">
        <f>IF($B$2="-",0,IFERROR(INDEX(IF($B$2="SV",'Projekt-Budget-Übersicht'!$H:$H,IF($B$2="CAD",'Projekt-Budget-Übersicht'!$I:$I,IF($B$2="ADM",'Projekt-Budget-Übersicht'!$J:$J,'Projekt-Budget-Übersicht'!$H:$H))),MATCH(4820,'Projekt-Budget-Übersicht'!$L:$L,0)),0))</f>
        <v>0</v>
      </c>
      <c r="M190" s="10">
        <f t="shared" si="17"/>
        <v>0</v>
      </c>
      <c r="N190" s="10">
        <f t="shared" si="18"/>
        <v>0</v>
      </c>
      <c r="O190" s="10">
        <f t="shared" si="19"/>
        <v>0</v>
      </c>
      <c r="P190" s="10">
        <f>'A. Kokott'!M190</f>
        <v>0</v>
      </c>
      <c r="Q190" s="10">
        <f>IFERROR(INDEX('Projekt-Budget-Übersicht'!$E:$E,MATCH(4820,'Projekt-Budget-Übersicht'!$L:$L,0)),0)</f>
        <v>0</v>
      </c>
      <c r="R190" s="10">
        <v>335.82</v>
      </c>
      <c r="S190" s="4"/>
      <c r="T190" s="4"/>
      <c r="U190" s="4"/>
    </row>
    <row r="191" spans="1:21" x14ac:dyDescent="0.25">
      <c r="A191" s="21" t="s">
        <v>5506</v>
      </c>
      <c r="B191" s="4" t="s">
        <v>5507</v>
      </c>
      <c r="C191" s="4" t="str">
        <f>IFERROR(INDEX('Projekt-Budget-Übersicht'!$C:$C,MATCH(4888,'Projekt-Budget-Übersicht'!$L:$L,0)),"")</f>
        <v/>
      </c>
      <c r="D191" s="4">
        <v>10</v>
      </c>
      <c r="E191" s="4">
        <v>11.5</v>
      </c>
      <c r="F191" s="5">
        <f>SUM(F61,I61,K61)</f>
        <v>0.5</v>
      </c>
      <c r="G191" s="15">
        <v>115</v>
      </c>
      <c r="H191" s="5">
        <f>SUM(H61)</f>
        <v>0</v>
      </c>
      <c r="I191" s="5">
        <f t="shared" si="16"/>
        <v>0</v>
      </c>
      <c r="J191" s="4" t="s">
        <v>5531</v>
      </c>
      <c r="K191" s="5">
        <f>SUM(K61)</f>
        <v>0</v>
      </c>
      <c r="L191" s="10">
        <f>IF($B$2="-",0,IFERROR(INDEX(IF($B$2="SV",'Projekt-Budget-Übersicht'!$H:$H,IF($B$2="CAD",'Projekt-Budget-Übersicht'!$I:$I,IF($B$2="ADM",'Projekt-Budget-Übersicht'!$J:$J,'Projekt-Budget-Übersicht'!$H:$H))),MATCH(4888,'Projekt-Budget-Übersicht'!$L:$L,0)),0))</f>
        <v>0</v>
      </c>
      <c r="M191" s="10">
        <f t="shared" si="17"/>
        <v>0</v>
      </c>
      <c r="N191" s="10">
        <f t="shared" si="18"/>
        <v>0</v>
      </c>
      <c r="O191" s="10">
        <f t="shared" si="19"/>
        <v>0</v>
      </c>
      <c r="P191" s="10">
        <f>'A. Kokott'!M191</f>
        <v>0</v>
      </c>
      <c r="Q191" s="10">
        <f>IFERROR(INDEX('Projekt-Budget-Übersicht'!$E:$E,MATCH(4888,'Projekt-Budget-Übersicht'!$L:$L,0)),0)</f>
        <v>0</v>
      </c>
      <c r="R191" s="10">
        <v>107.5</v>
      </c>
      <c r="S191" s="4"/>
      <c r="T191" s="4"/>
      <c r="U191" s="4"/>
    </row>
    <row r="192" spans="1:21" x14ac:dyDescent="0.25">
      <c r="A192" s="22"/>
      <c r="B192" s="4" t="s">
        <v>5508</v>
      </c>
      <c r="C192" s="4" t="str">
        <f>IFERROR(INDEX('Projekt-Budget-Übersicht'!$C:$C,MATCH(4890,'Projekt-Budget-Übersicht'!$L:$L,0)),"")</f>
        <v/>
      </c>
      <c r="D192" s="4">
        <v>10</v>
      </c>
      <c r="E192" s="4">
        <v>10</v>
      </c>
      <c r="F192" s="5">
        <f>SUM(F62,I62,K62)</f>
        <v>0.5</v>
      </c>
      <c r="G192" s="14">
        <v>100</v>
      </c>
      <c r="H192" s="5">
        <f>SUM(H62)</f>
        <v>0</v>
      </c>
      <c r="I192" s="5">
        <f t="shared" si="16"/>
        <v>0</v>
      </c>
      <c r="J192" s="4" t="s">
        <v>5531</v>
      </c>
      <c r="K192" s="5">
        <f>SUM(K62)</f>
        <v>0</v>
      </c>
      <c r="L192" s="10">
        <f>IF($B$2="-",0,IFERROR(INDEX(IF($B$2="SV",'Projekt-Budget-Übersicht'!$H:$H,IF($B$2="CAD",'Projekt-Budget-Übersicht'!$I:$I,IF($B$2="ADM",'Projekt-Budget-Übersicht'!$J:$J,'Projekt-Budget-Übersicht'!$H:$H))),MATCH(4890,'Projekt-Budget-Übersicht'!$L:$L,0)),0))</f>
        <v>0</v>
      </c>
      <c r="M192" s="10">
        <f t="shared" si="17"/>
        <v>0</v>
      </c>
      <c r="N192" s="10">
        <f t="shared" si="18"/>
        <v>0</v>
      </c>
      <c r="O192" s="10">
        <f t="shared" si="19"/>
        <v>0</v>
      </c>
      <c r="P192" s="10">
        <f>'A. Kokott'!M192+'H. Bektas'!M86</f>
        <v>0</v>
      </c>
      <c r="Q192" s="10">
        <f>IFERROR(INDEX('Projekt-Budget-Übersicht'!$E:$E,MATCH(4890,'Projekt-Budget-Übersicht'!$L:$L,0)),0)</f>
        <v>0</v>
      </c>
      <c r="R192" s="10">
        <v>17.5</v>
      </c>
      <c r="S192" s="4"/>
      <c r="T192" s="4"/>
      <c r="U192" s="4"/>
    </row>
    <row r="193" spans="1:21" x14ac:dyDescent="0.25">
      <c r="A193" s="4" t="s">
        <v>4911</v>
      </c>
      <c r="B193" s="4" t="s">
        <v>5484</v>
      </c>
      <c r="C193" s="4" t="str">
        <f>IFERROR(INDEX('Projekt-Budget-Übersicht'!$C:$C,MATCH(4897,'Projekt-Budget-Übersicht'!$L:$L,0)),"")</f>
        <v/>
      </c>
      <c r="D193" s="4">
        <v>1</v>
      </c>
      <c r="E193" s="4">
        <v>1.25</v>
      </c>
      <c r="F193" s="5">
        <f>SUM(F63,I63,K63)</f>
        <v>0.5</v>
      </c>
      <c r="G193" s="15">
        <v>125</v>
      </c>
      <c r="H193" s="5">
        <f>SUM(H63)</f>
        <v>0</v>
      </c>
      <c r="I193" s="5">
        <f t="shared" si="16"/>
        <v>0</v>
      </c>
      <c r="J193" s="4" t="s">
        <v>5531</v>
      </c>
      <c r="K193" s="5">
        <f>SUM(K63)</f>
        <v>0</v>
      </c>
      <c r="L193" s="10">
        <f>IF($B$2="-",0,IFERROR(INDEX(IF($B$2="SV",'Projekt-Budget-Übersicht'!$H:$H,IF($B$2="CAD",'Projekt-Budget-Übersicht'!$I:$I,IF($B$2="ADM",'Projekt-Budget-Übersicht'!$J:$J,'Projekt-Budget-Übersicht'!$H:$H))),MATCH(4897,'Projekt-Budget-Übersicht'!$L:$L,0)),0))</f>
        <v>0</v>
      </c>
      <c r="M193" s="10">
        <f t="shared" si="17"/>
        <v>0</v>
      </c>
      <c r="N193" s="10">
        <f t="shared" si="18"/>
        <v>0</v>
      </c>
      <c r="O193" s="10">
        <f t="shared" si="19"/>
        <v>0</v>
      </c>
      <c r="P193" s="10">
        <f>'A. Kokott'!M193</f>
        <v>0</v>
      </c>
      <c r="Q193" s="10">
        <f>IFERROR(INDEX('Projekt-Budget-Übersicht'!$E:$E,MATCH(4897,'Projekt-Budget-Übersicht'!$L:$L,0)),0)</f>
        <v>0</v>
      </c>
      <c r="R193" s="10">
        <v>267.5</v>
      </c>
      <c r="S193" s="4"/>
      <c r="T193" s="4"/>
      <c r="U193" s="4"/>
    </row>
    <row r="194" spans="1:21" x14ac:dyDescent="0.25">
      <c r="A194" s="4" t="s">
        <v>4929</v>
      </c>
      <c r="B194" s="4" t="s">
        <v>5484</v>
      </c>
      <c r="C194" s="4" t="str">
        <f>IFERROR(INDEX('Projekt-Budget-Übersicht'!$C:$C,MATCH(4909,'Projekt-Budget-Übersicht'!$L:$L,0)),"")</f>
        <v/>
      </c>
      <c r="D194" s="4">
        <v>1</v>
      </c>
      <c r="E194" s="4">
        <v>1.5</v>
      </c>
      <c r="F194" s="5">
        <f>SUM(F114,I114,K114)</f>
        <v>0.5</v>
      </c>
      <c r="G194" s="15">
        <v>150</v>
      </c>
      <c r="H194" s="5">
        <f>SUM(H114)</f>
        <v>0</v>
      </c>
      <c r="I194" s="5">
        <f t="shared" si="16"/>
        <v>0</v>
      </c>
      <c r="J194" s="4" t="s">
        <v>5531</v>
      </c>
      <c r="K194" s="5">
        <f>SUM(K114)</f>
        <v>0</v>
      </c>
      <c r="L194" s="10">
        <f>IF($B$2="-",0,IFERROR(INDEX(IF($B$2="SV",'Projekt-Budget-Übersicht'!$H:$H,IF($B$2="CAD",'Projekt-Budget-Übersicht'!$I:$I,IF($B$2="ADM",'Projekt-Budget-Übersicht'!$J:$J,'Projekt-Budget-Übersicht'!$H:$H))),MATCH(4909,'Projekt-Budget-Übersicht'!$L:$L,0)),0))</f>
        <v>0</v>
      </c>
      <c r="M194" s="10">
        <f t="shared" si="17"/>
        <v>0</v>
      </c>
      <c r="N194" s="10">
        <f t="shared" si="18"/>
        <v>0</v>
      </c>
      <c r="O194" s="10">
        <f t="shared" si="19"/>
        <v>0</v>
      </c>
      <c r="P194" s="10">
        <f>'A. Kokott'!M194</f>
        <v>0</v>
      </c>
      <c r="Q194" s="10">
        <f>IFERROR(INDEX('Projekt-Budget-Übersicht'!$E:$E,MATCH(4909,'Projekt-Budget-Übersicht'!$L:$L,0)),0)</f>
        <v>0</v>
      </c>
      <c r="R194" s="10">
        <v>866.58</v>
      </c>
      <c r="S194" s="4"/>
      <c r="T194" s="4"/>
      <c r="U194" s="4"/>
    </row>
    <row r="195" spans="1:21" x14ac:dyDescent="0.25">
      <c r="A195" s="4" t="s">
        <v>4949</v>
      </c>
      <c r="B195" s="4" t="s">
        <v>5522</v>
      </c>
      <c r="C195" s="4" t="str">
        <f>IFERROR(INDEX('Projekt-Budget-Übersicht'!$C:$C,MATCH(4926,'Projekt-Budget-Übersicht'!$L:$L,0)),"")</f>
        <v/>
      </c>
      <c r="D195" s="4">
        <v>70</v>
      </c>
      <c r="E195" s="4">
        <v>37.25</v>
      </c>
      <c r="F195" s="5">
        <f>SUM(F115,I115,K115)</f>
        <v>0.5</v>
      </c>
      <c r="G195" s="16">
        <v>53.21</v>
      </c>
      <c r="H195" s="5">
        <f>SUM(H115)</f>
        <v>0</v>
      </c>
      <c r="I195" s="5">
        <f t="shared" si="16"/>
        <v>0</v>
      </c>
      <c r="J195" s="4" t="s">
        <v>5531</v>
      </c>
      <c r="K195" s="5">
        <f>SUM(K115)</f>
        <v>0</v>
      </c>
      <c r="L195" s="10">
        <f>IF($B$2="-",0,IFERROR(INDEX(IF($B$2="SV",'Projekt-Budget-Übersicht'!$H:$H,IF($B$2="CAD",'Projekt-Budget-Übersicht'!$I:$I,IF($B$2="ADM",'Projekt-Budget-Übersicht'!$J:$J,'Projekt-Budget-Übersicht'!$H:$H))),MATCH(4926,'Projekt-Budget-Übersicht'!$L:$L,0)),0))</f>
        <v>0</v>
      </c>
      <c r="M195" s="10">
        <f t="shared" si="17"/>
        <v>0</v>
      </c>
      <c r="N195" s="10">
        <f t="shared" si="18"/>
        <v>0</v>
      </c>
      <c r="O195" s="10">
        <f t="shared" si="19"/>
        <v>0</v>
      </c>
      <c r="P195" s="10">
        <f>'A. Kokott'!M195+'R. Böttiger'!M104</f>
        <v>0</v>
      </c>
      <c r="Q195" s="10">
        <f>IFERROR(INDEX('Projekt-Budget-Übersicht'!$E:$E,MATCH(4926,'Projekt-Budget-Übersicht'!$L:$L,0)),0)</f>
        <v>0</v>
      </c>
      <c r="R195" s="10">
        <v>17.5</v>
      </c>
      <c r="S195" s="4"/>
      <c r="T195" s="4"/>
      <c r="U195" s="4"/>
    </row>
    <row r="196" spans="1:21" x14ac:dyDescent="0.25">
      <c r="A196" s="4" t="s">
        <v>4954</v>
      </c>
      <c r="B196" s="4" t="s">
        <v>5484</v>
      </c>
      <c r="C196" s="4" t="str">
        <f>IFERROR(INDEX('Projekt-Budget-Übersicht'!$C:$C,MATCH(4930,'Projekt-Budget-Übersicht'!$L:$L,0)),"")</f>
        <v/>
      </c>
      <c r="D196" s="4">
        <v>1</v>
      </c>
      <c r="E196" s="4">
        <v>1.25</v>
      </c>
      <c r="F196" s="5">
        <f>SUM(F64,I64,K64)</f>
        <v>0.5</v>
      </c>
      <c r="G196" s="15">
        <v>125</v>
      </c>
      <c r="H196" s="5">
        <f>SUM(H64)</f>
        <v>0</v>
      </c>
      <c r="I196" s="5">
        <f t="shared" si="16"/>
        <v>0</v>
      </c>
      <c r="J196" s="4" t="s">
        <v>5531</v>
      </c>
      <c r="K196" s="5">
        <f>SUM(K64)</f>
        <v>0</v>
      </c>
      <c r="L196" s="10">
        <f>IF($B$2="-",0,IFERROR(INDEX(IF($B$2="SV",'Projekt-Budget-Übersicht'!$H:$H,IF($B$2="CAD",'Projekt-Budget-Übersicht'!$I:$I,IF($B$2="ADM",'Projekt-Budget-Übersicht'!$J:$J,'Projekt-Budget-Übersicht'!$H:$H))),MATCH(4930,'Projekt-Budget-Übersicht'!$L:$L,0)),0))</f>
        <v>0</v>
      </c>
      <c r="M196" s="10">
        <f t="shared" si="17"/>
        <v>0</v>
      </c>
      <c r="N196" s="10">
        <f t="shared" si="18"/>
        <v>0</v>
      </c>
      <c r="O196" s="10">
        <f t="shared" si="19"/>
        <v>0</v>
      </c>
      <c r="P196" s="10">
        <f>'A. Kokott'!M196</f>
        <v>0</v>
      </c>
      <c r="Q196" s="10">
        <f>IFERROR(INDEX('Projekt-Budget-Übersicht'!$E:$E,MATCH(4930,'Projekt-Budget-Übersicht'!$L:$L,0)),0)</f>
        <v>0</v>
      </c>
      <c r="R196" s="10">
        <v>85</v>
      </c>
      <c r="S196" s="4"/>
      <c r="T196" s="4"/>
      <c r="U196" s="4"/>
    </row>
    <row r="197" spans="1:21" x14ac:dyDescent="0.25">
      <c r="A197" s="4" t="s">
        <v>4958</v>
      </c>
      <c r="B197" s="4" t="s">
        <v>5484</v>
      </c>
      <c r="C197" s="4" t="str">
        <f>IFERROR(INDEX('Projekt-Budget-Übersicht'!$C:$C,MATCH(4932,'Projekt-Budget-Übersicht'!$L:$L,0)),"")</f>
        <v/>
      </c>
      <c r="D197" s="4">
        <v>1</v>
      </c>
      <c r="E197" s="4">
        <v>2.25</v>
      </c>
      <c r="F197" s="5">
        <f>SUM(F22,F65,I22,I65,K22,K65)</f>
        <v>1.5</v>
      </c>
      <c r="G197" s="15">
        <v>225</v>
      </c>
      <c r="H197" s="5">
        <f>SUM(H22,H65)</f>
        <v>0</v>
      </c>
      <c r="I197" s="5">
        <f t="shared" si="16"/>
        <v>0</v>
      </c>
      <c r="J197" s="4" t="s">
        <v>5531</v>
      </c>
      <c r="K197" s="5">
        <f>SUM(K22,K65)</f>
        <v>0</v>
      </c>
      <c r="L197" s="10">
        <f>IF($B$2="-",0,IFERROR(INDEX(IF($B$2="SV",'Projekt-Budget-Übersicht'!$H:$H,IF($B$2="CAD",'Projekt-Budget-Übersicht'!$I:$I,IF($B$2="ADM",'Projekt-Budget-Übersicht'!$J:$J,'Projekt-Budget-Übersicht'!$H:$H))),MATCH(4932,'Projekt-Budget-Übersicht'!$L:$L,0)),0))</f>
        <v>0</v>
      </c>
      <c r="M197" s="10">
        <f t="shared" si="17"/>
        <v>0</v>
      </c>
      <c r="N197" s="10">
        <f t="shared" si="18"/>
        <v>0</v>
      </c>
      <c r="O197" s="10">
        <f t="shared" si="19"/>
        <v>0</v>
      </c>
      <c r="P197" s="10">
        <f>'A. Kokott'!M197</f>
        <v>0</v>
      </c>
      <c r="Q197" s="10">
        <f>IFERROR(INDEX('Projekt-Budget-Übersicht'!$E:$E,MATCH(4932,'Projekt-Budget-Übersicht'!$L:$L,0)),0)</f>
        <v>0</v>
      </c>
      <c r="R197" s="10">
        <v>315.82</v>
      </c>
      <c r="S197" s="4"/>
      <c r="T197" s="4"/>
      <c r="U197" s="4"/>
    </row>
    <row r="198" spans="1:21" x14ac:dyDescent="0.25">
      <c r="A198" s="4" t="s">
        <v>4980</v>
      </c>
      <c r="B198" s="4" t="s">
        <v>5487</v>
      </c>
      <c r="C198" s="4" t="str">
        <f>IFERROR(INDEX('Projekt-Budget-Übersicht'!$C:$C,MATCH(4962,'Projekt-Budget-Übersicht'!$L:$L,0)),"")</f>
        <v/>
      </c>
      <c r="D198" s="4">
        <v>26</v>
      </c>
      <c r="E198" s="4">
        <v>42.75</v>
      </c>
      <c r="F198" s="5">
        <f>SUM(F116,I116,K116)</f>
        <v>0.5</v>
      </c>
      <c r="G198" s="15">
        <v>164.42</v>
      </c>
      <c r="H198" s="5">
        <f>SUM(H116)</f>
        <v>0</v>
      </c>
      <c r="I198" s="5">
        <f t="shared" si="16"/>
        <v>0</v>
      </c>
      <c r="J198" s="4" t="s">
        <v>5531</v>
      </c>
      <c r="K198" s="5">
        <f>SUM(K116)</f>
        <v>0</v>
      </c>
      <c r="L198" s="10">
        <f>IF($B$2="-",0,IFERROR(INDEX(IF($B$2="SV",'Projekt-Budget-Übersicht'!$H:$H,IF($B$2="CAD",'Projekt-Budget-Übersicht'!$I:$I,IF($B$2="ADM",'Projekt-Budget-Übersicht'!$J:$J,'Projekt-Budget-Übersicht'!$H:$H))),MATCH(4962,'Projekt-Budget-Übersicht'!$L:$L,0)),0))</f>
        <v>0</v>
      </c>
      <c r="M198" s="10">
        <f t="shared" si="17"/>
        <v>0</v>
      </c>
      <c r="N198" s="10">
        <f t="shared" si="18"/>
        <v>0</v>
      </c>
      <c r="O198" s="10">
        <f t="shared" si="19"/>
        <v>0</v>
      </c>
      <c r="P198" s="10">
        <f>'A. Kokott'!M198+'E. Bieler'!M109+'J. Dorchies'!M46+'M. Bandlofsky'!M103+'T. Trautmann'!M153</f>
        <v>0</v>
      </c>
      <c r="Q198" s="10">
        <f>IFERROR(INDEX('Projekt-Budget-Übersicht'!$E:$E,MATCH(4962,'Projekt-Budget-Übersicht'!$L:$L,0)),0)</f>
        <v>0</v>
      </c>
      <c r="R198" s="10">
        <v>606.65</v>
      </c>
      <c r="S198" s="4"/>
      <c r="T198" s="4"/>
      <c r="U198" s="4"/>
    </row>
    <row r="199" spans="1:21" x14ac:dyDescent="0.25">
      <c r="A199" s="4" t="s">
        <v>5033</v>
      </c>
      <c r="B199" s="4" t="s">
        <v>5484</v>
      </c>
      <c r="C199" s="4" t="str">
        <f>IFERROR(INDEX('Projekt-Budget-Übersicht'!$C:$C,MATCH(5015,'Projekt-Budget-Übersicht'!$L:$L,0)),"")</f>
        <v/>
      </c>
      <c r="D199" s="4">
        <v>1</v>
      </c>
      <c r="E199" s="4">
        <v>2.5</v>
      </c>
      <c r="F199" s="5">
        <f>SUM(F23,F66,I23,I66,K23,K66)</f>
        <v>1</v>
      </c>
      <c r="G199" s="15">
        <v>250</v>
      </c>
      <c r="H199" s="5">
        <f>SUM(H23,H66)</f>
        <v>0</v>
      </c>
      <c r="I199" s="5">
        <f t="shared" si="16"/>
        <v>0</v>
      </c>
      <c r="J199" s="4" t="s">
        <v>5531</v>
      </c>
      <c r="K199" s="5">
        <f>SUM(K23,K66)</f>
        <v>0</v>
      </c>
      <c r="L199" s="10">
        <f>IF($B$2="-",0,IFERROR(INDEX(IF($B$2="SV",'Projekt-Budget-Übersicht'!$H:$H,IF($B$2="CAD",'Projekt-Budget-Übersicht'!$I:$I,IF($B$2="ADM",'Projekt-Budget-Übersicht'!$J:$J,'Projekt-Budget-Übersicht'!$H:$H))),MATCH(5015,'Projekt-Budget-Übersicht'!$L:$L,0)),0))</f>
        <v>0</v>
      </c>
      <c r="M199" s="10">
        <f t="shared" si="17"/>
        <v>0</v>
      </c>
      <c r="N199" s="10">
        <f t="shared" si="18"/>
        <v>0</v>
      </c>
      <c r="O199" s="10">
        <f t="shared" si="19"/>
        <v>0</v>
      </c>
      <c r="P199" s="10">
        <f>'A. Kokott'!M199</f>
        <v>0</v>
      </c>
      <c r="Q199" s="10">
        <f>IFERROR(INDEX('Projekt-Budget-Übersicht'!$E:$E,MATCH(5015,'Projekt-Budget-Übersicht'!$L:$L,0)),0)</f>
        <v>0</v>
      </c>
      <c r="R199" s="10">
        <v>248.32</v>
      </c>
      <c r="S199" s="4"/>
      <c r="T199" s="4"/>
      <c r="U199" s="4"/>
    </row>
    <row r="200" spans="1:21" x14ac:dyDescent="0.25">
      <c r="A200" s="21" t="s">
        <v>5038</v>
      </c>
      <c r="B200" s="4" t="s">
        <v>5491</v>
      </c>
      <c r="C200" s="4" t="str">
        <f>IFERROR(INDEX('Projekt-Budget-Übersicht'!$C:$C,MATCH(5020,'Projekt-Budget-Übersicht'!$L:$L,0)),"")</f>
        <v/>
      </c>
      <c r="D200" s="4">
        <v>1</v>
      </c>
      <c r="E200" s="4">
        <v>2</v>
      </c>
      <c r="F200" s="5">
        <f>SUM(F24,I24,K24)</f>
        <v>0.5</v>
      </c>
      <c r="G200" s="15">
        <v>200</v>
      </c>
      <c r="H200" s="5">
        <f>SUM(H24)</f>
        <v>0</v>
      </c>
      <c r="I200" s="5">
        <f t="shared" si="16"/>
        <v>0</v>
      </c>
      <c r="J200" s="4" t="s">
        <v>5531</v>
      </c>
      <c r="K200" s="5">
        <f>SUM(K24)</f>
        <v>0</v>
      </c>
      <c r="L200" s="10">
        <f>IF($B$2="-",0,IFERROR(INDEX(IF($B$2="SV",'Projekt-Budget-Übersicht'!$H:$H,IF($B$2="CAD",'Projekt-Budget-Übersicht'!$I:$I,IF($B$2="ADM",'Projekt-Budget-Übersicht'!$J:$J,'Projekt-Budget-Übersicht'!$H:$H))),MATCH(5020,'Projekt-Budget-Übersicht'!$L:$L,0)),0))</f>
        <v>0</v>
      </c>
      <c r="M200" s="10">
        <f t="shared" si="17"/>
        <v>0</v>
      </c>
      <c r="N200" s="10">
        <f t="shared" si="18"/>
        <v>0</v>
      </c>
      <c r="O200" s="10">
        <f t="shared" si="19"/>
        <v>0</v>
      </c>
      <c r="P200" s="10">
        <f>'A. Kokott'!M200</f>
        <v>0</v>
      </c>
      <c r="Q200" s="10">
        <f>IFERROR(INDEX('Projekt-Budget-Übersicht'!$E:$E,MATCH(5020,'Projekt-Budget-Übersicht'!$L:$L,0)),0)</f>
        <v>0</v>
      </c>
      <c r="R200" s="10">
        <v>756.58</v>
      </c>
      <c r="S200" s="4"/>
      <c r="T200" s="4"/>
      <c r="U200" s="4"/>
    </row>
    <row r="201" spans="1:21" x14ac:dyDescent="0.25">
      <c r="A201" s="22"/>
      <c r="B201" s="4" t="s">
        <v>5509</v>
      </c>
      <c r="C201" s="4" t="str">
        <f>IFERROR(INDEX('Projekt-Budget-Übersicht'!$C:$C,MATCH(5020,'Projekt-Budget-Übersicht'!$L:$L,0)),"")</f>
        <v/>
      </c>
      <c r="D201" s="4">
        <v>31</v>
      </c>
      <c r="E201" s="4">
        <v>38.75</v>
      </c>
      <c r="F201" s="5">
        <f>SUM(F67,I67,K67)</f>
        <v>0.5</v>
      </c>
      <c r="G201" s="15">
        <v>125</v>
      </c>
      <c r="H201" s="5">
        <f>SUM(H67)</f>
        <v>0</v>
      </c>
      <c r="I201" s="5">
        <f t="shared" si="16"/>
        <v>0</v>
      </c>
      <c r="J201" s="4" t="s">
        <v>5531</v>
      </c>
      <c r="K201" s="5">
        <f>SUM(K67)</f>
        <v>0</v>
      </c>
      <c r="L201" s="10">
        <f>IF($B$2="-",0,IFERROR(INDEX(IF($B$2="SV",'Projekt-Budget-Übersicht'!$H:$H,IF($B$2="CAD",'Projekt-Budget-Übersicht'!$I:$I,IF($B$2="ADM",'Projekt-Budget-Übersicht'!$J:$J,'Projekt-Budget-Übersicht'!$H:$H))),MATCH(5020,'Projekt-Budget-Übersicht'!$L:$L,0)),0))</f>
        <v>0</v>
      </c>
      <c r="M201" s="10">
        <f t="shared" si="17"/>
        <v>0</v>
      </c>
      <c r="N201" s="10">
        <f t="shared" si="18"/>
        <v>0</v>
      </c>
      <c r="O201" s="10">
        <f t="shared" si="19"/>
        <v>0</v>
      </c>
      <c r="P201" s="10">
        <f>'A. Kokott'!M201+'E. Bieler'!M111+'J. Dorn'!M156+'M. Bandlofsky'!M105</f>
        <v>0</v>
      </c>
      <c r="Q201" s="10">
        <f>IFERROR(INDEX('Projekt-Budget-Übersicht'!$E:$E,MATCH(5020,'Projekt-Budget-Übersicht'!$L:$L,0)),0)</f>
        <v>0</v>
      </c>
      <c r="R201" s="10">
        <v>756.58</v>
      </c>
      <c r="S201" s="4"/>
      <c r="T201" s="4"/>
      <c r="U201" s="4"/>
    </row>
    <row r="202" spans="1:21" x14ac:dyDescent="0.25">
      <c r="A202" s="4" t="s">
        <v>5056</v>
      </c>
      <c r="B202" s="4" t="s">
        <v>5484</v>
      </c>
      <c r="C202" s="4" t="str">
        <f>IFERROR(INDEX('Projekt-Budget-Übersicht'!$C:$C,MATCH(5033,'Projekt-Budget-Übersicht'!$L:$L,0)),"")</f>
        <v/>
      </c>
      <c r="D202" s="4">
        <v>1</v>
      </c>
      <c r="E202" s="4">
        <v>2.5</v>
      </c>
      <c r="F202" s="5">
        <f>SUM(F25,F117,I25,I117,K25,K117)</f>
        <v>1.25</v>
      </c>
      <c r="G202" s="15">
        <v>250</v>
      </c>
      <c r="H202" s="5">
        <f>SUM(H25,H117)</f>
        <v>0</v>
      </c>
      <c r="I202" s="5">
        <f t="shared" ref="I202:I233" si="20">IF(H202=0,0,F202-H202)</f>
        <v>0</v>
      </c>
      <c r="J202" s="4" t="s">
        <v>5531</v>
      </c>
      <c r="K202" s="5">
        <f>SUM(K25,K117)</f>
        <v>0</v>
      </c>
      <c r="L202" s="10">
        <f>IF($B$2="-",0,IFERROR(INDEX(IF($B$2="SV",'Projekt-Budget-Übersicht'!$H:$H,IF($B$2="CAD",'Projekt-Budget-Übersicht'!$I:$I,IF($B$2="ADM",'Projekt-Budget-Übersicht'!$J:$J,'Projekt-Budget-Übersicht'!$H:$H))),MATCH(5033,'Projekt-Budget-Übersicht'!$L:$L,0)),0))</f>
        <v>0</v>
      </c>
      <c r="M202" s="10">
        <f t="shared" ref="M202:M233" si="21">IF($B$2="-",0,IF(C202="Pauschale",IF(OR(Q202=0,N(D202)=0),0,MAX(0,MIN(Q202*((N(F202)+N(K202))/N(D202)),Q202-Q202*(N(E202)/N(D202))))),L202*(N(F202)+N(K202))))</f>
        <v>0</v>
      </c>
      <c r="N202" s="10">
        <f t="shared" ref="N202:N217" si="22">IF($B$2="-",0,IF(C202="Pauschale",IF(OR(Q202=0,N(D202)=0),0,Q202*((N(F202)+N(K202))/N(D202))),L202*(N(F202)+N(K202))))</f>
        <v>0</v>
      </c>
      <c r="O202" s="10">
        <f t="shared" ref="O202:O233" si="23">N202-M202</f>
        <v>0</v>
      </c>
      <c r="P202" s="10">
        <f>'A. Kokott'!M202</f>
        <v>0</v>
      </c>
      <c r="Q202" s="10">
        <f>IFERROR(INDEX('Projekt-Budget-Übersicht'!$E:$E,MATCH(5033,'Projekt-Budget-Übersicht'!$L:$L,0)),0)</f>
        <v>0</v>
      </c>
      <c r="R202" s="10">
        <v>507.9</v>
      </c>
      <c r="S202" s="4"/>
      <c r="T202" s="4"/>
      <c r="U202" s="4"/>
    </row>
    <row r="203" spans="1:21" x14ac:dyDescent="0.25">
      <c r="A203" s="4" t="s">
        <v>5063</v>
      </c>
      <c r="B203" s="4" t="s">
        <v>5484</v>
      </c>
      <c r="C203" s="4" t="str">
        <f>IFERROR(INDEX('Projekt-Budget-Übersicht'!$C:$C,MATCH(5044,'Projekt-Budget-Übersicht'!$L:$L,0)),"")</f>
        <v/>
      </c>
      <c r="D203" s="4">
        <v>1</v>
      </c>
      <c r="E203" s="4">
        <v>1.75</v>
      </c>
      <c r="F203" s="5">
        <f>SUM(F26,F68,I26,I68,K26,K68)</f>
        <v>1</v>
      </c>
      <c r="G203" s="15">
        <v>175</v>
      </c>
      <c r="H203" s="5">
        <f>SUM(H26,H68)</f>
        <v>0</v>
      </c>
      <c r="I203" s="5">
        <f t="shared" si="20"/>
        <v>0</v>
      </c>
      <c r="J203" s="4" t="s">
        <v>5531</v>
      </c>
      <c r="K203" s="5">
        <f>SUM(K26,K68)</f>
        <v>0</v>
      </c>
      <c r="L203" s="10">
        <f>IF($B$2="-",0,IFERROR(INDEX(IF($B$2="SV",'Projekt-Budget-Übersicht'!$H:$H,IF($B$2="CAD",'Projekt-Budget-Übersicht'!$I:$I,IF($B$2="ADM",'Projekt-Budget-Übersicht'!$J:$J,'Projekt-Budget-Übersicht'!$H:$H))),MATCH(5044,'Projekt-Budget-Übersicht'!$L:$L,0)),0))</f>
        <v>0</v>
      </c>
      <c r="M203" s="10">
        <f t="shared" si="21"/>
        <v>0</v>
      </c>
      <c r="N203" s="10">
        <f t="shared" si="22"/>
        <v>0</v>
      </c>
      <c r="O203" s="10">
        <f t="shared" si="23"/>
        <v>0</v>
      </c>
      <c r="P203" s="10">
        <f>'A. Kokott'!M203</f>
        <v>0</v>
      </c>
      <c r="Q203" s="10">
        <f>IFERROR(INDEX('Projekt-Budget-Übersicht'!$E:$E,MATCH(5044,'Projekt-Budget-Übersicht'!$L:$L,0)),0)</f>
        <v>0</v>
      </c>
      <c r="R203" s="10">
        <v>235</v>
      </c>
      <c r="S203" s="4"/>
      <c r="T203" s="4"/>
      <c r="U203" s="4"/>
    </row>
    <row r="204" spans="1:21" x14ac:dyDescent="0.25">
      <c r="A204" s="4" t="s">
        <v>5064</v>
      </c>
      <c r="B204" s="4" t="s">
        <v>5484</v>
      </c>
      <c r="C204" s="4" t="str">
        <f>IFERROR(INDEX('Projekt-Budget-Übersicht'!$C:$C,MATCH(5045,'Projekt-Budget-Übersicht'!$L:$L,0)),"")</f>
        <v/>
      </c>
      <c r="D204" s="4">
        <v>1</v>
      </c>
      <c r="E204" s="4">
        <v>1.75</v>
      </c>
      <c r="F204" s="5">
        <f>SUM(F27,F69,I27,I69,K27,K69)</f>
        <v>1</v>
      </c>
      <c r="G204" s="15">
        <v>175</v>
      </c>
      <c r="H204" s="5">
        <f>SUM(H27,H69)</f>
        <v>0</v>
      </c>
      <c r="I204" s="5">
        <f t="shared" si="20"/>
        <v>0</v>
      </c>
      <c r="J204" s="4" t="s">
        <v>5531</v>
      </c>
      <c r="K204" s="5">
        <f>SUM(K27,K69)</f>
        <v>0</v>
      </c>
      <c r="L204" s="10">
        <f>IF($B$2="-",0,IFERROR(INDEX(IF($B$2="SV",'Projekt-Budget-Übersicht'!$H:$H,IF($B$2="CAD",'Projekt-Budget-Übersicht'!$I:$I,IF($B$2="ADM",'Projekt-Budget-Übersicht'!$J:$J,'Projekt-Budget-Übersicht'!$H:$H))),MATCH(5045,'Projekt-Budget-Übersicht'!$L:$L,0)),0))</f>
        <v>0</v>
      </c>
      <c r="M204" s="10">
        <f t="shared" si="21"/>
        <v>0</v>
      </c>
      <c r="N204" s="10">
        <f t="shared" si="22"/>
        <v>0</v>
      </c>
      <c r="O204" s="10">
        <f t="shared" si="23"/>
        <v>0</v>
      </c>
      <c r="P204" s="10">
        <f>'A. Kokott'!M204</f>
        <v>0</v>
      </c>
      <c r="Q204" s="10">
        <f>IFERROR(INDEX('Projekt-Budget-Übersicht'!$E:$E,MATCH(5045,'Projekt-Budget-Übersicht'!$L:$L,0)),0)</f>
        <v>0</v>
      </c>
      <c r="R204" s="10">
        <v>222.5</v>
      </c>
      <c r="S204" s="4"/>
      <c r="T204" s="4"/>
      <c r="U204" s="4"/>
    </row>
    <row r="205" spans="1:21" x14ac:dyDescent="0.25">
      <c r="A205" s="4" t="s">
        <v>5078</v>
      </c>
      <c r="B205" s="4" t="s">
        <v>5484</v>
      </c>
      <c r="C205" s="4" t="str">
        <f>IFERROR(INDEX('Projekt-Budget-Übersicht'!$C:$C,MATCH(5062,'Projekt-Budget-Übersicht'!$L:$L,0)),"")</f>
        <v/>
      </c>
      <c r="D205" s="4">
        <v>5</v>
      </c>
      <c r="E205" s="4">
        <v>1.25</v>
      </c>
      <c r="F205" s="5">
        <f>SUM(F28,I28,K28)</f>
        <v>0.5</v>
      </c>
      <c r="G205" s="16">
        <v>25</v>
      </c>
      <c r="H205" s="5">
        <f>SUM(H28)</f>
        <v>0</v>
      </c>
      <c r="I205" s="5">
        <f t="shared" si="20"/>
        <v>0</v>
      </c>
      <c r="J205" s="4" t="s">
        <v>5531</v>
      </c>
      <c r="K205" s="5">
        <f>SUM(K28)</f>
        <v>0</v>
      </c>
      <c r="L205" s="10">
        <f>IF($B$2="-",0,IFERROR(INDEX(IF($B$2="SV",'Projekt-Budget-Übersicht'!$H:$H,IF($B$2="CAD",'Projekt-Budget-Übersicht'!$I:$I,IF($B$2="ADM",'Projekt-Budget-Übersicht'!$J:$J,'Projekt-Budget-Übersicht'!$H:$H))),MATCH(5062,'Projekt-Budget-Übersicht'!$L:$L,0)),0))</f>
        <v>0</v>
      </c>
      <c r="M205" s="10">
        <f t="shared" si="21"/>
        <v>0</v>
      </c>
      <c r="N205" s="10">
        <f t="shared" si="22"/>
        <v>0</v>
      </c>
      <c r="O205" s="10">
        <f t="shared" si="23"/>
        <v>0</v>
      </c>
      <c r="P205" s="10">
        <f>'A. Kokott'!M205</f>
        <v>0</v>
      </c>
      <c r="Q205" s="10">
        <f>IFERROR(INDEX('Projekt-Budget-Übersicht'!$E:$E,MATCH(5062,'Projekt-Budget-Übersicht'!$L:$L,0)),0)</f>
        <v>0</v>
      </c>
      <c r="R205" s="10">
        <v>17.5</v>
      </c>
      <c r="S205" s="4"/>
      <c r="T205" s="4"/>
      <c r="U205" s="4"/>
    </row>
    <row r="206" spans="1:21" x14ac:dyDescent="0.25">
      <c r="A206" s="21" t="s">
        <v>5103</v>
      </c>
      <c r="B206" s="4" t="s">
        <v>5490</v>
      </c>
      <c r="C206" s="4" t="str">
        <f>IFERROR(INDEX('Projekt-Budget-Übersicht'!$C:$C,MATCH(5077,'Projekt-Budget-Übersicht'!$L:$L,0)),"")</f>
        <v/>
      </c>
      <c r="D206" s="4">
        <v>1</v>
      </c>
      <c r="E206" s="4">
        <v>1.25</v>
      </c>
      <c r="F206" s="5">
        <f>SUM(F29,I29,K29)</f>
        <v>0.5</v>
      </c>
      <c r="G206" s="15">
        <v>125</v>
      </c>
      <c r="H206" s="5">
        <f>SUM(H29)</f>
        <v>0</v>
      </c>
      <c r="I206" s="5">
        <f t="shared" si="20"/>
        <v>0</v>
      </c>
      <c r="J206" s="4" t="s">
        <v>5531</v>
      </c>
      <c r="K206" s="5">
        <f>SUM(K29)</f>
        <v>0</v>
      </c>
      <c r="L206" s="10">
        <f>IF($B$2="-",0,IFERROR(INDEX(IF($B$2="SV",'Projekt-Budget-Übersicht'!$H:$H,IF($B$2="CAD",'Projekt-Budget-Übersicht'!$I:$I,IF($B$2="ADM",'Projekt-Budget-Übersicht'!$J:$J,'Projekt-Budget-Übersicht'!$H:$H))),MATCH(5077,'Projekt-Budget-Übersicht'!$L:$L,0)),0))</f>
        <v>0</v>
      </c>
      <c r="M206" s="10">
        <f t="shared" si="21"/>
        <v>0</v>
      </c>
      <c r="N206" s="10">
        <f t="shared" si="22"/>
        <v>0</v>
      </c>
      <c r="O206" s="10">
        <f t="shared" si="23"/>
        <v>0</v>
      </c>
      <c r="P206" s="10">
        <f>'A. Kokott'!M206</f>
        <v>0</v>
      </c>
      <c r="Q206" s="10">
        <f>IFERROR(INDEX('Projekt-Budget-Übersicht'!$E:$E,MATCH(5077,'Projekt-Budget-Übersicht'!$L:$L,0)),0)</f>
        <v>0</v>
      </c>
      <c r="R206" s="10">
        <v>99.15</v>
      </c>
      <c r="S206" s="4"/>
      <c r="T206" s="4"/>
      <c r="U206" s="4"/>
    </row>
    <row r="207" spans="1:21" x14ac:dyDescent="0.25">
      <c r="A207" s="22"/>
      <c r="B207" s="4" t="s">
        <v>5485</v>
      </c>
      <c r="C207" s="4" t="str">
        <f>IFERROR(INDEX('Projekt-Budget-Übersicht'!$C:$C,MATCH(5077,'Projekt-Budget-Übersicht'!$L:$L,0)),"")</f>
        <v/>
      </c>
      <c r="D207" s="4">
        <v>14</v>
      </c>
      <c r="E207" s="4">
        <v>15.5</v>
      </c>
      <c r="F207" s="5">
        <f>SUM(F30,I30,K30)</f>
        <v>0.5</v>
      </c>
      <c r="G207" s="15">
        <v>110.71</v>
      </c>
      <c r="H207" s="5">
        <f>SUM(H30)</f>
        <v>0</v>
      </c>
      <c r="I207" s="5">
        <f t="shared" si="20"/>
        <v>0</v>
      </c>
      <c r="J207" s="4" t="s">
        <v>5531</v>
      </c>
      <c r="K207" s="5">
        <f>SUM(K30)</f>
        <v>0</v>
      </c>
      <c r="L207" s="10">
        <f>IF($B$2="-",0,IFERROR(INDEX(IF($B$2="SV",'Projekt-Budget-Übersicht'!$H:$H,IF($B$2="CAD",'Projekt-Budget-Übersicht'!$I:$I,IF($B$2="ADM",'Projekt-Budget-Übersicht'!$J:$J,'Projekt-Budget-Übersicht'!$H:$H))),MATCH(5077,'Projekt-Budget-Übersicht'!$L:$L,0)),0))</f>
        <v>0</v>
      </c>
      <c r="M207" s="10">
        <f t="shared" si="21"/>
        <v>0</v>
      </c>
      <c r="N207" s="10">
        <f t="shared" si="22"/>
        <v>0</v>
      </c>
      <c r="O207" s="10">
        <f t="shared" si="23"/>
        <v>0</v>
      </c>
      <c r="P207" s="10">
        <f>'A. Kokott'!M207+'E. Bieler'!M113+'M. Bandlofsky'!M106</f>
        <v>0</v>
      </c>
      <c r="Q207" s="10">
        <f>IFERROR(INDEX('Projekt-Budget-Übersicht'!$E:$E,MATCH(5077,'Projekt-Budget-Übersicht'!$L:$L,0)),0)</f>
        <v>0</v>
      </c>
      <c r="R207" s="10">
        <v>99.15</v>
      </c>
      <c r="S207" s="4"/>
      <c r="T207" s="4"/>
      <c r="U207" s="4"/>
    </row>
    <row r="208" spans="1:21" x14ac:dyDescent="0.25">
      <c r="A208" s="4" t="s">
        <v>5142</v>
      </c>
      <c r="B208" s="4" t="s">
        <v>5484</v>
      </c>
      <c r="C208" s="4" t="str">
        <f>IFERROR(INDEX('Projekt-Budget-Übersicht'!$C:$C,MATCH(5106,'Projekt-Budget-Übersicht'!$L:$L,0)),"")</f>
        <v/>
      </c>
      <c r="D208" s="4">
        <v>1</v>
      </c>
      <c r="E208" s="4">
        <v>1.75</v>
      </c>
      <c r="F208" s="5">
        <f>SUM(F70,I70,K70)</f>
        <v>0.5</v>
      </c>
      <c r="G208" s="15">
        <v>175</v>
      </c>
      <c r="H208" s="5">
        <f>SUM(H70)</f>
        <v>0</v>
      </c>
      <c r="I208" s="5">
        <f t="shared" si="20"/>
        <v>0</v>
      </c>
      <c r="J208" s="4" t="s">
        <v>5531</v>
      </c>
      <c r="K208" s="5">
        <f>SUM(K70)</f>
        <v>0</v>
      </c>
      <c r="L208" s="10">
        <f>IF($B$2="-",0,IFERROR(INDEX(IF($B$2="SV",'Projekt-Budget-Übersicht'!$H:$H,IF($B$2="CAD",'Projekt-Budget-Übersicht'!$I:$I,IF($B$2="ADM",'Projekt-Budget-Übersicht'!$J:$J,'Projekt-Budget-Übersicht'!$H:$H))),MATCH(5106,'Projekt-Budget-Übersicht'!$L:$L,0)),0))</f>
        <v>0</v>
      </c>
      <c r="M208" s="10">
        <f t="shared" si="21"/>
        <v>0</v>
      </c>
      <c r="N208" s="10">
        <f t="shared" si="22"/>
        <v>0</v>
      </c>
      <c r="O208" s="10">
        <f t="shared" si="23"/>
        <v>0</v>
      </c>
      <c r="P208" s="10">
        <f>'A. Kokott'!M208</f>
        <v>0</v>
      </c>
      <c r="Q208" s="10">
        <f>IFERROR(INDEX('Projekt-Budget-Übersicht'!$E:$E,MATCH(5106,'Projekt-Budget-Übersicht'!$L:$L,0)),0)</f>
        <v>0</v>
      </c>
      <c r="R208" s="10">
        <v>385</v>
      </c>
      <c r="S208" s="4"/>
      <c r="T208" s="4"/>
      <c r="U208" s="4"/>
    </row>
    <row r="209" spans="1:21" x14ac:dyDescent="0.25">
      <c r="A209" s="4" t="s">
        <v>5143</v>
      </c>
      <c r="B209" s="4" t="s">
        <v>5484</v>
      </c>
      <c r="C209" s="4" t="str">
        <f>IFERROR(INDEX('Projekt-Budget-Übersicht'!$C:$C,MATCH(5107,'Projekt-Budget-Übersicht'!$L:$L,0)),"")</f>
        <v/>
      </c>
      <c r="D209" s="4">
        <v>1</v>
      </c>
      <c r="E209" s="4">
        <v>1.75</v>
      </c>
      <c r="F209" s="5">
        <f>SUM(F71,I71,K71)</f>
        <v>0.5</v>
      </c>
      <c r="G209" s="15">
        <v>175</v>
      </c>
      <c r="H209" s="5">
        <f>SUM(H71)</f>
        <v>0</v>
      </c>
      <c r="I209" s="5">
        <f t="shared" si="20"/>
        <v>0</v>
      </c>
      <c r="J209" s="4" t="s">
        <v>5531</v>
      </c>
      <c r="K209" s="5">
        <f>SUM(K71)</f>
        <v>0</v>
      </c>
      <c r="L209" s="10">
        <f>IF($B$2="-",0,IFERROR(INDEX(IF($B$2="SV",'Projekt-Budget-Übersicht'!$H:$H,IF($B$2="CAD",'Projekt-Budget-Übersicht'!$I:$I,IF($B$2="ADM",'Projekt-Budget-Übersicht'!$J:$J,'Projekt-Budget-Übersicht'!$H:$H))),MATCH(5107,'Projekt-Budget-Übersicht'!$L:$L,0)),0))</f>
        <v>0</v>
      </c>
      <c r="M209" s="10">
        <f t="shared" si="21"/>
        <v>0</v>
      </c>
      <c r="N209" s="10">
        <f t="shared" si="22"/>
        <v>0</v>
      </c>
      <c r="O209" s="10">
        <f t="shared" si="23"/>
        <v>0</v>
      </c>
      <c r="P209" s="10">
        <f>'A. Kokott'!M209</f>
        <v>0</v>
      </c>
      <c r="Q209" s="10">
        <f>IFERROR(INDEX('Projekt-Budget-Übersicht'!$E:$E,MATCH(5107,'Projekt-Budget-Übersicht'!$L:$L,0)),0)</f>
        <v>0</v>
      </c>
      <c r="R209" s="10">
        <v>347.5</v>
      </c>
      <c r="S209" s="4"/>
      <c r="T209" s="4"/>
      <c r="U209" s="4"/>
    </row>
    <row r="210" spans="1:21" x14ac:dyDescent="0.25">
      <c r="A210" s="4" t="s">
        <v>5146</v>
      </c>
      <c r="B210" s="4" t="s">
        <v>5490</v>
      </c>
      <c r="C210" s="4" t="str">
        <f>IFERROR(INDEX('Projekt-Budget-Übersicht'!$C:$C,MATCH(5109,'Projekt-Budget-Übersicht'!$L:$L,0)),"")</f>
        <v/>
      </c>
      <c r="D210" s="4">
        <v>1</v>
      </c>
      <c r="E210" s="4">
        <v>1</v>
      </c>
      <c r="F210" s="5">
        <f>SUM(F118,I118,K118)</f>
        <v>0.5</v>
      </c>
      <c r="G210" s="14">
        <v>100</v>
      </c>
      <c r="H210" s="5">
        <f>SUM(H118)</f>
        <v>0</v>
      </c>
      <c r="I210" s="5">
        <f t="shared" si="20"/>
        <v>0</v>
      </c>
      <c r="J210" s="4" t="s">
        <v>5531</v>
      </c>
      <c r="K210" s="5">
        <f>SUM(K118)</f>
        <v>0</v>
      </c>
      <c r="L210" s="10">
        <f>IF($B$2="-",0,IFERROR(INDEX(IF($B$2="SV",'Projekt-Budget-Übersicht'!$H:$H,IF($B$2="CAD",'Projekt-Budget-Übersicht'!$I:$I,IF($B$2="ADM",'Projekt-Budget-Übersicht'!$J:$J,'Projekt-Budget-Übersicht'!$H:$H))),MATCH(5109,'Projekt-Budget-Übersicht'!$L:$L,0)),0))</f>
        <v>0</v>
      </c>
      <c r="M210" s="10">
        <f t="shared" si="21"/>
        <v>0</v>
      </c>
      <c r="N210" s="10">
        <f t="shared" si="22"/>
        <v>0</v>
      </c>
      <c r="O210" s="10">
        <f t="shared" si="23"/>
        <v>0</v>
      </c>
      <c r="P210" s="10">
        <f>'A. Kokott'!M210</f>
        <v>0</v>
      </c>
      <c r="Q210" s="10">
        <f>IFERROR(INDEX('Projekt-Budget-Übersicht'!$E:$E,MATCH(5109,'Projekt-Budget-Übersicht'!$L:$L,0)),0)</f>
        <v>0</v>
      </c>
      <c r="R210" s="10">
        <v>560</v>
      </c>
      <c r="S210" s="4"/>
      <c r="T210" s="4"/>
      <c r="U210" s="4"/>
    </row>
    <row r="211" spans="1:21" x14ac:dyDescent="0.25">
      <c r="A211" s="4" t="s">
        <v>5149</v>
      </c>
      <c r="B211" s="4" t="s">
        <v>5510</v>
      </c>
      <c r="C211" s="4" t="str">
        <f>IFERROR(INDEX('Projekt-Budget-Übersicht'!$C:$C,MATCH(5113,'Projekt-Budget-Übersicht'!$L:$L,0)),"")</f>
        <v/>
      </c>
      <c r="D211" s="4">
        <v>3</v>
      </c>
      <c r="E211" s="4">
        <v>2</v>
      </c>
      <c r="F211" s="5">
        <f>SUM(F72,I72,K72)</f>
        <v>0.5</v>
      </c>
      <c r="G211" s="16">
        <v>66.67</v>
      </c>
      <c r="H211" s="5">
        <f>SUM(H72)</f>
        <v>0</v>
      </c>
      <c r="I211" s="5">
        <f t="shared" si="20"/>
        <v>0</v>
      </c>
      <c r="J211" s="4" t="s">
        <v>5531</v>
      </c>
      <c r="K211" s="5">
        <f>SUM(K72)</f>
        <v>0</v>
      </c>
      <c r="L211" s="10">
        <f>IF($B$2="-",0,IFERROR(INDEX(IF($B$2="SV",'Projekt-Budget-Übersicht'!$H:$H,IF($B$2="CAD",'Projekt-Budget-Übersicht'!$I:$I,IF($B$2="ADM",'Projekt-Budget-Übersicht'!$J:$J,'Projekt-Budget-Übersicht'!$H:$H))),MATCH(5113,'Projekt-Budget-Übersicht'!$L:$L,0)),0))</f>
        <v>0</v>
      </c>
      <c r="M211" s="10">
        <f t="shared" si="21"/>
        <v>0</v>
      </c>
      <c r="N211" s="10">
        <f t="shared" si="22"/>
        <v>0</v>
      </c>
      <c r="O211" s="10">
        <f t="shared" si="23"/>
        <v>0</v>
      </c>
      <c r="P211" s="10">
        <f>'A. Kokott'!M211</f>
        <v>0</v>
      </c>
      <c r="Q211" s="10">
        <f>IFERROR(INDEX('Projekt-Budget-Übersicht'!$E:$E,MATCH(5113,'Projekt-Budget-Übersicht'!$L:$L,0)),0)</f>
        <v>0</v>
      </c>
      <c r="R211" s="10">
        <v>42.5</v>
      </c>
      <c r="S211" s="4"/>
      <c r="T211" s="4"/>
      <c r="U211" s="4"/>
    </row>
    <row r="212" spans="1:21" x14ac:dyDescent="0.25">
      <c r="A212" s="4" t="s">
        <v>5159</v>
      </c>
      <c r="B212" s="4" t="s">
        <v>5484</v>
      </c>
      <c r="C212" s="4" t="str">
        <f>IFERROR(INDEX('Projekt-Budget-Übersicht'!$C:$C,MATCH(5122,'Projekt-Budget-Übersicht'!$L:$L,0)),"")</f>
        <v/>
      </c>
      <c r="D212" s="4">
        <v>1</v>
      </c>
      <c r="E212" s="4">
        <v>1</v>
      </c>
      <c r="F212" s="5">
        <f>SUM(F73,I73,K73)</f>
        <v>0.25</v>
      </c>
      <c r="G212" s="14">
        <v>100</v>
      </c>
      <c r="H212" s="5">
        <f>SUM(H73)</f>
        <v>0</v>
      </c>
      <c r="I212" s="5">
        <f t="shared" si="20"/>
        <v>0</v>
      </c>
      <c r="J212" s="4" t="s">
        <v>5531</v>
      </c>
      <c r="K212" s="5">
        <f>SUM(K73)</f>
        <v>0</v>
      </c>
      <c r="L212" s="10">
        <f>IF($B$2="-",0,IFERROR(INDEX(IF($B$2="SV",'Projekt-Budget-Übersicht'!$H:$H,IF($B$2="CAD",'Projekt-Budget-Übersicht'!$I:$I,IF($B$2="ADM",'Projekt-Budget-Übersicht'!$J:$J,'Projekt-Budget-Übersicht'!$H:$H))),MATCH(5122,'Projekt-Budget-Übersicht'!$L:$L,0)),0))</f>
        <v>0</v>
      </c>
      <c r="M212" s="10">
        <f t="shared" si="21"/>
        <v>0</v>
      </c>
      <c r="N212" s="10">
        <f t="shared" si="22"/>
        <v>0</v>
      </c>
      <c r="O212" s="10">
        <f t="shared" si="23"/>
        <v>0</v>
      </c>
      <c r="P212" s="10">
        <f>'A. Kokott'!M212</f>
        <v>0</v>
      </c>
      <c r="Q212" s="10">
        <f>IFERROR(INDEX('Projekt-Budget-Übersicht'!$E:$E,MATCH(5122,'Projekt-Budget-Übersicht'!$L:$L,0)),0)</f>
        <v>0</v>
      </c>
      <c r="R212" s="10">
        <v>8.75</v>
      </c>
      <c r="S212" s="4"/>
      <c r="T212" s="4"/>
      <c r="U212" s="4"/>
    </row>
    <row r="213" spans="1:21" x14ac:dyDescent="0.25">
      <c r="A213" s="4" t="s">
        <v>5161</v>
      </c>
      <c r="B213" s="4" t="s">
        <v>5484</v>
      </c>
      <c r="C213" s="4" t="str">
        <f>IFERROR(INDEX('Projekt-Budget-Übersicht'!$C:$C,MATCH(5123,'Projekt-Budget-Übersicht'!$L:$L,0)),"")</f>
        <v/>
      </c>
      <c r="D213" s="4">
        <v>1</v>
      </c>
      <c r="E213" s="4">
        <v>1.75</v>
      </c>
      <c r="F213" s="5">
        <f>SUM(F74,I74,K74)</f>
        <v>0.5</v>
      </c>
      <c r="G213" s="15">
        <v>175</v>
      </c>
      <c r="H213" s="5">
        <f>SUM(H74)</f>
        <v>0</v>
      </c>
      <c r="I213" s="5">
        <f t="shared" si="20"/>
        <v>0</v>
      </c>
      <c r="J213" s="4" t="s">
        <v>5531</v>
      </c>
      <c r="K213" s="5">
        <f>SUM(K74)</f>
        <v>0</v>
      </c>
      <c r="L213" s="10">
        <f>IF($B$2="-",0,IFERROR(INDEX(IF($B$2="SV",'Projekt-Budget-Übersicht'!$H:$H,IF($B$2="CAD",'Projekt-Budget-Übersicht'!$I:$I,IF($B$2="ADM",'Projekt-Budget-Übersicht'!$J:$J,'Projekt-Budget-Übersicht'!$H:$H))),MATCH(5123,'Projekt-Budget-Übersicht'!$L:$L,0)),0))</f>
        <v>0</v>
      </c>
      <c r="M213" s="10">
        <f t="shared" si="21"/>
        <v>0</v>
      </c>
      <c r="N213" s="10">
        <f t="shared" si="22"/>
        <v>0</v>
      </c>
      <c r="O213" s="10">
        <f t="shared" si="23"/>
        <v>0</v>
      </c>
      <c r="P213" s="10">
        <f>'A. Kokott'!M213</f>
        <v>0</v>
      </c>
      <c r="Q213" s="10">
        <f>IFERROR(INDEX('Projekt-Budget-Übersicht'!$E:$E,MATCH(5123,'Projekt-Budget-Übersicht'!$L:$L,0)),0)</f>
        <v>0</v>
      </c>
      <c r="R213" s="10">
        <v>217.5</v>
      </c>
      <c r="S213" s="4"/>
      <c r="T213" s="4"/>
      <c r="U213" s="4"/>
    </row>
    <row r="214" spans="1:21" x14ac:dyDescent="0.25">
      <c r="A214" s="4" t="s">
        <v>5182</v>
      </c>
      <c r="B214" s="4" t="s">
        <v>5511</v>
      </c>
      <c r="C214" s="4" t="str">
        <f>IFERROR(INDEX('Projekt-Budget-Übersicht'!$C:$C,MATCH(5137,'Projekt-Budget-Übersicht'!$L:$L,0)),"")</f>
        <v/>
      </c>
      <c r="D214" s="4">
        <v>6</v>
      </c>
      <c r="E214" s="4">
        <v>2.75</v>
      </c>
      <c r="F214" s="5">
        <f>SUM(F75,I75,K75)</f>
        <v>0.5</v>
      </c>
      <c r="G214" s="16">
        <v>45.83</v>
      </c>
      <c r="H214" s="5">
        <f>SUM(H75)</f>
        <v>0</v>
      </c>
      <c r="I214" s="5">
        <f t="shared" si="20"/>
        <v>0</v>
      </c>
      <c r="J214" s="4" t="s">
        <v>5531</v>
      </c>
      <c r="K214" s="5">
        <f>SUM(K75)</f>
        <v>0</v>
      </c>
      <c r="L214" s="10">
        <f>IF($B$2="-",0,IFERROR(INDEX(IF($B$2="SV",'Projekt-Budget-Übersicht'!$H:$H,IF($B$2="CAD",'Projekt-Budget-Übersicht'!$I:$I,IF($B$2="ADM",'Projekt-Budget-Übersicht'!$J:$J,'Projekt-Budget-Übersicht'!$H:$H))),MATCH(5137,'Projekt-Budget-Übersicht'!$L:$L,0)),0))</f>
        <v>0</v>
      </c>
      <c r="M214" s="10">
        <f t="shared" si="21"/>
        <v>0</v>
      </c>
      <c r="N214" s="10">
        <f t="shared" si="22"/>
        <v>0</v>
      </c>
      <c r="O214" s="10">
        <f t="shared" si="23"/>
        <v>0</v>
      </c>
      <c r="P214" s="10">
        <f>'A. Kokott'!M214+'S. Schüler'!M185</f>
        <v>0</v>
      </c>
      <c r="Q214" s="10">
        <f>IFERROR(INDEX('Projekt-Budget-Übersicht'!$E:$E,MATCH(5137,'Projekt-Budget-Übersicht'!$L:$L,0)),0)</f>
        <v>0</v>
      </c>
      <c r="R214" s="10">
        <v>152.5</v>
      </c>
      <c r="S214" s="4"/>
      <c r="T214" s="4"/>
      <c r="U214" s="4"/>
    </row>
    <row r="215" spans="1:21" x14ac:dyDescent="0.25">
      <c r="A215" s="4" t="s">
        <v>5215</v>
      </c>
      <c r="B215" s="4" t="s">
        <v>5484</v>
      </c>
      <c r="C215" s="4" t="str">
        <f>IFERROR(INDEX('Projekt-Budget-Übersicht'!$C:$C,MATCH(5169,'Projekt-Budget-Übersicht'!$L:$L,0)),"")</f>
        <v/>
      </c>
      <c r="D215" s="4">
        <v>1</v>
      </c>
      <c r="E215" s="4">
        <v>1.25</v>
      </c>
      <c r="F215" s="5">
        <f>SUM(F120,I120,K120)</f>
        <v>0.5</v>
      </c>
      <c r="G215" s="15">
        <v>125</v>
      </c>
      <c r="H215" s="5">
        <f>SUM(H120)</f>
        <v>0</v>
      </c>
      <c r="I215" s="5">
        <f t="shared" si="20"/>
        <v>0</v>
      </c>
      <c r="J215" s="4" t="s">
        <v>5531</v>
      </c>
      <c r="K215" s="5">
        <f>SUM(K120)</f>
        <v>0</v>
      </c>
      <c r="L215" s="10">
        <f>IF($B$2="-",0,IFERROR(INDEX(IF($B$2="SV",'Projekt-Budget-Übersicht'!$H:$H,IF($B$2="CAD",'Projekt-Budget-Übersicht'!$I:$I,IF($B$2="ADM",'Projekt-Budget-Übersicht'!$J:$J,'Projekt-Budget-Übersicht'!$H:$H))),MATCH(5169,'Projekt-Budget-Übersicht'!$L:$L,0)),0))</f>
        <v>0</v>
      </c>
      <c r="M215" s="10">
        <f t="shared" si="21"/>
        <v>0</v>
      </c>
      <c r="N215" s="10">
        <f t="shared" si="22"/>
        <v>0</v>
      </c>
      <c r="O215" s="10">
        <f t="shared" si="23"/>
        <v>0</v>
      </c>
      <c r="P215" s="10">
        <f>'A. Kokott'!M215</f>
        <v>0</v>
      </c>
      <c r="Q215" s="10">
        <f>IFERROR(INDEX('Projekt-Budget-Übersicht'!$E:$E,MATCH(5169,'Projekt-Budget-Übersicht'!$L:$L,0)),0)</f>
        <v>0</v>
      </c>
      <c r="R215" s="10">
        <v>469.15</v>
      </c>
      <c r="S215" s="4"/>
      <c r="T215" s="4"/>
      <c r="U215" s="4"/>
    </row>
    <row r="216" spans="1:21" x14ac:dyDescent="0.25">
      <c r="A216" s="4" t="s">
        <v>5231</v>
      </c>
      <c r="B216" s="4" t="s">
        <v>5484</v>
      </c>
      <c r="C216" s="4" t="str">
        <f>IFERROR(INDEX('Projekt-Budget-Übersicht'!$C:$C,MATCH(5184,'Projekt-Budget-Übersicht'!$L:$L,0)),"")</f>
        <v/>
      </c>
      <c r="D216" s="4">
        <v>1</v>
      </c>
      <c r="E216" s="4">
        <v>1.25</v>
      </c>
      <c r="F216" s="5">
        <f>SUM(F121,I121,K121)</f>
        <v>0.5</v>
      </c>
      <c r="G216" s="15">
        <v>125</v>
      </c>
      <c r="H216" s="5">
        <f>SUM(H121)</f>
        <v>0</v>
      </c>
      <c r="I216" s="5">
        <f t="shared" si="20"/>
        <v>0</v>
      </c>
      <c r="J216" s="4" t="s">
        <v>5531</v>
      </c>
      <c r="K216" s="5">
        <f>SUM(K121)</f>
        <v>0</v>
      </c>
      <c r="L216" s="10">
        <f>IF($B$2="-",0,IFERROR(INDEX(IF($B$2="SV",'Projekt-Budget-Übersicht'!$H:$H,IF($B$2="CAD",'Projekt-Budget-Übersicht'!$I:$I,IF($B$2="ADM",'Projekt-Budget-Übersicht'!$J:$J,'Projekt-Budget-Übersicht'!$H:$H))),MATCH(5184,'Projekt-Budget-Übersicht'!$L:$L,0)),0))</f>
        <v>0</v>
      </c>
      <c r="M216" s="10">
        <f t="shared" si="21"/>
        <v>0</v>
      </c>
      <c r="N216" s="10">
        <f t="shared" si="22"/>
        <v>0</v>
      </c>
      <c r="O216" s="10">
        <f t="shared" si="23"/>
        <v>0</v>
      </c>
      <c r="P216" s="10">
        <f>'A. Kokott'!M216</f>
        <v>0</v>
      </c>
      <c r="Q216" s="10">
        <f>IFERROR(INDEX('Projekt-Budget-Übersicht'!$E:$E,MATCH(5184,'Projekt-Budget-Übersicht'!$L:$L,0)),0)</f>
        <v>0</v>
      </c>
      <c r="R216" s="10">
        <v>17.5</v>
      </c>
      <c r="S216" s="4"/>
      <c r="T216" s="4"/>
      <c r="U216" s="4"/>
    </row>
    <row r="217" spans="1:21" x14ac:dyDescent="0.25">
      <c r="A217" s="4" t="s">
        <v>5363</v>
      </c>
      <c r="B217" s="4" t="s">
        <v>5484</v>
      </c>
      <c r="C217" s="4" t="str">
        <f>IFERROR(INDEX('Projekt-Budget-Übersicht'!$C:$C,MATCH(5320,'Projekt-Budget-Übersicht'!$L:$L,0)),"")</f>
        <v/>
      </c>
      <c r="D217" s="4" t="s">
        <v>5531</v>
      </c>
      <c r="E217" s="4">
        <v>0.5</v>
      </c>
      <c r="F217" s="5">
        <f>SUM(F76,I76,K76)</f>
        <v>0.5</v>
      </c>
      <c r="G217" s="4" t="s">
        <v>5531</v>
      </c>
      <c r="H217" s="5">
        <f>SUM(H76)</f>
        <v>0</v>
      </c>
      <c r="I217" s="5">
        <f t="shared" si="20"/>
        <v>0</v>
      </c>
      <c r="J217" s="4" t="s">
        <v>5531</v>
      </c>
      <c r="K217" s="5">
        <f>SUM(K76)</f>
        <v>0</v>
      </c>
      <c r="L217" s="10">
        <f>IF($B$2="-",0,IFERROR(INDEX(IF($B$2="SV",'Projekt-Budget-Übersicht'!$H:$H,IF($B$2="CAD",'Projekt-Budget-Übersicht'!$I:$I,IF($B$2="ADM",'Projekt-Budget-Übersicht'!$J:$J,'Projekt-Budget-Übersicht'!$H:$H))),MATCH(5320,'Projekt-Budget-Übersicht'!$L:$L,0)),0))</f>
        <v>0</v>
      </c>
      <c r="M217" s="10">
        <f t="shared" si="21"/>
        <v>0</v>
      </c>
      <c r="N217" s="10">
        <f t="shared" si="22"/>
        <v>0</v>
      </c>
      <c r="O217" s="10">
        <f t="shared" si="23"/>
        <v>0</v>
      </c>
      <c r="P217" s="10">
        <f>'A. Kokott'!M217</f>
        <v>0</v>
      </c>
      <c r="Q217" s="10">
        <f>IFERROR(INDEX('Projekt-Budget-Übersicht'!$E:$E,MATCH(5320,'Projekt-Budget-Übersicht'!$L:$L,0)),0)</f>
        <v>0</v>
      </c>
      <c r="R217" s="10">
        <v>17.5</v>
      </c>
      <c r="S217" s="4"/>
      <c r="T217" s="4"/>
      <c r="U217" s="4"/>
    </row>
    <row r="219" spans="1:21" x14ac:dyDescent="0.25">
      <c r="A219" s="3"/>
      <c r="B219" s="3" t="s">
        <v>5492</v>
      </c>
      <c r="C219" s="3"/>
      <c r="D219" s="3"/>
      <c r="E219" s="3"/>
      <c r="F219" s="6">
        <f>SUM(F31,F77,F123)</f>
        <v>135.25</v>
      </c>
      <c r="G219" s="3"/>
      <c r="H219" s="3"/>
      <c r="I219" s="3"/>
      <c r="J219" s="3"/>
      <c r="K219" s="3"/>
      <c r="L219" s="3"/>
      <c r="M219" s="17">
        <f>SUM(M138:M217)</f>
        <v>0</v>
      </c>
      <c r="N219" s="17">
        <f>SUM(N138:N217)</f>
        <v>0</v>
      </c>
      <c r="O219" s="17">
        <f>SUM(O138:O217)</f>
        <v>0</v>
      </c>
      <c r="P219" s="17">
        <f>SUM(P138:P217)</f>
        <v>0</v>
      </c>
      <c r="Q219" s="3"/>
      <c r="R219" s="3"/>
      <c r="S219" s="3"/>
      <c r="T219" s="3"/>
      <c r="U219" s="3"/>
    </row>
    <row r="220" spans="1:21" x14ac:dyDescent="0.25">
      <c r="A220" s="3"/>
      <c r="B220" s="3" t="s">
        <v>4</v>
      </c>
      <c r="C220" s="3"/>
      <c r="D220" s="3"/>
      <c r="E220" s="3"/>
      <c r="F220" s="6">
        <f>G220+H220</f>
        <v>67</v>
      </c>
      <c r="G220" s="6">
        <f>SUM(G32,G78,G124)</f>
        <v>67</v>
      </c>
      <c r="H220" s="6">
        <v>0</v>
      </c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1:21" x14ac:dyDescent="0.25">
      <c r="A221" s="3"/>
      <c r="B221" s="3" t="s">
        <v>5</v>
      </c>
      <c r="C221" s="3"/>
      <c r="D221" s="3"/>
      <c r="E221" s="3"/>
      <c r="F221" s="6">
        <f>G221+H221</f>
        <v>36</v>
      </c>
      <c r="G221" s="6">
        <f>SUM(G33,G79,G125)</f>
        <v>36</v>
      </c>
      <c r="H221" s="6">
        <v>0</v>
      </c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1:21" x14ac:dyDescent="0.25">
      <c r="A222" s="3"/>
      <c r="B222" s="3" t="s">
        <v>5493</v>
      </c>
      <c r="C222" s="3"/>
      <c r="D222" s="3"/>
      <c r="E222" s="3"/>
      <c r="F222" s="6">
        <f>SUM(F34,F80,F126)</f>
        <v>0</v>
      </c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1:21" x14ac:dyDescent="0.25">
      <c r="A223" s="18"/>
      <c r="B223" s="18" t="s">
        <v>5494</v>
      </c>
      <c r="C223" s="18"/>
      <c r="D223" s="18"/>
      <c r="E223" s="18"/>
      <c r="F223" s="19">
        <f>F220+F221+F222</f>
        <v>103</v>
      </c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</row>
    <row r="225" spans="1:21" ht="15.75" x14ac:dyDescent="0.25">
      <c r="A225" s="2" t="s">
        <v>5532</v>
      </c>
    </row>
    <row r="226" spans="1:21" x14ac:dyDescent="0.25">
      <c r="A226" s="13" t="s">
        <v>10</v>
      </c>
      <c r="B226" s="13">
        <v>135.25</v>
      </c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</row>
    <row r="227" spans="1:21" x14ac:dyDescent="0.25">
      <c r="A227" s="13" t="s">
        <v>11</v>
      </c>
      <c r="B227" s="20">
        <f>SUM(F32,F78,F124)</f>
        <v>67</v>
      </c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</row>
    <row r="228" spans="1:21" x14ac:dyDescent="0.25">
      <c r="A228" s="13" t="s">
        <v>12</v>
      </c>
      <c r="B228" s="20">
        <f>SUM(F33,F79,F125)</f>
        <v>36</v>
      </c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</row>
  </sheetData>
  <mergeCells count="14">
    <mergeCell ref="A29:A30"/>
    <mergeCell ref="A47:A48"/>
    <mergeCell ref="A200:A201"/>
    <mergeCell ref="A191:A192"/>
    <mergeCell ref="A6:A7"/>
    <mergeCell ref="A85:A86"/>
    <mergeCell ref="A173:A174"/>
    <mergeCell ref="A18:A19"/>
    <mergeCell ref="A138:A139"/>
    <mergeCell ref="A61:A62"/>
    <mergeCell ref="A149:A151"/>
    <mergeCell ref="A206:A207"/>
    <mergeCell ref="A39:A40"/>
    <mergeCell ref="A187:A188"/>
  </mergeCells>
  <conditionalFormatting sqref="I6:I30">
    <cfRule type="cellIs" dxfId="69" priority="1" stopIfTrue="1" operator="lessThan">
      <formula>0</formula>
    </cfRule>
  </conditionalFormatting>
  <conditionalFormatting sqref="I39:I76">
    <cfRule type="cellIs" dxfId="68" priority="26" stopIfTrue="1" operator="lessThan">
      <formula>0</formula>
    </cfRule>
  </conditionalFormatting>
  <conditionalFormatting sqref="I85:I122">
    <cfRule type="cellIs" dxfId="67" priority="64" stopIfTrue="1" operator="lessThan">
      <formula>0</formula>
    </cfRule>
  </conditionalFormatting>
  <conditionalFormatting sqref="I138:I217">
    <cfRule type="cellIs" dxfId="66" priority="102" stopIfTrue="1" operator="lessThan">
      <formula>0</formula>
    </cfRule>
  </conditionalFormatting>
  <dataValidations count="21">
    <dataValidation type="list" sqref="B2" xr:uid="{00000000-0002-0000-0200-000000000000}">
      <formula1>"SV,CAD,ADM,Pauschale,-"</formula1>
    </dataValidation>
    <dataValidation type="list" allowBlank="1" sqref="J6" xr:uid="{00000000-0002-0000-0200-000001000000}">
      <formula1>"D. Brucker,E. Bieler,J. Dorchies,O. Haag BS-CAD,S. Schüler,T. Trautmann,U. Sutter ADM"</formula1>
    </dataValidation>
    <dataValidation type="list" allowBlank="1" sqref="T85:T122 T39:T76 T6:T30" xr:uid="{00000000-0002-0000-0200-000002000000}">
      <formula1>"SR,AZ"</formula1>
    </dataValidation>
    <dataValidation type="list" allowBlank="1" sqref="J7" xr:uid="{00000000-0002-0000-0200-000003000000}">
      <formula1>"C. Trapp SV,D. Brucker,E. Bieler,J. Dorchies,J. Dorn,M. Bandlofsky,T. Trautmann,U. Sutter ADM"</formula1>
    </dataValidation>
    <dataValidation type="list" allowBlank="1" sqref="J14" xr:uid="{00000000-0002-0000-0200-00000B000000}">
      <formula1>"E. Bieler,J. Dorchies,J. Dorn,P. Bergner,R. Böttiger"</formula1>
    </dataValidation>
    <dataValidation type="list" allowBlank="1" sqref="J105:J106 J15:J16" xr:uid="{00000000-0002-0000-0200-00000D000000}">
      <formula1>"H. Bektas"</formula1>
    </dataValidation>
    <dataValidation type="list" allowBlank="1" sqref="J30" xr:uid="{00000000-0002-0000-0200-00001E000000}">
      <formula1>"E. Bieler,M. Bandlofsky"</formula1>
    </dataValidation>
    <dataValidation type="list" allowBlank="1" sqref="J39" xr:uid="{00000000-0002-0000-0200-000020000000}">
      <formula1>"J. Dorn,O. Haag BS-CAD,P. Bergner,R. Böttiger,T. Trautmann,U. Sutter ADM"</formula1>
    </dataValidation>
    <dataValidation type="list" allowBlank="1" sqref="J40" xr:uid="{00000000-0002-0000-0200-000022000000}">
      <formula1>"M. Bandlofsky,O. Haag BS-CAD,P. Bergner,R. Wagen CAD,T. Trautmann,U. Sutter ADM"</formula1>
    </dataValidation>
    <dataValidation type="list" allowBlank="1" sqref="J45 J90" xr:uid="{00000000-0002-0000-0200-000028000000}">
      <formula1>"M. Warner,S. Schüler"</formula1>
    </dataValidation>
    <dataValidation type="list" allowBlank="1" sqref="J47" xr:uid="{00000000-0002-0000-0200-00002B000000}">
      <formula1>"C. Trapp SV,S. Roßkopf"</formula1>
    </dataValidation>
    <dataValidation type="list" allowBlank="1" sqref="J48 J109" xr:uid="{00000000-0002-0000-0200-00002D000000}">
      <formula1>"S. Schüler"</formula1>
    </dataValidation>
    <dataValidation type="list" allowBlank="1" sqref="J49 J100 J51" xr:uid="{00000000-0002-0000-0200-00002F000000}">
      <formula1>"J. Dorn,T. Trautmann"</formula1>
    </dataValidation>
    <dataValidation type="list" allowBlank="1" sqref="J52" xr:uid="{00000000-0002-0000-0200-000034000000}">
      <formula1>"P. Bergner"</formula1>
    </dataValidation>
    <dataValidation type="list" allowBlank="1" sqref="J58" xr:uid="{00000000-0002-0000-0200-00003B000000}">
      <formula1>"R. Böttiger"</formula1>
    </dataValidation>
    <dataValidation type="list" allowBlank="1" sqref="J59" xr:uid="{00000000-0002-0000-0200-00003D000000}">
      <formula1>"J. Dorn"</formula1>
    </dataValidation>
    <dataValidation type="list" allowBlank="1" sqref="J67 J116 J91 J87" xr:uid="{00000000-0002-0000-0200-000046000000}">
      <formula1>"M. Bandlofsky"</formula1>
    </dataValidation>
    <dataValidation type="list" allowBlank="1" sqref="J85" xr:uid="{00000000-0002-0000-0200-000051000000}">
      <formula1>"C. Trapp SV,D. Brucker,J. Dorn,O. Haag BS-CAD,S. Schüler,U. Sutter ADM"</formula1>
    </dataValidation>
    <dataValidation type="list" allowBlank="1" sqref="J86" xr:uid="{00000000-0002-0000-0200-000053000000}">
      <formula1>"C. Trapp SV,J. Dorn,M. Bandlofsky,O. Haag BS-CAD,R. Wagen CAD,T. Trautmann,U. Sutter ADM"</formula1>
    </dataValidation>
    <dataValidation type="list" allowBlank="1" sqref="J97" xr:uid="{00000000-0002-0000-0200-000062000000}">
      <formula1>"J. Dorn,M. Bandlofsky,O. Haag BS-CAD,T. Trautmann"</formula1>
    </dataValidation>
    <dataValidation type="list" allowBlank="1" sqref="J101" xr:uid="{00000000-0002-0000-0200-000068000000}">
      <formula1>"J. Dorn,O. Haag BS-CAD"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U123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5533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61</v>
      </c>
      <c r="B6" s="4" t="s">
        <v>5481</v>
      </c>
      <c r="C6" s="4" t="str">
        <f>IFERROR(INDEX('Projekt-Budget-Übersicht'!$C:$C,MATCH(10,'Projekt-Budget-Übersicht'!$L:$L,0)),"")</f>
        <v/>
      </c>
      <c r="D6" s="4">
        <v>8</v>
      </c>
      <c r="E6" s="4">
        <v>1</v>
      </c>
      <c r="F6" s="4">
        <v>1</v>
      </c>
      <c r="G6" s="16">
        <v>12.5</v>
      </c>
      <c r="H6" s="5"/>
      <c r="I6" s="5">
        <f t="shared" ref="I6:I23" si="0">IF(H6=0,0,F6-H6)</f>
        <v>0</v>
      </c>
      <c r="J6" s="4"/>
      <c r="K6" s="5">
        <f>IF('A. Kokott'!J7="C. Trapp SV",'A. Kokott'!I7,0)+IF('D. Brucker'!J7="C. Trapp SV",'D. Brucker'!I7,0)+IF('E. Bieler'!J7="C. Trapp SV",'E. Bieler'!I7,0)+IF('J. Dorchies'!J7="C. Trapp SV",'J. Dorchies'!I7,0)+IF('J. Dorn'!J6="C. Trapp SV",'J. Dorn'!I6,0)+IF('M. Bandlofsky'!J6="C. Trapp SV",'M. Bandlofsky'!I6,0)+IF('T. Trautmann'!J7="C. Trapp SV",'T. Trautmann'!I7,0)+IF('U. Sutter ADM'!J7="C. Trapp SV",'U. Sutter ADM'!I7,0)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23" si="1">IF($B$2="-",0,IF(C6="Pauschale",IF(OR(R6=0,N(D6)=0),0,MAX(0,MIN(R6*((N(F6)+N(K6))/N(D6)),R6-R6*(N(E6)/N(D6))))),L6*(N(F6)+N(K6))))</f>
        <v>0</v>
      </c>
      <c r="N6" s="10">
        <f t="shared" ref="N6:N23" si="2">IF($B$2="-",0,IF(C6="Pauschale",IF(OR(R6=0,N(D6)=0),0,R6*((N(F6)+N(K6))/N(D6))),L6*(N(F6)+N(K6))))</f>
        <v>0</v>
      </c>
      <c r="O6" s="10">
        <f t="shared" ref="O6:O23" si="3">N6-M6</f>
        <v>0</v>
      </c>
      <c r="P6" s="10">
        <f>'A. Kokott'!M7+'C. Trapp SV'!M6+'D. Brucker'!M7+'E. Bieler'!M7+'J. Dorchies'!M7+'J. Dorn'!M6+'M. Bandlofsky'!M6+'T. Trautmann'!M7+'U. Sutter ADM'!M7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4" t="s">
        <v>672</v>
      </c>
      <c r="B7" s="4" t="s">
        <v>5534</v>
      </c>
      <c r="C7" s="4" t="str">
        <f>IFERROR(INDEX('Projekt-Budget-Übersicht'!$C:$C,MATCH(690,'Projekt-Budget-Übersicht'!$L:$L,0)),"")</f>
        <v/>
      </c>
      <c r="D7" s="4">
        <v>40</v>
      </c>
      <c r="E7" s="4">
        <v>468.75</v>
      </c>
      <c r="F7" s="4">
        <v>8</v>
      </c>
      <c r="G7" s="15">
        <v>1171.8800000000001</v>
      </c>
      <c r="H7" s="5"/>
      <c r="I7" s="5">
        <f t="shared" si="0"/>
        <v>0</v>
      </c>
      <c r="J7" s="4"/>
      <c r="K7" s="5">
        <f>IF('U. Sutter ADM'!J9="C. Trapp SV",'U. Sutter ADM'!I9,0)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IF($B$2="-",0,IFERROR(INDEX(IF($B$2="SV",'Projekt-Budget-Übersicht'!$I:$I,IF($B$2="CAD",'Projekt-Budget-Übersicht'!$J:$J,IF($B$2="ADM",'Projekt-Budget-Übersicht'!$K:$K,'Projekt-Budget-Übersicht'!$I:$I))),MATCH(690,'Projekt-Budget-Übersicht'!$M:$M,0)),0))</f>
        <v>115</v>
      </c>
      <c r="M7" s="10">
        <f t="shared" si="1"/>
        <v>920</v>
      </c>
      <c r="N7" s="10">
        <f t="shared" si="2"/>
        <v>920</v>
      </c>
      <c r="O7" s="10">
        <f t="shared" si="3"/>
        <v>0</v>
      </c>
      <c r="P7" s="10">
        <f>'C. Trapp SV'!M7+'U. Sutter ADM'!M9</f>
        <v>977.5</v>
      </c>
      <c r="Q7" s="10">
        <v>40</v>
      </c>
      <c r="R7" s="10">
        <f>IFERROR(INDEX('Projekt-Budget-Übersicht'!$F:$F,MATCH(690,'Projekt-Budget-Übersicht'!$L:$L,0)),0)</f>
        <v>0</v>
      </c>
      <c r="S7" s="10">
        <v>17.5</v>
      </c>
      <c r="T7" s="4"/>
      <c r="U7" s="4"/>
    </row>
    <row r="8" spans="1:21" x14ac:dyDescent="0.25">
      <c r="A8" s="21" t="s">
        <v>865</v>
      </c>
      <c r="B8" s="4" t="s">
        <v>5535</v>
      </c>
      <c r="C8" s="4" t="str">
        <f>IFERROR(INDEX('Projekt-Budget-Übersicht'!$C:$C,MATCH(890,'Projekt-Budget-Übersicht'!$L:$L,0)),"")</f>
        <v/>
      </c>
      <c r="D8" s="4">
        <v>6</v>
      </c>
      <c r="E8" s="4">
        <v>16.75</v>
      </c>
      <c r="F8" s="4">
        <v>4</v>
      </c>
      <c r="G8" s="15">
        <v>279.17</v>
      </c>
      <c r="H8" s="5"/>
      <c r="I8" s="5">
        <f t="shared" si="0"/>
        <v>0</v>
      </c>
      <c r="J8" s="4"/>
      <c r="K8" s="5">
        <f>IF('U. Sutter ADM'!J10="C. Trapp SV",'U. Sutter ADM'!I10,0)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'C. Trapp SV'!M8+'U. Sutter ADM'!M10</f>
        <v>0</v>
      </c>
      <c r="Q8" s="10">
        <v>63</v>
      </c>
      <c r="R8" s="10">
        <f>IFERROR(INDEX('Projekt-Budget-Übersicht'!$F:$F,MATCH(890,'Projekt-Budget-Übersicht'!$L:$L,0)),0)</f>
        <v>0</v>
      </c>
      <c r="S8" s="10">
        <v>7717.86</v>
      </c>
      <c r="T8" s="4"/>
      <c r="U8" s="4"/>
    </row>
    <row r="9" spans="1:21" x14ac:dyDescent="0.25">
      <c r="A9" s="23"/>
      <c r="B9" s="4" t="s">
        <v>5536</v>
      </c>
      <c r="C9" s="4" t="str">
        <f>IFERROR(INDEX('Projekt-Budget-Übersicht'!$C:$C,MATCH(892,'Projekt-Budget-Übersicht'!$L:$L,0)),"")</f>
        <v/>
      </c>
      <c r="D9" s="4">
        <v>52</v>
      </c>
      <c r="E9" s="4">
        <v>146.75</v>
      </c>
      <c r="F9" s="4">
        <v>8.75</v>
      </c>
      <c r="G9" s="15">
        <v>282.20999999999998</v>
      </c>
      <c r="H9" s="5"/>
      <c r="I9" s="5">
        <f t="shared" si="0"/>
        <v>0</v>
      </c>
      <c r="J9" s="4"/>
      <c r="K9" s="5">
        <f>IF('S. Schüler'!J13="C. Trapp SV",'S. Schüler'!I13,0)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'C. Trapp SV'!M9+'S. Schüler'!M13</f>
        <v>0</v>
      </c>
      <c r="Q9" s="10">
        <v>107</v>
      </c>
      <c r="R9" s="10">
        <f>IFERROR(INDEX('Projekt-Budget-Übersicht'!$F:$F,MATCH(892,'Projekt-Budget-Übersicht'!$L:$L,0)),0)</f>
        <v>0</v>
      </c>
      <c r="S9" s="10">
        <v>12383.75</v>
      </c>
      <c r="T9" s="4"/>
      <c r="U9" s="4"/>
    </row>
    <row r="10" spans="1:21" x14ac:dyDescent="0.25">
      <c r="A10" s="23"/>
      <c r="B10" s="4" t="s">
        <v>5537</v>
      </c>
      <c r="C10" s="4" t="str">
        <f>IFERROR(INDEX('Projekt-Budget-Übersicht'!$C:$C,MATCH(891,'Projekt-Budget-Übersicht'!$L:$L,0)),"")</f>
        <v/>
      </c>
      <c r="D10" s="4">
        <v>21</v>
      </c>
      <c r="E10" s="4">
        <v>30.25</v>
      </c>
      <c r="F10" s="4">
        <v>1.5</v>
      </c>
      <c r="G10" s="15">
        <v>144.05000000000001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IF($B$2="-",0,IFERROR(INDEX(IF($B$2="SV",'Projekt-Budget-Übersicht'!$I:$I,IF($B$2="CAD",'Projekt-Budget-Übersicht'!$J:$J,IF($B$2="ADM",'Projekt-Budget-Übersicht'!$K:$K,'Projekt-Budget-Übersicht'!$I:$I))),MATCH(891,'Projekt-Budget-Übersicht'!$M:$M,0)),0))</f>
        <v>94.761904761904759</v>
      </c>
      <c r="M10" s="10">
        <f t="shared" si="1"/>
        <v>142.14285714285714</v>
      </c>
      <c r="N10" s="10">
        <f t="shared" si="2"/>
        <v>142.14285714285714</v>
      </c>
      <c r="O10" s="10">
        <f t="shared" si="3"/>
        <v>0</v>
      </c>
      <c r="P10" s="10">
        <f>'C. Trapp SV'!M10</f>
        <v>142.14285714285714</v>
      </c>
      <c r="Q10" s="10">
        <v>21</v>
      </c>
      <c r="R10" s="10">
        <f>IFERROR(INDEX('Projekt-Budget-Übersicht'!$F:$F,MATCH(891,'Projekt-Budget-Übersicht'!$L:$L,0)),0)</f>
        <v>0</v>
      </c>
      <c r="S10" s="10">
        <v>180</v>
      </c>
      <c r="T10" s="4"/>
      <c r="U10" s="4"/>
    </row>
    <row r="11" spans="1:21" x14ac:dyDescent="0.25">
      <c r="A11" s="23"/>
      <c r="B11" s="4" t="s">
        <v>5538</v>
      </c>
      <c r="C11" s="4" t="str">
        <f>IFERROR(INDEX('Projekt-Budget-Übersicht'!$C:$C,MATCH(892,'Projekt-Budget-Übersicht'!$L:$L,0)),"")</f>
        <v/>
      </c>
      <c r="D11" s="4">
        <v>5</v>
      </c>
      <c r="E11" s="4">
        <v>23.5</v>
      </c>
      <c r="F11" s="4">
        <v>16.5</v>
      </c>
      <c r="G11" s="15">
        <v>470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'C. Trapp SV'!M11</f>
        <v>0</v>
      </c>
      <c r="Q11" s="10">
        <v>107</v>
      </c>
      <c r="R11" s="10">
        <f>IFERROR(INDEX('Projekt-Budget-Übersicht'!$F:$F,MATCH(892,'Projekt-Budget-Übersicht'!$L:$L,0)),0)</f>
        <v>0</v>
      </c>
      <c r="S11" s="10">
        <v>12383.75</v>
      </c>
      <c r="T11" s="4"/>
      <c r="U11" s="4"/>
    </row>
    <row r="12" spans="1:21" x14ac:dyDescent="0.25">
      <c r="A12" s="22"/>
      <c r="B12" s="4" t="s">
        <v>5539</v>
      </c>
      <c r="C12" s="4" t="str">
        <f>IFERROR(INDEX('Projekt-Budget-Übersicht'!$C:$C,MATCH(893,'Projekt-Budget-Übersicht'!$L:$L,0)),"")</f>
        <v/>
      </c>
      <c r="D12" s="4">
        <v>19</v>
      </c>
      <c r="E12" s="4">
        <v>1.5</v>
      </c>
      <c r="F12" s="4">
        <v>1.5</v>
      </c>
      <c r="G12" s="16">
        <v>7.89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'C. Trapp SV'!M12</f>
        <v>0</v>
      </c>
      <c r="Q12" s="10">
        <v>81.5</v>
      </c>
      <c r="R12" s="10">
        <f>IFERROR(INDEX('Projekt-Budget-Übersicht'!$F:$F,MATCH(893,'Projekt-Budget-Übersicht'!$L:$L,0)),0)</f>
        <v>0</v>
      </c>
      <c r="S12" s="10">
        <v>988.75</v>
      </c>
      <c r="T12" s="4"/>
      <c r="U12" s="4"/>
    </row>
    <row r="13" spans="1:21" x14ac:dyDescent="0.25">
      <c r="A13" s="21" t="s">
        <v>1377</v>
      </c>
      <c r="B13" s="4" t="s">
        <v>5537</v>
      </c>
      <c r="C13" s="4" t="str">
        <f>IFERROR(INDEX('Projekt-Budget-Übersicht'!$C:$C,MATCH(1490,'Projekt-Budget-Übersicht'!$L:$L,0)),"")</f>
        <v/>
      </c>
      <c r="D13" s="4">
        <v>16</v>
      </c>
      <c r="E13" s="4">
        <v>68.75</v>
      </c>
      <c r="F13" s="4">
        <v>2.25</v>
      </c>
      <c r="G13" s="15">
        <v>429.69</v>
      </c>
      <c r="H13" s="5"/>
      <c r="I13" s="5">
        <f t="shared" si="0"/>
        <v>0</v>
      </c>
      <c r="J13" s="4"/>
      <c r="K13" s="5">
        <f>IF('M. Bandlofsky'!J11="C. Trapp SV",'M. Bandlofsky'!I11,0)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13" s="10">
        <f t="shared" si="1"/>
        <v>191.25</v>
      </c>
      <c r="N13" s="10">
        <f t="shared" si="2"/>
        <v>191.25</v>
      </c>
      <c r="O13" s="10">
        <f t="shared" si="3"/>
        <v>0</v>
      </c>
      <c r="P13" s="10">
        <f>'C. Trapp SV'!M13+'M. Bandlofsky'!M11</f>
        <v>998.75</v>
      </c>
      <c r="Q13" s="10">
        <v>16</v>
      </c>
      <c r="R13" s="10">
        <f>IFERROR(INDEX('Projekt-Budget-Übersicht'!$F:$F,MATCH(1490,'Projekt-Budget-Übersicht'!$L:$L,0)),0)</f>
        <v>0</v>
      </c>
      <c r="S13" s="10">
        <v>453.82</v>
      </c>
      <c r="T13" s="4"/>
      <c r="U13" s="4"/>
    </row>
    <row r="14" spans="1:21" x14ac:dyDescent="0.25">
      <c r="A14" s="23"/>
      <c r="B14" s="4" t="s">
        <v>5540</v>
      </c>
      <c r="C14" s="4" t="str">
        <f>IFERROR(INDEX('Projekt-Budget-Übersicht'!$C:$C,MATCH(1494,'Projekt-Budget-Übersicht'!$L:$L,0)),"")</f>
        <v/>
      </c>
      <c r="D14" s="4">
        <v>610</v>
      </c>
      <c r="E14" s="4">
        <v>45.25</v>
      </c>
      <c r="F14" s="4">
        <v>32.75</v>
      </c>
      <c r="G14" s="16">
        <v>7.42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'C. Trapp SV'!M14</f>
        <v>0</v>
      </c>
      <c r="Q14" s="10">
        <v>1516</v>
      </c>
      <c r="R14" s="10">
        <f>IFERROR(INDEX('Projekt-Budget-Übersicht'!$F:$F,MATCH(1494,'Projekt-Budget-Übersicht'!$L:$L,0)),0)</f>
        <v>0</v>
      </c>
      <c r="S14" s="10">
        <v>573.22</v>
      </c>
      <c r="T14" s="4"/>
      <c r="U14" s="4"/>
    </row>
    <row r="15" spans="1:21" x14ac:dyDescent="0.25">
      <c r="A15" s="23"/>
      <c r="B15" s="4" t="s">
        <v>5541</v>
      </c>
      <c r="C15" s="4" t="str">
        <f>IFERROR(INDEX('Projekt-Budget-Übersicht'!$C:$C,MATCH(1494,'Projekt-Budget-Übersicht'!$L:$L,0)),"")</f>
        <v/>
      </c>
      <c r="D15" s="4">
        <v>160</v>
      </c>
      <c r="E15" s="4">
        <v>22</v>
      </c>
      <c r="F15" s="4">
        <v>2</v>
      </c>
      <c r="G15" s="16">
        <v>13.75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'C. Trapp SV'!M15</f>
        <v>0</v>
      </c>
      <c r="Q15" s="10">
        <v>1516</v>
      </c>
      <c r="R15" s="10">
        <f>IFERROR(INDEX('Projekt-Budget-Übersicht'!$F:$F,MATCH(1494,'Projekt-Budget-Übersicht'!$L:$L,0)),0)</f>
        <v>0</v>
      </c>
      <c r="S15" s="10">
        <v>573.22</v>
      </c>
      <c r="T15" s="4"/>
      <c r="U15" s="4"/>
    </row>
    <row r="16" spans="1:21" x14ac:dyDescent="0.25">
      <c r="A16" s="22"/>
      <c r="B16" s="4" t="s">
        <v>5542</v>
      </c>
      <c r="C16" s="4" t="str">
        <f>IFERROR(INDEX('Projekt-Budget-Übersicht'!$C:$C,MATCH(1494,'Projekt-Budget-Übersicht'!$L:$L,0)),"")</f>
        <v/>
      </c>
      <c r="D16" s="4">
        <v>562</v>
      </c>
      <c r="E16" s="4">
        <v>199</v>
      </c>
      <c r="F16" s="4">
        <v>31</v>
      </c>
      <c r="G16" s="16">
        <v>35.409999999999997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'C. Trapp SV'!M16</f>
        <v>0</v>
      </c>
      <c r="Q16" s="10">
        <v>1516</v>
      </c>
      <c r="R16" s="10">
        <f>IFERROR(INDEX('Projekt-Budget-Übersicht'!$F:$F,MATCH(1494,'Projekt-Budget-Übersicht'!$L:$L,0)),0)</f>
        <v>0</v>
      </c>
      <c r="S16" s="10">
        <v>573.22</v>
      </c>
      <c r="T16" s="4"/>
      <c r="U16" s="4"/>
    </row>
    <row r="17" spans="1:21" x14ac:dyDescent="0.25">
      <c r="A17" s="21" t="s">
        <v>1490</v>
      </c>
      <c r="B17" s="4" t="s">
        <v>5543</v>
      </c>
      <c r="C17" s="4" t="str">
        <f>IFERROR(INDEX('Projekt-Budget-Übersicht'!$C:$C,MATCH(1678,'Projekt-Budget-Übersicht'!$L:$L,0)),"")</f>
        <v/>
      </c>
      <c r="D17" s="4">
        <v>240</v>
      </c>
      <c r="E17" s="4">
        <v>168.5</v>
      </c>
      <c r="F17" s="4">
        <v>18</v>
      </c>
      <c r="G17" s="16">
        <v>70.209999999999994</v>
      </c>
      <c r="H17" s="5"/>
      <c r="I17" s="5">
        <f t="shared" si="0"/>
        <v>0</v>
      </c>
      <c r="J17" s="4"/>
      <c r="K17" s="5">
        <f>IF('U. Sutter ADM'!J15="C. Trapp SV",'U. Sutter ADM'!I15,0)</f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'C. Trapp SV'!M17+'U. Sutter ADM'!M15</f>
        <v>0</v>
      </c>
      <c r="Q17" s="10">
        <v>272</v>
      </c>
      <c r="R17" s="10">
        <f>IFERROR(INDEX('Projekt-Budget-Übersicht'!$F:$F,MATCH(1678,'Projekt-Budget-Übersicht'!$L:$L,0)),0)</f>
        <v>0</v>
      </c>
      <c r="S17" s="10">
        <v>4718.17</v>
      </c>
      <c r="T17" s="4"/>
      <c r="U17" s="4"/>
    </row>
    <row r="18" spans="1:21" x14ac:dyDescent="0.25">
      <c r="A18" s="22"/>
      <c r="B18" s="4" t="s">
        <v>5536</v>
      </c>
      <c r="C18" s="4" t="str">
        <f>IFERROR(INDEX('Projekt-Budget-Übersicht'!$C:$C,MATCH(1679,'Projekt-Budget-Übersicht'!$L:$L,0)),"")</f>
        <v/>
      </c>
      <c r="D18" s="4">
        <v>25.25</v>
      </c>
      <c r="E18" s="4">
        <v>96</v>
      </c>
      <c r="F18" s="4">
        <v>1</v>
      </c>
      <c r="G18" s="15">
        <v>380.2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IF($B$2="-",0,IFERROR(INDEX(IF($B$2="SV",'Projekt-Budget-Übersicht'!$I:$I,IF($B$2="CAD",'Projekt-Budget-Übersicht'!$J:$J,IF($B$2="ADM",'Projekt-Budget-Übersicht'!$K:$K,'Projekt-Budget-Übersicht'!$I:$I))),MATCH(1679,'Projekt-Budget-Übersicht'!$M:$M,0)),0))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'C. Trapp SV'!M18</f>
        <v>0</v>
      </c>
      <c r="Q18" s="10">
        <v>129.75</v>
      </c>
      <c r="R18" s="10">
        <f>IFERROR(INDEX('Projekt-Budget-Übersicht'!$F:$F,MATCH(1679,'Projekt-Budget-Übersicht'!$L:$L,0)),0)</f>
        <v>0</v>
      </c>
      <c r="S18" s="10">
        <v>12307.13</v>
      </c>
      <c r="T18" s="4"/>
      <c r="U18" s="4"/>
    </row>
    <row r="19" spans="1:21" x14ac:dyDescent="0.25">
      <c r="A19" s="4" t="s">
        <v>2913</v>
      </c>
      <c r="B19" s="4" t="s">
        <v>5544</v>
      </c>
      <c r="C19" s="4" t="str">
        <f>IFERROR(INDEX('Projekt-Budget-Übersicht'!$C:$C,MATCH(3188,'Projekt-Budget-Übersicht'!$L:$L,0)),"")</f>
        <v/>
      </c>
      <c r="D19" s="4">
        <v>3640</v>
      </c>
      <c r="E19" s="4">
        <v>175.5</v>
      </c>
      <c r="F19" s="4">
        <v>8.5</v>
      </c>
      <c r="G19" s="16">
        <v>4.82</v>
      </c>
      <c r="H19" s="5"/>
      <c r="I19" s="5">
        <f t="shared" si="0"/>
        <v>0</v>
      </c>
      <c r="J19" s="4"/>
      <c r="K19" s="5">
        <f>IF('P. Bergner'!J8="C. Trapp SV",'P. Bergner'!I8,0)</f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'C. Trapp SV'!M19+'P. Bergner'!M8</f>
        <v>0</v>
      </c>
      <c r="Q19" s="10">
        <v>8840</v>
      </c>
      <c r="R19" s="10">
        <f>IFERROR(INDEX('Projekt-Budget-Übersicht'!$F:$F,MATCH(3188,'Projekt-Budget-Übersicht'!$L:$L,0)),0)</f>
        <v>0</v>
      </c>
      <c r="S19" s="10">
        <v>12198.75</v>
      </c>
      <c r="T19" s="4"/>
      <c r="U19" s="4"/>
    </row>
    <row r="20" spans="1:21" x14ac:dyDescent="0.25">
      <c r="A20" s="4" t="s">
        <v>3070</v>
      </c>
      <c r="B20" s="4" t="s">
        <v>5538</v>
      </c>
      <c r="C20" s="4" t="str">
        <f>IFERROR(INDEX('Projekt-Budget-Übersicht'!$C:$C,MATCH(3321,'Projekt-Budget-Übersicht'!$L:$L,0)),"")</f>
        <v/>
      </c>
      <c r="D20" s="4">
        <v>16</v>
      </c>
      <c r="E20" s="4">
        <v>28.25</v>
      </c>
      <c r="F20" s="4">
        <v>3</v>
      </c>
      <c r="G20" s="15">
        <v>176.56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20" s="10">
        <f t="shared" si="1"/>
        <v>0</v>
      </c>
      <c r="N20" s="10">
        <f t="shared" si="2"/>
        <v>0</v>
      </c>
      <c r="O20" s="10">
        <f t="shared" si="3"/>
        <v>0</v>
      </c>
      <c r="P20" s="10">
        <f>'C. Trapp SV'!M20</f>
        <v>0</v>
      </c>
      <c r="Q20" s="10">
        <v>200</v>
      </c>
      <c r="R20" s="10">
        <f>IFERROR(INDEX('Projekt-Budget-Übersicht'!$F:$F,MATCH(3321,'Projekt-Budget-Übersicht'!$L:$L,0)),0)</f>
        <v>0</v>
      </c>
      <c r="S20" s="10">
        <v>6588.59</v>
      </c>
      <c r="T20" s="4"/>
      <c r="U20" s="4"/>
    </row>
    <row r="21" spans="1:21" x14ac:dyDescent="0.25">
      <c r="A21" s="21" t="s">
        <v>3214</v>
      </c>
      <c r="B21" s="4" t="s">
        <v>5541</v>
      </c>
      <c r="C21" s="4" t="str">
        <f>IFERROR(INDEX('Projekt-Budget-Übersicht'!$C:$C,MATCH(3445,'Projekt-Budget-Übersicht'!$L:$L,0)),"")</f>
        <v/>
      </c>
      <c r="D21" s="4">
        <v>20</v>
      </c>
      <c r="E21" s="4">
        <v>33.75</v>
      </c>
      <c r="F21" s="4">
        <v>15.75</v>
      </c>
      <c r="G21" s="15">
        <v>168.75</v>
      </c>
      <c r="H21" s="5"/>
      <c r="I21" s="5">
        <f t="shared" si="0"/>
        <v>0</v>
      </c>
      <c r="J21" s="4"/>
      <c r="K21" s="5">
        <f>IF('U. Sutter ADM'!J18="C. Trapp SV",'U. Sutter ADM'!I18,0)</f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'C. Trapp SV'!M21+'U. Sutter ADM'!M18</f>
        <v>0</v>
      </c>
      <c r="Q21" s="10">
        <v>144</v>
      </c>
      <c r="R21" s="10">
        <f>IFERROR(INDEX('Projekt-Budget-Übersicht'!$F:$F,MATCH(3445,'Projekt-Budget-Übersicht'!$L:$L,0)),0)</f>
        <v>0</v>
      </c>
      <c r="S21" s="10">
        <v>332.5</v>
      </c>
      <c r="T21" s="4"/>
      <c r="U21" s="4"/>
    </row>
    <row r="22" spans="1:21" x14ac:dyDescent="0.25">
      <c r="A22" s="22"/>
      <c r="B22" s="4" t="s">
        <v>5545</v>
      </c>
      <c r="C22" s="4" t="str">
        <f>IFERROR(INDEX('Projekt-Budget-Übersicht'!$C:$C,MATCH(3445,'Projekt-Budget-Übersicht'!$L:$L,0)),"")</f>
        <v/>
      </c>
      <c r="D22" s="4">
        <v>40</v>
      </c>
      <c r="E22" s="4">
        <v>5</v>
      </c>
      <c r="F22" s="4">
        <v>2</v>
      </c>
      <c r="G22" s="16">
        <v>12.5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'C. Trapp SV'!M22</f>
        <v>0</v>
      </c>
      <c r="Q22" s="10">
        <v>144</v>
      </c>
      <c r="R22" s="10">
        <f>IFERROR(INDEX('Projekt-Budget-Übersicht'!$F:$F,MATCH(3445,'Projekt-Budget-Übersicht'!$L:$L,0)),0)</f>
        <v>0</v>
      </c>
      <c r="S22" s="10">
        <v>332.5</v>
      </c>
      <c r="T22" s="4"/>
      <c r="U22" s="4"/>
    </row>
    <row r="23" spans="1:21" x14ac:dyDescent="0.25">
      <c r="A23" s="4" t="s">
        <v>4632</v>
      </c>
      <c r="B23" s="4" t="s">
        <v>5546</v>
      </c>
      <c r="C23" s="4" t="str">
        <f>IFERROR(INDEX('Projekt-Budget-Übersicht'!$C:$C,MATCH(4666,'Projekt-Budget-Übersicht'!$L:$L,0)),"")</f>
        <v/>
      </c>
      <c r="D23" s="4">
        <v>18</v>
      </c>
      <c r="E23" s="4">
        <v>27</v>
      </c>
      <c r="F23" s="4">
        <v>20.5</v>
      </c>
      <c r="G23" s="15">
        <v>150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IF($B$2="-",0,IFERROR(INDEX(IF($B$2="SV",'Projekt-Budget-Übersicht'!$I:$I,IF($B$2="CAD",'Projekt-Budget-Übersicht'!$J:$J,IF($B$2="ADM",'Projekt-Budget-Übersicht'!$K:$K,'Projekt-Budget-Übersicht'!$I:$I))),MATCH(4666,'Projekt-Budget-Übersicht'!$M:$M,0)),0))</f>
        <v>125.8620689655172</v>
      </c>
      <c r="M23" s="10">
        <f t="shared" si="1"/>
        <v>2580.1724137931024</v>
      </c>
      <c r="N23" s="10">
        <f t="shared" si="2"/>
        <v>2580.1724137931024</v>
      </c>
      <c r="O23" s="10">
        <f t="shared" si="3"/>
        <v>0</v>
      </c>
      <c r="P23" s="10">
        <f>'C. Trapp SV'!M23</f>
        <v>2580.1724137931024</v>
      </c>
      <c r="Q23" s="10">
        <v>139</v>
      </c>
      <c r="R23" s="10">
        <f>IFERROR(INDEX('Projekt-Budget-Übersicht'!$F:$F,MATCH(4666,'Projekt-Budget-Übersicht'!$L:$L,0)),0)</f>
        <v>0</v>
      </c>
      <c r="S23" s="10">
        <v>37.5</v>
      </c>
      <c r="T23" s="4"/>
      <c r="U23" s="4"/>
    </row>
    <row r="24" spans="1:21" x14ac:dyDescent="0.25">
      <c r="A24" s="3"/>
      <c r="B24" s="3" t="s">
        <v>5492</v>
      </c>
      <c r="C24" s="3"/>
      <c r="D24" s="3"/>
      <c r="E24" s="3"/>
      <c r="F24" s="6">
        <v>178</v>
      </c>
      <c r="G24" s="3"/>
      <c r="H24" s="3"/>
      <c r="I24" s="3"/>
      <c r="J24" s="3"/>
      <c r="K24" s="3"/>
      <c r="L24" s="3"/>
      <c r="M24" s="17">
        <f>SUM(M6:M23)</f>
        <v>3833.5652709359592</v>
      </c>
      <c r="N24" s="17">
        <f>SUM(N6:N23)</f>
        <v>3833.5652709359592</v>
      </c>
      <c r="O24" s="17">
        <f>SUM(O6:O23)</f>
        <v>0</v>
      </c>
      <c r="P24" s="17">
        <f>SUM(P6:P23)</f>
        <v>4698.5652709359592</v>
      </c>
      <c r="Q24" s="3"/>
      <c r="R24" s="3"/>
      <c r="S24" s="3"/>
      <c r="T24" s="3"/>
      <c r="U24" s="3"/>
    </row>
    <row r="25" spans="1:21" x14ac:dyDescent="0.25">
      <c r="A25" s="3"/>
      <c r="B25" s="3" t="s">
        <v>4</v>
      </c>
      <c r="C25" s="3"/>
      <c r="D25" s="3"/>
      <c r="E25" s="3"/>
      <c r="F25" s="6">
        <f>G25+H25</f>
        <v>95.75</v>
      </c>
      <c r="G25" s="6">
        <v>95.75</v>
      </c>
      <c r="H25" s="6">
        <f>SUM(H7,H8,H9,H10,H11,H12,H13,H14,H15,H16,H17,H18,H19,H20,H21,H22,H23)</f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</v>
      </c>
      <c r="C26" s="3"/>
      <c r="D26" s="3"/>
      <c r="E26" s="3"/>
      <c r="F26" s="6">
        <f>G26+H26</f>
        <v>1</v>
      </c>
      <c r="G26" s="6">
        <v>1</v>
      </c>
      <c r="H26" s="6">
        <f>SUM(H6)</f>
        <v>0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3"/>
      <c r="B27" s="3" t="s">
        <v>5493</v>
      </c>
      <c r="C27" s="3"/>
      <c r="D27" s="3"/>
      <c r="E27" s="3"/>
      <c r="F27" s="6">
        <f>SUM(K6:K23)</f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1:21" x14ac:dyDescent="0.25">
      <c r="A28" s="18"/>
      <c r="B28" s="18" t="s">
        <v>5494</v>
      </c>
      <c r="C28" s="18"/>
      <c r="D28" s="18"/>
      <c r="E28" s="18"/>
      <c r="F28" s="19">
        <f>F25+F26+F27</f>
        <v>96.75</v>
      </c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30" spans="1:21" ht="15.75" x14ac:dyDescent="0.25">
      <c r="A30" s="2" t="s">
        <v>5495</v>
      </c>
    </row>
    <row r="31" spans="1:21" x14ac:dyDescent="0.25">
      <c r="A31" s="3" t="s">
        <v>35</v>
      </c>
      <c r="B31" s="3" t="s">
        <v>5461</v>
      </c>
      <c r="C31" s="3" t="s">
        <v>37</v>
      </c>
      <c r="D31" s="3" t="s">
        <v>5462</v>
      </c>
      <c r="E31" s="3" t="s">
        <v>5463</v>
      </c>
      <c r="F31" s="3" t="s">
        <v>5496</v>
      </c>
      <c r="G31" s="3" t="s">
        <v>5465</v>
      </c>
      <c r="H31" s="3" t="s">
        <v>5466</v>
      </c>
      <c r="I31" s="3" t="s">
        <v>5467</v>
      </c>
      <c r="J31" s="3" t="s">
        <v>5468</v>
      </c>
      <c r="K31" s="3" t="s">
        <v>5469</v>
      </c>
      <c r="L31" s="3" t="s">
        <v>5470</v>
      </c>
      <c r="M31" s="3" t="s">
        <v>5471</v>
      </c>
      <c r="N31" s="3" t="s">
        <v>5472</v>
      </c>
      <c r="O31" s="3" t="s">
        <v>5473</v>
      </c>
      <c r="P31" s="3" t="s">
        <v>5474</v>
      </c>
      <c r="Q31" s="3" t="s">
        <v>5475</v>
      </c>
      <c r="R31" s="3" t="s">
        <v>5476</v>
      </c>
      <c r="S31" s="3" t="s">
        <v>5477</v>
      </c>
      <c r="T31" s="3" t="s">
        <v>5478</v>
      </c>
      <c r="U31" s="3" t="s">
        <v>5479</v>
      </c>
    </row>
    <row r="32" spans="1:21" x14ac:dyDescent="0.25">
      <c r="A32" s="4" t="s">
        <v>61</v>
      </c>
      <c r="B32" s="4" t="s">
        <v>5547</v>
      </c>
      <c r="C32" s="4" t="str">
        <f>IFERROR(INDEX('Projekt-Budget-Übersicht'!$C:$C,MATCH(10,'Projekt-Budget-Übersicht'!$L:$L,0)),"")</f>
        <v/>
      </c>
      <c r="D32" s="4">
        <v>8</v>
      </c>
      <c r="E32" s="4">
        <v>3.5</v>
      </c>
      <c r="F32" s="4">
        <v>3.5</v>
      </c>
      <c r="G32" s="16">
        <v>43.75</v>
      </c>
      <c r="H32" s="5"/>
      <c r="I32" s="5">
        <f t="shared" ref="I32:I47" si="4">IF(H32=0,0,F32-H32)</f>
        <v>0</v>
      </c>
      <c r="J32" s="4"/>
      <c r="K32" s="5">
        <f>IF('J. Dorn'!J46="C. Trapp SV",'J. Dorn'!I46,0)+IF('T. Trautmann'!J30="C. Trapp SV",'T. Trautmann'!I30,0)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2" s="10">
        <f t="shared" ref="M32:M47" si="5">IF($B$2="-",0,IF(C32="Pauschale",IF(OR(R32=0,N(D32)=0),0,MAX(0,MIN(R32*((N(F32)+N(K32))/N(D32)),R32-R32*(N(E32)/N(D32))))),L32*(N(F32)+N(K32))))</f>
        <v>0</v>
      </c>
      <c r="N32" s="10">
        <f t="shared" ref="N32:N47" si="6">IF($B$2="-",0,IF(C32="Pauschale",IF(OR(R32=0,N(D32)=0),0,R32*((N(F32)+N(K32))/N(D32))),L32*(N(F32)+N(K32))))</f>
        <v>0</v>
      </c>
      <c r="O32" s="10">
        <f t="shared" ref="O32:O47" si="7">N32-M32</f>
        <v>0</v>
      </c>
      <c r="P32" s="10">
        <f>'C. Trapp SV'!M32+'J. Dorn'!M46+'T. Trautmann'!M30</f>
        <v>0</v>
      </c>
      <c r="Q32" s="10">
        <v>132</v>
      </c>
      <c r="R32" s="10">
        <f>IFERROR(INDEX('Projekt-Budget-Übersicht'!$F:$F,MATCH(10,'Projekt-Budget-Übersicht'!$L:$L,0)),0)</f>
        <v>0</v>
      </c>
      <c r="S32" s="10">
        <v>68628.19</v>
      </c>
      <c r="T32" s="4"/>
      <c r="U32" s="4"/>
    </row>
    <row r="33" spans="1:21" x14ac:dyDescent="0.25">
      <c r="A33" s="4" t="s">
        <v>672</v>
      </c>
      <c r="B33" s="4" t="s">
        <v>5534</v>
      </c>
      <c r="C33" s="4" t="str">
        <f>IFERROR(INDEX('Projekt-Budget-Übersicht'!$C:$C,MATCH(690,'Projekt-Budget-Übersicht'!$L:$L,0)),"")</f>
        <v/>
      </c>
      <c r="D33" s="4">
        <v>40</v>
      </c>
      <c r="E33" s="4">
        <v>472.75</v>
      </c>
      <c r="F33" s="4">
        <v>4</v>
      </c>
      <c r="G33" s="15">
        <v>1181.8800000000001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IF($B$2="-",0,IFERROR(INDEX(IF($B$2="SV",'Projekt-Budget-Übersicht'!$I:$I,IF($B$2="CAD",'Projekt-Budget-Übersicht'!$J:$J,IF($B$2="ADM",'Projekt-Budget-Übersicht'!$K:$K,'Projekt-Budget-Übersicht'!$I:$I))),MATCH(690,'Projekt-Budget-Übersicht'!$M:$M,0)),0))</f>
        <v>115</v>
      </c>
      <c r="M33" s="10">
        <f t="shared" si="5"/>
        <v>460</v>
      </c>
      <c r="N33" s="10">
        <f t="shared" si="6"/>
        <v>460</v>
      </c>
      <c r="O33" s="10">
        <f t="shared" si="7"/>
        <v>0</v>
      </c>
      <c r="P33" s="10">
        <f>'C. Trapp SV'!M33</f>
        <v>460</v>
      </c>
      <c r="Q33" s="10">
        <v>40</v>
      </c>
      <c r="R33" s="10">
        <f>IFERROR(INDEX('Projekt-Budget-Übersicht'!$F:$F,MATCH(690,'Projekt-Budget-Übersicht'!$L:$L,0)),0)</f>
        <v>0</v>
      </c>
      <c r="S33" s="10">
        <v>17.5</v>
      </c>
      <c r="T33" s="4"/>
      <c r="U33" s="4"/>
    </row>
    <row r="34" spans="1:21" x14ac:dyDescent="0.25">
      <c r="A34" s="4" t="s">
        <v>865</v>
      </c>
      <c r="B34" s="4" t="s">
        <v>5538</v>
      </c>
      <c r="C34" s="4" t="str">
        <f>IFERROR(INDEX('Projekt-Budget-Übersicht'!$C:$C,MATCH(892,'Projekt-Budget-Übersicht'!$L:$L,0)),"")</f>
        <v/>
      </c>
      <c r="D34" s="4">
        <v>5</v>
      </c>
      <c r="E34" s="4">
        <v>25</v>
      </c>
      <c r="F34" s="4">
        <v>1.5</v>
      </c>
      <c r="G34" s="15">
        <v>500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'C. Trapp SV'!M34</f>
        <v>0</v>
      </c>
      <c r="Q34" s="10">
        <v>107</v>
      </c>
      <c r="R34" s="10">
        <f>IFERROR(INDEX('Projekt-Budget-Übersicht'!$F:$F,MATCH(892,'Projekt-Budget-Übersicht'!$L:$L,0)),0)</f>
        <v>0</v>
      </c>
      <c r="S34" s="10">
        <v>12383.75</v>
      </c>
      <c r="T34" s="4"/>
      <c r="U34" s="4"/>
    </row>
    <row r="35" spans="1:21" x14ac:dyDescent="0.25">
      <c r="A35" s="21" t="s">
        <v>1377</v>
      </c>
      <c r="B35" s="4" t="s">
        <v>5536</v>
      </c>
      <c r="C35" s="4" t="str">
        <f>IFERROR(INDEX('Projekt-Budget-Übersicht'!$C:$C,MATCH(1491,'Projekt-Budget-Übersicht'!$L:$L,0)),"")</f>
        <v/>
      </c>
      <c r="D35" s="4">
        <v>307.5</v>
      </c>
      <c r="E35" s="4">
        <v>390.25</v>
      </c>
      <c r="F35" s="4">
        <v>1.5</v>
      </c>
      <c r="G35" s="15">
        <v>126.91</v>
      </c>
      <c r="H35" s="5"/>
      <c r="I35" s="5">
        <f t="shared" si="4"/>
        <v>0</v>
      </c>
      <c r="J35" s="4"/>
      <c r="K35" s="5">
        <f>IF('E. Bieler'!J50="C. Trapp SV",'E. Bieler'!I50,0)+IF('M. Bandlofsky'!J31="C. Trapp SV",'M. Bandlofsky'!I31,0)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'C. Trapp SV'!M35+'E. Bieler'!M50+'M. Bandlofsky'!M31</f>
        <v>0</v>
      </c>
      <c r="Q35" s="10">
        <v>652.5</v>
      </c>
      <c r="R35" s="10">
        <f>IFERROR(INDEX('Projekt-Budget-Übersicht'!$F:$F,MATCH(1491,'Projekt-Budget-Übersicht'!$L:$L,0)),0)</f>
        <v>0</v>
      </c>
      <c r="S35" s="10">
        <v>21224.71</v>
      </c>
      <c r="T35" s="4"/>
      <c r="U35" s="4"/>
    </row>
    <row r="36" spans="1:21" x14ac:dyDescent="0.25">
      <c r="A36" s="23"/>
      <c r="B36" s="4" t="s">
        <v>5540</v>
      </c>
      <c r="C36" s="4" t="str">
        <f>IFERROR(INDEX('Projekt-Budget-Übersicht'!$C:$C,MATCH(1494,'Projekt-Budget-Übersicht'!$L:$L,0)),"")</f>
        <v/>
      </c>
      <c r="D36" s="4">
        <v>610</v>
      </c>
      <c r="E36" s="4">
        <v>65.5</v>
      </c>
      <c r="F36" s="4">
        <v>14.5</v>
      </c>
      <c r="G36" s="16">
        <v>10.74</v>
      </c>
      <c r="H36" s="5"/>
      <c r="I36" s="5">
        <f t="shared" si="4"/>
        <v>0</v>
      </c>
      <c r="J36" s="4"/>
      <c r="K36" s="5">
        <f>IF('E. Bieler'!J51="C. Trapp SV",'E. Bieler'!I51,0)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'C. Trapp SV'!M36+'E. Bieler'!M51</f>
        <v>0</v>
      </c>
      <c r="Q36" s="10">
        <v>1516</v>
      </c>
      <c r="R36" s="10">
        <f>IFERROR(INDEX('Projekt-Budget-Übersicht'!$F:$F,MATCH(1494,'Projekt-Budget-Übersicht'!$L:$L,0)),0)</f>
        <v>0</v>
      </c>
      <c r="S36" s="10">
        <v>573.22</v>
      </c>
      <c r="T36" s="4"/>
      <c r="U36" s="4"/>
    </row>
    <row r="37" spans="1:21" x14ac:dyDescent="0.25">
      <c r="A37" s="23"/>
      <c r="B37" s="4" t="s">
        <v>5541</v>
      </c>
      <c r="C37" s="4" t="str">
        <f>IFERROR(INDEX('Projekt-Budget-Übersicht'!$C:$C,MATCH(1494,'Projekt-Budget-Übersicht'!$L:$L,0)),"")</f>
        <v/>
      </c>
      <c r="D37" s="4">
        <v>160</v>
      </c>
      <c r="E37" s="4">
        <v>29</v>
      </c>
      <c r="F37" s="4">
        <v>7</v>
      </c>
      <c r="G37" s="16">
        <v>18.12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'C. Trapp SV'!M37</f>
        <v>0</v>
      </c>
      <c r="Q37" s="10">
        <v>1516</v>
      </c>
      <c r="R37" s="10">
        <f>IFERROR(INDEX('Projekt-Budget-Übersicht'!$F:$F,MATCH(1494,'Projekt-Budget-Übersicht'!$L:$L,0)),0)</f>
        <v>0</v>
      </c>
      <c r="S37" s="10">
        <v>573.22</v>
      </c>
      <c r="T37" s="4"/>
      <c r="U37" s="4"/>
    </row>
    <row r="38" spans="1:21" x14ac:dyDescent="0.25">
      <c r="A38" s="22"/>
      <c r="B38" s="4" t="s">
        <v>5542</v>
      </c>
      <c r="C38" s="4" t="str">
        <f>IFERROR(INDEX('Projekt-Budget-Übersicht'!$C:$C,MATCH(1494,'Projekt-Budget-Übersicht'!$L:$L,0)),"")</f>
        <v/>
      </c>
      <c r="D38" s="4">
        <v>562</v>
      </c>
      <c r="E38" s="4">
        <v>244.5</v>
      </c>
      <c r="F38" s="4">
        <v>27</v>
      </c>
      <c r="G38" s="16">
        <v>43.51</v>
      </c>
      <c r="H38" s="5"/>
      <c r="I38" s="5">
        <f t="shared" si="4"/>
        <v>0</v>
      </c>
      <c r="J38" s="4"/>
      <c r="K38" s="5">
        <f>IF('S. Roßkopf'!J6="C. Trapp SV",'S. Roßkopf'!I6,0)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'C. Trapp SV'!M38+'S. Roßkopf'!M6</f>
        <v>0</v>
      </c>
      <c r="Q38" s="10">
        <v>1516</v>
      </c>
      <c r="R38" s="10">
        <f>IFERROR(INDEX('Projekt-Budget-Übersicht'!$F:$F,MATCH(1494,'Projekt-Budget-Übersicht'!$L:$L,0)),0)</f>
        <v>0</v>
      </c>
      <c r="S38" s="10">
        <v>573.22</v>
      </c>
      <c r="T38" s="4"/>
      <c r="U38" s="4"/>
    </row>
    <row r="39" spans="1:21" x14ac:dyDescent="0.25">
      <c r="A39" s="21" t="s">
        <v>1490</v>
      </c>
      <c r="B39" s="4" t="s">
        <v>5499</v>
      </c>
      <c r="C39" s="4" t="str">
        <f>IFERROR(INDEX('Projekt-Budget-Übersicht'!$C:$C,MATCH(1677,'Projekt-Budget-Übersicht'!$L:$L,0)),"")</f>
        <v/>
      </c>
      <c r="D39" s="4">
        <v>32</v>
      </c>
      <c r="E39" s="4">
        <v>51.75</v>
      </c>
      <c r="F39" s="4">
        <v>34</v>
      </c>
      <c r="G39" s="15">
        <v>161.72</v>
      </c>
      <c r="H39" s="5"/>
      <c r="I39" s="5">
        <f t="shared" si="4"/>
        <v>0</v>
      </c>
      <c r="J39" s="4"/>
      <c r="K39" s="5">
        <f>IF('A. Kokott'!J47="C. Trapp SV",'A. Kokott'!I47,0)+IF('S. Roßkopf'!J7="C. Trapp SV",'S. Roßkopf'!I7,0)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39" s="10">
        <f t="shared" si="5"/>
        <v>5780</v>
      </c>
      <c r="N39" s="10">
        <f t="shared" si="6"/>
        <v>5780</v>
      </c>
      <c r="O39" s="10">
        <f t="shared" si="7"/>
        <v>0</v>
      </c>
      <c r="P39" s="10">
        <f>'A. Kokott'!M47+'C. Trapp SV'!M39+'S. Roßkopf'!M7</f>
        <v>8585</v>
      </c>
      <c r="Q39" s="10">
        <v>32</v>
      </c>
      <c r="R39" s="10">
        <f>IFERROR(INDEX('Projekt-Budget-Übersicht'!$F:$F,MATCH(1677,'Projekt-Budget-Übersicht'!$L:$L,0)),0)</f>
        <v>0</v>
      </c>
      <c r="S39" s="10">
        <v>42.5</v>
      </c>
      <c r="T39" s="4"/>
      <c r="U39" s="4"/>
    </row>
    <row r="40" spans="1:21" x14ac:dyDescent="0.25">
      <c r="A40" s="23"/>
      <c r="B40" s="4" t="s">
        <v>5536</v>
      </c>
      <c r="C40" s="4" t="str">
        <f>IFERROR(INDEX('Projekt-Budget-Übersicht'!$C:$C,MATCH(1679,'Projekt-Budget-Übersicht'!$L:$L,0)),"")</f>
        <v/>
      </c>
      <c r="D40" s="4">
        <v>25.25</v>
      </c>
      <c r="E40" s="4">
        <v>104</v>
      </c>
      <c r="F40" s="4">
        <v>8</v>
      </c>
      <c r="G40" s="15">
        <v>411.88</v>
      </c>
      <c r="H40" s="5"/>
      <c r="I40" s="5">
        <f t="shared" si="4"/>
        <v>0</v>
      </c>
      <c r="J40" s="4"/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IF($B$2="-",0,IFERROR(INDEX(IF($B$2="SV",'Projekt-Budget-Übersicht'!$I:$I,IF($B$2="CAD",'Projekt-Budget-Übersicht'!$J:$J,IF($B$2="ADM",'Projekt-Budget-Übersicht'!$K:$K,'Projekt-Budget-Übersicht'!$I:$I))),MATCH(1679,'Projekt-Budget-Übersicht'!$M:$M,0)),0))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'C. Trapp SV'!M40</f>
        <v>0</v>
      </c>
      <c r="Q40" s="10">
        <v>129.75</v>
      </c>
      <c r="R40" s="10">
        <f>IFERROR(INDEX('Projekt-Budget-Übersicht'!$F:$F,MATCH(1679,'Projekt-Budget-Übersicht'!$L:$L,0)),0)</f>
        <v>0</v>
      </c>
      <c r="S40" s="10">
        <v>12307.13</v>
      </c>
      <c r="T40" s="4"/>
      <c r="U40" s="4"/>
    </row>
    <row r="41" spans="1:21" x14ac:dyDescent="0.25">
      <c r="A41" s="22"/>
      <c r="B41" s="4" t="s">
        <v>5548</v>
      </c>
      <c r="C41" s="4" t="str">
        <f>IFERROR(INDEX('Projekt-Budget-Übersicht'!$C:$C,MATCH(1680,'Projekt-Budget-Übersicht'!$L:$L,0)),"")</f>
        <v/>
      </c>
      <c r="D41" s="4">
        <v>1.25</v>
      </c>
      <c r="E41" s="4">
        <v>3.5</v>
      </c>
      <c r="F41" s="4">
        <v>1.25</v>
      </c>
      <c r="G41" s="15">
        <v>280</v>
      </c>
      <c r="H41" s="5"/>
      <c r="I41" s="5">
        <f t="shared" si="4"/>
        <v>0</v>
      </c>
      <c r="J41" s="4"/>
      <c r="K41" s="5"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'C. Trapp SV'!M41</f>
        <v>0</v>
      </c>
      <c r="Q41" s="10">
        <v>122.25</v>
      </c>
      <c r="R41" s="10">
        <f>IFERROR(INDEX('Projekt-Budget-Übersicht'!$F:$F,MATCH(1680,'Projekt-Budget-Übersicht'!$L:$L,0)),0)</f>
        <v>0</v>
      </c>
      <c r="S41" s="10">
        <v>7561.84</v>
      </c>
      <c r="T41" s="4"/>
      <c r="U41" s="4"/>
    </row>
    <row r="42" spans="1:21" x14ac:dyDescent="0.25">
      <c r="A42" s="4" t="s">
        <v>2913</v>
      </c>
      <c r="B42" s="4" t="s">
        <v>5544</v>
      </c>
      <c r="C42" s="4" t="str">
        <f>IFERROR(INDEX('Projekt-Budget-Übersicht'!$C:$C,MATCH(3188,'Projekt-Budget-Übersicht'!$L:$L,0)),"")</f>
        <v/>
      </c>
      <c r="D42" s="4">
        <v>3640</v>
      </c>
      <c r="E42" s="4">
        <v>200</v>
      </c>
      <c r="F42" s="4">
        <v>17.5</v>
      </c>
      <c r="G42" s="16">
        <v>5.49</v>
      </c>
      <c r="H42" s="5"/>
      <c r="I42" s="5">
        <f t="shared" si="4"/>
        <v>0</v>
      </c>
      <c r="J42" s="4"/>
      <c r="K42" s="5">
        <f>IF('S. Roßkopf'!J8="C. Trapp SV",'S. Roßkopf'!I8,0)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42" s="10">
        <f t="shared" si="5"/>
        <v>0</v>
      </c>
      <c r="N42" s="10">
        <f t="shared" si="6"/>
        <v>0</v>
      </c>
      <c r="O42" s="10">
        <f t="shared" si="7"/>
        <v>0</v>
      </c>
      <c r="P42" s="10">
        <f>'C. Trapp SV'!M42+'S. Roßkopf'!M8</f>
        <v>0</v>
      </c>
      <c r="Q42" s="10">
        <v>8840</v>
      </c>
      <c r="R42" s="10">
        <f>IFERROR(INDEX('Projekt-Budget-Übersicht'!$F:$F,MATCH(3188,'Projekt-Budget-Übersicht'!$L:$L,0)),0)</f>
        <v>0</v>
      </c>
      <c r="S42" s="10">
        <v>12198.75</v>
      </c>
      <c r="T42" s="4"/>
      <c r="U42" s="4"/>
    </row>
    <row r="43" spans="1:21" x14ac:dyDescent="0.25">
      <c r="A43" s="21" t="s">
        <v>3070</v>
      </c>
      <c r="B43" s="4" t="s">
        <v>5536</v>
      </c>
      <c r="C43" s="4" t="str">
        <f>IFERROR(INDEX('Projekt-Budget-Übersicht'!$C:$C,MATCH(3321,'Projekt-Budget-Übersicht'!$L:$L,0)),"")</f>
        <v/>
      </c>
      <c r="D43" s="4">
        <v>144</v>
      </c>
      <c r="E43" s="4">
        <v>106.5</v>
      </c>
      <c r="F43" s="4">
        <v>1</v>
      </c>
      <c r="G43" s="16">
        <v>73.959999999999994</v>
      </c>
      <c r="H43" s="5"/>
      <c r="I43" s="5">
        <f t="shared" si="4"/>
        <v>0</v>
      </c>
      <c r="J43" s="4"/>
      <c r="K43" s="5">
        <f>IF('E. Bieler'!J52="C. Trapp SV",'E. Bieler'!I52,0)</f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'C. Trapp SV'!M43+'E. Bieler'!M52</f>
        <v>0</v>
      </c>
      <c r="Q43" s="10">
        <v>200</v>
      </c>
      <c r="R43" s="10">
        <f>IFERROR(INDEX('Projekt-Budget-Übersicht'!$F:$F,MATCH(3321,'Projekt-Budget-Übersicht'!$L:$L,0)),0)</f>
        <v>0</v>
      </c>
      <c r="S43" s="10">
        <v>6588.59</v>
      </c>
      <c r="T43" s="4"/>
      <c r="U43" s="4"/>
    </row>
    <row r="44" spans="1:21" x14ac:dyDescent="0.25">
      <c r="A44" s="23"/>
      <c r="B44" s="4" t="s">
        <v>5538</v>
      </c>
      <c r="C44" s="4" t="str">
        <f>IFERROR(INDEX('Projekt-Budget-Übersicht'!$C:$C,MATCH(3321,'Projekt-Budget-Übersicht'!$L:$L,0)),"")</f>
        <v/>
      </c>
      <c r="D44" s="4">
        <v>16</v>
      </c>
      <c r="E44" s="4">
        <v>33.25</v>
      </c>
      <c r="F44" s="4">
        <v>5</v>
      </c>
      <c r="G44" s="15">
        <v>207.81</v>
      </c>
      <c r="H44" s="5"/>
      <c r="I44" s="5">
        <f t="shared" si="4"/>
        <v>0</v>
      </c>
      <c r="J44" s="4"/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44" s="10">
        <f t="shared" si="5"/>
        <v>0</v>
      </c>
      <c r="N44" s="10">
        <f t="shared" si="6"/>
        <v>0</v>
      </c>
      <c r="O44" s="10">
        <f t="shared" si="7"/>
        <v>0</v>
      </c>
      <c r="P44" s="10">
        <f>'C. Trapp SV'!M44</f>
        <v>0</v>
      </c>
      <c r="Q44" s="10">
        <v>200</v>
      </c>
      <c r="R44" s="10">
        <f>IFERROR(INDEX('Projekt-Budget-Übersicht'!$F:$F,MATCH(3321,'Projekt-Budget-Übersicht'!$L:$L,0)),0)</f>
        <v>0</v>
      </c>
      <c r="S44" s="10">
        <v>6588.59</v>
      </c>
      <c r="T44" s="4"/>
      <c r="U44" s="4"/>
    </row>
    <row r="45" spans="1:21" x14ac:dyDescent="0.25">
      <c r="A45" s="23"/>
      <c r="B45" s="4" t="s">
        <v>5541</v>
      </c>
      <c r="C45" s="4" t="str">
        <f>IFERROR(INDEX('Projekt-Budget-Übersicht'!$C:$C,MATCH(3322,'Projekt-Budget-Übersicht'!$L:$L,0)),"")</f>
        <v/>
      </c>
      <c r="D45" s="4">
        <v>80</v>
      </c>
      <c r="E45" s="4">
        <v>19.75</v>
      </c>
      <c r="F45" s="4">
        <v>8.75</v>
      </c>
      <c r="G45" s="16">
        <v>24.69</v>
      </c>
      <c r="H45" s="5"/>
      <c r="I45" s="5">
        <f t="shared" si="4"/>
        <v>0</v>
      </c>
      <c r="J45" s="4"/>
      <c r="K45" s="5">
        <f>IF('U. Sutter ADM'!J39="C. Trapp SV",'U. Sutter ADM'!I39,0)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45" s="10">
        <f t="shared" si="5"/>
        <v>0</v>
      </c>
      <c r="N45" s="10">
        <f t="shared" si="6"/>
        <v>0</v>
      </c>
      <c r="O45" s="10">
        <f t="shared" si="7"/>
        <v>0</v>
      </c>
      <c r="P45" s="10">
        <f>'C. Trapp SV'!M45+'U. Sutter ADM'!M39</f>
        <v>0</v>
      </c>
      <c r="Q45" s="10">
        <v>768</v>
      </c>
      <c r="R45" s="10">
        <f>IFERROR(INDEX('Projekt-Budget-Übersicht'!$F:$F,MATCH(3322,'Projekt-Budget-Übersicht'!$L:$L,0)),0)</f>
        <v>0</v>
      </c>
      <c r="S45" s="10">
        <v>1887.87</v>
      </c>
      <c r="T45" s="4"/>
      <c r="U45" s="4"/>
    </row>
    <row r="46" spans="1:21" x14ac:dyDescent="0.25">
      <c r="A46" s="22"/>
      <c r="B46" s="4" t="s">
        <v>5542</v>
      </c>
      <c r="C46" s="4" t="str">
        <f>IFERROR(INDEX('Projekt-Budget-Übersicht'!$C:$C,MATCH(3322,'Projekt-Budget-Übersicht'!$L:$L,0)),"")</f>
        <v/>
      </c>
      <c r="D46" s="4">
        <v>540</v>
      </c>
      <c r="E46" s="4">
        <v>448</v>
      </c>
      <c r="F46" s="4">
        <v>8</v>
      </c>
      <c r="G46" s="16">
        <v>82.96</v>
      </c>
      <c r="H46" s="5"/>
      <c r="I46" s="5">
        <f t="shared" si="4"/>
        <v>0</v>
      </c>
      <c r="J46" s="4"/>
      <c r="K46" s="5">
        <f>IF('S. Roßkopf'!J9="C. Trapp SV",'S. Roßkopf'!I9,0)+IF('U. Sutter ADM'!J40="C. Trapp SV",'U. Sutter ADM'!I40,0)</f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46" s="10">
        <f t="shared" si="5"/>
        <v>0</v>
      </c>
      <c r="N46" s="10">
        <f t="shared" si="6"/>
        <v>0</v>
      </c>
      <c r="O46" s="10">
        <f t="shared" si="7"/>
        <v>0</v>
      </c>
      <c r="P46" s="10">
        <f>'C. Trapp SV'!M46+'S. Roßkopf'!M9+'U. Sutter ADM'!M40</f>
        <v>0</v>
      </c>
      <c r="Q46" s="10">
        <v>768</v>
      </c>
      <c r="R46" s="10">
        <f>IFERROR(INDEX('Projekt-Budget-Übersicht'!$F:$F,MATCH(3322,'Projekt-Budget-Übersicht'!$L:$L,0)),0)</f>
        <v>0</v>
      </c>
      <c r="S46" s="10">
        <v>1887.87</v>
      </c>
      <c r="T46" s="4"/>
      <c r="U46" s="4"/>
    </row>
    <row r="47" spans="1:21" x14ac:dyDescent="0.25">
      <c r="A47" s="4" t="s">
        <v>4461</v>
      </c>
      <c r="B47" s="4" t="s">
        <v>5519</v>
      </c>
      <c r="C47" s="4" t="str">
        <f>IFERROR(INDEX('Projekt-Budget-Übersicht'!$C:$C,MATCH(4528,'Projekt-Budget-Übersicht'!$L:$L,0)),"")</f>
        <v/>
      </c>
      <c r="D47" s="4">
        <v>100</v>
      </c>
      <c r="E47" s="4">
        <v>19.5</v>
      </c>
      <c r="F47" s="4">
        <v>6.5</v>
      </c>
      <c r="G47" s="16">
        <v>19.5</v>
      </c>
      <c r="H47" s="5"/>
      <c r="I47" s="5">
        <f t="shared" si="4"/>
        <v>0</v>
      </c>
      <c r="J47" s="4"/>
      <c r="K47" s="5">
        <f>IF('S. Schüler'!J72="C. Trapp SV",'S. Schüler'!I72,0)</f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47" s="10">
        <f t="shared" si="5"/>
        <v>0</v>
      </c>
      <c r="N47" s="10">
        <f t="shared" si="6"/>
        <v>0</v>
      </c>
      <c r="O47" s="10">
        <f t="shared" si="7"/>
        <v>0</v>
      </c>
      <c r="P47" s="10">
        <f>'C. Trapp SV'!M47+'S. Schüler'!M72</f>
        <v>0</v>
      </c>
      <c r="Q47" s="10">
        <v>100</v>
      </c>
      <c r="R47" s="10">
        <f>IFERROR(INDEX('Projekt-Budget-Übersicht'!$F:$F,MATCH(4528,'Projekt-Budget-Übersicht'!$L:$L,0)),0)</f>
        <v>0</v>
      </c>
      <c r="S47" s="10">
        <v>1763.75</v>
      </c>
      <c r="T47" s="4"/>
      <c r="U47" s="4"/>
    </row>
    <row r="48" spans="1:21" x14ac:dyDescent="0.25">
      <c r="A48" s="3"/>
      <c r="B48" s="3" t="s">
        <v>5492</v>
      </c>
      <c r="C48" s="3"/>
      <c r="D48" s="3"/>
      <c r="E48" s="3"/>
      <c r="F48" s="6">
        <v>149</v>
      </c>
      <c r="G48" s="3"/>
      <c r="H48" s="3"/>
      <c r="I48" s="3"/>
      <c r="J48" s="3"/>
      <c r="K48" s="3"/>
      <c r="L48" s="3"/>
      <c r="M48" s="17">
        <f>SUM(M32:M47)</f>
        <v>6240</v>
      </c>
      <c r="N48" s="17">
        <f>SUM(N32:N47)</f>
        <v>6240</v>
      </c>
      <c r="O48" s="17">
        <f>SUM(O32:O47)</f>
        <v>0</v>
      </c>
      <c r="P48" s="17">
        <f>SUM(P32:P47)</f>
        <v>9045</v>
      </c>
      <c r="Q48" s="3"/>
      <c r="R48" s="3"/>
      <c r="S48" s="3"/>
      <c r="T48" s="3"/>
      <c r="U48" s="3"/>
    </row>
    <row r="49" spans="1:21" x14ac:dyDescent="0.25">
      <c r="A49" s="3"/>
      <c r="B49" s="3" t="s">
        <v>4</v>
      </c>
      <c r="C49" s="3"/>
      <c r="D49" s="3"/>
      <c r="E49" s="3"/>
      <c r="F49" s="6">
        <f>G49+H49</f>
        <v>90.25</v>
      </c>
      <c r="G49" s="6">
        <v>90.25</v>
      </c>
      <c r="H49" s="6">
        <f>SUM(H33,H34,H35,H36,H37,H38,H39,H40,H41,H42,H43,H44,H45,H46,H47)</f>
        <v>0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 x14ac:dyDescent="0.25">
      <c r="A50" s="3"/>
      <c r="B50" s="3" t="s">
        <v>5</v>
      </c>
      <c r="C50" s="3"/>
      <c r="D50" s="3"/>
      <c r="E50" s="3"/>
      <c r="F50" s="6">
        <f>G50+H50</f>
        <v>3.5</v>
      </c>
      <c r="G50" s="6">
        <v>3.5</v>
      </c>
      <c r="H50" s="6">
        <f>SUM(H32)</f>
        <v>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3"/>
      <c r="B51" s="3" t="s">
        <v>5493</v>
      </c>
      <c r="C51" s="3"/>
      <c r="D51" s="3"/>
      <c r="E51" s="3"/>
      <c r="F51" s="6">
        <f>SUM(K32:K47)</f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x14ac:dyDescent="0.25">
      <c r="A52" s="18"/>
      <c r="B52" s="18" t="s">
        <v>5494</v>
      </c>
      <c r="C52" s="18"/>
      <c r="D52" s="18"/>
      <c r="E52" s="18"/>
      <c r="F52" s="19">
        <f>F49+F50+F51</f>
        <v>93.75</v>
      </c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4" spans="1:21" ht="15.75" x14ac:dyDescent="0.25">
      <c r="A54" s="2" t="s">
        <v>5512</v>
      </c>
    </row>
    <row r="55" spans="1:21" x14ac:dyDescent="0.25">
      <c r="A55" s="3" t="s">
        <v>35</v>
      </c>
      <c r="B55" s="3" t="s">
        <v>5461</v>
      </c>
      <c r="C55" s="3" t="s">
        <v>37</v>
      </c>
      <c r="D55" s="3" t="s">
        <v>5462</v>
      </c>
      <c r="E55" s="3" t="s">
        <v>5463</v>
      </c>
      <c r="F55" s="3" t="s">
        <v>5513</v>
      </c>
      <c r="G55" s="3" t="s">
        <v>5465</v>
      </c>
      <c r="H55" s="3" t="s">
        <v>5466</v>
      </c>
      <c r="I55" s="3" t="s">
        <v>5467</v>
      </c>
      <c r="J55" s="3" t="s">
        <v>5468</v>
      </c>
      <c r="K55" s="3" t="s">
        <v>5469</v>
      </c>
      <c r="L55" s="3" t="s">
        <v>5470</v>
      </c>
      <c r="M55" s="3" t="s">
        <v>5471</v>
      </c>
      <c r="N55" s="3" t="s">
        <v>5472</v>
      </c>
      <c r="O55" s="3" t="s">
        <v>5473</v>
      </c>
      <c r="P55" s="3" t="s">
        <v>5474</v>
      </c>
      <c r="Q55" s="3" t="s">
        <v>5475</v>
      </c>
      <c r="R55" s="3" t="s">
        <v>5476</v>
      </c>
      <c r="S55" s="3" t="s">
        <v>5477</v>
      </c>
      <c r="T55" s="3" t="s">
        <v>5478</v>
      </c>
      <c r="U55" s="3" t="s">
        <v>5479</v>
      </c>
    </row>
    <row r="56" spans="1:21" x14ac:dyDescent="0.25">
      <c r="A56" s="21" t="s">
        <v>61</v>
      </c>
      <c r="B56" s="4" t="s">
        <v>5480</v>
      </c>
      <c r="C56" s="4" t="str">
        <f>IFERROR(INDEX('Projekt-Budget-Übersicht'!$C:$C,MATCH(10,'Projekt-Budget-Übersicht'!$L:$L,0)),"")</f>
        <v/>
      </c>
      <c r="D56" s="4">
        <v>8</v>
      </c>
      <c r="E56" s="4">
        <v>5</v>
      </c>
      <c r="F56" s="4">
        <v>5</v>
      </c>
      <c r="G56" s="16">
        <v>62.5</v>
      </c>
      <c r="H56" s="5"/>
      <c r="I56" s="5">
        <f t="shared" ref="I56:I65" si="8">IF(H56=0,0,F56-H56)</f>
        <v>0</v>
      </c>
      <c r="J56" s="4"/>
      <c r="K56" s="5">
        <f>IF('A. Kokott'!J85="C. Trapp SV",'A. Kokott'!I85,0)+IF('D. Brucker'!J33="C. Trapp SV",'D. Brucker'!I33,0)+IF('J. Dorn'!J83="C. Trapp SV",'J. Dorn'!I83,0)+IF('O. Haag BS-CAD'!J92="C. Trapp SV",'O. Haag BS-CAD'!I92,0)+IF('S. Schüler'!J93="C. Trapp SV",'S. Schüler'!I93,0)+IF('U. Sutter ADM'!J51="C. Trapp SV",'U. Sutter ADM'!I51,0)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6" s="10">
        <f t="shared" ref="M56:M65" si="9">IF($B$2="-",0,IF(C56="Pauschale",IF(OR(R56=0,N(D56)=0),0,MAX(0,MIN(R56*((N(F56)+N(K56))/N(D56)),R56-R56*(N(E56)/N(D56))))),L56*(N(F56)+N(K56))))</f>
        <v>0</v>
      </c>
      <c r="N56" s="10">
        <f t="shared" ref="N56:N65" si="10">IF($B$2="-",0,IF(C56="Pauschale",IF(OR(R56=0,N(D56)=0),0,R56*((N(F56)+N(K56))/N(D56))),L56*(N(F56)+N(K56))))</f>
        <v>0</v>
      </c>
      <c r="O56" s="10">
        <f t="shared" ref="O56:O65" si="11">N56-M56</f>
        <v>0</v>
      </c>
      <c r="P56" s="10">
        <f>'A. Kokott'!M85+'C. Trapp SV'!M56+'D. Brucker'!M33+'J. Dorn'!M83+'O. Haag BS-CAD'!M92+'S. Schüler'!M93+'U. Sutter ADM'!M51</f>
        <v>0</v>
      </c>
      <c r="Q56" s="10">
        <v>132</v>
      </c>
      <c r="R56" s="10">
        <f>IFERROR(INDEX('Projekt-Budget-Übersicht'!$F:$F,MATCH(10,'Projekt-Budget-Übersicht'!$L:$L,0)),0)</f>
        <v>0</v>
      </c>
      <c r="S56" s="10">
        <v>68628.19</v>
      </c>
      <c r="T56" s="4"/>
      <c r="U56" s="4"/>
    </row>
    <row r="57" spans="1:21" x14ac:dyDescent="0.25">
      <c r="A57" s="23"/>
      <c r="B57" s="4" t="s">
        <v>5481</v>
      </c>
      <c r="C57" s="4" t="str">
        <f>IFERROR(INDEX('Projekt-Budget-Übersicht'!$C:$C,MATCH(10,'Projekt-Budget-Übersicht'!$L:$L,0)),"")</f>
        <v/>
      </c>
      <c r="D57" s="4">
        <v>8</v>
      </c>
      <c r="E57" s="4">
        <v>4</v>
      </c>
      <c r="F57" s="4">
        <v>4</v>
      </c>
      <c r="G57" s="16">
        <v>50</v>
      </c>
      <c r="H57" s="5"/>
      <c r="I57" s="5">
        <f t="shared" si="8"/>
        <v>0</v>
      </c>
      <c r="J57" s="4"/>
      <c r="K57" s="5">
        <f>IF('A. Kokott'!J86="C. Trapp SV",'A. Kokott'!I86,0)+IF('J. Dorn'!J84="C. Trapp SV",'J. Dorn'!I84,0)+IF('M. Bandlofsky'!J45="C. Trapp SV",'M. Bandlofsky'!I45,0)+IF('O. Haag BS-CAD'!J93="C. Trapp SV",'O. Haag BS-CAD'!I93,0)+IF('R. Wagen CAD'!J57="C. Trapp SV",'R. Wagen CAD'!I57,0)+IF('T. Trautmann'!J72="C. Trapp SV",'T. Trautmann'!I72,0)+IF('U. Sutter ADM'!J52="C. Trapp SV",'U. Sutter ADM'!I52,0)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7" s="10">
        <f t="shared" si="9"/>
        <v>0</v>
      </c>
      <c r="N57" s="10">
        <f t="shared" si="10"/>
        <v>0</v>
      </c>
      <c r="O57" s="10">
        <f t="shared" si="11"/>
        <v>0</v>
      </c>
      <c r="P57" s="10">
        <f>'A. Kokott'!M86+'C. Trapp SV'!M57+'J. Dorn'!M84+'M. Bandlofsky'!M45+'O. Haag BS-CAD'!M93+'R. Wagen CAD'!M57+'T. Trautmann'!M72+'U. Sutter ADM'!M52</f>
        <v>0</v>
      </c>
      <c r="Q57" s="10">
        <v>132</v>
      </c>
      <c r="R57" s="10">
        <f>IFERROR(INDEX('Projekt-Budget-Übersicht'!$F:$F,MATCH(10,'Projekt-Budget-Übersicht'!$L:$L,0)),0)</f>
        <v>0</v>
      </c>
      <c r="S57" s="10">
        <v>68628.19</v>
      </c>
      <c r="T57" s="4"/>
      <c r="U57" s="4"/>
    </row>
    <row r="58" spans="1:21" x14ac:dyDescent="0.25">
      <c r="A58" s="23"/>
      <c r="B58" s="4" t="s">
        <v>5547</v>
      </c>
      <c r="C58" s="4" t="str">
        <f>IFERROR(INDEX('Projekt-Budget-Übersicht'!$C:$C,MATCH(10,'Projekt-Budget-Übersicht'!$L:$L,0)),"")</f>
        <v/>
      </c>
      <c r="D58" s="4">
        <v>8</v>
      </c>
      <c r="E58" s="4">
        <v>21.5</v>
      </c>
      <c r="F58" s="4">
        <v>21.5</v>
      </c>
      <c r="G58" s="15">
        <v>268.75</v>
      </c>
      <c r="H58" s="5"/>
      <c r="I58" s="5">
        <f t="shared" si="8"/>
        <v>0</v>
      </c>
      <c r="J58" s="4"/>
      <c r="K58" s="5">
        <f>IF('J. Dorn'!J85="C. Trapp SV",'J. Dorn'!I85,0)+IF('O. Haag BS-CAD'!J94="C. Trapp SV",'O. Haag BS-CAD'!I94,0)+IF('P. Bergner'!J42="C. Trapp SV",'P. Bergner'!I42,0)+IF('T. Trautmann'!J73="C. Trapp SV",'T. Trautmann'!I73,0)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8" s="10">
        <f t="shared" si="9"/>
        <v>0</v>
      </c>
      <c r="N58" s="10">
        <f t="shared" si="10"/>
        <v>0</v>
      </c>
      <c r="O58" s="10">
        <f t="shared" si="11"/>
        <v>0</v>
      </c>
      <c r="P58" s="10">
        <f>'C. Trapp SV'!M58+'J. Dorn'!M85+'O. Haag BS-CAD'!M94+'P. Bergner'!M42+'T. Trautmann'!M73</f>
        <v>0</v>
      </c>
      <c r="Q58" s="10">
        <v>132</v>
      </c>
      <c r="R58" s="10">
        <f>IFERROR(INDEX('Projekt-Budget-Übersicht'!$F:$F,MATCH(10,'Projekt-Budget-Übersicht'!$L:$L,0)),0)</f>
        <v>0</v>
      </c>
      <c r="S58" s="10">
        <v>68628.19</v>
      </c>
      <c r="T58" s="4"/>
      <c r="U58" s="4"/>
    </row>
    <row r="59" spans="1:21" x14ac:dyDescent="0.25">
      <c r="A59" s="22"/>
      <c r="B59" s="4" t="s">
        <v>5549</v>
      </c>
      <c r="C59" s="4" t="str">
        <f>IFERROR(INDEX('Projekt-Budget-Übersicht'!$C:$C,MATCH(10,'Projekt-Budget-Übersicht'!$L:$L,0)),"")</f>
        <v/>
      </c>
      <c r="D59" s="4">
        <v>4</v>
      </c>
      <c r="E59" s="4">
        <v>3.5</v>
      </c>
      <c r="F59" s="4">
        <v>3.5</v>
      </c>
      <c r="G59" s="16">
        <v>87.5</v>
      </c>
      <c r="H59" s="5"/>
      <c r="I59" s="5">
        <f t="shared" si="8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'C. Trapp SV'!M59</f>
        <v>0</v>
      </c>
      <c r="Q59" s="10">
        <v>132</v>
      </c>
      <c r="R59" s="10">
        <f>IFERROR(INDEX('Projekt-Budget-Übersicht'!$F:$F,MATCH(10,'Projekt-Budget-Übersicht'!$L:$L,0)),0)</f>
        <v>0</v>
      </c>
      <c r="S59" s="10">
        <v>68628.19</v>
      </c>
      <c r="T59" s="4"/>
      <c r="U59" s="4"/>
    </row>
    <row r="60" spans="1:21" x14ac:dyDescent="0.25">
      <c r="A60" s="4" t="s">
        <v>865</v>
      </c>
      <c r="B60" s="4" t="s">
        <v>5536</v>
      </c>
      <c r="C60" s="4" t="str">
        <f>IFERROR(INDEX('Projekt-Budget-Übersicht'!$C:$C,MATCH(892,'Projekt-Budget-Übersicht'!$L:$L,0)),"")</f>
        <v/>
      </c>
      <c r="D60" s="4">
        <v>52</v>
      </c>
      <c r="E60" s="4">
        <v>201.5</v>
      </c>
      <c r="F60" s="4">
        <v>7.5</v>
      </c>
      <c r="G60" s="15">
        <v>387.5</v>
      </c>
      <c r="H60" s="5"/>
      <c r="I60" s="5">
        <f t="shared" si="8"/>
        <v>0</v>
      </c>
      <c r="J60" s="4"/>
      <c r="K60" s="5">
        <f>IF('S. Schüler'!J94="C. Trapp SV",'S. Schüler'!I94,0)</f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60" s="10">
        <f t="shared" si="9"/>
        <v>0</v>
      </c>
      <c r="N60" s="10">
        <f t="shared" si="10"/>
        <v>0</v>
      </c>
      <c r="O60" s="10">
        <f t="shared" si="11"/>
        <v>0</v>
      </c>
      <c r="P60" s="10">
        <f>'C. Trapp SV'!M60+'S. Schüler'!M94</f>
        <v>0</v>
      </c>
      <c r="Q60" s="10">
        <v>107</v>
      </c>
      <c r="R60" s="10">
        <f>IFERROR(INDEX('Projekt-Budget-Übersicht'!$F:$F,MATCH(892,'Projekt-Budget-Übersicht'!$L:$L,0)),0)</f>
        <v>0</v>
      </c>
      <c r="S60" s="10">
        <v>12383.75</v>
      </c>
      <c r="T60" s="4"/>
      <c r="U60" s="4"/>
    </row>
    <row r="61" spans="1:21" x14ac:dyDescent="0.25">
      <c r="A61" s="4" t="s">
        <v>1377</v>
      </c>
      <c r="B61" s="4" t="s">
        <v>5542</v>
      </c>
      <c r="C61" s="4" t="str">
        <f>IFERROR(INDEX('Projekt-Budget-Übersicht'!$C:$C,MATCH(1494,'Projekt-Budget-Übersicht'!$L:$L,0)),"")</f>
        <v/>
      </c>
      <c r="D61" s="4">
        <v>562</v>
      </c>
      <c r="E61" s="4">
        <v>285.25</v>
      </c>
      <c r="F61" s="4">
        <v>26.5</v>
      </c>
      <c r="G61" s="16">
        <v>50.76</v>
      </c>
      <c r="H61" s="5"/>
      <c r="I61" s="5">
        <f t="shared" si="8"/>
        <v>0</v>
      </c>
      <c r="J61" s="4"/>
      <c r="K61" s="5">
        <f>IF('S. Roßkopf'!J18="C. Trapp SV",'S. Roßkopf'!I18,0)</f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61" s="10">
        <f t="shared" si="9"/>
        <v>0</v>
      </c>
      <c r="N61" s="10">
        <f t="shared" si="10"/>
        <v>0</v>
      </c>
      <c r="O61" s="10">
        <f t="shared" si="11"/>
        <v>0</v>
      </c>
      <c r="P61" s="10">
        <f>'C. Trapp SV'!M61+'S. Roßkopf'!M18</f>
        <v>0</v>
      </c>
      <c r="Q61" s="10">
        <v>1516</v>
      </c>
      <c r="R61" s="10">
        <f>IFERROR(INDEX('Projekt-Budget-Übersicht'!$F:$F,MATCH(1494,'Projekt-Budget-Übersicht'!$L:$L,0)),0)</f>
        <v>0</v>
      </c>
      <c r="S61" s="10">
        <v>573.22</v>
      </c>
      <c r="T61" s="4"/>
      <c r="U61" s="4"/>
    </row>
    <row r="62" spans="1:21" x14ac:dyDescent="0.25">
      <c r="A62" s="4" t="s">
        <v>1490</v>
      </c>
      <c r="B62" s="4" t="s">
        <v>5543</v>
      </c>
      <c r="C62" s="4" t="str">
        <f>IFERROR(INDEX('Projekt-Budget-Übersicht'!$C:$C,MATCH(1678,'Projekt-Budget-Übersicht'!$L:$L,0)),"")</f>
        <v/>
      </c>
      <c r="D62" s="4">
        <v>240</v>
      </c>
      <c r="E62" s="4">
        <v>188.5</v>
      </c>
      <c r="F62" s="4">
        <v>5</v>
      </c>
      <c r="G62" s="16">
        <v>78.540000000000006</v>
      </c>
      <c r="H62" s="5"/>
      <c r="I62" s="5">
        <f t="shared" si="8"/>
        <v>0</v>
      </c>
      <c r="J62" s="4"/>
      <c r="K62" s="5">
        <f>IF('S. Roßkopf'!J19="C. Trapp SV",'S. Roßkopf'!I19,0)+IF('U. Sutter ADM'!J56="C. Trapp SV",'U. Sutter ADM'!I56,0)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62" s="10">
        <f t="shared" si="9"/>
        <v>0</v>
      </c>
      <c r="N62" s="10">
        <f t="shared" si="10"/>
        <v>0</v>
      </c>
      <c r="O62" s="10">
        <f t="shared" si="11"/>
        <v>0</v>
      </c>
      <c r="P62" s="10">
        <f>'C. Trapp SV'!M62+'S. Roßkopf'!M19+'U. Sutter ADM'!M56</f>
        <v>0</v>
      </c>
      <c r="Q62" s="10">
        <v>272</v>
      </c>
      <c r="R62" s="10">
        <f>IFERROR(INDEX('Projekt-Budget-Übersicht'!$F:$F,MATCH(1678,'Projekt-Budget-Übersicht'!$L:$L,0)),0)</f>
        <v>0</v>
      </c>
      <c r="S62" s="10">
        <v>4718.17</v>
      </c>
      <c r="T62" s="4"/>
      <c r="U62" s="4"/>
    </row>
    <row r="63" spans="1:21" x14ac:dyDescent="0.25">
      <c r="A63" s="4" t="s">
        <v>2913</v>
      </c>
      <c r="B63" s="4" t="s">
        <v>5544</v>
      </c>
      <c r="C63" s="4" t="str">
        <f>IFERROR(INDEX('Projekt-Budget-Übersicht'!$C:$C,MATCH(3188,'Projekt-Budget-Übersicht'!$L:$L,0)),"")</f>
        <v/>
      </c>
      <c r="D63" s="4">
        <v>3640</v>
      </c>
      <c r="E63" s="4">
        <v>230</v>
      </c>
      <c r="F63" s="4">
        <v>25</v>
      </c>
      <c r="G63" s="16">
        <v>6.32</v>
      </c>
      <c r="H63" s="5"/>
      <c r="I63" s="5">
        <f t="shared" si="8"/>
        <v>0</v>
      </c>
      <c r="J63" s="4"/>
      <c r="K63" s="5">
        <f>IF('S. Roßkopf'!J20="C. Trapp SV",'S. Roßkopf'!I20,0)</f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63" s="10">
        <f t="shared" si="9"/>
        <v>0</v>
      </c>
      <c r="N63" s="10">
        <f t="shared" si="10"/>
        <v>0</v>
      </c>
      <c r="O63" s="10">
        <f t="shared" si="11"/>
        <v>0</v>
      </c>
      <c r="P63" s="10">
        <f>'C. Trapp SV'!M63+'S. Roßkopf'!M20</f>
        <v>0</v>
      </c>
      <c r="Q63" s="10">
        <v>8840</v>
      </c>
      <c r="R63" s="10">
        <f>IFERROR(INDEX('Projekt-Budget-Übersicht'!$F:$F,MATCH(3188,'Projekt-Budget-Übersicht'!$L:$L,0)),0)</f>
        <v>0</v>
      </c>
      <c r="S63" s="10">
        <v>12198.75</v>
      </c>
      <c r="T63" s="4"/>
      <c r="U63" s="4"/>
    </row>
    <row r="64" spans="1:21" x14ac:dyDescent="0.25">
      <c r="A64" s="4" t="s">
        <v>3070</v>
      </c>
      <c r="B64" s="4" t="s">
        <v>5542</v>
      </c>
      <c r="C64" s="4" t="str">
        <f>IFERROR(INDEX('Projekt-Budget-Übersicht'!$C:$C,MATCH(3322,'Projekt-Budget-Übersicht'!$L:$L,0)),"")</f>
        <v/>
      </c>
      <c r="D64" s="4">
        <v>540</v>
      </c>
      <c r="E64" s="4">
        <v>536.5</v>
      </c>
      <c r="F64" s="4">
        <v>47</v>
      </c>
      <c r="G64" s="14">
        <v>99.35</v>
      </c>
      <c r="H64" s="5"/>
      <c r="I64" s="5">
        <f t="shared" si="8"/>
        <v>0</v>
      </c>
      <c r="J64" s="4"/>
      <c r="K64" s="5">
        <f>IF('S. Roßkopf'!J21="C. Trapp SV",'S. Roßkopf'!I21,0)</f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64" s="10">
        <f t="shared" si="9"/>
        <v>0</v>
      </c>
      <c r="N64" s="10">
        <f t="shared" si="10"/>
        <v>0</v>
      </c>
      <c r="O64" s="10">
        <f t="shared" si="11"/>
        <v>0</v>
      </c>
      <c r="P64" s="10">
        <f>'C. Trapp SV'!M64+'S. Roßkopf'!M21</f>
        <v>0</v>
      </c>
      <c r="Q64" s="10">
        <v>768</v>
      </c>
      <c r="R64" s="10">
        <f>IFERROR(INDEX('Projekt-Budget-Übersicht'!$F:$F,MATCH(3322,'Projekt-Budget-Übersicht'!$L:$L,0)),0)</f>
        <v>0</v>
      </c>
      <c r="S64" s="10">
        <v>1887.87</v>
      </c>
      <c r="T64" s="4"/>
      <c r="U64" s="4"/>
    </row>
    <row r="65" spans="1:21" x14ac:dyDescent="0.25">
      <c r="A65" s="4" t="s">
        <v>3214</v>
      </c>
      <c r="B65" s="4" t="s">
        <v>5542</v>
      </c>
      <c r="C65" s="4" t="str">
        <f>IFERROR(INDEX('Projekt-Budget-Übersicht'!$C:$C,MATCH(3445,'Projekt-Budget-Übersicht'!$L:$L,0)),"")</f>
        <v/>
      </c>
      <c r="D65" s="4">
        <v>80</v>
      </c>
      <c r="E65" s="4">
        <v>168.25</v>
      </c>
      <c r="F65" s="4">
        <v>9.5</v>
      </c>
      <c r="G65" s="15">
        <v>210.31</v>
      </c>
      <c r="H65" s="5"/>
      <c r="I65" s="5">
        <f t="shared" si="8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65" s="10">
        <f t="shared" si="9"/>
        <v>0</v>
      </c>
      <c r="N65" s="10">
        <f t="shared" si="10"/>
        <v>0</v>
      </c>
      <c r="O65" s="10">
        <f t="shared" si="11"/>
        <v>0</v>
      </c>
      <c r="P65" s="10">
        <f>'C. Trapp SV'!M65</f>
        <v>0</v>
      </c>
      <c r="Q65" s="10">
        <v>144</v>
      </c>
      <c r="R65" s="10">
        <f>IFERROR(INDEX('Projekt-Budget-Übersicht'!$F:$F,MATCH(3445,'Projekt-Budget-Übersicht'!$L:$L,0)),0)</f>
        <v>0</v>
      </c>
      <c r="S65" s="10">
        <v>332.5</v>
      </c>
      <c r="T65" s="4"/>
      <c r="U65" s="4"/>
    </row>
    <row r="66" spans="1:21" x14ac:dyDescent="0.25">
      <c r="A66" s="3"/>
      <c r="B66" s="3" t="s">
        <v>5492</v>
      </c>
      <c r="C66" s="3"/>
      <c r="D66" s="3"/>
      <c r="E66" s="3"/>
      <c r="F66" s="6">
        <v>154.5</v>
      </c>
      <c r="G66" s="3"/>
      <c r="H66" s="3"/>
      <c r="I66" s="3"/>
      <c r="J66" s="3"/>
      <c r="K66" s="3"/>
      <c r="L66" s="3"/>
      <c r="M66" s="17">
        <f>SUM(M56:M65)</f>
        <v>0</v>
      </c>
      <c r="N66" s="17">
        <f>SUM(N56:N65)</f>
        <v>0</v>
      </c>
      <c r="O66" s="17">
        <f>SUM(O56:O65)</f>
        <v>0</v>
      </c>
      <c r="P66" s="17">
        <f>SUM(P56:P65)</f>
        <v>0</v>
      </c>
      <c r="Q66" s="3"/>
      <c r="R66" s="3"/>
      <c r="S66" s="3"/>
      <c r="T66" s="3"/>
      <c r="U66" s="3"/>
    </row>
    <row r="67" spans="1:21" x14ac:dyDescent="0.25">
      <c r="A67" s="3"/>
      <c r="B67" s="3" t="s">
        <v>4</v>
      </c>
      <c r="C67" s="3"/>
      <c r="D67" s="3"/>
      <c r="E67" s="3"/>
      <c r="F67" s="6">
        <f>G67+H67</f>
        <v>103.5</v>
      </c>
      <c r="G67" s="6">
        <v>103.5</v>
      </c>
      <c r="H67" s="6">
        <f>SUM(H60,H61,H62,H63,H64,H65)</f>
        <v>0</v>
      </c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1:21" x14ac:dyDescent="0.25">
      <c r="A68" s="3"/>
      <c r="B68" s="3" t="s">
        <v>5</v>
      </c>
      <c r="C68" s="3"/>
      <c r="D68" s="3"/>
      <c r="E68" s="3"/>
      <c r="F68" s="6">
        <f>G68+H68</f>
        <v>12.5</v>
      </c>
      <c r="G68" s="6">
        <v>12.5</v>
      </c>
      <c r="H68" s="6">
        <f>SUM(H56,H57,H58,H59)</f>
        <v>0</v>
      </c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1:21" x14ac:dyDescent="0.25">
      <c r="A69" s="3"/>
      <c r="B69" s="3" t="s">
        <v>5493</v>
      </c>
      <c r="C69" s="3"/>
      <c r="D69" s="3"/>
      <c r="E69" s="3"/>
      <c r="F69" s="6">
        <f>SUM(K56:K65)</f>
        <v>0</v>
      </c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1:21" x14ac:dyDescent="0.25">
      <c r="A70" s="18"/>
      <c r="B70" s="18" t="s">
        <v>5494</v>
      </c>
      <c r="C70" s="18"/>
      <c r="D70" s="18"/>
      <c r="E70" s="18"/>
      <c r="F70" s="19">
        <f>F67+F68+F69</f>
        <v>116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2" spans="1:21" ht="15.75" x14ac:dyDescent="0.25">
      <c r="A72" s="2" t="s">
        <v>5524</v>
      </c>
    </row>
    <row r="73" spans="1:21" x14ac:dyDescent="0.25">
      <c r="A73" s="3" t="s">
        <v>2</v>
      </c>
      <c r="B73" s="3" t="s">
        <v>5525</v>
      </c>
      <c r="C73" s="3" t="s">
        <v>5526</v>
      </c>
      <c r="D73" s="3" t="s">
        <v>4</v>
      </c>
      <c r="E73" s="3" t="s">
        <v>5</v>
      </c>
      <c r="F73" s="3" t="s">
        <v>5527</v>
      </c>
      <c r="G73" s="3" t="s">
        <v>5528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1:21" x14ac:dyDescent="0.25">
      <c r="A74" s="4" t="s">
        <v>6</v>
      </c>
      <c r="B74" s="4" t="s">
        <v>15</v>
      </c>
      <c r="C74" s="4">
        <f>F24</f>
        <v>178</v>
      </c>
      <c r="D74" s="4">
        <f>F25</f>
        <v>95.75</v>
      </c>
      <c r="E74" s="4">
        <f>F26</f>
        <v>1</v>
      </c>
      <c r="F74" s="4">
        <f>F27</f>
        <v>0</v>
      </c>
      <c r="G74" s="4">
        <f>F28</f>
        <v>96.75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</row>
    <row r="75" spans="1:21" x14ac:dyDescent="0.25">
      <c r="A75" s="4" t="s">
        <v>7</v>
      </c>
      <c r="B75" s="4" t="s">
        <v>15</v>
      </c>
      <c r="C75" s="4">
        <f>F48</f>
        <v>149</v>
      </c>
      <c r="D75" s="4">
        <f>F49</f>
        <v>90.25</v>
      </c>
      <c r="E75" s="4">
        <f>F50</f>
        <v>3.5</v>
      </c>
      <c r="F75" s="4">
        <f>F51</f>
        <v>0</v>
      </c>
      <c r="G75" s="4">
        <f>F52</f>
        <v>93.75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</row>
    <row r="76" spans="1:21" x14ac:dyDescent="0.25">
      <c r="A76" s="4" t="s">
        <v>8</v>
      </c>
      <c r="B76" s="4" t="s">
        <v>15</v>
      </c>
      <c r="C76" s="4">
        <f>F66</f>
        <v>154.5</v>
      </c>
      <c r="D76" s="4">
        <f>F67</f>
        <v>103.5</v>
      </c>
      <c r="E76" s="4">
        <f>F68</f>
        <v>12.5</v>
      </c>
      <c r="F76" s="4">
        <f>F69</f>
        <v>0</v>
      </c>
      <c r="G76" s="4">
        <f>F70</f>
        <v>116</v>
      </c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</row>
    <row r="78" spans="1:21" ht="15.75" x14ac:dyDescent="0.25">
      <c r="A78" s="2" t="s">
        <v>5550</v>
      </c>
    </row>
    <row r="79" spans="1:21" x14ac:dyDescent="0.25">
      <c r="A79" s="3" t="s">
        <v>35</v>
      </c>
      <c r="B79" s="3" t="s">
        <v>5461</v>
      </c>
      <c r="C79" s="3" t="s">
        <v>5551</v>
      </c>
      <c r="D79" s="3" t="s">
        <v>5552</v>
      </c>
      <c r="E79" s="3" t="s">
        <v>5465</v>
      </c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1:21" x14ac:dyDescent="0.25">
      <c r="A80" s="4" t="s">
        <v>61</v>
      </c>
      <c r="B80" s="4" t="s">
        <v>5549</v>
      </c>
      <c r="C80" s="4">
        <v>4</v>
      </c>
      <c r="D80" s="4">
        <v>3.5</v>
      </c>
      <c r="E80" s="16">
        <v>87.5</v>
      </c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</row>
    <row r="82" spans="1:21" ht="18.75" x14ac:dyDescent="0.3">
      <c r="A82" s="1" t="s">
        <v>5529</v>
      </c>
    </row>
    <row r="83" spans="1:21" x14ac:dyDescent="0.25">
      <c r="A83" s="3" t="s">
        <v>35</v>
      </c>
      <c r="B83" s="3" t="s">
        <v>5461</v>
      </c>
      <c r="C83" s="3" t="s">
        <v>37</v>
      </c>
      <c r="D83" s="3" t="s">
        <v>5462</v>
      </c>
      <c r="E83" s="3" t="s">
        <v>5463</v>
      </c>
      <c r="F83" s="3" t="s">
        <v>5530</v>
      </c>
      <c r="G83" s="3" t="s">
        <v>5465</v>
      </c>
      <c r="H83" s="3" t="s">
        <v>5466</v>
      </c>
      <c r="I83" s="3" t="s">
        <v>5467</v>
      </c>
      <c r="J83" s="3" t="s">
        <v>5468</v>
      </c>
      <c r="K83" s="3" t="s">
        <v>5469</v>
      </c>
      <c r="L83" s="3" t="s">
        <v>5470</v>
      </c>
      <c r="M83" s="3" t="s">
        <v>5471</v>
      </c>
      <c r="N83" s="3" t="s">
        <v>5472</v>
      </c>
      <c r="O83" s="3" t="s">
        <v>5473</v>
      </c>
      <c r="P83" s="3" t="s">
        <v>5474</v>
      </c>
      <c r="Q83" s="3" t="s">
        <v>5476</v>
      </c>
      <c r="R83" s="3" t="s">
        <v>5477</v>
      </c>
      <c r="S83" s="3"/>
      <c r="T83" s="3"/>
      <c r="U83" s="3"/>
    </row>
    <row r="84" spans="1:21" x14ac:dyDescent="0.25">
      <c r="A84" s="21" t="s">
        <v>61</v>
      </c>
      <c r="B84" s="4" t="s">
        <v>5480</v>
      </c>
      <c r="C84" s="4" t="str">
        <f>IFERROR(INDEX('Projekt-Budget-Übersicht'!$C:$C,MATCH(10,'Projekt-Budget-Übersicht'!$L:$L,0)),"")</f>
        <v/>
      </c>
      <c r="D84" s="4">
        <v>24</v>
      </c>
      <c r="E84" s="4">
        <v>5</v>
      </c>
      <c r="F84" s="5">
        <f>SUM(F56,I56,K56)</f>
        <v>5</v>
      </c>
      <c r="G84" s="16">
        <v>20.83</v>
      </c>
      <c r="H84" s="5">
        <f>SUM(H56)</f>
        <v>0</v>
      </c>
      <c r="I84" s="5">
        <f t="shared" ref="I84:I112" si="12">IF(H84=0,0,F84-H84)</f>
        <v>0</v>
      </c>
      <c r="J84" s="4" t="s">
        <v>5531</v>
      </c>
      <c r="K84" s="5">
        <f>SUM(K56)</f>
        <v>0</v>
      </c>
      <c r="L84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84" s="10">
        <f t="shared" ref="M84:M112" si="13">IF($B$2="-",0,IF(C84="Pauschale",IF(OR(Q84=0,N(D84)=0),0,MAX(0,MIN(Q84*((N(F84)+N(K84))/N(D84)),Q84-Q84*(N(E84)/N(D84))))),L84*(N(F84)+N(K84))))</f>
        <v>0</v>
      </c>
      <c r="N84" s="10">
        <f t="shared" ref="N84:N112" si="14">IF($B$2="-",0,IF(C84="Pauschale",IF(OR(Q84=0,N(D84)=0),0,Q84*((N(F84)+N(K84))/N(D84))),L84*(N(F84)+N(K84))))</f>
        <v>0</v>
      </c>
      <c r="O84" s="10">
        <f t="shared" ref="O84:O112" si="15">N84-M84</f>
        <v>0</v>
      </c>
      <c r="P84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84" s="10">
        <f>IFERROR(INDEX('Projekt-Budget-Übersicht'!$E:$E,MATCH(10,'Projekt-Budget-Übersicht'!$L:$L,0)),0)</f>
        <v>0</v>
      </c>
      <c r="R84" s="10">
        <v>68628.19</v>
      </c>
      <c r="S84" s="4"/>
      <c r="T84" s="4"/>
      <c r="U84" s="4"/>
    </row>
    <row r="85" spans="1:21" x14ac:dyDescent="0.25">
      <c r="A85" s="23"/>
      <c r="B85" s="4" t="s">
        <v>5481</v>
      </c>
      <c r="C85" s="4" t="str">
        <f>IFERROR(INDEX('Projekt-Budget-Übersicht'!$C:$C,MATCH(10,'Projekt-Budget-Übersicht'!$L:$L,0)),"")</f>
        <v/>
      </c>
      <c r="D85" s="4">
        <v>24</v>
      </c>
      <c r="E85" s="4">
        <v>5</v>
      </c>
      <c r="F85" s="5">
        <f>SUM(F6,F57,I6,I57,K6,K57)</f>
        <v>5</v>
      </c>
      <c r="G85" s="16">
        <v>20.83</v>
      </c>
      <c r="H85" s="5">
        <f>SUM(H6,H57)</f>
        <v>0</v>
      </c>
      <c r="I85" s="5">
        <f t="shared" si="12"/>
        <v>0</v>
      </c>
      <c r="J85" s="4" t="s">
        <v>5531</v>
      </c>
      <c r="K85" s="5">
        <f>SUM(K6,K57)</f>
        <v>0</v>
      </c>
      <c r="L85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85" s="10">
        <f>IFERROR(INDEX('Projekt-Budget-Übersicht'!$E:$E,MATCH(10,'Projekt-Budget-Übersicht'!$L:$L,0)),0)</f>
        <v>0</v>
      </c>
      <c r="R85" s="10">
        <v>68628.19</v>
      </c>
      <c r="S85" s="4"/>
      <c r="T85" s="4"/>
      <c r="U85" s="4"/>
    </row>
    <row r="86" spans="1:21" x14ac:dyDescent="0.25">
      <c r="A86" s="23"/>
      <c r="B86" s="4" t="s">
        <v>5547</v>
      </c>
      <c r="C86" s="4" t="str">
        <f>IFERROR(INDEX('Projekt-Budget-Übersicht'!$C:$C,MATCH(10,'Projekt-Budget-Übersicht'!$L:$L,0)),"")</f>
        <v/>
      </c>
      <c r="D86" s="4">
        <v>24</v>
      </c>
      <c r="E86" s="4">
        <v>25</v>
      </c>
      <c r="F86" s="5">
        <f>SUM(F32,F58,I32,I58,K32,K58)</f>
        <v>25</v>
      </c>
      <c r="G86" s="15">
        <v>104.17</v>
      </c>
      <c r="H86" s="5">
        <f>SUM(H32,H58)</f>
        <v>0</v>
      </c>
      <c r="I86" s="5">
        <f t="shared" si="12"/>
        <v>0</v>
      </c>
      <c r="J86" s="4" t="s">
        <v>5531</v>
      </c>
      <c r="K86" s="5">
        <f>SUM(K32,K58)</f>
        <v>0</v>
      </c>
      <c r="L86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'C. Trapp SV'!M86+'J. Dorn'!M120+'O. Haag BS-CAD'!M144+'P. Bergner'!M75+'T. Trautmann'!M114</f>
        <v>0</v>
      </c>
      <c r="Q86" s="10">
        <f>IFERROR(INDEX('Projekt-Budget-Übersicht'!$E:$E,MATCH(10,'Projekt-Budget-Übersicht'!$L:$L,0)),0)</f>
        <v>0</v>
      </c>
      <c r="R86" s="10">
        <v>68628.19</v>
      </c>
      <c r="S86" s="4"/>
      <c r="T86" s="4"/>
      <c r="U86" s="4"/>
    </row>
    <row r="87" spans="1:21" x14ac:dyDescent="0.25">
      <c r="A87" s="22"/>
      <c r="B87" s="4" t="s">
        <v>5549</v>
      </c>
      <c r="C87" s="4" t="str">
        <f>IFERROR(INDEX('Projekt-Budget-Übersicht'!$C:$C,MATCH(10,'Projekt-Budget-Übersicht'!$L:$L,0)),"")</f>
        <v/>
      </c>
      <c r="D87" s="4">
        <v>4</v>
      </c>
      <c r="E87" s="4">
        <v>3.5</v>
      </c>
      <c r="F87" s="5">
        <f>SUM(F59,I59,K59)</f>
        <v>3.5</v>
      </c>
      <c r="G87" s="16">
        <v>87.5</v>
      </c>
      <c r="H87" s="5">
        <f>SUM(H59)</f>
        <v>0</v>
      </c>
      <c r="I87" s="5">
        <f t="shared" si="12"/>
        <v>0</v>
      </c>
      <c r="J87" s="4" t="s">
        <v>5531</v>
      </c>
      <c r="K87" s="5">
        <f>SUM(K59)</f>
        <v>0</v>
      </c>
      <c r="L87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'C. Trapp SV'!M87</f>
        <v>0</v>
      </c>
      <c r="Q87" s="10">
        <f>IFERROR(INDEX('Projekt-Budget-Übersicht'!$E:$E,MATCH(10,'Projekt-Budget-Übersicht'!$L:$L,0)),0)</f>
        <v>0</v>
      </c>
      <c r="R87" s="10">
        <v>68628.19</v>
      </c>
      <c r="S87" s="4"/>
      <c r="T87" s="4"/>
      <c r="U87" s="4"/>
    </row>
    <row r="88" spans="1:21" x14ac:dyDescent="0.25">
      <c r="A88" s="4" t="s">
        <v>672</v>
      </c>
      <c r="B88" s="4" t="s">
        <v>5534</v>
      </c>
      <c r="C88" s="4" t="str">
        <f>IFERROR(INDEX('Projekt-Budget-Übersicht'!$C:$C,MATCH(690,'Projekt-Budget-Übersicht'!$L:$L,0)),"")</f>
        <v/>
      </c>
      <c r="D88" s="4">
        <v>40</v>
      </c>
      <c r="E88" s="4">
        <v>472.75</v>
      </c>
      <c r="F88" s="5">
        <f>SUM(F7,F33,I7,I33,K7,K33)</f>
        <v>12</v>
      </c>
      <c r="G88" s="15">
        <v>1181.8800000000001</v>
      </c>
      <c r="H88" s="5">
        <f>SUM(H7,H33)</f>
        <v>0</v>
      </c>
      <c r="I88" s="5">
        <f t="shared" si="12"/>
        <v>0</v>
      </c>
      <c r="J88" s="4" t="s">
        <v>5531</v>
      </c>
      <c r="K88" s="5">
        <f>SUM(K7,K33)</f>
        <v>0</v>
      </c>
      <c r="L88" s="10">
        <f>IF($B$2="-",0,IFERROR(INDEX(IF($B$2="SV",'Projekt-Budget-Übersicht'!$H:$H,IF($B$2="CAD",'Projekt-Budget-Übersicht'!$I:$I,IF($B$2="ADM",'Projekt-Budget-Übersicht'!$J:$J,'Projekt-Budget-Übersicht'!$H:$H))),MATCH(690,'Projekt-Budget-Übersicht'!$L:$L,0)),0))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'C. Trapp SV'!M88+'U. Sutter ADM'!M78</f>
        <v>0</v>
      </c>
      <c r="Q88" s="10">
        <f>IFERROR(INDEX('Projekt-Budget-Übersicht'!$E:$E,MATCH(690,'Projekt-Budget-Übersicht'!$L:$L,0)),0)</f>
        <v>0</v>
      </c>
      <c r="R88" s="10">
        <v>17.5</v>
      </c>
      <c r="S88" s="4"/>
      <c r="T88" s="4"/>
      <c r="U88" s="4"/>
    </row>
    <row r="89" spans="1:21" x14ac:dyDescent="0.25">
      <c r="A89" s="21" t="s">
        <v>865</v>
      </c>
      <c r="B89" s="4" t="s">
        <v>5535</v>
      </c>
      <c r="C89" s="4" t="str">
        <f>IFERROR(INDEX('Projekt-Budget-Übersicht'!$C:$C,MATCH(890,'Projekt-Budget-Übersicht'!$L:$L,0)),"")</f>
        <v/>
      </c>
      <c r="D89" s="4">
        <v>6</v>
      </c>
      <c r="E89" s="4">
        <v>16.75</v>
      </c>
      <c r="F89" s="5">
        <f>SUM(F8,I8,K8)</f>
        <v>4</v>
      </c>
      <c r="G89" s="15">
        <v>279.17</v>
      </c>
      <c r="H89" s="5">
        <f>SUM(H8)</f>
        <v>0</v>
      </c>
      <c r="I89" s="5">
        <f t="shared" si="12"/>
        <v>0</v>
      </c>
      <c r="J89" s="4" t="s">
        <v>5531</v>
      </c>
      <c r="K89" s="5">
        <f>SUM(K8)</f>
        <v>0</v>
      </c>
      <c r="L89" s="10">
        <f>IF($B$2="-",0,IFERROR(INDEX(IF($B$2="SV",'Projekt-Budget-Übersicht'!$H:$H,IF($B$2="CAD",'Projekt-Budget-Übersicht'!$I:$I,IF($B$2="ADM",'Projekt-Budget-Übersicht'!$J:$J,'Projekt-Budget-Übersicht'!$H:$H))),MATCH(890,'Projekt-Budget-Übersicht'!$L:$L,0)),0))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'C. Trapp SV'!M89+'U. Sutter ADM'!M79</f>
        <v>0</v>
      </c>
      <c r="Q89" s="10">
        <f>IFERROR(INDEX('Projekt-Budget-Übersicht'!$E:$E,MATCH(890,'Projekt-Budget-Übersicht'!$L:$L,0)),0)</f>
        <v>0</v>
      </c>
      <c r="R89" s="10">
        <v>7717.86</v>
      </c>
      <c r="S89" s="4"/>
      <c r="T89" s="4"/>
      <c r="U89" s="4"/>
    </row>
    <row r="90" spans="1:21" x14ac:dyDescent="0.25">
      <c r="A90" s="23"/>
      <c r="B90" s="4" t="s">
        <v>5536</v>
      </c>
      <c r="C90" s="4" t="str">
        <f>IFERROR(INDEX('Projekt-Budget-Übersicht'!$C:$C,MATCH(892,'Projekt-Budget-Übersicht'!$L:$L,0)),"")</f>
        <v/>
      </c>
      <c r="D90" s="4">
        <v>52</v>
      </c>
      <c r="E90" s="4">
        <v>201.5</v>
      </c>
      <c r="F90" s="5">
        <f>SUM(F9,F60,I9,I60,K9,K60)</f>
        <v>16.25</v>
      </c>
      <c r="G90" s="15">
        <v>387.5</v>
      </c>
      <c r="H90" s="5">
        <f>SUM(H9,H60)</f>
        <v>0</v>
      </c>
      <c r="I90" s="5">
        <f t="shared" si="12"/>
        <v>0</v>
      </c>
      <c r="J90" s="4" t="s">
        <v>5531</v>
      </c>
      <c r="K90" s="5">
        <f>SUM(K9,K60)</f>
        <v>0</v>
      </c>
      <c r="L90" s="10">
        <f>IF($B$2="-",0,IFERROR(INDEX(IF($B$2="SV",'Projekt-Budget-Übersicht'!$H:$H,IF($B$2="CAD",'Projekt-Budget-Übersicht'!$I:$I,IF($B$2="ADM",'Projekt-Budget-Übersicht'!$J:$J,'Projekt-Budget-Übersicht'!$H:$H))),MATCH(892,'Projekt-Budget-Übersicht'!$L:$L,0)),0))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'C. Trapp SV'!M90+'S. Schüler'!M140</f>
        <v>0</v>
      </c>
      <c r="Q90" s="10">
        <f>IFERROR(INDEX('Projekt-Budget-Übersicht'!$E:$E,MATCH(892,'Projekt-Budget-Übersicht'!$L:$L,0)),0)</f>
        <v>0</v>
      </c>
      <c r="R90" s="10">
        <v>12383.75</v>
      </c>
      <c r="S90" s="4"/>
      <c r="T90" s="4"/>
      <c r="U90" s="4"/>
    </row>
    <row r="91" spans="1:21" x14ac:dyDescent="0.25">
      <c r="A91" s="23"/>
      <c r="B91" s="4" t="s">
        <v>5537</v>
      </c>
      <c r="C91" s="4" t="str">
        <f>IFERROR(INDEX('Projekt-Budget-Übersicht'!$C:$C,MATCH(891,'Projekt-Budget-Übersicht'!$L:$L,0)),"")</f>
        <v/>
      </c>
      <c r="D91" s="4">
        <v>21</v>
      </c>
      <c r="E91" s="4">
        <v>32.25</v>
      </c>
      <c r="F91" s="5">
        <f>SUM(F10,I10,K10)</f>
        <v>1.5</v>
      </c>
      <c r="G91" s="15">
        <v>153.57</v>
      </c>
      <c r="H91" s="5">
        <f>SUM(H10)</f>
        <v>0</v>
      </c>
      <c r="I91" s="5">
        <f t="shared" si="12"/>
        <v>0</v>
      </c>
      <c r="J91" s="4" t="s">
        <v>5531</v>
      </c>
      <c r="K91" s="5">
        <f>SUM(K10)</f>
        <v>0</v>
      </c>
      <c r="L91" s="10">
        <f>IF($B$2="-",0,IFERROR(INDEX(IF($B$2="SV",'Projekt-Budget-Übersicht'!$H:$H,IF($B$2="CAD",'Projekt-Budget-Übersicht'!$I:$I,IF($B$2="ADM",'Projekt-Budget-Übersicht'!$J:$J,'Projekt-Budget-Übersicht'!$H:$H))),MATCH(891,'Projekt-Budget-Übersicht'!$L:$L,0)),0))</f>
        <v>0</v>
      </c>
      <c r="M91" s="10">
        <f t="shared" si="13"/>
        <v>0</v>
      </c>
      <c r="N91" s="10">
        <f t="shared" si="14"/>
        <v>0</v>
      </c>
      <c r="O91" s="10">
        <f t="shared" si="15"/>
        <v>0</v>
      </c>
      <c r="P91" s="10">
        <f>'C. Trapp SV'!M91+'S. Schüler'!M141</f>
        <v>0</v>
      </c>
      <c r="Q91" s="10">
        <f>IFERROR(INDEX('Projekt-Budget-Übersicht'!$E:$E,MATCH(891,'Projekt-Budget-Übersicht'!$L:$L,0)),0)</f>
        <v>0</v>
      </c>
      <c r="R91" s="10">
        <v>180</v>
      </c>
      <c r="S91" s="4"/>
      <c r="T91" s="4"/>
      <c r="U91" s="4"/>
    </row>
    <row r="92" spans="1:21" x14ac:dyDescent="0.25">
      <c r="A92" s="23"/>
      <c r="B92" s="4" t="s">
        <v>5538</v>
      </c>
      <c r="C92" s="4" t="str">
        <f>IFERROR(INDEX('Projekt-Budget-Übersicht'!$C:$C,MATCH(892,'Projekt-Budget-Übersicht'!$L:$L,0)),"")</f>
        <v/>
      </c>
      <c r="D92" s="4">
        <v>5</v>
      </c>
      <c r="E92" s="4">
        <v>25</v>
      </c>
      <c r="F92" s="5">
        <f>SUM(F11,F34,I11,I34,K11,K34)</f>
        <v>18</v>
      </c>
      <c r="G92" s="15">
        <v>500</v>
      </c>
      <c r="H92" s="5">
        <f>SUM(H11,H34)</f>
        <v>0</v>
      </c>
      <c r="I92" s="5">
        <f t="shared" si="12"/>
        <v>0</v>
      </c>
      <c r="J92" s="4" t="s">
        <v>5531</v>
      </c>
      <c r="K92" s="5">
        <f>SUM(K11,K34)</f>
        <v>0</v>
      </c>
      <c r="L92" s="10">
        <f>IF($B$2="-",0,IFERROR(INDEX(IF($B$2="SV",'Projekt-Budget-Übersicht'!$H:$H,IF($B$2="CAD",'Projekt-Budget-Übersicht'!$I:$I,IF($B$2="ADM",'Projekt-Budget-Übersicht'!$J:$J,'Projekt-Budget-Übersicht'!$H:$H))),MATCH(892,'Projekt-Budget-Übersicht'!$L:$L,0)),0))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'C. Trapp SV'!M92</f>
        <v>0</v>
      </c>
      <c r="Q92" s="10">
        <f>IFERROR(INDEX('Projekt-Budget-Übersicht'!$E:$E,MATCH(892,'Projekt-Budget-Übersicht'!$L:$L,0)),0)</f>
        <v>0</v>
      </c>
      <c r="R92" s="10">
        <v>12383.75</v>
      </c>
      <c r="S92" s="4"/>
      <c r="T92" s="4"/>
      <c r="U92" s="4"/>
    </row>
    <row r="93" spans="1:21" x14ac:dyDescent="0.25">
      <c r="A93" s="22"/>
      <c r="B93" s="4" t="s">
        <v>5539</v>
      </c>
      <c r="C93" s="4" t="str">
        <f>IFERROR(INDEX('Projekt-Budget-Übersicht'!$C:$C,MATCH(893,'Projekt-Budget-Übersicht'!$L:$L,0)),"")</f>
        <v/>
      </c>
      <c r="D93" s="4">
        <v>19</v>
      </c>
      <c r="E93" s="4">
        <v>1.75</v>
      </c>
      <c r="F93" s="5">
        <f>SUM(F12,I12,K12)</f>
        <v>1.5</v>
      </c>
      <c r="G93" s="16">
        <v>9.2100000000000009</v>
      </c>
      <c r="H93" s="5">
        <f>SUM(H12)</f>
        <v>0</v>
      </c>
      <c r="I93" s="5">
        <f t="shared" si="12"/>
        <v>0</v>
      </c>
      <c r="J93" s="4" t="s">
        <v>5531</v>
      </c>
      <c r="K93" s="5">
        <f>SUM(K12)</f>
        <v>0</v>
      </c>
      <c r="L93" s="10">
        <f>IF($B$2="-",0,IFERROR(INDEX(IF($B$2="SV",'Projekt-Budget-Übersicht'!$H:$H,IF($B$2="CAD",'Projekt-Budget-Übersicht'!$I:$I,IF($B$2="ADM",'Projekt-Budget-Übersicht'!$J:$J,'Projekt-Budget-Übersicht'!$H:$H))),MATCH(893,'Projekt-Budget-Übersicht'!$L:$L,0)),0))</f>
        <v>0</v>
      </c>
      <c r="M93" s="10">
        <f t="shared" si="13"/>
        <v>0</v>
      </c>
      <c r="N93" s="10">
        <f t="shared" si="14"/>
        <v>0</v>
      </c>
      <c r="O93" s="10">
        <f t="shared" si="15"/>
        <v>0</v>
      </c>
      <c r="P93" s="10">
        <f>'C. Trapp SV'!M93+'U. Sutter ADM'!M82</f>
        <v>0</v>
      </c>
      <c r="Q93" s="10">
        <f>IFERROR(INDEX('Projekt-Budget-Übersicht'!$E:$E,MATCH(893,'Projekt-Budget-Übersicht'!$L:$L,0)),0)</f>
        <v>0</v>
      </c>
      <c r="R93" s="10">
        <v>988.75</v>
      </c>
      <c r="S93" s="4"/>
      <c r="T93" s="4"/>
      <c r="U93" s="4"/>
    </row>
    <row r="94" spans="1:21" x14ac:dyDescent="0.25">
      <c r="A94" s="21" t="s">
        <v>1377</v>
      </c>
      <c r="B94" s="4" t="s">
        <v>5536</v>
      </c>
      <c r="C94" s="4" t="str">
        <f>IFERROR(INDEX('Projekt-Budget-Übersicht'!$C:$C,MATCH(1491,'Projekt-Budget-Übersicht'!$L:$L,0)),"")</f>
        <v/>
      </c>
      <c r="D94" s="4">
        <v>307.5</v>
      </c>
      <c r="E94" s="4">
        <v>398.25</v>
      </c>
      <c r="F94" s="5">
        <f>SUM(F35,I35,K35)</f>
        <v>1.5</v>
      </c>
      <c r="G94" s="15">
        <v>129.51</v>
      </c>
      <c r="H94" s="5">
        <f>SUM(H35)</f>
        <v>0</v>
      </c>
      <c r="I94" s="5">
        <f t="shared" si="12"/>
        <v>0</v>
      </c>
      <c r="J94" s="4" t="s">
        <v>5531</v>
      </c>
      <c r="K94" s="5">
        <f>SUM(K35)</f>
        <v>0</v>
      </c>
      <c r="L94" s="10">
        <f>IF($B$2="-",0,IFERROR(INDEX(IF($B$2="SV",'Projekt-Budget-Übersicht'!$H:$H,IF($B$2="CAD",'Projekt-Budget-Übersicht'!$I:$I,IF($B$2="ADM",'Projekt-Budget-Übersicht'!$J:$J,'Projekt-Budget-Übersicht'!$H:$H))),MATCH(1491,'Projekt-Budget-Übersicht'!$L:$L,0)),0))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'C. Trapp SV'!M94+'E. Bieler'!M84+'M. Bandlofsky'!M90</f>
        <v>0</v>
      </c>
      <c r="Q94" s="10">
        <f>IFERROR(INDEX('Projekt-Budget-Übersicht'!$E:$E,MATCH(1491,'Projekt-Budget-Übersicht'!$L:$L,0)),0)</f>
        <v>0</v>
      </c>
      <c r="R94" s="10">
        <v>21224.71</v>
      </c>
      <c r="S94" s="4"/>
      <c r="T94" s="4"/>
      <c r="U94" s="4"/>
    </row>
    <row r="95" spans="1:21" x14ac:dyDescent="0.25">
      <c r="A95" s="23"/>
      <c r="B95" s="4" t="s">
        <v>5537</v>
      </c>
      <c r="C95" s="4" t="str">
        <f>IFERROR(INDEX('Projekt-Budget-Übersicht'!$C:$C,MATCH(1490,'Projekt-Budget-Übersicht'!$L:$L,0)),"")</f>
        <v/>
      </c>
      <c r="D95" s="4">
        <v>16</v>
      </c>
      <c r="E95" s="4">
        <v>78</v>
      </c>
      <c r="F95" s="5">
        <f>SUM(F13,I13,K13)</f>
        <v>2.25</v>
      </c>
      <c r="G95" s="15">
        <v>487.5</v>
      </c>
      <c r="H95" s="5">
        <f>SUM(H13)</f>
        <v>0</v>
      </c>
      <c r="I95" s="5">
        <f t="shared" si="12"/>
        <v>0</v>
      </c>
      <c r="J95" s="4" t="s">
        <v>5531</v>
      </c>
      <c r="K95" s="5">
        <f>SUM(K13)</f>
        <v>0</v>
      </c>
      <c r="L95" s="10">
        <f>IF($B$2="-",0,IFERROR(INDEX(IF($B$2="SV",'Projekt-Budget-Übersicht'!$H:$H,IF($B$2="CAD",'Projekt-Budget-Übersicht'!$I:$I,IF($B$2="ADM",'Projekt-Budget-Übersicht'!$J:$J,'Projekt-Budget-Übersicht'!$H:$H))),MATCH(1490,'Projekt-Budget-Übersicht'!$L:$L,0)),0))</f>
        <v>0</v>
      </c>
      <c r="M95" s="10">
        <f t="shared" si="13"/>
        <v>0</v>
      </c>
      <c r="N95" s="10">
        <f t="shared" si="14"/>
        <v>0</v>
      </c>
      <c r="O95" s="10">
        <f t="shared" si="15"/>
        <v>0</v>
      </c>
      <c r="P95" s="10">
        <f>'C. Trapp SV'!M95+'M. Bandlofsky'!M91+'U. Sutter ADM'!M84</f>
        <v>0</v>
      </c>
      <c r="Q95" s="10">
        <f>IFERROR(INDEX('Projekt-Budget-Übersicht'!$E:$E,MATCH(1490,'Projekt-Budget-Übersicht'!$L:$L,0)),0)</f>
        <v>0</v>
      </c>
      <c r="R95" s="10">
        <v>453.82</v>
      </c>
      <c r="S95" s="4"/>
      <c r="T95" s="4"/>
      <c r="U95" s="4"/>
    </row>
    <row r="96" spans="1:21" x14ac:dyDescent="0.25">
      <c r="A96" s="23"/>
      <c r="B96" s="4" t="s">
        <v>5540</v>
      </c>
      <c r="C96" s="4" t="str">
        <f>IFERROR(INDEX('Projekt-Budget-Übersicht'!$C:$C,MATCH(1494,'Projekt-Budget-Übersicht'!$L:$L,0)),"")</f>
        <v/>
      </c>
      <c r="D96" s="4">
        <v>610</v>
      </c>
      <c r="E96" s="4">
        <v>65.5</v>
      </c>
      <c r="F96" s="5">
        <f>SUM(F14,F36,I14,I36,K14,K36)</f>
        <v>47.25</v>
      </c>
      <c r="G96" s="16">
        <v>10.74</v>
      </c>
      <c r="H96" s="5">
        <f>SUM(H14,H36)</f>
        <v>0</v>
      </c>
      <c r="I96" s="5">
        <f t="shared" si="12"/>
        <v>0</v>
      </c>
      <c r="J96" s="4" t="s">
        <v>5531</v>
      </c>
      <c r="K96" s="5">
        <f>SUM(K14,K36)</f>
        <v>0</v>
      </c>
      <c r="L96" s="10">
        <f>IF($B$2="-",0,IFERROR(INDEX(IF($B$2="SV",'Projekt-Budget-Übersicht'!$H:$H,IF($B$2="CAD",'Projekt-Budget-Übersicht'!$I:$I,IF($B$2="ADM",'Projekt-Budget-Übersicht'!$J:$J,'Projekt-Budget-Übersicht'!$H:$H))),MATCH(1494,'Projekt-Budget-Übersicht'!$L:$L,0)),0))</f>
        <v>0</v>
      </c>
      <c r="M96" s="10">
        <f t="shared" si="13"/>
        <v>0</v>
      </c>
      <c r="N96" s="10">
        <f t="shared" si="14"/>
        <v>0</v>
      </c>
      <c r="O96" s="10">
        <f t="shared" si="15"/>
        <v>0</v>
      </c>
      <c r="P96" s="10">
        <f>'C. Trapp SV'!M96+'E. Bieler'!M85</f>
        <v>0</v>
      </c>
      <c r="Q96" s="10">
        <f>IFERROR(INDEX('Projekt-Budget-Übersicht'!$E:$E,MATCH(1494,'Projekt-Budget-Übersicht'!$L:$L,0)),0)</f>
        <v>0</v>
      </c>
      <c r="R96" s="10">
        <v>573.22</v>
      </c>
      <c r="S96" s="4"/>
      <c r="T96" s="4"/>
      <c r="U96" s="4"/>
    </row>
    <row r="97" spans="1:21" x14ac:dyDescent="0.25">
      <c r="A97" s="23"/>
      <c r="B97" s="4" t="s">
        <v>5541</v>
      </c>
      <c r="C97" s="4" t="str">
        <f>IFERROR(INDEX('Projekt-Budget-Übersicht'!$C:$C,MATCH(1494,'Projekt-Budget-Übersicht'!$L:$L,0)),"")</f>
        <v/>
      </c>
      <c r="D97" s="4">
        <v>160</v>
      </c>
      <c r="E97" s="4">
        <v>29</v>
      </c>
      <c r="F97" s="5">
        <f>SUM(F15,F37,I15,I37,K15,K37)</f>
        <v>9</v>
      </c>
      <c r="G97" s="16">
        <v>18.12</v>
      </c>
      <c r="H97" s="5">
        <f>SUM(H15,H37)</f>
        <v>0</v>
      </c>
      <c r="I97" s="5">
        <f t="shared" si="12"/>
        <v>0</v>
      </c>
      <c r="J97" s="4" t="s">
        <v>5531</v>
      </c>
      <c r="K97" s="5">
        <f>SUM(K15,K37)</f>
        <v>0</v>
      </c>
      <c r="L97" s="10">
        <f>IF($B$2="-",0,IFERROR(INDEX(IF($B$2="SV",'Projekt-Budget-Übersicht'!$H:$H,IF($B$2="CAD",'Projekt-Budget-Übersicht'!$I:$I,IF($B$2="ADM",'Projekt-Budget-Übersicht'!$J:$J,'Projekt-Budget-Übersicht'!$H:$H))),MATCH(1494,'Projekt-Budget-Übersicht'!$L:$L,0)),0))</f>
        <v>0</v>
      </c>
      <c r="M97" s="10">
        <f t="shared" si="13"/>
        <v>0</v>
      </c>
      <c r="N97" s="10">
        <f t="shared" si="14"/>
        <v>0</v>
      </c>
      <c r="O97" s="10">
        <f t="shared" si="15"/>
        <v>0</v>
      </c>
      <c r="P97" s="10">
        <f>'C. Trapp SV'!M97</f>
        <v>0</v>
      </c>
      <c r="Q97" s="10">
        <f>IFERROR(INDEX('Projekt-Budget-Übersicht'!$E:$E,MATCH(1494,'Projekt-Budget-Übersicht'!$L:$L,0)),0)</f>
        <v>0</v>
      </c>
      <c r="R97" s="10">
        <v>573.22</v>
      </c>
      <c r="S97" s="4"/>
      <c r="T97" s="4"/>
      <c r="U97" s="4"/>
    </row>
    <row r="98" spans="1:21" x14ac:dyDescent="0.25">
      <c r="A98" s="22"/>
      <c r="B98" s="4" t="s">
        <v>5542</v>
      </c>
      <c r="C98" s="4" t="str">
        <f>IFERROR(INDEX('Projekt-Budget-Übersicht'!$C:$C,MATCH(1494,'Projekt-Budget-Übersicht'!$L:$L,0)),"")</f>
        <v/>
      </c>
      <c r="D98" s="4">
        <v>562</v>
      </c>
      <c r="E98" s="4">
        <v>285.25</v>
      </c>
      <c r="F98" s="5">
        <f>SUM(F16,F38,F61,I16,I38,I61,K16,K38,K61)</f>
        <v>84.5</v>
      </c>
      <c r="G98" s="16">
        <v>50.76</v>
      </c>
      <c r="H98" s="5">
        <f>SUM(H16,H38,H61)</f>
        <v>0</v>
      </c>
      <c r="I98" s="5">
        <f t="shared" si="12"/>
        <v>0</v>
      </c>
      <c r="J98" s="4" t="s">
        <v>5531</v>
      </c>
      <c r="K98" s="5">
        <f>SUM(K16,K38,K61)</f>
        <v>0</v>
      </c>
      <c r="L98" s="10">
        <f>IF($B$2="-",0,IFERROR(INDEX(IF($B$2="SV",'Projekt-Budget-Übersicht'!$H:$H,IF($B$2="CAD",'Projekt-Budget-Übersicht'!$I:$I,IF($B$2="ADM",'Projekt-Budget-Übersicht'!$J:$J,'Projekt-Budget-Übersicht'!$H:$H))),MATCH(1494,'Projekt-Budget-Übersicht'!$L:$L,0)),0))</f>
        <v>0</v>
      </c>
      <c r="M98" s="10">
        <f t="shared" si="13"/>
        <v>0</v>
      </c>
      <c r="N98" s="10">
        <f t="shared" si="14"/>
        <v>0</v>
      </c>
      <c r="O98" s="10">
        <f t="shared" si="15"/>
        <v>0</v>
      </c>
      <c r="P98" s="10">
        <f>'C. Trapp SV'!M98+'S. Roßkopf'!M36</f>
        <v>0</v>
      </c>
      <c r="Q98" s="10">
        <f>IFERROR(INDEX('Projekt-Budget-Übersicht'!$E:$E,MATCH(1494,'Projekt-Budget-Übersicht'!$L:$L,0)),0)</f>
        <v>0</v>
      </c>
      <c r="R98" s="10">
        <v>573.22</v>
      </c>
      <c r="S98" s="4"/>
      <c r="T98" s="4"/>
      <c r="U98" s="4"/>
    </row>
    <row r="99" spans="1:21" x14ac:dyDescent="0.25">
      <c r="A99" s="21" t="s">
        <v>1490</v>
      </c>
      <c r="B99" s="4" t="s">
        <v>5543</v>
      </c>
      <c r="C99" s="4" t="str">
        <f>IFERROR(INDEX('Projekt-Budget-Übersicht'!$C:$C,MATCH(1678,'Projekt-Budget-Übersicht'!$L:$L,0)),"")</f>
        <v/>
      </c>
      <c r="D99" s="4">
        <v>240</v>
      </c>
      <c r="E99" s="4">
        <v>188.5</v>
      </c>
      <c r="F99" s="5">
        <f>SUM(F17,F62,I17,I62,K17,K62)</f>
        <v>23</v>
      </c>
      <c r="G99" s="16">
        <v>78.540000000000006</v>
      </c>
      <c r="H99" s="5">
        <f>SUM(H17,H62)</f>
        <v>0</v>
      </c>
      <c r="I99" s="5">
        <f t="shared" si="12"/>
        <v>0</v>
      </c>
      <c r="J99" s="4" t="s">
        <v>5531</v>
      </c>
      <c r="K99" s="5">
        <f>SUM(K17,K62)</f>
        <v>0</v>
      </c>
      <c r="L99" s="10">
        <f>IF($B$2="-",0,IFERROR(INDEX(IF($B$2="SV",'Projekt-Budget-Übersicht'!$H:$H,IF($B$2="CAD",'Projekt-Budget-Übersicht'!$I:$I,IF($B$2="ADM",'Projekt-Budget-Übersicht'!$J:$J,'Projekt-Budget-Übersicht'!$H:$H))),MATCH(1678,'Projekt-Budget-Übersicht'!$L:$L,0)),0))</f>
        <v>0</v>
      </c>
      <c r="M99" s="10">
        <f t="shared" si="13"/>
        <v>0</v>
      </c>
      <c r="N99" s="10">
        <f t="shared" si="14"/>
        <v>0</v>
      </c>
      <c r="O99" s="10">
        <f t="shared" si="15"/>
        <v>0</v>
      </c>
      <c r="P99" s="10">
        <f>'C. Trapp SV'!M99+'S. Roßkopf'!M37+'U. Sutter ADM'!M89</f>
        <v>0</v>
      </c>
      <c r="Q99" s="10">
        <f>IFERROR(INDEX('Projekt-Budget-Übersicht'!$E:$E,MATCH(1678,'Projekt-Budget-Übersicht'!$L:$L,0)),0)</f>
        <v>0</v>
      </c>
      <c r="R99" s="10">
        <v>4718.17</v>
      </c>
      <c r="S99" s="4"/>
      <c r="T99" s="4"/>
      <c r="U99" s="4"/>
    </row>
    <row r="100" spans="1:21" x14ac:dyDescent="0.25">
      <c r="A100" s="23"/>
      <c r="B100" s="4" t="s">
        <v>5499</v>
      </c>
      <c r="C100" s="4" t="str">
        <f>IFERROR(INDEX('Projekt-Budget-Übersicht'!$C:$C,MATCH(1677,'Projekt-Budget-Übersicht'!$L:$L,0)),"")</f>
        <v/>
      </c>
      <c r="D100" s="4">
        <v>32</v>
      </c>
      <c r="E100" s="4">
        <v>51.75</v>
      </c>
      <c r="F100" s="5">
        <f>SUM(F39,I39,K39)</f>
        <v>34</v>
      </c>
      <c r="G100" s="15">
        <v>161.72</v>
      </c>
      <c r="H100" s="5">
        <f>SUM(H39)</f>
        <v>0</v>
      </c>
      <c r="I100" s="5">
        <f t="shared" si="12"/>
        <v>0</v>
      </c>
      <c r="J100" s="4" t="s">
        <v>5531</v>
      </c>
      <c r="K100" s="5">
        <f>SUM(K39)</f>
        <v>0</v>
      </c>
      <c r="L100" s="10">
        <f>IF($B$2="-",0,IFERROR(INDEX(IF($B$2="SV",'Projekt-Budget-Übersicht'!$H:$H,IF($B$2="CAD",'Projekt-Budget-Übersicht'!$I:$I,IF($B$2="ADM",'Projekt-Budget-Übersicht'!$J:$J,'Projekt-Budget-Übersicht'!$H:$H))),MATCH(1677,'Projekt-Budget-Übersicht'!$L:$L,0)),0))</f>
        <v>0</v>
      </c>
      <c r="M100" s="10">
        <f t="shared" si="13"/>
        <v>0</v>
      </c>
      <c r="N100" s="10">
        <f t="shared" si="14"/>
        <v>0</v>
      </c>
      <c r="O100" s="10">
        <f t="shared" si="15"/>
        <v>0</v>
      </c>
      <c r="P100" s="10">
        <f>'A. Kokott'!M149+'C. Trapp SV'!M100+'S. Roßkopf'!M38</f>
        <v>0</v>
      </c>
      <c r="Q100" s="10">
        <f>IFERROR(INDEX('Projekt-Budget-Übersicht'!$E:$E,MATCH(1677,'Projekt-Budget-Übersicht'!$L:$L,0)),0)</f>
        <v>0</v>
      </c>
      <c r="R100" s="10">
        <v>42.5</v>
      </c>
      <c r="S100" s="4"/>
      <c r="T100" s="4"/>
      <c r="U100" s="4"/>
    </row>
    <row r="101" spans="1:21" x14ac:dyDescent="0.25">
      <c r="A101" s="23"/>
      <c r="B101" s="4" t="s">
        <v>5536</v>
      </c>
      <c r="C101" s="4" t="str">
        <f>IFERROR(INDEX('Projekt-Budget-Übersicht'!$C:$C,MATCH(1679,'Projekt-Budget-Übersicht'!$L:$L,0)),"")</f>
        <v/>
      </c>
      <c r="D101" s="4">
        <v>25.25</v>
      </c>
      <c r="E101" s="4">
        <v>104</v>
      </c>
      <c r="F101" s="5">
        <f>SUM(F18,F40,I18,I40,K18,K40)</f>
        <v>9</v>
      </c>
      <c r="G101" s="15">
        <v>411.88</v>
      </c>
      <c r="H101" s="5">
        <f>SUM(H18,H40)</f>
        <v>0</v>
      </c>
      <c r="I101" s="5">
        <f t="shared" si="12"/>
        <v>0</v>
      </c>
      <c r="J101" s="4" t="s">
        <v>5531</v>
      </c>
      <c r="K101" s="5">
        <f>SUM(K18,K40)</f>
        <v>0</v>
      </c>
      <c r="L101" s="10">
        <f>IF($B$2="-",0,IFERROR(INDEX(IF($B$2="SV",'Projekt-Budget-Übersicht'!$H:$H,IF($B$2="CAD",'Projekt-Budget-Übersicht'!$I:$I,IF($B$2="ADM",'Projekt-Budget-Übersicht'!$J:$J,'Projekt-Budget-Übersicht'!$H:$H))),MATCH(1679,'Projekt-Budget-Übersicht'!$L:$L,0)),0))</f>
        <v>0</v>
      </c>
      <c r="M101" s="10">
        <f t="shared" si="13"/>
        <v>0</v>
      </c>
      <c r="N101" s="10">
        <f t="shared" si="14"/>
        <v>0</v>
      </c>
      <c r="O101" s="10">
        <f t="shared" si="15"/>
        <v>0</v>
      </c>
      <c r="P101" s="10">
        <f>'C. Trapp SV'!M101</f>
        <v>0</v>
      </c>
      <c r="Q101" s="10">
        <f>IFERROR(INDEX('Projekt-Budget-Übersicht'!$E:$E,MATCH(1679,'Projekt-Budget-Übersicht'!$L:$L,0)),0)</f>
        <v>0</v>
      </c>
      <c r="R101" s="10">
        <v>12307.13</v>
      </c>
      <c r="S101" s="4"/>
      <c r="T101" s="4"/>
      <c r="U101" s="4"/>
    </row>
    <row r="102" spans="1:21" x14ac:dyDescent="0.25">
      <c r="A102" s="22"/>
      <c r="B102" s="4" t="s">
        <v>5548</v>
      </c>
      <c r="C102" s="4" t="str">
        <f>IFERROR(INDEX('Projekt-Budget-Übersicht'!$C:$C,MATCH(1680,'Projekt-Budget-Übersicht'!$L:$L,0)),"")</f>
        <v/>
      </c>
      <c r="D102" s="4">
        <v>1.25</v>
      </c>
      <c r="E102" s="4">
        <v>3.5</v>
      </c>
      <c r="F102" s="5">
        <f>SUM(F41,I41,K41)</f>
        <v>1.25</v>
      </c>
      <c r="G102" s="15">
        <v>280</v>
      </c>
      <c r="H102" s="5">
        <f>SUM(H41)</f>
        <v>0</v>
      </c>
      <c r="I102" s="5">
        <f t="shared" si="12"/>
        <v>0</v>
      </c>
      <c r="J102" s="4" t="s">
        <v>5531</v>
      </c>
      <c r="K102" s="5">
        <f>SUM(K41)</f>
        <v>0</v>
      </c>
      <c r="L102" s="10">
        <f>IF($B$2="-",0,IFERROR(INDEX(IF($B$2="SV",'Projekt-Budget-Übersicht'!$H:$H,IF($B$2="CAD",'Projekt-Budget-Übersicht'!$I:$I,IF($B$2="ADM",'Projekt-Budget-Übersicht'!$J:$J,'Projekt-Budget-Übersicht'!$H:$H))),MATCH(1680,'Projekt-Budget-Übersicht'!$L:$L,0)),0))</f>
        <v>0</v>
      </c>
      <c r="M102" s="10">
        <f t="shared" si="13"/>
        <v>0</v>
      </c>
      <c r="N102" s="10">
        <f t="shared" si="14"/>
        <v>0</v>
      </c>
      <c r="O102" s="10">
        <f t="shared" si="15"/>
        <v>0</v>
      </c>
      <c r="P102" s="10">
        <f>'C. Trapp SV'!M102+'S. Schüler'!M150</f>
        <v>0</v>
      </c>
      <c r="Q102" s="10">
        <f>IFERROR(INDEX('Projekt-Budget-Übersicht'!$E:$E,MATCH(1680,'Projekt-Budget-Übersicht'!$L:$L,0)),0)</f>
        <v>0</v>
      </c>
      <c r="R102" s="10">
        <v>7561.84</v>
      </c>
      <c r="S102" s="4"/>
      <c r="T102" s="4"/>
      <c r="U102" s="4"/>
    </row>
    <row r="103" spans="1:21" x14ac:dyDescent="0.25">
      <c r="A103" s="4" t="s">
        <v>2913</v>
      </c>
      <c r="B103" s="4" t="s">
        <v>5544</v>
      </c>
      <c r="C103" s="4" t="str">
        <f>IFERROR(INDEX('Projekt-Budget-Übersicht'!$C:$C,MATCH(3188,'Projekt-Budget-Übersicht'!$L:$L,0)),"")</f>
        <v/>
      </c>
      <c r="D103" s="4">
        <v>3640</v>
      </c>
      <c r="E103" s="4">
        <v>230</v>
      </c>
      <c r="F103" s="5">
        <f>SUM(F19,F42,F63,I19,I42,I63,K19,K42,K63)</f>
        <v>51</v>
      </c>
      <c r="G103" s="16">
        <v>6.32</v>
      </c>
      <c r="H103" s="5">
        <f>SUM(H19,H42,H63)</f>
        <v>0</v>
      </c>
      <c r="I103" s="5">
        <f t="shared" si="12"/>
        <v>0</v>
      </c>
      <c r="J103" s="4" t="s">
        <v>5531</v>
      </c>
      <c r="K103" s="5">
        <f>SUM(K19,K42,K63)</f>
        <v>0</v>
      </c>
      <c r="L103" s="10">
        <f>IF($B$2="-",0,IFERROR(INDEX(IF($B$2="SV",'Projekt-Budget-Übersicht'!$H:$H,IF($B$2="CAD",'Projekt-Budget-Übersicht'!$I:$I,IF($B$2="ADM",'Projekt-Budget-Übersicht'!$J:$J,'Projekt-Budget-Übersicht'!$H:$H))),MATCH(3188,'Projekt-Budget-Übersicht'!$L:$L,0)),0))</f>
        <v>0</v>
      </c>
      <c r="M103" s="10">
        <f t="shared" si="13"/>
        <v>0</v>
      </c>
      <c r="N103" s="10">
        <f t="shared" si="14"/>
        <v>0</v>
      </c>
      <c r="O103" s="10">
        <f t="shared" si="15"/>
        <v>0</v>
      </c>
      <c r="P103" s="10">
        <f>'C. Trapp SV'!M103+'P. Bergner'!M89+'S. Roßkopf'!M39</f>
        <v>0</v>
      </c>
      <c r="Q103" s="10">
        <f>IFERROR(INDEX('Projekt-Budget-Übersicht'!$E:$E,MATCH(3188,'Projekt-Budget-Übersicht'!$L:$L,0)),0)</f>
        <v>0</v>
      </c>
      <c r="R103" s="10">
        <v>12198.75</v>
      </c>
      <c r="S103" s="4"/>
      <c r="T103" s="4"/>
      <c r="U103" s="4"/>
    </row>
    <row r="104" spans="1:21" x14ac:dyDescent="0.25">
      <c r="A104" s="21" t="s">
        <v>3070</v>
      </c>
      <c r="B104" s="4" t="s">
        <v>5536</v>
      </c>
      <c r="C104" s="4" t="str">
        <f>IFERROR(INDEX('Projekt-Budget-Übersicht'!$C:$C,MATCH(3321,'Projekt-Budget-Übersicht'!$L:$L,0)),"")</f>
        <v/>
      </c>
      <c r="D104" s="4">
        <v>144</v>
      </c>
      <c r="E104" s="4">
        <v>106.5</v>
      </c>
      <c r="F104" s="5">
        <f>SUM(F43,I43,K43)</f>
        <v>1</v>
      </c>
      <c r="G104" s="16">
        <v>73.959999999999994</v>
      </c>
      <c r="H104" s="5">
        <f>SUM(H43)</f>
        <v>0</v>
      </c>
      <c r="I104" s="5">
        <f t="shared" si="12"/>
        <v>0</v>
      </c>
      <c r="J104" s="4" t="s">
        <v>5531</v>
      </c>
      <c r="K104" s="5">
        <f>SUM(K43)</f>
        <v>0</v>
      </c>
      <c r="L104" s="10">
        <f>IF($B$2="-",0,IFERROR(INDEX(IF($B$2="SV",'Projekt-Budget-Übersicht'!$H:$H,IF($B$2="CAD",'Projekt-Budget-Übersicht'!$I:$I,IF($B$2="ADM",'Projekt-Budget-Übersicht'!$J:$J,'Projekt-Budget-Übersicht'!$H:$H))),MATCH(3321,'Projekt-Budget-Übersicht'!$L:$L,0)),0))</f>
        <v>0</v>
      </c>
      <c r="M104" s="10">
        <f t="shared" si="13"/>
        <v>0</v>
      </c>
      <c r="N104" s="10">
        <f t="shared" si="14"/>
        <v>0</v>
      </c>
      <c r="O104" s="10">
        <f t="shared" si="15"/>
        <v>0</v>
      </c>
      <c r="P104" s="10">
        <f>'C. Trapp SV'!M104+'E. Bieler'!M95</f>
        <v>0</v>
      </c>
      <c r="Q104" s="10">
        <f>IFERROR(INDEX('Projekt-Budget-Übersicht'!$E:$E,MATCH(3321,'Projekt-Budget-Übersicht'!$L:$L,0)),0)</f>
        <v>0</v>
      </c>
      <c r="R104" s="10">
        <v>6588.59</v>
      </c>
      <c r="S104" s="4"/>
      <c r="T104" s="4"/>
      <c r="U104" s="4"/>
    </row>
    <row r="105" spans="1:21" x14ac:dyDescent="0.25">
      <c r="A105" s="23"/>
      <c r="B105" s="4" t="s">
        <v>5538</v>
      </c>
      <c r="C105" s="4" t="str">
        <f>IFERROR(INDEX('Projekt-Budget-Übersicht'!$C:$C,MATCH(3321,'Projekt-Budget-Übersicht'!$L:$L,0)),"")</f>
        <v/>
      </c>
      <c r="D105" s="4">
        <v>16</v>
      </c>
      <c r="E105" s="4">
        <v>33.25</v>
      </c>
      <c r="F105" s="5">
        <f>SUM(F20,F44,I20,I44,K20,K44)</f>
        <v>8</v>
      </c>
      <c r="G105" s="15">
        <v>207.81</v>
      </c>
      <c r="H105" s="5">
        <f>SUM(H20,H44)</f>
        <v>0</v>
      </c>
      <c r="I105" s="5">
        <f t="shared" si="12"/>
        <v>0</v>
      </c>
      <c r="J105" s="4" t="s">
        <v>5531</v>
      </c>
      <c r="K105" s="5">
        <f>SUM(K20,K44)</f>
        <v>0</v>
      </c>
      <c r="L105" s="10">
        <f>IF($B$2="-",0,IFERROR(INDEX(IF($B$2="SV",'Projekt-Budget-Übersicht'!$H:$H,IF($B$2="CAD",'Projekt-Budget-Übersicht'!$I:$I,IF($B$2="ADM",'Projekt-Budget-Übersicht'!$J:$J,'Projekt-Budget-Übersicht'!$H:$H))),MATCH(3321,'Projekt-Budget-Übersicht'!$L:$L,0)),0))</f>
        <v>0</v>
      </c>
      <c r="M105" s="10">
        <f t="shared" si="13"/>
        <v>0</v>
      </c>
      <c r="N105" s="10">
        <f t="shared" si="14"/>
        <v>0</v>
      </c>
      <c r="O105" s="10">
        <f t="shared" si="15"/>
        <v>0</v>
      </c>
      <c r="P105" s="10">
        <f>'C. Trapp SV'!M105</f>
        <v>0</v>
      </c>
      <c r="Q105" s="10">
        <f>IFERROR(INDEX('Projekt-Budget-Übersicht'!$E:$E,MATCH(3321,'Projekt-Budget-Übersicht'!$L:$L,0)),0)</f>
        <v>0</v>
      </c>
      <c r="R105" s="10">
        <v>6588.59</v>
      </c>
      <c r="S105" s="4"/>
      <c r="T105" s="4"/>
      <c r="U105" s="4"/>
    </row>
    <row r="106" spans="1:21" x14ac:dyDescent="0.25">
      <c r="A106" s="23"/>
      <c r="B106" s="4" t="s">
        <v>5541</v>
      </c>
      <c r="C106" s="4" t="str">
        <f>IFERROR(INDEX('Projekt-Budget-Übersicht'!$C:$C,MATCH(3322,'Projekt-Budget-Übersicht'!$L:$L,0)),"")</f>
        <v/>
      </c>
      <c r="D106" s="4">
        <v>80</v>
      </c>
      <c r="E106" s="4">
        <v>20.75</v>
      </c>
      <c r="F106" s="5">
        <f>SUM(F45,I45,K45)</f>
        <v>8.75</v>
      </c>
      <c r="G106" s="16">
        <v>25.94</v>
      </c>
      <c r="H106" s="5">
        <f>SUM(H45)</f>
        <v>0</v>
      </c>
      <c r="I106" s="5">
        <f t="shared" si="12"/>
        <v>0</v>
      </c>
      <c r="J106" s="4" t="s">
        <v>5531</v>
      </c>
      <c r="K106" s="5">
        <f>SUM(K45)</f>
        <v>0</v>
      </c>
      <c r="L106" s="10">
        <f>IF($B$2="-",0,IFERROR(INDEX(IF($B$2="SV",'Projekt-Budget-Übersicht'!$H:$H,IF($B$2="CAD",'Projekt-Budget-Übersicht'!$I:$I,IF($B$2="ADM",'Projekt-Budget-Übersicht'!$J:$J,'Projekt-Budget-Übersicht'!$H:$H))),MATCH(3322,'Projekt-Budget-Übersicht'!$L:$L,0)),0))</f>
        <v>0</v>
      </c>
      <c r="M106" s="10">
        <f t="shared" si="13"/>
        <v>0</v>
      </c>
      <c r="N106" s="10">
        <f t="shared" si="14"/>
        <v>0</v>
      </c>
      <c r="O106" s="10">
        <f t="shared" si="15"/>
        <v>0</v>
      </c>
      <c r="P106" s="10">
        <f>'C. Trapp SV'!M106+'U. Sutter ADM'!M91</f>
        <v>0</v>
      </c>
      <c r="Q106" s="10">
        <f>IFERROR(INDEX('Projekt-Budget-Übersicht'!$E:$E,MATCH(3322,'Projekt-Budget-Übersicht'!$L:$L,0)),0)</f>
        <v>0</v>
      </c>
      <c r="R106" s="10">
        <v>1887.87</v>
      </c>
      <c r="S106" s="4"/>
      <c r="T106" s="4"/>
      <c r="U106" s="4"/>
    </row>
    <row r="107" spans="1:21" x14ac:dyDescent="0.25">
      <c r="A107" s="22"/>
      <c r="B107" s="4" t="s">
        <v>5542</v>
      </c>
      <c r="C107" s="4" t="str">
        <f>IFERROR(INDEX('Projekt-Budget-Übersicht'!$C:$C,MATCH(3322,'Projekt-Budget-Übersicht'!$L:$L,0)),"")</f>
        <v/>
      </c>
      <c r="D107" s="4">
        <v>540</v>
      </c>
      <c r="E107" s="4">
        <v>536.5</v>
      </c>
      <c r="F107" s="5">
        <f>SUM(F46,F64,I46,I64,K46,K64)</f>
        <v>55</v>
      </c>
      <c r="G107" s="14">
        <v>99.35</v>
      </c>
      <c r="H107" s="5">
        <f>SUM(H46,H64)</f>
        <v>0</v>
      </c>
      <c r="I107" s="5">
        <f t="shared" si="12"/>
        <v>0</v>
      </c>
      <c r="J107" s="4" t="s">
        <v>5531</v>
      </c>
      <c r="K107" s="5">
        <f>SUM(K46,K64)</f>
        <v>0</v>
      </c>
      <c r="L107" s="10">
        <f>IF($B$2="-",0,IFERROR(INDEX(IF($B$2="SV",'Projekt-Budget-Übersicht'!$H:$H,IF($B$2="CAD",'Projekt-Budget-Übersicht'!$I:$I,IF($B$2="ADM",'Projekt-Budget-Übersicht'!$J:$J,'Projekt-Budget-Übersicht'!$H:$H))),MATCH(3322,'Projekt-Budget-Übersicht'!$L:$L,0)),0))</f>
        <v>0</v>
      </c>
      <c r="M107" s="10">
        <f t="shared" si="13"/>
        <v>0</v>
      </c>
      <c r="N107" s="10">
        <f t="shared" si="14"/>
        <v>0</v>
      </c>
      <c r="O107" s="10">
        <f t="shared" si="15"/>
        <v>0</v>
      </c>
      <c r="P107" s="10">
        <f>'C. Trapp SV'!M107+'S. Roßkopf'!M40+'U. Sutter ADM'!M92</f>
        <v>0</v>
      </c>
      <c r="Q107" s="10">
        <f>IFERROR(INDEX('Projekt-Budget-Übersicht'!$E:$E,MATCH(3322,'Projekt-Budget-Übersicht'!$L:$L,0)),0)</f>
        <v>0</v>
      </c>
      <c r="R107" s="10">
        <v>1887.87</v>
      </c>
      <c r="S107" s="4"/>
      <c r="T107" s="4"/>
      <c r="U107" s="4"/>
    </row>
    <row r="108" spans="1:21" x14ac:dyDescent="0.25">
      <c r="A108" s="21" t="s">
        <v>3214</v>
      </c>
      <c r="B108" s="4" t="s">
        <v>5541</v>
      </c>
      <c r="C108" s="4" t="str">
        <f>IFERROR(INDEX('Projekt-Budget-Übersicht'!$C:$C,MATCH(3445,'Projekt-Budget-Übersicht'!$L:$L,0)),"")</f>
        <v/>
      </c>
      <c r="D108" s="4">
        <v>20</v>
      </c>
      <c r="E108" s="4">
        <v>35.75</v>
      </c>
      <c r="F108" s="5">
        <f>SUM(F21,I21,K21)</f>
        <v>15.75</v>
      </c>
      <c r="G108" s="15">
        <v>178.75</v>
      </c>
      <c r="H108" s="5">
        <f>SUM(H21)</f>
        <v>0</v>
      </c>
      <c r="I108" s="5">
        <f t="shared" si="12"/>
        <v>0</v>
      </c>
      <c r="J108" s="4" t="s">
        <v>5531</v>
      </c>
      <c r="K108" s="5">
        <f>SUM(K21)</f>
        <v>0</v>
      </c>
      <c r="L108" s="10">
        <f>IF($B$2="-",0,IFERROR(INDEX(IF($B$2="SV",'Projekt-Budget-Übersicht'!$H:$H,IF($B$2="CAD",'Projekt-Budget-Übersicht'!$I:$I,IF($B$2="ADM",'Projekt-Budget-Übersicht'!$J:$J,'Projekt-Budget-Übersicht'!$H:$H))),MATCH(3445,'Projekt-Budget-Übersicht'!$L:$L,0)),0))</f>
        <v>0</v>
      </c>
      <c r="M108" s="10">
        <f t="shared" si="13"/>
        <v>0</v>
      </c>
      <c r="N108" s="10">
        <f t="shared" si="14"/>
        <v>0</v>
      </c>
      <c r="O108" s="10">
        <f t="shared" si="15"/>
        <v>0</v>
      </c>
      <c r="P108" s="10">
        <f>'C. Trapp SV'!M108+'U. Sutter ADM'!M94</f>
        <v>0</v>
      </c>
      <c r="Q108" s="10">
        <f>IFERROR(INDEX('Projekt-Budget-Übersicht'!$E:$E,MATCH(3445,'Projekt-Budget-Übersicht'!$L:$L,0)),0)</f>
        <v>0</v>
      </c>
      <c r="R108" s="10">
        <v>332.5</v>
      </c>
      <c r="S108" s="4"/>
      <c r="T108" s="4"/>
      <c r="U108" s="4"/>
    </row>
    <row r="109" spans="1:21" x14ac:dyDescent="0.25">
      <c r="A109" s="23"/>
      <c r="B109" s="4" t="s">
        <v>5545</v>
      </c>
      <c r="C109" s="4" t="str">
        <f>IFERROR(INDEX('Projekt-Budget-Übersicht'!$C:$C,MATCH(3445,'Projekt-Budget-Übersicht'!$L:$L,0)),"")</f>
        <v/>
      </c>
      <c r="D109" s="4">
        <v>40</v>
      </c>
      <c r="E109" s="4">
        <v>5</v>
      </c>
      <c r="F109" s="5">
        <f>SUM(F22,I22,K22)</f>
        <v>2</v>
      </c>
      <c r="G109" s="16">
        <v>12.5</v>
      </c>
      <c r="H109" s="5">
        <f>SUM(H22)</f>
        <v>0</v>
      </c>
      <c r="I109" s="5">
        <f t="shared" si="12"/>
        <v>0</v>
      </c>
      <c r="J109" s="4" t="s">
        <v>5531</v>
      </c>
      <c r="K109" s="5">
        <f>SUM(K22)</f>
        <v>0</v>
      </c>
      <c r="L109" s="10">
        <f>IF($B$2="-",0,IFERROR(INDEX(IF($B$2="SV",'Projekt-Budget-Übersicht'!$H:$H,IF($B$2="CAD",'Projekt-Budget-Übersicht'!$I:$I,IF($B$2="ADM",'Projekt-Budget-Übersicht'!$J:$J,'Projekt-Budget-Übersicht'!$H:$H))),MATCH(3445,'Projekt-Budget-Übersicht'!$L:$L,0)),0))</f>
        <v>0</v>
      </c>
      <c r="M109" s="10">
        <f t="shared" si="13"/>
        <v>0</v>
      </c>
      <c r="N109" s="10">
        <f t="shared" si="14"/>
        <v>0</v>
      </c>
      <c r="O109" s="10">
        <f t="shared" si="15"/>
        <v>0</v>
      </c>
      <c r="P109" s="10">
        <f>'C. Trapp SV'!M109</f>
        <v>0</v>
      </c>
      <c r="Q109" s="10">
        <f>IFERROR(INDEX('Projekt-Budget-Übersicht'!$E:$E,MATCH(3445,'Projekt-Budget-Übersicht'!$L:$L,0)),0)</f>
        <v>0</v>
      </c>
      <c r="R109" s="10">
        <v>332.5</v>
      </c>
      <c r="S109" s="4"/>
      <c r="T109" s="4"/>
      <c r="U109" s="4"/>
    </row>
    <row r="110" spans="1:21" x14ac:dyDescent="0.25">
      <c r="A110" s="22"/>
      <c r="B110" s="4" t="s">
        <v>5542</v>
      </c>
      <c r="C110" s="4" t="str">
        <f>IFERROR(INDEX('Projekt-Budget-Übersicht'!$C:$C,MATCH(3445,'Projekt-Budget-Übersicht'!$L:$L,0)),"")</f>
        <v/>
      </c>
      <c r="D110" s="4">
        <v>80</v>
      </c>
      <c r="E110" s="4">
        <v>168.25</v>
      </c>
      <c r="F110" s="5">
        <f>SUM(F65,I65,K65)</f>
        <v>9.5</v>
      </c>
      <c r="G110" s="15">
        <v>210.31</v>
      </c>
      <c r="H110" s="5">
        <f>SUM(H65)</f>
        <v>0</v>
      </c>
      <c r="I110" s="5">
        <f t="shared" si="12"/>
        <v>0</v>
      </c>
      <c r="J110" s="4" t="s">
        <v>5531</v>
      </c>
      <c r="K110" s="5">
        <f>SUM(K65)</f>
        <v>0</v>
      </c>
      <c r="L110" s="10">
        <f>IF($B$2="-",0,IFERROR(INDEX(IF($B$2="SV",'Projekt-Budget-Übersicht'!$H:$H,IF($B$2="CAD",'Projekt-Budget-Übersicht'!$I:$I,IF($B$2="ADM",'Projekt-Budget-Übersicht'!$J:$J,'Projekt-Budget-Übersicht'!$H:$H))),MATCH(3445,'Projekt-Budget-Übersicht'!$L:$L,0)),0))</f>
        <v>0</v>
      </c>
      <c r="M110" s="10">
        <f t="shared" si="13"/>
        <v>0</v>
      </c>
      <c r="N110" s="10">
        <f t="shared" si="14"/>
        <v>0</v>
      </c>
      <c r="O110" s="10">
        <f t="shared" si="15"/>
        <v>0</v>
      </c>
      <c r="P110" s="10">
        <f>'C. Trapp SV'!M110+'U. Sutter ADM'!M95</f>
        <v>0</v>
      </c>
      <c r="Q110" s="10">
        <f>IFERROR(INDEX('Projekt-Budget-Übersicht'!$E:$E,MATCH(3445,'Projekt-Budget-Übersicht'!$L:$L,0)),0)</f>
        <v>0</v>
      </c>
      <c r="R110" s="10">
        <v>332.5</v>
      </c>
      <c r="S110" s="4"/>
      <c r="T110" s="4"/>
      <c r="U110" s="4"/>
    </row>
    <row r="111" spans="1:21" x14ac:dyDescent="0.25">
      <c r="A111" s="4" t="s">
        <v>4461</v>
      </c>
      <c r="B111" s="4" t="s">
        <v>5519</v>
      </c>
      <c r="C111" s="4" t="str">
        <f>IFERROR(INDEX('Projekt-Budget-Übersicht'!$C:$C,MATCH(4528,'Projekt-Budget-Übersicht'!$L:$L,0)),"")</f>
        <v/>
      </c>
      <c r="D111" s="4">
        <v>100</v>
      </c>
      <c r="E111" s="4">
        <v>26.5</v>
      </c>
      <c r="F111" s="5">
        <f>SUM(F47,I47,K47)</f>
        <v>6.5</v>
      </c>
      <c r="G111" s="16">
        <v>26.5</v>
      </c>
      <c r="H111" s="5">
        <f>SUM(H47)</f>
        <v>0</v>
      </c>
      <c r="I111" s="5">
        <f t="shared" si="12"/>
        <v>0</v>
      </c>
      <c r="J111" s="4" t="s">
        <v>5531</v>
      </c>
      <c r="K111" s="5">
        <f>SUM(K47)</f>
        <v>0</v>
      </c>
      <c r="L111" s="10">
        <f>IF($B$2="-",0,IFERROR(INDEX(IF($B$2="SV",'Projekt-Budget-Übersicht'!$H:$H,IF($B$2="CAD",'Projekt-Budget-Übersicht'!$I:$I,IF($B$2="ADM",'Projekt-Budget-Übersicht'!$J:$J,'Projekt-Budget-Übersicht'!$H:$H))),MATCH(4528,'Projekt-Budget-Übersicht'!$L:$L,0)),0))</f>
        <v>0</v>
      </c>
      <c r="M111" s="10">
        <f t="shared" si="13"/>
        <v>0</v>
      </c>
      <c r="N111" s="10">
        <f t="shared" si="14"/>
        <v>0</v>
      </c>
      <c r="O111" s="10">
        <f t="shared" si="15"/>
        <v>0</v>
      </c>
      <c r="P111" s="10">
        <f>'A. Kokott'!M178+'C. Trapp SV'!M111+'S. Schüler'!M168</f>
        <v>0</v>
      </c>
      <c r="Q111" s="10">
        <f>IFERROR(INDEX('Projekt-Budget-Übersicht'!$E:$E,MATCH(4528,'Projekt-Budget-Übersicht'!$L:$L,0)),0)</f>
        <v>0</v>
      </c>
      <c r="R111" s="10">
        <v>1763.75</v>
      </c>
      <c r="S111" s="4"/>
      <c r="T111" s="4"/>
      <c r="U111" s="4"/>
    </row>
    <row r="112" spans="1:21" x14ac:dyDescent="0.25">
      <c r="A112" s="4" t="s">
        <v>4632</v>
      </c>
      <c r="B112" s="4" t="s">
        <v>5546</v>
      </c>
      <c r="C112" s="4" t="str">
        <f>IFERROR(INDEX('Projekt-Budget-Übersicht'!$C:$C,MATCH(4666,'Projekt-Budget-Übersicht'!$L:$L,0)),"")</f>
        <v/>
      </c>
      <c r="D112" s="4">
        <v>18</v>
      </c>
      <c r="E112" s="4">
        <v>27</v>
      </c>
      <c r="F112" s="5">
        <f>SUM(F23,I23,K23)</f>
        <v>20.5</v>
      </c>
      <c r="G112" s="15">
        <v>150</v>
      </c>
      <c r="H112" s="5">
        <f>SUM(H23)</f>
        <v>0</v>
      </c>
      <c r="I112" s="5">
        <f t="shared" si="12"/>
        <v>0</v>
      </c>
      <c r="J112" s="4" t="s">
        <v>5531</v>
      </c>
      <c r="K112" s="5">
        <f>SUM(K23)</f>
        <v>0</v>
      </c>
      <c r="L112" s="10">
        <f>IF($B$2="-",0,IFERROR(INDEX(IF($B$2="SV",'Projekt-Budget-Übersicht'!$H:$H,IF($B$2="CAD",'Projekt-Budget-Übersicht'!$I:$I,IF($B$2="ADM",'Projekt-Budget-Übersicht'!$J:$J,'Projekt-Budget-Übersicht'!$H:$H))),MATCH(4666,'Projekt-Budget-Übersicht'!$L:$L,0)),0))</f>
        <v>0</v>
      </c>
      <c r="M112" s="10">
        <f t="shared" si="13"/>
        <v>0</v>
      </c>
      <c r="N112" s="10">
        <f t="shared" si="14"/>
        <v>0</v>
      </c>
      <c r="O112" s="10">
        <f t="shared" si="15"/>
        <v>0</v>
      </c>
      <c r="P112" s="10">
        <f>'C. Trapp SV'!M112</f>
        <v>0</v>
      </c>
      <c r="Q112" s="10">
        <f>IFERROR(INDEX('Projekt-Budget-Übersicht'!$E:$E,MATCH(4666,'Projekt-Budget-Übersicht'!$L:$L,0)),0)</f>
        <v>0</v>
      </c>
      <c r="R112" s="10">
        <v>37.5</v>
      </c>
      <c r="S112" s="4"/>
      <c r="T112" s="4"/>
      <c r="U112" s="4"/>
    </row>
    <row r="114" spans="1:21" x14ac:dyDescent="0.25">
      <c r="A114" s="3"/>
      <c r="B114" s="3" t="s">
        <v>5492</v>
      </c>
      <c r="C114" s="3"/>
      <c r="D114" s="3"/>
      <c r="E114" s="3"/>
      <c r="F114" s="6">
        <f>SUM(F24,F48,F66)</f>
        <v>481.5</v>
      </c>
      <c r="G114" s="3"/>
      <c r="H114" s="3"/>
      <c r="I114" s="3"/>
      <c r="J114" s="3"/>
      <c r="K114" s="3"/>
      <c r="L114" s="3"/>
      <c r="M114" s="17">
        <f>SUM(M84:M112)</f>
        <v>0</v>
      </c>
      <c r="N114" s="17">
        <f>SUM(N84:N112)</f>
        <v>0</v>
      </c>
      <c r="O114" s="17">
        <f>SUM(O84:O112)</f>
        <v>0</v>
      </c>
      <c r="P114" s="17">
        <f>SUM(P84:P112)</f>
        <v>0</v>
      </c>
      <c r="Q114" s="3"/>
      <c r="R114" s="3"/>
      <c r="S114" s="3"/>
      <c r="T114" s="3"/>
      <c r="U114" s="3"/>
    </row>
    <row r="115" spans="1:21" x14ac:dyDescent="0.25">
      <c r="A115" s="3"/>
      <c r="B115" s="3" t="s">
        <v>4</v>
      </c>
      <c r="C115" s="3"/>
      <c r="D115" s="3"/>
      <c r="E115" s="3"/>
      <c r="F115" s="6">
        <f>G115+H115</f>
        <v>289.5</v>
      </c>
      <c r="G115" s="6">
        <f>SUM(G25,G49,G67)</f>
        <v>289.5</v>
      </c>
      <c r="H115" s="6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1:21" x14ac:dyDescent="0.25">
      <c r="A116" s="3"/>
      <c r="B116" s="3" t="s">
        <v>5</v>
      </c>
      <c r="C116" s="3"/>
      <c r="D116" s="3"/>
      <c r="E116" s="3"/>
      <c r="F116" s="6">
        <f>G116+H116</f>
        <v>17</v>
      </c>
      <c r="G116" s="6">
        <f>SUM(G26,G50,G68)</f>
        <v>17</v>
      </c>
      <c r="H116" s="6">
        <v>0</v>
      </c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1:21" x14ac:dyDescent="0.25">
      <c r="A117" s="3"/>
      <c r="B117" s="3" t="s">
        <v>5493</v>
      </c>
      <c r="C117" s="3"/>
      <c r="D117" s="3"/>
      <c r="E117" s="3"/>
      <c r="F117" s="6">
        <f>SUM(F27,F51,F69)</f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1:21" x14ac:dyDescent="0.25">
      <c r="A118" s="18"/>
      <c r="B118" s="18" t="s">
        <v>5494</v>
      </c>
      <c r="C118" s="18"/>
      <c r="D118" s="18"/>
      <c r="E118" s="18"/>
      <c r="F118" s="19">
        <f>F115+F116+F117</f>
        <v>306.5</v>
      </c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</row>
    <row r="120" spans="1:21" ht="15.75" x14ac:dyDescent="0.25">
      <c r="A120" s="2" t="s">
        <v>5532</v>
      </c>
    </row>
    <row r="121" spans="1:21" x14ac:dyDescent="0.25">
      <c r="A121" s="13" t="s">
        <v>10</v>
      </c>
      <c r="B121" s="13">
        <v>481.5</v>
      </c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</row>
    <row r="122" spans="1:21" x14ac:dyDescent="0.25">
      <c r="A122" s="13" t="s">
        <v>11</v>
      </c>
      <c r="B122" s="20">
        <f>SUM(F25,F49,F67)</f>
        <v>289.5</v>
      </c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</row>
    <row r="123" spans="1:21" x14ac:dyDescent="0.25">
      <c r="A123" s="13" t="s">
        <v>12</v>
      </c>
      <c r="B123" s="20">
        <f>SUM(F26,F50,F68)</f>
        <v>17</v>
      </c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</row>
  </sheetData>
  <mergeCells count="14">
    <mergeCell ref="A8:A12"/>
    <mergeCell ref="A104:A107"/>
    <mergeCell ref="A56:A59"/>
    <mergeCell ref="A99:A102"/>
    <mergeCell ref="A35:A38"/>
    <mergeCell ref="A94:A98"/>
    <mergeCell ref="A89:A93"/>
    <mergeCell ref="A21:A22"/>
    <mergeCell ref="A84:A87"/>
    <mergeCell ref="A13:A16"/>
    <mergeCell ref="A39:A41"/>
    <mergeCell ref="A17:A18"/>
    <mergeCell ref="A108:A110"/>
    <mergeCell ref="A43:A46"/>
  </mergeCells>
  <conditionalFormatting sqref="I6:I23">
    <cfRule type="cellIs" dxfId="65" priority="1" stopIfTrue="1" operator="lessThan">
      <formula>0</formula>
    </cfRule>
  </conditionalFormatting>
  <conditionalFormatting sqref="I32:I47">
    <cfRule type="cellIs" dxfId="64" priority="19" stopIfTrue="1" operator="lessThan">
      <formula>0</formula>
    </cfRule>
  </conditionalFormatting>
  <conditionalFormatting sqref="I56:I65">
    <cfRule type="cellIs" dxfId="63" priority="35" stopIfTrue="1" operator="lessThan">
      <formula>0</formula>
    </cfRule>
  </conditionalFormatting>
  <conditionalFormatting sqref="I84:I112">
    <cfRule type="cellIs" dxfId="62" priority="45" stopIfTrue="1" operator="lessThan">
      <formula>0</formula>
    </cfRule>
  </conditionalFormatting>
  <dataValidations count="16">
    <dataValidation type="list" sqref="B2" xr:uid="{00000000-0002-0000-0300-000000000000}">
      <formula1>"SV,CAD,ADM,Pauschale,-"</formula1>
    </dataValidation>
    <dataValidation type="list" allowBlank="1" sqref="J6" xr:uid="{00000000-0002-0000-0300-000001000000}">
      <formula1>"A. Kokott,D. Brucker,E. Bieler,J. Dorchies,J. Dorn,M. Bandlofsky,T. Trautmann,U. Sutter ADM"</formula1>
    </dataValidation>
    <dataValidation type="list" allowBlank="1" sqref="T56:T65 T32:T47 T6:T23" xr:uid="{00000000-0002-0000-0300-000002000000}">
      <formula1>"SR,AZ"</formula1>
    </dataValidation>
    <dataValidation type="list" allowBlank="1" sqref="J45 J21 J17 J7:J8" xr:uid="{00000000-0002-0000-0300-000003000000}">
      <formula1>"U. Sutter ADM"</formula1>
    </dataValidation>
    <dataValidation type="list" allowBlank="1" sqref="J9 J60 J47" xr:uid="{00000000-0002-0000-0300-000007000000}">
      <formula1>"S. Schüler"</formula1>
    </dataValidation>
    <dataValidation type="list" allowBlank="1" sqref="J13" xr:uid="{00000000-0002-0000-0300-00000C000000}">
      <formula1>"M. Bandlofsky"</formula1>
    </dataValidation>
    <dataValidation type="list" allowBlank="1" sqref="J19" xr:uid="{00000000-0002-0000-0300-000014000000}">
      <formula1>"P. Bergner"</formula1>
    </dataValidation>
    <dataValidation type="list" allowBlank="1" sqref="J32" xr:uid="{00000000-0002-0000-0300-00001B000000}">
      <formula1>"J. Dorn,T. Trautmann"</formula1>
    </dataValidation>
    <dataValidation type="list" allowBlank="1" sqref="J35" xr:uid="{00000000-0002-0000-0300-00001F000000}">
      <formula1>"E. Bieler,M. Bandlofsky"</formula1>
    </dataValidation>
    <dataValidation type="list" allowBlank="1" sqref="J36 J43" xr:uid="{00000000-0002-0000-0300-000021000000}">
      <formula1>"E. Bieler"</formula1>
    </dataValidation>
    <dataValidation type="list" allowBlank="1" sqref="J38 J63:J64 J61 J42" xr:uid="{00000000-0002-0000-0300-000024000000}">
      <formula1>"S. Roßkopf"</formula1>
    </dataValidation>
    <dataValidation type="list" allowBlank="1" sqref="J39" xr:uid="{00000000-0002-0000-0300-000026000000}">
      <formula1>"A. Kokott,S. Roßkopf"</formula1>
    </dataValidation>
    <dataValidation type="list" allowBlank="1" sqref="J46 J62" xr:uid="{00000000-0002-0000-0300-000031000000}">
      <formula1>"S. Roßkopf,U. Sutter ADM"</formula1>
    </dataValidation>
    <dataValidation type="list" allowBlank="1" sqref="J56" xr:uid="{00000000-0002-0000-0300-000035000000}">
      <formula1>"A. Kokott,D. Brucker,J. Dorn,O. Haag BS-CAD,S. Schüler,U. Sutter ADM"</formula1>
    </dataValidation>
    <dataValidation type="list" allowBlank="1" sqref="J57" xr:uid="{00000000-0002-0000-0300-000037000000}">
      <formula1>"A. Kokott,J. Dorn,M. Bandlofsky,O. Haag BS-CAD,R. Wagen CAD,T. Trautmann,U. Sutter ADM"</formula1>
    </dataValidation>
    <dataValidation type="list" allowBlank="1" sqref="J58" xr:uid="{00000000-0002-0000-0300-000039000000}">
      <formula1>"J. Dorn,O. Haag BS-CAD,P. Bergner,T. Trautmann"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U78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5553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IFERROR(INDEX('Projekt-Budget-Übersicht'!$C:$C,MATCH(10,'Projekt-Budget-Übersicht'!$L:$L,0)),"")</f>
        <v/>
      </c>
      <c r="D6" s="4">
        <v>8</v>
      </c>
      <c r="E6" s="4">
        <v>9</v>
      </c>
      <c r="F6" s="4">
        <v>9</v>
      </c>
      <c r="G6" s="15">
        <v>112.5</v>
      </c>
      <c r="H6" s="5"/>
      <c r="I6" s="5">
        <f t="shared" ref="I6:I15" si="0">IF(H6=0,0,F6-H6)</f>
        <v>0</v>
      </c>
      <c r="J6" s="4"/>
      <c r="K6" s="5">
        <f>IF('A. Kokott'!J6="D. Brucker",'A. Kokott'!I6,0)+IF('E. Bieler'!J6="D. Brucker",'E. Bieler'!I6,0)+IF('J. Dorchies'!J6="D. Brucker",'J. Dorchies'!I6,0)+IF('O. Haag BS-CAD'!J6="D. Brucker",'O. Haag BS-CAD'!I6,0)+IF('S. Schüler'!J6="D. Brucker",'S. Schüler'!I6,0)+IF('T. Trautmann'!J6="D. Brucker",'T. Trautmann'!I6,0)+IF('U. Sutter ADM'!J6="D. Brucker",'U.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5" si="1">IF($B$2="-",0,IF(C6="Pauschale",IF(OR(R6=0,N(D6)=0),0,MAX(0,MIN(R6*((N(F6)+N(K6))/N(D6)),R6-R6*(N(E6)/N(D6))))),L6*(N(F6)+N(K6))))</f>
        <v>0</v>
      </c>
      <c r="N6" s="10">
        <f t="shared" ref="N6:N15" si="2">IF($B$2="-",0,IF(C6="Pauschale",IF(OR(R6=0,N(D6)=0),0,R6*((N(F6)+N(K6))/N(D6))),L6*(N(F6)+N(K6))))</f>
        <v>0</v>
      </c>
      <c r="O6" s="10">
        <f t="shared" ref="O6:O15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22"/>
      <c r="B7" s="4" t="s">
        <v>5481</v>
      </c>
      <c r="C7" s="4" t="str">
        <f>IFERROR(INDEX('Projekt-Budget-Übersicht'!$C:$C,MATCH(10,'Projekt-Budget-Übersicht'!$L:$L,0)),"")</f>
        <v/>
      </c>
      <c r="D7" s="4">
        <v>8</v>
      </c>
      <c r="E7" s="4">
        <v>2</v>
      </c>
      <c r="F7" s="4">
        <v>2</v>
      </c>
      <c r="G7" s="16">
        <v>25</v>
      </c>
      <c r="H7" s="5"/>
      <c r="I7" s="5">
        <f t="shared" si="0"/>
        <v>0</v>
      </c>
      <c r="J7" s="4"/>
      <c r="K7" s="5">
        <f>IF('A. Kokott'!J7="D. Brucker",'A. Kokott'!I7,0)+IF('C. Trapp SV'!J6="D. Brucker",'C. Trapp SV'!I6,0)+IF('E. Bieler'!J7="D. Brucker",'E. Bieler'!I7,0)+IF('J. Dorchies'!J7="D. Brucker",'J. Dorchies'!I7,0)+IF('J. Dorn'!J6="D. Brucker",'J. Dorn'!I6,0)+IF('M. Bandlofsky'!J6="D. Brucker",'M. Bandlofsky'!I6,0)+IF('T. Trautmann'!J7="D. Brucker",'T. Trautmann'!I7,0)+IF('U. Sutter ADM'!J7="D. Brucker",'U. Sutter ADM'!I7,0)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IFERROR(INDEX('Projekt-Budget-Übersicht'!$F:$F,MATCH(10,'Projekt-Budget-Übersicht'!$L:$L,0)),0)</f>
        <v>0</v>
      </c>
      <c r="S7" s="10">
        <v>68628.19</v>
      </c>
      <c r="T7" s="4"/>
      <c r="U7" s="4"/>
    </row>
    <row r="8" spans="1:21" x14ac:dyDescent="0.25">
      <c r="A8" s="4" t="s">
        <v>2013</v>
      </c>
      <c r="B8" s="4" t="s">
        <v>5554</v>
      </c>
      <c r="C8" s="4" t="str">
        <f>IFERROR(INDEX('Projekt-Budget-Übersicht'!$C:$C,MATCH(2385,'Projekt-Budget-Übersicht'!$L:$L,0)),"")</f>
        <v/>
      </c>
      <c r="D8" s="4">
        <v>265.5</v>
      </c>
      <c r="E8" s="4">
        <v>268.5</v>
      </c>
      <c r="F8" s="4">
        <v>2</v>
      </c>
      <c r="G8" s="15">
        <v>101.13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IF($B$2="-",0,IFERROR(INDEX(IF($B$2="SV",'Projekt-Budget-Übersicht'!$I:$I,IF($B$2="CAD",'Projekt-Budget-Übersicht'!$J:$J,IF($B$2="ADM",'Projekt-Budget-Übersicht'!$K:$K,'Projekt-Budget-Übersicht'!$I:$I))),MATCH(2385,'Projekt-Budget-Übersicht'!$M:$M,0)),0))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'D. Brucker'!M8</f>
        <v>0</v>
      </c>
      <c r="Q8" s="10">
        <v>649.5</v>
      </c>
      <c r="R8" s="10">
        <f>IFERROR(INDEX('Projekt-Budget-Übersicht'!$F:$F,MATCH(2385,'Projekt-Budget-Übersicht'!$L:$L,0)),0)</f>
        <v>0</v>
      </c>
      <c r="S8" s="10">
        <v>20583.97</v>
      </c>
      <c r="T8" s="4"/>
      <c r="U8" s="4"/>
    </row>
    <row r="9" spans="1:21" x14ac:dyDescent="0.25">
      <c r="A9" s="4" t="s">
        <v>2017</v>
      </c>
      <c r="B9" s="4" t="s">
        <v>5498</v>
      </c>
      <c r="C9" s="4" t="str">
        <f>IFERROR(INDEX('Projekt-Budget-Übersicht'!$C:$C,MATCH(2389,'Projekt-Budget-Übersicht'!$L:$L,0)),"")</f>
        <v/>
      </c>
      <c r="D9" s="4">
        <v>80</v>
      </c>
      <c r="E9" s="4">
        <v>80</v>
      </c>
      <c r="F9" s="4">
        <v>2</v>
      </c>
      <c r="G9" s="14">
        <v>100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IF($B$2="-",0,IFERROR(INDEX(IF($B$2="SV",'Projekt-Budget-Übersicht'!$I:$I,IF($B$2="CAD",'Projekt-Budget-Übersicht'!$J:$J,IF($B$2="ADM",'Projekt-Budget-Übersicht'!$K:$K,'Projekt-Budget-Übersicht'!$I:$I))),MATCH(2389,'Projekt-Budget-Übersicht'!$M:$M,0)),0))</f>
        <v>78.125</v>
      </c>
      <c r="M9" s="10">
        <f t="shared" si="1"/>
        <v>156.25</v>
      </c>
      <c r="N9" s="10">
        <f t="shared" si="2"/>
        <v>156.25</v>
      </c>
      <c r="O9" s="10">
        <f t="shared" si="3"/>
        <v>0</v>
      </c>
      <c r="P9" s="10">
        <f>'D. Brucker'!M9</f>
        <v>156.25</v>
      </c>
      <c r="Q9" s="10">
        <v>100</v>
      </c>
      <c r="R9" s="10">
        <f>IFERROR(INDEX('Projekt-Budget-Übersicht'!$F:$F,MATCH(2389,'Projekt-Budget-Übersicht'!$L:$L,0)),0)</f>
        <v>0</v>
      </c>
      <c r="S9" s="10">
        <v>3870</v>
      </c>
      <c r="T9" s="4"/>
      <c r="U9" s="4"/>
    </row>
    <row r="10" spans="1:21" x14ac:dyDescent="0.25">
      <c r="A10" s="4" t="s">
        <v>4604</v>
      </c>
      <c r="B10" s="4" t="s">
        <v>5459</v>
      </c>
      <c r="C10" s="4" t="str">
        <f>IFERROR(INDEX('Projekt-Budget-Übersicht'!$C:$C,MATCH(4641,'Projekt-Budget-Übersicht'!$L:$L,0)),"")</f>
        <v/>
      </c>
      <c r="D10" s="4">
        <v>20</v>
      </c>
      <c r="E10" s="4">
        <v>5.25</v>
      </c>
      <c r="F10" s="4">
        <v>1</v>
      </c>
      <c r="G10" s="16">
        <v>26.25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IF($B$2="-",0,IFERROR(INDEX(IF($B$2="SV",'Projekt-Budget-Übersicht'!$I:$I,IF($B$2="CAD",'Projekt-Budget-Übersicht'!$J:$J,IF($B$2="ADM",'Projekt-Budget-Übersicht'!$K:$K,'Projekt-Budget-Übersicht'!$I:$I))),MATCH(4641,'Projekt-Budget-Übersicht'!$M:$M,0)),0))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'D. Brucker'!M10</f>
        <v>0</v>
      </c>
      <c r="Q10" s="10">
        <v>125</v>
      </c>
      <c r="R10" s="10">
        <f>IFERROR(INDEX('Projekt-Budget-Übersicht'!$F:$F,MATCH(4641,'Projekt-Budget-Übersicht'!$L:$L,0)),0)</f>
        <v>0</v>
      </c>
      <c r="S10" s="10">
        <v>17.5</v>
      </c>
      <c r="T10" s="4"/>
      <c r="U10" s="4"/>
    </row>
    <row r="11" spans="1:21" x14ac:dyDescent="0.25">
      <c r="A11" s="4" t="s">
        <v>4821</v>
      </c>
      <c r="B11" s="4" t="s">
        <v>5555</v>
      </c>
      <c r="C11" s="4" t="str">
        <f>IFERROR(INDEX('Projekt-Budget-Übersicht'!$C:$C,MATCH(4825,'Projekt-Budget-Übersicht'!$L:$L,0)),"")</f>
        <v/>
      </c>
      <c r="D11" s="4">
        <v>5</v>
      </c>
      <c r="E11" s="4">
        <v>3</v>
      </c>
      <c r="F11" s="4">
        <v>2</v>
      </c>
      <c r="G11" s="16">
        <v>60</v>
      </c>
      <c r="H11" s="5"/>
      <c r="I11" s="5">
        <f t="shared" si="0"/>
        <v>0</v>
      </c>
      <c r="J11" s="4"/>
      <c r="K11" s="5">
        <f>IF('E. Bieler'!J30="D. Brucker",'E. Bieler'!I30,0)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IF($B$2="-",0,IFERROR(INDEX(IF($B$2="SV",'Projekt-Budget-Übersicht'!$I:$I,IF($B$2="CAD",'Projekt-Budget-Übersicht'!$J:$J,IF($B$2="ADM",'Projekt-Budget-Übersicht'!$K:$K,'Projekt-Budget-Übersicht'!$I:$I))),MATCH(4825,'Projekt-Budget-Übersicht'!$M:$M,0)),0))</f>
        <v>80</v>
      </c>
      <c r="M11" s="10">
        <f t="shared" si="1"/>
        <v>160</v>
      </c>
      <c r="N11" s="10">
        <f t="shared" si="2"/>
        <v>160</v>
      </c>
      <c r="O11" s="10">
        <f t="shared" si="3"/>
        <v>0</v>
      </c>
      <c r="P11" s="10">
        <f>'D. Brucker'!M11+'E. Bieler'!M30</f>
        <v>200</v>
      </c>
      <c r="Q11" s="10">
        <v>5</v>
      </c>
      <c r="R11" s="10">
        <f>IFERROR(INDEX('Projekt-Budget-Übersicht'!$F:$F,MATCH(4825,'Projekt-Budget-Übersicht'!$L:$L,0)),0)</f>
        <v>0</v>
      </c>
      <c r="S11" s="10">
        <v>26.65</v>
      </c>
      <c r="T11" s="4"/>
      <c r="U11" s="4"/>
    </row>
    <row r="12" spans="1:21" x14ac:dyDescent="0.25">
      <c r="A12" s="4" t="s">
        <v>4874</v>
      </c>
      <c r="B12" s="4" t="s">
        <v>5556</v>
      </c>
      <c r="C12" s="4" t="str">
        <f>IFERROR(INDEX('Projekt-Budget-Übersicht'!$C:$C,MATCH(4869,'Projekt-Budget-Übersicht'!$L:$L,0)),"")</f>
        <v/>
      </c>
      <c r="D12" s="4">
        <v>20</v>
      </c>
      <c r="E12" s="4">
        <v>20.5</v>
      </c>
      <c r="F12" s="4">
        <v>18.5</v>
      </c>
      <c r="G12" s="15">
        <v>102.5</v>
      </c>
      <c r="H12" s="5"/>
      <c r="I12" s="5">
        <f t="shared" si="0"/>
        <v>0</v>
      </c>
      <c r="J12" s="4"/>
      <c r="K12" s="5">
        <f>IF('S. Schüler'!J38="D. Brucker",'S. Schüler'!I38,0)</f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IF($B$2="-",0,IFERROR(INDEX(IF($B$2="SV",'Projekt-Budget-Übersicht'!$I:$I,IF($B$2="CAD",'Projekt-Budget-Übersicht'!$J:$J,IF($B$2="ADM",'Projekt-Budget-Übersicht'!$K:$K,'Projekt-Budget-Übersicht'!$I:$I))),MATCH(4869,'Projekt-Budget-Übersicht'!$M:$M,0)),0))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'D. Brucker'!M12+'S. Schüler'!M38</f>
        <v>0</v>
      </c>
      <c r="Q12" s="10"/>
      <c r="R12" s="10">
        <f>IFERROR(INDEX('Projekt-Budget-Übersicht'!$F:$F,MATCH(4869,'Projekt-Budget-Übersicht'!$L:$L,0)),0)</f>
        <v>0</v>
      </c>
      <c r="S12" s="10"/>
      <c r="T12" s="4"/>
      <c r="U12" s="4"/>
    </row>
    <row r="13" spans="1:21" x14ac:dyDescent="0.25">
      <c r="A13" s="21" t="s">
        <v>4929</v>
      </c>
      <c r="B13" s="4" t="s">
        <v>5557</v>
      </c>
      <c r="C13" s="4" t="str">
        <f>IFERROR(INDEX('Projekt-Budget-Übersicht'!$C:$C,MATCH(4908,'Projekt-Budget-Übersicht'!$L:$L,0)),"")</f>
        <v/>
      </c>
      <c r="D13" s="4">
        <v>40</v>
      </c>
      <c r="E13" s="4">
        <v>2.25</v>
      </c>
      <c r="F13" s="4">
        <v>1</v>
      </c>
      <c r="G13" s="16">
        <v>5.62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'D. Brucker'!M13</f>
        <v>0</v>
      </c>
      <c r="Q13" s="10">
        <v>40</v>
      </c>
      <c r="R13" s="10">
        <f>IFERROR(INDEX('Projekt-Budget-Übersicht'!$F:$F,MATCH(4908,'Projekt-Budget-Übersicht'!$L:$L,0)),0)</f>
        <v>0</v>
      </c>
      <c r="S13" s="10">
        <v>697.5</v>
      </c>
      <c r="T13" s="4"/>
      <c r="U13" s="4"/>
    </row>
    <row r="14" spans="1:21" x14ac:dyDescent="0.25">
      <c r="A14" s="22"/>
      <c r="B14" s="4" t="s">
        <v>5459</v>
      </c>
      <c r="C14" s="4" t="str">
        <f>IFERROR(INDEX('Projekt-Budget-Übersicht'!$C:$C,MATCH(4909,'Projekt-Budget-Übersicht'!$L:$L,0)),"")</f>
        <v/>
      </c>
      <c r="D14" s="4">
        <v>40</v>
      </c>
      <c r="E14" s="4">
        <v>26</v>
      </c>
      <c r="F14" s="4">
        <v>24</v>
      </c>
      <c r="G14" s="16">
        <v>65</v>
      </c>
      <c r="H14" s="5"/>
      <c r="I14" s="5">
        <f t="shared" si="0"/>
        <v>0</v>
      </c>
      <c r="J14" s="4"/>
      <c r="K14" s="5">
        <f>IF('E. Bieler'!J31="D. Brucker",'E. Bieler'!I31,0)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116.6666666666667</v>
      </c>
      <c r="M14" s="10">
        <f t="shared" si="1"/>
        <v>2800.0000000000009</v>
      </c>
      <c r="N14" s="10">
        <f t="shared" si="2"/>
        <v>2800.0000000000009</v>
      </c>
      <c r="O14" s="10">
        <f t="shared" si="3"/>
        <v>0</v>
      </c>
      <c r="P14" s="10">
        <f>'D. Brucker'!M14+'E. Bieler'!M31</f>
        <v>2916.6666666666674</v>
      </c>
      <c r="Q14" s="10">
        <v>210</v>
      </c>
      <c r="R14" s="10">
        <f>IFERROR(INDEX('Projekt-Budget-Übersicht'!$F:$F,MATCH(4909,'Projekt-Budget-Übersicht'!$L:$L,0)),0)</f>
        <v>0</v>
      </c>
      <c r="S14" s="10">
        <v>866.58</v>
      </c>
      <c r="T14" s="4"/>
      <c r="U14" s="4"/>
    </row>
    <row r="15" spans="1:21" x14ac:dyDescent="0.25">
      <c r="A15" s="4" t="s">
        <v>5103</v>
      </c>
      <c r="B15" s="4" t="s">
        <v>5558</v>
      </c>
      <c r="C15" s="4" t="str">
        <f>IFERROR(INDEX('Projekt-Budget-Übersicht'!$C:$C,MATCH(5077,'Projekt-Budget-Übersicht'!$L:$L,0)),"")</f>
        <v/>
      </c>
      <c r="D15" s="4">
        <v>2</v>
      </c>
      <c r="E15" s="4">
        <v>1</v>
      </c>
      <c r="F15" s="4">
        <v>1</v>
      </c>
      <c r="G15" s="16">
        <v>50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129.41176470588229</v>
      </c>
      <c r="M15" s="10">
        <f t="shared" si="1"/>
        <v>129.41176470588229</v>
      </c>
      <c r="N15" s="10">
        <f t="shared" si="2"/>
        <v>129.41176470588229</v>
      </c>
      <c r="O15" s="10">
        <f t="shared" si="3"/>
        <v>0</v>
      </c>
      <c r="P15" s="10">
        <f>'D. Brucker'!M15</f>
        <v>129.41176470588229</v>
      </c>
      <c r="Q15" s="10">
        <v>17</v>
      </c>
      <c r="R15" s="10">
        <f>IFERROR(INDEX('Projekt-Budget-Übersicht'!$F:$F,MATCH(5077,'Projekt-Budget-Übersicht'!$L:$L,0)),0)</f>
        <v>0</v>
      </c>
      <c r="S15" s="10">
        <v>99.15</v>
      </c>
      <c r="T15" s="4"/>
      <c r="U15" s="4"/>
    </row>
    <row r="16" spans="1:21" x14ac:dyDescent="0.25">
      <c r="A16" s="3"/>
      <c r="B16" s="3" t="s">
        <v>5492</v>
      </c>
      <c r="C16" s="3"/>
      <c r="D16" s="3"/>
      <c r="E16" s="3"/>
      <c r="F16" s="6">
        <v>62.5</v>
      </c>
      <c r="G16" s="3"/>
      <c r="H16" s="3"/>
      <c r="I16" s="3"/>
      <c r="J16" s="3"/>
      <c r="K16" s="3"/>
      <c r="L16" s="3"/>
      <c r="M16" s="17">
        <f>SUM(M6:M15)</f>
        <v>3245.6617647058833</v>
      </c>
      <c r="N16" s="17">
        <f>SUM(N6:N15)</f>
        <v>3245.6617647058833</v>
      </c>
      <c r="O16" s="17">
        <f>SUM(O6:O15)</f>
        <v>0</v>
      </c>
      <c r="P16" s="17">
        <f>SUM(P6:P15)</f>
        <v>3402.3284313725499</v>
      </c>
      <c r="Q16" s="3"/>
      <c r="R16" s="3"/>
      <c r="S16" s="3"/>
      <c r="T16" s="3"/>
      <c r="U16" s="3"/>
    </row>
    <row r="17" spans="1:21" x14ac:dyDescent="0.25">
      <c r="A17" s="3"/>
      <c r="B17" s="3" t="s">
        <v>4</v>
      </c>
      <c r="C17" s="3"/>
      <c r="D17" s="3"/>
      <c r="E17" s="3"/>
      <c r="F17" s="6">
        <f>G17+H17</f>
        <v>31</v>
      </c>
      <c r="G17" s="6">
        <v>31</v>
      </c>
      <c r="H17" s="6">
        <f>SUM(H8,H9,H10,H11,H12,H13,H14,H15)</f>
        <v>0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3"/>
      <c r="B18" s="3" t="s">
        <v>5</v>
      </c>
      <c r="C18" s="3"/>
      <c r="D18" s="3"/>
      <c r="E18" s="3"/>
      <c r="F18" s="6">
        <f>G18+H18</f>
        <v>2</v>
      </c>
      <c r="G18" s="6">
        <v>2</v>
      </c>
      <c r="H18" s="6">
        <f>SUM(H6,H7)</f>
        <v>0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 x14ac:dyDescent="0.25">
      <c r="A19" s="3"/>
      <c r="B19" s="3" t="s">
        <v>5493</v>
      </c>
      <c r="C19" s="3"/>
      <c r="D19" s="3"/>
      <c r="E19" s="3"/>
      <c r="F19" s="6">
        <f>SUM(K6:K15)</f>
        <v>0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s="18"/>
      <c r="B20" s="18" t="s">
        <v>5494</v>
      </c>
      <c r="C20" s="18"/>
      <c r="D20" s="18"/>
      <c r="E20" s="18"/>
      <c r="F20" s="19">
        <f>F17+F18+F19</f>
        <v>33</v>
      </c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</row>
    <row r="22" spans="1:21" ht="15.75" x14ac:dyDescent="0.25">
      <c r="A22" s="2" t="s">
        <v>5495</v>
      </c>
    </row>
    <row r="23" spans="1:21" x14ac:dyDescent="0.25">
      <c r="A23" s="3" t="s">
        <v>35</v>
      </c>
      <c r="B23" s="3" t="s">
        <v>5461</v>
      </c>
      <c r="C23" s="3" t="s">
        <v>37</v>
      </c>
      <c r="D23" s="3" t="s">
        <v>5462</v>
      </c>
      <c r="E23" s="3" t="s">
        <v>5463</v>
      </c>
      <c r="F23" s="3" t="s">
        <v>5496</v>
      </c>
      <c r="G23" s="3" t="s">
        <v>5465</v>
      </c>
      <c r="H23" s="3" t="s">
        <v>5466</v>
      </c>
      <c r="I23" s="3" t="s">
        <v>5467</v>
      </c>
      <c r="J23" s="3" t="s">
        <v>5468</v>
      </c>
      <c r="K23" s="3" t="s">
        <v>5469</v>
      </c>
      <c r="L23" s="3" t="s">
        <v>5470</v>
      </c>
      <c r="M23" s="3" t="s">
        <v>5471</v>
      </c>
      <c r="N23" s="3" t="s">
        <v>5472</v>
      </c>
      <c r="O23" s="3" t="s">
        <v>5473</v>
      </c>
      <c r="P23" s="3" t="s">
        <v>5474</v>
      </c>
      <c r="Q23" s="3" t="s">
        <v>5475</v>
      </c>
      <c r="R23" s="3" t="s">
        <v>5476</v>
      </c>
      <c r="S23" s="3" t="s">
        <v>5477</v>
      </c>
      <c r="T23" s="3" t="s">
        <v>5478</v>
      </c>
      <c r="U23" s="3" t="s">
        <v>5479</v>
      </c>
    </row>
    <row r="24" spans="1:21" x14ac:dyDescent="0.25">
      <c r="A24" s="4" t="s">
        <v>4929</v>
      </c>
      <c r="B24" s="4" t="s">
        <v>5557</v>
      </c>
      <c r="C24" s="4" t="str">
        <f>IFERROR(INDEX('Projekt-Budget-Übersicht'!$C:$C,MATCH(4908,'Projekt-Budget-Übersicht'!$L:$L,0)),"")</f>
        <v/>
      </c>
      <c r="D24" s="4">
        <v>40</v>
      </c>
      <c r="E24" s="4">
        <v>25.25</v>
      </c>
      <c r="F24" s="4">
        <v>23</v>
      </c>
      <c r="G24" s="16">
        <v>63.12</v>
      </c>
      <c r="H24" s="5"/>
      <c r="I24" s="5">
        <f>IF(H24=0,0,F24-H24)</f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24" s="10">
        <f>IF($B$2="-",0,IF(C24="Pauschale",IF(OR(R24=0,N(D24)=0),0,MAX(0,MIN(R24*((N(F24)+N(K24))/N(D24)),R24-R24*(N(E24)/N(D24))))),L24*(N(F24)+N(K24))))</f>
        <v>0</v>
      </c>
      <c r="N24" s="10">
        <f>IF($B$2="-",0,IF(C24="Pauschale",IF(OR(R24=0,N(D24)=0),0,R24*((N(F24)+N(K24))/N(D24))),L24*(N(F24)+N(K24))))</f>
        <v>0</v>
      </c>
      <c r="O24" s="10">
        <f>N24-M24</f>
        <v>0</v>
      </c>
      <c r="P24" s="10">
        <f>'D. Brucker'!M24</f>
        <v>0</v>
      </c>
      <c r="Q24" s="10">
        <v>40</v>
      </c>
      <c r="R24" s="10">
        <f>IFERROR(INDEX('Projekt-Budget-Übersicht'!$F:$F,MATCH(4908,'Projekt-Budget-Übersicht'!$L:$L,0)),0)</f>
        <v>0</v>
      </c>
      <c r="S24" s="10">
        <v>697.5</v>
      </c>
      <c r="T24" s="4"/>
      <c r="U24" s="4"/>
    </row>
    <row r="25" spans="1:21" x14ac:dyDescent="0.25">
      <c r="A25" s="3"/>
      <c r="B25" s="3" t="s">
        <v>5492</v>
      </c>
      <c r="C25" s="3"/>
      <c r="D25" s="3"/>
      <c r="E25" s="3"/>
      <c r="F25" s="6">
        <v>23</v>
      </c>
      <c r="G25" s="3"/>
      <c r="H25" s="3"/>
      <c r="I25" s="3"/>
      <c r="J25" s="3"/>
      <c r="K25" s="3"/>
      <c r="L25" s="3"/>
      <c r="M25" s="17">
        <f>SUM(M24:M24)</f>
        <v>0</v>
      </c>
      <c r="N25" s="17">
        <f>SUM(N24:N24)</f>
        <v>0</v>
      </c>
      <c r="O25" s="17">
        <f>SUM(O24:O24)</f>
        <v>0</v>
      </c>
      <c r="P25" s="17">
        <f>SUM(P24:P24)</f>
        <v>0</v>
      </c>
      <c r="Q25" s="3"/>
      <c r="R25" s="3"/>
      <c r="S25" s="3"/>
      <c r="T25" s="3"/>
      <c r="U25" s="3"/>
    </row>
    <row r="26" spans="1:21" x14ac:dyDescent="0.25">
      <c r="A26" s="3"/>
      <c r="B26" s="3" t="s">
        <v>4</v>
      </c>
      <c r="C26" s="3"/>
      <c r="D26" s="3"/>
      <c r="E26" s="3"/>
      <c r="F26" s="6">
        <f>G26+H26</f>
        <v>23</v>
      </c>
      <c r="G26" s="6">
        <v>23</v>
      </c>
      <c r="H26" s="6">
        <f>SUM(H24)</f>
        <v>0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3"/>
      <c r="B27" s="3" t="s">
        <v>5</v>
      </c>
      <c r="C27" s="3"/>
      <c r="D27" s="3"/>
      <c r="E27" s="3"/>
      <c r="F27" s="6">
        <v>0</v>
      </c>
      <c r="G27" s="6">
        <v>0</v>
      </c>
      <c r="H27" s="6">
        <v>0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1:21" x14ac:dyDescent="0.25">
      <c r="A28" s="3"/>
      <c r="B28" s="3" t="s">
        <v>5493</v>
      </c>
      <c r="C28" s="3"/>
      <c r="D28" s="3"/>
      <c r="E28" s="3"/>
      <c r="F28" s="6">
        <f>SUM(K24:K24)</f>
        <v>0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1:21" x14ac:dyDescent="0.25">
      <c r="A29" s="18"/>
      <c r="B29" s="18" t="s">
        <v>5494</v>
      </c>
      <c r="C29" s="18"/>
      <c r="D29" s="18"/>
      <c r="E29" s="18"/>
      <c r="F29" s="19">
        <f>F26+F27+F28</f>
        <v>23</v>
      </c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1" spans="1:21" ht="15.75" x14ac:dyDescent="0.25">
      <c r="A31" s="2" t="s">
        <v>5512</v>
      </c>
    </row>
    <row r="32" spans="1:21" x14ac:dyDescent="0.25">
      <c r="A32" s="3" t="s">
        <v>35</v>
      </c>
      <c r="B32" s="3" t="s">
        <v>5461</v>
      </c>
      <c r="C32" s="3" t="s">
        <v>37</v>
      </c>
      <c r="D32" s="3" t="s">
        <v>5462</v>
      </c>
      <c r="E32" s="3" t="s">
        <v>5463</v>
      </c>
      <c r="F32" s="3" t="s">
        <v>5513</v>
      </c>
      <c r="G32" s="3" t="s">
        <v>5465</v>
      </c>
      <c r="H32" s="3" t="s">
        <v>5466</v>
      </c>
      <c r="I32" s="3" t="s">
        <v>5467</v>
      </c>
      <c r="J32" s="3" t="s">
        <v>5468</v>
      </c>
      <c r="K32" s="3" t="s">
        <v>5469</v>
      </c>
      <c r="L32" s="3" t="s">
        <v>5470</v>
      </c>
      <c r="M32" s="3" t="s">
        <v>5471</v>
      </c>
      <c r="N32" s="3" t="s">
        <v>5472</v>
      </c>
      <c r="O32" s="3" t="s">
        <v>5473</v>
      </c>
      <c r="P32" s="3" t="s">
        <v>5474</v>
      </c>
      <c r="Q32" s="3" t="s">
        <v>5475</v>
      </c>
      <c r="R32" s="3" t="s">
        <v>5476</v>
      </c>
      <c r="S32" s="3" t="s">
        <v>5477</v>
      </c>
      <c r="T32" s="3" t="s">
        <v>5478</v>
      </c>
      <c r="U32" s="3" t="s">
        <v>5479</v>
      </c>
    </row>
    <row r="33" spans="1:21" x14ac:dyDescent="0.25">
      <c r="A33" s="4" t="s">
        <v>61</v>
      </c>
      <c r="B33" s="4" t="s">
        <v>5480</v>
      </c>
      <c r="C33" s="4" t="str">
        <f>IFERROR(INDEX('Projekt-Budget-Übersicht'!$C:$C,MATCH(10,'Projekt-Budget-Übersicht'!$L:$L,0)),"")</f>
        <v/>
      </c>
      <c r="D33" s="4">
        <v>8</v>
      </c>
      <c r="E33" s="4">
        <v>8</v>
      </c>
      <c r="F33" s="4">
        <v>8</v>
      </c>
      <c r="G33" s="14">
        <v>100</v>
      </c>
      <c r="H33" s="5"/>
      <c r="I33" s="5">
        <f t="shared" ref="I33:I38" si="4">IF(H33=0,0,F33-H33)</f>
        <v>0</v>
      </c>
      <c r="J33" s="4"/>
      <c r="K33" s="5">
        <f>IF('A. Kokott'!J85="D. Brucker",'A. Kokott'!I85,0)+IF('C. Trapp SV'!J56="D. Brucker",'C. Trapp SV'!I56,0)+IF('J. Dorn'!J83="D. Brucker",'J. Dorn'!I83,0)+IF('O. Haag BS-CAD'!J92="D. Brucker",'O. Haag BS-CAD'!I92,0)+IF('S. Schüler'!J93="D. Brucker",'S. Schüler'!I93,0)+IF('U. Sutter ADM'!J51="D. Brucker",'U. Sutter ADM'!I51,0)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3" s="10">
        <f t="shared" ref="M33:M38" si="5">IF($B$2="-",0,IF(C33="Pauschale",IF(OR(R33=0,N(D33)=0),0,MAX(0,MIN(R33*((N(F33)+N(K33))/N(D33)),R33-R33*(N(E33)/N(D33))))),L33*(N(F33)+N(K33))))</f>
        <v>0</v>
      </c>
      <c r="N33" s="10">
        <f t="shared" ref="N33:N38" si="6">IF($B$2="-",0,IF(C33="Pauschale",IF(OR(R33=0,N(D33)=0),0,R33*((N(F33)+N(K33))/N(D33))),L33*(N(F33)+N(K33))))</f>
        <v>0</v>
      </c>
      <c r="O33" s="10">
        <f t="shared" ref="O33:O38" si="7">N33-M33</f>
        <v>0</v>
      </c>
      <c r="P33" s="10">
        <f>'A. Kokott'!M85+'C. Trapp SV'!M56+'D. Brucker'!M33+'J. Dorn'!M83+'O. Haag BS-CAD'!M92+'S. Schüler'!M93+'U. Sutter ADM'!M51</f>
        <v>0</v>
      </c>
      <c r="Q33" s="10">
        <v>132</v>
      </c>
      <c r="R33" s="10">
        <f>IFERROR(INDEX('Projekt-Budget-Übersicht'!$F:$F,MATCH(10,'Projekt-Budget-Übersicht'!$L:$L,0)),0)</f>
        <v>0</v>
      </c>
      <c r="S33" s="10">
        <v>68628.19</v>
      </c>
      <c r="T33" s="4"/>
      <c r="U33" s="4"/>
    </row>
    <row r="34" spans="1:21" x14ac:dyDescent="0.25">
      <c r="A34" s="4" t="s">
        <v>1985</v>
      </c>
      <c r="B34" s="4" t="s">
        <v>5559</v>
      </c>
      <c r="C34" s="4" t="str">
        <f>IFERROR(INDEX('Projekt-Budget-Übersicht'!$C:$C,MATCH(2367,'Projekt-Budget-Übersicht'!$L:$L,0)),"")</f>
        <v/>
      </c>
      <c r="D34" s="4">
        <v>34</v>
      </c>
      <c r="E34" s="4">
        <v>5.5</v>
      </c>
      <c r="F34" s="4">
        <v>4</v>
      </c>
      <c r="G34" s="16">
        <v>16.18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IF($B$2="-",0,IFERROR(INDEX(IF($B$2="SV",'Projekt-Budget-Übersicht'!$I:$I,IF($B$2="CAD",'Projekt-Budget-Übersicht'!$J:$J,IF($B$2="ADM",'Projekt-Budget-Übersicht'!$K:$K,'Projekt-Budget-Übersicht'!$I:$I))),MATCH(2367,'Projekt-Budget-Übersicht'!$M:$M,0)),0))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'D. Brucker'!M34</f>
        <v>0</v>
      </c>
      <c r="Q34" s="10">
        <v>34</v>
      </c>
      <c r="R34" s="10">
        <f>IFERROR(INDEX('Projekt-Budget-Übersicht'!$F:$F,MATCH(2367,'Projekt-Budget-Übersicht'!$L:$L,0)),0)</f>
        <v>0</v>
      </c>
      <c r="S34" s="10">
        <v>135</v>
      </c>
      <c r="T34" s="4"/>
      <c r="U34" s="4"/>
    </row>
    <row r="35" spans="1:21" x14ac:dyDescent="0.25">
      <c r="A35" s="21" t="s">
        <v>4821</v>
      </c>
      <c r="B35" s="4" t="s">
        <v>5560</v>
      </c>
      <c r="C35" s="4" t="str">
        <f>IFERROR(INDEX('Projekt-Budget-Übersicht'!$C:$C,MATCH(4826,'Projekt-Budget-Übersicht'!$L:$L,0)),"")</f>
        <v/>
      </c>
      <c r="D35" s="4">
        <v>5</v>
      </c>
      <c r="E35" s="4">
        <v>5</v>
      </c>
      <c r="F35" s="4">
        <v>5</v>
      </c>
      <c r="G35" s="14">
        <v>100</v>
      </c>
      <c r="H35" s="5"/>
      <c r="I35" s="5">
        <f t="shared" si="4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IF($B$2="-",0,IFERROR(INDEX(IF($B$2="SV",'Projekt-Budget-Übersicht'!$I:$I,IF($B$2="CAD",'Projekt-Budget-Übersicht'!$J:$J,IF($B$2="ADM",'Projekt-Budget-Übersicht'!$K:$K,'Projekt-Budget-Übersicht'!$I:$I))),MATCH(4826,'Projekt-Budget-Übersicht'!$M:$M,0)),0))</f>
        <v>80</v>
      </c>
      <c r="M35" s="10">
        <f t="shared" si="5"/>
        <v>400</v>
      </c>
      <c r="N35" s="10">
        <f t="shared" si="6"/>
        <v>400</v>
      </c>
      <c r="O35" s="10">
        <f t="shared" si="7"/>
        <v>0</v>
      </c>
      <c r="P35" s="10">
        <f>'D. Brucker'!M35</f>
        <v>400</v>
      </c>
      <c r="Q35" s="10">
        <v>5</v>
      </c>
      <c r="R35" s="10">
        <f>IFERROR(INDEX('Projekt-Budget-Übersicht'!$F:$F,MATCH(4826,'Projekt-Budget-Übersicht'!$L:$L,0)),0)</f>
        <v>0</v>
      </c>
      <c r="S35" s="10"/>
      <c r="T35" s="4"/>
      <c r="U35" s="4"/>
    </row>
    <row r="36" spans="1:21" x14ac:dyDescent="0.25">
      <c r="A36" s="22"/>
      <c r="B36" s="4" t="s">
        <v>5561</v>
      </c>
      <c r="C36" s="4" t="str">
        <f>IFERROR(INDEX('Projekt-Budget-Übersicht'!$C:$C,MATCH(4827,'Projekt-Budget-Übersicht'!$L:$L,0)),"")</f>
        <v/>
      </c>
      <c r="D36" s="4">
        <v>5</v>
      </c>
      <c r="E36" s="4">
        <v>3.5</v>
      </c>
      <c r="F36" s="4">
        <v>3</v>
      </c>
      <c r="G36" s="16">
        <v>70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IF($B$2="-",0,IFERROR(INDEX(IF($B$2="SV",'Projekt-Budget-Übersicht'!$I:$I,IF($B$2="CAD",'Projekt-Budget-Übersicht'!$J:$J,IF($B$2="ADM",'Projekt-Budget-Übersicht'!$K:$K,'Projekt-Budget-Übersicht'!$I:$I))),MATCH(4827,'Projekt-Budget-Übersicht'!$M:$M,0)),0))</f>
        <v>80</v>
      </c>
      <c r="M36" s="10">
        <f t="shared" si="5"/>
        <v>240</v>
      </c>
      <c r="N36" s="10">
        <f t="shared" si="6"/>
        <v>240</v>
      </c>
      <c r="O36" s="10">
        <f t="shared" si="7"/>
        <v>0</v>
      </c>
      <c r="P36" s="10">
        <f>'D. Brucker'!M36</f>
        <v>240</v>
      </c>
      <c r="Q36" s="10">
        <v>5</v>
      </c>
      <c r="R36" s="10">
        <f>IFERROR(INDEX('Projekt-Budget-Übersicht'!$F:$F,MATCH(4827,'Projekt-Budget-Übersicht'!$L:$L,0)),0)</f>
        <v>0</v>
      </c>
      <c r="S36" s="10"/>
      <c r="T36" s="4"/>
      <c r="U36" s="4"/>
    </row>
    <row r="37" spans="1:21" x14ac:dyDescent="0.25">
      <c r="A37" s="4" t="s">
        <v>4929</v>
      </c>
      <c r="B37" s="4" t="s">
        <v>5557</v>
      </c>
      <c r="C37" s="4" t="str">
        <f>IFERROR(INDEX('Projekt-Budget-Übersicht'!$C:$C,MATCH(4908,'Projekt-Budget-Übersicht'!$L:$L,0)),"")</f>
        <v/>
      </c>
      <c r="D37" s="4">
        <v>40</v>
      </c>
      <c r="E37" s="4">
        <v>36.75</v>
      </c>
      <c r="F37" s="4">
        <v>4</v>
      </c>
      <c r="G37" s="14">
        <v>91.88</v>
      </c>
      <c r="H37" s="5"/>
      <c r="I37" s="5">
        <f t="shared" si="4"/>
        <v>0</v>
      </c>
      <c r="J37" s="4"/>
      <c r="K37" s="5">
        <f>IF('S. Schüler'!J113="D. Brucker",'S. Schüler'!I113,0)</f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'D. Brucker'!M37+'S. Schüler'!M113</f>
        <v>0</v>
      </c>
      <c r="Q37" s="10">
        <v>40</v>
      </c>
      <c r="R37" s="10">
        <f>IFERROR(INDEX('Projekt-Budget-Übersicht'!$F:$F,MATCH(4908,'Projekt-Budget-Übersicht'!$L:$L,0)),0)</f>
        <v>0</v>
      </c>
      <c r="S37" s="10">
        <v>697.5</v>
      </c>
      <c r="T37" s="4"/>
      <c r="U37" s="4"/>
    </row>
    <row r="38" spans="1:21" x14ac:dyDescent="0.25">
      <c r="A38" s="4" t="s">
        <v>5078</v>
      </c>
      <c r="B38" s="4" t="s">
        <v>5459</v>
      </c>
      <c r="C38" s="4" t="str">
        <f>IFERROR(INDEX('Projekt-Budget-Übersicht'!$C:$C,MATCH(5062,'Projekt-Budget-Übersicht'!$L:$L,0)),"")</f>
        <v/>
      </c>
      <c r="D38" s="4">
        <v>7.5</v>
      </c>
      <c r="E38" s="4">
        <v>5</v>
      </c>
      <c r="F38" s="4">
        <v>5</v>
      </c>
      <c r="G38" s="16">
        <v>66.67</v>
      </c>
      <c r="H38" s="5"/>
      <c r="I38" s="5">
        <f t="shared" si="4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IF($B$2="-",0,IFERROR(INDEX(IF($B$2="SV",'Projekt-Budget-Übersicht'!$I:$I,IF($B$2="CAD",'Projekt-Budget-Übersicht'!$J:$J,IF($B$2="ADM",'Projekt-Budget-Übersicht'!$K:$K,'Projekt-Budget-Übersicht'!$I:$I))),MATCH(5062,'Projekt-Budget-Übersicht'!$M:$M,0)),0))</f>
        <v>72</v>
      </c>
      <c r="M38" s="10">
        <f t="shared" si="5"/>
        <v>360</v>
      </c>
      <c r="N38" s="10">
        <f t="shared" si="6"/>
        <v>360</v>
      </c>
      <c r="O38" s="10">
        <f t="shared" si="7"/>
        <v>0</v>
      </c>
      <c r="P38" s="10">
        <f>'D. Brucker'!M38</f>
        <v>360</v>
      </c>
      <c r="Q38" s="10">
        <v>52.5</v>
      </c>
      <c r="R38" s="10">
        <f>IFERROR(INDEX('Projekt-Budget-Übersicht'!$F:$F,MATCH(5062,'Projekt-Budget-Übersicht'!$L:$L,0)),0)</f>
        <v>0</v>
      </c>
      <c r="S38" s="10">
        <v>17.5</v>
      </c>
      <c r="T38" s="4"/>
      <c r="U38" s="4"/>
    </row>
    <row r="39" spans="1:21" x14ac:dyDescent="0.25">
      <c r="A39" s="3"/>
      <c r="B39" s="3" t="s">
        <v>5492</v>
      </c>
      <c r="C39" s="3"/>
      <c r="D39" s="3"/>
      <c r="E39" s="3"/>
      <c r="F39" s="6">
        <v>29</v>
      </c>
      <c r="G39" s="3"/>
      <c r="H39" s="3"/>
      <c r="I39" s="3"/>
      <c r="J39" s="3"/>
      <c r="K39" s="3"/>
      <c r="L39" s="3"/>
      <c r="M39" s="17">
        <f>SUM(M33:M38)</f>
        <v>1000</v>
      </c>
      <c r="N39" s="17">
        <f>SUM(N33:N38)</f>
        <v>1000</v>
      </c>
      <c r="O39" s="17">
        <f>SUM(O33:O38)</f>
        <v>0</v>
      </c>
      <c r="P39" s="17">
        <f>SUM(P33:P38)</f>
        <v>1000</v>
      </c>
      <c r="Q39" s="3"/>
      <c r="R39" s="3"/>
      <c r="S39" s="3"/>
      <c r="T39" s="3"/>
      <c r="U39" s="3"/>
    </row>
    <row r="40" spans="1:21" x14ac:dyDescent="0.25">
      <c r="A40" s="3"/>
      <c r="B40" s="3" t="s">
        <v>4</v>
      </c>
      <c r="C40" s="3"/>
      <c r="D40" s="3"/>
      <c r="E40" s="3"/>
      <c r="F40" s="6">
        <f>G40+H40</f>
        <v>21</v>
      </c>
      <c r="G40" s="6">
        <v>21</v>
      </c>
      <c r="H40" s="6">
        <f>SUM(H34,H35,H36,H37,H38)</f>
        <v>0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3"/>
      <c r="B41" s="3" t="s">
        <v>5</v>
      </c>
      <c r="C41" s="3"/>
      <c r="D41" s="3"/>
      <c r="E41" s="3"/>
      <c r="F41" s="6">
        <f>G41+H41</f>
        <v>8</v>
      </c>
      <c r="G41" s="6">
        <v>8</v>
      </c>
      <c r="H41" s="6">
        <f>SUM(H33)</f>
        <v>0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3"/>
      <c r="B42" s="3" t="s">
        <v>5493</v>
      </c>
      <c r="C42" s="3"/>
      <c r="D42" s="3"/>
      <c r="E42" s="3"/>
      <c r="F42" s="6">
        <f>SUM(K33:K38)</f>
        <v>0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18"/>
      <c r="B43" s="18" t="s">
        <v>5494</v>
      </c>
      <c r="C43" s="18"/>
      <c r="D43" s="18"/>
      <c r="E43" s="18"/>
      <c r="F43" s="19">
        <f>F40+F41+F42</f>
        <v>29</v>
      </c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5" spans="1:21" ht="15.75" x14ac:dyDescent="0.25">
      <c r="A45" s="2" t="s">
        <v>5524</v>
      </c>
    </row>
    <row r="46" spans="1:21" x14ac:dyDescent="0.25">
      <c r="A46" s="3" t="s">
        <v>2</v>
      </c>
      <c r="B46" s="3" t="s">
        <v>5525</v>
      </c>
      <c r="C46" s="3" t="s">
        <v>5526</v>
      </c>
      <c r="D46" s="3" t="s">
        <v>4</v>
      </c>
      <c r="E46" s="3" t="s">
        <v>5</v>
      </c>
      <c r="F46" s="3" t="s">
        <v>5527</v>
      </c>
      <c r="G46" s="3" t="s">
        <v>5528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4" t="s">
        <v>6</v>
      </c>
      <c r="B47" s="4" t="s">
        <v>16</v>
      </c>
      <c r="C47" s="4">
        <f>F16</f>
        <v>62.5</v>
      </c>
      <c r="D47" s="4">
        <f>F17</f>
        <v>31</v>
      </c>
      <c r="E47" s="4">
        <f>F18</f>
        <v>2</v>
      </c>
      <c r="F47" s="4">
        <f>F19</f>
        <v>0</v>
      </c>
      <c r="G47" s="4">
        <f>F20</f>
        <v>33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</row>
    <row r="48" spans="1:21" x14ac:dyDescent="0.25">
      <c r="A48" s="4" t="s">
        <v>7</v>
      </c>
      <c r="B48" s="4" t="s">
        <v>16</v>
      </c>
      <c r="C48" s="4">
        <f>F25</f>
        <v>23</v>
      </c>
      <c r="D48" s="4">
        <f>F26</f>
        <v>23</v>
      </c>
      <c r="E48" s="4">
        <f>F27</f>
        <v>0</v>
      </c>
      <c r="F48" s="4">
        <f>F28</f>
        <v>0</v>
      </c>
      <c r="G48" s="4">
        <f>F29</f>
        <v>23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</row>
    <row r="49" spans="1:21" x14ac:dyDescent="0.25">
      <c r="A49" s="4" t="s">
        <v>8</v>
      </c>
      <c r="B49" s="4" t="s">
        <v>16</v>
      </c>
      <c r="C49" s="4">
        <f>F39</f>
        <v>29</v>
      </c>
      <c r="D49" s="4">
        <f>F40</f>
        <v>21</v>
      </c>
      <c r="E49" s="4">
        <f>F41</f>
        <v>8</v>
      </c>
      <c r="F49" s="4">
        <f>F42</f>
        <v>0</v>
      </c>
      <c r="G49" s="4">
        <f>F43</f>
        <v>29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</row>
    <row r="52" spans="1:21" ht="18.75" x14ac:dyDescent="0.3">
      <c r="A52" s="1" t="s">
        <v>5529</v>
      </c>
    </row>
    <row r="53" spans="1:21" x14ac:dyDescent="0.25">
      <c r="A53" s="3" t="s">
        <v>35</v>
      </c>
      <c r="B53" s="3" t="s">
        <v>5461</v>
      </c>
      <c r="C53" s="3" t="s">
        <v>37</v>
      </c>
      <c r="D53" s="3" t="s">
        <v>5462</v>
      </c>
      <c r="E53" s="3" t="s">
        <v>5463</v>
      </c>
      <c r="F53" s="3" t="s">
        <v>5530</v>
      </c>
      <c r="G53" s="3" t="s">
        <v>5465</v>
      </c>
      <c r="H53" s="3" t="s">
        <v>5466</v>
      </c>
      <c r="I53" s="3" t="s">
        <v>5467</v>
      </c>
      <c r="J53" s="3" t="s">
        <v>5468</v>
      </c>
      <c r="K53" s="3" t="s">
        <v>5469</v>
      </c>
      <c r="L53" s="3" t="s">
        <v>5470</v>
      </c>
      <c r="M53" s="3" t="s">
        <v>5471</v>
      </c>
      <c r="N53" s="3" t="s">
        <v>5472</v>
      </c>
      <c r="O53" s="3" t="s">
        <v>5473</v>
      </c>
      <c r="P53" s="3" t="s">
        <v>5474</v>
      </c>
      <c r="Q53" s="3" t="s">
        <v>5476</v>
      </c>
      <c r="R53" s="3" t="s">
        <v>5477</v>
      </c>
      <c r="S53" s="3"/>
      <c r="T53" s="3"/>
      <c r="U53" s="3"/>
    </row>
    <row r="54" spans="1:21" x14ac:dyDescent="0.25">
      <c r="A54" s="21" t="s">
        <v>61</v>
      </c>
      <c r="B54" s="4" t="s">
        <v>5480</v>
      </c>
      <c r="C54" s="4" t="str">
        <f>IFERROR(INDEX('Projekt-Budget-Übersicht'!$C:$C,MATCH(10,'Projekt-Budget-Übersicht'!$L:$L,0)),"")</f>
        <v/>
      </c>
      <c r="D54" s="4">
        <v>24</v>
      </c>
      <c r="E54" s="4">
        <v>17</v>
      </c>
      <c r="F54" s="5">
        <f>SUM(F6,F33,I6,I33,K6,K33)</f>
        <v>17</v>
      </c>
      <c r="G54" s="16">
        <v>70.83</v>
      </c>
      <c r="H54" s="5">
        <f>SUM(H6,H33)</f>
        <v>0</v>
      </c>
      <c r="I54" s="5">
        <f t="shared" ref="I54:I67" si="8">IF(H54=0,0,F54-H54)</f>
        <v>0</v>
      </c>
      <c r="J54" s="4" t="s">
        <v>5531</v>
      </c>
      <c r="K54" s="5">
        <f>SUM(K6,K33)</f>
        <v>0</v>
      </c>
      <c r="L54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54" s="10">
        <f t="shared" ref="M54:M67" si="9">IF($B$2="-",0,IF(C54="Pauschale",IF(OR(Q54=0,N(D54)=0),0,MAX(0,MIN(Q54*((N(F54)+N(K54))/N(D54)),Q54-Q54*(N(E54)/N(D54))))),L54*(N(F54)+N(K54))))</f>
        <v>0</v>
      </c>
      <c r="N54" s="10">
        <f t="shared" ref="N54:N67" si="10">IF($B$2="-",0,IF(C54="Pauschale",IF(OR(Q54=0,N(D54)=0),0,Q54*((N(F54)+N(K54))/N(D54))),L54*(N(F54)+N(K54))))</f>
        <v>0</v>
      </c>
      <c r="O54" s="10">
        <f t="shared" ref="O54:O67" si="11">N54-M54</f>
        <v>0</v>
      </c>
      <c r="P54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54" s="10">
        <f>IFERROR(INDEX('Projekt-Budget-Übersicht'!$E:$E,MATCH(10,'Projekt-Budget-Übersicht'!$L:$L,0)),0)</f>
        <v>0</v>
      </c>
      <c r="R54" s="10">
        <v>68628.19</v>
      </c>
      <c r="S54" s="4"/>
      <c r="T54" s="4"/>
      <c r="U54" s="4"/>
    </row>
    <row r="55" spans="1:21" x14ac:dyDescent="0.25">
      <c r="A55" s="22"/>
      <c r="B55" s="4" t="s">
        <v>5481</v>
      </c>
      <c r="C55" s="4" t="str">
        <f>IFERROR(INDEX('Projekt-Budget-Übersicht'!$C:$C,MATCH(10,'Projekt-Budget-Übersicht'!$L:$L,0)),"")</f>
        <v/>
      </c>
      <c r="D55" s="4">
        <v>24</v>
      </c>
      <c r="E55" s="4">
        <v>2</v>
      </c>
      <c r="F55" s="5">
        <f>SUM(F7,I7,K7)</f>
        <v>2</v>
      </c>
      <c r="G55" s="16">
        <v>8.33</v>
      </c>
      <c r="H55" s="5">
        <f>SUM(H7)</f>
        <v>0</v>
      </c>
      <c r="I55" s="5">
        <f t="shared" si="8"/>
        <v>0</v>
      </c>
      <c r="J55" s="4" t="s">
        <v>5531</v>
      </c>
      <c r="K55" s="5">
        <f>SUM(K7)</f>
        <v>0</v>
      </c>
      <c r="L55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55" s="10">
        <f t="shared" si="9"/>
        <v>0</v>
      </c>
      <c r="N55" s="10">
        <f t="shared" si="10"/>
        <v>0</v>
      </c>
      <c r="O55" s="10">
        <f t="shared" si="11"/>
        <v>0</v>
      </c>
      <c r="P55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55" s="10">
        <f>IFERROR(INDEX('Projekt-Budget-Übersicht'!$E:$E,MATCH(10,'Projekt-Budget-Übersicht'!$L:$L,0)),0)</f>
        <v>0</v>
      </c>
      <c r="R55" s="10">
        <v>68628.19</v>
      </c>
      <c r="S55" s="4"/>
      <c r="T55" s="4"/>
      <c r="U55" s="4"/>
    </row>
    <row r="56" spans="1:21" x14ac:dyDescent="0.25">
      <c r="A56" s="4" t="s">
        <v>1985</v>
      </c>
      <c r="B56" s="4" t="s">
        <v>5559</v>
      </c>
      <c r="C56" s="4" t="str">
        <f>IFERROR(INDEX('Projekt-Budget-Übersicht'!$C:$C,MATCH(2367,'Projekt-Budget-Übersicht'!$L:$L,0)),"")</f>
        <v/>
      </c>
      <c r="D56" s="4">
        <v>34</v>
      </c>
      <c r="E56" s="4">
        <v>5.5</v>
      </c>
      <c r="F56" s="5">
        <f>SUM(F34,I34,K34)</f>
        <v>4</v>
      </c>
      <c r="G56" s="16">
        <v>16.18</v>
      </c>
      <c r="H56" s="5">
        <f>SUM(H34)</f>
        <v>0</v>
      </c>
      <c r="I56" s="5">
        <f t="shared" si="8"/>
        <v>0</v>
      </c>
      <c r="J56" s="4" t="s">
        <v>5531</v>
      </c>
      <c r="K56" s="5">
        <f>SUM(K34)</f>
        <v>0</v>
      </c>
      <c r="L56" s="10">
        <f>IF($B$2="-",0,IFERROR(INDEX(IF($B$2="SV",'Projekt-Budget-Übersicht'!$H:$H,IF($B$2="CAD",'Projekt-Budget-Übersicht'!$I:$I,IF($B$2="ADM",'Projekt-Budget-Übersicht'!$J:$J,'Projekt-Budget-Übersicht'!$H:$H))),MATCH(2367,'Projekt-Budget-Übersicht'!$L:$L,0)),0))</f>
        <v>0</v>
      </c>
      <c r="M56" s="10">
        <f t="shared" si="9"/>
        <v>0</v>
      </c>
      <c r="N56" s="10">
        <f t="shared" si="10"/>
        <v>0</v>
      </c>
      <c r="O56" s="10">
        <f t="shared" si="11"/>
        <v>0</v>
      </c>
      <c r="P56" s="10">
        <f>'D. Brucker'!M56</f>
        <v>0</v>
      </c>
      <c r="Q56" s="10">
        <f>IFERROR(INDEX('Projekt-Budget-Übersicht'!$E:$E,MATCH(2367,'Projekt-Budget-Übersicht'!$L:$L,0)),0)</f>
        <v>0</v>
      </c>
      <c r="R56" s="10">
        <v>135</v>
      </c>
      <c r="S56" s="4"/>
      <c r="T56" s="4"/>
      <c r="U56" s="4"/>
    </row>
    <row r="57" spans="1:21" x14ac:dyDescent="0.25">
      <c r="A57" s="4" t="s">
        <v>2013</v>
      </c>
      <c r="B57" s="4" t="s">
        <v>5554</v>
      </c>
      <c r="C57" s="4" t="str">
        <f>IFERROR(INDEX('Projekt-Budget-Übersicht'!$C:$C,MATCH(2385,'Projekt-Budget-Übersicht'!$L:$L,0)),"")</f>
        <v/>
      </c>
      <c r="D57" s="4">
        <v>265.5</v>
      </c>
      <c r="E57" s="4">
        <v>268.5</v>
      </c>
      <c r="F57" s="5">
        <f>SUM(F8,I8,K8)</f>
        <v>2</v>
      </c>
      <c r="G57" s="15">
        <v>101.13</v>
      </c>
      <c r="H57" s="5">
        <f>SUM(H8)</f>
        <v>0</v>
      </c>
      <c r="I57" s="5">
        <f t="shared" si="8"/>
        <v>0</v>
      </c>
      <c r="J57" s="4" t="s">
        <v>5531</v>
      </c>
      <c r="K57" s="5">
        <f>SUM(K8)</f>
        <v>0</v>
      </c>
      <c r="L57" s="10">
        <f>IF($B$2="-",0,IFERROR(INDEX(IF($B$2="SV",'Projekt-Budget-Übersicht'!$H:$H,IF($B$2="CAD",'Projekt-Budget-Übersicht'!$I:$I,IF($B$2="ADM",'Projekt-Budget-Übersicht'!$J:$J,'Projekt-Budget-Übersicht'!$H:$H))),MATCH(2385,'Projekt-Budget-Übersicht'!$L:$L,0)),0))</f>
        <v>0</v>
      </c>
      <c r="M57" s="10">
        <f t="shared" si="9"/>
        <v>0</v>
      </c>
      <c r="N57" s="10">
        <f t="shared" si="10"/>
        <v>0</v>
      </c>
      <c r="O57" s="10">
        <f t="shared" si="11"/>
        <v>0</v>
      </c>
      <c r="P57" s="10">
        <f>'D. Brucker'!M57</f>
        <v>0</v>
      </c>
      <c r="Q57" s="10">
        <f>IFERROR(INDEX('Projekt-Budget-Übersicht'!$E:$E,MATCH(2385,'Projekt-Budget-Übersicht'!$L:$L,0)),0)</f>
        <v>0</v>
      </c>
      <c r="R57" s="10">
        <v>20583.97</v>
      </c>
      <c r="S57" s="4"/>
      <c r="T57" s="4"/>
      <c r="U57" s="4"/>
    </row>
    <row r="58" spans="1:21" x14ac:dyDescent="0.25">
      <c r="A58" s="4" t="s">
        <v>2017</v>
      </c>
      <c r="B58" s="4" t="s">
        <v>5498</v>
      </c>
      <c r="C58" s="4" t="str">
        <f>IFERROR(INDEX('Projekt-Budget-Übersicht'!$C:$C,MATCH(2389,'Projekt-Budget-Übersicht'!$L:$L,0)),"")</f>
        <v/>
      </c>
      <c r="D58" s="4">
        <v>80</v>
      </c>
      <c r="E58" s="4">
        <v>80</v>
      </c>
      <c r="F58" s="5">
        <f>SUM(F9,I9,K9)</f>
        <v>2</v>
      </c>
      <c r="G58" s="14">
        <v>100</v>
      </c>
      <c r="H58" s="5">
        <f>SUM(H9)</f>
        <v>0</v>
      </c>
      <c r="I58" s="5">
        <f t="shared" si="8"/>
        <v>0</v>
      </c>
      <c r="J58" s="4" t="s">
        <v>5531</v>
      </c>
      <c r="K58" s="5">
        <f>SUM(K9)</f>
        <v>0</v>
      </c>
      <c r="L58" s="10">
        <f>IF($B$2="-",0,IFERROR(INDEX(IF($B$2="SV",'Projekt-Budget-Übersicht'!$H:$H,IF($B$2="CAD",'Projekt-Budget-Übersicht'!$I:$I,IF($B$2="ADM",'Projekt-Budget-Übersicht'!$J:$J,'Projekt-Budget-Übersicht'!$H:$H))),MATCH(2389,'Projekt-Budget-Übersicht'!$L:$L,0)),0))</f>
        <v>0</v>
      </c>
      <c r="M58" s="10">
        <f t="shared" si="9"/>
        <v>0</v>
      </c>
      <c r="N58" s="10">
        <f t="shared" si="10"/>
        <v>0</v>
      </c>
      <c r="O58" s="10">
        <f t="shared" si="11"/>
        <v>0</v>
      </c>
      <c r="P58" s="10">
        <f>'D. Brucker'!M58</f>
        <v>0</v>
      </c>
      <c r="Q58" s="10">
        <f>IFERROR(INDEX('Projekt-Budget-Übersicht'!$E:$E,MATCH(2389,'Projekt-Budget-Übersicht'!$L:$L,0)),0)</f>
        <v>0</v>
      </c>
      <c r="R58" s="10">
        <v>3870</v>
      </c>
      <c r="S58" s="4"/>
      <c r="T58" s="4"/>
      <c r="U58" s="4"/>
    </row>
    <row r="59" spans="1:21" x14ac:dyDescent="0.25">
      <c r="A59" s="4" t="s">
        <v>4604</v>
      </c>
      <c r="B59" s="4" t="s">
        <v>5459</v>
      </c>
      <c r="C59" s="4" t="str">
        <f>IFERROR(INDEX('Projekt-Budget-Übersicht'!$C:$C,MATCH(4641,'Projekt-Budget-Übersicht'!$L:$L,0)),"")</f>
        <v/>
      </c>
      <c r="D59" s="4">
        <v>20</v>
      </c>
      <c r="E59" s="4">
        <v>5.75</v>
      </c>
      <c r="F59" s="5">
        <f>SUM(F10,I10,K10)</f>
        <v>1</v>
      </c>
      <c r="G59" s="16">
        <v>28.75</v>
      </c>
      <c r="H59" s="5">
        <f>SUM(H10)</f>
        <v>0</v>
      </c>
      <c r="I59" s="5">
        <f t="shared" si="8"/>
        <v>0</v>
      </c>
      <c r="J59" s="4" t="s">
        <v>5531</v>
      </c>
      <c r="K59" s="5">
        <f>SUM(K10)</f>
        <v>0</v>
      </c>
      <c r="L59" s="10">
        <f>IF($B$2="-",0,IFERROR(INDEX(IF($B$2="SV",'Projekt-Budget-Übersicht'!$H:$H,IF($B$2="CAD",'Projekt-Budget-Übersicht'!$I:$I,IF($B$2="ADM",'Projekt-Budget-Übersicht'!$J:$J,'Projekt-Budget-Übersicht'!$H:$H))),MATCH(4641,'Projekt-Budget-Übersicht'!$L:$L,0)),0))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'A. Kokott'!M181+'D. Brucker'!M59</f>
        <v>0</v>
      </c>
      <c r="Q59" s="10">
        <f>IFERROR(INDEX('Projekt-Budget-Übersicht'!$E:$E,MATCH(4641,'Projekt-Budget-Übersicht'!$L:$L,0)),0)</f>
        <v>0</v>
      </c>
      <c r="R59" s="10">
        <v>17.5</v>
      </c>
      <c r="S59" s="4"/>
      <c r="T59" s="4"/>
      <c r="U59" s="4"/>
    </row>
    <row r="60" spans="1:21" x14ac:dyDescent="0.25">
      <c r="A60" s="21" t="s">
        <v>4821</v>
      </c>
      <c r="B60" s="4" t="s">
        <v>5555</v>
      </c>
      <c r="C60" s="4" t="str">
        <f>IFERROR(INDEX('Projekt-Budget-Übersicht'!$C:$C,MATCH(4825,'Projekt-Budget-Übersicht'!$L:$L,0)),"")</f>
        <v/>
      </c>
      <c r="D60" s="4">
        <v>5</v>
      </c>
      <c r="E60" s="4">
        <v>3</v>
      </c>
      <c r="F60" s="5">
        <f>SUM(F11,I11,K11)</f>
        <v>2</v>
      </c>
      <c r="G60" s="16">
        <v>60</v>
      </c>
      <c r="H60" s="5">
        <f>SUM(H11)</f>
        <v>0</v>
      </c>
      <c r="I60" s="5">
        <f t="shared" si="8"/>
        <v>0</v>
      </c>
      <c r="J60" s="4" t="s">
        <v>5531</v>
      </c>
      <c r="K60" s="5">
        <f>SUM(K11)</f>
        <v>0</v>
      </c>
      <c r="L60" s="10">
        <f>IF($B$2="-",0,IFERROR(INDEX(IF($B$2="SV",'Projekt-Budget-Übersicht'!$H:$H,IF($B$2="CAD",'Projekt-Budget-Übersicht'!$I:$I,IF($B$2="ADM",'Projekt-Budget-Übersicht'!$J:$J,'Projekt-Budget-Übersicht'!$H:$H))),MATCH(4825,'Projekt-Budget-Übersicht'!$L:$L,0)),0))</f>
        <v>0</v>
      </c>
      <c r="M60" s="10">
        <f t="shared" si="9"/>
        <v>0</v>
      </c>
      <c r="N60" s="10">
        <f t="shared" si="10"/>
        <v>0</v>
      </c>
      <c r="O60" s="10">
        <f t="shared" si="11"/>
        <v>0</v>
      </c>
      <c r="P60" s="10">
        <f>'D. Brucker'!M60+'E. Bieler'!M105</f>
        <v>0</v>
      </c>
      <c r="Q60" s="10">
        <f>IFERROR(INDEX('Projekt-Budget-Übersicht'!$E:$E,MATCH(4825,'Projekt-Budget-Übersicht'!$L:$L,0)),0)</f>
        <v>0</v>
      </c>
      <c r="R60" s="10">
        <v>26.65</v>
      </c>
      <c r="S60" s="4"/>
      <c r="T60" s="4"/>
      <c r="U60" s="4"/>
    </row>
    <row r="61" spans="1:21" x14ac:dyDescent="0.25">
      <c r="A61" s="23"/>
      <c r="B61" s="4" t="s">
        <v>5560</v>
      </c>
      <c r="C61" s="4" t="str">
        <f>IFERROR(INDEX('Projekt-Budget-Übersicht'!$C:$C,MATCH(4826,'Projekt-Budget-Übersicht'!$L:$L,0)),"")</f>
        <v/>
      </c>
      <c r="D61" s="4">
        <v>5</v>
      </c>
      <c r="E61" s="4">
        <v>5</v>
      </c>
      <c r="F61" s="5">
        <f>SUM(F35,I35,K35)</f>
        <v>5</v>
      </c>
      <c r="G61" s="14">
        <v>100</v>
      </c>
      <c r="H61" s="5">
        <f>SUM(H35)</f>
        <v>0</v>
      </c>
      <c r="I61" s="5">
        <f t="shared" si="8"/>
        <v>0</v>
      </c>
      <c r="J61" s="4" t="s">
        <v>5531</v>
      </c>
      <c r="K61" s="5">
        <f>SUM(K35)</f>
        <v>0</v>
      </c>
      <c r="L61" s="10">
        <f>IF($B$2="-",0,IFERROR(INDEX(IF($B$2="SV",'Projekt-Budget-Übersicht'!$H:$H,IF($B$2="CAD",'Projekt-Budget-Übersicht'!$I:$I,IF($B$2="ADM",'Projekt-Budget-Übersicht'!$J:$J,'Projekt-Budget-Übersicht'!$H:$H))),MATCH(4826,'Projekt-Budget-Übersicht'!$L:$L,0)),0))</f>
        <v>0</v>
      </c>
      <c r="M61" s="10">
        <f t="shared" si="9"/>
        <v>0</v>
      </c>
      <c r="N61" s="10">
        <f t="shared" si="10"/>
        <v>0</v>
      </c>
      <c r="O61" s="10">
        <f t="shared" si="11"/>
        <v>0</v>
      </c>
      <c r="P61" s="10">
        <f>'D. Brucker'!M61</f>
        <v>0</v>
      </c>
      <c r="Q61" s="10">
        <f>IFERROR(INDEX('Projekt-Budget-Übersicht'!$E:$E,MATCH(4826,'Projekt-Budget-Übersicht'!$L:$L,0)),0)</f>
        <v>0</v>
      </c>
      <c r="R61" s="10"/>
      <c r="S61" s="4"/>
      <c r="T61" s="4"/>
      <c r="U61" s="4"/>
    </row>
    <row r="62" spans="1:21" x14ac:dyDescent="0.25">
      <c r="A62" s="22"/>
      <c r="B62" s="4" t="s">
        <v>5561</v>
      </c>
      <c r="C62" s="4" t="str">
        <f>IFERROR(INDEX('Projekt-Budget-Übersicht'!$C:$C,MATCH(4827,'Projekt-Budget-Übersicht'!$L:$L,0)),"")</f>
        <v/>
      </c>
      <c r="D62" s="4">
        <v>5</v>
      </c>
      <c r="E62" s="4">
        <v>3.5</v>
      </c>
      <c r="F62" s="5">
        <f>SUM(F36,I36,K36)</f>
        <v>3</v>
      </c>
      <c r="G62" s="16">
        <v>70</v>
      </c>
      <c r="H62" s="5">
        <f>SUM(H36)</f>
        <v>0</v>
      </c>
      <c r="I62" s="5">
        <f t="shared" si="8"/>
        <v>0</v>
      </c>
      <c r="J62" s="4" t="s">
        <v>5531</v>
      </c>
      <c r="K62" s="5">
        <f>SUM(K36)</f>
        <v>0</v>
      </c>
      <c r="L62" s="10">
        <f>IF($B$2="-",0,IFERROR(INDEX(IF($B$2="SV",'Projekt-Budget-Übersicht'!$H:$H,IF($B$2="CAD",'Projekt-Budget-Übersicht'!$I:$I,IF($B$2="ADM",'Projekt-Budget-Übersicht'!$J:$J,'Projekt-Budget-Übersicht'!$H:$H))),MATCH(4827,'Projekt-Budget-Übersicht'!$L:$L,0)),0))</f>
        <v>0</v>
      </c>
      <c r="M62" s="10">
        <f t="shared" si="9"/>
        <v>0</v>
      </c>
      <c r="N62" s="10">
        <f t="shared" si="10"/>
        <v>0</v>
      </c>
      <c r="O62" s="10">
        <f t="shared" si="11"/>
        <v>0</v>
      </c>
      <c r="P62" s="10">
        <f>'D. Brucker'!M62</f>
        <v>0</v>
      </c>
      <c r="Q62" s="10">
        <f>IFERROR(INDEX('Projekt-Budget-Übersicht'!$E:$E,MATCH(4827,'Projekt-Budget-Übersicht'!$L:$L,0)),0)</f>
        <v>0</v>
      </c>
      <c r="R62" s="10"/>
      <c r="S62" s="4"/>
      <c r="T62" s="4"/>
      <c r="U62" s="4"/>
    </row>
    <row r="63" spans="1:21" x14ac:dyDescent="0.25">
      <c r="A63" s="4" t="s">
        <v>4874</v>
      </c>
      <c r="B63" s="4" t="s">
        <v>5556</v>
      </c>
      <c r="C63" s="4" t="str">
        <f>IFERROR(INDEX('Projekt-Budget-Übersicht'!$C:$C,MATCH(4869,'Projekt-Budget-Übersicht'!$L:$L,0)),"")</f>
        <v/>
      </c>
      <c r="D63" s="4">
        <v>20</v>
      </c>
      <c r="E63" s="4">
        <v>20.5</v>
      </c>
      <c r="F63" s="5">
        <f>SUM(F12,I12,K12)</f>
        <v>18.5</v>
      </c>
      <c r="G63" s="15">
        <v>102.5</v>
      </c>
      <c r="H63" s="5">
        <f>SUM(H12)</f>
        <v>0</v>
      </c>
      <c r="I63" s="5">
        <f t="shared" si="8"/>
        <v>0</v>
      </c>
      <c r="J63" s="4" t="s">
        <v>5531</v>
      </c>
      <c r="K63" s="5">
        <f>SUM(K12)</f>
        <v>0</v>
      </c>
      <c r="L63" s="10">
        <f>IF($B$2="-",0,IFERROR(INDEX(IF($B$2="SV",'Projekt-Budget-Übersicht'!$H:$H,IF($B$2="CAD",'Projekt-Budget-Übersicht'!$I:$I,IF($B$2="ADM",'Projekt-Budget-Übersicht'!$J:$J,'Projekt-Budget-Übersicht'!$H:$H))),MATCH(4869,'Projekt-Budget-Übersicht'!$L:$L,0)),0))</f>
        <v>0</v>
      </c>
      <c r="M63" s="10">
        <f t="shared" si="9"/>
        <v>0</v>
      </c>
      <c r="N63" s="10">
        <f t="shared" si="10"/>
        <v>0</v>
      </c>
      <c r="O63" s="10">
        <f t="shared" si="11"/>
        <v>0</v>
      </c>
      <c r="P63" s="10">
        <f>'D. Brucker'!M63+'S. Schüler'!M180</f>
        <v>0</v>
      </c>
      <c r="Q63" s="10">
        <f>IFERROR(INDEX('Projekt-Budget-Übersicht'!$E:$E,MATCH(4869,'Projekt-Budget-Übersicht'!$L:$L,0)),0)</f>
        <v>0</v>
      </c>
      <c r="R63" s="10"/>
      <c r="S63" s="4"/>
      <c r="T63" s="4"/>
      <c r="U63" s="4"/>
    </row>
    <row r="64" spans="1:21" x14ac:dyDescent="0.25">
      <c r="A64" s="21" t="s">
        <v>4929</v>
      </c>
      <c r="B64" s="4" t="s">
        <v>5557</v>
      </c>
      <c r="C64" s="4" t="str">
        <f>IFERROR(INDEX('Projekt-Budget-Übersicht'!$C:$C,MATCH(4908,'Projekt-Budget-Übersicht'!$L:$L,0)),"")</f>
        <v/>
      </c>
      <c r="D64" s="4">
        <v>40</v>
      </c>
      <c r="E64" s="4">
        <v>36.75</v>
      </c>
      <c r="F64" s="5">
        <f>SUM(F13,F24,F37,I13,I24,I37,K13,K24,K37)</f>
        <v>28</v>
      </c>
      <c r="G64" s="14">
        <v>91.88</v>
      </c>
      <c r="H64" s="5">
        <f>SUM(H13,H24,H37)</f>
        <v>0</v>
      </c>
      <c r="I64" s="5">
        <f t="shared" si="8"/>
        <v>0</v>
      </c>
      <c r="J64" s="4" t="s">
        <v>5531</v>
      </c>
      <c r="K64" s="5">
        <f>SUM(K13,K24,K37)</f>
        <v>0</v>
      </c>
      <c r="L64" s="10">
        <f>IF($B$2="-",0,IFERROR(INDEX(IF($B$2="SV",'Projekt-Budget-Übersicht'!$H:$H,IF($B$2="CAD",'Projekt-Budget-Übersicht'!$I:$I,IF($B$2="ADM",'Projekt-Budget-Übersicht'!$J:$J,'Projekt-Budget-Übersicht'!$H:$H))),MATCH(4908,'Projekt-Budget-Übersicht'!$L:$L,0)),0))</f>
        <v>0</v>
      </c>
      <c r="M64" s="10">
        <f t="shared" si="9"/>
        <v>0</v>
      </c>
      <c r="N64" s="10">
        <f t="shared" si="10"/>
        <v>0</v>
      </c>
      <c r="O64" s="10">
        <f t="shared" si="11"/>
        <v>0</v>
      </c>
      <c r="P64" s="10">
        <f>'D. Brucker'!M64+'S. Schüler'!M181</f>
        <v>0</v>
      </c>
      <c r="Q64" s="10">
        <f>IFERROR(INDEX('Projekt-Budget-Übersicht'!$E:$E,MATCH(4908,'Projekt-Budget-Übersicht'!$L:$L,0)),0)</f>
        <v>0</v>
      </c>
      <c r="R64" s="10">
        <v>697.5</v>
      </c>
      <c r="S64" s="4"/>
      <c r="T64" s="4"/>
      <c r="U64" s="4"/>
    </row>
    <row r="65" spans="1:21" x14ac:dyDescent="0.25">
      <c r="A65" s="22"/>
      <c r="B65" s="4" t="s">
        <v>5459</v>
      </c>
      <c r="C65" s="4" t="str">
        <f>IFERROR(INDEX('Projekt-Budget-Übersicht'!$C:$C,MATCH(4909,'Projekt-Budget-Übersicht'!$L:$L,0)),"")</f>
        <v/>
      </c>
      <c r="D65" s="4">
        <v>40</v>
      </c>
      <c r="E65" s="4">
        <v>34.25</v>
      </c>
      <c r="F65" s="5">
        <f>SUM(F14,I14,K14)</f>
        <v>24</v>
      </c>
      <c r="G65" s="16">
        <v>85.62</v>
      </c>
      <c r="H65" s="5">
        <f>SUM(H14)</f>
        <v>0</v>
      </c>
      <c r="I65" s="5">
        <f t="shared" si="8"/>
        <v>0</v>
      </c>
      <c r="J65" s="4" t="s">
        <v>5531</v>
      </c>
      <c r="K65" s="5">
        <f>SUM(K14)</f>
        <v>0</v>
      </c>
      <c r="L65" s="10">
        <f>IF($B$2="-",0,IFERROR(INDEX(IF($B$2="SV",'Projekt-Budget-Übersicht'!$H:$H,IF($B$2="CAD",'Projekt-Budget-Übersicht'!$I:$I,IF($B$2="ADM",'Projekt-Budget-Übersicht'!$J:$J,'Projekt-Budget-Übersicht'!$H:$H))),MATCH(4909,'Projekt-Budget-Übersicht'!$L:$L,0)),0))</f>
        <v>0</v>
      </c>
      <c r="M65" s="10">
        <f t="shared" si="9"/>
        <v>0</v>
      </c>
      <c r="N65" s="10">
        <f t="shared" si="10"/>
        <v>0</v>
      </c>
      <c r="O65" s="10">
        <f t="shared" si="11"/>
        <v>0</v>
      </c>
      <c r="P65" s="10">
        <f>'D. Brucker'!M65+'E. Bieler'!M106+'T. Trautmann'!M150</f>
        <v>0</v>
      </c>
      <c r="Q65" s="10">
        <f>IFERROR(INDEX('Projekt-Budget-Übersicht'!$E:$E,MATCH(4909,'Projekt-Budget-Übersicht'!$L:$L,0)),0)</f>
        <v>0</v>
      </c>
      <c r="R65" s="10">
        <v>866.58</v>
      </c>
      <c r="S65" s="4"/>
      <c r="T65" s="4"/>
      <c r="U65" s="4"/>
    </row>
    <row r="66" spans="1:21" x14ac:dyDescent="0.25">
      <c r="A66" s="4" t="s">
        <v>5078</v>
      </c>
      <c r="B66" s="4" t="s">
        <v>5459</v>
      </c>
      <c r="C66" s="4" t="str">
        <f>IFERROR(INDEX('Projekt-Budget-Übersicht'!$C:$C,MATCH(5062,'Projekt-Budget-Übersicht'!$L:$L,0)),"")</f>
        <v/>
      </c>
      <c r="D66" s="4">
        <v>7.5</v>
      </c>
      <c r="E66" s="4">
        <v>5</v>
      </c>
      <c r="F66" s="5">
        <f>SUM(F38,I38,K38)</f>
        <v>5</v>
      </c>
      <c r="G66" s="16">
        <v>66.67</v>
      </c>
      <c r="H66" s="5">
        <f>SUM(H38)</f>
        <v>0</v>
      </c>
      <c r="I66" s="5">
        <f t="shared" si="8"/>
        <v>0</v>
      </c>
      <c r="J66" s="4" t="s">
        <v>5531</v>
      </c>
      <c r="K66" s="5">
        <f>SUM(K38)</f>
        <v>0</v>
      </c>
      <c r="L66" s="10">
        <f>IF($B$2="-",0,IFERROR(INDEX(IF($B$2="SV",'Projekt-Budget-Übersicht'!$H:$H,IF($B$2="CAD",'Projekt-Budget-Übersicht'!$I:$I,IF($B$2="ADM",'Projekt-Budget-Übersicht'!$J:$J,'Projekt-Budget-Übersicht'!$H:$H))),MATCH(5062,'Projekt-Budget-Übersicht'!$L:$L,0)),0))</f>
        <v>0</v>
      </c>
      <c r="M66" s="10">
        <f t="shared" si="9"/>
        <v>0</v>
      </c>
      <c r="N66" s="10">
        <f t="shared" si="10"/>
        <v>0</v>
      </c>
      <c r="O66" s="10">
        <f t="shared" si="11"/>
        <v>0</v>
      </c>
      <c r="P66" s="10">
        <f>'D. Brucker'!M66</f>
        <v>0</v>
      </c>
      <c r="Q66" s="10">
        <f>IFERROR(INDEX('Projekt-Budget-Übersicht'!$E:$E,MATCH(5062,'Projekt-Budget-Übersicht'!$L:$L,0)),0)</f>
        <v>0</v>
      </c>
      <c r="R66" s="10">
        <v>17.5</v>
      </c>
      <c r="S66" s="4"/>
      <c r="T66" s="4"/>
      <c r="U66" s="4"/>
    </row>
    <row r="67" spans="1:21" x14ac:dyDescent="0.25">
      <c r="A67" s="4" t="s">
        <v>5103</v>
      </c>
      <c r="B67" s="4" t="s">
        <v>5558</v>
      </c>
      <c r="C67" s="4" t="str">
        <f>IFERROR(INDEX('Projekt-Budget-Übersicht'!$C:$C,MATCH(5077,'Projekt-Budget-Übersicht'!$L:$L,0)),"")</f>
        <v/>
      </c>
      <c r="D67" s="4">
        <v>2</v>
      </c>
      <c r="E67" s="4">
        <v>1</v>
      </c>
      <c r="F67" s="5">
        <f>SUM(F15,I15,K15)</f>
        <v>1</v>
      </c>
      <c r="G67" s="16">
        <v>50</v>
      </c>
      <c r="H67" s="5">
        <f>SUM(H15)</f>
        <v>0</v>
      </c>
      <c r="I67" s="5">
        <f t="shared" si="8"/>
        <v>0</v>
      </c>
      <c r="J67" s="4" t="s">
        <v>5531</v>
      </c>
      <c r="K67" s="5">
        <f>SUM(K15)</f>
        <v>0</v>
      </c>
      <c r="L67" s="10">
        <f>IF($B$2="-",0,IFERROR(INDEX(IF($B$2="SV",'Projekt-Budget-Übersicht'!$H:$H,IF($B$2="CAD",'Projekt-Budget-Übersicht'!$I:$I,IF($B$2="ADM",'Projekt-Budget-Übersicht'!$J:$J,'Projekt-Budget-Übersicht'!$H:$H))),MATCH(5077,'Projekt-Budget-Übersicht'!$L:$L,0)),0))</f>
        <v>0</v>
      </c>
      <c r="M67" s="10">
        <f t="shared" si="9"/>
        <v>0</v>
      </c>
      <c r="N67" s="10">
        <f t="shared" si="10"/>
        <v>0</v>
      </c>
      <c r="O67" s="10">
        <f t="shared" si="11"/>
        <v>0</v>
      </c>
      <c r="P67" s="10">
        <f>'D. Brucker'!M67</f>
        <v>0</v>
      </c>
      <c r="Q67" s="10">
        <f>IFERROR(INDEX('Projekt-Budget-Übersicht'!$E:$E,MATCH(5077,'Projekt-Budget-Übersicht'!$L:$L,0)),0)</f>
        <v>0</v>
      </c>
      <c r="R67" s="10">
        <v>99.15</v>
      </c>
      <c r="S67" s="4"/>
      <c r="T67" s="4"/>
      <c r="U67" s="4"/>
    </row>
    <row r="69" spans="1:21" x14ac:dyDescent="0.25">
      <c r="A69" s="3"/>
      <c r="B69" s="3" t="s">
        <v>5492</v>
      </c>
      <c r="C69" s="3"/>
      <c r="D69" s="3"/>
      <c r="E69" s="3"/>
      <c r="F69" s="6">
        <f>SUM(F16,F25,F39)</f>
        <v>114.5</v>
      </c>
      <c r="G69" s="3"/>
      <c r="H69" s="3"/>
      <c r="I69" s="3"/>
      <c r="J69" s="3"/>
      <c r="K69" s="3"/>
      <c r="L69" s="3"/>
      <c r="M69" s="17">
        <f>SUM(M54:M67)</f>
        <v>0</v>
      </c>
      <c r="N69" s="17">
        <f>SUM(N54:N67)</f>
        <v>0</v>
      </c>
      <c r="O69" s="17">
        <f>SUM(O54:O67)</f>
        <v>0</v>
      </c>
      <c r="P69" s="17">
        <f>SUM(P54:P67)</f>
        <v>0</v>
      </c>
      <c r="Q69" s="3"/>
      <c r="R69" s="3"/>
      <c r="S69" s="3"/>
      <c r="T69" s="3"/>
      <c r="U69" s="3"/>
    </row>
    <row r="70" spans="1:21" x14ac:dyDescent="0.25">
      <c r="A70" s="3"/>
      <c r="B70" s="3" t="s">
        <v>4</v>
      </c>
      <c r="C70" s="3"/>
      <c r="D70" s="3"/>
      <c r="E70" s="3"/>
      <c r="F70" s="6">
        <f>G70+H70</f>
        <v>75</v>
      </c>
      <c r="G70" s="6">
        <f>SUM(G17,G26,G40)</f>
        <v>75</v>
      </c>
      <c r="H70" s="6">
        <v>0</v>
      </c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1:21" x14ac:dyDescent="0.25">
      <c r="A71" s="3"/>
      <c r="B71" s="3" t="s">
        <v>5</v>
      </c>
      <c r="C71" s="3"/>
      <c r="D71" s="3"/>
      <c r="E71" s="3"/>
      <c r="F71" s="6">
        <f>G71+H71</f>
        <v>10</v>
      </c>
      <c r="G71" s="6">
        <f>SUM(G18,G27,G41)</f>
        <v>10</v>
      </c>
      <c r="H71" s="6">
        <v>0</v>
      </c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1:21" x14ac:dyDescent="0.25">
      <c r="A72" s="3"/>
      <c r="B72" s="3" t="s">
        <v>5493</v>
      </c>
      <c r="C72" s="3"/>
      <c r="D72" s="3"/>
      <c r="E72" s="3"/>
      <c r="F72" s="6">
        <f>SUM(F19,F28,F42)</f>
        <v>0</v>
      </c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1:21" x14ac:dyDescent="0.25">
      <c r="A73" s="18"/>
      <c r="B73" s="18" t="s">
        <v>5494</v>
      </c>
      <c r="C73" s="18"/>
      <c r="D73" s="18"/>
      <c r="E73" s="18"/>
      <c r="F73" s="19">
        <f>F70+F71+F72</f>
        <v>85</v>
      </c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5" spans="1:21" ht="15.75" x14ac:dyDescent="0.25">
      <c r="A75" s="2" t="s">
        <v>5532</v>
      </c>
    </row>
    <row r="76" spans="1:21" x14ac:dyDescent="0.25">
      <c r="A76" s="13" t="s">
        <v>10</v>
      </c>
      <c r="B76" s="13">
        <v>114.5</v>
      </c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</row>
    <row r="77" spans="1:21" x14ac:dyDescent="0.25">
      <c r="A77" s="13" t="s">
        <v>11</v>
      </c>
      <c r="B77" s="20">
        <f>SUM(F17,F26,F40)</f>
        <v>75</v>
      </c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</row>
    <row r="78" spans="1:21" x14ac:dyDescent="0.25">
      <c r="A78" s="13" t="s">
        <v>12</v>
      </c>
      <c r="B78" s="20">
        <f>SUM(F18,F27,F41)</f>
        <v>10</v>
      </c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</row>
  </sheetData>
  <mergeCells count="6">
    <mergeCell ref="A6:A7"/>
    <mergeCell ref="A35:A36"/>
    <mergeCell ref="A13:A14"/>
    <mergeCell ref="A60:A62"/>
    <mergeCell ref="A64:A65"/>
    <mergeCell ref="A54:A55"/>
  </mergeCells>
  <conditionalFormatting sqref="I6:I15">
    <cfRule type="cellIs" dxfId="61" priority="1" stopIfTrue="1" operator="lessThan">
      <formula>0</formula>
    </cfRule>
  </conditionalFormatting>
  <conditionalFormatting sqref="I24">
    <cfRule type="cellIs" dxfId="60" priority="11" stopIfTrue="1" operator="lessThan">
      <formula>0</formula>
    </cfRule>
  </conditionalFormatting>
  <conditionalFormatting sqref="I33:I38">
    <cfRule type="cellIs" dxfId="59" priority="12" stopIfTrue="1" operator="lessThan">
      <formula>0</formula>
    </cfRule>
  </conditionalFormatting>
  <conditionalFormatting sqref="I54:I67">
    <cfRule type="cellIs" dxfId="58" priority="18" stopIfTrue="1" operator="lessThan">
      <formula>0</formula>
    </cfRule>
  </conditionalFormatting>
  <dataValidations count="7">
    <dataValidation type="list" sqref="B2" xr:uid="{00000000-0002-0000-0400-000000000000}">
      <formula1>"SV,CAD,ADM,Pauschale,-"</formula1>
    </dataValidation>
    <dataValidation type="list" allowBlank="1" sqref="J6" xr:uid="{00000000-0002-0000-0400-000001000000}">
      <formula1>"A. Kokott,E. Bieler,J. Dorchies,O. Haag BS-CAD,S. Schüler,T. Trautmann,U. Sutter ADM"</formula1>
    </dataValidation>
    <dataValidation type="list" allowBlank="1" sqref="T33:T38 T24 T6:T15" xr:uid="{00000000-0002-0000-0400-000002000000}">
      <formula1>"SR,AZ"</formula1>
    </dataValidation>
    <dataValidation type="list" allowBlank="1" sqref="J7" xr:uid="{00000000-0002-0000-0400-000003000000}">
      <formula1>"A. Kokott,C. Trapp SV,E. Bieler,J. Dorchies,J. Dorn,M. Bandlofsky,T. Trautmann,U. Sutter ADM"</formula1>
    </dataValidation>
    <dataValidation type="list" allowBlank="1" sqref="J11 J14" xr:uid="{00000000-0002-0000-0400-000008000000}">
      <formula1>"E. Bieler"</formula1>
    </dataValidation>
    <dataValidation type="list" allowBlank="1" sqref="J12 J37" xr:uid="{00000000-0002-0000-0400-00000A000000}">
      <formula1>"S. Schüler"</formula1>
    </dataValidation>
    <dataValidation type="list" allowBlank="1" sqref="J33" xr:uid="{00000000-0002-0000-0400-000011000000}">
      <formula1>"A. Kokott,C. Trapp SV,J. Dorn,O. Haag BS-CAD,S. Schüler,U. Sutter ADM"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U126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5562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IFERROR(INDEX('Projekt-Budget-Übersicht'!$C:$C,MATCH(10,'Projekt-Budget-Übersicht'!$L:$L,0)),"")</f>
        <v/>
      </c>
      <c r="D6" s="4">
        <v>8</v>
      </c>
      <c r="E6" s="4">
        <v>10</v>
      </c>
      <c r="F6" s="4">
        <v>10</v>
      </c>
      <c r="G6" s="15">
        <v>125</v>
      </c>
      <c r="H6" s="5"/>
      <c r="I6" s="5">
        <f t="shared" ref="I6:I41" si="0">IF(H6=0,0,F6-H6)</f>
        <v>0</v>
      </c>
      <c r="J6" s="4"/>
      <c r="K6" s="5">
        <f>IF('A. Kokott'!J6="E. Bieler",'A. Kokott'!I6,0)+IF('D. Brucker'!J6="E. Bieler",'D. Brucker'!I6,0)+IF('J. Dorchies'!J6="E. Bieler",'J. Dorchies'!I6,0)+IF('O. Haag BS-CAD'!J6="E. Bieler",'O. Haag BS-CAD'!I6,0)+IF('S. Schüler'!J6="E. Bieler",'S. Schüler'!I6,0)+IF('T. Trautmann'!J6="E. Bieler",'T. Trautmann'!I6,0)+IF('U. Sutter ADM'!J6="E. Bieler",'U.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41" si="1">IF($B$2="-",0,IF(C6="Pauschale",IF(OR(R6=0,N(D6)=0),0,MAX(0,MIN(R6*((N(F6)+N(K6))/N(D6)),R6-R6*(N(E6)/N(D6))))),L6*(N(F6)+N(K6))))</f>
        <v>0</v>
      </c>
      <c r="N6" s="10">
        <f t="shared" ref="N6:N41" si="2">IF($B$2="-",0,IF(C6="Pauschale",IF(OR(R6=0,N(D6)=0),0,R6*((N(F6)+N(K6))/N(D6))),L6*(N(F6)+N(K6))))</f>
        <v>0</v>
      </c>
      <c r="O6" s="10">
        <f t="shared" ref="O6:O41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22"/>
      <c r="B7" s="4" t="s">
        <v>5481</v>
      </c>
      <c r="C7" s="4" t="str">
        <f>IFERROR(INDEX('Projekt-Budget-Übersicht'!$C:$C,MATCH(10,'Projekt-Budget-Übersicht'!$L:$L,0)),"")</f>
        <v/>
      </c>
      <c r="D7" s="4">
        <v>8</v>
      </c>
      <c r="E7" s="4">
        <v>1</v>
      </c>
      <c r="F7" s="4">
        <v>1</v>
      </c>
      <c r="G7" s="16">
        <v>12.5</v>
      </c>
      <c r="H7" s="5"/>
      <c r="I7" s="5">
        <f t="shared" si="0"/>
        <v>0</v>
      </c>
      <c r="J7" s="4"/>
      <c r="K7" s="5">
        <f>IF('A. Kokott'!J7="E. Bieler",'A. Kokott'!I7,0)+IF('C. Trapp SV'!J6="E. Bieler",'C. Trapp SV'!I6,0)+IF('D. Brucker'!J7="E. Bieler",'D. Brucker'!I7,0)+IF('J. Dorchies'!J7="E. Bieler",'J. Dorchies'!I7,0)+IF('J. Dorn'!J6="E. Bieler",'J. Dorn'!I6,0)+IF('M. Bandlofsky'!J6="E. Bieler",'M. Bandlofsky'!I6,0)+IF('T. Trautmann'!J7="E. Bieler",'T. Trautmann'!I7,0)+IF('U. Sutter ADM'!J7="E. Bieler",'U. Sutter ADM'!I7,0)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IFERROR(INDEX('Projekt-Budget-Übersicht'!$F:$F,MATCH(10,'Projekt-Budget-Übersicht'!$L:$L,0)),0)</f>
        <v>0</v>
      </c>
      <c r="S7" s="10">
        <v>68628.19</v>
      </c>
      <c r="T7" s="4"/>
      <c r="U7" s="4"/>
    </row>
    <row r="8" spans="1:21" x14ac:dyDescent="0.25">
      <c r="A8" s="4" t="s">
        <v>636</v>
      </c>
      <c r="B8" s="4" t="s">
        <v>5459</v>
      </c>
      <c r="C8" s="4" t="str">
        <f>IFERROR(INDEX('Projekt-Budget-Übersicht'!$C:$C,MATCH(641,'Projekt-Budget-Übersicht'!$L:$L,0)),"")</f>
        <v/>
      </c>
      <c r="D8" s="4">
        <v>20</v>
      </c>
      <c r="E8" s="4">
        <v>18.75</v>
      </c>
      <c r="F8" s="4">
        <v>0.5</v>
      </c>
      <c r="G8" s="14">
        <v>93.75</v>
      </c>
      <c r="H8" s="5"/>
      <c r="I8" s="5">
        <f t="shared" si="0"/>
        <v>0</v>
      </c>
      <c r="J8" s="4"/>
      <c r="K8" s="5">
        <f>IF('T. Trautmann'!J10="E. Bieler",'T. Trautmann'!I10,0)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124.0740740740741</v>
      </c>
      <c r="M8" s="10">
        <f t="shared" si="1"/>
        <v>62.037037037037052</v>
      </c>
      <c r="N8" s="10">
        <f t="shared" si="2"/>
        <v>62.037037037037052</v>
      </c>
      <c r="O8" s="10">
        <f t="shared" si="3"/>
        <v>0</v>
      </c>
      <c r="P8" s="10">
        <f>'E. Bieler'!M8+'T. Trautmann'!M10</f>
        <v>2078.2407407407413</v>
      </c>
      <c r="Q8" s="10">
        <v>27</v>
      </c>
      <c r="R8" s="10">
        <f>IFERROR(INDEX('Projekt-Budget-Übersicht'!$F:$F,MATCH(641,'Projekt-Budget-Übersicht'!$L:$L,0)),0)</f>
        <v>0</v>
      </c>
      <c r="S8" s="10">
        <v>2546.65</v>
      </c>
      <c r="T8" s="4"/>
      <c r="U8" s="4"/>
    </row>
    <row r="9" spans="1:21" x14ac:dyDescent="0.25">
      <c r="A9" s="4" t="s">
        <v>877</v>
      </c>
      <c r="B9" s="4" t="s">
        <v>5502</v>
      </c>
      <c r="C9" s="4" t="str">
        <f>IFERROR(INDEX('Projekt-Budget-Übersicht'!$C:$C,MATCH(898,'Projekt-Budget-Übersicht'!$L:$L,0)),"")</f>
        <v/>
      </c>
      <c r="D9" s="4">
        <v>20</v>
      </c>
      <c r="E9" s="4">
        <v>10.75</v>
      </c>
      <c r="F9" s="4">
        <v>0.25</v>
      </c>
      <c r="G9" s="16">
        <v>53.75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IF($B$2="-",0,IFERROR(INDEX(IF($B$2="SV",'Projekt-Budget-Übersicht'!$I:$I,IF($B$2="CAD",'Projekt-Budget-Übersicht'!$J:$J,IF($B$2="ADM",'Projekt-Budget-Übersicht'!$K:$K,'Projekt-Budget-Übersicht'!$I:$I))),MATCH(898,'Projekt-Budget-Übersicht'!$M:$M,0)),0))</f>
        <v>72.5</v>
      </c>
      <c r="M9" s="10">
        <f t="shared" si="1"/>
        <v>18.125</v>
      </c>
      <c r="N9" s="10">
        <f t="shared" si="2"/>
        <v>18.125</v>
      </c>
      <c r="O9" s="10">
        <f t="shared" si="3"/>
        <v>0</v>
      </c>
      <c r="P9" s="10">
        <f>'E. Bieler'!M9</f>
        <v>18.125</v>
      </c>
      <c r="Q9" s="10">
        <v>270</v>
      </c>
      <c r="R9" s="10">
        <f>IFERROR(INDEX('Projekt-Budget-Übersicht'!$F:$F,MATCH(898,'Projekt-Budget-Übersicht'!$L:$L,0)),0)</f>
        <v>0</v>
      </c>
      <c r="S9" s="10">
        <v>538.32000000000005</v>
      </c>
      <c r="T9" s="4"/>
      <c r="U9" s="4"/>
    </row>
    <row r="10" spans="1:21" x14ac:dyDescent="0.25">
      <c r="A10" s="4" t="s">
        <v>1302</v>
      </c>
      <c r="B10" s="4" t="s">
        <v>5563</v>
      </c>
      <c r="C10" s="4" t="str">
        <f>IFERROR(INDEX('Projekt-Budget-Übersicht'!$C:$C,MATCH(1412,'Projekt-Budget-Übersicht'!$L:$L,0)),"")</f>
        <v/>
      </c>
      <c r="D10" s="4">
        <v>295.5</v>
      </c>
      <c r="E10" s="4">
        <v>108.25</v>
      </c>
      <c r="F10" s="4">
        <v>13.75</v>
      </c>
      <c r="G10" s="16">
        <v>36.630000000000003</v>
      </c>
      <c r="H10" s="5"/>
      <c r="I10" s="5">
        <f t="shared" si="0"/>
        <v>0</v>
      </c>
      <c r="J10" s="4"/>
      <c r="K10" s="5">
        <f>IF('J. Dorn'!J9="E. Bieler",'J. Dorn'!I9,0)+IF('P. Bergner'!J6="E. Bieler",'P. Bergner'!I6,0)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77.834179357021995</v>
      </c>
      <c r="M10" s="10">
        <f t="shared" si="1"/>
        <v>1070.2199661590523</v>
      </c>
      <c r="N10" s="10">
        <f t="shared" si="2"/>
        <v>1070.2199661590523</v>
      </c>
      <c r="O10" s="10">
        <f t="shared" si="3"/>
        <v>0</v>
      </c>
      <c r="P10" s="10">
        <f>'E. Bieler'!M10+'J. Dorn'!M9+'P. Bergner'!M6</f>
        <v>2529.6108291032147</v>
      </c>
      <c r="Q10" s="10">
        <v>76</v>
      </c>
      <c r="R10" s="10">
        <f>IFERROR(INDEX('Projekt-Budget-Übersicht'!$F:$F,MATCH(1412,'Projekt-Budget-Übersicht'!$L:$L,0)),0)</f>
        <v>0</v>
      </c>
      <c r="S10" s="10">
        <v>9580.17</v>
      </c>
      <c r="T10" s="4"/>
      <c r="U10" s="4"/>
    </row>
    <row r="11" spans="1:21" x14ac:dyDescent="0.25">
      <c r="A11" s="4" t="s">
        <v>1377</v>
      </c>
      <c r="B11" s="4" t="s">
        <v>5536</v>
      </c>
      <c r="C11" s="4" t="str">
        <f>IFERROR(INDEX('Projekt-Budget-Übersicht'!$C:$C,MATCH(1491,'Projekt-Budget-Übersicht'!$L:$L,0)),"")</f>
        <v/>
      </c>
      <c r="D11" s="4">
        <v>307.5</v>
      </c>
      <c r="E11" s="4">
        <v>383.75</v>
      </c>
      <c r="F11" s="4">
        <v>0.5</v>
      </c>
      <c r="G11" s="15">
        <v>124.8</v>
      </c>
      <c r="H11" s="5"/>
      <c r="I11" s="5">
        <f t="shared" si="0"/>
        <v>0</v>
      </c>
      <c r="J11" s="4"/>
      <c r="K11" s="5">
        <f>IF('M. Bandlofsky'!J10="E. Bieler",'M. Bandlofsky'!I10,0)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'E. Bieler'!M11+'M. Bandlofsky'!M10</f>
        <v>0</v>
      </c>
      <c r="Q11" s="10">
        <v>652.5</v>
      </c>
      <c r="R11" s="10">
        <f>IFERROR(INDEX('Projekt-Budget-Übersicht'!$F:$F,MATCH(1491,'Projekt-Budget-Übersicht'!$L:$L,0)),0)</f>
        <v>0</v>
      </c>
      <c r="S11" s="10">
        <v>21224.71</v>
      </c>
      <c r="T11" s="4"/>
      <c r="U11" s="4"/>
    </row>
    <row r="12" spans="1:21" x14ac:dyDescent="0.25">
      <c r="A12" s="4" t="s">
        <v>1406</v>
      </c>
      <c r="B12" s="4" t="s">
        <v>5540</v>
      </c>
      <c r="C12" s="4" t="str">
        <f>IFERROR(INDEX('Projekt-Budget-Übersicht'!$C:$C,MATCH(1545,'Projekt-Budget-Übersicht'!$L:$L,0)),"")</f>
        <v/>
      </c>
      <c r="D12" s="4">
        <v>42</v>
      </c>
      <c r="E12" s="4">
        <v>41</v>
      </c>
      <c r="F12" s="4">
        <v>0.5</v>
      </c>
      <c r="G12" s="14">
        <v>97.62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IF($B$2="-",0,IFERROR(INDEX(IF($B$2="SV",'Projekt-Budget-Übersicht'!$I:$I,IF($B$2="CAD",'Projekt-Budget-Übersicht'!$J:$J,IF($B$2="ADM",'Projekt-Budget-Übersicht'!$K:$K,'Projekt-Budget-Übersicht'!$I:$I))),MATCH(1545,'Projekt-Budget-Übersicht'!$M:$M,0)),0))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'E. Bieler'!M12</f>
        <v>0</v>
      </c>
      <c r="Q12" s="10">
        <v>42</v>
      </c>
      <c r="R12" s="10">
        <f>IFERROR(INDEX('Projekt-Budget-Übersicht'!$F:$F,MATCH(1545,'Projekt-Budget-Übersicht'!$L:$L,0)),0)</f>
        <v>0</v>
      </c>
      <c r="S12" s="10">
        <v>2002.9</v>
      </c>
      <c r="T12" s="4"/>
      <c r="U12" s="4"/>
    </row>
    <row r="13" spans="1:21" x14ac:dyDescent="0.25">
      <c r="A13" s="4" t="s">
        <v>1825</v>
      </c>
      <c r="B13" s="4" t="s">
        <v>5544</v>
      </c>
      <c r="C13" s="4" t="str">
        <f>IFERROR(INDEX('Projekt-Budget-Übersicht'!$C:$C,MATCH(2066,'Projekt-Budget-Übersicht'!$L:$L,0)),"")</f>
        <v/>
      </c>
      <c r="D13" s="4">
        <v>110</v>
      </c>
      <c r="E13" s="4">
        <v>45.75</v>
      </c>
      <c r="F13" s="4">
        <v>1</v>
      </c>
      <c r="G13" s="16">
        <v>41.59</v>
      </c>
      <c r="H13" s="5"/>
      <c r="I13" s="5">
        <f t="shared" si="0"/>
        <v>0</v>
      </c>
      <c r="J13" s="4"/>
      <c r="K13" s="5">
        <f>IF('J. Dorn'!J14="E. Bieler",'J. Dorn'!I14,0)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'E. Bieler'!M13+'J. Dorn'!M14</f>
        <v>0</v>
      </c>
      <c r="Q13" s="10">
        <v>146</v>
      </c>
      <c r="R13" s="10">
        <f>IFERROR(INDEX('Projekt-Budget-Übersicht'!$F:$F,MATCH(2066,'Projekt-Budget-Übersicht'!$L:$L,0)),0)</f>
        <v>0</v>
      </c>
      <c r="S13" s="10">
        <v>4160.79</v>
      </c>
      <c r="T13" s="4"/>
      <c r="U13" s="4"/>
    </row>
    <row r="14" spans="1:21" x14ac:dyDescent="0.25">
      <c r="A14" s="4" t="s">
        <v>2053</v>
      </c>
      <c r="B14" s="4" t="s">
        <v>5564</v>
      </c>
      <c r="C14" s="4" t="str">
        <f>IFERROR(INDEX('Projekt-Budget-Übersicht'!$C:$C,MATCH(2422,'Projekt-Budget-Übersicht'!$L:$L,0)),"")</f>
        <v/>
      </c>
      <c r="D14" s="4">
        <v>10</v>
      </c>
      <c r="E14" s="4">
        <v>15.5</v>
      </c>
      <c r="F14" s="4">
        <v>1</v>
      </c>
      <c r="G14" s="15">
        <v>155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IF($B$2="-",0,IFERROR(INDEX(IF($B$2="SV",'Projekt-Budget-Übersicht'!$I:$I,IF($B$2="CAD",'Projekt-Budget-Übersicht'!$J:$J,IF($B$2="ADM",'Projekt-Budget-Übersicht'!$K:$K,'Projekt-Budget-Übersicht'!$I:$I))),MATCH(2422,'Projekt-Budget-Übersicht'!$M:$M,0)),0))</f>
        <v>113.3333333333333</v>
      </c>
      <c r="M14" s="10">
        <f t="shared" si="1"/>
        <v>113.3333333333333</v>
      </c>
      <c r="N14" s="10">
        <f t="shared" si="2"/>
        <v>113.3333333333333</v>
      </c>
      <c r="O14" s="10">
        <f t="shared" si="3"/>
        <v>0</v>
      </c>
      <c r="P14" s="10">
        <f>'E. Bieler'!M14</f>
        <v>113.3333333333333</v>
      </c>
      <c r="Q14" s="10">
        <v>15</v>
      </c>
      <c r="R14" s="10">
        <f>IFERROR(INDEX('Projekt-Budget-Übersicht'!$F:$F,MATCH(2422,'Projekt-Budget-Übersicht'!$L:$L,0)),0)</f>
        <v>0</v>
      </c>
      <c r="S14" s="10">
        <v>2093.29</v>
      </c>
      <c r="T14" s="4"/>
      <c r="U14" s="4"/>
    </row>
    <row r="15" spans="1:21" x14ac:dyDescent="0.25">
      <c r="A15" s="4" t="s">
        <v>2055</v>
      </c>
      <c r="B15" s="4" t="s">
        <v>5459</v>
      </c>
      <c r="C15" s="4" t="str">
        <f>IFERROR(INDEX('Projekt-Budget-Übersicht'!$C:$C,MATCH(2426,'Projekt-Budget-Übersicht'!$L:$L,0)),"")</f>
        <v/>
      </c>
      <c r="D15" s="4">
        <v>30</v>
      </c>
      <c r="E15" s="4">
        <v>19.5</v>
      </c>
      <c r="F15" s="4">
        <v>1</v>
      </c>
      <c r="G15" s="16">
        <v>65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IF($B$2="-",0,IFERROR(INDEX(IF($B$2="SV",'Projekt-Budget-Übersicht'!$I:$I,IF($B$2="CAD",'Projekt-Budget-Übersicht'!$J:$J,IF($B$2="ADM",'Projekt-Budget-Übersicht'!$K:$K,'Projekt-Budget-Übersicht'!$I:$I))),MATCH(2426,'Projekt-Budget-Übersicht'!$M:$M,0)),0))</f>
        <v>111.1111111111111</v>
      </c>
      <c r="M15" s="10">
        <f t="shared" si="1"/>
        <v>111.1111111111111</v>
      </c>
      <c r="N15" s="10">
        <f t="shared" si="2"/>
        <v>111.1111111111111</v>
      </c>
      <c r="O15" s="10">
        <f t="shared" si="3"/>
        <v>0</v>
      </c>
      <c r="P15" s="10">
        <f>'E. Bieler'!M15</f>
        <v>111.1111111111111</v>
      </c>
      <c r="Q15" s="10">
        <v>18</v>
      </c>
      <c r="R15" s="10">
        <f>IFERROR(INDEX('Projekt-Budget-Übersicht'!$F:$F,MATCH(2426,'Projekt-Budget-Übersicht'!$L:$L,0)),0)</f>
        <v>0</v>
      </c>
      <c r="S15" s="10"/>
      <c r="T15" s="4"/>
      <c r="U15" s="4"/>
    </row>
    <row r="16" spans="1:21" x14ac:dyDescent="0.25">
      <c r="A16" s="4" t="s">
        <v>2438</v>
      </c>
      <c r="B16" s="4" t="s">
        <v>5546</v>
      </c>
      <c r="C16" s="4" t="str">
        <f>IFERROR(INDEX('Projekt-Budget-Übersicht'!$C:$C,MATCH(2769,'Projekt-Budget-Übersicht'!$L:$L,0)),"")</f>
        <v/>
      </c>
      <c r="D16" s="4">
        <v>16</v>
      </c>
      <c r="E16" s="4">
        <v>16.25</v>
      </c>
      <c r="F16" s="4">
        <v>0.25</v>
      </c>
      <c r="G16" s="15">
        <v>101.56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IF($B$2="-",0,IFERROR(INDEX(IF($B$2="SV",'Projekt-Budget-Übersicht'!$I:$I,IF($B$2="CAD",'Projekt-Budget-Übersicht'!$J:$J,IF($B$2="ADM",'Projekt-Budget-Übersicht'!$K:$K,'Projekt-Budget-Übersicht'!$I:$I))),MATCH(2769,'Projekt-Budget-Übersicht'!$M:$M,0)),0))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'E. Bieler'!M16</f>
        <v>0</v>
      </c>
      <c r="Q16" s="10">
        <v>422</v>
      </c>
      <c r="R16" s="10">
        <f>IFERROR(INDEX('Projekt-Budget-Übersicht'!$F:$F,MATCH(2769,'Projekt-Budget-Übersicht'!$L:$L,0)),0)</f>
        <v>0</v>
      </c>
      <c r="S16" s="10">
        <v>50.82</v>
      </c>
      <c r="T16" s="4"/>
      <c r="U16" s="4"/>
    </row>
    <row r="17" spans="1:21" x14ac:dyDescent="0.25">
      <c r="A17" s="21" t="s">
        <v>2491</v>
      </c>
      <c r="B17" s="4" t="s">
        <v>5565</v>
      </c>
      <c r="C17" s="4" t="str">
        <f>IFERROR(INDEX('Projekt-Budget-Übersicht'!$C:$C,MATCH(2813,'Projekt-Budget-Übersicht'!$L:$L,0)),"")</f>
        <v/>
      </c>
      <c r="D17" s="4">
        <v>24</v>
      </c>
      <c r="E17" s="4">
        <v>18.25</v>
      </c>
      <c r="F17" s="4">
        <v>3.5</v>
      </c>
      <c r="G17" s="16">
        <v>76.040000000000006</v>
      </c>
      <c r="H17" s="5"/>
      <c r="I17" s="5">
        <f t="shared" si="0"/>
        <v>0</v>
      </c>
      <c r="J17" s="4"/>
      <c r="K17" s="5">
        <f>IF('R. Böttiger'!J7="E. Bieler",'R. Böttiger'!I7,0)</f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IF($B$2="-",0,IFERROR(INDEX(IF($B$2="SV",'Projekt-Budget-Übersicht'!$I:$I,IF($B$2="CAD",'Projekt-Budget-Übersicht'!$J:$J,IF($B$2="ADM",'Projekt-Budget-Übersicht'!$K:$K,'Projekt-Budget-Übersicht'!$I:$I))),MATCH(2813,'Projekt-Budget-Übersicht'!$M:$M,0)),0))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'E. Bieler'!M17+'R. Böttiger'!M7</f>
        <v>0</v>
      </c>
      <c r="Q17" s="10">
        <v>24</v>
      </c>
      <c r="R17" s="10">
        <f>IFERROR(INDEX('Projekt-Budget-Übersicht'!$F:$F,MATCH(2813,'Projekt-Budget-Übersicht'!$L:$L,0)),0)</f>
        <v>0</v>
      </c>
      <c r="S17" s="10">
        <v>479.02</v>
      </c>
      <c r="T17" s="4"/>
      <c r="U17" s="4"/>
    </row>
    <row r="18" spans="1:21" x14ac:dyDescent="0.25">
      <c r="A18" s="22"/>
      <c r="B18" s="4" t="s">
        <v>5566</v>
      </c>
      <c r="C18" s="4" t="str">
        <f>IFERROR(INDEX('Projekt-Budget-Übersicht'!$C:$C,MATCH(2815,'Projekt-Budget-Übersicht'!$L:$L,0)),"")</f>
        <v/>
      </c>
      <c r="D18" s="4">
        <v>16</v>
      </c>
      <c r="E18" s="4">
        <v>22.25</v>
      </c>
      <c r="F18" s="4">
        <v>1</v>
      </c>
      <c r="G18" s="15">
        <v>139.06</v>
      </c>
      <c r="H18" s="5"/>
      <c r="I18" s="5">
        <f t="shared" si="0"/>
        <v>0</v>
      </c>
      <c r="J18" s="4"/>
      <c r="K18" s="5">
        <f>IF('J. Dorn'!J20="E. Bieler",'J. Dorn'!I20,0)+IF('R. Böttiger'!J8="E. Bieler",'R. Böttiger'!I8,0)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128.125</v>
      </c>
      <c r="M18" s="10">
        <f t="shared" si="1"/>
        <v>128.125</v>
      </c>
      <c r="N18" s="10">
        <f t="shared" si="2"/>
        <v>128.125</v>
      </c>
      <c r="O18" s="10">
        <f t="shared" si="3"/>
        <v>0</v>
      </c>
      <c r="P18" s="10">
        <f>'E. Bieler'!M18+'J. Dorn'!M20+'R. Böttiger'!M8</f>
        <v>1153.125</v>
      </c>
      <c r="Q18" s="10">
        <v>82</v>
      </c>
      <c r="R18" s="10">
        <f>IFERROR(INDEX('Projekt-Budget-Übersicht'!$F:$F,MATCH(2815,'Projekt-Budget-Übersicht'!$L:$L,0)),0)</f>
        <v>0</v>
      </c>
      <c r="S18" s="10">
        <v>1013.98</v>
      </c>
      <c r="T18" s="4"/>
      <c r="U18" s="4"/>
    </row>
    <row r="19" spans="1:21" x14ac:dyDescent="0.25">
      <c r="A19" s="4" t="s">
        <v>2495</v>
      </c>
      <c r="B19" s="4" t="s">
        <v>5544</v>
      </c>
      <c r="C19" s="4" t="str">
        <f>IFERROR(INDEX('Projekt-Budget-Übersicht'!$C:$C,MATCH(2818,'Projekt-Budget-Übersicht'!$L:$L,0)),"")</f>
        <v/>
      </c>
      <c r="D19" s="4">
        <v>16</v>
      </c>
      <c r="E19" s="4">
        <v>25.25</v>
      </c>
      <c r="F19" s="4">
        <v>0.5</v>
      </c>
      <c r="G19" s="15">
        <v>157.81</v>
      </c>
      <c r="H19" s="5"/>
      <c r="I19" s="5">
        <f t="shared" si="0"/>
        <v>0</v>
      </c>
      <c r="J19" s="4"/>
      <c r="K19" s="5">
        <f>IF('R. Böttiger'!J10="E. Bieler",'R. Böttiger'!I10,0)</f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134.375</v>
      </c>
      <c r="M19" s="10">
        <f t="shared" si="1"/>
        <v>67.1875</v>
      </c>
      <c r="N19" s="10">
        <f t="shared" si="2"/>
        <v>67.1875</v>
      </c>
      <c r="O19" s="10">
        <f t="shared" si="3"/>
        <v>0</v>
      </c>
      <c r="P19" s="10">
        <f>'E. Bieler'!M19+'R. Böttiger'!M10</f>
        <v>671.875</v>
      </c>
      <c r="Q19" s="10">
        <v>16</v>
      </c>
      <c r="R19" s="10">
        <f>IFERROR(INDEX('Projekt-Budget-Übersicht'!$F:$F,MATCH(2818,'Projekt-Budget-Übersicht'!$L:$L,0)),0)</f>
        <v>0</v>
      </c>
      <c r="S19" s="10">
        <v>71.650000000000006</v>
      </c>
      <c r="T19" s="4"/>
      <c r="U19" s="4"/>
    </row>
    <row r="20" spans="1:21" x14ac:dyDescent="0.25">
      <c r="A20" s="4" t="s">
        <v>2834</v>
      </c>
      <c r="B20" s="4" t="s">
        <v>5459</v>
      </c>
      <c r="C20" s="4" t="str">
        <f>IFERROR(INDEX('Projekt-Budget-Übersicht'!$C:$C,MATCH(3122,'Projekt-Budget-Übersicht'!$L:$L,0)),"")</f>
        <v/>
      </c>
      <c r="D20" s="4">
        <v>6</v>
      </c>
      <c r="E20" s="4">
        <v>33.75</v>
      </c>
      <c r="F20" s="4">
        <v>0.25</v>
      </c>
      <c r="G20" s="15">
        <v>562.5</v>
      </c>
      <c r="H20" s="5"/>
      <c r="I20" s="5">
        <f t="shared" si="0"/>
        <v>0</v>
      </c>
      <c r="J20" s="4"/>
      <c r="K20" s="5">
        <f>IF('A. Kokott'!J14="E. Bieler",'A. Kokott'!I14,0)+IF('J. Dorchies'!J9="E. Bieler",'J. Dorchies'!I9,0)+IF('J. Dorn'!J23="E. Bieler",'J. Dorn'!I23,0)+IF('P. Bergner'!J7="E. Bieler",'P. Bergner'!I7,0)+IF('R. Böttiger'!J13="E. Bieler",'R. Böttiger'!I13,0)</f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20" s="10">
        <f t="shared" si="1"/>
        <v>14.583333333333336</v>
      </c>
      <c r="N20" s="10">
        <f t="shared" si="2"/>
        <v>14.583333333333336</v>
      </c>
      <c r="O20" s="10">
        <f t="shared" si="3"/>
        <v>0</v>
      </c>
      <c r="P20" s="10">
        <f>'A. Kokott'!M14+'E. Bieler'!M20+'J. Dorchies'!M9+'J. Dorn'!M23+'P. Bergner'!M7+'R. Böttiger'!M13</f>
        <v>1195.8333333333335</v>
      </c>
      <c r="Q20" s="10">
        <v>18</v>
      </c>
      <c r="R20" s="10">
        <f>IFERROR(INDEX('Projekt-Budget-Übersicht'!$F:$F,MATCH(3122,'Projekt-Budget-Übersicht'!$L:$L,0)),0)</f>
        <v>0</v>
      </c>
      <c r="S20" s="10">
        <v>2985.82</v>
      </c>
      <c r="T20" s="4"/>
      <c r="U20" s="4"/>
    </row>
    <row r="21" spans="1:21" x14ac:dyDescent="0.25">
      <c r="A21" s="4" t="s">
        <v>3909</v>
      </c>
      <c r="B21" s="4" t="s">
        <v>5509</v>
      </c>
      <c r="C21" s="4" t="str">
        <f>IFERROR(INDEX('Projekt-Budget-Übersicht'!$C:$C,MATCH(4055,'Projekt-Budget-Übersicht'!$L:$L,0)),"")</f>
        <v/>
      </c>
      <c r="D21" s="4">
        <v>63</v>
      </c>
      <c r="E21" s="4">
        <v>42</v>
      </c>
      <c r="F21" s="4">
        <v>1</v>
      </c>
      <c r="G21" s="16">
        <v>66.67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IF($B$2="-",0,IFERROR(INDEX(IF($B$2="SV",'Projekt-Budget-Übersicht'!$I:$I,IF($B$2="CAD",'Projekt-Budget-Übersicht'!$J:$J,IF($B$2="ADM",'Projekt-Budget-Übersicht'!$K:$K,'Projekt-Budget-Übersicht'!$I:$I))),MATCH(4055,'Projekt-Budget-Übersicht'!$M:$M,0)),0))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'E. Bieler'!M21</f>
        <v>0</v>
      </c>
      <c r="Q21" s="10">
        <v>109</v>
      </c>
      <c r="R21" s="10">
        <f>IFERROR(INDEX('Projekt-Budget-Übersicht'!$F:$F,MATCH(4055,'Projekt-Budget-Übersicht'!$L:$L,0)),0)</f>
        <v>0</v>
      </c>
      <c r="S21" s="10">
        <v>6353.29</v>
      </c>
      <c r="T21" s="4"/>
      <c r="U21" s="4"/>
    </row>
    <row r="22" spans="1:21" x14ac:dyDescent="0.25">
      <c r="A22" s="4" t="s">
        <v>4278</v>
      </c>
      <c r="B22" s="4" t="s">
        <v>5459</v>
      </c>
      <c r="C22" s="4" t="str">
        <f>IFERROR(INDEX('Projekt-Budget-Übersicht'!$C:$C,MATCH(4368,'Projekt-Budget-Übersicht'!$L:$L,0)),"")</f>
        <v/>
      </c>
      <c r="D22" s="4">
        <v>13</v>
      </c>
      <c r="E22" s="4">
        <v>146.75</v>
      </c>
      <c r="F22" s="4">
        <v>1</v>
      </c>
      <c r="G22" s="15">
        <v>1128.8499999999999</v>
      </c>
      <c r="H22" s="5"/>
      <c r="I22" s="5">
        <f t="shared" si="0"/>
        <v>0</v>
      </c>
      <c r="J22" s="4"/>
      <c r="K22" s="5">
        <f>IF('J. Dorchies'!J11="E. Bieler",'J. Dorchies'!I11,0)+IF('J. Dorn'!J33="E. Bieler",'J. Dorn'!I33,0)+IF('R. Böttiger'!J14="E. Bieler",'R. Böttiger'!I14,0)</f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90.166956521739138</v>
      </c>
      <c r="M22" s="10">
        <f t="shared" si="1"/>
        <v>90.166956521739138</v>
      </c>
      <c r="N22" s="10">
        <f t="shared" si="2"/>
        <v>90.166956521739138</v>
      </c>
      <c r="O22" s="10">
        <f t="shared" si="3"/>
        <v>0</v>
      </c>
      <c r="P22" s="10">
        <f>'E. Bieler'!M22+'J. Dorchies'!M11+'J. Dorn'!M33+'R. Böttiger'!M14</f>
        <v>1532.8382608695654</v>
      </c>
      <c r="Q22" s="10">
        <v>57.5</v>
      </c>
      <c r="R22" s="10">
        <f>IFERROR(INDEX('Projekt-Budget-Übersicht'!$F:$F,MATCH(4368,'Projekt-Budget-Übersicht'!$L:$L,0)),0)</f>
        <v>0</v>
      </c>
      <c r="S22" s="10">
        <v>1720.79</v>
      </c>
      <c r="T22" s="4"/>
      <c r="U22" s="4"/>
    </row>
    <row r="23" spans="1:21" x14ac:dyDescent="0.25">
      <c r="A23" s="4" t="s">
        <v>4298</v>
      </c>
      <c r="B23" s="4" t="s">
        <v>5459</v>
      </c>
      <c r="C23" s="4" t="str">
        <f>IFERROR(INDEX('Projekt-Budget-Übersicht'!$C:$C,MATCH(4386,'Projekt-Budget-Übersicht'!$L:$L,0)),"")</f>
        <v/>
      </c>
      <c r="D23" s="4">
        <v>46</v>
      </c>
      <c r="E23" s="4">
        <v>76.75</v>
      </c>
      <c r="F23" s="4">
        <v>1</v>
      </c>
      <c r="G23" s="15">
        <v>166.85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IF($B$2="-",0,IFERROR(INDEX(IF($B$2="SV",'Projekt-Budget-Übersicht'!$I:$I,IF($B$2="CAD",'Projekt-Budget-Übersicht'!$J:$J,IF($B$2="ADM",'Projekt-Budget-Übersicht'!$K:$K,'Projekt-Budget-Übersicht'!$I:$I))),MATCH(4386,'Projekt-Budget-Übersicht'!$M:$M,0)),0))</f>
        <v>129.09090909090909</v>
      </c>
      <c r="M23" s="10">
        <f t="shared" si="1"/>
        <v>129.09090909090909</v>
      </c>
      <c r="N23" s="10">
        <f t="shared" si="2"/>
        <v>129.09090909090909</v>
      </c>
      <c r="O23" s="10">
        <f t="shared" si="3"/>
        <v>0</v>
      </c>
      <c r="P23" s="10">
        <f>'E. Bieler'!M23</f>
        <v>129.09090909090909</v>
      </c>
      <c r="Q23" s="10">
        <v>55</v>
      </c>
      <c r="R23" s="10">
        <f>IFERROR(INDEX('Projekt-Budget-Übersicht'!$F:$F,MATCH(4386,'Projekt-Budget-Übersicht'!$L:$L,0)),0)</f>
        <v>0</v>
      </c>
      <c r="S23" s="10">
        <v>7883.29</v>
      </c>
      <c r="T23" s="4"/>
      <c r="U23" s="4"/>
    </row>
    <row r="24" spans="1:21" x14ac:dyDescent="0.25">
      <c r="A24" s="4" t="s">
        <v>4429</v>
      </c>
      <c r="B24" s="4" t="s">
        <v>5459</v>
      </c>
      <c r="C24" s="4" t="str">
        <f>IFERROR(INDEX('Projekt-Budget-Übersicht'!$C:$C,MATCH(4500,'Projekt-Budget-Übersicht'!$L:$L,0)),"")</f>
        <v/>
      </c>
      <c r="D24" s="4">
        <v>0</v>
      </c>
      <c r="E24" s="4">
        <v>119</v>
      </c>
      <c r="F24" s="4">
        <v>0.25</v>
      </c>
      <c r="G24" s="4">
        <v>0</v>
      </c>
      <c r="H24" s="5"/>
      <c r="I24" s="5">
        <f t="shared" si="0"/>
        <v>0</v>
      </c>
      <c r="J24" s="4"/>
      <c r="K24" s="5">
        <f>IF('M. Bandlofsky'!J13="E. Bieler",'M. Bandlofsky'!I13,0)</f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24" s="10">
        <f t="shared" si="1"/>
        <v>0</v>
      </c>
      <c r="N24" s="10">
        <f t="shared" si="2"/>
        <v>0</v>
      </c>
      <c r="O24" s="10">
        <f t="shared" si="3"/>
        <v>0</v>
      </c>
      <c r="P24" s="10">
        <f>'E. Bieler'!M24+'M. Bandlofsky'!M13</f>
        <v>0</v>
      </c>
      <c r="Q24" s="10"/>
      <c r="R24" s="10">
        <f>IFERROR(INDEX('Projekt-Budget-Übersicht'!$F:$F,MATCH(4500,'Projekt-Budget-Übersicht'!$L:$L,0)),0)</f>
        <v>0</v>
      </c>
      <c r="S24" s="10"/>
      <c r="T24" s="4"/>
      <c r="U24" s="4"/>
    </row>
    <row r="25" spans="1:21" x14ac:dyDescent="0.25">
      <c r="A25" s="4" t="s">
        <v>4489</v>
      </c>
      <c r="B25" s="4" t="s">
        <v>5567</v>
      </c>
      <c r="C25" s="4" t="str">
        <f>IFERROR(INDEX('Projekt-Budget-Übersicht'!$C:$C,MATCH(4552,'Projekt-Budget-Übersicht'!$L:$L,0)),"")</f>
        <v/>
      </c>
      <c r="D25" s="4">
        <v>10</v>
      </c>
      <c r="E25" s="4">
        <v>16.25</v>
      </c>
      <c r="F25" s="4">
        <v>0.5</v>
      </c>
      <c r="G25" s="15">
        <v>162.5</v>
      </c>
      <c r="H25" s="5"/>
      <c r="I25" s="5">
        <f t="shared" si="0"/>
        <v>0</v>
      </c>
      <c r="J25" s="4"/>
      <c r="K25" s="5">
        <f>IF('H. Bektas'!J8="E. Bieler",'H. Bektas'!I8,0)+IF('J. Dorchies'!J14="E. Bieler",'J. Dorchies'!I14,0)</f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100</v>
      </c>
      <c r="M25" s="10">
        <f t="shared" si="1"/>
        <v>50</v>
      </c>
      <c r="N25" s="10">
        <f t="shared" si="2"/>
        <v>50</v>
      </c>
      <c r="O25" s="10">
        <f t="shared" si="3"/>
        <v>0</v>
      </c>
      <c r="P25" s="10">
        <f>'E. Bieler'!M25+'H. Bektas'!M8+'J. Dorchies'!M14</f>
        <v>400</v>
      </c>
      <c r="Q25" s="10">
        <v>56</v>
      </c>
      <c r="R25" s="10">
        <f>IFERROR(INDEX('Projekt-Budget-Übersicht'!$F:$F,MATCH(4552,'Projekt-Budget-Übersicht'!$L:$L,0)),0)</f>
        <v>0</v>
      </c>
      <c r="S25" s="10">
        <v>134.15</v>
      </c>
      <c r="T25" s="4"/>
      <c r="U25" s="4"/>
    </row>
    <row r="26" spans="1:21" x14ac:dyDescent="0.25">
      <c r="A26" s="4" t="s">
        <v>4669</v>
      </c>
      <c r="B26" s="4" t="s">
        <v>5459</v>
      </c>
      <c r="C26" s="4" t="str">
        <f>IFERROR(INDEX('Projekt-Budget-Übersicht'!$C:$C,MATCH(4697,'Projekt-Budget-Übersicht'!$L:$L,0)),"")</f>
        <v/>
      </c>
      <c r="D26" s="4">
        <v>16</v>
      </c>
      <c r="E26" s="4">
        <v>14.25</v>
      </c>
      <c r="F26" s="4">
        <v>0.25</v>
      </c>
      <c r="G26" s="16">
        <v>89.06</v>
      </c>
      <c r="H26" s="5"/>
      <c r="I26" s="5">
        <f t="shared" si="0"/>
        <v>0</v>
      </c>
      <c r="J26" s="4"/>
      <c r="K26" s="5">
        <f>IF('H. Bektas'!J9="E. Bieler",'H. Bektas'!I9,0)</f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117.39130434782609</v>
      </c>
      <c r="M26" s="10">
        <f t="shared" si="1"/>
        <v>29.347826086956523</v>
      </c>
      <c r="N26" s="10">
        <f t="shared" si="2"/>
        <v>29.347826086956523</v>
      </c>
      <c r="O26" s="10">
        <f t="shared" si="3"/>
        <v>0</v>
      </c>
      <c r="P26" s="10">
        <f>'E. Bieler'!M26+'H. Bektas'!M9</f>
        <v>264.13043478260869</v>
      </c>
      <c r="Q26" s="10">
        <v>23</v>
      </c>
      <c r="R26" s="10">
        <f>IFERROR(INDEX('Projekt-Budget-Übersicht'!$F:$F,MATCH(4697,'Projekt-Budget-Übersicht'!$L:$L,0)),0)</f>
        <v>0</v>
      </c>
      <c r="S26" s="10">
        <v>360.82</v>
      </c>
      <c r="T26" s="4"/>
      <c r="U26" s="4"/>
    </row>
    <row r="27" spans="1:21" x14ac:dyDescent="0.25">
      <c r="A27" s="4" t="s">
        <v>4785</v>
      </c>
      <c r="B27" s="4" t="s">
        <v>5459</v>
      </c>
      <c r="C27" s="4" t="str">
        <f>IFERROR(INDEX('Projekt-Budget-Übersicht'!$C:$C,MATCH(4792,'Projekt-Budget-Übersicht'!$L:$L,0)),"")</f>
        <v/>
      </c>
      <c r="D27" s="4">
        <v>19</v>
      </c>
      <c r="E27" s="4">
        <v>20.75</v>
      </c>
      <c r="F27" s="4">
        <v>0.25</v>
      </c>
      <c r="G27" s="15">
        <v>109.21</v>
      </c>
      <c r="H27" s="5"/>
      <c r="I27" s="5">
        <f t="shared" si="0"/>
        <v>0</v>
      </c>
      <c r="J27" s="4"/>
      <c r="K27" s="5">
        <f>IF('H. Bektas'!J10="E. Bieler",'H. Bektas'!I10,0)</f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126.92307692307691</v>
      </c>
      <c r="M27" s="10">
        <f t="shared" si="1"/>
        <v>31.730769230769226</v>
      </c>
      <c r="N27" s="10">
        <f t="shared" si="2"/>
        <v>31.730769230769226</v>
      </c>
      <c r="O27" s="10">
        <f t="shared" si="3"/>
        <v>0</v>
      </c>
      <c r="P27" s="10">
        <f>'E. Bieler'!M27+'H. Bektas'!M10</f>
        <v>349.03846153846149</v>
      </c>
      <c r="Q27" s="10">
        <v>59</v>
      </c>
      <c r="R27" s="10">
        <f>IFERROR(INDEX('Projekt-Budget-Übersicht'!$F:$F,MATCH(4792,'Projekt-Budget-Übersicht'!$L:$L,0)),0)</f>
        <v>0</v>
      </c>
      <c r="S27" s="10">
        <v>330.82</v>
      </c>
      <c r="T27" s="4"/>
      <c r="U27" s="4"/>
    </row>
    <row r="28" spans="1:21" x14ac:dyDescent="0.25">
      <c r="A28" s="4" t="s">
        <v>4797</v>
      </c>
      <c r="B28" s="4" t="s">
        <v>5459</v>
      </c>
      <c r="C28" s="4" t="str">
        <f>IFERROR(INDEX('Projekt-Budget-Übersicht'!$C:$C,MATCH(4803,'Projekt-Budget-Übersicht'!$L:$L,0)),"")</f>
        <v/>
      </c>
      <c r="D28" s="4">
        <v>19</v>
      </c>
      <c r="E28" s="4">
        <v>18.25</v>
      </c>
      <c r="F28" s="4">
        <v>0.25</v>
      </c>
      <c r="G28" s="14">
        <v>96.05</v>
      </c>
      <c r="H28" s="5"/>
      <c r="I28" s="5">
        <f t="shared" si="0"/>
        <v>0</v>
      </c>
      <c r="J28" s="4"/>
      <c r="K28" s="5">
        <f>IF('H. Bektas'!J11="E. Bieler",'H. Bektas'!I11,0)</f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126.92307692307691</v>
      </c>
      <c r="M28" s="10">
        <f t="shared" si="1"/>
        <v>31.730769230769226</v>
      </c>
      <c r="N28" s="10">
        <f t="shared" si="2"/>
        <v>31.730769230769226</v>
      </c>
      <c r="O28" s="10">
        <f t="shared" si="3"/>
        <v>0</v>
      </c>
      <c r="P28" s="10">
        <f>'E. Bieler'!M28+'H. Bektas'!M11</f>
        <v>1047.1153846153845</v>
      </c>
      <c r="Q28" s="10">
        <v>126</v>
      </c>
      <c r="R28" s="10">
        <f>IFERROR(INDEX('Projekt-Budget-Übersicht'!$F:$F,MATCH(4803,'Projekt-Budget-Übersicht'!$L:$L,0)),0)</f>
        <v>0</v>
      </c>
      <c r="S28" s="10">
        <v>330.82</v>
      </c>
      <c r="T28" s="4"/>
      <c r="U28" s="4"/>
    </row>
    <row r="29" spans="1:21" x14ac:dyDescent="0.25">
      <c r="A29" s="4" t="s">
        <v>4818</v>
      </c>
      <c r="B29" s="4" t="s">
        <v>5459</v>
      </c>
      <c r="C29" s="4" t="str">
        <f>IFERROR(INDEX('Projekt-Budget-Übersicht'!$C:$C,MATCH(4820,'Projekt-Budget-Übersicht'!$L:$L,0)),"")</f>
        <v/>
      </c>
      <c r="D29" s="4">
        <v>2400</v>
      </c>
      <c r="E29" s="4">
        <v>18</v>
      </c>
      <c r="F29" s="4">
        <v>0.25</v>
      </c>
      <c r="G29" s="16">
        <v>0.75</v>
      </c>
      <c r="H29" s="5"/>
      <c r="I29" s="5">
        <f t="shared" si="0"/>
        <v>0</v>
      </c>
      <c r="J29" s="4"/>
      <c r="K29" s="5"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1.1503067484662579</v>
      </c>
      <c r="M29" s="10">
        <f t="shared" si="1"/>
        <v>0.28757668711656448</v>
      </c>
      <c r="N29" s="10">
        <f t="shared" si="2"/>
        <v>0.28757668711656448</v>
      </c>
      <c r="O29" s="10">
        <f t="shared" si="3"/>
        <v>0</v>
      </c>
      <c r="P29" s="10">
        <f>'E. Bieler'!M29</f>
        <v>0.28757668711656448</v>
      </c>
      <c r="Q29" s="10">
        <v>3275</v>
      </c>
      <c r="R29" s="10">
        <f>IFERROR(INDEX('Projekt-Budget-Übersicht'!$F:$F,MATCH(4820,'Projekt-Budget-Übersicht'!$L:$L,0)),0)</f>
        <v>0</v>
      </c>
      <c r="S29" s="10">
        <v>335.82</v>
      </c>
      <c r="T29" s="4"/>
      <c r="U29" s="4"/>
    </row>
    <row r="30" spans="1:21" x14ac:dyDescent="0.25">
      <c r="A30" s="4" t="s">
        <v>4821</v>
      </c>
      <c r="B30" s="4" t="s">
        <v>5555</v>
      </c>
      <c r="C30" s="4" t="str">
        <f>IFERROR(INDEX('Projekt-Budget-Übersicht'!$C:$C,MATCH(4825,'Projekt-Budget-Übersicht'!$L:$L,0)),"")</f>
        <v/>
      </c>
      <c r="D30" s="4">
        <v>5</v>
      </c>
      <c r="E30" s="4">
        <v>3</v>
      </c>
      <c r="F30" s="4">
        <v>0.5</v>
      </c>
      <c r="G30" s="16">
        <v>60</v>
      </c>
      <c r="H30" s="5"/>
      <c r="I30" s="5">
        <f t="shared" si="0"/>
        <v>0</v>
      </c>
      <c r="J30" s="4"/>
      <c r="K30" s="5">
        <f>IF('D. Brucker'!J11="E. Bieler",'D. Brucker'!I11,0)</f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IF($B$2="-",0,IFERROR(INDEX(IF($B$2="SV",'Projekt-Budget-Übersicht'!$I:$I,IF($B$2="CAD",'Projekt-Budget-Übersicht'!$J:$J,IF($B$2="ADM",'Projekt-Budget-Übersicht'!$K:$K,'Projekt-Budget-Übersicht'!$I:$I))),MATCH(4825,'Projekt-Budget-Übersicht'!$M:$M,0)),0))</f>
        <v>80</v>
      </c>
      <c r="M30" s="10">
        <f t="shared" si="1"/>
        <v>40</v>
      </c>
      <c r="N30" s="10">
        <f t="shared" si="2"/>
        <v>40</v>
      </c>
      <c r="O30" s="10">
        <f t="shared" si="3"/>
        <v>0</v>
      </c>
      <c r="P30" s="10">
        <f>'D. Brucker'!M11+'E. Bieler'!M30</f>
        <v>200</v>
      </c>
      <c r="Q30" s="10">
        <v>5</v>
      </c>
      <c r="R30" s="10">
        <f>IFERROR(INDEX('Projekt-Budget-Übersicht'!$F:$F,MATCH(4825,'Projekt-Budget-Übersicht'!$L:$L,0)),0)</f>
        <v>0</v>
      </c>
      <c r="S30" s="10">
        <v>26.65</v>
      </c>
      <c r="T30" s="4"/>
      <c r="U30" s="4"/>
    </row>
    <row r="31" spans="1:21" x14ac:dyDescent="0.25">
      <c r="A31" s="4" t="s">
        <v>4929</v>
      </c>
      <c r="B31" s="4" t="s">
        <v>5459</v>
      </c>
      <c r="C31" s="4" t="str">
        <f>IFERROR(INDEX('Projekt-Budget-Übersicht'!$C:$C,MATCH(4909,'Projekt-Budget-Übersicht'!$L:$L,0)),"")</f>
        <v/>
      </c>
      <c r="D31" s="4">
        <v>40</v>
      </c>
      <c r="E31" s="4">
        <v>26</v>
      </c>
      <c r="F31" s="4">
        <v>1</v>
      </c>
      <c r="G31" s="16">
        <v>65</v>
      </c>
      <c r="H31" s="5"/>
      <c r="I31" s="5">
        <f t="shared" si="0"/>
        <v>0</v>
      </c>
      <c r="J31" s="4"/>
      <c r="K31" s="5">
        <f>IF('D. Brucker'!J14="E. Bieler",'D. Brucker'!I14,0)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116.6666666666667</v>
      </c>
      <c r="M31" s="10">
        <f t="shared" si="1"/>
        <v>116.6666666666667</v>
      </c>
      <c r="N31" s="10">
        <f t="shared" si="2"/>
        <v>116.6666666666667</v>
      </c>
      <c r="O31" s="10">
        <f t="shared" si="3"/>
        <v>0</v>
      </c>
      <c r="P31" s="10">
        <f>'D. Brucker'!M14+'E. Bieler'!M31</f>
        <v>2916.6666666666674</v>
      </c>
      <c r="Q31" s="10">
        <v>210</v>
      </c>
      <c r="R31" s="10">
        <f>IFERROR(INDEX('Projekt-Budget-Übersicht'!$F:$F,MATCH(4909,'Projekt-Budget-Übersicht'!$L:$L,0)),0)</f>
        <v>0</v>
      </c>
      <c r="S31" s="10">
        <v>866.58</v>
      </c>
      <c r="T31" s="4"/>
      <c r="U31" s="4"/>
    </row>
    <row r="32" spans="1:21" x14ac:dyDescent="0.25">
      <c r="A32" s="4" t="s">
        <v>4951</v>
      </c>
      <c r="B32" s="4" t="s">
        <v>5486</v>
      </c>
      <c r="C32" s="4" t="str">
        <f>IFERROR(INDEX('Projekt-Budget-Übersicht'!$C:$C,MATCH(4927,'Projekt-Budget-Übersicht'!$L:$L,0)),"")</f>
        <v/>
      </c>
      <c r="D32" s="4">
        <v>26</v>
      </c>
      <c r="E32" s="4">
        <v>10.25</v>
      </c>
      <c r="F32" s="4">
        <v>0.5</v>
      </c>
      <c r="G32" s="16">
        <v>39.42</v>
      </c>
      <c r="H32" s="5"/>
      <c r="I32" s="5">
        <f t="shared" si="0"/>
        <v>0</v>
      </c>
      <c r="J32" s="4"/>
      <c r="K32" s="5">
        <f>IF('O. Haag BS-CAD'!J41="E. Bieler",'O. Haag BS-CAD'!I41,0)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IF($B$2="-",0,IFERROR(INDEX(IF($B$2="SV",'Projekt-Budget-Übersicht'!$I:$I,IF($B$2="CAD",'Projekt-Budget-Übersicht'!$J:$J,IF($B$2="ADM",'Projekt-Budget-Übersicht'!$K:$K,'Projekt-Budget-Übersicht'!$I:$I))),MATCH(4927,'Projekt-Budget-Übersicht'!$M:$M,0)),0))</f>
        <v>81.481481481481481</v>
      </c>
      <c r="M32" s="10">
        <f t="shared" si="1"/>
        <v>40.74074074074074</v>
      </c>
      <c r="N32" s="10">
        <f t="shared" si="2"/>
        <v>40.74074074074074</v>
      </c>
      <c r="O32" s="10">
        <f t="shared" si="3"/>
        <v>0</v>
      </c>
      <c r="P32" s="10">
        <f>'E. Bieler'!M32+'O. Haag BS-CAD'!M41</f>
        <v>101.85185185185185</v>
      </c>
      <c r="Q32" s="10">
        <v>27</v>
      </c>
      <c r="R32" s="10">
        <f>IFERROR(INDEX('Projekt-Budget-Übersicht'!$F:$F,MATCH(4927,'Projekt-Budget-Übersicht'!$L:$L,0)),0)</f>
        <v>0</v>
      </c>
      <c r="S32" s="10">
        <v>776.65</v>
      </c>
      <c r="T32" s="4"/>
      <c r="U32" s="4"/>
    </row>
    <row r="33" spans="1:21" x14ac:dyDescent="0.25">
      <c r="A33" s="4" t="s">
        <v>4958</v>
      </c>
      <c r="B33" s="4" t="s">
        <v>5459</v>
      </c>
      <c r="C33" s="4" t="str">
        <f>IFERROR(INDEX('Projekt-Budget-Übersicht'!$C:$C,MATCH(4932,'Projekt-Budget-Übersicht'!$L:$L,0)),"")</f>
        <v/>
      </c>
      <c r="D33" s="4">
        <v>16</v>
      </c>
      <c r="E33" s="4">
        <v>15.25</v>
      </c>
      <c r="F33" s="4">
        <v>0.25</v>
      </c>
      <c r="G33" s="14">
        <v>95.31</v>
      </c>
      <c r="H33" s="5"/>
      <c r="I33" s="5">
        <f t="shared" si="0"/>
        <v>0</v>
      </c>
      <c r="J33" s="4"/>
      <c r="K33" s="5">
        <f>IF('H. Bektas'!J16="E. Bieler",'H. Bektas'!I16,0)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127.27272727272729</v>
      </c>
      <c r="M33" s="10">
        <f t="shared" si="1"/>
        <v>31.818181818181824</v>
      </c>
      <c r="N33" s="10">
        <f t="shared" si="2"/>
        <v>31.818181818181824</v>
      </c>
      <c r="O33" s="10">
        <f t="shared" si="3"/>
        <v>0</v>
      </c>
      <c r="P33" s="10">
        <f>'E. Bieler'!M33+'H. Bektas'!M16</f>
        <v>922.72727272727298</v>
      </c>
      <c r="Q33" s="10">
        <v>73</v>
      </c>
      <c r="R33" s="10">
        <f>IFERROR(INDEX('Projekt-Budget-Übersicht'!$F:$F,MATCH(4932,'Projekt-Budget-Übersicht'!$L:$L,0)),0)</f>
        <v>0</v>
      </c>
      <c r="S33" s="10">
        <v>315.82</v>
      </c>
      <c r="T33" s="4"/>
      <c r="U33" s="4"/>
    </row>
    <row r="34" spans="1:21" x14ac:dyDescent="0.25">
      <c r="A34" s="4" t="s">
        <v>4980</v>
      </c>
      <c r="B34" s="4" t="s">
        <v>5487</v>
      </c>
      <c r="C34" s="4" t="str">
        <f>IFERROR(INDEX('Projekt-Budget-Übersicht'!$C:$C,MATCH(4962,'Projekt-Budget-Übersicht'!$L:$L,0)),"")</f>
        <v/>
      </c>
      <c r="D34" s="4">
        <v>26</v>
      </c>
      <c r="E34" s="4">
        <v>29</v>
      </c>
      <c r="F34" s="4">
        <v>0.5</v>
      </c>
      <c r="G34" s="15">
        <v>111.54</v>
      </c>
      <c r="H34" s="5"/>
      <c r="I34" s="5">
        <f t="shared" si="0"/>
        <v>0</v>
      </c>
      <c r="J34" s="4"/>
      <c r="K34" s="5">
        <f>IF('M. Bandlofsky'!J14="E. Bieler",'M. Bandlofsky'!I14,0)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34" s="10">
        <f t="shared" si="1"/>
        <v>0</v>
      </c>
      <c r="N34" s="10">
        <f t="shared" si="2"/>
        <v>0</v>
      </c>
      <c r="O34" s="10">
        <f t="shared" si="3"/>
        <v>0</v>
      </c>
      <c r="P34" s="10">
        <f>'E. Bieler'!M34+'M. Bandlofsky'!M14</f>
        <v>0</v>
      </c>
      <c r="Q34" s="10">
        <v>178</v>
      </c>
      <c r="R34" s="10">
        <f>IFERROR(INDEX('Projekt-Budget-Übersicht'!$F:$F,MATCH(4962,'Projekt-Budget-Übersicht'!$L:$L,0)),0)</f>
        <v>0</v>
      </c>
      <c r="S34" s="10">
        <v>606.65</v>
      </c>
      <c r="T34" s="4"/>
      <c r="U34" s="4"/>
    </row>
    <row r="35" spans="1:21" x14ac:dyDescent="0.25">
      <c r="A35" s="4" t="s">
        <v>5033</v>
      </c>
      <c r="B35" s="4" t="s">
        <v>5459</v>
      </c>
      <c r="C35" s="4" t="str">
        <f>IFERROR(INDEX('Projekt-Budget-Übersicht'!$C:$C,MATCH(5015,'Projekt-Budget-Übersicht'!$L:$L,0)),"")</f>
        <v/>
      </c>
      <c r="D35" s="4">
        <v>17</v>
      </c>
      <c r="E35" s="4">
        <v>16.25</v>
      </c>
      <c r="F35" s="4">
        <v>0.25</v>
      </c>
      <c r="G35" s="14">
        <v>95.59</v>
      </c>
      <c r="H35" s="5"/>
      <c r="I35" s="5">
        <f t="shared" si="0"/>
        <v>0</v>
      </c>
      <c r="J35" s="4"/>
      <c r="K35" s="5">
        <f>IF('H. Bektas'!J17="E. Bieler",'H. Bektas'!I17,0)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118.1818181818182</v>
      </c>
      <c r="M35" s="10">
        <f t="shared" si="1"/>
        <v>29.54545454545455</v>
      </c>
      <c r="N35" s="10">
        <f t="shared" si="2"/>
        <v>29.54545454545455</v>
      </c>
      <c r="O35" s="10">
        <f t="shared" si="3"/>
        <v>0</v>
      </c>
      <c r="P35" s="10">
        <f>'E. Bieler'!M35+'H. Bektas'!M17</f>
        <v>1920.4545454545457</v>
      </c>
      <c r="Q35" s="10">
        <v>22</v>
      </c>
      <c r="R35" s="10">
        <f>IFERROR(INDEX('Projekt-Budget-Übersicht'!$F:$F,MATCH(5015,'Projekt-Budget-Übersicht'!$L:$L,0)),0)</f>
        <v>0</v>
      </c>
      <c r="S35" s="10">
        <v>248.32</v>
      </c>
      <c r="T35" s="4"/>
      <c r="U35" s="4"/>
    </row>
    <row r="36" spans="1:21" x14ac:dyDescent="0.25">
      <c r="A36" s="4" t="s">
        <v>5038</v>
      </c>
      <c r="B36" s="4" t="s">
        <v>5509</v>
      </c>
      <c r="C36" s="4" t="str">
        <f>IFERROR(INDEX('Projekt-Budget-Übersicht'!$C:$C,MATCH(5020,'Projekt-Budget-Übersicht'!$L:$L,0)),"")</f>
        <v/>
      </c>
      <c r="D36" s="4">
        <v>31</v>
      </c>
      <c r="E36" s="4">
        <v>35.25</v>
      </c>
      <c r="F36" s="4">
        <v>2</v>
      </c>
      <c r="G36" s="15">
        <v>113.71</v>
      </c>
      <c r="H36" s="5"/>
      <c r="I36" s="5">
        <f t="shared" si="0"/>
        <v>0</v>
      </c>
      <c r="J36" s="4"/>
      <c r="K36" s="5">
        <f>IF('J. Dorn'!J35="E. Bieler",'J. Dorn'!I35,0)+IF('M. Bandlofsky'!J16="E. Bieler",'M. Bandlofsky'!I16,0)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123.8095238095238</v>
      </c>
      <c r="M36" s="10">
        <f t="shared" si="1"/>
        <v>247.61904761904759</v>
      </c>
      <c r="N36" s="10">
        <f t="shared" si="2"/>
        <v>247.61904761904759</v>
      </c>
      <c r="O36" s="10">
        <f t="shared" si="3"/>
        <v>0</v>
      </c>
      <c r="P36" s="10">
        <f>'E. Bieler'!M36+'J. Dorn'!M35+'M. Bandlofsky'!M16</f>
        <v>4240.4761904761899</v>
      </c>
      <c r="Q36" s="10">
        <v>123</v>
      </c>
      <c r="R36" s="10">
        <f>IFERROR(INDEX('Projekt-Budget-Übersicht'!$F:$F,MATCH(5020,'Projekt-Budget-Übersicht'!$L:$L,0)),0)</f>
        <v>0</v>
      </c>
      <c r="S36" s="10">
        <v>756.58</v>
      </c>
      <c r="T36" s="4"/>
      <c r="U36" s="4"/>
    </row>
    <row r="37" spans="1:21" x14ac:dyDescent="0.25">
      <c r="A37" s="4" t="s">
        <v>5056</v>
      </c>
      <c r="B37" s="4" t="s">
        <v>5459</v>
      </c>
      <c r="C37" s="4" t="str">
        <f>IFERROR(INDEX('Projekt-Budget-Übersicht'!$C:$C,MATCH(5033,'Projekt-Budget-Übersicht'!$L:$L,0)),"")</f>
        <v/>
      </c>
      <c r="D37" s="4">
        <v>17</v>
      </c>
      <c r="E37" s="4">
        <v>13.5</v>
      </c>
      <c r="F37" s="4">
        <v>0.5</v>
      </c>
      <c r="G37" s="16">
        <v>79.41</v>
      </c>
      <c r="H37" s="5"/>
      <c r="I37" s="5">
        <f t="shared" si="0"/>
        <v>0</v>
      </c>
      <c r="J37" s="4"/>
      <c r="K37" s="5">
        <f>IF('H. Bektas'!J18="E. Bieler",'H. Bektas'!I18,0)</f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37" s="10">
        <f t="shared" si="1"/>
        <v>50.5</v>
      </c>
      <c r="N37" s="10">
        <f t="shared" si="2"/>
        <v>50.5</v>
      </c>
      <c r="O37" s="10">
        <f t="shared" si="3"/>
        <v>0</v>
      </c>
      <c r="P37" s="10">
        <f>'E. Bieler'!M37+'H. Bektas'!M18</f>
        <v>1363.5</v>
      </c>
      <c r="Q37" s="10">
        <v>20</v>
      </c>
      <c r="R37" s="10">
        <f>IFERROR(INDEX('Projekt-Budget-Übersicht'!$F:$F,MATCH(5033,'Projekt-Budget-Übersicht'!$L:$L,0)),0)</f>
        <v>0</v>
      </c>
      <c r="S37" s="10"/>
      <c r="T37" s="4"/>
      <c r="U37" s="4"/>
    </row>
    <row r="38" spans="1:21" x14ac:dyDescent="0.25">
      <c r="A38" s="4" t="s">
        <v>5103</v>
      </c>
      <c r="B38" s="4" t="s">
        <v>5485</v>
      </c>
      <c r="C38" s="4" t="str">
        <f>IFERROR(INDEX('Projekt-Budget-Übersicht'!$C:$C,MATCH(5077,'Projekt-Budget-Übersicht'!$L:$L,0)),"")</f>
        <v/>
      </c>
      <c r="D38" s="4">
        <v>14</v>
      </c>
      <c r="E38" s="4">
        <v>15.5</v>
      </c>
      <c r="F38" s="4">
        <v>0.5</v>
      </c>
      <c r="G38" s="15">
        <v>110.71</v>
      </c>
      <c r="H38" s="5"/>
      <c r="I38" s="5">
        <f t="shared" si="0"/>
        <v>0</v>
      </c>
      <c r="J38" s="4"/>
      <c r="K38" s="5">
        <f>IF('A. Kokott'!J30="E. Bieler",'A. Kokott'!I30,0)+IF('M. Bandlofsky'!J17="E. Bieler",'M. Bandlofsky'!I17,0)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129.41176470588229</v>
      </c>
      <c r="M38" s="10">
        <f t="shared" si="1"/>
        <v>64.705882352941146</v>
      </c>
      <c r="N38" s="10">
        <f t="shared" si="2"/>
        <v>64.705882352941146</v>
      </c>
      <c r="O38" s="10">
        <f t="shared" si="3"/>
        <v>0</v>
      </c>
      <c r="P38" s="10">
        <f>'A. Kokott'!M30+'E. Bieler'!M38+'M. Bandlofsky'!M17</f>
        <v>2005.8823529411754</v>
      </c>
      <c r="Q38" s="10">
        <v>17</v>
      </c>
      <c r="R38" s="10">
        <f>IFERROR(INDEX('Projekt-Budget-Übersicht'!$F:$F,MATCH(5077,'Projekt-Budget-Übersicht'!$L:$L,0)),0)</f>
        <v>0</v>
      </c>
      <c r="S38" s="10">
        <v>99.15</v>
      </c>
      <c r="T38" s="4"/>
      <c r="U38" s="4"/>
    </row>
    <row r="39" spans="1:21" x14ac:dyDescent="0.25">
      <c r="A39" s="4" t="s">
        <v>5568</v>
      </c>
      <c r="B39" s="4" t="s">
        <v>5459</v>
      </c>
      <c r="C39" s="4" t="s">
        <v>50</v>
      </c>
      <c r="D39" s="4">
        <v>0</v>
      </c>
      <c r="E39" s="4">
        <v>0</v>
      </c>
      <c r="F39" s="4">
        <v>0.25</v>
      </c>
      <c r="G39" s="4">
        <v>0</v>
      </c>
      <c r="H39" s="5"/>
      <c r="I39" s="5">
        <f t="shared" si="0"/>
        <v>0</v>
      </c>
      <c r="J39" s="4"/>
      <c r="K39" s="5">
        <v>0</v>
      </c>
      <c r="L39" s="10">
        <f>IF($B$2="-",0,0)</f>
        <v>0</v>
      </c>
      <c r="M39" s="10">
        <f t="shared" si="1"/>
        <v>0</v>
      </c>
      <c r="N39" s="10">
        <f t="shared" si="2"/>
        <v>0</v>
      </c>
      <c r="O39" s="10">
        <f t="shared" si="3"/>
        <v>0</v>
      </c>
      <c r="P39" s="10">
        <f>'E. Bieler'!M39</f>
        <v>0</v>
      </c>
      <c r="Q39" s="10"/>
      <c r="R39" s="10">
        <f>0</f>
        <v>0</v>
      </c>
      <c r="S39" s="10"/>
      <c r="T39" s="4"/>
      <c r="U39" s="4"/>
    </row>
    <row r="40" spans="1:21" x14ac:dyDescent="0.25">
      <c r="A40" s="4" t="s">
        <v>5413</v>
      </c>
      <c r="B40" s="4" t="s">
        <v>5459</v>
      </c>
      <c r="C40" s="4" t="str">
        <f>IFERROR(INDEX('Projekt-Budget-Übersicht'!$C:$C,MATCH(5361,'Projekt-Budget-Übersicht'!$L:$L,0)),"")</f>
        <v/>
      </c>
      <c r="D40" s="4">
        <v>16</v>
      </c>
      <c r="E40" s="4">
        <v>8.25</v>
      </c>
      <c r="F40" s="4">
        <v>0.25</v>
      </c>
      <c r="G40" s="16">
        <v>51.56</v>
      </c>
      <c r="H40" s="5"/>
      <c r="I40" s="5">
        <f t="shared" si="0"/>
        <v>0</v>
      </c>
      <c r="J40" s="4"/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IF($B$2="-",0,IFERROR(INDEX(IF($B$2="SV",'Projekt-Budget-Übersicht'!$I:$I,IF($B$2="CAD",'Projekt-Budget-Übersicht'!$J:$J,IF($B$2="ADM",'Projekt-Budget-Übersicht'!$K:$K,'Projekt-Budget-Übersicht'!$I:$I))),MATCH(5361,'Projekt-Budget-Übersicht'!$M:$M,0)),0))</f>
        <v>117.39130434782609</v>
      </c>
      <c r="M40" s="10">
        <f t="shared" si="1"/>
        <v>29.347826086956523</v>
      </c>
      <c r="N40" s="10">
        <f t="shared" si="2"/>
        <v>29.347826086956523</v>
      </c>
      <c r="O40" s="10">
        <f t="shared" si="3"/>
        <v>0</v>
      </c>
      <c r="P40" s="10">
        <f>'E. Bieler'!M40</f>
        <v>29.347826086956523</v>
      </c>
      <c r="Q40" s="10">
        <v>23</v>
      </c>
      <c r="R40" s="10">
        <f>IFERROR(INDEX('Projekt-Budget-Übersicht'!$F:$F,MATCH(5361,'Projekt-Budget-Übersicht'!$L:$L,0)),0)</f>
        <v>0</v>
      </c>
      <c r="S40" s="10">
        <v>343.32</v>
      </c>
      <c r="T40" s="4"/>
      <c r="U40" s="4"/>
    </row>
    <row r="41" spans="1:21" x14ac:dyDescent="0.25">
      <c r="A41" s="4" t="s">
        <v>5446</v>
      </c>
      <c r="B41" s="4" t="s">
        <v>5569</v>
      </c>
      <c r="C41" s="4" t="str">
        <f>IFERROR(INDEX('Projekt-Budget-Übersicht'!$C:$C,MATCH(5386,'Projekt-Budget-Übersicht'!$L:$L,0)),"")</f>
        <v/>
      </c>
      <c r="D41" s="4">
        <v>0</v>
      </c>
      <c r="E41" s="4">
        <v>3.25</v>
      </c>
      <c r="F41" s="4">
        <v>0.25</v>
      </c>
      <c r="G41" s="4">
        <v>0</v>
      </c>
      <c r="H41" s="5"/>
      <c r="I41" s="5">
        <f t="shared" si="0"/>
        <v>0</v>
      </c>
      <c r="J41" s="4"/>
      <c r="K41" s="5">
        <f>IF('M. Bandlofsky CAD'!J7="E. Bieler",'M. Bandlofsky CAD'!I7,0)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41" s="10">
        <f t="shared" si="1"/>
        <v>0</v>
      </c>
      <c r="N41" s="10">
        <f t="shared" si="2"/>
        <v>0</v>
      </c>
      <c r="O41" s="10">
        <f t="shared" si="3"/>
        <v>0</v>
      </c>
      <c r="P41" s="10">
        <f>'E. Bieler'!M41+'M. Bandlofsky CAD'!M7</f>
        <v>0</v>
      </c>
      <c r="Q41" s="10"/>
      <c r="R41" s="10">
        <f>IFERROR(INDEX('Projekt-Budget-Übersicht'!$F:$F,MATCH(5386,'Projekt-Budget-Übersicht'!$L:$L,0)),0)</f>
        <v>0</v>
      </c>
      <c r="S41" s="10">
        <v>13.32</v>
      </c>
      <c r="T41" s="4"/>
      <c r="U41" s="4"/>
    </row>
    <row r="42" spans="1:21" x14ac:dyDescent="0.25">
      <c r="A42" s="3"/>
      <c r="B42" s="3" t="s">
        <v>5492</v>
      </c>
      <c r="C42" s="3"/>
      <c r="D42" s="3"/>
      <c r="E42" s="3"/>
      <c r="F42" s="6">
        <v>46.5</v>
      </c>
      <c r="G42" s="3"/>
      <c r="H42" s="3"/>
      <c r="I42" s="3"/>
      <c r="J42" s="3"/>
      <c r="K42" s="3"/>
      <c r="L42" s="3"/>
      <c r="M42" s="17">
        <f>SUM(M6:M41)</f>
        <v>2598.020887652116</v>
      </c>
      <c r="N42" s="17">
        <f>SUM(N6:N41)</f>
        <v>2598.020887652116</v>
      </c>
      <c r="O42" s="17">
        <f>SUM(O6:O41)</f>
        <v>0</v>
      </c>
      <c r="P42" s="17">
        <f>SUM(P6:P41)</f>
        <v>25294.662081410439</v>
      </c>
      <c r="Q42" s="3"/>
      <c r="R42" s="3"/>
      <c r="S42" s="3"/>
      <c r="T42" s="3"/>
      <c r="U42" s="3"/>
    </row>
    <row r="43" spans="1:21" x14ac:dyDescent="0.25">
      <c r="A43" s="3"/>
      <c r="B43" s="3" t="s">
        <v>4</v>
      </c>
      <c r="C43" s="3"/>
      <c r="D43" s="3"/>
      <c r="E43" s="3"/>
      <c r="F43" s="6">
        <f>G43+H43</f>
        <v>26.25</v>
      </c>
      <c r="G43" s="6">
        <v>26.25</v>
      </c>
      <c r="H43" s="6">
        <f>SUM(H8,H9,H10,H11,H12,H13,H14,H15,H16,H17,H18,H19,H20,H21,H22,H23,H24,H25,H26,H27,H28,H29,H30,H31,H32,H33,H34,H35,H36,H37,H38,H39,H40,H41)</f>
        <v>0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3"/>
      <c r="B44" s="3" t="s">
        <v>5</v>
      </c>
      <c r="C44" s="3"/>
      <c r="D44" s="3"/>
      <c r="E44" s="3"/>
      <c r="F44" s="6">
        <f>G44+H44</f>
        <v>1</v>
      </c>
      <c r="G44" s="6">
        <v>1</v>
      </c>
      <c r="H44" s="6">
        <f>SUM(H6,H7)</f>
        <v>0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x14ac:dyDescent="0.25">
      <c r="A45" s="3"/>
      <c r="B45" s="3" t="s">
        <v>5493</v>
      </c>
      <c r="C45" s="3"/>
      <c r="D45" s="3"/>
      <c r="E45" s="3"/>
      <c r="F45" s="6">
        <f>SUM(K6:K41)</f>
        <v>0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18"/>
      <c r="B46" s="18" t="s">
        <v>5494</v>
      </c>
      <c r="C46" s="18"/>
      <c r="D46" s="18"/>
      <c r="E46" s="18"/>
      <c r="F46" s="19">
        <f>F43+F44+F45</f>
        <v>27.25</v>
      </c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8" spans="1:21" ht="15.75" x14ac:dyDescent="0.25">
      <c r="A48" s="2" t="s">
        <v>5495</v>
      </c>
    </row>
    <row r="49" spans="1:21" x14ac:dyDescent="0.25">
      <c r="A49" s="3" t="s">
        <v>35</v>
      </c>
      <c r="B49" s="3" t="s">
        <v>5461</v>
      </c>
      <c r="C49" s="3" t="s">
        <v>37</v>
      </c>
      <c r="D49" s="3" t="s">
        <v>5462</v>
      </c>
      <c r="E49" s="3" t="s">
        <v>5463</v>
      </c>
      <c r="F49" s="3" t="s">
        <v>5496</v>
      </c>
      <c r="G49" s="3" t="s">
        <v>5465</v>
      </c>
      <c r="H49" s="3" t="s">
        <v>5466</v>
      </c>
      <c r="I49" s="3" t="s">
        <v>5467</v>
      </c>
      <c r="J49" s="3" t="s">
        <v>5468</v>
      </c>
      <c r="K49" s="3" t="s">
        <v>5469</v>
      </c>
      <c r="L49" s="3" t="s">
        <v>5470</v>
      </c>
      <c r="M49" s="3" t="s">
        <v>5471</v>
      </c>
      <c r="N49" s="3" t="s">
        <v>5472</v>
      </c>
      <c r="O49" s="3" t="s">
        <v>5473</v>
      </c>
      <c r="P49" s="3" t="s">
        <v>5474</v>
      </c>
      <c r="Q49" s="3" t="s">
        <v>5475</v>
      </c>
      <c r="R49" s="3" t="s">
        <v>5476</v>
      </c>
      <c r="S49" s="3" t="s">
        <v>5477</v>
      </c>
      <c r="T49" s="3" t="s">
        <v>5478</v>
      </c>
      <c r="U49" s="3" t="s">
        <v>5479</v>
      </c>
    </row>
    <row r="50" spans="1:21" x14ac:dyDescent="0.25">
      <c r="A50" s="21" t="s">
        <v>1377</v>
      </c>
      <c r="B50" s="4" t="s">
        <v>5536</v>
      </c>
      <c r="C50" s="4" t="str">
        <f>IFERROR(INDEX('Projekt-Budget-Übersicht'!$C:$C,MATCH(1491,'Projekt-Budget-Übersicht'!$L:$L,0)),"")</f>
        <v/>
      </c>
      <c r="D50" s="4">
        <v>307.5</v>
      </c>
      <c r="E50" s="4">
        <v>390.25</v>
      </c>
      <c r="F50" s="4">
        <v>2</v>
      </c>
      <c r="G50" s="15">
        <v>126.91</v>
      </c>
      <c r="H50" s="5"/>
      <c r="I50" s="5">
        <f>IF(H50=0,0,F50-H50)</f>
        <v>0</v>
      </c>
      <c r="J50" s="4"/>
      <c r="K50" s="5">
        <f>IF('C. Trapp SV'!J35="E. Bieler",'C. Trapp SV'!I35,0)+IF('M. Bandlofsky'!J31="E. Bieler",'M. Bandlofsky'!I31,0)</f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0" s="10">
        <f>IF($B$2="-",0,IF(C50="Pauschale",IF(OR(R50=0,N(D50)=0),0,MAX(0,MIN(R50*((N(F50)+N(K50))/N(D50)),R50-R50*(N(E50)/N(D50))))),L50*(N(F50)+N(K50))))</f>
        <v>0</v>
      </c>
      <c r="N50" s="10">
        <f>IF($B$2="-",0,IF(C50="Pauschale",IF(OR(R50=0,N(D50)=0),0,R50*((N(F50)+N(K50))/N(D50))),L50*(N(F50)+N(K50))))</f>
        <v>0</v>
      </c>
      <c r="O50" s="10">
        <f>N50-M50</f>
        <v>0</v>
      </c>
      <c r="P50" s="10">
        <f>'C. Trapp SV'!M35+'E. Bieler'!M50+'M. Bandlofsky'!M31</f>
        <v>0</v>
      </c>
      <c r="Q50" s="10">
        <v>652.5</v>
      </c>
      <c r="R50" s="10">
        <f>IFERROR(INDEX('Projekt-Budget-Übersicht'!$F:$F,MATCH(1491,'Projekt-Budget-Übersicht'!$L:$L,0)),0)</f>
        <v>0</v>
      </c>
      <c r="S50" s="10">
        <v>21224.71</v>
      </c>
      <c r="T50" s="4"/>
      <c r="U50" s="4"/>
    </row>
    <row r="51" spans="1:21" x14ac:dyDescent="0.25">
      <c r="A51" s="22"/>
      <c r="B51" s="4" t="s">
        <v>5540</v>
      </c>
      <c r="C51" s="4" t="str">
        <f>IFERROR(INDEX('Projekt-Budget-Übersicht'!$C:$C,MATCH(1494,'Projekt-Budget-Übersicht'!$L:$L,0)),"")</f>
        <v/>
      </c>
      <c r="D51" s="4">
        <v>610</v>
      </c>
      <c r="E51" s="4">
        <v>65.5</v>
      </c>
      <c r="F51" s="4">
        <v>5.75</v>
      </c>
      <c r="G51" s="16">
        <v>10.74</v>
      </c>
      <c r="H51" s="5"/>
      <c r="I51" s="5">
        <f>IF(H51=0,0,F51-H51)</f>
        <v>0</v>
      </c>
      <c r="J51" s="4"/>
      <c r="K51" s="5">
        <f>IF('C. Trapp SV'!J36="E. Bieler",'C. Trapp SV'!I36,0)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51" s="10">
        <f>IF($B$2="-",0,IF(C51="Pauschale",IF(OR(R51=0,N(D51)=0),0,MAX(0,MIN(R51*((N(F51)+N(K51))/N(D51)),R51-R51*(N(E51)/N(D51))))),L51*(N(F51)+N(K51))))</f>
        <v>0</v>
      </c>
      <c r="N51" s="10">
        <f>IF($B$2="-",0,IF(C51="Pauschale",IF(OR(R51=0,N(D51)=0),0,R51*((N(F51)+N(K51))/N(D51))),L51*(N(F51)+N(K51))))</f>
        <v>0</v>
      </c>
      <c r="O51" s="10">
        <f>N51-M51</f>
        <v>0</v>
      </c>
      <c r="P51" s="10">
        <f>'C. Trapp SV'!M36+'E. Bieler'!M51</f>
        <v>0</v>
      </c>
      <c r="Q51" s="10">
        <v>1516</v>
      </c>
      <c r="R51" s="10">
        <f>IFERROR(INDEX('Projekt-Budget-Übersicht'!$F:$F,MATCH(1494,'Projekt-Budget-Übersicht'!$L:$L,0)),0)</f>
        <v>0</v>
      </c>
      <c r="S51" s="10">
        <v>573.22</v>
      </c>
      <c r="T51" s="4"/>
      <c r="U51" s="4"/>
    </row>
    <row r="52" spans="1:21" x14ac:dyDescent="0.25">
      <c r="A52" s="4" t="s">
        <v>3070</v>
      </c>
      <c r="B52" s="4" t="s">
        <v>5536</v>
      </c>
      <c r="C52" s="4" t="str">
        <f>IFERROR(INDEX('Projekt-Budget-Übersicht'!$C:$C,MATCH(3321,'Projekt-Budget-Übersicht'!$L:$L,0)),"")</f>
        <v/>
      </c>
      <c r="D52" s="4">
        <v>144</v>
      </c>
      <c r="E52" s="4">
        <v>106.5</v>
      </c>
      <c r="F52" s="4">
        <v>2</v>
      </c>
      <c r="G52" s="16">
        <v>73.959999999999994</v>
      </c>
      <c r="H52" s="5"/>
      <c r="I52" s="5">
        <f>IF(H52=0,0,F52-H52)</f>
        <v>0</v>
      </c>
      <c r="J52" s="4"/>
      <c r="K52" s="5">
        <f>IF('C. Trapp SV'!J43="E. Bieler",'C. Trapp SV'!I43,0)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IF($B$2="-",0,IFERROR(INDEX(IF($B$2="SV",'Projekt-Budget-Übersicht'!$I:$I,IF($B$2="CAD",'Projekt-Budget-Übersicht'!$J:$J,IF($B$2="ADM",'Projekt-Budget-Übersicht'!$K:$K,'Projekt-Budget-Übersicht'!$I:$I))),MATCH(3321,'Projekt-Budget-Übersicht'!$M:$M,0)),0))</f>
        <v>0</v>
      </c>
      <c r="M52" s="10">
        <f>IF($B$2="-",0,IF(C52="Pauschale",IF(OR(R52=0,N(D52)=0),0,MAX(0,MIN(R52*((N(F52)+N(K52))/N(D52)),R52-R52*(N(E52)/N(D52))))),L52*(N(F52)+N(K52))))</f>
        <v>0</v>
      </c>
      <c r="N52" s="10">
        <f>IF($B$2="-",0,IF(C52="Pauschale",IF(OR(R52=0,N(D52)=0),0,R52*((N(F52)+N(K52))/N(D52))),L52*(N(F52)+N(K52))))</f>
        <v>0</v>
      </c>
      <c r="O52" s="10">
        <f>N52-M52</f>
        <v>0</v>
      </c>
      <c r="P52" s="10">
        <f>'C. Trapp SV'!M43+'E. Bieler'!M52</f>
        <v>0</v>
      </c>
      <c r="Q52" s="10">
        <v>200</v>
      </c>
      <c r="R52" s="10">
        <f>IFERROR(INDEX('Projekt-Budget-Übersicht'!$F:$F,MATCH(3321,'Projekt-Budget-Übersicht'!$L:$L,0)),0)</f>
        <v>0</v>
      </c>
      <c r="S52" s="10">
        <v>6588.59</v>
      </c>
      <c r="T52" s="4"/>
      <c r="U52" s="4"/>
    </row>
    <row r="53" spans="1:21" x14ac:dyDescent="0.25">
      <c r="A53" s="3"/>
      <c r="B53" s="3" t="s">
        <v>5492</v>
      </c>
      <c r="C53" s="3"/>
      <c r="D53" s="3"/>
      <c r="E53" s="3"/>
      <c r="F53" s="6">
        <v>9.75</v>
      </c>
      <c r="G53" s="3"/>
      <c r="H53" s="3"/>
      <c r="I53" s="3"/>
      <c r="J53" s="3"/>
      <c r="K53" s="3"/>
      <c r="L53" s="3"/>
      <c r="M53" s="17">
        <f>SUM(M50:M52)</f>
        <v>0</v>
      </c>
      <c r="N53" s="17">
        <f>SUM(N50:N52)</f>
        <v>0</v>
      </c>
      <c r="O53" s="17">
        <f>SUM(O50:O52)</f>
        <v>0</v>
      </c>
      <c r="P53" s="17">
        <f>SUM(P50:P52)</f>
        <v>0</v>
      </c>
      <c r="Q53" s="3"/>
      <c r="R53" s="3"/>
      <c r="S53" s="3"/>
      <c r="T53" s="3"/>
      <c r="U53" s="3"/>
    </row>
    <row r="54" spans="1:21" x14ac:dyDescent="0.25">
      <c r="A54" s="3"/>
      <c r="B54" s="3" t="s">
        <v>4</v>
      </c>
      <c r="C54" s="3"/>
      <c r="D54" s="3"/>
      <c r="E54" s="3"/>
      <c r="F54" s="6">
        <f>G54+H54</f>
        <v>7.75</v>
      </c>
      <c r="G54" s="6">
        <v>7.75</v>
      </c>
      <c r="H54" s="6">
        <f>SUM(H50,H51,H52)</f>
        <v>0</v>
      </c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1:21" x14ac:dyDescent="0.25">
      <c r="A55" s="3"/>
      <c r="B55" s="3" t="s">
        <v>5</v>
      </c>
      <c r="C55" s="3"/>
      <c r="D55" s="3"/>
      <c r="E55" s="3"/>
      <c r="F55" s="6">
        <v>0</v>
      </c>
      <c r="G55" s="6">
        <v>0</v>
      </c>
      <c r="H55" s="6">
        <v>0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1:21" x14ac:dyDescent="0.25">
      <c r="A56" s="3"/>
      <c r="B56" s="3" t="s">
        <v>5493</v>
      </c>
      <c r="C56" s="3"/>
      <c r="D56" s="3"/>
      <c r="E56" s="3"/>
      <c r="F56" s="6">
        <f>SUM(K50:K52)</f>
        <v>0</v>
      </c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1:21" x14ac:dyDescent="0.25">
      <c r="A57" s="18"/>
      <c r="B57" s="18" t="s">
        <v>5494</v>
      </c>
      <c r="C57" s="18"/>
      <c r="D57" s="18"/>
      <c r="E57" s="18"/>
      <c r="F57" s="19">
        <f>F54+F55+F56</f>
        <v>7.75</v>
      </c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</row>
    <row r="59" spans="1:21" ht="15.75" x14ac:dyDescent="0.25">
      <c r="A59" s="2" t="s">
        <v>5512</v>
      </c>
    </row>
    <row r="60" spans="1:21" x14ac:dyDescent="0.25">
      <c r="A60" s="3" t="s">
        <v>35</v>
      </c>
      <c r="B60" s="3" t="s">
        <v>5461</v>
      </c>
      <c r="C60" s="3" t="s">
        <v>37</v>
      </c>
      <c r="D60" s="3" t="s">
        <v>5462</v>
      </c>
      <c r="E60" s="3" t="s">
        <v>5463</v>
      </c>
      <c r="F60" s="3" t="s">
        <v>5513</v>
      </c>
      <c r="G60" s="3" t="s">
        <v>5465</v>
      </c>
      <c r="H60" s="3" t="s">
        <v>5466</v>
      </c>
      <c r="I60" s="3" t="s">
        <v>5467</v>
      </c>
      <c r="J60" s="3" t="s">
        <v>5468</v>
      </c>
      <c r="K60" s="3" t="s">
        <v>5469</v>
      </c>
      <c r="L60" s="3" t="s">
        <v>5470</v>
      </c>
      <c r="M60" s="3" t="s">
        <v>5471</v>
      </c>
      <c r="N60" s="3" t="s">
        <v>5472</v>
      </c>
      <c r="O60" s="3" t="s">
        <v>5473</v>
      </c>
      <c r="P60" s="3" t="s">
        <v>5474</v>
      </c>
      <c r="Q60" s="3" t="s">
        <v>5475</v>
      </c>
      <c r="R60" s="3" t="s">
        <v>5476</v>
      </c>
      <c r="S60" s="3" t="s">
        <v>5477</v>
      </c>
      <c r="T60" s="3" t="s">
        <v>5478</v>
      </c>
      <c r="U60" s="3" t="s">
        <v>5479</v>
      </c>
    </row>
    <row r="61" spans="1:21" x14ac:dyDescent="0.25">
      <c r="A61" s="21" t="s">
        <v>1377</v>
      </c>
      <c r="B61" s="4" t="s">
        <v>5570</v>
      </c>
      <c r="C61" s="4" t="str">
        <f>IFERROR(INDEX('Projekt-Budget-Übersicht'!$C:$C,MATCH(1489,'Projekt-Budget-Übersicht'!$L:$L,0)),"")</f>
        <v/>
      </c>
      <c r="D61" s="4">
        <v>24</v>
      </c>
      <c r="E61" s="4">
        <v>64.25</v>
      </c>
      <c r="F61" s="4">
        <v>1.5</v>
      </c>
      <c r="G61" s="15">
        <v>267.70999999999998</v>
      </c>
      <c r="H61" s="5"/>
      <c r="I61" s="5">
        <f>IF(H61=0,0,F61-H61)</f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IF($B$2="-",0,IFERROR(INDEX(IF($B$2="SV",'Projekt-Budget-Übersicht'!$I:$I,IF($B$2="CAD",'Projekt-Budget-Übersicht'!$J:$J,IF($B$2="ADM",'Projekt-Budget-Übersicht'!$K:$K,'Projekt-Budget-Übersicht'!$I:$I))),MATCH(1489,'Projekt-Budget-Übersicht'!$M:$M,0)),0))</f>
        <v>0</v>
      </c>
      <c r="M61" s="10">
        <f>IF($B$2="-",0,IF(C61="Pauschale",IF(OR(R61=0,N(D61)=0),0,MAX(0,MIN(R61*((N(F61)+N(K61))/N(D61)),R61-R61*(N(E61)/N(D61))))),L61*(N(F61)+N(K61))))</f>
        <v>0</v>
      </c>
      <c r="N61" s="10">
        <f>IF($B$2="-",0,IF(C61="Pauschale",IF(OR(R61=0,N(D61)=0),0,R61*((N(F61)+N(K61))/N(D61))),L61*(N(F61)+N(K61))))</f>
        <v>0</v>
      </c>
      <c r="O61" s="10">
        <f>N61-M61</f>
        <v>0</v>
      </c>
      <c r="P61" s="10">
        <f>'E. Bieler'!M61</f>
        <v>0</v>
      </c>
      <c r="Q61" s="10">
        <v>479.5</v>
      </c>
      <c r="R61" s="10">
        <f>IFERROR(INDEX('Projekt-Budget-Übersicht'!$F:$F,MATCH(1489,'Projekt-Budget-Übersicht'!$L:$L,0)),0)</f>
        <v>0</v>
      </c>
      <c r="S61" s="10">
        <v>17296.3</v>
      </c>
      <c r="T61" s="4"/>
      <c r="U61" s="4"/>
    </row>
    <row r="62" spans="1:21" x14ac:dyDescent="0.25">
      <c r="A62" s="22"/>
      <c r="B62" s="4" t="s">
        <v>5536</v>
      </c>
      <c r="C62" s="4" t="str">
        <f>IFERROR(INDEX('Projekt-Budget-Übersicht'!$C:$C,MATCH(1491,'Projekt-Budget-Übersicht'!$L:$L,0)),"")</f>
        <v/>
      </c>
      <c r="D62" s="4">
        <v>307.5</v>
      </c>
      <c r="E62" s="4">
        <v>398.25</v>
      </c>
      <c r="F62" s="4">
        <v>2</v>
      </c>
      <c r="G62" s="15">
        <v>129.51</v>
      </c>
      <c r="H62" s="5"/>
      <c r="I62" s="5">
        <f>IF(H62=0,0,F62-H62)</f>
        <v>0</v>
      </c>
      <c r="J62" s="4"/>
      <c r="K62" s="5">
        <f>IF('M. Bandlofsky'!J51="E. Bieler",'M. Bandlofsky'!I51,0)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62" s="10">
        <f>IF($B$2="-",0,IF(C62="Pauschale",IF(OR(R62=0,N(D62)=0),0,MAX(0,MIN(R62*((N(F62)+N(K62))/N(D62)),R62-R62*(N(E62)/N(D62))))),L62*(N(F62)+N(K62))))</f>
        <v>0</v>
      </c>
      <c r="N62" s="10">
        <f>IF($B$2="-",0,IF(C62="Pauschale",IF(OR(R62=0,N(D62)=0),0,R62*((N(F62)+N(K62))/N(D62))),L62*(N(F62)+N(K62))))</f>
        <v>0</v>
      </c>
      <c r="O62" s="10">
        <f>N62-M62</f>
        <v>0</v>
      </c>
      <c r="P62" s="10">
        <f>'E. Bieler'!M62+'M. Bandlofsky'!M51</f>
        <v>0</v>
      </c>
      <c r="Q62" s="10">
        <v>652.5</v>
      </c>
      <c r="R62" s="10">
        <f>IFERROR(INDEX('Projekt-Budget-Übersicht'!$F:$F,MATCH(1491,'Projekt-Budget-Übersicht'!$L:$L,0)),0)</f>
        <v>0</v>
      </c>
      <c r="S62" s="10">
        <v>21224.71</v>
      </c>
      <c r="T62" s="4"/>
      <c r="U62" s="4"/>
    </row>
    <row r="63" spans="1:21" x14ac:dyDescent="0.25">
      <c r="A63" s="3"/>
      <c r="B63" s="3" t="s">
        <v>5492</v>
      </c>
      <c r="C63" s="3"/>
      <c r="D63" s="3"/>
      <c r="E63" s="3"/>
      <c r="F63" s="6">
        <v>3.5</v>
      </c>
      <c r="G63" s="3"/>
      <c r="H63" s="3"/>
      <c r="I63" s="3"/>
      <c r="J63" s="3"/>
      <c r="K63" s="3"/>
      <c r="L63" s="3"/>
      <c r="M63" s="17">
        <f>SUM(M61:M62)</f>
        <v>0</v>
      </c>
      <c r="N63" s="17">
        <f>SUM(N61:N62)</f>
        <v>0</v>
      </c>
      <c r="O63" s="17">
        <f>SUM(O61:O62)</f>
        <v>0</v>
      </c>
      <c r="P63" s="17">
        <f>SUM(P61:P62)</f>
        <v>0</v>
      </c>
      <c r="Q63" s="3"/>
      <c r="R63" s="3"/>
      <c r="S63" s="3"/>
      <c r="T63" s="3"/>
      <c r="U63" s="3"/>
    </row>
    <row r="64" spans="1:21" x14ac:dyDescent="0.25">
      <c r="A64" s="3"/>
      <c r="B64" s="3" t="s">
        <v>4</v>
      </c>
      <c r="C64" s="3"/>
      <c r="D64" s="3"/>
      <c r="E64" s="3"/>
      <c r="F64" s="6">
        <f>G64+H64</f>
        <v>0</v>
      </c>
      <c r="G64" s="6">
        <v>0</v>
      </c>
      <c r="H64" s="6">
        <f>SUM(H61,H62)</f>
        <v>0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1:21" x14ac:dyDescent="0.25">
      <c r="A65" s="3"/>
      <c r="B65" s="3" t="s">
        <v>5</v>
      </c>
      <c r="C65" s="3"/>
      <c r="D65" s="3"/>
      <c r="E65" s="3"/>
      <c r="F65" s="6">
        <v>0</v>
      </c>
      <c r="G65" s="6">
        <v>0</v>
      </c>
      <c r="H65" s="6">
        <v>0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1:21" x14ac:dyDescent="0.25">
      <c r="A66" s="3"/>
      <c r="B66" s="3" t="s">
        <v>5493</v>
      </c>
      <c r="C66" s="3"/>
      <c r="D66" s="3"/>
      <c r="E66" s="3"/>
      <c r="F66" s="6">
        <f>SUM(K61:K62)</f>
        <v>0</v>
      </c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1:21" x14ac:dyDescent="0.25">
      <c r="A67" s="18"/>
      <c r="B67" s="18" t="s">
        <v>5494</v>
      </c>
      <c r="C67" s="18"/>
      <c r="D67" s="18"/>
      <c r="E67" s="18"/>
      <c r="F67" s="19">
        <f>F64+F65+F66</f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</row>
    <row r="69" spans="1:21" ht="15.75" x14ac:dyDescent="0.25">
      <c r="A69" s="2" t="s">
        <v>5524</v>
      </c>
    </row>
    <row r="70" spans="1:21" x14ac:dyDescent="0.25">
      <c r="A70" s="3" t="s">
        <v>2</v>
      </c>
      <c r="B70" s="3" t="s">
        <v>5525</v>
      </c>
      <c r="C70" s="3" t="s">
        <v>5526</v>
      </c>
      <c r="D70" s="3" t="s">
        <v>4</v>
      </c>
      <c r="E70" s="3" t="s">
        <v>5</v>
      </c>
      <c r="F70" s="3" t="s">
        <v>5527</v>
      </c>
      <c r="G70" s="3" t="s">
        <v>5528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1:21" x14ac:dyDescent="0.25">
      <c r="A71" s="4" t="s">
        <v>6</v>
      </c>
      <c r="B71" s="4" t="s">
        <v>17</v>
      </c>
      <c r="C71" s="4">
        <f>F42</f>
        <v>46.5</v>
      </c>
      <c r="D71" s="4">
        <f>F43</f>
        <v>26.25</v>
      </c>
      <c r="E71" s="4">
        <f>F44</f>
        <v>1</v>
      </c>
      <c r="F71" s="4">
        <f>F45</f>
        <v>0</v>
      </c>
      <c r="G71" s="4">
        <f>F46</f>
        <v>27.25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</row>
    <row r="72" spans="1:21" x14ac:dyDescent="0.25">
      <c r="A72" s="4" t="s">
        <v>7</v>
      </c>
      <c r="B72" s="4" t="s">
        <v>17</v>
      </c>
      <c r="C72" s="4">
        <f>F53</f>
        <v>9.75</v>
      </c>
      <c r="D72" s="4">
        <f>F54</f>
        <v>7.75</v>
      </c>
      <c r="E72" s="4">
        <f>F55</f>
        <v>0</v>
      </c>
      <c r="F72" s="4">
        <f>F56</f>
        <v>0</v>
      </c>
      <c r="G72" s="4">
        <f>F57</f>
        <v>7.75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1:21" x14ac:dyDescent="0.25">
      <c r="A73" s="4" t="s">
        <v>8</v>
      </c>
      <c r="B73" s="4" t="s">
        <v>17</v>
      </c>
      <c r="C73" s="4">
        <f>F63</f>
        <v>3.5</v>
      </c>
      <c r="D73" s="4">
        <f>F64</f>
        <v>0</v>
      </c>
      <c r="E73" s="4">
        <f>F65</f>
        <v>0</v>
      </c>
      <c r="F73" s="4">
        <f>F66</f>
        <v>0</v>
      </c>
      <c r="G73" s="4">
        <f>F67</f>
        <v>0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6" spans="1:21" ht="18.75" x14ac:dyDescent="0.3">
      <c r="A76" s="1" t="s">
        <v>5529</v>
      </c>
    </row>
    <row r="77" spans="1:21" x14ac:dyDescent="0.25">
      <c r="A77" s="3" t="s">
        <v>35</v>
      </c>
      <c r="B77" s="3" t="s">
        <v>5461</v>
      </c>
      <c r="C77" s="3" t="s">
        <v>37</v>
      </c>
      <c r="D77" s="3" t="s">
        <v>5462</v>
      </c>
      <c r="E77" s="3" t="s">
        <v>5463</v>
      </c>
      <c r="F77" s="3" t="s">
        <v>5530</v>
      </c>
      <c r="G77" s="3" t="s">
        <v>5465</v>
      </c>
      <c r="H77" s="3" t="s">
        <v>5466</v>
      </c>
      <c r="I77" s="3" t="s">
        <v>5467</v>
      </c>
      <c r="J77" s="3" t="s">
        <v>5468</v>
      </c>
      <c r="K77" s="3" t="s">
        <v>5469</v>
      </c>
      <c r="L77" s="3" t="s">
        <v>5470</v>
      </c>
      <c r="M77" s="3" t="s">
        <v>5471</v>
      </c>
      <c r="N77" s="3" t="s">
        <v>5472</v>
      </c>
      <c r="O77" s="3" t="s">
        <v>5473</v>
      </c>
      <c r="P77" s="3" t="s">
        <v>5474</v>
      </c>
      <c r="Q77" s="3" t="s">
        <v>5476</v>
      </c>
      <c r="R77" s="3" t="s">
        <v>5477</v>
      </c>
      <c r="S77" s="3"/>
      <c r="T77" s="3"/>
      <c r="U77" s="3"/>
    </row>
    <row r="78" spans="1:21" x14ac:dyDescent="0.25">
      <c r="A78" s="21" t="s">
        <v>61</v>
      </c>
      <c r="B78" s="4" t="s">
        <v>5480</v>
      </c>
      <c r="C78" s="4" t="str">
        <f>IFERROR(INDEX('Projekt-Budget-Übersicht'!$C:$C,MATCH(10,'Projekt-Budget-Übersicht'!$L:$L,0)),"")</f>
        <v/>
      </c>
      <c r="D78" s="4">
        <v>24</v>
      </c>
      <c r="E78" s="4">
        <v>10</v>
      </c>
      <c r="F78" s="5">
        <f>SUM(F6,I6,K6)</f>
        <v>10</v>
      </c>
      <c r="G78" s="16">
        <v>41.67</v>
      </c>
      <c r="H78" s="5">
        <f>SUM(H6)</f>
        <v>0</v>
      </c>
      <c r="I78" s="5">
        <f t="shared" ref="I78:I115" si="4">IF(H78=0,0,F78-H78)</f>
        <v>0</v>
      </c>
      <c r="J78" s="4" t="s">
        <v>5531</v>
      </c>
      <c r="K78" s="5">
        <f>SUM(K6)</f>
        <v>0</v>
      </c>
      <c r="L78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78" s="10">
        <f t="shared" ref="M78:M115" si="5">IF($B$2="-",0,IF(C78="Pauschale",IF(OR(Q78=0,N(D78)=0),0,MAX(0,MIN(Q78*((N(F78)+N(K78))/N(D78)),Q78-Q78*(N(E78)/N(D78))))),L78*(N(F78)+N(K78))))</f>
        <v>0</v>
      </c>
      <c r="N78" s="10">
        <f t="shared" ref="N78:N115" si="6">IF($B$2="-",0,IF(C78="Pauschale",IF(OR(Q78=0,N(D78)=0),0,Q78*((N(F78)+N(K78))/N(D78))),L78*(N(F78)+N(K78))))</f>
        <v>0</v>
      </c>
      <c r="O78" s="10">
        <f t="shared" ref="O78:O115" si="7">N78-M78</f>
        <v>0</v>
      </c>
      <c r="P78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78" s="10">
        <f>IFERROR(INDEX('Projekt-Budget-Übersicht'!$E:$E,MATCH(10,'Projekt-Budget-Übersicht'!$L:$L,0)),0)</f>
        <v>0</v>
      </c>
      <c r="R78" s="10">
        <v>68628.19</v>
      </c>
      <c r="S78" s="4"/>
      <c r="T78" s="4"/>
      <c r="U78" s="4"/>
    </row>
    <row r="79" spans="1:21" x14ac:dyDescent="0.25">
      <c r="A79" s="22"/>
      <c r="B79" s="4" t="s">
        <v>5481</v>
      </c>
      <c r="C79" s="4" t="str">
        <f>IFERROR(INDEX('Projekt-Budget-Übersicht'!$C:$C,MATCH(10,'Projekt-Budget-Übersicht'!$L:$L,0)),"")</f>
        <v/>
      </c>
      <c r="D79" s="4">
        <v>24</v>
      </c>
      <c r="E79" s="4">
        <v>1</v>
      </c>
      <c r="F79" s="5">
        <f>SUM(F7,I7,K7)</f>
        <v>1</v>
      </c>
      <c r="G79" s="16">
        <v>4.17</v>
      </c>
      <c r="H79" s="5">
        <f>SUM(H7)</f>
        <v>0</v>
      </c>
      <c r="I79" s="5">
        <f t="shared" si="4"/>
        <v>0</v>
      </c>
      <c r="J79" s="4" t="s">
        <v>5531</v>
      </c>
      <c r="K79" s="5">
        <f>SUM(K7)</f>
        <v>0</v>
      </c>
      <c r="L79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79" s="10">
        <f t="shared" si="5"/>
        <v>0</v>
      </c>
      <c r="N79" s="10">
        <f t="shared" si="6"/>
        <v>0</v>
      </c>
      <c r="O79" s="10">
        <f t="shared" si="7"/>
        <v>0</v>
      </c>
      <c r="P79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79" s="10">
        <f>IFERROR(INDEX('Projekt-Budget-Übersicht'!$E:$E,MATCH(10,'Projekt-Budget-Übersicht'!$L:$L,0)),0)</f>
        <v>0</v>
      </c>
      <c r="R79" s="10">
        <v>68628.19</v>
      </c>
      <c r="S79" s="4"/>
      <c r="T79" s="4"/>
      <c r="U79" s="4"/>
    </row>
    <row r="80" spans="1:21" x14ac:dyDescent="0.25">
      <c r="A80" s="4" t="s">
        <v>636</v>
      </c>
      <c r="B80" s="4" t="s">
        <v>5459</v>
      </c>
      <c r="C80" s="4" t="str">
        <f>IFERROR(INDEX('Projekt-Budget-Übersicht'!$C:$C,MATCH(641,'Projekt-Budget-Übersicht'!$L:$L,0)),"")</f>
        <v/>
      </c>
      <c r="D80" s="4">
        <v>20</v>
      </c>
      <c r="E80" s="4">
        <v>25.25</v>
      </c>
      <c r="F80" s="5">
        <f>SUM(F8,I8,K8)</f>
        <v>0.5</v>
      </c>
      <c r="G80" s="15">
        <v>126.25</v>
      </c>
      <c r="H80" s="5">
        <f>SUM(H8)</f>
        <v>0</v>
      </c>
      <c r="I80" s="5">
        <f t="shared" si="4"/>
        <v>0</v>
      </c>
      <c r="J80" s="4" t="s">
        <v>5531</v>
      </c>
      <c r="K80" s="5">
        <f>SUM(K8)</f>
        <v>0</v>
      </c>
      <c r="L80" s="10">
        <f>IF($B$2="-",0,IFERROR(INDEX(IF($B$2="SV",'Projekt-Budget-Übersicht'!$H:$H,IF($B$2="CAD",'Projekt-Budget-Übersicht'!$I:$I,IF($B$2="ADM",'Projekt-Budget-Übersicht'!$J:$J,'Projekt-Budget-Übersicht'!$H:$H))),MATCH(641,'Projekt-Budget-Übersicht'!$L:$L,0)),0))</f>
        <v>0</v>
      </c>
      <c r="M80" s="10">
        <f t="shared" si="5"/>
        <v>0</v>
      </c>
      <c r="N80" s="10">
        <f t="shared" si="6"/>
        <v>0</v>
      </c>
      <c r="O80" s="10">
        <f t="shared" si="7"/>
        <v>0</v>
      </c>
      <c r="P80" s="10">
        <f>'E. Bieler'!M80+'T. Trautmann'!M119</f>
        <v>0</v>
      </c>
      <c r="Q80" s="10">
        <f>IFERROR(INDEX('Projekt-Budget-Übersicht'!$E:$E,MATCH(641,'Projekt-Budget-Übersicht'!$L:$L,0)),0)</f>
        <v>0</v>
      </c>
      <c r="R80" s="10">
        <v>2546.65</v>
      </c>
      <c r="S80" s="4"/>
      <c r="T80" s="4"/>
      <c r="U80" s="4"/>
    </row>
    <row r="81" spans="1:21" x14ac:dyDescent="0.25">
      <c r="A81" s="4" t="s">
        <v>877</v>
      </c>
      <c r="B81" s="4" t="s">
        <v>5502</v>
      </c>
      <c r="C81" s="4" t="str">
        <f>IFERROR(INDEX('Projekt-Budget-Übersicht'!$C:$C,MATCH(898,'Projekt-Budget-Übersicht'!$L:$L,0)),"")</f>
        <v/>
      </c>
      <c r="D81" s="4">
        <v>20</v>
      </c>
      <c r="E81" s="4">
        <v>10.75</v>
      </c>
      <c r="F81" s="5">
        <f>SUM(F9,I9,K9)</f>
        <v>0.25</v>
      </c>
      <c r="G81" s="16">
        <v>53.75</v>
      </c>
      <c r="H81" s="5">
        <f>SUM(H9)</f>
        <v>0</v>
      </c>
      <c r="I81" s="5">
        <f t="shared" si="4"/>
        <v>0</v>
      </c>
      <c r="J81" s="4" t="s">
        <v>5531</v>
      </c>
      <c r="K81" s="5">
        <f>SUM(K9)</f>
        <v>0</v>
      </c>
      <c r="L81" s="10">
        <f>IF($B$2="-",0,IFERROR(INDEX(IF($B$2="SV",'Projekt-Budget-Übersicht'!$H:$H,IF($B$2="CAD",'Projekt-Budget-Übersicht'!$I:$I,IF($B$2="ADM",'Projekt-Budget-Übersicht'!$J:$J,'Projekt-Budget-Übersicht'!$H:$H))),MATCH(898,'Projekt-Budget-Übersicht'!$L:$L,0)),0))</f>
        <v>0</v>
      </c>
      <c r="M81" s="10">
        <f t="shared" si="5"/>
        <v>0</v>
      </c>
      <c r="N81" s="10">
        <f t="shared" si="6"/>
        <v>0</v>
      </c>
      <c r="O81" s="10">
        <f t="shared" si="7"/>
        <v>0</v>
      </c>
      <c r="P81" s="10">
        <f>'E. Bieler'!M81</f>
        <v>0</v>
      </c>
      <c r="Q81" s="10">
        <f>IFERROR(INDEX('Projekt-Budget-Übersicht'!$E:$E,MATCH(898,'Projekt-Budget-Übersicht'!$L:$L,0)),0)</f>
        <v>0</v>
      </c>
      <c r="R81" s="10">
        <v>538.32000000000005</v>
      </c>
      <c r="S81" s="4"/>
      <c r="T81" s="4"/>
      <c r="U81" s="4"/>
    </row>
    <row r="82" spans="1:21" x14ac:dyDescent="0.25">
      <c r="A82" s="4" t="s">
        <v>1302</v>
      </c>
      <c r="B82" s="4" t="s">
        <v>5563</v>
      </c>
      <c r="C82" s="4" t="str">
        <f>IFERROR(INDEX('Projekt-Budget-Übersicht'!$C:$C,MATCH(1412,'Projekt-Budget-Übersicht'!$L:$L,0)),"")</f>
        <v/>
      </c>
      <c r="D82" s="4">
        <v>295.5</v>
      </c>
      <c r="E82" s="4">
        <v>113</v>
      </c>
      <c r="F82" s="5">
        <f>SUM(F10,I10,K10)</f>
        <v>13.75</v>
      </c>
      <c r="G82" s="16">
        <v>38.24</v>
      </c>
      <c r="H82" s="5">
        <f>SUM(H10)</f>
        <v>0</v>
      </c>
      <c r="I82" s="5">
        <f t="shared" si="4"/>
        <v>0</v>
      </c>
      <c r="J82" s="4" t="s">
        <v>5531</v>
      </c>
      <c r="K82" s="5">
        <f>SUM(K10)</f>
        <v>0</v>
      </c>
      <c r="L82" s="10">
        <f>IF($B$2="-",0,IFERROR(INDEX(IF($B$2="SV",'Projekt-Budget-Übersicht'!$H:$H,IF($B$2="CAD",'Projekt-Budget-Übersicht'!$I:$I,IF($B$2="ADM",'Projekt-Budget-Übersicht'!$J:$J,'Projekt-Budget-Übersicht'!$H:$H))),MATCH(1412,'Projekt-Budget-Übersicht'!$L:$L,0)),0))</f>
        <v>0</v>
      </c>
      <c r="M82" s="10">
        <f t="shared" si="5"/>
        <v>0</v>
      </c>
      <c r="N82" s="10">
        <f t="shared" si="6"/>
        <v>0</v>
      </c>
      <c r="O82" s="10">
        <f t="shared" si="7"/>
        <v>0</v>
      </c>
      <c r="P82" s="10">
        <f>'E. Bieler'!M82+'J. Dorn'!M122+'P. Bergner'!M81</f>
        <v>0</v>
      </c>
      <c r="Q82" s="10">
        <f>IFERROR(INDEX('Projekt-Budget-Übersicht'!$E:$E,MATCH(1412,'Projekt-Budget-Übersicht'!$L:$L,0)),0)</f>
        <v>0</v>
      </c>
      <c r="R82" s="10">
        <v>9580.17</v>
      </c>
      <c r="S82" s="4"/>
      <c r="T82" s="4"/>
      <c r="U82" s="4"/>
    </row>
    <row r="83" spans="1:21" x14ac:dyDescent="0.25">
      <c r="A83" s="21" t="s">
        <v>1377</v>
      </c>
      <c r="B83" s="4" t="s">
        <v>5570</v>
      </c>
      <c r="C83" s="4" t="str">
        <f>IFERROR(INDEX('Projekt-Budget-Übersicht'!$C:$C,MATCH(1489,'Projekt-Budget-Übersicht'!$L:$L,0)),"")</f>
        <v/>
      </c>
      <c r="D83" s="4">
        <v>24</v>
      </c>
      <c r="E83" s="4">
        <v>64.25</v>
      </c>
      <c r="F83" s="5">
        <f>SUM(F61,I61,K61)</f>
        <v>1.5</v>
      </c>
      <c r="G83" s="15">
        <v>267.70999999999998</v>
      </c>
      <c r="H83" s="5">
        <f>SUM(H61)</f>
        <v>0</v>
      </c>
      <c r="I83" s="5">
        <f t="shared" si="4"/>
        <v>0</v>
      </c>
      <c r="J83" s="4" t="s">
        <v>5531</v>
      </c>
      <c r="K83" s="5">
        <f>SUM(K61)</f>
        <v>0</v>
      </c>
      <c r="L83" s="10">
        <f>IF($B$2="-",0,IFERROR(INDEX(IF($B$2="SV",'Projekt-Budget-Übersicht'!$H:$H,IF($B$2="CAD",'Projekt-Budget-Übersicht'!$I:$I,IF($B$2="ADM",'Projekt-Budget-Übersicht'!$J:$J,'Projekt-Budget-Übersicht'!$H:$H))),MATCH(1489,'Projekt-Budget-Übersicht'!$L:$L,0)),0))</f>
        <v>0</v>
      </c>
      <c r="M83" s="10">
        <f t="shared" si="5"/>
        <v>0</v>
      </c>
      <c r="N83" s="10">
        <f t="shared" si="6"/>
        <v>0</v>
      </c>
      <c r="O83" s="10">
        <f t="shared" si="7"/>
        <v>0</v>
      </c>
      <c r="P83" s="10">
        <f>'E. Bieler'!M83</f>
        <v>0</v>
      </c>
      <c r="Q83" s="10">
        <f>IFERROR(INDEX('Projekt-Budget-Übersicht'!$E:$E,MATCH(1489,'Projekt-Budget-Übersicht'!$L:$L,0)),0)</f>
        <v>0</v>
      </c>
      <c r="R83" s="10">
        <v>17296.3</v>
      </c>
      <c r="S83" s="4"/>
      <c r="T83" s="4"/>
      <c r="U83" s="4"/>
    </row>
    <row r="84" spans="1:21" x14ac:dyDescent="0.25">
      <c r="A84" s="23"/>
      <c r="B84" s="4" t="s">
        <v>5536</v>
      </c>
      <c r="C84" s="4" t="str">
        <f>IFERROR(INDEX('Projekt-Budget-Übersicht'!$C:$C,MATCH(1491,'Projekt-Budget-Übersicht'!$L:$L,0)),"")</f>
        <v/>
      </c>
      <c r="D84" s="4">
        <v>307.5</v>
      </c>
      <c r="E84" s="4">
        <v>398.25</v>
      </c>
      <c r="F84" s="5">
        <f>SUM(F11,F50,F62,I11,I50,I62,K11,K50,K62)</f>
        <v>4.5</v>
      </c>
      <c r="G84" s="15">
        <v>129.51</v>
      </c>
      <c r="H84" s="5">
        <f>SUM(H11,H50,H62)</f>
        <v>0</v>
      </c>
      <c r="I84" s="5">
        <f t="shared" si="4"/>
        <v>0</v>
      </c>
      <c r="J84" s="4" t="s">
        <v>5531</v>
      </c>
      <c r="K84" s="5">
        <f>SUM(K11,K50,K62)</f>
        <v>0</v>
      </c>
      <c r="L84" s="10">
        <f>IF($B$2="-",0,IFERROR(INDEX(IF($B$2="SV",'Projekt-Budget-Übersicht'!$H:$H,IF($B$2="CAD",'Projekt-Budget-Übersicht'!$I:$I,IF($B$2="ADM",'Projekt-Budget-Übersicht'!$J:$J,'Projekt-Budget-Übersicht'!$H:$H))),MATCH(1491,'Projekt-Budget-Übersicht'!$L:$L,0)),0))</f>
        <v>0</v>
      </c>
      <c r="M84" s="10">
        <f t="shared" si="5"/>
        <v>0</v>
      </c>
      <c r="N84" s="10">
        <f t="shared" si="6"/>
        <v>0</v>
      </c>
      <c r="O84" s="10">
        <f t="shared" si="7"/>
        <v>0</v>
      </c>
      <c r="P84" s="10">
        <f>'C. Trapp SV'!M94+'E. Bieler'!M84+'M. Bandlofsky'!M90</f>
        <v>0</v>
      </c>
      <c r="Q84" s="10">
        <f>IFERROR(INDEX('Projekt-Budget-Übersicht'!$E:$E,MATCH(1491,'Projekt-Budget-Übersicht'!$L:$L,0)),0)</f>
        <v>0</v>
      </c>
      <c r="R84" s="10">
        <v>21224.71</v>
      </c>
      <c r="S84" s="4"/>
      <c r="T84" s="4"/>
      <c r="U84" s="4"/>
    </row>
    <row r="85" spans="1:21" x14ac:dyDescent="0.25">
      <c r="A85" s="22"/>
      <c r="B85" s="4" t="s">
        <v>5540</v>
      </c>
      <c r="C85" s="4" t="str">
        <f>IFERROR(INDEX('Projekt-Budget-Übersicht'!$C:$C,MATCH(1494,'Projekt-Budget-Übersicht'!$L:$L,0)),"")</f>
        <v/>
      </c>
      <c r="D85" s="4">
        <v>610</v>
      </c>
      <c r="E85" s="4">
        <v>65.5</v>
      </c>
      <c r="F85" s="5">
        <f>SUM(F51,I51,K51)</f>
        <v>5.75</v>
      </c>
      <c r="G85" s="16">
        <v>10.74</v>
      </c>
      <c r="H85" s="5">
        <f>SUM(H51)</f>
        <v>0</v>
      </c>
      <c r="I85" s="5">
        <f t="shared" si="4"/>
        <v>0</v>
      </c>
      <c r="J85" s="4" t="s">
        <v>5531</v>
      </c>
      <c r="K85" s="5">
        <f>SUM(K51)</f>
        <v>0</v>
      </c>
      <c r="L85" s="10">
        <f>IF($B$2="-",0,IFERROR(INDEX(IF($B$2="SV",'Projekt-Budget-Übersicht'!$H:$H,IF($B$2="CAD",'Projekt-Budget-Übersicht'!$I:$I,IF($B$2="ADM",'Projekt-Budget-Übersicht'!$J:$J,'Projekt-Budget-Übersicht'!$H:$H))),MATCH(1494,'Projekt-Budget-Übersicht'!$L:$L,0)),0))</f>
        <v>0</v>
      </c>
      <c r="M85" s="10">
        <f t="shared" si="5"/>
        <v>0</v>
      </c>
      <c r="N85" s="10">
        <f t="shared" si="6"/>
        <v>0</v>
      </c>
      <c r="O85" s="10">
        <f t="shared" si="7"/>
        <v>0</v>
      </c>
      <c r="P85" s="10">
        <f>'C. Trapp SV'!M96+'E. Bieler'!M85</f>
        <v>0</v>
      </c>
      <c r="Q85" s="10">
        <f>IFERROR(INDEX('Projekt-Budget-Übersicht'!$E:$E,MATCH(1494,'Projekt-Budget-Übersicht'!$L:$L,0)),0)</f>
        <v>0</v>
      </c>
      <c r="R85" s="10">
        <v>573.22</v>
      </c>
      <c r="S85" s="4"/>
      <c r="T85" s="4"/>
      <c r="U85" s="4"/>
    </row>
    <row r="86" spans="1:21" x14ac:dyDescent="0.25">
      <c r="A86" s="4" t="s">
        <v>1406</v>
      </c>
      <c r="B86" s="4" t="s">
        <v>5540</v>
      </c>
      <c r="C86" s="4" t="str">
        <f>IFERROR(INDEX('Projekt-Budget-Übersicht'!$C:$C,MATCH(1545,'Projekt-Budget-Übersicht'!$L:$L,0)),"")</f>
        <v/>
      </c>
      <c r="D86" s="4">
        <v>42</v>
      </c>
      <c r="E86" s="4">
        <v>41</v>
      </c>
      <c r="F86" s="5">
        <f t="shared" ref="F86:F94" si="8">SUM(F12,I12,K12)</f>
        <v>0.5</v>
      </c>
      <c r="G86" s="14">
        <v>97.62</v>
      </c>
      <c r="H86" s="5">
        <f t="shared" ref="H86:H94" si="9">SUM(H12)</f>
        <v>0</v>
      </c>
      <c r="I86" s="5">
        <f t="shared" si="4"/>
        <v>0</v>
      </c>
      <c r="J86" s="4" t="s">
        <v>5531</v>
      </c>
      <c r="K86" s="5">
        <f t="shared" ref="K86:K94" si="10">SUM(K12)</f>
        <v>0</v>
      </c>
      <c r="L86" s="10">
        <f>IF($B$2="-",0,IFERROR(INDEX(IF($B$2="SV",'Projekt-Budget-Übersicht'!$H:$H,IF($B$2="CAD",'Projekt-Budget-Übersicht'!$I:$I,IF($B$2="ADM",'Projekt-Budget-Übersicht'!$J:$J,'Projekt-Budget-Übersicht'!$H:$H))),MATCH(1545,'Projekt-Budget-Übersicht'!$L:$L,0)),0))</f>
        <v>0</v>
      </c>
      <c r="M86" s="10">
        <f t="shared" si="5"/>
        <v>0</v>
      </c>
      <c r="N86" s="10">
        <f t="shared" si="6"/>
        <v>0</v>
      </c>
      <c r="O86" s="10">
        <f t="shared" si="7"/>
        <v>0</v>
      </c>
      <c r="P86" s="10">
        <f>'E. Bieler'!M86</f>
        <v>0</v>
      </c>
      <c r="Q86" s="10">
        <f>IFERROR(INDEX('Projekt-Budget-Übersicht'!$E:$E,MATCH(1545,'Projekt-Budget-Übersicht'!$L:$L,0)),0)</f>
        <v>0</v>
      </c>
      <c r="R86" s="10">
        <v>2002.9</v>
      </c>
      <c r="S86" s="4"/>
      <c r="T86" s="4"/>
      <c r="U86" s="4"/>
    </row>
    <row r="87" spans="1:21" x14ac:dyDescent="0.25">
      <c r="A87" s="4" t="s">
        <v>1825</v>
      </c>
      <c r="B87" s="4" t="s">
        <v>5544</v>
      </c>
      <c r="C87" s="4" t="str">
        <f>IFERROR(INDEX('Projekt-Budget-Übersicht'!$C:$C,MATCH(2066,'Projekt-Budget-Übersicht'!$L:$L,0)),"")</f>
        <v/>
      </c>
      <c r="D87" s="4">
        <v>110</v>
      </c>
      <c r="E87" s="4">
        <v>47.75</v>
      </c>
      <c r="F87" s="5">
        <f t="shared" si="8"/>
        <v>1</v>
      </c>
      <c r="G87" s="16">
        <v>43.41</v>
      </c>
      <c r="H87" s="5">
        <f t="shared" si="9"/>
        <v>0</v>
      </c>
      <c r="I87" s="5">
        <f t="shared" si="4"/>
        <v>0</v>
      </c>
      <c r="J87" s="4" t="s">
        <v>5531</v>
      </c>
      <c r="K87" s="5">
        <f t="shared" si="10"/>
        <v>0</v>
      </c>
      <c r="L87" s="10">
        <f>IF($B$2="-",0,IFERROR(INDEX(IF($B$2="SV",'Projekt-Budget-Übersicht'!$H:$H,IF($B$2="CAD",'Projekt-Budget-Übersicht'!$I:$I,IF($B$2="ADM",'Projekt-Budget-Übersicht'!$J:$J,'Projekt-Budget-Übersicht'!$H:$H))),MATCH(2066,'Projekt-Budget-Übersicht'!$L:$L,0)),0))</f>
        <v>0</v>
      </c>
      <c r="M87" s="10">
        <f t="shared" si="5"/>
        <v>0</v>
      </c>
      <c r="N87" s="10">
        <f t="shared" si="6"/>
        <v>0</v>
      </c>
      <c r="O87" s="10">
        <f t="shared" si="7"/>
        <v>0</v>
      </c>
      <c r="P87" s="10">
        <f>'E. Bieler'!M87+'J. Dorn'!M130</f>
        <v>0</v>
      </c>
      <c r="Q87" s="10">
        <f>IFERROR(INDEX('Projekt-Budget-Übersicht'!$E:$E,MATCH(2066,'Projekt-Budget-Übersicht'!$L:$L,0)),0)</f>
        <v>0</v>
      </c>
      <c r="R87" s="10">
        <v>4160.79</v>
      </c>
      <c r="S87" s="4"/>
      <c r="T87" s="4"/>
      <c r="U87" s="4"/>
    </row>
    <row r="88" spans="1:21" x14ac:dyDescent="0.25">
      <c r="A88" s="4" t="s">
        <v>2053</v>
      </c>
      <c r="B88" s="4" t="s">
        <v>5564</v>
      </c>
      <c r="C88" s="4" t="str">
        <f>IFERROR(INDEX('Projekt-Budget-Übersicht'!$C:$C,MATCH(2422,'Projekt-Budget-Übersicht'!$L:$L,0)),"")</f>
        <v/>
      </c>
      <c r="D88" s="4">
        <v>10</v>
      </c>
      <c r="E88" s="4">
        <v>15.5</v>
      </c>
      <c r="F88" s="5">
        <f t="shared" si="8"/>
        <v>1</v>
      </c>
      <c r="G88" s="15">
        <v>155</v>
      </c>
      <c r="H88" s="5">
        <f t="shared" si="9"/>
        <v>0</v>
      </c>
      <c r="I88" s="5">
        <f t="shared" si="4"/>
        <v>0</v>
      </c>
      <c r="J88" s="4" t="s">
        <v>5531</v>
      </c>
      <c r="K88" s="5">
        <f t="shared" si="10"/>
        <v>0</v>
      </c>
      <c r="L88" s="10">
        <f>IF($B$2="-",0,IFERROR(INDEX(IF($B$2="SV",'Projekt-Budget-Übersicht'!$H:$H,IF($B$2="CAD",'Projekt-Budget-Übersicht'!$I:$I,IF($B$2="ADM",'Projekt-Budget-Übersicht'!$J:$J,'Projekt-Budget-Übersicht'!$H:$H))),MATCH(2422,'Projekt-Budget-Übersicht'!$L:$L,0)),0))</f>
        <v>0</v>
      </c>
      <c r="M88" s="10">
        <f t="shared" si="5"/>
        <v>0</v>
      </c>
      <c r="N88" s="10">
        <f t="shared" si="6"/>
        <v>0</v>
      </c>
      <c r="O88" s="10">
        <f t="shared" si="7"/>
        <v>0</v>
      </c>
      <c r="P88" s="10">
        <f>'E. Bieler'!M88</f>
        <v>0</v>
      </c>
      <c r="Q88" s="10">
        <f>IFERROR(INDEX('Projekt-Budget-Übersicht'!$E:$E,MATCH(2422,'Projekt-Budget-Übersicht'!$L:$L,0)),0)</f>
        <v>0</v>
      </c>
      <c r="R88" s="10">
        <v>2093.29</v>
      </c>
      <c r="S88" s="4"/>
      <c r="T88" s="4"/>
      <c r="U88" s="4"/>
    </row>
    <row r="89" spans="1:21" x14ac:dyDescent="0.25">
      <c r="A89" s="4" t="s">
        <v>2055</v>
      </c>
      <c r="B89" s="4" t="s">
        <v>5459</v>
      </c>
      <c r="C89" s="4" t="str">
        <f>IFERROR(INDEX('Projekt-Budget-Übersicht'!$C:$C,MATCH(2426,'Projekt-Budget-Übersicht'!$L:$L,0)),"")</f>
        <v/>
      </c>
      <c r="D89" s="4">
        <v>30</v>
      </c>
      <c r="E89" s="4">
        <v>19.5</v>
      </c>
      <c r="F89" s="5">
        <f t="shared" si="8"/>
        <v>1</v>
      </c>
      <c r="G89" s="16">
        <v>65</v>
      </c>
      <c r="H89" s="5">
        <f t="shared" si="9"/>
        <v>0</v>
      </c>
      <c r="I89" s="5">
        <f t="shared" si="4"/>
        <v>0</v>
      </c>
      <c r="J89" s="4" t="s">
        <v>5531</v>
      </c>
      <c r="K89" s="5">
        <f t="shared" si="10"/>
        <v>0</v>
      </c>
      <c r="L89" s="10">
        <f>IF($B$2="-",0,IFERROR(INDEX(IF($B$2="SV",'Projekt-Budget-Übersicht'!$H:$H,IF($B$2="CAD",'Projekt-Budget-Übersicht'!$I:$I,IF($B$2="ADM",'Projekt-Budget-Übersicht'!$J:$J,'Projekt-Budget-Übersicht'!$H:$H))),MATCH(2426,'Projekt-Budget-Übersicht'!$L:$L,0)),0))</f>
        <v>0</v>
      </c>
      <c r="M89" s="10">
        <f t="shared" si="5"/>
        <v>0</v>
      </c>
      <c r="N89" s="10">
        <f t="shared" si="6"/>
        <v>0</v>
      </c>
      <c r="O89" s="10">
        <f t="shared" si="7"/>
        <v>0</v>
      </c>
      <c r="P89" s="10">
        <f>'E. Bieler'!M89</f>
        <v>0</v>
      </c>
      <c r="Q89" s="10">
        <f>IFERROR(INDEX('Projekt-Budget-Übersicht'!$E:$E,MATCH(2426,'Projekt-Budget-Übersicht'!$L:$L,0)),0)</f>
        <v>0</v>
      </c>
      <c r="R89" s="10"/>
      <c r="S89" s="4"/>
      <c r="T89" s="4"/>
      <c r="U89" s="4"/>
    </row>
    <row r="90" spans="1:21" x14ac:dyDescent="0.25">
      <c r="A90" s="4" t="s">
        <v>2438</v>
      </c>
      <c r="B90" s="4" t="s">
        <v>5546</v>
      </c>
      <c r="C90" s="4" t="str">
        <f>IFERROR(INDEX('Projekt-Budget-Übersicht'!$C:$C,MATCH(2769,'Projekt-Budget-Übersicht'!$L:$L,0)),"")</f>
        <v/>
      </c>
      <c r="D90" s="4">
        <v>16</v>
      </c>
      <c r="E90" s="4">
        <v>16.25</v>
      </c>
      <c r="F90" s="5">
        <f t="shared" si="8"/>
        <v>0.25</v>
      </c>
      <c r="G90" s="15">
        <v>101.56</v>
      </c>
      <c r="H90" s="5">
        <f t="shared" si="9"/>
        <v>0</v>
      </c>
      <c r="I90" s="5">
        <f t="shared" si="4"/>
        <v>0</v>
      </c>
      <c r="J90" s="4" t="s">
        <v>5531</v>
      </c>
      <c r="K90" s="5">
        <f t="shared" si="10"/>
        <v>0</v>
      </c>
      <c r="L90" s="10">
        <f>IF($B$2="-",0,IFERROR(INDEX(IF($B$2="SV",'Projekt-Budget-Übersicht'!$H:$H,IF($B$2="CAD",'Projekt-Budget-Übersicht'!$I:$I,IF($B$2="ADM",'Projekt-Budget-Übersicht'!$J:$J,'Projekt-Budget-Übersicht'!$H:$H))),MATCH(2769,'Projekt-Budget-Übersicht'!$L:$L,0)),0))</f>
        <v>0</v>
      </c>
      <c r="M90" s="10">
        <f t="shared" si="5"/>
        <v>0</v>
      </c>
      <c r="N90" s="10">
        <f t="shared" si="6"/>
        <v>0</v>
      </c>
      <c r="O90" s="10">
        <f t="shared" si="7"/>
        <v>0</v>
      </c>
      <c r="P90" s="10">
        <f>'E. Bieler'!M90</f>
        <v>0</v>
      </c>
      <c r="Q90" s="10">
        <f>IFERROR(INDEX('Projekt-Budget-Übersicht'!$E:$E,MATCH(2769,'Projekt-Budget-Übersicht'!$L:$L,0)),0)</f>
        <v>0</v>
      </c>
      <c r="R90" s="10">
        <v>50.82</v>
      </c>
      <c r="S90" s="4"/>
      <c r="T90" s="4"/>
      <c r="U90" s="4"/>
    </row>
    <row r="91" spans="1:21" x14ac:dyDescent="0.25">
      <c r="A91" s="21" t="s">
        <v>2491</v>
      </c>
      <c r="B91" s="4" t="s">
        <v>5565</v>
      </c>
      <c r="C91" s="4" t="str">
        <f>IFERROR(INDEX('Projekt-Budget-Übersicht'!$C:$C,MATCH(2813,'Projekt-Budget-Übersicht'!$L:$L,0)),"")</f>
        <v/>
      </c>
      <c r="D91" s="4">
        <v>24</v>
      </c>
      <c r="E91" s="4">
        <v>18.25</v>
      </c>
      <c r="F91" s="5">
        <f t="shared" si="8"/>
        <v>3.5</v>
      </c>
      <c r="G91" s="16">
        <v>76.040000000000006</v>
      </c>
      <c r="H91" s="5">
        <f t="shared" si="9"/>
        <v>0</v>
      </c>
      <c r="I91" s="5">
        <f t="shared" si="4"/>
        <v>0</v>
      </c>
      <c r="J91" s="4" t="s">
        <v>5531</v>
      </c>
      <c r="K91" s="5">
        <f t="shared" si="10"/>
        <v>0</v>
      </c>
      <c r="L91" s="10">
        <f>IF($B$2="-",0,IFERROR(INDEX(IF($B$2="SV",'Projekt-Budget-Übersicht'!$H:$H,IF($B$2="CAD",'Projekt-Budget-Übersicht'!$I:$I,IF($B$2="ADM",'Projekt-Budget-Übersicht'!$J:$J,'Projekt-Budget-Übersicht'!$H:$H))),MATCH(2813,'Projekt-Budget-Übersicht'!$L:$L,0)),0))</f>
        <v>0</v>
      </c>
      <c r="M91" s="10">
        <f t="shared" si="5"/>
        <v>0</v>
      </c>
      <c r="N91" s="10">
        <f t="shared" si="6"/>
        <v>0</v>
      </c>
      <c r="O91" s="10">
        <f t="shared" si="7"/>
        <v>0</v>
      </c>
      <c r="P91" s="10">
        <f>'E. Bieler'!M91+'R. Böttiger'!M88</f>
        <v>0</v>
      </c>
      <c r="Q91" s="10">
        <f>IFERROR(INDEX('Projekt-Budget-Übersicht'!$E:$E,MATCH(2813,'Projekt-Budget-Übersicht'!$L:$L,0)),0)</f>
        <v>0</v>
      </c>
      <c r="R91" s="10">
        <v>479.02</v>
      </c>
      <c r="S91" s="4"/>
      <c r="T91" s="4"/>
      <c r="U91" s="4"/>
    </row>
    <row r="92" spans="1:21" x14ac:dyDescent="0.25">
      <c r="A92" s="22"/>
      <c r="B92" s="4" t="s">
        <v>5566</v>
      </c>
      <c r="C92" s="4" t="str">
        <f>IFERROR(INDEX('Projekt-Budget-Übersicht'!$C:$C,MATCH(2815,'Projekt-Budget-Übersicht'!$L:$L,0)),"")</f>
        <v/>
      </c>
      <c r="D92" s="4">
        <v>16</v>
      </c>
      <c r="E92" s="4">
        <v>22.75</v>
      </c>
      <c r="F92" s="5">
        <f t="shared" si="8"/>
        <v>1</v>
      </c>
      <c r="G92" s="15">
        <v>142.19</v>
      </c>
      <c r="H92" s="5">
        <f t="shared" si="9"/>
        <v>0</v>
      </c>
      <c r="I92" s="5">
        <f t="shared" si="4"/>
        <v>0</v>
      </c>
      <c r="J92" s="4" t="s">
        <v>5531</v>
      </c>
      <c r="K92" s="5">
        <f t="shared" si="10"/>
        <v>0</v>
      </c>
      <c r="L92" s="10">
        <f>IF($B$2="-",0,IFERROR(INDEX(IF($B$2="SV",'Projekt-Budget-Übersicht'!$H:$H,IF($B$2="CAD",'Projekt-Budget-Übersicht'!$I:$I,IF($B$2="ADM",'Projekt-Budget-Übersicht'!$J:$J,'Projekt-Budget-Übersicht'!$H:$H))),MATCH(2815,'Projekt-Budget-Übersicht'!$L:$L,0)),0))</f>
        <v>0</v>
      </c>
      <c r="M92" s="10">
        <f t="shared" si="5"/>
        <v>0</v>
      </c>
      <c r="N92" s="10">
        <f t="shared" si="6"/>
        <v>0</v>
      </c>
      <c r="O92" s="10">
        <f t="shared" si="7"/>
        <v>0</v>
      </c>
      <c r="P92" s="10">
        <f>'E. Bieler'!M92+'J. Dorn'!M138+'R. Böttiger'!M89</f>
        <v>0</v>
      </c>
      <c r="Q92" s="10">
        <f>IFERROR(INDEX('Projekt-Budget-Übersicht'!$E:$E,MATCH(2815,'Projekt-Budget-Übersicht'!$L:$L,0)),0)</f>
        <v>0</v>
      </c>
      <c r="R92" s="10">
        <v>1013.98</v>
      </c>
      <c r="S92" s="4"/>
      <c r="T92" s="4"/>
      <c r="U92" s="4"/>
    </row>
    <row r="93" spans="1:21" x14ac:dyDescent="0.25">
      <c r="A93" s="4" t="s">
        <v>2495</v>
      </c>
      <c r="B93" s="4" t="s">
        <v>5544</v>
      </c>
      <c r="C93" s="4" t="str">
        <f>IFERROR(INDEX('Projekt-Budget-Übersicht'!$C:$C,MATCH(2818,'Projekt-Budget-Übersicht'!$L:$L,0)),"")</f>
        <v/>
      </c>
      <c r="D93" s="4">
        <v>16</v>
      </c>
      <c r="E93" s="4">
        <v>36.75</v>
      </c>
      <c r="F93" s="5">
        <f t="shared" si="8"/>
        <v>0.5</v>
      </c>
      <c r="G93" s="15">
        <v>229.69</v>
      </c>
      <c r="H93" s="5">
        <f t="shared" si="9"/>
        <v>0</v>
      </c>
      <c r="I93" s="5">
        <f t="shared" si="4"/>
        <v>0</v>
      </c>
      <c r="J93" s="4" t="s">
        <v>5531</v>
      </c>
      <c r="K93" s="5">
        <f t="shared" si="10"/>
        <v>0</v>
      </c>
      <c r="L93" s="10">
        <f>IF($B$2="-",0,IFERROR(INDEX(IF($B$2="SV",'Projekt-Budget-Übersicht'!$H:$H,IF($B$2="CAD",'Projekt-Budget-Übersicht'!$I:$I,IF($B$2="ADM",'Projekt-Budget-Übersicht'!$J:$J,'Projekt-Budget-Übersicht'!$H:$H))),MATCH(2818,'Projekt-Budget-Übersicht'!$L:$L,0)),0))</f>
        <v>0</v>
      </c>
      <c r="M93" s="10">
        <f t="shared" si="5"/>
        <v>0</v>
      </c>
      <c r="N93" s="10">
        <f t="shared" si="6"/>
        <v>0</v>
      </c>
      <c r="O93" s="10">
        <f t="shared" si="7"/>
        <v>0</v>
      </c>
      <c r="P93" s="10">
        <f>'E. Bieler'!M93+'J. Dorn'!M139+'R. Böttiger'!M92</f>
        <v>0</v>
      </c>
      <c r="Q93" s="10">
        <f>IFERROR(INDEX('Projekt-Budget-Übersicht'!$E:$E,MATCH(2818,'Projekt-Budget-Übersicht'!$L:$L,0)),0)</f>
        <v>0</v>
      </c>
      <c r="R93" s="10">
        <v>71.650000000000006</v>
      </c>
      <c r="S93" s="4"/>
      <c r="T93" s="4"/>
      <c r="U93" s="4"/>
    </row>
    <row r="94" spans="1:21" x14ac:dyDescent="0.25">
      <c r="A94" s="4" t="s">
        <v>2834</v>
      </c>
      <c r="B94" s="4" t="s">
        <v>5459</v>
      </c>
      <c r="C94" s="4" t="str">
        <f>IFERROR(INDEX('Projekt-Budget-Übersicht'!$C:$C,MATCH(3122,'Projekt-Budget-Übersicht'!$L:$L,0)),"")</f>
        <v/>
      </c>
      <c r="D94" s="4">
        <v>6</v>
      </c>
      <c r="E94" s="4">
        <v>48</v>
      </c>
      <c r="F94" s="5">
        <f t="shared" si="8"/>
        <v>0.25</v>
      </c>
      <c r="G94" s="15">
        <v>800</v>
      </c>
      <c r="H94" s="5">
        <f t="shared" si="9"/>
        <v>0</v>
      </c>
      <c r="I94" s="5">
        <f t="shared" si="4"/>
        <v>0</v>
      </c>
      <c r="J94" s="4" t="s">
        <v>5531</v>
      </c>
      <c r="K94" s="5">
        <f t="shared" si="10"/>
        <v>0</v>
      </c>
      <c r="L94" s="10">
        <f>IF($B$2="-",0,IFERROR(INDEX(IF($B$2="SV",'Projekt-Budget-Übersicht'!$H:$H,IF($B$2="CAD",'Projekt-Budget-Übersicht'!$I:$I,IF($B$2="ADM",'Projekt-Budget-Übersicht'!$J:$J,'Projekt-Budget-Übersicht'!$H:$H))),MATCH(3122,'Projekt-Budget-Übersicht'!$L:$L,0)),0))</f>
        <v>0</v>
      </c>
      <c r="M94" s="10">
        <f t="shared" si="5"/>
        <v>0</v>
      </c>
      <c r="N94" s="10">
        <f t="shared" si="6"/>
        <v>0</v>
      </c>
      <c r="O94" s="10">
        <f t="shared" si="7"/>
        <v>0</v>
      </c>
      <c r="P94" s="10">
        <f>'A. Kokott'!M165+'E. Bieler'!M94+'J. Dorchies'!M41+'J. Dorn'!M142+'O. Haag BS-CAD'!M178+'P. Bergner'!M88+'R. Böttiger'!M95</f>
        <v>0</v>
      </c>
      <c r="Q94" s="10">
        <f>IFERROR(INDEX('Projekt-Budget-Übersicht'!$E:$E,MATCH(3122,'Projekt-Budget-Übersicht'!$L:$L,0)),0)</f>
        <v>0</v>
      </c>
      <c r="R94" s="10">
        <v>2985.82</v>
      </c>
      <c r="S94" s="4"/>
      <c r="T94" s="4"/>
      <c r="U94" s="4"/>
    </row>
    <row r="95" spans="1:21" x14ac:dyDescent="0.25">
      <c r="A95" s="4" t="s">
        <v>3070</v>
      </c>
      <c r="B95" s="4" t="s">
        <v>5536</v>
      </c>
      <c r="C95" s="4" t="str">
        <f>IFERROR(INDEX('Projekt-Budget-Übersicht'!$C:$C,MATCH(3321,'Projekt-Budget-Übersicht'!$L:$L,0)),"")</f>
        <v/>
      </c>
      <c r="D95" s="4">
        <v>144</v>
      </c>
      <c r="E95" s="4">
        <v>106.5</v>
      </c>
      <c r="F95" s="5">
        <f>SUM(F52,I52,K52)</f>
        <v>2</v>
      </c>
      <c r="G95" s="16">
        <v>73.959999999999994</v>
      </c>
      <c r="H95" s="5">
        <f>SUM(H52)</f>
        <v>0</v>
      </c>
      <c r="I95" s="5">
        <f t="shared" si="4"/>
        <v>0</v>
      </c>
      <c r="J95" s="4" t="s">
        <v>5531</v>
      </c>
      <c r="K95" s="5">
        <f>SUM(K52)</f>
        <v>0</v>
      </c>
      <c r="L95" s="10">
        <f>IF($B$2="-",0,IFERROR(INDEX(IF($B$2="SV",'Projekt-Budget-Übersicht'!$H:$H,IF($B$2="CAD",'Projekt-Budget-Übersicht'!$I:$I,IF($B$2="ADM",'Projekt-Budget-Übersicht'!$J:$J,'Projekt-Budget-Übersicht'!$H:$H))),MATCH(3321,'Projekt-Budget-Übersicht'!$L:$L,0)),0))</f>
        <v>0</v>
      </c>
      <c r="M95" s="10">
        <f t="shared" si="5"/>
        <v>0</v>
      </c>
      <c r="N95" s="10">
        <f t="shared" si="6"/>
        <v>0</v>
      </c>
      <c r="O95" s="10">
        <f t="shared" si="7"/>
        <v>0</v>
      </c>
      <c r="P95" s="10">
        <f>'C. Trapp SV'!M104+'E. Bieler'!M95</f>
        <v>0</v>
      </c>
      <c r="Q95" s="10">
        <f>IFERROR(INDEX('Projekt-Budget-Übersicht'!$E:$E,MATCH(3321,'Projekt-Budget-Übersicht'!$L:$L,0)),0)</f>
        <v>0</v>
      </c>
      <c r="R95" s="10">
        <v>6588.59</v>
      </c>
      <c r="S95" s="4"/>
      <c r="T95" s="4"/>
      <c r="U95" s="4"/>
    </row>
    <row r="96" spans="1:21" x14ac:dyDescent="0.25">
      <c r="A96" s="4" t="s">
        <v>3909</v>
      </c>
      <c r="B96" s="4" t="s">
        <v>5509</v>
      </c>
      <c r="C96" s="4" t="str">
        <f>IFERROR(INDEX('Projekt-Budget-Übersicht'!$C:$C,MATCH(4055,'Projekt-Budget-Übersicht'!$L:$L,0)),"")</f>
        <v/>
      </c>
      <c r="D96" s="4">
        <v>63</v>
      </c>
      <c r="E96" s="4">
        <v>42</v>
      </c>
      <c r="F96" s="5">
        <f t="shared" ref="F96:F113" si="11">SUM(F21,I21,K21)</f>
        <v>1</v>
      </c>
      <c r="G96" s="16">
        <v>66.67</v>
      </c>
      <c r="H96" s="5">
        <f t="shared" ref="H96:H113" si="12">SUM(H21)</f>
        <v>0</v>
      </c>
      <c r="I96" s="5">
        <f t="shared" si="4"/>
        <v>0</v>
      </c>
      <c r="J96" s="4" t="s">
        <v>5531</v>
      </c>
      <c r="K96" s="5">
        <f t="shared" ref="K96:K113" si="13">SUM(K21)</f>
        <v>0</v>
      </c>
      <c r="L96" s="10">
        <f>IF($B$2="-",0,IFERROR(INDEX(IF($B$2="SV",'Projekt-Budget-Übersicht'!$H:$H,IF($B$2="CAD",'Projekt-Budget-Übersicht'!$I:$I,IF($B$2="ADM",'Projekt-Budget-Übersicht'!$J:$J,'Projekt-Budget-Übersicht'!$H:$H))),MATCH(4055,'Projekt-Budget-Übersicht'!$L:$L,0)),0))</f>
        <v>0</v>
      </c>
      <c r="M96" s="10">
        <f t="shared" si="5"/>
        <v>0</v>
      </c>
      <c r="N96" s="10">
        <f t="shared" si="6"/>
        <v>0</v>
      </c>
      <c r="O96" s="10">
        <f t="shared" si="7"/>
        <v>0</v>
      </c>
      <c r="P96" s="10">
        <f>'E. Bieler'!M96</f>
        <v>0</v>
      </c>
      <c r="Q96" s="10">
        <f>IFERROR(INDEX('Projekt-Budget-Übersicht'!$E:$E,MATCH(4055,'Projekt-Budget-Übersicht'!$L:$L,0)),0)</f>
        <v>0</v>
      </c>
      <c r="R96" s="10">
        <v>6353.29</v>
      </c>
      <c r="S96" s="4"/>
      <c r="T96" s="4"/>
      <c r="U96" s="4"/>
    </row>
    <row r="97" spans="1:21" x14ac:dyDescent="0.25">
      <c r="A97" s="4" t="s">
        <v>4278</v>
      </c>
      <c r="B97" s="4" t="s">
        <v>5459</v>
      </c>
      <c r="C97" s="4" t="str">
        <f>IFERROR(INDEX('Projekt-Budget-Übersicht'!$C:$C,MATCH(4368,'Projekt-Budget-Übersicht'!$L:$L,0)),"")</f>
        <v/>
      </c>
      <c r="D97" s="4">
        <v>13</v>
      </c>
      <c r="E97" s="4">
        <v>146.75</v>
      </c>
      <c r="F97" s="5">
        <f t="shared" si="11"/>
        <v>1</v>
      </c>
      <c r="G97" s="15">
        <v>1128.8499999999999</v>
      </c>
      <c r="H97" s="5">
        <f t="shared" si="12"/>
        <v>0</v>
      </c>
      <c r="I97" s="5">
        <f t="shared" si="4"/>
        <v>0</v>
      </c>
      <c r="J97" s="4" t="s">
        <v>5531</v>
      </c>
      <c r="K97" s="5">
        <f t="shared" si="13"/>
        <v>0</v>
      </c>
      <c r="L97" s="10">
        <f>IF($B$2="-",0,IFERROR(INDEX(IF($B$2="SV",'Projekt-Budget-Übersicht'!$H:$H,IF($B$2="CAD",'Projekt-Budget-Übersicht'!$I:$I,IF($B$2="ADM",'Projekt-Budget-Übersicht'!$J:$J,'Projekt-Budget-Übersicht'!$H:$H))),MATCH(4368,'Projekt-Budget-Übersicht'!$L:$L,0)),0))</f>
        <v>0</v>
      </c>
      <c r="M97" s="10">
        <f t="shared" si="5"/>
        <v>0</v>
      </c>
      <c r="N97" s="10">
        <f t="shared" si="6"/>
        <v>0</v>
      </c>
      <c r="O97" s="10">
        <f t="shared" si="7"/>
        <v>0</v>
      </c>
      <c r="P97" s="10">
        <f>'E. Bieler'!M97+'J. Dorchies'!M43+'J. Dorn'!M152+'R. Böttiger'!M97</f>
        <v>0</v>
      </c>
      <c r="Q97" s="10">
        <f>IFERROR(INDEX('Projekt-Budget-Übersicht'!$E:$E,MATCH(4368,'Projekt-Budget-Übersicht'!$L:$L,0)),0)</f>
        <v>0</v>
      </c>
      <c r="R97" s="10">
        <v>1720.79</v>
      </c>
      <c r="S97" s="4"/>
      <c r="T97" s="4"/>
      <c r="U97" s="4"/>
    </row>
    <row r="98" spans="1:21" x14ac:dyDescent="0.25">
      <c r="A98" s="4" t="s">
        <v>4298</v>
      </c>
      <c r="B98" s="4" t="s">
        <v>5459</v>
      </c>
      <c r="C98" s="4" t="str">
        <f>IFERROR(INDEX('Projekt-Budget-Übersicht'!$C:$C,MATCH(4386,'Projekt-Budget-Übersicht'!$L:$L,0)),"")</f>
        <v/>
      </c>
      <c r="D98" s="4">
        <v>46</v>
      </c>
      <c r="E98" s="4">
        <v>76.75</v>
      </c>
      <c r="F98" s="5">
        <f t="shared" si="11"/>
        <v>1</v>
      </c>
      <c r="G98" s="15">
        <v>166.85</v>
      </c>
      <c r="H98" s="5">
        <f t="shared" si="12"/>
        <v>0</v>
      </c>
      <c r="I98" s="5">
        <f t="shared" si="4"/>
        <v>0</v>
      </c>
      <c r="J98" s="4" t="s">
        <v>5531</v>
      </c>
      <c r="K98" s="5">
        <f t="shared" si="13"/>
        <v>0</v>
      </c>
      <c r="L98" s="10">
        <f>IF($B$2="-",0,IFERROR(INDEX(IF($B$2="SV",'Projekt-Budget-Übersicht'!$H:$H,IF($B$2="CAD",'Projekt-Budget-Übersicht'!$I:$I,IF($B$2="ADM",'Projekt-Budget-Übersicht'!$J:$J,'Projekt-Budget-Übersicht'!$H:$H))),MATCH(4386,'Projekt-Budget-Übersicht'!$L:$L,0)),0))</f>
        <v>0</v>
      </c>
      <c r="M98" s="10">
        <f t="shared" si="5"/>
        <v>0</v>
      </c>
      <c r="N98" s="10">
        <f t="shared" si="6"/>
        <v>0</v>
      </c>
      <c r="O98" s="10">
        <f t="shared" si="7"/>
        <v>0</v>
      </c>
      <c r="P98" s="10">
        <f>'E. Bieler'!M98</f>
        <v>0</v>
      </c>
      <c r="Q98" s="10">
        <f>IFERROR(INDEX('Projekt-Budget-Übersicht'!$E:$E,MATCH(4386,'Projekt-Budget-Übersicht'!$L:$L,0)),0)</f>
        <v>0</v>
      </c>
      <c r="R98" s="10">
        <v>7883.29</v>
      </c>
      <c r="S98" s="4"/>
      <c r="T98" s="4"/>
      <c r="U98" s="4"/>
    </row>
    <row r="99" spans="1:21" x14ac:dyDescent="0.25">
      <c r="A99" s="4" t="s">
        <v>4429</v>
      </c>
      <c r="B99" s="4" t="s">
        <v>5459</v>
      </c>
      <c r="C99" s="4" t="str">
        <f>IFERROR(INDEX('Projekt-Budget-Übersicht'!$C:$C,MATCH(4500,'Projekt-Budget-Übersicht'!$L:$L,0)),"")</f>
        <v/>
      </c>
      <c r="D99" s="4" t="s">
        <v>5531</v>
      </c>
      <c r="E99" s="4">
        <v>119</v>
      </c>
      <c r="F99" s="5">
        <f t="shared" si="11"/>
        <v>0.25</v>
      </c>
      <c r="G99" s="4" t="s">
        <v>5531</v>
      </c>
      <c r="H99" s="5">
        <f t="shared" si="12"/>
        <v>0</v>
      </c>
      <c r="I99" s="5">
        <f t="shared" si="4"/>
        <v>0</v>
      </c>
      <c r="J99" s="4" t="s">
        <v>5531</v>
      </c>
      <c r="K99" s="5">
        <f t="shared" si="13"/>
        <v>0</v>
      </c>
      <c r="L99" s="10">
        <f>IF($B$2="-",0,IFERROR(INDEX(IF($B$2="SV",'Projekt-Budget-Übersicht'!$H:$H,IF($B$2="CAD",'Projekt-Budget-Übersicht'!$I:$I,IF($B$2="ADM",'Projekt-Budget-Übersicht'!$J:$J,'Projekt-Budget-Übersicht'!$H:$H))),MATCH(4500,'Projekt-Budget-Übersicht'!$L:$L,0)),0))</f>
        <v>0</v>
      </c>
      <c r="M99" s="10">
        <f t="shared" si="5"/>
        <v>0</v>
      </c>
      <c r="N99" s="10">
        <f t="shared" si="6"/>
        <v>0</v>
      </c>
      <c r="O99" s="10">
        <f t="shared" si="7"/>
        <v>0</v>
      </c>
      <c r="P99" s="10">
        <f>'E. Bieler'!M99+'M. Bandlofsky'!M102</f>
        <v>0</v>
      </c>
      <c r="Q99" s="10">
        <f>IFERROR(INDEX('Projekt-Budget-Übersicht'!$E:$E,MATCH(4500,'Projekt-Budget-Übersicht'!$L:$L,0)),0)</f>
        <v>0</v>
      </c>
      <c r="R99" s="10"/>
      <c r="S99" s="4"/>
      <c r="T99" s="4"/>
      <c r="U99" s="4"/>
    </row>
    <row r="100" spans="1:21" x14ac:dyDescent="0.25">
      <c r="A100" s="4" t="s">
        <v>4489</v>
      </c>
      <c r="B100" s="4" t="s">
        <v>5567</v>
      </c>
      <c r="C100" s="4" t="str">
        <f>IFERROR(INDEX('Projekt-Budget-Übersicht'!$C:$C,MATCH(4552,'Projekt-Budget-Übersicht'!$L:$L,0)),"")</f>
        <v/>
      </c>
      <c r="D100" s="4">
        <v>10</v>
      </c>
      <c r="E100" s="4">
        <v>16.25</v>
      </c>
      <c r="F100" s="5">
        <f t="shared" si="11"/>
        <v>0.5</v>
      </c>
      <c r="G100" s="15">
        <v>162.5</v>
      </c>
      <c r="H100" s="5">
        <f t="shared" si="12"/>
        <v>0</v>
      </c>
      <c r="I100" s="5">
        <f t="shared" si="4"/>
        <v>0</v>
      </c>
      <c r="J100" s="4" t="s">
        <v>5531</v>
      </c>
      <c r="K100" s="5">
        <f t="shared" si="13"/>
        <v>0</v>
      </c>
      <c r="L100" s="10">
        <f>IF($B$2="-",0,IFERROR(INDEX(IF($B$2="SV",'Projekt-Budget-Übersicht'!$H:$H,IF($B$2="CAD",'Projekt-Budget-Übersicht'!$I:$I,IF($B$2="ADM",'Projekt-Budget-Übersicht'!$J:$J,'Projekt-Budget-Übersicht'!$H:$H))),MATCH(4552,'Projekt-Budget-Übersicht'!$L:$L,0)),0))</f>
        <v>0</v>
      </c>
      <c r="M100" s="10">
        <f t="shared" si="5"/>
        <v>0</v>
      </c>
      <c r="N100" s="10">
        <f t="shared" si="6"/>
        <v>0</v>
      </c>
      <c r="O100" s="10">
        <f t="shared" si="7"/>
        <v>0</v>
      </c>
      <c r="P100" s="10">
        <f>'E. Bieler'!M100+'H. Bektas'!M80+'J. Dorchies'!M45</f>
        <v>0</v>
      </c>
      <c r="Q100" s="10">
        <f>IFERROR(INDEX('Projekt-Budget-Übersicht'!$E:$E,MATCH(4552,'Projekt-Budget-Übersicht'!$L:$L,0)),0)</f>
        <v>0</v>
      </c>
      <c r="R100" s="10">
        <v>134.15</v>
      </c>
      <c r="S100" s="4"/>
      <c r="T100" s="4"/>
      <c r="U100" s="4"/>
    </row>
    <row r="101" spans="1:21" x14ac:dyDescent="0.25">
      <c r="A101" s="4" t="s">
        <v>4669</v>
      </c>
      <c r="B101" s="4" t="s">
        <v>5459</v>
      </c>
      <c r="C101" s="4" t="str">
        <f>IFERROR(INDEX('Projekt-Budget-Übersicht'!$C:$C,MATCH(4697,'Projekt-Budget-Übersicht'!$L:$L,0)),"")</f>
        <v/>
      </c>
      <c r="D101" s="4">
        <v>16</v>
      </c>
      <c r="E101" s="4">
        <v>14.25</v>
      </c>
      <c r="F101" s="5">
        <f t="shared" si="11"/>
        <v>0.25</v>
      </c>
      <c r="G101" s="16">
        <v>89.06</v>
      </c>
      <c r="H101" s="5">
        <f t="shared" si="12"/>
        <v>0</v>
      </c>
      <c r="I101" s="5">
        <f t="shared" si="4"/>
        <v>0</v>
      </c>
      <c r="J101" s="4" t="s">
        <v>5531</v>
      </c>
      <c r="K101" s="5">
        <f t="shared" si="13"/>
        <v>0</v>
      </c>
      <c r="L101" s="10">
        <f>IF($B$2="-",0,IFERROR(INDEX(IF($B$2="SV",'Projekt-Budget-Übersicht'!$H:$H,IF($B$2="CAD",'Projekt-Budget-Übersicht'!$I:$I,IF($B$2="ADM",'Projekt-Budget-Übersicht'!$J:$J,'Projekt-Budget-Übersicht'!$H:$H))),MATCH(4697,'Projekt-Budget-Übersicht'!$L:$L,0)),0))</f>
        <v>0</v>
      </c>
      <c r="M101" s="10">
        <f t="shared" si="5"/>
        <v>0</v>
      </c>
      <c r="N101" s="10">
        <f t="shared" si="6"/>
        <v>0</v>
      </c>
      <c r="O101" s="10">
        <f t="shared" si="7"/>
        <v>0</v>
      </c>
      <c r="P101" s="10">
        <f>'E. Bieler'!M101+'H. Bektas'!M81</f>
        <v>0</v>
      </c>
      <c r="Q101" s="10">
        <f>IFERROR(INDEX('Projekt-Budget-Übersicht'!$E:$E,MATCH(4697,'Projekt-Budget-Übersicht'!$L:$L,0)),0)</f>
        <v>0</v>
      </c>
      <c r="R101" s="10">
        <v>360.82</v>
      </c>
      <c r="S101" s="4"/>
      <c r="T101" s="4"/>
      <c r="U101" s="4"/>
    </row>
    <row r="102" spans="1:21" x14ac:dyDescent="0.25">
      <c r="A102" s="4" t="s">
        <v>4785</v>
      </c>
      <c r="B102" s="4" t="s">
        <v>5459</v>
      </c>
      <c r="C102" s="4" t="str">
        <f>IFERROR(INDEX('Projekt-Budget-Übersicht'!$C:$C,MATCH(4792,'Projekt-Budget-Übersicht'!$L:$L,0)),"")</f>
        <v/>
      </c>
      <c r="D102" s="4">
        <v>19</v>
      </c>
      <c r="E102" s="4">
        <v>20.75</v>
      </c>
      <c r="F102" s="5">
        <f t="shared" si="11"/>
        <v>0.25</v>
      </c>
      <c r="G102" s="15">
        <v>109.21</v>
      </c>
      <c r="H102" s="5">
        <f t="shared" si="12"/>
        <v>0</v>
      </c>
      <c r="I102" s="5">
        <f t="shared" si="4"/>
        <v>0</v>
      </c>
      <c r="J102" s="4" t="s">
        <v>5531</v>
      </c>
      <c r="K102" s="5">
        <f t="shared" si="13"/>
        <v>0</v>
      </c>
      <c r="L102" s="10">
        <f>IF($B$2="-",0,IFERROR(INDEX(IF($B$2="SV",'Projekt-Budget-Übersicht'!$H:$H,IF($B$2="CAD",'Projekt-Budget-Übersicht'!$I:$I,IF($B$2="ADM",'Projekt-Budget-Übersicht'!$J:$J,'Projekt-Budget-Übersicht'!$H:$H))),MATCH(4792,'Projekt-Budget-Übersicht'!$L:$L,0)),0))</f>
        <v>0</v>
      </c>
      <c r="M102" s="10">
        <f t="shared" si="5"/>
        <v>0</v>
      </c>
      <c r="N102" s="10">
        <f t="shared" si="6"/>
        <v>0</v>
      </c>
      <c r="O102" s="10">
        <f t="shared" si="7"/>
        <v>0</v>
      </c>
      <c r="P102" s="10">
        <f>'E. Bieler'!M102+'H. Bektas'!M82</f>
        <v>0</v>
      </c>
      <c r="Q102" s="10">
        <f>IFERROR(INDEX('Projekt-Budget-Übersicht'!$E:$E,MATCH(4792,'Projekt-Budget-Übersicht'!$L:$L,0)),0)</f>
        <v>0</v>
      </c>
      <c r="R102" s="10">
        <v>330.82</v>
      </c>
      <c r="S102" s="4"/>
      <c r="T102" s="4"/>
      <c r="U102" s="4"/>
    </row>
    <row r="103" spans="1:21" x14ac:dyDescent="0.25">
      <c r="A103" s="4" t="s">
        <v>4797</v>
      </c>
      <c r="B103" s="4" t="s">
        <v>5459</v>
      </c>
      <c r="C103" s="4" t="str">
        <f>IFERROR(INDEX('Projekt-Budget-Übersicht'!$C:$C,MATCH(4803,'Projekt-Budget-Übersicht'!$L:$L,0)),"")</f>
        <v/>
      </c>
      <c r="D103" s="4">
        <v>19</v>
      </c>
      <c r="E103" s="4">
        <v>18.25</v>
      </c>
      <c r="F103" s="5">
        <f t="shared" si="11"/>
        <v>0.25</v>
      </c>
      <c r="G103" s="14">
        <v>96.05</v>
      </c>
      <c r="H103" s="5">
        <f t="shared" si="12"/>
        <v>0</v>
      </c>
      <c r="I103" s="5">
        <f t="shared" si="4"/>
        <v>0</v>
      </c>
      <c r="J103" s="4" t="s">
        <v>5531</v>
      </c>
      <c r="K103" s="5">
        <f t="shared" si="13"/>
        <v>0</v>
      </c>
      <c r="L103" s="10">
        <f>IF($B$2="-",0,IFERROR(INDEX(IF($B$2="SV",'Projekt-Budget-Übersicht'!$H:$H,IF($B$2="CAD",'Projekt-Budget-Übersicht'!$I:$I,IF($B$2="ADM",'Projekt-Budget-Übersicht'!$J:$J,'Projekt-Budget-Übersicht'!$H:$H))),MATCH(4803,'Projekt-Budget-Übersicht'!$L:$L,0)),0))</f>
        <v>0</v>
      </c>
      <c r="M103" s="10">
        <f t="shared" si="5"/>
        <v>0</v>
      </c>
      <c r="N103" s="10">
        <f t="shared" si="6"/>
        <v>0</v>
      </c>
      <c r="O103" s="10">
        <f t="shared" si="7"/>
        <v>0</v>
      </c>
      <c r="P103" s="10">
        <f>'E. Bieler'!M103+'H. Bektas'!M83</f>
        <v>0</v>
      </c>
      <c r="Q103" s="10">
        <f>IFERROR(INDEX('Projekt-Budget-Übersicht'!$E:$E,MATCH(4803,'Projekt-Budget-Übersicht'!$L:$L,0)),0)</f>
        <v>0</v>
      </c>
      <c r="R103" s="10">
        <v>330.82</v>
      </c>
      <c r="S103" s="4"/>
      <c r="T103" s="4"/>
      <c r="U103" s="4"/>
    </row>
    <row r="104" spans="1:21" x14ac:dyDescent="0.25">
      <c r="A104" s="4" t="s">
        <v>4818</v>
      </c>
      <c r="B104" s="4" t="s">
        <v>5459</v>
      </c>
      <c r="C104" s="4" t="str">
        <f>IFERROR(INDEX('Projekt-Budget-Übersicht'!$C:$C,MATCH(4820,'Projekt-Budget-Übersicht'!$L:$L,0)),"")</f>
        <v/>
      </c>
      <c r="D104" s="4">
        <v>2400</v>
      </c>
      <c r="E104" s="4">
        <v>18</v>
      </c>
      <c r="F104" s="5">
        <f t="shared" si="11"/>
        <v>0.25</v>
      </c>
      <c r="G104" s="16">
        <v>0.75</v>
      </c>
      <c r="H104" s="5">
        <f t="shared" si="12"/>
        <v>0</v>
      </c>
      <c r="I104" s="5">
        <f t="shared" si="4"/>
        <v>0</v>
      </c>
      <c r="J104" s="4" t="s">
        <v>5531</v>
      </c>
      <c r="K104" s="5">
        <f t="shared" si="13"/>
        <v>0</v>
      </c>
      <c r="L104" s="10">
        <f>IF($B$2="-",0,IFERROR(INDEX(IF($B$2="SV",'Projekt-Budget-Übersicht'!$H:$H,IF($B$2="CAD",'Projekt-Budget-Übersicht'!$I:$I,IF($B$2="ADM",'Projekt-Budget-Übersicht'!$J:$J,'Projekt-Budget-Übersicht'!$H:$H))),MATCH(4820,'Projekt-Budget-Übersicht'!$L:$L,0)),0))</f>
        <v>0</v>
      </c>
      <c r="M104" s="10">
        <f t="shared" si="5"/>
        <v>0</v>
      </c>
      <c r="N104" s="10">
        <f t="shared" si="6"/>
        <v>0</v>
      </c>
      <c r="O104" s="10">
        <f t="shared" si="7"/>
        <v>0</v>
      </c>
      <c r="P104" s="10">
        <f>'E. Bieler'!M104</f>
        <v>0</v>
      </c>
      <c r="Q104" s="10">
        <f>IFERROR(INDEX('Projekt-Budget-Übersicht'!$E:$E,MATCH(4820,'Projekt-Budget-Übersicht'!$L:$L,0)),0)</f>
        <v>0</v>
      </c>
      <c r="R104" s="10">
        <v>335.82</v>
      </c>
      <c r="S104" s="4"/>
      <c r="T104" s="4"/>
      <c r="U104" s="4"/>
    </row>
    <row r="105" spans="1:21" x14ac:dyDescent="0.25">
      <c r="A105" s="4" t="s">
        <v>4821</v>
      </c>
      <c r="B105" s="4" t="s">
        <v>5555</v>
      </c>
      <c r="C105" s="4" t="str">
        <f>IFERROR(INDEX('Projekt-Budget-Übersicht'!$C:$C,MATCH(4825,'Projekt-Budget-Übersicht'!$L:$L,0)),"")</f>
        <v/>
      </c>
      <c r="D105" s="4">
        <v>5</v>
      </c>
      <c r="E105" s="4">
        <v>3</v>
      </c>
      <c r="F105" s="5">
        <f t="shared" si="11"/>
        <v>0.5</v>
      </c>
      <c r="G105" s="16">
        <v>60</v>
      </c>
      <c r="H105" s="5">
        <f t="shared" si="12"/>
        <v>0</v>
      </c>
      <c r="I105" s="5">
        <f t="shared" si="4"/>
        <v>0</v>
      </c>
      <c r="J105" s="4" t="s">
        <v>5531</v>
      </c>
      <c r="K105" s="5">
        <f t="shared" si="13"/>
        <v>0</v>
      </c>
      <c r="L105" s="10">
        <f>IF($B$2="-",0,IFERROR(INDEX(IF($B$2="SV",'Projekt-Budget-Übersicht'!$H:$H,IF($B$2="CAD",'Projekt-Budget-Übersicht'!$I:$I,IF($B$2="ADM",'Projekt-Budget-Übersicht'!$J:$J,'Projekt-Budget-Übersicht'!$H:$H))),MATCH(4825,'Projekt-Budget-Übersicht'!$L:$L,0)),0))</f>
        <v>0</v>
      </c>
      <c r="M105" s="10">
        <f t="shared" si="5"/>
        <v>0</v>
      </c>
      <c r="N105" s="10">
        <f t="shared" si="6"/>
        <v>0</v>
      </c>
      <c r="O105" s="10">
        <f t="shared" si="7"/>
        <v>0</v>
      </c>
      <c r="P105" s="10">
        <f>'D. Brucker'!M60+'E. Bieler'!M105</f>
        <v>0</v>
      </c>
      <c r="Q105" s="10">
        <f>IFERROR(INDEX('Projekt-Budget-Übersicht'!$E:$E,MATCH(4825,'Projekt-Budget-Übersicht'!$L:$L,0)),0)</f>
        <v>0</v>
      </c>
      <c r="R105" s="10">
        <v>26.65</v>
      </c>
      <c r="S105" s="4"/>
      <c r="T105" s="4"/>
      <c r="U105" s="4"/>
    </row>
    <row r="106" spans="1:21" x14ac:dyDescent="0.25">
      <c r="A106" s="4" t="s">
        <v>4929</v>
      </c>
      <c r="B106" s="4" t="s">
        <v>5459</v>
      </c>
      <c r="C106" s="4" t="str">
        <f>IFERROR(INDEX('Projekt-Budget-Übersicht'!$C:$C,MATCH(4909,'Projekt-Budget-Übersicht'!$L:$L,0)),"")</f>
        <v/>
      </c>
      <c r="D106" s="4">
        <v>40</v>
      </c>
      <c r="E106" s="4">
        <v>34.25</v>
      </c>
      <c r="F106" s="5">
        <f t="shared" si="11"/>
        <v>1</v>
      </c>
      <c r="G106" s="16">
        <v>85.62</v>
      </c>
      <c r="H106" s="5">
        <f t="shared" si="12"/>
        <v>0</v>
      </c>
      <c r="I106" s="5">
        <f t="shared" si="4"/>
        <v>0</v>
      </c>
      <c r="J106" s="4" t="s">
        <v>5531</v>
      </c>
      <c r="K106" s="5">
        <f t="shared" si="13"/>
        <v>0</v>
      </c>
      <c r="L106" s="10">
        <f>IF($B$2="-",0,IFERROR(INDEX(IF($B$2="SV",'Projekt-Budget-Übersicht'!$H:$H,IF($B$2="CAD",'Projekt-Budget-Übersicht'!$I:$I,IF($B$2="ADM",'Projekt-Budget-Übersicht'!$J:$J,'Projekt-Budget-Übersicht'!$H:$H))),MATCH(4909,'Projekt-Budget-Übersicht'!$L:$L,0)),0))</f>
        <v>0</v>
      </c>
      <c r="M106" s="10">
        <f t="shared" si="5"/>
        <v>0</v>
      </c>
      <c r="N106" s="10">
        <f t="shared" si="6"/>
        <v>0</v>
      </c>
      <c r="O106" s="10">
        <f t="shared" si="7"/>
        <v>0</v>
      </c>
      <c r="P106" s="10">
        <f>'D. Brucker'!M65+'E. Bieler'!M106+'T. Trautmann'!M150</f>
        <v>0</v>
      </c>
      <c r="Q106" s="10">
        <f>IFERROR(INDEX('Projekt-Budget-Übersicht'!$E:$E,MATCH(4909,'Projekt-Budget-Übersicht'!$L:$L,0)),0)</f>
        <v>0</v>
      </c>
      <c r="R106" s="10">
        <v>866.58</v>
      </c>
      <c r="S106" s="4"/>
      <c r="T106" s="4"/>
      <c r="U106" s="4"/>
    </row>
    <row r="107" spans="1:21" x14ac:dyDescent="0.25">
      <c r="A107" s="4" t="s">
        <v>4951</v>
      </c>
      <c r="B107" s="4" t="s">
        <v>5486</v>
      </c>
      <c r="C107" s="4" t="str">
        <f>IFERROR(INDEX('Projekt-Budget-Übersicht'!$C:$C,MATCH(4927,'Projekt-Budget-Übersicht'!$L:$L,0)),"")</f>
        <v/>
      </c>
      <c r="D107" s="4">
        <v>26</v>
      </c>
      <c r="E107" s="4">
        <v>15.5</v>
      </c>
      <c r="F107" s="5">
        <f t="shared" si="11"/>
        <v>0.5</v>
      </c>
      <c r="G107" s="16">
        <v>59.62</v>
      </c>
      <c r="H107" s="5">
        <f t="shared" si="12"/>
        <v>0</v>
      </c>
      <c r="I107" s="5">
        <f t="shared" si="4"/>
        <v>0</v>
      </c>
      <c r="J107" s="4" t="s">
        <v>5531</v>
      </c>
      <c r="K107" s="5">
        <f t="shared" si="13"/>
        <v>0</v>
      </c>
      <c r="L107" s="10">
        <f>IF($B$2="-",0,IFERROR(INDEX(IF($B$2="SV",'Projekt-Budget-Übersicht'!$H:$H,IF($B$2="CAD",'Projekt-Budget-Übersicht'!$I:$I,IF($B$2="ADM",'Projekt-Budget-Übersicht'!$J:$J,'Projekt-Budget-Übersicht'!$H:$H))),MATCH(4927,'Projekt-Budget-Übersicht'!$L:$L,0)),0))</f>
        <v>0</v>
      </c>
      <c r="M107" s="10">
        <f t="shared" si="5"/>
        <v>0</v>
      </c>
      <c r="N107" s="10">
        <f t="shared" si="6"/>
        <v>0</v>
      </c>
      <c r="O107" s="10">
        <f t="shared" si="7"/>
        <v>0</v>
      </c>
      <c r="P107" s="10">
        <f>'E. Bieler'!M107+'O. Haag BS-CAD'!M207</f>
        <v>0</v>
      </c>
      <c r="Q107" s="10">
        <f>IFERROR(INDEX('Projekt-Budget-Übersicht'!$E:$E,MATCH(4927,'Projekt-Budget-Übersicht'!$L:$L,0)),0)</f>
        <v>0</v>
      </c>
      <c r="R107" s="10">
        <v>776.65</v>
      </c>
      <c r="S107" s="4"/>
      <c r="T107" s="4"/>
      <c r="U107" s="4"/>
    </row>
    <row r="108" spans="1:21" x14ac:dyDescent="0.25">
      <c r="A108" s="4" t="s">
        <v>4958</v>
      </c>
      <c r="B108" s="4" t="s">
        <v>5459</v>
      </c>
      <c r="C108" s="4" t="str">
        <f>IFERROR(INDEX('Projekt-Budget-Übersicht'!$C:$C,MATCH(4932,'Projekt-Budget-Übersicht'!$L:$L,0)),"")</f>
        <v/>
      </c>
      <c r="D108" s="4">
        <v>16</v>
      </c>
      <c r="E108" s="4">
        <v>15.25</v>
      </c>
      <c r="F108" s="5">
        <f t="shared" si="11"/>
        <v>0.25</v>
      </c>
      <c r="G108" s="14">
        <v>95.31</v>
      </c>
      <c r="H108" s="5">
        <f t="shared" si="12"/>
        <v>0</v>
      </c>
      <c r="I108" s="5">
        <f t="shared" si="4"/>
        <v>0</v>
      </c>
      <c r="J108" s="4" t="s">
        <v>5531</v>
      </c>
      <c r="K108" s="5">
        <f t="shared" si="13"/>
        <v>0</v>
      </c>
      <c r="L108" s="10">
        <f>IF($B$2="-",0,IFERROR(INDEX(IF($B$2="SV",'Projekt-Budget-Übersicht'!$H:$H,IF($B$2="CAD",'Projekt-Budget-Übersicht'!$I:$I,IF($B$2="ADM",'Projekt-Budget-Übersicht'!$J:$J,'Projekt-Budget-Übersicht'!$H:$H))),MATCH(4932,'Projekt-Budget-Übersicht'!$L:$L,0)),0))</f>
        <v>0</v>
      </c>
      <c r="M108" s="10">
        <f t="shared" si="5"/>
        <v>0</v>
      </c>
      <c r="N108" s="10">
        <f t="shared" si="6"/>
        <v>0</v>
      </c>
      <c r="O108" s="10">
        <f t="shared" si="7"/>
        <v>0</v>
      </c>
      <c r="P108" s="10">
        <f>'E. Bieler'!M108+'H. Bektas'!M89</f>
        <v>0</v>
      </c>
      <c r="Q108" s="10">
        <f>IFERROR(INDEX('Projekt-Budget-Übersicht'!$E:$E,MATCH(4932,'Projekt-Budget-Übersicht'!$L:$L,0)),0)</f>
        <v>0</v>
      </c>
      <c r="R108" s="10">
        <v>315.82</v>
      </c>
      <c r="S108" s="4"/>
      <c r="T108" s="4"/>
      <c r="U108" s="4"/>
    </row>
    <row r="109" spans="1:21" x14ac:dyDescent="0.25">
      <c r="A109" s="4" t="s">
        <v>4980</v>
      </c>
      <c r="B109" s="4" t="s">
        <v>5487</v>
      </c>
      <c r="C109" s="4" t="str">
        <f>IFERROR(INDEX('Projekt-Budget-Übersicht'!$C:$C,MATCH(4962,'Projekt-Budget-Übersicht'!$L:$L,0)),"")</f>
        <v/>
      </c>
      <c r="D109" s="4">
        <v>26</v>
      </c>
      <c r="E109" s="4">
        <v>42.75</v>
      </c>
      <c r="F109" s="5">
        <f t="shared" si="11"/>
        <v>0.5</v>
      </c>
      <c r="G109" s="15">
        <v>164.42</v>
      </c>
      <c r="H109" s="5">
        <f t="shared" si="12"/>
        <v>0</v>
      </c>
      <c r="I109" s="5">
        <f t="shared" si="4"/>
        <v>0</v>
      </c>
      <c r="J109" s="4" t="s">
        <v>5531</v>
      </c>
      <c r="K109" s="5">
        <f t="shared" si="13"/>
        <v>0</v>
      </c>
      <c r="L109" s="10">
        <f>IF($B$2="-",0,IFERROR(INDEX(IF($B$2="SV",'Projekt-Budget-Übersicht'!$H:$H,IF($B$2="CAD",'Projekt-Budget-Übersicht'!$I:$I,IF($B$2="ADM",'Projekt-Budget-Übersicht'!$J:$J,'Projekt-Budget-Übersicht'!$H:$H))),MATCH(4962,'Projekt-Budget-Übersicht'!$L:$L,0)),0))</f>
        <v>0</v>
      </c>
      <c r="M109" s="10">
        <f t="shared" si="5"/>
        <v>0</v>
      </c>
      <c r="N109" s="10">
        <f t="shared" si="6"/>
        <v>0</v>
      </c>
      <c r="O109" s="10">
        <f t="shared" si="7"/>
        <v>0</v>
      </c>
      <c r="P109" s="10">
        <f>'A. Kokott'!M198+'E. Bieler'!M109+'J. Dorchies'!M46+'M. Bandlofsky'!M103+'T. Trautmann'!M153</f>
        <v>0</v>
      </c>
      <c r="Q109" s="10">
        <f>IFERROR(INDEX('Projekt-Budget-Übersicht'!$E:$E,MATCH(4962,'Projekt-Budget-Übersicht'!$L:$L,0)),0)</f>
        <v>0</v>
      </c>
      <c r="R109" s="10">
        <v>606.65</v>
      </c>
      <c r="S109" s="4"/>
      <c r="T109" s="4"/>
      <c r="U109" s="4"/>
    </row>
    <row r="110" spans="1:21" x14ac:dyDescent="0.25">
      <c r="A110" s="4" t="s">
        <v>5033</v>
      </c>
      <c r="B110" s="4" t="s">
        <v>5459</v>
      </c>
      <c r="C110" s="4" t="str">
        <f>IFERROR(INDEX('Projekt-Budget-Übersicht'!$C:$C,MATCH(5015,'Projekt-Budget-Übersicht'!$L:$L,0)),"")</f>
        <v/>
      </c>
      <c r="D110" s="4">
        <v>17</v>
      </c>
      <c r="E110" s="4">
        <v>16.25</v>
      </c>
      <c r="F110" s="5">
        <f t="shared" si="11"/>
        <v>0.25</v>
      </c>
      <c r="G110" s="14">
        <v>95.59</v>
      </c>
      <c r="H110" s="5">
        <f t="shared" si="12"/>
        <v>0</v>
      </c>
      <c r="I110" s="5">
        <f t="shared" si="4"/>
        <v>0</v>
      </c>
      <c r="J110" s="4" t="s">
        <v>5531</v>
      </c>
      <c r="K110" s="5">
        <f t="shared" si="13"/>
        <v>0</v>
      </c>
      <c r="L110" s="10">
        <f>IF($B$2="-",0,IFERROR(INDEX(IF($B$2="SV",'Projekt-Budget-Übersicht'!$H:$H,IF($B$2="CAD",'Projekt-Budget-Übersicht'!$I:$I,IF($B$2="ADM",'Projekt-Budget-Übersicht'!$J:$J,'Projekt-Budget-Übersicht'!$H:$H))),MATCH(5015,'Projekt-Budget-Übersicht'!$L:$L,0)),0))</f>
        <v>0</v>
      </c>
      <c r="M110" s="10">
        <f t="shared" si="5"/>
        <v>0</v>
      </c>
      <c r="N110" s="10">
        <f t="shared" si="6"/>
        <v>0</v>
      </c>
      <c r="O110" s="10">
        <f t="shared" si="7"/>
        <v>0</v>
      </c>
      <c r="P110" s="10">
        <f>'E. Bieler'!M110+'H. Bektas'!M90</f>
        <v>0</v>
      </c>
      <c r="Q110" s="10">
        <f>IFERROR(INDEX('Projekt-Budget-Übersicht'!$E:$E,MATCH(5015,'Projekt-Budget-Übersicht'!$L:$L,0)),0)</f>
        <v>0</v>
      </c>
      <c r="R110" s="10">
        <v>248.32</v>
      </c>
      <c r="S110" s="4"/>
      <c r="T110" s="4"/>
      <c r="U110" s="4"/>
    </row>
    <row r="111" spans="1:21" x14ac:dyDescent="0.25">
      <c r="A111" s="4" t="s">
        <v>5038</v>
      </c>
      <c r="B111" s="4" t="s">
        <v>5509</v>
      </c>
      <c r="C111" s="4" t="str">
        <f>IFERROR(INDEX('Projekt-Budget-Übersicht'!$C:$C,MATCH(5020,'Projekt-Budget-Übersicht'!$L:$L,0)),"")</f>
        <v/>
      </c>
      <c r="D111" s="4">
        <v>31</v>
      </c>
      <c r="E111" s="4">
        <v>38.75</v>
      </c>
      <c r="F111" s="5">
        <f t="shared" si="11"/>
        <v>2</v>
      </c>
      <c r="G111" s="15">
        <v>125</v>
      </c>
      <c r="H111" s="5">
        <f t="shared" si="12"/>
        <v>0</v>
      </c>
      <c r="I111" s="5">
        <f t="shared" si="4"/>
        <v>0</v>
      </c>
      <c r="J111" s="4" t="s">
        <v>5531</v>
      </c>
      <c r="K111" s="5">
        <f t="shared" si="13"/>
        <v>0</v>
      </c>
      <c r="L111" s="10">
        <f>IF($B$2="-",0,IFERROR(INDEX(IF($B$2="SV",'Projekt-Budget-Übersicht'!$H:$H,IF($B$2="CAD",'Projekt-Budget-Übersicht'!$I:$I,IF($B$2="ADM",'Projekt-Budget-Übersicht'!$J:$J,'Projekt-Budget-Übersicht'!$H:$H))),MATCH(5020,'Projekt-Budget-Übersicht'!$L:$L,0)),0))</f>
        <v>0</v>
      </c>
      <c r="M111" s="10">
        <f t="shared" si="5"/>
        <v>0</v>
      </c>
      <c r="N111" s="10">
        <f t="shared" si="6"/>
        <v>0</v>
      </c>
      <c r="O111" s="10">
        <f t="shared" si="7"/>
        <v>0</v>
      </c>
      <c r="P111" s="10">
        <f>'A. Kokott'!M201+'E. Bieler'!M111+'J. Dorn'!M156+'M. Bandlofsky'!M105</f>
        <v>0</v>
      </c>
      <c r="Q111" s="10">
        <f>IFERROR(INDEX('Projekt-Budget-Übersicht'!$E:$E,MATCH(5020,'Projekt-Budget-Übersicht'!$L:$L,0)),0)</f>
        <v>0</v>
      </c>
      <c r="R111" s="10">
        <v>756.58</v>
      </c>
      <c r="S111" s="4"/>
      <c r="T111" s="4"/>
      <c r="U111" s="4"/>
    </row>
    <row r="112" spans="1:21" x14ac:dyDescent="0.25">
      <c r="A112" s="4" t="s">
        <v>5056</v>
      </c>
      <c r="B112" s="4" t="s">
        <v>5459</v>
      </c>
      <c r="C112" s="4" t="str">
        <f>IFERROR(INDEX('Projekt-Budget-Übersicht'!$C:$C,MATCH(5033,'Projekt-Budget-Übersicht'!$L:$L,0)),"")</f>
        <v/>
      </c>
      <c r="D112" s="4">
        <v>17</v>
      </c>
      <c r="E112" s="4">
        <v>16.5</v>
      </c>
      <c r="F112" s="5">
        <f t="shared" si="11"/>
        <v>0.5</v>
      </c>
      <c r="G112" s="14">
        <v>97.06</v>
      </c>
      <c r="H112" s="5">
        <f t="shared" si="12"/>
        <v>0</v>
      </c>
      <c r="I112" s="5">
        <f t="shared" si="4"/>
        <v>0</v>
      </c>
      <c r="J112" s="4" t="s">
        <v>5531</v>
      </c>
      <c r="K112" s="5">
        <f t="shared" si="13"/>
        <v>0</v>
      </c>
      <c r="L112" s="10">
        <f>IF($B$2="-",0,IFERROR(INDEX(IF($B$2="SV",'Projekt-Budget-Übersicht'!$H:$H,IF($B$2="CAD",'Projekt-Budget-Übersicht'!$I:$I,IF($B$2="ADM",'Projekt-Budget-Übersicht'!$J:$J,'Projekt-Budget-Übersicht'!$H:$H))),MATCH(5033,'Projekt-Budget-Übersicht'!$L:$L,0)),0))</f>
        <v>0</v>
      </c>
      <c r="M112" s="10">
        <f t="shared" si="5"/>
        <v>0</v>
      </c>
      <c r="N112" s="10">
        <f t="shared" si="6"/>
        <v>0</v>
      </c>
      <c r="O112" s="10">
        <f t="shared" si="7"/>
        <v>0</v>
      </c>
      <c r="P112" s="10">
        <f>'E. Bieler'!M112+'H. Bektas'!M91</f>
        <v>0</v>
      </c>
      <c r="Q112" s="10">
        <f>IFERROR(INDEX('Projekt-Budget-Übersicht'!$E:$E,MATCH(5033,'Projekt-Budget-Übersicht'!$L:$L,0)),0)</f>
        <v>0</v>
      </c>
      <c r="R112" s="10"/>
      <c r="S112" s="4"/>
      <c r="T112" s="4"/>
      <c r="U112" s="4"/>
    </row>
    <row r="113" spans="1:21" x14ac:dyDescent="0.25">
      <c r="A113" s="4" t="s">
        <v>5103</v>
      </c>
      <c r="B113" s="4" t="s">
        <v>5485</v>
      </c>
      <c r="C113" s="4" t="str">
        <f>IFERROR(INDEX('Projekt-Budget-Übersicht'!$C:$C,MATCH(5077,'Projekt-Budget-Übersicht'!$L:$L,0)),"")</f>
        <v/>
      </c>
      <c r="D113" s="4">
        <v>14</v>
      </c>
      <c r="E113" s="4">
        <v>15.5</v>
      </c>
      <c r="F113" s="5">
        <f t="shared" si="11"/>
        <v>0.5</v>
      </c>
      <c r="G113" s="15">
        <v>110.71</v>
      </c>
      <c r="H113" s="5">
        <f t="shared" si="12"/>
        <v>0</v>
      </c>
      <c r="I113" s="5">
        <f t="shared" si="4"/>
        <v>0</v>
      </c>
      <c r="J113" s="4" t="s">
        <v>5531</v>
      </c>
      <c r="K113" s="5">
        <f t="shared" si="13"/>
        <v>0</v>
      </c>
      <c r="L113" s="10">
        <f>IF($B$2="-",0,IFERROR(INDEX(IF($B$2="SV",'Projekt-Budget-Übersicht'!$H:$H,IF($B$2="CAD",'Projekt-Budget-Übersicht'!$I:$I,IF($B$2="ADM",'Projekt-Budget-Übersicht'!$J:$J,'Projekt-Budget-Übersicht'!$H:$H))),MATCH(5077,'Projekt-Budget-Übersicht'!$L:$L,0)),0))</f>
        <v>0</v>
      </c>
      <c r="M113" s="10">
        <f t="shared" si="5"/>
        <v>0</v>
      </c>
      <c r="N113" s="10">
        <f t="shared" si="6"/>
        <v>0</v>
      </c>
      <c r="O113" s="10">
        <f t="shared" si="7"/>
        <v>0</v>
      </c>
      <c r="P113" s="10">
        <f>'A. Kokott'!M207+'E. Bieler'!M113+'M. Bandlofsky'!M106</f>
        <v>0</v>
      </c>
      <c r="Q113" s="10">
        <f>IFERROR(INDEX('Projekt-Budget-Übersicht'!$E:$E,MATCH(5077,'Projekt-Budget-Übersicht'!$L:$L,0)),0)</f>
        <v>0</v>
      </c>
      <c r="R113" s="10">
        <v>99.15</v>
      </c>
      <c r="S113" s="4"/>
      <c r="T113" s="4"/>
      <c r="U113" s="4"/>
    </row>
    <row r="114" spans="1:21" x14ac:dyDescent="0.25">
      <c r="A114" s="4" t="s">
        <v>5413</v>
      </c>
      <c r="B114" s="4" t="s">
        <v>5459</v>
      </c>
      <c r="C114" s="4" t="str">
        <f>IFERROR(INDEX('Projekt-Budget-Übersicht'!$C:$C,MATCH(5361,'Projekt-Budget-Übersicht'!$L:$L,0)),"")</f>
        <v/>
      </c>
      <c r="D114" s="4">
        <v>16</v>
      </c>
      <c r="E114" s="4">
        <v>8.25</v>
      </c>
      <c r="F114" s="5">
        <f>SUM(F40,I40,K40)</f>
        <v>0.25</v>
      </c>
      <c r="G114" s="16">
        <v>51.56</v>
      </c>
      <c r="H114" s="5">
        <f>SUM(H40)</f>
        <v>0</v>
      </c>
      <c r="I114" s="5">
        <f t="shared" si="4"/>
        <v>0</v>
      </c>
      <c r="J114" s="4" t="s">
        <v>5531</v>
      </c>
      <c r="K114" s="5">
        <f>SUM(K40)</f>
        <v>0</v>
      </c>
      <c r="L114" s="10">
        <f>IF($B$2="-",0,IFERROR(INDEX(IF($B$2="SV",'Projekt-Budget-Übersicht'!$H:$H,IF($B$2="CAD",'Projekt-Budget-Übersicht'!$I:$I,IF($B$2="ADM",'Projekt-Budget-Übersicht'!$J:$J,'Projekt-Budget-Übersicht'!$H:$H))),MATCH(5361,'Projekt-Budget-Übersicht'!$L:$L,0)),0))</f>
        <v>0</v>
      </c>
      <c r="M114" s="10">
        <f t="shared" si="5"/>
        <v>0</v>
      </c>
      <c r="N114" s="10">
        <f t="shared" si="6"/>
        <v>0</v>
      </c>
      <c r="O114" s="10">
        <f t="shared" si="7"/>
        <v>0</v>
      </c>
      <c r="P114" s="10">
        <f>'E. Bieler'!M114</f>
        <v>0</v>
      </c>
      <c r="Q114" s="10">
        <f>IFERROR(INDEX('Projekt-Budget-Übersicht'!$E:$E,MATCH(5361,'Projekt-Budget-Übersicht'!$L:$L,0)),0)</f>
        <v>0</v>
      </c>
      <c r="R114" s="10">
        <v>343.32</v>
      </c>
      <c r="S114" s="4"/>
      <c r="T114" s="4"/>
      <c r="U114" s="4"/>
    </row>
    <row r="115" spans="1:21" x14ac:dyDescent="0.25">
      <c r="A115" s="4" t="s">
        <v>5446</v>
      </c>
      <c r="B115" s="4" t="s">
        <v>5569</v>
      </c>
      <c r="C115" s="4" t="str">
        <f>IFERROR(INDEX('Projekt-Budget-Übersicht'!$C:$C,MATCH(5386,'Projekt-Budget-Übersicht'!$L:$L,0)),"")</f>
        <v/>
      </c>
      <c r="D115" s="4" t="s">
        <v>5531</v>
      </c>
      <c r="E115" s="4">
        <v>3.25</v>
      </c>
      <c r="F115" s="5">
        <f>SUM(F41,I41,K41)</f>
        <v>0.25</v>
      </c>
      <c r="G115" s="4" t="s">
        <v>5531</v>
      </c>
      <c r="H115" s="5">
        <f>SUM(H41)</f>
        <v>0</v>
      </c>
      <c r="I115" s="5">
        <f t="shared" si="4"/>
        <v>0</v>
      </c>
      <c r="J115" s="4" t="s">
        <v>5531</v>
      </c>
      <c r="K115" s="5">
        <f>SUM(K41)</f>
        <v>0</v>
      </c>
      <c r="L115" s="10">
        <f>IF($B$2="-",0,IFERROR(INDEX(IF($B$2="SV",'Projekt-Budget-Übersicht'!$H:$H,IF($B$2="CAD",'Projekt-Budget-Übersicht'!$I:$I,IF($B$2="ADM",'Projekt-Budget-Übersicht'!$J:$J,'Projekt-Budget-Übersicht'!$H:$H))),MATCH(5386,'Projekt-Budget-Übersicht'!$L:$L,0)),0))</f>
        <v>0</v>
      </c>
      <c r="M115" s="10">
        <f t="shared" si="5"/>
        <v>0</v>
      </c>
      <c r="N115" s="10">
        <f t="shared" si="6"/>
        <v>0</v>
      </c>
      <c r="O115" s="10">
        <f t="shared" si="7"/>
        <v>0</v>
      </c>
      <c r="P115" s="10">
        <f>'E. Bieler'!M115+'M. Bandlofsky CAD'!M36</f>
        <v>0</v>
      </c>
      <c r="Q115" s="10">
        <f>IFERROR(INDEX('Projekt-Budget-Übersicht'!$E:$E,MATCH(5386,'Projekt-Budget-Übersicht'!$L:$L,0)),0)</f>
        <v>0</v>
      </c>
      <c r="R115" s="10">
        <v>13.32</v>
      </c>
      <c r="S115" s="4"/>
      <c r="T115" s="4"/>
      <c r="U115" s="4"/>
    </row>
    <row r="117" spans="1:21" x14ac:dyDescent="0.25">
      <c r="A117" s="3"/>
      <c r="B117" s="3" t="s">
        <v>5492</v>
      </c>
      <c r="C117" s="3"/>
      <c r="D117" s="3"/>
      <c r="E117" s="3"/>
      <c r="F117" s="6">
        <f>SUM(F42,F53,F63)</f>
        <v>59.75</v>
      </c>
      <c r="G117" s="3"/>
      <c r="H117" s="3"/>
      <c r="I117" s="3"/>
      <c r="J117" s="3"/>
      <c r="K117" s="3"/>
      <c r="L117" s="3"/>
      <c r="M117" s="17">
        <f>SUM(M78:M115)</f>
        <v>0</v>
      </c>
      <c r="N117" s="17">
        <f>SUM(N78:N115)</f>
        <v>0</v>
      </c>
      <c r="O117" s="17">
        <f>SUM(O78:O115)</f>
        <v>0</v>
      </c>
      <c r="P117" s="17">
        <f>SUM(P78:P115)</f>
        <v>0</v>
      </c>
      <c r="Q117" s="3"/>
      <c r="R117" s="3"/>
      <c r="S117" s="3"/>
      <c r="T117" s="3"/>
      <c r="U117" s="3"/>
    </row>
    <row r="118" spans="1:21" x14ac:dyDescent="0.25">
      <c r="A118" s="3"/>
      <c r="B118" s="3" t="s">
        <v>4</v>
      </c>
      <c r="C118" s="3"/>
      <c r="D118" s="3"/>
      <c r="E118" s="3"/>
      <c r="F118" s="6">
        <f>G118+H118</f>
        <v>34</v>
      </c>
      <c r="G118" s="6">
        <f>SUM(G43,G54,G64)</f>
        <v>34</v>
      </c>
      <c r="H118" s="6">
        <v>0</v>
      </c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1:21" x14ac:dyDescent="0.25">
      <c r="A119" s="3"/>
      <c r="B119" s="3" t="s">
        <v>5</v>
      </c>
      <c r="C119" s="3"/>
      <c r="D119" s="3"/>
      <c r="E119" s="3"/>
      <c r="F119" s="6">
        <f>G119+H119</f>
        <v>1</v>
      </c>
      <c r="G119" s="6">
        <f>SUM(G44,G55,G65)</f>
        <v>1</v>
      </c>
      <c r="H119" s="6">
        <v>0</v>
      </c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1:21" x14ac:dyDescent="0.25">
      <c r="A120" s="3"/>
      <c r="B120" s="3" t="s">
        <v>5493</v>
      </c>
      <c r="C120" s="3"/>
      <c r="D120" s="3"/>
      <c r="E120" s="3"/>
      <c r="F120" s="6">
        <f>SUM(F45,F56,F66)</f>
        <v>0</v>
      </c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1:21" x14ac:dyDescent="0.25">
      <c r="A121" s="18"/>
      <c r="B121" s="18" t="s">
        <v>5494</v>
      </c>
      <c r="C121" s="18"/>
      <c r="D121" s="18"/>
      <c r="E121" s="18"/>
      <c r="F121" s="19">
        <f>F118+F119+F120</f>
        <v>35</v>
      </c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</row>
    <row r="123" spans="1:21" ht="15.75" x14ac:dyDescent="0.25">
      <c r="A123" s="2" t="s">
        <v>5532</v>
      </c>
    </row>
    <row r="124" spans="1:21" x14ac:dyDescent="0.25">
      <c r="A124" s="13" t="s">
        <v>10</v>
      </c>
      <c r="B124" s="13">
        <v>59.75</v>
      </c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</row>
    <row r="125" spans="1:21" x14ac:dyDescent="0.25">
      <c r="A125" s="13" t="s">
        <v>11</v>
      </c>
      <c r="B125" s="20">
        <f>SUM(F43,F54,F64)</f>
        <v>34</v>
      </c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</row>
    <row r="126" spans="1:21" x14ac:dyDescent="0.25">
      <c r="A126" s="13" t="s">
        <v>12</v>
      </c>
      <c r="B126" s="20">
        <f>SUM(F44,F55,F65)</f>
        <v>1</v>
      </c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</row>
  </sheetData>
  <mergeCells count="7">
    <mergeCell ref="A6:A7"/>
    <mergeCell ref="A83:A85"/>
    <mergeCell ref="A61:A62"/>
    <mergeCell ref="A17:A18"/>
    <mergeCell ref="A78:A79"/>
    <mergeCell ref="A91:A92"/>
    <mergeCell ref="A50:A51"/>
  </mergeCells>
  <conditionalFormatting sqref="I6:I41">
    <cfRule type="cellIs" dxfId="57" priority="1" stopIfTrue="1" operator="lessThan">
      <formula>0</formula>
    </cfRule>
  </conditionalFormatting>
  <conditionalFormatting sqref="I50:I52">
    <cfRule type="cellIs" dxfId="56" priority="37" stopIfTrue="1" operator="lessThan">
      <formula>0</formula>
    </cfRule>
  </conditionalFormatting>
  <conditionalFormatting sqref="I61:I62">
    <cfRule type="cellIs" dxfId="55" priority="40" stopIfTrue="1" operator="lessThan">
      <formula>0</formula>
    </cfRule>
  </conditionalFormatting>
  <conditionalFormatting sqref="I78:I115">
    <cfRule type="cellIs" dxfId="54" priority="42" stopIfTrue="1" operator="lessThan">
      <formula>0</formula>
    </cfRule>
  </conditionalFormatting>
  <dataValidations count="21">
    <dataValidation type="list" sqref="B2" xr:uid="{00000000-0002-0000-0500-000000000000}">
      <formula1>"SV,CAD,ADM,Pauschale,-"</formula1>
    </dataValidation>
    <dataValidation type="list" allowBlank="1" sqref="J6" xr:uid="{00000000-0002-0000-0500-000001000000}">
      <formula1>"A. Kokott,D. Brucker,J. Dorchies,O. Haag BS-CAD,S. Schüler,T. Trautmann,U. Sutter ADM"</formula1>
    </dataValidation>
    <dataValidation type="list" allowBlank="1" sqref="T61:T62 T50:T52 T6:T41" xr:uid="{00000000-0002-0000-0500-000002000000}">
      <formula1>"SR,AZ"</formula1>
    </dataValidation>
    <dataValidation type="list" allowBlank="1" sqref="J7" xr:uid="{00000000-0002-0000-0500-000003000000}">
      <formula1>"A. Kokott,C. Trapp SV,D. Brucker,J. Dorchies,J. Dorn,M. Bandlofsky,T. Trautmann,U. Sutter ADM"</formula1>
    </dataValidation>
    <dataValidation type="list" allowBlank="1" sqref="J8" xr:uid="{00000000-0002-0000-0500-000005000000}">
      <formula1>"T. Trautmann"</formula1>
    </dataValidation>
    <dataValidation type="list" allowBlank="1" sqref="J10" xr:uid="{00000000-0002-0000-0500-000008000000}">
      <formula1>"J. Dorn,P. Bergner"</formula1>
    </dataValidation>
    <dataValidation type="list" allowBlank="1" sqref="J11 J62 J34 J24" xr:uid="{00000000-0002-0000-0500-00000A000000}">
      <formula1>"M. Bandlofsky"</formula1>
    </dataValidation>
    <dataValidation type="list" allowBlank="1" sqref="J13" xr:uid="{00000000-0002-0000-0500-00000D000000}">
      <formula1>"J. Dorn"</formula1>
    </dataValidation>
    <dataValidation type="list" allowBlank="1" sqref="J17 J19" xr:uid="{00000000-0002-0000-0500-000012000000}">
      <formula1>"R. Böttiger"</formula1>
    </dataValidation>
    <dataValidation type="list" allowBlank="1" sqref="J18" xr:uid="{00000000-0002-0000-0500-000014000000}">
      <formula1>"J. Dorn,R. Böttiger"</formula1>
    </dataValidation>
    <dataValidation type="list" allowBlank="1" sqref="J20" xr:uid="{00000000-0002-0000-0500-000018000000}">
      <formula1>"A. Kokott,J. Dorchies,J. Dorn,P. Bergner,R. Böttiger"</formula1>
    </dataValidation>
    <dataValidation type="list" allowBlank="1" sqref="J22" xr:uid="{00000000-0002-0000-0500-00001B000000}">
      <formula1>"J. Dorchies,J. Dorn,R. Böttiger"</formula1>
    </dataValidation>
    <dataValidation type="list" allowBlank="1" sqref="J25" xr:uid="{00000000-0002-0000-0500-000020000000}">
      <formula1>"H. Bektas,J. Dorchies"</formula1>
    </dataValidation>
    <dataValidation type="list" allowBlank="1" sqref="J37 J35 J33 J26:J28" xr:uid="{00000000-0002-0000-0500-000022000000}">
      <formula1>"H. Bektas"</formula1>
    </dataValidation>
    <dataValidation type="list" allowBlank="1" sqref="J30:J31" xr:uid="{00000000-0002-0000-0500-000029000000}">
      <formula1>"D. Brucker"</formula1>
    </dataValidation>
    <dataValidation type="list" allowBlank="1" sqref="J32" xr:uid="{00000000-0002-0000-0500-00002D000000}">
      <formula1>"O. Haag BS-CAD"</formula1>
    </dataValidation>
    <dataValidation type="list" allowBlank="1" sqref="J36" xr:uid="{00000000-0002-0000-0500-000035000000}">
      <formula1>"J. Dorn,M. Bandlofsky"</formula1>
    </dataValidation>
    <dataValidation type="list" allowBlank="1" sqref="J38" xr:uid="{00000000-0002-0000-0500-000039000000}">
      <formula1>"A. Kokott,M. Bandlofsky"</formula1>
    </dataValidation>
    <dataValidation type="list" allowBlank="1" sqref="J41" xr:uid="{00000000-0002-0000-0500-00003D000000}">
      <formula1>"M. Bandlofsky CAD"</formula1>
    </dataValidation>
    <dataValidation type="list" allowBlank="1" sqref="J50" xr:uid="{00000000-0002-0000-0500-00003F000000}">
      <formula1>"C. Trapp SV,M. Bandlofsky"</formula1>
    </dataValidation>
    <dataValidation type="list" allowBlank="1" sqref="J51:J52" xr:uid="{00000000-0002-0000-0500-000041000000}">
      <formula1>"C. Trapp SV"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U32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5571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5572</v>
      </c>
      <c r="B6" s="4" t="s">
        <v>5573</v>
      </c>
      <c r="C6" s="4" t="s">
        <v>50</v>
      </c>
      <c r="D6" s="4">
        <v>0</v>
      </c>
      <c r="E6" s="4">
        <v>0</v>
      </c>
      <c r="F6" s="4">
        <v>12.5</v>
      </c>
      <c r="G6" s="4">
        <v>0</v>
      </c>
      <c r="H6" s="5"/>
      <c r="I6" s="5">
        <f>IF(H6=0,0,F6-H6)</f>
        <v>0</v>
      </c>
      <c r="J6" s="4"/>
      <c r="K6" s="5">
        <v>0</v>
      </c>
      <c r="L6" s="10">
        <f>IF($B$2="-",0,0)</f>
        <v>0</v>
      </c>
      <c r="M6" s="10">
        <f>IF($B$2="-",0,IF(C6="Pauschale",IF(OR(R6=0,N(D6)=0),0,MAX(0,MIN(R6*((N(F6)+N(K6))/N(D6)),R6-R6*(N(E6)/N(D6))))),L6*(N(F6)+N(K6))))</f>
        <v>0</v>
      </c>
      <c r="N6" s="10">
        <f>IF($B$2="-",0,IF(C6="Pauschale",IF(OR(R6=0,N(D6)=0),0,R6*((N(F6)+N(K6))/N(D6))),L6*(N(F6)+N(K6))))</f>
        <v>0</v>
      </c>
      <c r="O6" s="10">
        <f>N6-M6</f>
        <v>0</v>
      </c>
      <c r="P6" s="10">
        <f>'E. Iago Barros de Oliveira'!M6</f>
        <v>0</v>
      </c>
      <c r="Q6" s="10"/>
      <c r="R6" s="10">
        <f>0</f>
        <v>0</v>
      </c>
      <c r="S6" s="10"/>
      <c r="T6" s="4"/>
      <c r="U6" s="4"/>
    </row>
    <row r="7" spans="1:21" x14ac:dyDescent="0.25">
      <c r="A7" s="4" t="s">
        <v>865</v>
      </c>
      <c r="B7" s="4" t="s">
        <v>5574</v>
      </c>
      <c r="C7" s="4" t="str">
        <f>IFERROR(INDEX('Projekt-Budget-Übersicht'!$C:$C,MATCH(888,'Projekt-Budget-Übersicht'!$L:$L,0)),"")</f>
        <v/>
      </c>
      <c r="D7" s="4">
        <v>31.5</v>
      </c>
      <c r="E7" s="4">
        <v>100.5</v>
      </c>
      <c r="F7" s="4">
        <v>32</v>
      </c>
      <c r="G7" s="15">
        <v>319.05</v>
      </c>
      <c r="H7" s="5"/>
      <c r="I7" s="5">
        <f>IF(H7=0,0,F7-H7)</f>
        <v>0</v>
      </c>
      <c r="J7" s="4"/>
      <c r="K7" s="5">
        <f>IF('S. Schüler'!J9="E. Iago Barros de Oliveira",'S. Schüler'!I9,0)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7" s="10">
        <f>IF($B$2="-",0,IF(C7="Pauschale",IF(OR(R7=0,N(D7)=0),0,MAX(0,MIN(R7*((N(F7)+N(K7))/N(D7)),R7-R7*(N(E7)/N(D7))))),L7*(N(F7)+N(K7))))</f>
        <v>0</v>
      </c>
      <c r="N7" s="10">
        <f>IF($B$2="-",0,IF(C7="Pauschale",IF(OR(R7=0,N(D7)=0),0,R7*((N(F7)+N(K7))/N(D7))),L7*(N(F7)+N(K7))))</f>
        <v>0</v>
      </c>
      <c r="O7" s="10">
        <f>N7-M7</f>
        <v>0</v>
      </c>
      <c r="P7" s="10">
        <f>'E. Iago Barros de Oliveira'!M7+'S. Schüler'!M9</f>
        <v>0</v>
      </c>
      <c r="Q7" s="10">
        <v>84</v>
      </c>
      <c r="R7" s="10">
        <f>IFERROR(INDEX('Projekt-Budget-Übersicht'!$F:$F,MATCH(888,'Projekt-Budget-Übersicht'!$L:$L,0)),0)</f>
        <v>0</v>
      </c>
      <c r="S7" s="10">
        <v>3215.31</v>
      </c>
      <c r="T7" s="4"/>
      <c r="U7" s="4"/>
    </row>
    <row r="8" spans="1:21" x14ac:dyDescent="0.25">
      <c r="A8" s="3"/>
      <c r="B8" s="3" t="s">
        <v>5492</v>
      </c>
      <c r="C8" s="3"/>
      <c r="D8" s="3"/>
      <c r="E8" s="3"/>
      <c r="F8" s="6">
        <v>44.5</v>
      </c>
      <c r="G8" s="3"/>
      <c r="H8" s="3"/>
      <c r="I8" s="3"/>
      <c r="J8" s="3"/>
      <c r="K8" s="3"/>
      <c r="L8" s="3"/>
      <c r="M8" s="17">
        <f>SUM(M6:M7)</f>
        <v>0</v>
      </c>
      <c r="N8" s="17">
        <f>SUM(N6:N7)</f>
        <v>0</v>
      </c>
      <c r="O8" s="17">
        <f>SUM(O6:O7)</f>
        <v>0</v>
      </c>
      <c r="P8" s="17">
        <f>SUM(P6:P7)</f>
        <v>0</v>
      </c>
      <c r="Q8" s="3"/>
      <c r="R8" s="3"/>
      <c r="S8" s="3"/>
      <c r="T8" s="3"/>
      <c r="U8" s="3"/>
    </row>
    <row r="9" spans="1:21" x14ac:dyDescent="0.25">
      <c r="A9" s="3"/>
      <c r="B9" s="3" t="s">
        <v>4</v>
      </c>
      <c r="C9" s="3"/>
      <c r="D9" s="3"/>
      <c r="E9" s="3"/>
      <c r="F9" s="6">
        <f>G9+H9</f>
        <v>12.5</v>
      </c>
      <c r="G9" s="6">
        <v>12.5</v>
      </c>
      <c r="H9" s="6">
        <f>SUM(H6,H7)</f>
        <v>0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1" x14ac:dyDescent="0.25">
      <c r="A10" s="3"/>
      <c r="B10" s="3" t="s">
        <v>5</v>
      </c>
      <c r="C10" s="3"/>
      <c r="D10" s="3"/>
      <c r="E10" s="3"/>
      <c r="F10" s="6">
        <v>0</v>
      </c>
      <c r="G10" s="6">
        <v>0</v>
      </c>
      <c r="H10" s="6">
        <v>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3"/>
      <c r="B11" s="3" t="s">
        <v>5493</v>
      </c>
      <c r="C11" s="3"/>
      <c r="D11" s="3"/>
      <c r="E11" s="3"/>
      <c r="F11" s="6">
        <f>SUM(K6:K7)</f>
        <v>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x14ac:dyDescent="0.25">
      <c r="A12" s="18"/>
      <c r="B12" s="18" t="s">
        <v>5494</v>
      </c>
      <c r="C12" s="18"/>
      <c r="D12" s="18"/>
      <c r="E12" s="18"/>
      <c r="F12" s="19">
        <f>F9+F10+F11</f>
        <v>12.5</v>
      </c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</row>
    <row r="14" spans="1:21" ht="15.75" x14ac:dyDescent="0.25">
      <c r="A14" s="2" t="s">
        <v>5524</v>
      </c>
    </row>
    <row r="15" spans="1:21" x14ac:dyDescent="0.25">
      <c r="A15" s="3" t="s">
        <v>2</v>
      </c>
      <c r="B15" s="3" t="s">
        <v>5525</v>
      </c>
      <c r="C15" s="3" t="s">
        <v>5526</v>
      </c>
      <c r="D15" s="3" t="s">
        <v>4</v>
      </c>
      <c r="E15" s="3" t="s">
        <v>5</v>
      </c>
      <c r="F15" s="3" t="s">
        <v>5527</v>
      </c>
      <c r="G15" s="3" t="s">
        <v>5528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s="4" t="s">
        <v>6</v>
      </c>
      <c r="B16" s="4" t="s">
        <v>18</v>
      </c>
      <c r="C16" s="4">
        <f>F8</f>
        <v>44.5</v>
      </c>
      <c r="D16" s="4">
        <f>F9</f>
        <v>12.5</v>
      </c>
      <c r="E16" s="4">
        <f>F10</f>
        <v>0</v>
      </c>
      <c r="F16" s="4">
        <f>F11</f>
        <v>0</v>
      </c>
      <c r="G16" s="4">
        <f>F12</f>
        <v>12.5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</row>
    <row r="19" spans="1:21" ht="18.75" x14ac:dyDescent="0.3">
      <c r="A19" s="1" t="s">
        <v>5529</v>
      </c>
    </row>
    <row r="20" spans="1:21" x14ac:dyDescent="0.25">
      <c r="A20" s="3" t="s">
        <v>35</v>
      </c>
      <c r="B20" s="3" t="s">
        <v>5461</v>
      </c>
      <c r="C20" s="3" t="s">
        <v>37</v>
      </c>
      <c r="D20" s="3" t="s">
        <v>5462</v>
      </c>
      <c r="E20" s="3" t="s">
        <v>5463</v>
      </c>
      <c r="F20" s="3" t="s">
        <v>5530</v>
      </c>
      <c r="G20" s="3" t="s">
        <v>5465</v>
      </c>
      <c r="H20" s="3" t="s">
        <v>5466</v>
      </c>
      <c r="I20" s="3" t="s">
        <v>5467</v>
      </c>
      <c r="J20" s="3" t="s">
        <v>5468</v>
      </c>
      <c r="K20" s="3" t="s">
        <v>5469</v>
      </c>
      <c r="L20" s="3" t="s">
        <v>5470</v>
      </c>
      <c r="M20" s="3" t="s">
        <v>5471</v>
      </c>
      <c r="N20" s="3" t="s">
        <v>5472</v>
      </c>
      <c r="O20" s="3" t="s">
        <v>5473</v>
      </c>
      <c r="P20" s="3" t="s">
        <v>5474</v>
      </c>
      <c r="Q20" s="3" t="s">
        <v>5476</v>
      </c>
      <c r="R20" s="3" t="s">
        <v>5477</v>
      </c>
      <c r="S20" s="3"/>
      <c r="T20" s="3"/>
      <c r="U20" s="3"/>
    </row>
    <row r="21" spans="1:21" x14ac:dyDescent="0.25">
      <c r="A21" s="4" t="s">
        <v>865</v>
      </c>
      <c r="B21" s="4" t="s">
        <v>5574</v>
      </c>
      <c r="C21" s="4" t="str">
        <f>IFERROR(INDEX('Projekt-Budget-Übersicht'!$C:$C,MATCH(888,'Projekt-Budget-Übersicht'!$L:$L,0)),"")</f>
        <v/>
      </c>
      <c r="D21" s="4">
        <v>31.5</v>
      </c>
      <c r="E21" s="4">
        <v>100.5</v>
      </c>
      <c r="F21" s="5">
        <f>SUM(F7,I7,K7)</f>
        <v>32</v>
      </c>
      <c r="G21" s="15">
        <v>319.05</v>
      </c>
      <c r="H21" s="5">
        <f>SUM(H7)</f>
        <v>0</v>
      </c>
      <c r="I21" s="5">
        <f>IF(H21=0,0,F21-H21)</f>
        <v>0</v>
      </c>
      <c r="J21" s="4" t="s">
        <v>5531</v>
      </c>
      <c r="K21" s="5">
        <f>SUM(K7)</f>
        <v>0</v>
      </c>
      <c r="L21" s="10">
        <f>IF($B$2="-",0,IFERROR(INDEX(IF($B$2="SV",'Projekt-Budget-Übersicht'!$H:$H,IF($B$2="CAD",'Projekt-Budget-Übersicht'!$I:$I,IF($B$2="ADM",'Projekt-Budget-Übersicht'!$J:$J,'Projekt-Budget-Übersicht'!$H:$H))),MATCH(888,'Projekt-Budget-Übersicht'!$L:$L,0)),0))</f>
        <v>0</v>
      </c>
      <c r="M21" s="10">
        <f>IF($B$2="-",0,IF(C21="Pauschale",IF(OR(Q21=0,N(D21)=0),0,MAX(0,MIN(Q21*((N(F21)+N(K21))/N(D21)),Q21-Q21*(N(E21)/N(D21))))),L21*(N(F21)+N(K21))))</f>
        <v>0</v>
      </c>
      <c r="N21" s="10">
        <f>IF($B$2="-",0,IF(C21="Pauschale",IF(OR(Q21=0,N(D21)=0),0,Q21*((N(F21)+N(K21))/N(D21))),L21*(N(F21)+N(K21))))</f>
        <v>0</v>
      </c>
      <c r="O21" s="10">
        <f>N21-M21</f>
        <v>0</v>
      </c>
      <c r="P21" s="10">
        <f>'E. Iago Barros de Oliveira'!M21+'S. Schüler'!M136</f>
        <v>0</v>
      </c>
      <c r="Q21" s="10">
        <f>IFERROR(INDEX('Projekt-Budget-Übersicht'!$E:$E,MATCH(888,'Projekt-Budget-Übersicht'!$L:$L,0)),0)</f>
        <v>0</v>
      </c>
      <c r="R21" s="10">
        <v>3215.31</v>
      </c>
      <c r="S21" s="4"/>
      <c r="T21" s="4"/>
      <c r="U21" s="4"/>
    </row>
    <row r="23" spans="1:21" x14ac:dyDescent="0.25">
      <c r="A23" s="3"/>
      <c r="B23" s="3" t="s">
        <v>5492</v>
      </c>
      <c r="C23" s="3"/>
      <c r="D23" s="3"/>
      <c r="E23" s="3"/>
      <c r="F23" s="6">
        <f>SUM(F8)</f>
        <v>44.5</v>
      </c>
      <c r="G23" s="3"/>
      <c r="H23" s="3"/>
      <c r="I23" s="3"/>
      <c r="J23" s="3"/>
      <c r="K23" s="3"/>
      <c r="L23" s="3"/>
      <c r="M23" s="17">
        <f>SUM(M21:M21)</f>
        <v>0</v>
      </c>
      <c r="N23" s="17">
        <f>SUM(N21:N21)</f>
        <v>0</v>
      </c>
      <c r="O23" s="17">
        <f>SUM(O21:O21)</f>
        <v>0</v>
      </c>
      <c r="P23" s="17">
        <f>SUM(P21:P21)</f>
        <v>0</v>
      </c>
      <c r="Q23" s="3"/>
      <c r="R23" s="3"/>
      <c r="S23" s="3"/>
      <c r="T23" s="3"/>
      <c r="U23" s="3"/>
    </row>
    <row r="24" spans="1:21" x14ac:dyDescent="0.25">
      <c r="A24" s="3"/>
      <c r="B24" s="3" t="s">
        <v>4</v>
      </c>
      <c r="C24" s="3"/>
      <c r="D24" s="3"/>
      <c r="E24" s="3"/>
      <c r="F24" s="6">
        <f>G24+H24</f>
        <v>12.5</v>
      </c>
      <c r="G24" s="6">
        <f>SUM(G9)</f>
        <v>12.5</v>
      </c>
      <c r="H24" s="6"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/>
      <c r="B25" s="3" t="s">
        <v>5</v>
      </c>
      <c r="C25" s="3"/>
      <c r="D25" s="3"/>
      <c r="E25" s="3"/>
      <c r="F25" s="6">
        <f>G25+H25</f>
        <v>0</v>
      </c>
      <c r="G25" s="6">
        <f>SUM(G10)</f>
        <v>0</v>
      </c>
      <c r="H25" s="6"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5493</v>
      </c>
      <c r="C26" s="3"/>
      <c r="D26" s="3"/>
      <c r="E26" s="3"/>
      <c r="F26" s="6">
        <f>SUM(F11)</f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18"/>
      <c r="B27" s="18" t="s">
        <v>5494</v>
      </c>
      <c r="C27" s="18"/>
      <c r="D27" s="18"/>
      <c r="E27" s="18"/>
      <c r="F27" s="19">
        <f>F24+F25+F26</f>
        <v>12.5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9" spans="1:21" ht="15.75" x14ac:dyDescent="0.25">
      <c r="A29" s="2" t="s">
        <v>5532</v>
      </c>
    </row>
    <row r="30" spans="1:21" x14ac:dyDescent="0.25">
      <c r="A30" s="13" t="s">
        <v>10</v>
      </c>
      <c r="B30" s="13">
        <v>44.5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</row>
    <row r="31" spans="1:21" x14ac:dyDescent="0.25">
      <c r="A31" s="13" t="s">
        <v>11</v>
      </c>
      <c r="B31" s="20">
        <f>SUM(F9)</f>
        <v>12.5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</row>
    <row r="32" spans="1:21" x14ac:dyDescent="0.25">
      <c r="A32" s="13" t="s">
        <v>12</v>
      </c>
      <c r="B32" s="20">
        <f>SUM(F10)</f>
        <v>0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</row>
  </sheetData>
  <conditionalFormatting sqref="I6:I7">
    <cfRule type="cellIs" dxfId="53" priority="1" stopIfTrue="1" operator="lessThan">
      <formula>0</formula>
    </cfRule>
  </conditionalFormatting>
  <conditionalFormatting sqref="I21">
    <cfRule type="cellIs" dxfId="52" priority="3" stopIfTrue="1" operator="lessThan">
      <formula>0</formula>
    </cfRule>
  </conditionalFormatting>
  <dataValidations count="3">
    <dataValidation type="list" sqref="B2" xr:uid="{00000000-0002-0000-0600-000000000000}">
      <formula1>"SV,CAD,ADM,Pauschale,-"</formula1>
    </dataValidation>
    <dataValidation type="list" allowBlank="1" sqref="T6:T7" xr:uid="{00000000-0002-0000-0600-000001000000}">
      <formula1>"SR,AZ"</formula1>
    </dataValidation>
    <dataValidation type="list" allowBlank="1" sqref="J7" xr:uid="{00000000-0002-0000-0600-000002000000}">
      <formula1>"S. Schüler"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U108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5575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3401</v>
      </c>
      <c r="B6" s="4" t="s">
        <v>5488</v>
      </c>
      <c r="C6" s="4" t="str">
        <f>IFERROR(INDEX('Projekt-Budget-Übersicht'!$C:$C,MATCH(3615,'Projekt-Budget-Übersicht'!$L:$L,0)),"")</f>
        <v/>
      </c>
      <c r="D6" s="4">
        <v>2</v>
      </c>
      <c r="E6" s="4">
        <v>3.5</v>
      </c>
      <c r="F6" s="4">
        <v>2</v>
      </c>
      <c r="G6" s="15">
        <v>175</v>
      </c>
      <c r="H6" s="5"/>
      <c r="I6" s="5">
        <f t="shared" ref="I6:I22" si="0">IF(H6=0,0,F6-H6)</f>
        <v>0</v>
      </c>
      <c r="J6" s="4"/>
      <c r="K6" s="5">
        <f>IF('A. Kokott'!J15="H. Bektas",'A. Kokott'!I15,0)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IF($B$2="-",0,IFERROR(INDEX(IF($B$2="SV",'Projekt-Budget-Übersicht'!$I:$I,IF($B$2="CAD",'Projekt-Budget-Übersicht'!$J:$J,IF($B$2="ADM",'Projekt-Budget-Übersicht'!$K:$K,'Projekt-Budget-Übersicht'!$I:$I))),MATCH(3615,'Projekt-Budget-Übersicht'!$M:$M,0)),0))</f>
        <v>100</v>
      </c>
      <c r="M6" s="10">
        <f t="shared" ref="M6:M22" si="1">IF($B$2="-",0,IF(C6="Pauschale",IF(OR(R6=0,N(D6)=0),0,MAX(0,MIN(R6*((N(F6)+N(K6))/N(D6)),R6-R6*(N(E6)/N(D6))))),L6*(N(F6)+N(K6))))</f>
        <v>200</v>
      </c>
      <c r="N6" s="10">
        <f t="shared" ref="N6:N22" si="2">IF($B$2="-",0,IF(C6="Pauschale",IF(OR(R6=0,N(D6)=0),0,R6*((N(F6)+N(K6))/N(D6))),L6*(N(F6)+N(K6))))</f>
        <v>200</v>
      </c>
      <c r="O6" s="10">
        <f t="shared" ref="O6:O22" si="3">N6-M6</f>
        <v>0</v>
      </c>
      <c r="P6" s="10">
        <f>'A. Kokott'!M15+'H. Bektas'!M6</f>
        <v>250</v>
      </c>
      <c r="Q6" s="10">
        <v>343.57</v>
      </c>
      <c r="R6" s="10">
        <f>IFERROR(INDEX('Projekt-Budget-Übersicht'!$F:$F,MATCH(3615,'Projekt-Budget-Übersicht'!$L:$L,0)),0)</f>
        <v>0</v>
      </c>
      <c r="S6" s="10">
        <v>17.5</v>
      </c>
      <c r="T6" s="4"/>
      <c r="U6" s="4"/>
    </row>
    <row r="7" spans="1:21" x14ac:dyDescent="0.25">
      <c r="A7" s="4" t="s">
        <v>3831</v>
      </c>
      <c r="B7" s="4" t="s">
        <v>5489</v>
      </c>
      <c r="C7" s="4" t="str">
        <f>IFERROR(INDEX('Projekt-Budget-Übersicht'!$C:$C,MATCH(3985,'Projekt-Budget-Übersicht'!$L:$L,0)),"")</f>
        <v/>
      </c>
      <c r="D7" s="4">
        <v>68</v>
      </c>
      <c r="E7" s="4">
        <v>47.25</v>
      </c>
      <c r="F7" s="4">
        <v>24</v>
      </c>
      <c r="G7" s="16">
        <v>69.489999999999995</v>
      </c>
      <c r="H7" s="5"/>
      <c r="I7" s="5">
        <f t="shared" si="0"/>
        <v>0</v>
      </c>
      <c r="J7" s="4"/>
      <c r="K7" s="5">
        <f>IF('A. Kokott'!J16="H. Bektas",'A. Kokott'!I16,0)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Kokott'!M16+'H. Bektas'!M7</f>
        <v>0</v>
      </c>
      <c r="Q7" s="10">
        <v>68</v>
      </c>
      <c r="R7" s="10">
        <f>IFERROR(INDEX('Projekt-Budget-Übersicht'!$F:$F,MATCH(3985,'Projekt-Budget-Übersicht'!$L:$L,0)),0)</f>
        <v>0</v>
      </c>
      <c r="S7" s="10">
        <v>342.5</v>
      </c>
      <c r="T7" s="4"/>
      <c r="U7" s="4"/>
    </row>
    <row r="8" spans="1:21" x14ac:dyDescent="0.25">
      <c r="A8" s="4" t="s">
        <v>4489</v>
      </c>
      <c r="B8" s="4" t="s">
        <v>5567</v>
      </c>
      <c r="C8" s="4" t="str">
        <f>IFERROR(INDEX('Projekt-Budget-Übersicht'!$C:$C,MATCH(4552,'Projekt-Budget-Übersicht'!$L:$L,0)),"")</f>
        <v/>
      </c>
      <c r="D8" s="4">
        <v>10</v>
      </c>
      <c r="E8" s="4">
        <v>16.25</v>
      </c>
      <c r="F8" s="4">
        <v>3</v>
      </c>
      <c r="G8" s="15">
        <v>162.5</v>
      </c>
      <c r="H8" s="5"/>
      <c r="I8" s="5">
        <f t="shared" si="0"/>
        <v>0</v>
      </c>
      <c r="J8" s="4"/>
      <c r="K8" s="5">
        <f>IF('E. Bieler'!J25="H. Bektas",'E. Bieler'!I25,0)+IF('J. Dorchies'!J14="H. Bektas",'J. Dorchies'!I14,0)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100</v>
      </c>
      <c r="M8" s="10">
        <f t="shared" si="1"/>
        <v>300</v>
      </c>
      <c r="N8" s="10">
        <f t="shared" si="2"/>
        <v>300</v>
      </c>
      <c r="O8" s="10">
        <f t="shared" si="3"/>
        <v>0</v>
      </c>
      <c r="P8" s="10">
        <f>'E. Bieler'!M25+'H. Bektas'!M8+'J. Dorchies'!M14</f>
        <v>400</v>
      </c>
      <c r="Q8" s="10">
        <v>56</v>
      </c>
      <c r="R8" s="10">
        <f>IFERROR(INDEX('Projekt-Budget-Übersicht'!$F:$F,MATCH(4552,'Projekt-Budget-Übersicht'!$L:$L,0)),0)</f>
        <v>0</v>
      </c>
      <c r="S8" s="10">
        <v>134.15</v>
      </c>
      <c r="T8" s="4"/>
      <c r="U8" s="4"/>
    </row>
    <row r="9" spans="1:21" x14ac:dyDescent="0.25">
      <c r="A9" s="4" t="s">
        <v>4669</v>
      </c>
      <c r="B9" s="4" t="s">
        <v>5459</v>
      </c>
      <c r="C9" s="4" t="str">
        <f>IFERROR(INDEX('Projekt-Budget-Übersicht'!$C:$C,MATCH(4697,'Projekt-Budget-Übersicht'!$L:$L,0)),"")</f>
        <v/>
      </c>
      <c r="D9" s="4">
        <v>16</v>
      </c>
      <c r="E9" s="4">
        <v>14.25</v>
      </c>
      <c r="F9" s="4">
        <v>2</v>
      </c>
      <c r="G9" s="16">
        <v>89.06</v>
      </c>
      <c r="H9" s="5"/>
      <c r="I9" s="5">
        <f t="shared" si="0"/>
        <v>0</v>
      </c>
      <c r="J9" s="4"/>
      <c r="K9" s="5">
        <f>IF('E. Bieler'!J26="H. Bektas",'E. Bieler'!I26,0)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117.39130434782609</v>
      </c>
      <c r="M9" s="10">
        <f t="shared" si="1"/>
        <v>234.78260869565219</v>
      </c>
      <c r="N9" s="10">
        <f t="shared" si="2"/>
        <v>234.78260869565219</v>
      </c>
      <c r="O9" s="10">
        <f t="shared" si="3"/>
        <v>0</v>
      </c>
      <c r="P9" s="10">
        <f>'E. Bieler'!M26+'H. Bektas'!M9</f>
        <v>264.13043478260869</v>
      </c>
      <c r="Q9" s="10">
        <v>23</v>
      </c>
      <c r="R9" s="10">
        <f>IFERROR(INDEX('Projekt-Budget-Übersicht'!$F:$F,MATCH(4697,'Projekt-Budget-Übersicht'!$L:$L,0)),0)</f>
        <v>0</v>
      </c>
      <c r="S9" s="10">
        <v>360.82</v>
      </c>
      <c r="T9" s="4"/>
      <c r="U9" s="4"/>
    </row>
    <row r="10" spans="1:21" x14ac:dyDescent="0.25">
      <c r="A10" s="4" t="s">
        <v>4785</v>
      </c>
      <c r="B10" s="4" t="s">
        <v>5459</v>
      </c>
      <c r="C10" s="4" t="str">
        <f>IFERROR(INDEX('Projekt-Budget-Übersicht'!$C:$C,MATCH(4792,'Projekt-Budget-Übersicht'!$L:$L,0)),"")</f>
        <v/>
      </c>
      <c r="D10" s="4">
        <v>19</v>
      </c>
      <c r="E10" s="4">
        <v>20.75</v>
      </c>
      <c r="F10" s="4">
        <v>2.5</v>
      </c>
      <c r="G10" s="15">
        <v>109.21</v>
      </c>
      <c r="H10" s="5"/>
      <c r="I10" s="5">
        <f t="shared" si="0"/>
        <v>0</v>
      </c>
      <c r="J10" s="4"/>
      <c r="K10" s="5">
        <f>IF('E. Bieler'!J27="H. Bektas",'E. Bieler'!I27,0)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126.92307692307691</v>
      </c>
      <c r="M10" s="10">
        <f t="shared" si="1"/>
        <v>317.30769230769226</v>
      </c>
      <c r="N10" s="10">
        <f t="shared" si="2"/>
        <v>317.30769230769226</v>
      </c>
      <c r="O10" s="10">
        <f t="shared" si="3"/>
        <v>0</v>
      </c>
      <c r="P10" s="10">
        <f>'E. Bieler'!M27+'H. Bektas'!M10</f>
        <v>349.03846153846149</v>
      </c>
      <c r="Q10" s="10">
        <v>59</v>
      </c>
      <c r="R10" s="10">
        <f>IFERROR(INDEX('Projekt-Budget-Übersicht'!$F:$F,MATCH(4792,'Projekt-Budget-Übersicht'!$L:$L,0)),0)</f>
        <v>0</v>
      </c>
      <c r="S10" s="10">
        <v>330.82</v>
      </c>
      <c r="T10" s="4"/>
      <c r="U10" s="4"/>
    </row>
    <row r="11" spans="1:21" x14ac:dyDescent="0.25">
      <c r="A11" s="4" t="s">
        <v>4797</v>
      </c>
      <c r="B11" s="4" t="s">
        <v>5459</v>
      </c>
      <c r="C11" s="4" t="str">
        <f>IFERROR(INDEX('Projekt-Budget-Übersicht'!$C:$C,MATCH(4803,'Projekt-Budget-Übersicht'!$L:$L,0)),"")</f>
        <v/>
      </c>
      <c r="D11" s="4">
        <v>19</v>
      </c>
      <c r="E11" s="4">
        <v>18.25</v>
      </c>
      <c r="F11" s="4">
        <v>8</v>
      </c>
      <c r="G11" s="14">
        <v>96.05</v>
      </c>
      <c r="H11" s="5"/>
      <c r="I11" s="5">
        <f t="shared" si="0"/>
        <v>0</v>
      </c>
      <c r="J11" s="4"/>
      <c r="K11" s="5">
        <f>IF('E. Bieler'!J28="H. Bektas",'E. Bieler'!I28,0)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126.92307692307691</v>
      </c>
      <c r="M11" s="10">
        <f t="shared" si="1"/>
        <v>1015.3846153846152</v>
      </c>
      <c r="N11" s="10">
        <f t="shared" si="2"/>
        <v>1015.3846153846152</v>
      </c>
      <c r="O11" s="10">
        <f t="shared" si="3"/>
        <v>0</v>
      </c>
      <c r="P11" s="10">
        <f>'E. Bieler'!M28+'H. Bektas'!M11</f>
        <v>1047.1153846153845</v>
      </c>
      <c r="Q11" s="10">
        <v>126</v>
      </c>
      <c r="R11" s="10">
        <f>IFERROR(INDEX('Projekt-Budget-Übersicht'!$F:$F,MATCH(4803,'Projekt-Budget-Übersicht'!$L:$L,0)),0)</f>
        <v>0</v>
      </c>
      <c r="S11" s="10">
        <v>330.82</v>
      </c>
      <c r="T11" s="4"/>
      <c r="U11" s="4"/>
    </row>
    <row r="12" spans="1:21" x14ac:dyDescent="0.25">
      <c r="A12" s="4" t="s">
        <v>4809</v>
      </c>
      <c r="B12" s="4" t="s">
        <v>5485</v>
      </c>
      <c r="C12" s="4" t="str">
        <f>IFERROR(INDEX('Projekt-Budget-Übersicht'!$C:$C,MATCH(4813,'Projekt-Budget-Übersicht'!$L:$L,0)),"")</f>
        <v/>
      </c>
      <c r="D12" s="4">
        <v>20</v>
      </c>
      <c r="E12" s="4">
        <v>19</v>
      </c>
      <c r="F12" s="4">
        <v>19</v>
      </c>
      <c r="G12" s="14">
        <v>95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118.5185185185185</v>
      </c>
      <c r="M12" s="10">
        <f t="shared" si="1"/>
        <v>2251.8518518518517</v>
      </c>
      <c r="N12" s="10">
        <f t="shared" si="2"/>
        <v>2251.8518518518517</v>
      </c>
      <c r="O12" s="10">
        <f t="shared" si="3"/>
        <v>0</v>
      </c>
      <c r="P12" s="10">
        <f>'H. Bektas'!M12</f>
        <v>2251.8518518518517</v>
      </c>
      <c r="Q12" s="10">
        <v>62</v>
      </c>
      <c r="R12" s="10">
        <f>IFERROR(INDEX('Projekt-Budget-Übersicht'!$F:$F,MATCH(4813,'Projekt-Budget-Übersicht'!$L:$L,0)),0)</f>
        <v>0</v>
      </c>
      <c r="S12" s="10">
        <v>440</v>
      </c>
      <c r="T12" s="4"/>
      <c r="U12" s="4"/>
    </row>
    <row r="13" spans="1:21" x14ac:dyDescent="0.25">
      <c r="A13" s="21" t="s">
        <v>5506</v>
      </c>
      <c r="B13" s="4" t="s">
        <v>5576</v>
      </c>
      <c r="C13" s="4" t="str">
        <f>IFERROR(INDEX('Projekt-Budget-Übersicht'!$C:$C,MATCH(4889,'Projekt-Budget-Übersicht'!$L:$L,0)),"")</f>
        <v/>
      </c>
      <c r="D13" s="4">
        <v>2</v>
      </c>
      <c r="E13" s="4">
        <v>2</v>
      </c>
      <c r="F13" s="4">
        <v>2</v>
      </c>
      <c r="G13" s="14">
        <v>100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IF($B$2="-",0,IFERROR(INDEX(IF($B$2="SV",'Projekt-Budget-Übersicht'!$I:$I,IF($B$2="CAD",'Projekt-Budget-Übersicht'!$J:$J,IF($B$2="ADM",'Projekt-Budget-Übersicht'!$K:$K,'Projekt-Budget-Übersicht'!$I:$I))),MATCH(4889,'Projekt-Budget-Übersicht'!$M:$M,0)),0))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'H. Bektas'!M13</f>
        <v>0</v>
      </c>
      <c r="Q13" s="10">
        <v>12</v>
      </c>
      <c r="R13" s="10">
        <f>IFERROR(INDEX('Projekt-Budget-Übersicht'!$F:$F,MATCH(4889,'Projekt-Budget-Übersicht'!$L:$L,0)),0)</f>
        <v>0</v>
      </c>
      <c r="S13" s="10">
        <v>202.5</v>
      </c>
      <c r="T13" s="4"/>
      <c r="U13" s="4"/>
    </row>
    <row r="14" spans="1:21" x14ac:dyDescent="0.25">
      <c r="A14" s="22"/>
      <c r="B14" s="4" t="s">
        <v>5508</v>
      </c>
      <c r="C14" s="4" t="str">
        <f>IFERROR(INDEX('Projekt-Budget-Übersicht'!$C:$C,MATCH(4890,'Projekt-Budget-Übersicht'!$L:$L,0)),"")</f>
        <v/>
      </c>
      <c r="D14" s="4">
        <v>10</v>
      </c>
      <c r="E14" s="4">
        <v>9.5</v>
      </c>
      <c r="F14" s="4">
        <v>8</v>
      </c>
      <c r="G14" s="14">
        <v>95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IF($B$2="-",0,IFERROR(INDEX(IF($B$2="SV",'Projekt-Budget-Übersicht'!$I:$I,IF($B$2="CAD",'Projekt-Budget-Übersicht'!$J:$J,IF($B$2="ADM",'Projekt-Budget-Übersicht'!$K:$K,'Projekt-Budget-Übersicht'!$I:$I))),MATCH(4890,'Projekt-Budget-Übersicht'!$M:$M,0)),0))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'H. Bektas'!M14</f>
        <v>0</v>
      </c>
      <c r="Q14" s="10">
        <v>10</v>
      </c>
      <c r="R14" s="10">
        <f>IFERROR(INDEX('Projekt-Budget-Übersicht'!$F:$F,MATCH(4890,'Projekt-Budget-Übersicht'!$L:$L,0)),0)</f>
        <v>0</v>
      </c>
      <c r="S14" s="10">
        <v>17.5</v>
      </c>
      <c r="T14" s="4"/>
      <c r="U14" s="4"/>
    </row>
    <row r="15" spans="1:21" x14ac:dyDescent="0.25">
      <c r="A15" s="4" t="s">
        <v>4911</v>
      </c>
      <c r="B15" s="4" t="s">
        <v>5459</v>
      </c>
      <c r="C15" s="4" t="str">
        <f>IFERROR(INDEX('Projekt-Budget-Übersicht'!$C:$C,MATCH(4897,'Projekt-Budget-Übersicht'!$L:$L,0)),"")</f>
        <v/>
      </c>
      <c r="D15" s="4">
        <v>16</v>
      </c>
      <c r="E15" s="4">
        <v>19</v>
      </c>
      <c r="F15" s="4">
        <v>7</v>
      </c>
      <c r="G15" s="15">
        <v>118.75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127.27272727272729</v>
      </c>
      <c r="M15" s="10">
        <f t="shared" si="1"/>
        <v>890.90909090909111</v>
      </c>
      <c r="N15" s="10">
        <f t="shared" si="2"/>
        <v>890.90909090909111</v>
      </c>
      <c r="O15" s="10">
        <f t="shared" si="3"/>
        <v>0</v>
      </c>
      <c r="P15" s="10">
        <f>'H. Bektas'!M15</f>
        <v>890.90909090909111</v>
      </c>
      <c r="Q15" s="10">
        <v>68</v>
      </c>
      <c r="R15" s="10">
        <f>IFERROR(INDEX('Projekt-Budget-Übersicht'!$F:$F,MATCH(4897,'Projekt-Budget-Übersicht'!$L:$L,0)),0)</f>
        <v>0</v>
      </c>
      <c r="S15" s="10">
        <v>267.5</v>
      </c>
      <c r="T15" s="4"/>
      <c r="U15" s="4"/>
    </row>
    <row r="16" spans="1:21" x14ac:dyDescent="0.25">
      <c r="A16" s="4" t="s">
        <v>4958</v>
      </c>
      <c r="B16" s="4" t="s">
        <v>5459</v>
      </c>
      <c r="C16" s="4" t="str">
        <f>IFERROR(INDEX('Projekt-Budget-Übersicht'!$C:$C,MATCH(4932,'Projekt-Budget-Übersicht'!$L:$L,0)),"")</f>
        <v/>
      </c>
      <c r="D16" s="4">
        <v>16</v>
      </c>
      <c r="E16" s="4">
        <v>15.25</v>
      </c>
      <c r="F16" s="4">
        <v>7</v>
      </c>
      <c r="G16" s="14">
        <v>95.31</v>
      </c>
      <c r="H16" s="5"/>
      <c r="I16" s="5">
        <f t="shared" si="0"/>
        <v>0</v>
      </c>
      <c r="J16" s="4"/>
      <c r="K16" s="5">
        <f>IF('E. Bieler'!J33="H. Bektas",'E. Bieler'!I33,0)</f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127.27272727272729</v>
      </c>
      <c r="M16" s="10">
        <f t="shared" si="1"/>
        <v>890.90909090909111</v>
      </c>
      <c r="N16" s="10">
        <f t="shared" si="2"/>
        <v>890.90909090909111</v>
      </c>
      <c r="O16" s="10">
        <f t="shared" si="3"/>
        <v>0</v>
      </c>
      <c r="P16" s="10">
        <f>'E. Bieler'!M33+'H. Bektas'!M16</f>
        <v>922.72727272727298</v>
      </c>
      <c r="Q16" s="10">
        <v>73</v>
      </c>
      <c r="R16" s="10">
        <f>IFERROR(INDEX('Projekt-Budget-Übersicht'!$F:$F,MATCH(4932,'Projekt-Budget-Übersicht'!$L:$L,0)),0)</f>
        <v>0</v>
      </c>
      <c r="S16" s="10">
        <v>315.82</v>
      </c>
      <c r="T16" s="4"/>
      <c r="U16" s="4"/>
    </row>
    <row r="17" spans="1:21" x14ac:dyDescent="0.25">
      <c r="A17" s="4" t="s">
        <v>5033</v>
      </c>
      <c r="B17" s="4" t="s">
        <v>5459</v>
      </c>
      <c r="C17" s="4" t="str">
        <f>IFERROR(INDEX('Projekt-Budget-Übersicht'!$C:$C,MATCH(5015,'Projekt-Budget-Übersicht'!$L:$L,0)),"")</f>
        <v/>
      </c>
      <c r="D17" s="4">
        <v>17</v>
      </c>
      <c r="E17" s="4">
        <v>16.25</v>
      </c>
      <c r="F17" s="4">
        <v>16</v>
      </c>
      <c r="G17" s="14">
        <v>95.59</v>
      </c>
      <c r="H17" s="5"/>
      <c r="I17" s="5">
        <f t="shared" si="0"/>
        <v>0</v>
      </c>
      <c r="J17" s="4"/>
      <c r="K17" s="5">
        <f>IF('E. Bieler'!J35="H. Bektas",'E. Bieler'!I35,0)</f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118.1818181818182</v>
      </c>
      <c r="M17" s="10">
        <f t="shared" si="1"/>
        <v>1890.9090909090912</v>
      </c>
      <c r="N17" s="10">
        <f t="shared" si="2"/>
        <v>1890.9090909090912</v>
      </c>
      <c r="O17" s="10">
        <f t="shared" si="3"/>
        <v>0</v>
      </c>
      <c r="P17" s="10">
        <f>'E. Bieler'!M35+'H. Bektas'!M17</f>
        <v>1920.4545454545457</v>
      </c>
      <c r="Q17" s="10">
        <v>22</v>
      </c>
      <c r="R17" s="10">
        <f>IFERROR(INDEX('Projekt-Budget-Übersicht'!$F:$F,MATCH(5015,'Projekt-Budget-Übersicht'!$L:$L,0)),0)</f>
        <v>0</v>
      </c>
      <c r="S17" s="10">
        <v>248.32</v>
      </c>
      <c r="T17" s="4"/>
      <c r="U17" s="4"/>
    </row>
    <row r="18" spans="1:21" x14ac:dyDescent="0.25">
      <c r="A18" s="4" t="s">
        <v>5056</v>
      </c>
      <c r="B18" s="4" t="s">
        <v>5459</v>
      </c>
      <c r="C18" s="4" t="str">
        <f>IFERROR(INDEX('Projekt-Budget-Übersicht'!$C:$C,MATCH(5033,'Projekt-Budget-Übersicht'!$L:$L,0)),"")</f>
        <v/>
      </c>
      <c r="D18" s="4">
        <v>17</v>
      </c>
      <c r="E18" s="4">
        <v>13.5</v>
      </c>
      <c r="F18" s="4">
        <v>13</v>
      </c>
      <c r="G18" s="16">
        <v>79.41</v>
      </c>
      <c r="H18" s="5"/>
      <c r="I18" s="5">
        <f t="shared" si="0"/>
        <v>0</v>
      </c>
      <c r="J18" s="4"/>
      <c r="K18" s="5">
        <f>IF('E. Bieler'!J37="H. Bektas",'E. Bieler'!I37,0)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18" s="10">
        <f t="shared" si="1"/>
        <v>1313</v>
      </c>
      <c r="N18" s="10">
        <f t="shared" si="2"/>
        <v>1313</v>
      </c>
      <c r="O18" s="10">
        <f t="shared" si="3"/>
        <v>0</v>
      </c>
      <c r="P18" s="10">
        <f>'E. Bieler'!M37+'H. Bektas'!M18</f>
        <v>1363.5</v>
      </c>
      <c r="Q18" s="10">
        <v>20</v>
      </c>
      <c r="R18" s="10">
        <f>IFERROR(INDEX('Projekt-Budget-Übersicht'!$F:$F,MATCH(5033,'Projekt-Budget-Übersicht'!$L:$L,0)),0)</f>
        <v>0</v>
      </c>
      <c r="S18" s="10"/>
      <c r="T18" s="4"/>
      <c r="U18" s="4"/>
    </row>
    <row r="19" spans="1:21" x14ac:dyDescent="0.25">
      <c r="A19" s="4" t="s">
        <v>5063</v>
      </c>
      <c r="B19" s="4" t="s">
        <v>5459</v>
      </c>
      <c r="C19" s="4" t="str">
        <f>IFERROR(INDEX('Projekt-Budget-Übersicht'!$C:$C,MATCH(5044,'Projekt-Budget-Übersicht'!$L:$L,0)),"")</f>
        <v/>
      </c>
      <c r="D19" s="4">
        <v>16</v>
      </c>
      <c r="E19" s="4">
        <v>13</v>
      </c>
      <c r="F19" s="4">
        <v>13</v>
      </c>
      <c r="G19" s="16">
        <v>81.25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127.27272727272729</v>
      </c>
      <c r="M19" s="10">
        <f t="shared" si="1"/>
        <v>1654.5454545454547</v>
      </c>
      <c r="N19" s="10">
        <f t="shared" si="2"/>
        <v>1654.5454545454547</v>
      </c>
      <c r="O19" s="10">
        <f t="shared" si="3"/>
        <v>0</v>
      </c>
      <c r="P19" s="10">
        <f>'H. Bektas'!M19</f>
        <v>1654.5454545454547</v>
      </c>
      <c r="Q19" s="10">
        <v>44</v>
      </c>
      <c r="R19" s="10">
        <f>IFERROR(INDEX('Projekt-Budget-Übersicht'!$F:$F,MATCH(5044,'Projekt-Budget-Übersicht'!$L:$L,0)),0)</f>
        <v>0</v>
      </c>
      <c r="S19" s="10">
        <v>235</v>
      </c>
      <c r="T19" s="4"/>
      <c r="U19" s="4"/>
    </row>
    <row r="20" spans="1:21" x14ac:dyDescent="0.25">
      <c r="A20" s="4" t="s">
        <v>5064</v>
      </c>
      <c r="B20" s="4" t="s">
        <v>5459</v>
      </c>
      <c r="C20" s="4" t="str">
        <f>IFERROR(INDEX('Projekt-Budget-Übersicht'!$C:$C,MATCH(5045,'Projekt-Budget-Übersicht'!$L:$L,0)),"")</f>
        <v/>
      </c>
      <c r="D20" s="4">
        <v>16</v>
      </c>
      <c r="E20" s="4">
        <v>16</v>
      </c>
      <c r="F20" s="4">
        <v>16</v>
      </c>
      <c r="G20" s="14">
        <v>100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127.27272727272729</v>
      </c>
      <c r="M20" s="10">
        <f t="shared" si="1"/>
        <v>2036.3636363636367</v>
      </c>
      <c r="N20" s="10">
        <f t="shared" si="2"/>
        <v>2036.3636363636367</v>
      </c>
      <c r="O20" s="10">
        <f t="shared" si="3"/>
        <v>0</v>
      </c>
      <c r="P20" s="10">
        <f>'H. Bektas'!M20</f>
        <v>2036.3636363636367</v>
      </c>
      <c r="Q20" s="10">
        <v>514</v>
      </c>
      <c r="R20" s="10">
        <f>IFERROR(INDEX('Projekt-Budget-Übersicht'!$F:$F,MATCH(5045,'Projekt-Budget-Übersicht'!$L:$L,0)),0)</f>
        <v>0</v>
      </c>
      <c r="S20" s="10">
        <v>222.5</v>
      </c>
      <c r="T20" s="4"/>
      <c r="U20" s="4"/>
    </row>
    <row r="21" spans="1:21" x14ac:dyDescent="0.25">
      <c r="A21" s="21" t="s">
        <v>5186</v>
      </c>
      <c r="B21" s="4" t="s">
        <v>5577</v>
      </c>
      <c r="C21" s="4" t="str">
        <f>IFERROR(INDEX('Projekt-Budget-Übersicht'!$C:$C,MATCH(5144,'Projekt-Budget-Übersicht'!$L:$L,0)),"")</f>
        <v/>
      </c>
      <c r="D21" s="4">
        <v>3</v>
      </c>
      <c r="E21" s="4">
        <v>3.5</v>
      </c>
      <c r="F21" s="4">
        <v>3.5</v>
      </c>
      <c r="G21" s="15">
        <v>116.67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IF($B$2="-",0,IFERROR(INDEX(IF($B$2="SV",'Projekt-Budget-Übersicht'!$I:$I,IF($B$2="CAD",'Projekt-Budget-Übersicht'!$J:$J,IF($B$2="ADM",'Projekt-Budget-Übersicht'!$K:$K,'Projekt-Budget-Übersicht'!$I:$I))),MATCH(5144,'Projekt-Budget-Übersicht'!$M:$M,0)),0))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'H. Bektas'!M21</f>
        <v>0</v>
      </c>
      <c r="Q21" s="10">
        <v>30</v>
      </c>
      <c r="R21" s="10">
        <f>IFERROR(INDEX('Projekt-Budget-Übersicht'!$F:$F,MATCH(5144,'Projekt-Budget-Übersicht'!$L:$L,0)),0)</f>
        <v>0</v>
      </c>
      <c r="S21" s="10"/>
      <c r="T21" s="4"/>
      <c r="U21" s="4"/>
    </row>
    <row r="22" spans="1:21" x14ac:dyDescent="0.25">
      <c r="A22" s="22"/>
      <c r="B22" s="4" t="s">
        <v>5459</v>
      </c>
      <c r="C22" s="4" t="s">
        <v>50</v>
      </c>
      <c r="D22" s="4">
        <v>0</v>
      </c>
      <c r="E22" s="4">
        <v>-8</v>
      </c>
      <c r="F22" s="4">
        <v>16</v>
      </c>
      <c r="G22" s="4">
        <v>0</v>
      </c>
      <c r="H22" s="5"/>
      <c r="I22" s="5">
        <f t="shared" si="0"/>
        <v>0</v>
      </c>
      <c r="J22" s="4"/>
      <c r="K22" s="5">
        <f>IF('S. Schüler'!J41="H. Bektas",'S. Schüler'!I41,0)</f>
        <v>0</v>
      </c>
      <c r="L22" s="10">
        <f>IF($B$2="-",0,0)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'H. Bektas'!M22+'S. Schüler'!M41</f>
        <v>0</v>
      </c>
      <c r="Q22" s="10"/>
      <c r="R22" s="10">
        <f>0</f>
        <v>0</v>
      </c>
      <c r="S22" s="10"/>
      <c r="T22" s="4"/>
      <c r="U22" s="4"/>
    </row>
    <row r="23" spans="1:21" x14ac:dyDescent="0.25">
      <c r="A23" s="3"/>
      <c r="B23" s="3" t="s">
        <v>5492</v>
      </c>
      <c r="C23" s="3"/>
      <c r="D23" s="3"/>
      <c r="E23" s="3"/>
      <c r="F23" s="6">
        <v>162</v>
      </c>
      <c r="G23" s="3"/>
      <c r="H23" s="3"/>
      <c r="I23" s="3"/>
      <c r="J23" s="3"/>
      <c r="K23" s="3"/>
      <c r="L23" s="3"/>
      <c r="M23" s="17">
        <f>SUM(M6:M22)</f>
        <v>12995.963131876173</v>
      </c>
      <c r="N23" s="17">
        <f>SUM(N6:N22)</f>
        <v>12995.963131876173</v>
      </c>
      <c r="O23" s="17">
        <f>SUM(O6:O22)</f>
        <v>0</v>
      </c>
      <c r="P23" s="17">
        <f>SUM(P6:P22)</f>
        <v>13350.636132788306</v>
      </c>
      <c r="Q23" s="3"/>
      <c r="R23" s="3"/>
      <c r="S23" s="3"/>
      <c r="T23" s="3"/>
      <c r="U23" s="3"/>
    </row>
    <row r="24" spans="1:21" x14ac:dyDescent="0.25">
      <c r="A24" s="3"/>
      <c r="B24" s="3" t="s">
        <v>4</v>
      </c>
      <c r="C24" s="3"/>
      <c r="D24" s="3"/>
      <c r="E24" s="3"/>
      <c r="F24" s="6">
        <f>G24+H24</f>
        <v>144</v>
      </c>
      <c r="G24" s="6">
        <v>144</v>
      </c>
      <c r="H24" s="6">
        <f>SUM(H6,H7,H8,H9,H10,H11,H12,H13,H14,H15,H16,H17,H18,H19,H20,H21,H22)</f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/>
      <c r="B25" s="3" t="s">
        <v>5</v>
      </c>
      <c r="C25" s="3"/>
      <c r="D25" s="3"/>
      <c r="E25" s="3"/>
      <c r="F25" s="6">
        <v>0</v>
      </c>
      <c r="G25" s="6">
        <v>0</v>
      </c>
      <c r="H25" s="6"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5493</v>
      </c>
      <c r="C26" s="3"/>
      <c r="D26" s="3"/>
      <c r="E26" s="3"/>
      <c r="F26" s="6">
        <f>SUM(K6:K22)</f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18"/>
      <c r="B27" s="18" t="s">
        <v>5494</v>
      </c>
      <c r="C27" s="18"/>
      <c r="D27" s="18"/>
      <c r="E27" s="18"/>
      <c r="F27" s="19">
        <f>F24+F25+F26</f>
        <v>144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9" spans="1:21" ht="15.75" x14ac:dyDescent="0.25">
      <c r="A29" s="2" t="s">
        <v>5495</v>
      </c>
    </row>
    <row r="30" spans="1:21" x14ac:dyDescent="0.25">
      <c r="A30" s="3" t="s">
        <v>35</v>
      </c>
      <c r="B30" s="3" t="s">
        <v>5461</v>
      </c>
      <c r="C30" s="3" t="s">
        <v>37</v>
      </c>
      <c r="D30" s="3" t="s">
        <v>5462</v>
      </c>
      <c r="E30" s="3" t="s">
        <v>5463</v>
      </c>
      <c r="F30" s="3" t="s">
        <v>5496</v>
      </c>
      <c r="G30" s="3" t="s">
        <v>5465</v>
      </c>
      <c r="H30" s="3" t="s">
        <v>5466</v>
      </c>
      <c r="I30" s="3" t="s">
        <v>5467</v>
      </c>
      <c r="J30" s="3" t="s">
        <v>5468</v>
      </c>
      <c r="K30" s="3" t="s">
        <v>5469</v>
      </c>
      <c r="L30" s="3" t="s">
        <v>5470</v>
      </c>
      <c r="M30" s="3" t="s">
        <v>5471</v>
      </c>
      <c r="N30" s="3" t="s">
        <v>5472</v>
      </c>
      <c r="O30" s="3" t="s">
        <v>5473</v>
      </c>
      <c r="P30" s="3" t="s">
        <v>5474</v>
      </c>
      <c r="Q30" s="3" t="s">
        <v>5475</v>
      </c>
      <c r="R30" s="3" t="s">
        <v>5476</v>
      </c>
      <c r="S30" s="3" t="s">
        <v>5477</v>
      </c>
      <c r="T30" s="3" t="s">
        <v>5478</v>
      </c>
      <c r="U30" s="3" t="s">
        <v>5479</v>
      </c>
    </row>
    <row r="31" spans="1:21" x14ac:dyDescent="0.25">
      <c r="A31" s="4" t="s">
        <v>3822</v>
      </c>
      <c r="B31" s="4" t="s">
        <v>5459</v>
      </c>
      <c r="C31" s="4" t="str">
        <f>IFERROR(INDEX('Projekt-Budget-Übersicht'!$C:$C,MATCH(3980,'Projekt-Budget-Übersicht'!$L:$L,0)),"")</f>
        <v/>
      </c>
      <c r="D31" s="4">
        <v>16</v>
      </c>
      <c r="E31" s="4">
        <v>14</v>
      </c>
      <c r="F31" s="4">
        <v>14</v>
      </c>
      <c r="G31" s="16">
        <v>87.5</v>
      </c>
      <c r="H31" s="5"/>
      <c r="I31" s="5">
        <f t="shared" ref="I31:I38" si="4">IF(H31=0,0,F31-H31)</f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118.1818181818182</v>
      </c>
      <c r="M31" s="10">
        <f t="shared" ref="M31:M38" si="5">IF($B$2="-",0,IF(C31="Pauschale",IF(OR(R31=0,N(D31)=0),0,MAX(0,MIN(R31*((N(F31)+N(K31))/N(D31)),R31-R31*(N(E31)/N(D31))))),L31*(N(F31)+N(K31))))</f>
        <v>1654.5454545454547</v>
      </c>
      <c r="N31" s="10">
        <f t="shared" ref="N31:N38" si="6">IF($B$2="-",0,IF(C31="Pauschale",IF(OR(R31=0,N(D31)=0),0,R31*((N(F31)+N(K31))/N(D31))),L31*(N(F31)+N(K31))))</f>
        <v>1654.5454545454547</v>
      </c>
      <c r="O31" s="10">
        <f t="shared" ref="O31:O38" si="7">N31-M31</f>
        <v>0</v>
      </c>
      <c r="P31" s="10">
        <f>'H. Bektas'!M31</f>
        <v>1654.5454545454547</v>
      </c>
      <c r="Q31" s="10">
        <v>58</v>
      </c>
      <c r="R31" s="10">
        <f>IFERROR(INDEX('Projekt-Budget-Übersicht'!$F:$F,MATCH(3980,'Projekt-Budget-Übersicht'!$L:$L,0)),0)</f>
        <v>0</v>
      </c>
      <c r="S31" s="10">
        <v>267.5</v>
      </c>
      <c r="T31" s="4"/>
      <c r="U31" s="4"/>
    </row>
    <row r="32" spans="1:21" x14ac:dyDescent="0.25">
      <c r="A32" s="4" t="s">
        <v>3916</v>
      </c>
      <c r="B32" s="4" t="s">
        <v>5459</v>
      </c>
      <c r="C32" s="4" t="str">
        <f>IFERROR(INDEX('Projekt-Budget-Übersicht'!$C:$C,MATCH(4059,'Projekt-Budget-Übersicht'!$L:$L,0)),"")</f>
        <v/>
      </c>
      <c r="D32" s="4">
        <v>2</v>
      </c>
      <c r="E32" s="4">
        <v>2</v>
      </c>
      <c r="F32" s="4">
        <v>2</v>
      </c>
      <c r="G32" s="14">
        <v>100</v>
      </c>
      <c r="H32" s="5"/>
      <c r="I32" s="5">
        <f t="shared" si="4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112.5</v>
      </c>
      <c r="M32" s="10">
        <f t="shared" si="5"/>
        <v>225</v>
      </c>
      <c r="N32" s="10">
        <f t="shared" si="6"/>
        <v>225</v>
      </c>
      <c r="O32" s="10">
        <f t="shared" si="7"/>
        <v>0</v>
      </c>
      <c r="P32" s="10">
        <f>'H. Bektas'!M32</f>
        <v>225</v>
      </c>
      <c r="Q32" s="10">
        <v>199</v>
      </c>
      <c r="R32" s="10">
        <f>IFERROR(INDEX('Projekt-Budget-Übersicht'!$F:$F,MATCH(4059,'Projekt-Budget-Übersicht'!$L:$L,0)),0)</f>
        <v>0</v>
      </c>
      <c r="S32" s="10">
        <v>67.5</v>
      </c>
      <c r="T32" s="4"/>
      <c r="U32" s="4"/>
    </row>
    <row r="33" spans="1:21" x14ac:dyDescent="0.25">
      <c r="A33" s="4" t="s">
        <v>4419</v>
      </c>
      <c r="B33" s="4" t="s">
        <v>5578</v>
      </c>
      <c r="C33" s="4" t="str">
        <f>IFERROR(INDEX('Projekt-Budget-Übersicht'!$C:$C,MATCH(4493,'Projekt-Budget-Übersicht'!$L:$L,0)),"")</f>
        <v/>
      </c>
      <c r="D33" s="4">
        <v>10</v>
      </c>
      <c r="E33" s="4">
        <v>9.5</v>
      </c>
      <c r="F33" s="4">
        <v>9</v>
      </c>
      <c r="G33" s="14">
        <v>95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IF($B$2="-",0,IFERROR(INDEX(IF($B$2="SV",'Projekt-Budget-Übersicht'!$I:$I,IF($B$2="CAD",'Projekt-Budget-Übersicht'!$J:$J,IF($B$2="ADM",'Projekt-Budget-Übersicht'!$K:$K,'Projekt-Budget-Übersicht'!$I:$I))),MATCH(4493,'Projekt-Budget-Übersicht'!$M:$M,0)),0))</f>
        <v>100</v>
      </c>
      <c r="M33" s="10">
        <f t="shared" si="5"/>
        <v>900</v>
      </c>
      <c r="N33" s="10">
        <f t="shared" si="6"/>
        <v>900</v>
      </c>
      <c r="O33" s="10">
        <f t="shared" si="7"/>
        <v>0</v>
      </c>
      <c r="P33" s="10">
        <f>'H. Bektas'!M33</f>
        <v>900</v>
      </c>
      <c r="Q33" s="10">
        <v>10</v>
      </c>
      <c r="R33" s="10">
        <f>IFERROR(INDEX('Projekt-Budget-Übersicht'!$F:$F,MATCH(4493,'Projekt-Budget-Übersicht'!$L:$L,0)),0)</f>
        <v>0</v>
      </c>
      <c r="S33" s="10">
        <v>25</v>
      </c>
      <c r="T33" s="4"/>
      <c r="U33" s="4"/>
    </row>
    <row r="34" spans="1:21" x14ac:dyDescent="0.25">
      <c r="A34" s="4" t="s">
        <v>4923</v>
      </c>
      <c r="B34" s="4" t="s">
        <v>5459</v>
      </c>
      <c r="C34" s="4" t="s">
        <v>50</v>
      </c>
      <c r="D34" s="4">
        <v>0</v>
      </c>
      <c r="E34" s="4">
        <v>0</v>
      </c>
      <c r="F34" s="4">
        <v>18</v>
      </c>
      <c r="G34" s="4">
        <v>0</v>
      </c>
      <c r="H34" s="5"/>
      <c r="I34" s="5">
        <f t="shared" si="4"/>
        <v>0</v>
      </c>
      <c r="J34" s="4"/>
      <c r="K34" s="5">
        <v>0</v>
      </c>
      <c r="L34" s="10">
        <f>IF($B$2="-",0,0)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'H. Bektas'!M34</f>
        <v>0</v>
      </c>
      <c r="Q34" s="10"/>
      <c r="R34" s="10">
        <f>0</f>
        <v>0</v>
      </c>
      <c r="S34" s="10"/>
      <c r="T34" s="4"/>
      <c r="U34" s="4"/>
    </row>
    <row r="35" spans="1:21" x14ac:dyDescent="0.25">
      <c r="A35" s="4" t="s">
        <v>4954</v>
      </c>
      <c r="B35" s="4" t="s">
        <v>5459</v>
      </c>
      <c r="C35" s="4" t="str">
        <f>IFERROR(INDEX('Projekt-Budget-Übersicht'!$C:$C,MATCH(4930,'Projekt-Budget-Übersicht'!$L:$L,0)),"")</f>
        <v/>
      </c>
      <c r="D35" s="4">
        <v>8</v>
      </c>
      <c r="E35" s="4">
        <v>7.75</v>
      </c>
      <c r="F35" s="4">
        <v>6</v>
      </c>
      <c r="G35" s="14">
        <v>96.88</v>
      </c>
      <c r="H35" s="5"/>
      <c r="I35" s="5">
        <f t="shared" si="4"/>
        <v>0</v>
      </c>
      <c r="J35" s="4"/>
      <c r="K35" s="5">
        <f>IF('R. Böttiger'!J42="H. Bektas",'R. Böttiger'!I42,0)+IF('T. Trautmann'!J59="H. Bektas",'T. Trautmann'!I59,0)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127.7777777777778</v>
      </c>
      <c r="M35" s="10">
        <f t="shared" si="5"/>
        <v>766.66666666666674</v>
      </c>
      <c r="N35" s="10">
        <f t="shared" si="6"/>
        <v>766.66666666666674</v>
      </c>
      <c r="O35" s="10">
        <f t="shared" si="7"/>
        <v>0</v>
      </c>
      <c r="P35" s="10">
        <f>'H. Bektas'!M35+'R. Böttiger'!M42+'T. Trautmann'!M59</f>
        <v>990.27777777777794</v>
      </c>
      <c r="Q35" s="10">
        <v>17</v>
      </c>
      <c r="R35" s="10">
        <f>IFERROR(INDEX('Projekt-Budget-Übersicht'!$F:$F,MATCH(4930,'Projekt-Budget-Übersicht'!$L:$L,0)),0)</f>
        <v>0</v>
      </c>
      <c r="S35" s="10">
        <v>85</v>
      </c>
      <c r="T35" s="4"/>
      <c r="U35" s="4"/>
    </row>
    <row r="36" spans="1:21" x14ac:dyDescent="0.25">
      <c r="A36" s="4" t="s">
        <v>5142</v>
      </c>
      <c r="B36" s="4" t="s">
        <v>5459</v>
      </c>
      <c r="C36" s="4" t="str">
        <f>IFERROR(INDEX('Projekt-Budget-Übersicht'!$C:$C,MATCH(5106,'Projekt-Budget-Übersicht'!$L:$L,0)),"")</f>
        <v/>
      </c>
      <c r="D36" s="4">
        <v>18</v>
      </c>
      <c r="E36" s="4">
        <v>16</v>
      </c>
      <c r="F36" s="4">
        <v>16</v>
      </c>
      <c r="G36" s="16">
        <v>88.89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114.8148148148148</v>
      </c>
      <c r="M36" s="10">
        <f t="shared" si="5"/>
        <v>1837.0370370370367</v>
      </c>
      <c r="N36" s="10">
        <f t="shared" si="6"/>
        <v>1837.0370370370367</v>
      </c>
      <c r="O36" s="10">
        <f t="shared" si="7"/>
        <v>0</v>
      </c>
      <c r="P36" s="10">
        <f>'H. Bektas'!M36</f>
        <v>1837.0370370370367</v>
      </c>
      <c r="Q36" s="10">
        <v>54</v>
      </c>
      <c r="R36" s="10">
        <f>IFERROR(INDEX('Projekt-Budget-Übersicht'!$F:$F,MATCH(5106,'Projekt-Budget-Übersicht'!$L:$L,0)),0)</f>
        <v>0</v>
      </c>
      <c r="S36" s="10">
        <v>385</v>
      </c>
      <c r="T36" s="4"/>
      <c r="U36" s="4"/>
    </row>
    <row r="37" spans="1:21" x14ac:dyDescent="0.25">
      <c r="A37" s="4" t="s">
        <v>5143</v>
      </c>
      <c r="B37" s="4" t="s">
        <v>5459</v>
      </c>
      <c r="C37" s="4" t="str">
        <f>IFERROR(INDEX('Projekt-Budget-Übersicht'!$C:$C,MATCH(5107,'Projekt-Budget-Übersicht'!$L:$L,0)),"")</f>
        <v/>
      </c>
      <c r="D37" s="4">
        <v>18</v>
      </c>
      <c r="E37" s="4">
        <v>7</v>
      </c>
      <c r="F37" s="4">
        <v>7</v>
      </c>
      <c r="G37" s="16">
        <v>38.89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114.8148148148148</v>
      </c>
      <c r="M37" s="10">
        <f t="shared" si="5"/>
        <v>803.70370370370358</v>
      </c>
      <c r="N37" s="10">
        <f t="shared" si="6"/>
        <v>803.70370370370358</v>
      </c>
      <c r="O37" s="10">
        <f t="shared" si="7"/>
        <v>0</v>
      </c>
      <c r="P37" s="10">
        <f>'H. Bektas'!M37</f>
        <v>803.70370370370358</v>
      </c>
      <c r="Q37" s="10">
        <v>59</v>
      </c>
      <c r="R37" s="10">
        <f>IFERROR(INDEX('Projekt-Budget-Übersicht'!$F:$F,MATCH(5107,'Projekt-Budget-Übersicht'!$L:$L,0)),0)</f>
        <v>0</v>
      </c>
      <c r="S37" s="10">
        <v>347.5</v>
      </c>
      <c r="T37" s="4"/>
      <c r="U37" s="4"/>
    </row>
    <row r="38" spans="1:21" x14ac:dyDescent="0.25">
      <c r="A38" s="4" t="s">
        <v>5186</v>
      </c>
      <c r="B38" s="4" t="s">
        <v>5459</v>
      </c>
      <c r="C38" s="4" t="s">
        <v>50</v>
      </c>
      <c r="D38" s="4">
        <v>0</v>
      </c>
      <c r="E38" s="4">
        <v>0</v>
      </c>
      <c r="F38" s="4">
        <v>8</v>
      </c>
      <c r="G38" s="4">
        <v>0</v>
      </c>
      <c r="H38" s="5"/>
      <c r="I38" s="5">
        <f t="shared" si="4"/>
        <v>0</v>
      </c>
      <c r="J38" s="4"/>
      <c r="K38" s="5">
        <v>0</v>
      </c>
      <c r="L38" s="10">
        <f>IF($B$2="-",0,0)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'H. Bektas'!M38</f>
        <v>0</v>
      </c>
      <c r="Q38" s="10"/>
      <c r="R38" s="10">
        <f>0</f>
        <v>0</v>
      </c>
      <c r="S38" s="10"/>
      <c r="T38" s="4"/>
      <c r="U38" s="4"/>
    </row>
    <row r="39" spans="1:21" x14ac:dyDescent="0.25">
      <c r="A39" s="3"/>
      <c r="B39" s="3" t="s">
        <v>5492</v>
      </c>
      <c r="C39" s="3"/>
      <c r="D39" s="3"/>
      <c r="E39" s="3"/>
      <c r="F39" s="6">
        <v>80</v>
      </c>
      <c r="G39" s="3"/>
      <c r="H39" s="3"/>
      <c r="I39" s="3"/>
      <c r="J39" s="3"/>
      <c r="K39" s="3"/>
      <c r="L39" s="3"/>
      <c r="M39" s="17">
        <f>SUM(M31:M38)</f>
        <v>6186.9528619528619</v>
      </c>
      <c r="N39" s="17">
        <f>SUM(N31:N38)</f>
        <v>6186.9528619528619</v>
      </c>
      <c r="O39" s="17">
        <f>SUM(O31:O38)</f>
        <v>0</v>
      </c>
      <c r="P39" s="17">
        <f>SUM(P31:P38)</f>
        <v>6410.5639730639732</v>
      </c>
      <c r="Q39" s="3"/>
      <c r="R39" s="3"/>
      <c r="S39" s="3"/>
      <c r="T39" s="3"/>
      <c r="U39" s="3"/>
    </row>
    <row r="40" spans="1:21" x14ac:dyDescent="0.25">
      <c r="A40" s="3"/>
      <c r="B40" s="3" t="s">
        <v>4</v>
      </c>
      <c r="C40" s="3"/>
      <c r="D40" s="3"/>
      <c r="E40" s="3"/>
      <c r="F40" s="6">
        <f>G40+H40</f>
        <v>80</v>
      </c>
      <c r="G40" s="6">
        <v>80</v>
      </c>
      <c r="H40" s="6">
        <f>SUM(H31,H32,H33,H34,H35,H36,H37,H38)</f>
        <v>0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3"/>
      <c r="B41" s="3" t="s">
        <v>5</v>
      </c>
      <c r="C41" s="3"/>
      <c r="D41" s="3"/>
      <c r="E41" s="3"/>
      <c r="F41" s="6">
        <v>0</v>
      </c>
      <c r="G41" s="6">
        <v>0</v>
      </c>
      <c r="H41" s="6">
        <v>0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3"/>
      <c r="B42" s="3" t="s">
        <v>5493</v>
      </c>
      <c r="C42" s="3"/>
      <c r="D42" s="3"/>
      <c r="E42" s="3"/>
      <c r="F42" s="6">
        <f>SUM(K31:K38)</f>
        <v>0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18"/>
      <c r="B43" s="18" t="s">
        <v>5494</v>
      </c>
      <c r="C43" s="18"/>
      <c r="D43" s="18"/>
      <c r="E43" s="18"/>
      <c r="F43" s="19">
        <f>F40+F41+F42</f>
        <v>80</v>
      </c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5" spans="1:21" ht="15.75" x14ac:dyDescent="0.25">
      <c r="A45" s="2" t="s">
        <v>5512</v>
      </c>
    </row>
    <row r="46" spans="1:21" x14ac:dyDescent="0.25">
      <c r="A46" s="3" t="s">
        <v>35</v>
      </c>
      <c r="B46" s="3" t="s">
        <v>5461</v>
      </c>
      <c r="C46" s="3" t="s">
        <v>37</v>
      </c>
      <c r="D46" s="3" t="s">
        <v>5462</v>
      </c>
      <c r="E46" s="3" t="s">
        <v>5463</v>
      </c>
      <c r="F46" s="3" t="s">
        <v>5513</v>
      </c>
      <c r="G46" s="3" t="s">
        <v>5465</v>
      </c>
      <c r="H46" s="3" t="s">
        <v>5466</v>
      </c>
      <c r="I46" s="3" t="s">
        <v>5467</v>
      </c>
      <c r="J46" s="3" t="s">
        <v>5468</v>
      </c>
      <c r="K46" s="3" t="s">
        <v>5469</v>
      </c>
      <c r="L46" s="3" t="s">
        <v>5470</v>
      </c>
      <c r="M46" s="3" t="s">
        <v>5471</v>
      </c>
      <c r="N46" s="3" t="s">
        <v>5472</v>
      </c>
      <c r="O46" s="3" t="s">
        <v>5473</v>
      </c>
      <c r="P46" s="3" t="s">
        <v>5474</v>
      </c>
      <c r="Q46" s="3" t="s">
        <v>5475</v>
      </c>
      <c r="R46" s="3" t="s">
        <v>5476</v>
      </c>
      <c r="S46" s="3" t="s">
        <v>5477</v>
      </c>
      <c r="T46" s="3" t="s">
        <v>5478</v>
      </c>
      <c r="U46" s="3" t="s">
        <v>5479</v>
      </c>
    </row>
    <row r="47" spans="1:21" x14ac:dyDescent="0.25">
      <c r="A47" s="4" t="s">
        <v>2104</v>
      </c>
      <c r="B47" s="4" t="s">
        <v>5459</v>
      </c>
      <c r="C47" s="4" t="str">
        <f>IFERROR(INDEX('Projekt-Budget-Übersicht'!$C:$C,MATCH(2473,'Projekt-Budget-Übersicht'!$L:$L,0)),"")</f>
        <v/>
      </c>
      <c r="D47" s="4">
        <v>8</v>
      </c>
      <c r="E47" s="4">
        <v>8</v>
      </c>
      <c r="F47" s="4">
        <v>8</v>
      </c>
      <c r="G47" s="14">
        <v>100</v>
      </c>
      <c r="H47" s="5"/>
      <c r="I47" s="5">
        <f t="shared" ref="I47:I55" si="8">IF(H47=0,0,F47-H47)</f>
        <v>0</v>
      </c>
      <c r="J47" s="4"/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IF($B$2="-",0,IFERROR(INDEX(IF($B$2="SV",'Projekt-Budget-Übersicht'!$I:$I,IF($B$2="CAD",'Projekt-Budget-Übersicht'!$J:$J,IF($B$2="ADM",'Projekt-Budget-Übersicht'!$K:$K,'Projekt-Budget-Übersicht'!$I:$I))),MATCH(2473,'Projekt-Budget-Übersicht'!$M:$M,0)),0))</f>
        <v>118.1818181818182</v>
      </c>
      <c r="M47" s="10">
        <f t="shared" ref="M47:M55" si="9">IF($B$2="-",0,IF(C47="Pauschale",IF(OR(R47=0,N(D47)=0),0,MAX(0,MIN(R47*((N(F47)+N(K47))/N(D47)),R47-R47*(N(E47)/N(D47))))),L47*(N(F47)+N(K47))))</f>
        <v>945.45454545454561</v>
      </c>
      <c r="N47" s="10">
        <f t="shared" ref="N47:N55" si="10">IF($B$2="-",0,IF(C47="Pauschale",IF(OR(R47=0,N(D47)=0),0,R47*((N(F47)+N(K47))/N(D47))),L47*(N(F47)+N(K47))))</f>
        <v>945.45454545454561</v>
      </c>
      <c r="O47" s="10">
        <f t="shared" ref="O47:O55" si="11">N47-M47</f>
        <v>0</v>
      </c>
      <c r="P47" s="10">
        <f>'H. Bektas'!M47</f>
        <v>945.45454545454561</v>
      </c>
      <c r="Q47" s="10">
        <v>11</v>
      </c>
      <c r="R47" s="10">
        <f>IFERROR(INDEX('Projekt-Budget-Übersicht'!$F:$F,MATCH(2473,'Projekt-Budget-Übersicht'!$L:$L,0)),0)</f>
        <v>0</v>
      </c>
      <c r="S47" s="10">
        <v>92.5</v>
      </c>
      <c r="T47" s="4"/>
      <c r="U47" s="4"/>
    </row>
    <row r="48" spans="1:21" x14ac:dyDescent="0.25">
      <c r="A48" s="4" t="s">
        <v>3831</v>
      </c>
      <c r="B48" s="4" t="s">
        <v>5489</v>
      </c>
      <c r="C48" s="4" t="str">
        <f>IFERROR(INDEX('Projekt-Budget-Übersicht'!$C:$C,MATCH(3985,'Projekt-Budget-Übersicht'!$L:$L,0)),"")</f>
        <v/>
      </c>
      <c r="D48" s="4">
        <v>68</v>
      </c>
      <c r="E48" s="4">
        <v>72.25</v>
      </c>
      <c r="F48" s="4">
        <v>25</v>
      </c>
      <c r="G48" s="15">
        <v>106.25</v>
      </c>
      <c r="H48" s="5"/>
      <c r="I48" s="5">
        <f t="shared" si="8"/>
        <v>0</v>
      </c>
      <c r="J48" s="4"/>
      <c r="K48" s="5"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IF($B$2="-",0,IFERROR(INDEX(IF($B$2="SV",'Projekt-Budget-Übersicht'!$I:$I,IF($B$2="CAD",'Projekt-Budget-Übersicht'!$J:$J,IF($B$2="ADM",'Projekt-Budget-Übersicht'!$K:$K,'Projekt-Budget-Übersicht'!$I:$I))),MATCH(3985,'Projekt-Budget-Übersicht'!$M:$M,0)),0))</f>
        <v>0</v>
      </c>
      <c r="M48" s="10">
        <f t="shared" si="9"/>
        <v>0</v>
      </c>
      <c r="N48" s="10">
        <f t="shared" si="10"/>
        <v>0</v>
      </c>
      <c r="O48" s="10">
        <f t="shared" si="11"/>
        <v>0</v>
      </c>
      <c r="P48" s="10">
        <f>'H. Bektas'!M48</f>
        <v>0</v>
      </c>
      <c r="Q48" s="10">
        <v>68</v>
      </c>
      <c r="R48" s="10">
        <f>IFERROR(INDEX('Projekt-Budget-Übersicht'!$F:$F,MATCH(3985,'Projekt-Budget-Übersicht'!$L:$L,0)),0)</f>
        <v>0</v>
      </c>
      <c r="S48" s="10">
        <v>342.5</v>
      </c>
      <c r="T48" s="4"/>
      <c r="U48" s="4"/>
    </row>
    <row r="49" spans="1:21" x14ac:dyDescent="0.25">
      <c r="A49" s="4" t="s">
        <v>4099</v>
      </c>
      <c r="B49" s="4" t="s">
        <v>5459</v>
      </c>
      <c r="C49" s="4" t="str">
        <f>IFERROR(INDEX('Projekt-Budget-Übersicht'!$C:$C,MATCH(4217,'Projekt-Budget-Übersicht'!$L:$L,0)),"")</f>
        <v/>
      </c>
      <c r="D49" s="4">
        <v>12</v>
      </c>
      <c r="E49" s="4">
        <v>17.25</v>
      </c>
      <c r="F49" s="4">
        <v>5</v>
      </c>
      <c r="G49" s="15">
        <v>143.75</v>
      </c>
      <c r="H49" s="5"/>
      <c r="I49" s="5">
        <f t="shared" si="8"/>
        <v>0</v>
      </c>
      <c r="J49" s="4"/>
      <c r="K49" s="5"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IF($B$2="-",0,IFERROR(INDEX(IF($B$2="SV",'Projekt-Budget-Übersicht'!$I:$I,IF($B$2="CAD",'Projekt-Budget-Übersicht'!$J:$J,IF($B$2="ADM",'Projekt-Budget-Übersicht'!$K:$K,'Projekt-Budget-Übersicht'!$I:$I))),MATCH(4217,'Projekt-Budget-Übersicht'!$M:$M,0)),0))</f>
        <v>117.64705882352941</v>
      </c>
      <c r="M49" s="10">
        <f t="shared" si="9"/>
        <v>588.23529411764707</v>
      </c>
      <c r="N49" s="10">
        <f t="shared" si="10"/>
        <v>588.23529411764707</v>
      </c>
      <c r="O49" s="10">
        <f t="shared" si="11"/>
        <v>0</v>
      </c>
      <c r="P49" s="10">
        <f>'H. Bektas'!M49</f>
        <v>588.23529411764707</v>
      </c>
      <c r="Q49" s="10">
        <v>191</v>
      </c>
      <c r="R49" s="10">
        <f>IFERROR(INDEX('Projekt-Budget-Übersicht'!$F:$F,MATCH(4217,'Projekt-Budget-Übersicht'!$L:$L,0)),0)</f>
        <v>0</v>
      </c>
      <c r="S49" s="10">
        <v>405</v>
      </c>
      <c r="T49" s="4"/>
      <c r="U49" s="4"/>
    </row>
    <row r="50" spans="1:21" x14ac:dyDescent="0.25">
      <c r="A50" s="4" t="s">
        <v>4152</v>
      </c>
      <c r="B50" s="4" t="s">
        <v>5517</v>
      </c>
      <c r="C50" s="4" t="str">
        <f>IFERROR(INDEX('Projekt-Budget-Übersicht'!$C:$C,MATCH(4257,'Projekt-Budget-Übersicht'!$L:$L,0)),"")</f>
        <v/>
      </c>
      <c r="D50" s="4">
        <v>4</v>
      </c>
      <c r="E50" s="4">
        <v>4.75</v>
      </c>
      <c r="F50" s="4">
        <v>3</v>
      </c>
      <c r="G50" s="15">
        <v>118.75</v>
      </c>
      <c r="H50" s="5"/>
      <c r="I50" s="5">
        <f t="shared" si="8"/>
        <v>0</v>
      </c>
      <c r="J50" s="4"/>
      <c r="K50" s="5">
        <f>IF('A. Kokott'!J105="H. Bektas",'A. Kokott'!I105,0)</f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IF($B$2="-",0,IFERROR(INDEX(IF($B$2="SV",'Projekt-Budget-Übersicht'!$I:$I,IF($B$2="CAD",'Projekt-Budget-Übersicht'!$J:$J,IF($B$2="ADM",'Projekt-Budget-Übersicht'!$K:$K,'Projekt-Budget-Übersicht'!$I:$I))),MATCH(4257,'Projekt-Budget-Übersicht'!$M:$M,0)),0))</f>
        <v>0</v>
      </c>
      <c r="M50" s="10">
        <f t="shared" si="9"/>
        <v>0</v>
      </c>
      <c r="N50" s="10">
        <f t="shared" si="10"/>
        <v>0</v>
      </c>
      <c r="O50" s="10">
        <f t="shared" si="11"/>
        <v>0</v>
      </c>
      <c r="P50" s="10">
        <f>'A. Kokott'!M105+'H. Bektas'!M50</f>
        <v>0</v>
      </c>
      <c r="Q50" s="10">
        <v>16</v>
      </c>
      <c r="R50" s="10">
        <f>IFERROR(INDEX('Projekt-Budget-Übersicht'!$F:$F,MATCH(4257,'Projekt-Budget-Übersicht'!$L:$L,0)),0)</f>
        <v>0</v>
      </c>
      <c r="S50" s="10">
        <v>17.5</v>
      </c>
      <c r="T50" s="4"/>
      <c r="U50" s="4"/>
    </row>
    <row r="51" spans="1:21" x14ac:dyDescent="0.25">
      <c r="A51" s="4" t="s">
        <v>4356</v>
      </c>
      <c r="B51" s="4" t="s">
        <v>5459</v>
      </c>
      <c r="C51" s="4" t="str">
        <f>IFERROR(INDEX('Projekt-Budget-Übersicht'!$C:$C,MATCH(4432,'Projekt-Budget-Übersicht'!$L:$L,0)),"")</f>
        <v/>
      </c>
      <c r="D51" s="4">
        <v>3</v>
      </c>
      <c r="E51" s="4">
        <v>3.5</v>
      </c>
      <c r="F51" s="4">
        <v>3</v>
      </c>
      <c r="G51" s="15">
        <v>116.67</v>
      </c>
      <c r="H51" s="5"/>
      <c r="I51" s="5">
        <f t="shared" si="8"/>
        <v>0</v>
      </c>
      <c r="J51" s="4"/>
      <c r="K51" s="5">
        <f>IF('A. Kokott'!J106="H. Bektas",'A. Kokott'!I106,0)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IF($B$2="-",0,IFERROR(INDEX(IF($B$2="SV",'Projekt-Budget-Übersicht'!$I:$I,IF($B$2="CAD",'Projekt-Budget-Übersicht'!$J:$J,IF($B$2="ADM",'Projekt-Budget-Übersicht'!$K:$K,'Projekt-Budget-Übersicht'!$I:$I))),MATCH(4432,'Projekt-Budget-Übersicht'!$M:$M,0)),0))</f>
        <v>93.333333333333329</v>
      </c>
      <c r="M51" s="10">
        <f t="shared" si="9"/>
        <v>280</v>
      </c>
      <c r="N51" s="10">
        <f t="shared" si="10"/>
        <v>280</v>
      </c>
      <c r="O51" s="10">
        <f t="shared" si="11"/>
        <v>0</v>
      </c>
      <c r="P51" s="10">
        <f>'A. Kokott'!M106+'H. Bektas'!M51</f>
        <v>326.66666666666669</v>
      </c>
      <c r="Q51" s="10">
        <v>36</v>
      </c>
      <c r="R51" s="10">
        <f>IFERROR(INDEX('Projekt-Budget-Übersicht'!$F:$F,MATCH(4432,'Projekt-Budget-Übersicht'!$L:$L,0)),0)</f>
        <v>0</v>
      </c>
      <c r="S51" s="10">
        <v>117.5</v>
      </c>
      <c r="T51" s="4"/>
      <c r="U51" s="4"/>
    </row>
    <row r="52" spans="1:21" x14ac:dyDescent="0.25">
      <c r="A52" s="4" t="s">
        <v>5056</v>
      </c>
      <c r="B52" s="4" t="s">
        <v>5459</v>
      </c>
      <c r="C52" s="4" t="str">
        <f>IFERROR(INDEX('Projekt-Budget-Übersicht'!$C:$C,MATCH(5033,'Projekt-Budget-Übersicht'!$L:$L,0)),"")</f>
        <v/>
      </c>
      <c r="D52" s="4">
        <v>17</v>
      </c>
      <c r="E52" s="4">
        <v>16.5</v>
      </c>
      <c r="F52" s="4">
        <v>3</v>
      </c>
      <c r="G52" s="14">
        <v>97.06</v>
      </c>
      <c r="H52" s="5"/>
      <c r="I52" s="5">
        <f t="shared" si="8"/>
        <v>0</v>
      </c>
      <c r="J52" s="4"/>
      <c r="K52" s="5"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52" s="10">
        <f t="shared" si="9"/>
        <v>303</v>
      </c>
      <c r="N52" s="10">
        <f t="shared" si="10"/>
        <v>303</v>
      </c>
      <c r="O52" s="10">
        <f t="shared" si="11"/>
        <v>0</v>
      </c>
      <c r="P52" s="10">
        <f>'H. Bektas'!M52</f>
        <v>303</v>
      </c>
      <c r="Q52" s="10">
        <v>20</v>
      </c>
      <c r="R52" s="10">
        <f>IFERROR(INDEX('Projekt-Budget-Übersicht'!$F:$F,MATCH(5033,'Projekt-Budget-Übersicht'!$L:$L,0)),0)</f>
        <v>0</v>
      </c>
      <c r="S52" s="10"/>
      <c r="T52" s="4"/>
      <c r="U52" s="4"/>
    </row>
    <row r="53" spans="1:21" x14ac:dyDescent="0.25">
      <c r="A53" s="4" t="s">
        <v>5142</v>
      </c>
      <c r="B53" s="4" t="s">
        <v>5459</v>
      </c>
      <c r="C53" s="4" t="str">
        <f>IFERROR(INDEX('Projekt-Budget-Übersicht'!$C:$C,MATCH(5106,'Projekt-Budget-Übersicht'!$L:$L,0)),"")</f>
        <v/>
      </c>
      <c r="D53" s="4">
        <v>18</v>
      </c>
      <c r="E53" s="4">
        <v>18</v>
      </c>
      <c r="F53" s="4">
        <v>2</v>
      </c>
      <c r="G53" s="14">
        <v>100</v>
      </c>
      <c r="H53" s="5"/>
      <c r="I53" s="5">
        <f t="shared" si="8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114.8148148148148</v>
      </c>
      <c r="M53" s="10">
        <f t="shared" si="9"/>
        <v>229.62962962962959</v>
      </c>
      <c r="N53" s="10">
        <f t="shared" si="10"/>
        <v>229.62962962962959</v>
      </c>
      <c r="O53" s="10">
        <f t="shared" si="11"/>
        <v>0</v>
      </c>
      <c r="P53" s="10">
        <f>'H. Bektas'!M53</f>
        <v>229.62962962962959</v>
      </c>
      <c r="Q53" s="10">
        <v>54</v>
      </c>
      <c r="R53" s="10">
        <f>IFERROR(INDEX('Projekt-Budget-Übersicht'!$F:$F,MATCH(5106,'Projekt-Budget-Übersicht'!$L:$L,0)),0)</f>
        <v>0</v>
      </c>
      <c r="S53" s="10">
        <v>385</v>
      </c>
      <c r="T53" s="4"/>
      <c r="U53" s="4"/>
    </row>
    <row r="54" spans="1:21" x14ac:dyDescent="0.25">
      <c r="A54" s="4" t="s">
        <v>5143</v>
      </c>
      <c r="B54" s="4" t="s">
        <v>5459</v>
      </c>
      <c r="C54" s="4" t="str">
        <f>IFERROR(INDEX('Projekt-Budget-Übersicht'!$C:$C,MATCH(5107,'Projekt-Budget-Übersicht'!$L:$L,0)),"")</f>
        <v/>
      </c>
      <c r="D54" s="4">
        <v>18</v>
      </c>
      <c r="E54" s="4">
        <v>16</v>
      </c>
      <c r="F54" s="4">
        <v>9</v>
      </c>
      <c r="G54" s="16">
        <v>88.89</v>
      </c>
      <c r="H54" s="5"/>
      <c r="I54" s="5">
        <f t="shared" si="8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114.8148148148148</v>
      </c>
      <c r="M54" s="10">
        <f t="shared" si="9"/>
        <v>1033.3333333333333</v>
      </c>
      <c r="N54" s="10">
        <f t="shared" si="10"/>
        <v>1033.3333333333333</v>
      </c>
      <c r="O54" s="10">
        <f t="shared" si="11"/>
        <v>0</v>
      </c>
      <c r="P54" s="10">
        <f>'H. Bektas'!M54</f>
        <v>1033.3333333333333</v>
      </c>
      <c r="Q54" s="10">
        <v>59</v>
      </c>
      <c r="R54" s="10">
        <f>IFERROR(INDEX('Projekt-Budget-Übersicht'!$F:$F,MATCH(5107,'Projekt-Budget-Übersicht'!$L:$L,0)),0)</f>
        <v>0</v>
      </c>
      <c r="S54" s="10">
        <v>347.5</v>
      </c>
      <c r="T54" s="4"/>
      <c r="U54" s="4"/>
    </row>
    <row r="55" spans="1:21" x14ac:dyDescent="0.25">
      <c r="A55" s="4" t="s">
        <v>5161</v>
      </c>
      <c r="B55" s="4" t="s">
        <v>5459</v>
      </c>
      <c r="C55" s="4" t="str">
        <f>IFERROR(INDEX('Projekt-Budget-Übersicht'!$C:$C,MATCH(5123,'Projekt-Budget-Übersicht'!$L:$L,0)),"")</f>
        <v/>
      </c>
      <c r="D55" s="4">
        <v>12</v>
      </c>
      <c r="E55" s="4">
        <v>11.5</v>
      </c>
      <c r="F55" s="4">
        <v>11.5</v>
      </c>
      <c r="G55" s="14">
        <v>95.83</v>
      </c>
      <c r="H55" s="5"/>
      <c r="I55" s="5">
        <f t="shared" si="8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IF($B$2="-",0,IFERROR(INDEX(IF($B$2="SV",'Projekt-Budget-Übersicht'!$I:$I,IF($B$2="CAD",'Projekt-Budget-Übersicht'!$J:$J,IF($B$2="ADM",'Projekt-Budget-Übersicht'!$K:$K,'Projekt-Budget-Übersicht'!$I:$I))),MATCH(5123,'Projekt-Budget-Übersicht'!$M:$M,0)),0))</f>
        <v>116.6666666666667</v>
      </c>
      <c r="M55" s="10">
        <f t="shared" si="9"/>
        <v>1341.666666666667</v>
      </c>
      <c r="N55" s="10">
        <f t="shared" si="10"/>
        <v>1341.666666666667</v>
      </c>
      <c r="O55" s="10">
        <f t="shared" si="11"/>
        <v>0</v>
      </c>
      <c r="P55" s="10">
        <f>'H. Bektas'!M55</f>
        <v>1341.666666666667</v>
      </c>
      <c r="Q55" s="10">
        <v>63</v>
      </c>
      <c r="R55" s="10">
        <f>IFERROR(INDEX('Projekt-Budget-Übersicht'!$F:$F,MATCH(5123,'Projekt-Budget-Übersicht'!$L:$L,0)),0)</f>
        <v>0</v>
      </c>
      <c r="S55" s="10">
        <v>217.5</v>
      </c>
      <c r="T55" s="4"/>
      <c r="U55" s="4"/>
    </row>
    <row r="56" spans="1:21" x14ac:dyDescent="0.25">
      <c r="A56" s="3"/>
      <c r="B56" s="3" t="s">
        <v>5492</v>
      </c>
      <c r="C56" s="3"/>
      <c r="D56" s="3"/>
      <c r="E56" s="3"/>
      <c r="F56" s="6">
        <v>69.5</v>
      </c>
      <c r="G56" s="3"/>
      <c r="H56" s="3"/>
      <c r="I56" s="3"/>
      <c r="J56" s="3"/>
      <c r="K56" s="3"/>
      <c r="L56" s="3"/>
      <c r="M56" s="17">
        <f>SUM(M47:M55)</f>
        <v>4721.3194692018224</v>
      </c>
      <c r="N56" s="17">
        <f>SUM(N47:N55)</f>
        <v>4721.3194692018224</v>
      </c>
      <c r="O56" s="17">
        <f>SUM(O47:O55)</f>
        <v>0</v>
      </c>
      <c r="P56" s="17">
        <f>SUM(P47:P55)</f>
        <v>4767.9861358684893</v>
      </c>
      <c r="Q56" s="3"/>
      <c r="R56" s="3"/>
      <c r="S56" s="3"/>
      <c r="T56" s="3"/>
      <c r="U56" s="3"/>
    </row>
    <row r="57" spans="1:21" x14ac:dyDescent="0.25">
      <c r="A57" s="3"/>
      <c r="B57" s="3" t="s">
        <v>4</v>
      </c>
      <c r="C57" s="3"/>
      <c r="D57" s="3"/>
      <c r="E57" s="3"/>
      <c r="F57" s="6">
        <f>G57+H57</f>
        <v>33.5</v>
      </c>
      <c r="G57" s="6">
        <v>33.5</v>
      </c>
      <c r="H57" s="6">
        <f>SUM(H47,H48,H49,H50,H51,H52,H53,H54,H55)</f>
        <v>0</v>
      </c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1:21" x14ac:dyDescent="0.25">
      <c r="A58" s="3"/>
      <c r="B58" s="3" t="s">
        <v>5</v>
      </c>
      <c r="C58" s="3"/>
      <c r="D58" s="3"/>
      <c r="E58" s="3"/>
      <c r="F58" s="6">
        <v>0</v>
      </c>
      <c r="G58" s="6">
        <v>0</v>
      </c>
      <c r="H58" s="6">
        <v>0</v>
      </c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1:21" x14ac:dyDescent="0.25">
      <c r="A59" s="3"/>
      <c r="B59" s="3" t="s">
        <v>5493</v>
      </c>
      <c r="C59" s="3"/>
      <c r="D59" s="3"/>
      <c r="E59" s="3"/>
      <c r="F59" s="6">
        <f>SUM(K47:K55)</f>
        <v>0</v>
      </c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1:21" x14ac:dyDescent="0.25">
      <c r="A60" s="18"/>
      <c r="B60" s="18" t="s">
        <v>5494</v>
      </c>
      <c r="C60" s="18"/>
      <c r="D60" s="18"/>
      <c r="E60" s="18"/>
      <c r="F60" s="19">
        <f>F57+F58+F59</f>
        <v>33.5</v>
      </c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2" spans="1:21" ht="15.75" x14ac:dyDescent="0.25">
      <c r="A62" s="2" t="s">
        <v>5524</v>
      </c>
    </row>
    <row r="63" spans="1:21" x14ac:dyDescent="0.25">
      <c r="A63" s="3" t="s">
        <v>2</v>
      </c>
      <c r="B63" s="3" t="s">
        <v>5525</v>
      </c>
      <c r="C63" s="3" t="s">
        <v>5526</v>
      </c>
      <c r="D63" s="3" t="s">
        <v>4</v>
      </c>
      <c r="E63" s="3" t="s">
        <v>5</v>
      </c>
      <c r="F63" s="3" t="s">
        <v>5527</v>
      </c>
      <c r="G63" s="3" t="s">
        <v>5528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1:21" x14ac:dyDescent="0.25">
      <c r="A64" s="4" t="s">
        <v>6</v>
      </c>
      <c r="B64" s="4" t="s">
        <v>19</v>
      </c>
      <c r="C64" s="4">
        <f>F23</f>
        <v>162</v>
      </c>
      <c r="D64" s="4">
        <f>F24</f>
        <v>144</v>
      </c>
      <c r="E64" s="4">
        <f>F25</f>
        <v>0</v>
      </c>
      <c r="F64" s="4">
        <f>F26</f>
        <v>0</v>
      </c>
      <c r="G64" s="4">
        <f>F27</f>
        <v>144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</row>
    <row r="65" spans="1:21" x14ac:dyDescent="0.25">
      <c r="A65" s="4" t="s">
        <v>7</v>
      </c>
      <c r="B65" s="4" t="s">
        <v>19</v>
      </c>
      <c r="C65" s="4">
        <f>F39</f>
        <v>80</v>
      </c>
      <c r="D65" s="4">
        <f>F40</f>
        <v>80</v>
      </c>
      <c r="E65" s="4">
        <f>F41</f>
        <v>0</v>
      </c>
      <c r="F65" s="4">
        <f>F42</f>
        <v>0</v>
      </c>
      <c r="G65" s="4">
        <f>F43</f>
        <v>80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</row>
    <row r="66" spans="1:21" x14ac:dyDescent="0.25">
      <c r="A66" s="4" t="s">
        <v>8</v>
      </c>
      <c r="B66" s="4" t="s">
        <v>19</v>
      </c>
      <c r="C66" s="4">
        <f>F56</f>
        <v>69.5</v>
      </c>
      <c r="D66" s="4">
        <f>F57</f>
        <v>33.5</v>
      </c>
      <c r="E66" s="4">
        <f>F58</f>
        <v>0</v>
      </c>
      <c r="F66" s="4">
        <f>F59</f>
        <v>0</v>
      </c>
      <c r="G66" s="4">
        <f>F60</f>
        <v>33.5</v>
      </c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</row>
    <row r="69" spans="1:21" ht="18.75" x14ac:dyDescent="0.3">
      <c r="A69" s="1" t="s">
        <v>5529</v>
      </c>
    </row>
    <row r="70" spans="1:21" x14ac:dyDescent="0.25">
      <c r="A70" s="3" t="s">
        <v>35</v>
      </c>
      <c r="B70" s="3" t="s">
        <v>5461</v>
      </c>
      <c r="C70" s="3" t="s">
        <v>37</v>
      </c>
      <c r="D70" s="3" t="s">
        <v>5462</v>
      </c>
      <c r="E70" s="3" t="s">
        <v>5463</v>
      </c>
      <c r="F70" s="3" t="s">
        <v>5530</v>
      </c>
      <c r="G70" s="3" t="s">
        <v>5465</v>
      </c>
      <c r="H70" s="3" t="s">
        <v>5466</v>
      </c>
      <c r="I70" s="3" t="s">
        <v>5467</v>
      </c>
      <c r="J70" s="3" t="s">
        <v>5468</v>
      </c>
      <c r="K70" s="3" t="s">
        <v>5469</v>
      </c>
      <c r="L70" s="3" t="s">
        <v>5470</v>
      </c>
      <c r="M70" s="3" t="s">
        <v>5471</v>
      </c>
      <c r="N70" s="3" t="s">
        <v>5472</v>
      </c>
      <c r="O70" s="3" t="s">
        <v>5473</v>
      </c>
      <c r="P70" s="3" t="s">
        <v>5474</v>
      </c>
      <c r="Q70" s="3" t="s">
        <v>5476</v>
      </c>
      <c r="R70" s="3" t="s">
        <v>5477</v>
      </c>
      <c r="S70" s="3"/>
      <c r="T70" s="3"/>
      <c r="U70" s="3"/>
    </row>
    <row r="71" spans="1:21" x14ac:dyDescent="0.25">
      <c r="A71" s="4" t="s">
        <v>2104</v>
      </c>
      <c r="B71" s="4" t="s">
        <v>5459</v>
      </c>
      <c r="C71" s="4" t="str">
        <f>IFERROR(INDEX('Projekt-Budget-Übersicht'!$C:$C,MATCH(2473,'Projekt-Budget-Übersicht'!$L:$L,0)),"")</f>
        <v/>
      </c>
      <c r="D71" s="4">
        <v>8</v>
      </c>
      <c r="E71" s="4">
        <v>8</v>
      </c>
      <c r="F71" s="5">
        <f>SUM(F47,I47,K47)</f>
        <v>8</v>
      </c>
      <c r="G71" s="14">
        <v>100</v>
      </c>
      <c r="H71" s="5">
        <f>SUM(H47)</f>
        <v>0</v>
      </c>
      <c r="I71" s="5">
        <f t="shared" ref="I71:I97" si="12">IF(H71=0,0,F71-H71)</f>
        <v>0</v>
      </c>
      <c r="J71" s="4" t="s">
        <v>5531</v>
      </c>
      <c r="K71" s="5">
        <f>SUM(K47)</f>
        <v>0</v>
      </c>
      <c r="L71" s="10">
        <f>IF($B$2="-",0,IFERROR(INDEX(IF($B$2="SV",'Projekt-Budget-Übersicht'!$H:$H,IF($B$2="CAD",'Projekt-Budget-Übersicht'!$I:$I,IF($B$2="ADM",'Projekt-Budget-Übersicht'!$J:$J,'Projekt-Budget-Übersicht'!$H:$H))),MATCH(2473,'Projekt-Budget-Übersicht'!$L:$L,0)),0))</f>
        <v>0</v>
      </c>
      <c r="M71" s="10">
        <f t="shared" ref="M71:M97" si="13">IF($B$2="-",0,IF(C71="Pauschale",IF(OR(Q71=0,N(D71)=0),0,MAX(0,MIN(Q71*((N(F71)+N(K71))/N(D71)),Q71-Q71*(N(E71)/N(D71))))),L71*(N(F71)+N(K71))))</f>
        <v>0</v>
      </c>
      <c r="N71" s="10">
        <f t="shared" ref="N71:N97" si="14">IF($B$2="-",0,IF(C71="Pauschale",IF(OR(Q71=0,N(D71)=0),0,Q71*((N(F71)+N(K71))/N(D71))),L71*(N(F71)+N(K71))))</f>
        <v>0</v>
      </c>
      <c r="O71" s="10">
        <f t="shared" ref="O71:O97" si="15">N71-M71</f>
        <v>0</v>
      </c>
      <c r="P71" s="10">
        <f>'H. Bektas'!M71</f>
        <v>0</v>
      </c>
      <c r="Q71" s="10">
        <f>IFERROR(INDEX('Projekt-Budget-Übersicht'!$E:$E,MATCH(2473,'Projekt-Budget-Übersicht'!$L:$L,0)),0)</f>
        <v>0</v>
      </c>
      <c r="R71" s="10">
        <v>92.5</v>
      </c>
      <c r="S71" s="4"/>
      <c r="T71" s="4"/>
      <c r="U71" s="4"/>
    </row>
    <row r="72" spans="1:21" x14ac:dyDescent="0.25">
      <c r="A72" s="4" t="s">
        <v>3401</v>
      </c>
      <c r="B72" s="4" t="s">
        <v>5488</v>
      </c>
      <c r="C72" s="4" t="str">
        <f>IFERROR(INDEX('Projekt-Budget-Übersicht'!$C:$C,MATCH(3615,'Projekt-Budget-Übersicht'!$L:$L,0)),"")</f>
        <v/>
      </c>
      <c r="D72" s="4">
        <v>2</v>
      </c>
      <c r="E72" s="4">
        <v>3.5</v>
      </c>
      <c r="F72" s="5">
        <f>SUM(F6,I6,K6)</f>
        <v>2</v>
      </c>
      <c r="G72" s="15">
        <v>175</v>
      </c>
      <c r="H72" s="5">
        <f>SUM(H6)</f>
        <v>0</v>
      </c>
      <c r="I72" s="5">
        <f t="shared" si="12"/>
        <v>0</v>
      </c>
      <c r="J72" s="4" t="s">
        <v>5531</v>
      </c>
      <c r="K72" s="5">
        <f>SUM(K6)</f>
        <v>0</v>
      </c>
      <c r="L72" s="10">
        <f>IF($B$2="-",0,IFERROR(INDEX(IF($B$2="SV",'Projekt-Budget-Übersicht'!$H:$H,IF($B$2="CAD",'Projekt-Budget-Übersicht'!$I:$I,IF($B$2="ADM",'Projekt-Budget-Übersicht'!$J:$J,'Projekt-Budget-Übersicht'!$H:$H))),MATCH(3615,'Projekt-Budget-Übersicht'!$L:$L,0)),0))</f>
        <v>0</v>
      </c>
      <c r="M72" s="10">
        <f t="shared" si="13"/>
        <v>0</v>
      </c>
      <c r="N72" s="10">
        <f t="shared" si="14"/>
        <v>0</v>
      </c>
      <c r="O72" s="10">
        <f t="shared" si="15"/>
        <v>0</v>
      </c>
      <c r="P72" s="10">
        <f>'A. Kokott'!M168+'H. Bektas'!M72</f>
        <v>0</v>
      </c>
      <c r="Q72" s="10">
        <f>IFERROR(INDEX('Projekt-Budget-Übersicht'!$E:$E,MATCH(3615,'Projekt-Budget-Übersicht'!$L:$L,0)),0)</f>
        <v>0</v>
      </c>
      <c r="R72" s="10">
        <v>17.5</v>
      </c>
      <c r="S72" s="4"/>
      <c r="T72" s="4"/>
      <c r="U72" s="4"/>
    </row>
    <row r="73" spans="1:21" x14ac:dyDescent="0.25">
      <c r="A73" s="4" t="s">
        <v>3822</v>
      </c>
      <c r="B73" s="4" t="s">
        <v>5459</v>
      </c>
      <c r="C73" s="4" t="str">
        <f>IFERROR(INDEX('Projekt-Budget-Übersicht'!$C:$C,MATCH(3980,'Projekt-Budget-Übersicht'!$L:$L,0)),"")</f>
        <v/>
      </c>
      <c r="D73" s="4">
        <v>16</v>
      </c>
      <c r="E73" s="4">
        <v>14</v>
      </c>
      <c r="F73" s="5">
        <f>SUM(F31,I31,K31)</f>
        <v>14</v>
      </c>
      <c r="G73" s="16">
        <v>87.5</v>
      </c>
      <c r="H73" s="5">
        <f>SUM(H31)</f>
        <v>0</v>
      </c>
      <c r="I73" s="5">
        <f t="shared" si="12"/>
        <v>0</v>
      </c>
      <c r="J73" s="4" t="s">
        <v>5531</v>
      </c>
      <c r="K73" s="5">
        <f>SUM(K31)</f>
        <v>0</v>
      </c>
      <c r="L73" s="10">
        <f>IF($B$2="-",0,IFERROR(INDEX(IF($B$2="SV",'Projekt-Budget-Übersicht'!$H:$H,IF($B$2="CAD",'Projekt-Budget-Übersicht'!$I:$I,IF($B$2="ADM",'Projekt-Budget-Übersicht'!$J:$J,'Projekt-Budget-Übersicht'!$H:$H))),MATCH(3980,'Projekt-Budget-Übersicht'!$L:$L,0)),0))</f>
        <v>0</v>
      </c>
      <c r="M73" s="10">
        <f t="shared" si="13"/>
        <v>0</v>
      </c>
      <c r="N73" s="10">
        <f t="shared" si="14"/>
        <v>0</v>
      </c>
      <c r="O73" s="10">
        <f t="shared" si="15"/>
        <v>0</v>
      </c>
      <c r="P73" s="10">
        <f>'H. Bektas'!M73</f>
        <v>0</v>
      </c>
      <c r="Q73" s="10">
        <f>IFERROR(INDEX('Projekt-Budget-Übersicht'!$E:$E,MATCH(3980,'Projekt-Budget-Übersicht'!$L:$L,0)),0)</f>
        <v>0</v>
      </c>
      <c r="R73" s="10">
        <v>267.5</v>
      </c>
      <c r="S73" s="4"/>
      <c r="T73" s="4"/>
      <c r="U73" s="4"/>
    </row>
    <row r="74" spans="1:21" x14ac:dyDescent="0.25">
      <c r="A74" s="4" t="s">
        <v>3831</v>
      </c>
      <c r="B74" s="4" t="s">
        <v>5489</v>
      </c>
      <c r="C74" s="4" t="str">
        <f>IFERROR(INDEX('Projekt-Budget-Übersicht'!$C:$C,MATCH(3985,'Projekt-Budget-Übersicht'!$L:$L,0)),"")</f>
        <v/>
      </c>
      <c r="D74" s="4">
        <v>68</v>
      </c>
      <c r="E74" s="4">
        <v>72.25</v>
      </c>
      <c r="F74" s="5">
        <f>SUM(F7,F48,I7,I48,K7,K48)</f>
        <v>49</v>
      </c>
      <c r="G74" s="15">
        <v>106.25</v>
      </c>
      <c r="H74" s="5">
        <f>SUM(H7,H48)</f>
        <v>0</v>
      </c>
      <c r="I74" s="5">
        <f t="shared" si="12"/>
        <v>0</v>
      </c>
      <c r="J74" s="4" t="s">
        <v>5531</v>
      </c>
      <c r="K74" s="5">
        <f>SUM(K7,K48)</f>
        <v>0</v>
      </c>
      <c r="L74" s="10">
        <f>IF($B$2="-",0,IFERROR(INDEX(IF($B$2="SV",'Projekt-Budget-Übersicht'!$H:$H,IF($B$2="CAD",'Projekt-Budget-Übersicht'!$I:$I,IF($B$2="ADM",'Projekt-Budget-Übersicht'!$J:$J,'Projekt-Budget-Übersicht'!$H:$H))),MATCH(3985,'Projekt-Budget-Übersicht'!$L:$L,0)),0))</f>
        <v>0</v>
      </c>
      <c r="M74" s="10">
        <f t="shared" si="13"/>
        <v>0</v>
      </c>
      <c r="N74" s="10">
        <f t="shared" si="14"/>
        <v>0</v>
      </c>
      <c r="O74" s="10">
        <f t="shared" si="15"/>
        <v>0</v>
      </c>
      <c r="P74" s="10">
        <f>'A. Kokott'!M170+'H. Bektas'!M74</f>
        <v>0</v>
      </c>
      <c r="Q74" s="10">
        <f>IFERROR(INDEX('Projekt-Budget-Übersicht'!$E:$E,MATCH(3985,'Projekt-Budget-Übersicht'!$L:$L,0)),0)</f>
        <v>0</v>
      </c>
      <c r="R74" s="10">
        <v>342.5</v>
      </c>
      <c r="S74" s="4"/>
      <c r="T74" s="4"/>
      <c r="U74" s="4"/>
    </row>
    <row r="75" spans="1:21" x14ac:dyDescent="0.25">
      <c r="A75" s="4" t="s">
        <v>3916</v>
      </c>
      <c r="B75" s="4" t="s">
        <v>5459</v>
      </c>
      <c r="C75" s="4" t="str">
        <f>IFERROR(INDEX('Projekt-Budget-Übersicht'!$C:$C,MATCH(4059,'Projekt-Budget-Übersicht'!$L:$L,0)),"")</f>
        <v/>
      </c>
      <c r="D75" s="4">
        <v>2</v>
      </c>
      <c r="E75" s="4">
        <v>2</v>
      </c>
      <c r="F75" s="5">
        <f>SUM(F32,I32,K32)</f>
        <v>2</v>
      </c>
      <c r="G75" s="14">
        <v>100</v>
      </c>
      <c r="H75" s="5">
        <f>SUM(H32)</f>
        <v>0</v>
      </c>
      <c r="I75" s="5">
        <f t="shared" si="12"/>
        <v>0</v>
      </c>
      <c r="J75" s="4" t="s">
        <v>5531</v>
      </c>
      <c r="K75" s="5">
        <f>SUM(K32)</f>
        <v>0</v>
      </c>
      <c r="L75" s="10">
        <f>IF($B$2="-",0,IFERROR(INDEX(IF($B$2="SV",'Projekt-Budget-Übersicht'!$H:$H,IF($B$2="CAD",'Projekt-Budget-Übersicht'!$I:$I,IF($B$2="ADM",'Projekt-Budget-Übersicht'!$J:$J,'Projekt-Budget-Übersicht'!$H:$H))),MATCH(4059,'Projekt-Budget-Übersicht'!$L:$L,0)),0))</f>
        <v>0</v>
      </c>
      <c r="M75" s="10">
        <f t="shared" si="13"/>
        <v>0</v>
      </c>
      <c r="N75" s="10">
        <f t="shared" si="14"/>
        <v>0</v>
      </c>
      <c r="O75" s="10">
        <f t="shared" si="15"/>
        <v>0</v>
      </c>
      <c r="P75" s="10">
        <f>'H. Bektas'!M75</f>
        <v>0</v>
      </c>
      <c r="Q75" s="10">
        <f>IFERROR(INDEX('Projekt-Budget-Übersicht'!$E:$E,MATCH(4059,'Projekt-Budget-Übersicht'!$L:$L,0)),0)</f>
        <v>0</v>
      </c>
      <c r="R75" s="10">
        <v>67.5</v>
      </c>
      <c r="S75" s="4"/>
      <c r="T75" s="4"/>
      <c r="U75" s="4"/>
    </row>
    <row r="76" spans="1:21" x14ac:dyDescent="0.25">
      <c r="A76" s="4" t="s">
        <v>4099</v>
      </c>
      <c r="B76" s="4" t="s">
        <v>5459</v>
      </c>
      <c r="C76" s="4" t="str">
        <f>IFERROR(INDEX('Projekt-Budget-Übersicht'!$C:$C,MATCH(4217,'Projekt-Budget-Übersicht'!$L:$L,0)),"")</f>
        <v/>
      </c>
      <c r="D76" s="4">
        <v>12</v>
      </c>
      <c r="E76" s="4">
        <v>17.25</v>
      </c>
      <c r="F76" s="5">
        <f>SUM(F49,I49,K49)</f>
        <v>5</v>
      </c>
      <c r="G76" s="15">
        <v>143.75</v>
      </c>
      <c r="H76" s="5">
        <f>SUM(H49)</f>
        <v>0</v>
      </c>
      <c r="I76" s="5">
        <f t="shared" si="12"/>
        <v>0</v>
      </c>
      <c r="J76" s="4" t="s">
        <v>5531</v>
      </c>
      <c r="K76" s="5">
        <f>SUM(K49)</f>
        <v>0</v>
      </c>
      <c r="L76" s="10">
        <f>IF($B$2="-",0,IFERROR(INDEX(IF($B$2="SV",'Projekt-Budget-Übersicht'!$H:$H,IF($B$2="CAD",'Projekt-Budget-Übersicht'!$I:$I,IF($B$2="ADM",'Projekt-Budget-Übersicht'!$J:$J,'Projekt-Budget-Übersicht'!$H:$H))),MATCH(4217,'Projekt-Budget-Übersicht'!$L:$L,0)),0))</f>
        <v>0</v>
      </c>
      <c r="M76" s="10">
        <f t="shared" si="13"/>
        <v>0</v>
      </c>
      <c r="N76" s="10">
        <f t="shared" si="14"/>
        <v>0</v>
      </c>
      <c r="O76" s="10">
        <f t="shared" si="15"/>
        <v>0</v>
      </c>
      <c r="P76" s="10">
        <f>'H. Bektas'!M76+'J. Dorchies'!M42</f>
        <v>0</v>
      </c>
      <c r="Q76" s="10">
        <f>IFERROR(INDEX('Projekt-Budget-Übersicht'!$E:$E,MATCH(4217,'Projekt-Budget-Übersicht'!$L:$L,0)),0)</f>
        <v>0</v>
      </c>
      <c r="R76" s="10">
        <v>405</v>
      </c>
      <c r="S76" s="4"/>
      <c r="T76" s="4"/>
      <c r="U76" s="4"/>
    </row>
    <row r="77" spans="1:21" x14ac:dyDescent="0.25">
      <c r="A77" s="4" t="s">
        <v>4152</v>
      </c>
      <c r="B77" s="4" t="s">
        <v>5517</v>
      </c>
      <c r="C77" s="4" t="str">
        <f>IFERROR(INDEX('Projekt-Budget-Übersicht'!$C:$C,MATCH(4257,'Projekt-Budget-Übersicht'!$L:$L,0)),"")</f>
        <v/>
      </c>
      <c r="D77" s="4">
        <v>4</v>
      </c>
      <c r="E77" s="4">
        <v>4.75</v>
      </c>
      <c r="F77" s="5">
        <f>SUM(F50,I50,K50)</f>
        <v>3</v>
      </c>
      <c r="G77" s="15">
        <v>118.75</v>
      </c>
      <c r="H77" s="5">
        <f>SUM(H50)</f>
        <v>0</v>
      </c>
      <c r="I77" s="5">
        <f t="shared" si="12"/>
        <v>0</v>
      </c>
      <c r="J77" s="4" t="s">
        <v>5531</v>
      </c>
      <c r="K77" s="5">
        <f>SUM(K50)</f>
        <v>0</v>
      </c>
      <c r="L77" s="10">
        <f>IF($B$2="-",0,IFERROR(INDEX(IF($B$2="SV",'Projekt-Budget-Übersicht'!$H:$H,IF($B$2="CAD",'Projekt-Budget-Übersicht'!$I:$I,IF($B$2="ADM",'Projekt-Budget-Übersicht'!$J:$J,'Projekt-Budget-Übersicht'!$H:$H))),MATCH(4257,'Projekt-Budget-Übersicht'!$L:$L,0)),0))</f>
        <v>0</v>
      </c>
      <c r="M77" s="10">
        <f t="shared" si="13"/>
        <v>0</v>
      </c>
      <c r="N77" s="10">
        <f t="shared" si="14"/>
        <v>0</v>
      </c>
      <c r="O77" s="10">
        <f t="shared" si="15"/>
        <v>0</v>
      </c>
      <c r="P77" s="10">
        <f>'A. Kokott'!M175+'H. Bektas'!M77</f>
        <v>0</v>
      </c>
      <c r="Q77" s="10">
        <f>IFERROR(INDEX('Projekt-Budget-Übersicht'!$E:$E,MATCH(4257,'Projekt-Budget-Übersicht'!$L:$L,0)),0)</f>
        <v>0</v>
      </c>
      <c r="R77" s="10">
        <v>17.5</v>
      </c>
      <c r="S77" s="4"/>
      <c r="T77" s="4"/>
      <c r="U77" s="4"/>
    </row>
    <row r="78" spans="1:21" x14ac:dyDescent="0.25">
      <c r="A78" s="4" t="s">
        <v>4356</v>
      </c>
      <c r="B78" s="4" t="s">
        <v>5459</v>
      </c>
      <c r="C78" s="4" t="str">
        <f>IFERROR(INDEX('Projekt-Budget-Übersicht'!$C:$C,MATCH(4432,'Projekt-Budget-Übersicht'!$L:$L,0)),"")</f>
        <v/>
      </c>
      <c r="D78" s="4">
        <v>3</v>
      </c>
      <c r="E78" s="4">
        <v>3.5</v>
      </c>
      <c r="F78" s="5">
        <f>SUM(F51,I51,K51)</f>
        <v>3</v>
      </c>
      <c r="G78" s="15">
        <v>116.67</v>
      </c>
      <c r="H78" s="5">
        <f>SUM(H51)</f>
        <v>0</v>
      </c>
      <c r="I78" s="5">
        <f t="shared" si="12"/>
        <v>0</v>
      </c>
      <c r="J78" s="4" t="s">
        <v>5531</v>
      </c>
      <c r="K78" s="5">
        <f>SUM(K51)</f>
        <v>0</v>
      </c>
      <c r="L78" s="10">
        <f>IF($B$2="-",0,IFERROR(INDEX(IF($B$2="SV",'Projekt-Budget-Übersicht'!$H:$H,IF($B$2="CAD",'Projekt-Budget-Übersicht'!$I:$I,IF($B$2="ADM",'Projekt-Budget-Übersicht'!$J:$J,'Projekt-Budget-Übersicht'!$H:$H))),MATCH(4432,'Projekt-Budget-Übersicht'!$L:$L,0)),0))</f>
        <v>0</v>
      </c>
      <c r="M78" s="10">
        <f t="shared" si="13"/>
        <v>0</v>
      </c>
      <c r="N78" s="10">
        <f t="shared" si="14"/>
        <v>0</v>
      </c>
      <c r="O78" s="10">
        <f t="shared" si="15"/>
        <v>0</v>
      </c>
      <c r="P78" s="10">
        <f>'A. Kokott'!M176+'H. Bektas'!M78</f>
        <v>0</v>
      </c>
      <c r="Q78" s="10">
        <f>IFERROR(INDEX('Projekt-Budget-Übersicht'!$E:$E,MATCH(4432,'Projekt-Budget-Übersicht'!$L:$L,0)),0)</f>
        <v>0</v>
      </c>
      <c r="R78" s="10">
        <v>117.5</v>
      </c>
      <c r="S78" s="4"/>
      <c r="T78" s="4"/>
      <c r="U78" s="4"/>
    </row>
    <row r="79" spans="1:21" x14ac:dyDescent="0.25">
      <c r="A79" s="4" t="s">
        <v>4419</v>
      </c>
      <c r="B79" s="4" t="s">
        <v>5578</v>
      </c>
      <c r="C79" s="4" t="str">
        <f>IFERROR(INDEX('Projekt-Budget-Übersicht'!$C:$C,MATCH(4493,'Projekt-Budget-Übersicht'!$L:$L,0)),"")</f>
        <v/>
      </c>
      <c r="D79" s="4">
        <v>10</v>
      </c>
      <c r="E79" s="4">
        <v>9.5</v>
      </c>
      <c r="F79" s="5">
        <f>SUM(F33,I33,K33)</f>
        <v>9</v>
      </c>
      <c r="G79" s="14">
        <v>95</v>
      </c>
      <c r="H79" s="5">
        <f>SUM(H33)</f>
        <v>0</v>
      </c>
      <c r="I79" s="5">
        <f t="shared" si="12"/>
        <v>0</v>
      </c>
      <c r="J79" s="4" t="s">
        <v>5531</v>
      </c>
      <c r="K79" s="5">
        <f>SUM(K33)</f>
        <v>0</v>
      </c>
      <c r="L79" s="10">
        <f>IF($B$2="-",0,IFERROR(INDEX(IF($B$2="SV",'Projekt-Budget-Übersicht'!$H:$H,IF($B$2="CAD",'Projekt-Budget-Übersicht'!$I:$I,IF($B$2="ADM",'Projekt-Budget-Übersicht'!$J:$J,'Projekt-Budget-Übersicht'!$H:$H))),MATCH(4493,'Projekt-Budget-Übersicht'!$L:$L,0)),0))</f>
        <v>0</v>
      </c>
      <c r="M79" s="10">
        <f t="shared" si="13"/>
        <v>0</v>
      </c>
      <c r="N79" s="10">
        <f t="shared" si="14"/>
        <v>0</v>
      </c>
      <c r="O79" s="10">
        <f t="shared" si="15"/>
        <v>0</v>
      </c>
      <c r="P79" s="10">
        <f>'H. Bektas'!M79</f>
        <v>0</v>
      </c>
      <c r="Q79" s="10">
        <f>IFERROR(INDEX('Projekt-Budget-Übersicht'!$E:$E,MATCH(4493,'Projekt-Budget-Übersicht'!$L:$L,0)),0)</f>
        <v>0</v>
      </c>
      <c r="R79" s="10">
        <v>25</v>
      </c>
      <c r="S79" s="4"/>
      <c r="T79" s="4"/>
      <c r="U79" s="4"/>
    </row>
    <row r="80" spans="1:21" x14ac:dyDescent="0.25">
      <c r="A80" s="4" t="s">
        <v>4489</v>
      </c>
      <c r="B80" s="4" t="s">
        <v>5567</v>
      </c>
      <c r="C80" s="4" t="str">
        <f>IFERROR(INDEX('Projekt-Budget-Übersicht'!$C:$C,MATCH(4552,'Projekt-Budget-Übersicht'!$L:$L,0)),"")</f>
        <v/>
      </c>
      <c r="D80" s="4">
        <v>10</v>
      </c>
      <c r="E80" s="4">
        <v>16.25</v>
      </c>
      <c r="F80" s="5">
        <f t="shared" ref="F80:F87" si="16">SUM(F8,I8,K8)</f>
        <v>3</v>
      </c>
      <c r="G80" s="15">
        <v>162.5</v>
      </c>
      <c r="H80" s="5">
        <f t="shared" ref="H80:H87" si="17">SUM(H8)</f>
        <v>0</v>
      </c>
      <c r="I80" s="5">
        <f t="shared" si="12"/>
        <v>0</v>
      </c>
      <c r="J80" s="4" t="s">
        <v>5531</v>
      </c>
      <c r="K80" s="5">
        <f t="shared" ref="K80:K87" si="18">SUM(K8)</f>
        <v>0</v>
      </c>
      <c r="L80" s="10">
        <f>IF($B$2="-",0,IFERROR(INDEX(IF($B$2="SV",'Projekt-Budget-Übersicht'!$H:$H,IF($B$2="CAD",'Projekt-Budget-Übersicht'!$I:$I,IF($B$2="ADM",'Projekt-Budget-Übersicht'!$J:$J,'Projekt-Budget-Übersicht'!$H:$H))),MATCH(4552,'Projekt-Budget-Übersicht'!$L:$L,0)),0))</f>
        <v>0</v>
      </c>
      <c r="M80" s="10">
        <f t="shared" si="13"/>
        <v>0</v>
      </c>
      <c r="N80" s="10">
        <f t="shared" si="14"/>
        <v>0</v>
      </c>
      <c r="O80" s="10">
        <f t="shared" si="15"/>
        <v>0</v>
      </c>
      <c r="P80" s="10">
        <f>'E. Bieler'!M100+'H. Bektas'!M80+'J. Dorchies'!M45</f>
        <v>0</v>
      </c>
      <c r="Q80" s="10">
        <f>IFERROR(INDEX('Projekt-Budget-Übersicht'!$E:$E,MATCH(4552,'Projekt-Budget-Übersicht'!$L:$L,0)),0)</f>
        <v>0</v>
      </c>
      <c r="R80" s="10">
        <v>134.15</v>
      </c>
      <c r="S80" s="4"/>
      <c r="T80" s="4"/>
      <c r="U80" s="4"/>
    </row>
    <row r="81" spans="1:21" x14ac:dyDescent="0.25">
      <c r="A81" s="4" t="s">
        <v>4669</v>
      </c>
      <c r="B81" s="4" t="s">
        <v>5459</v>
      </c>
      <c r="C81" s="4" t="str">
        <f>IFERROR(INDEX('Projekt-Budget-Übersicht'!$C:$C,MATCH(4697,'Projekt-Budget-Übersicht'!$L:$L,0)),"")</f>
        <v/>
      </c>
      <c r="D81" s="4">
        <v>16</v>
      </c>
      <c r="E81" s="4">
        <v>14.25</v>
      </c>
      <c r="F81" s="5">
        <f t="shared" si="16"/>
        <v>2</v>
      </c>
      <c r="G81" s="16">
        <v>89.06</v>
      </c>
      <c r="H81" s="5">
        <f t="shared" si="17"/>
        <v>0</v>
      </c>
      <c r="I81" s="5">
        <f t="shared" si="12"/>
        <v>0</v>
      </c>
      <c r="J81" s="4" t="s">
        <v>5531</v>
      </c>
      <c r="K81" s="5">
        <f t="shared" si="18"/>
        <v>0</v>
      </c>
      <c r="L81" s="10">
        <f>IF($B$2="-",0,IFERROR(INDEX(IF($B$2="SV",'Projekt-Budget-Übersicht'!$H:$H,IF($B$2="CAD",'Projekt-Budget-Übersicht'!$I:$I,IF($B$2="ADM",'Projekt-Budget-Übersicht'!$J:$J,'Projekt-Budget-Übersicht'!$H:$H))),MATCH(4697,'Projekt-Budget-Übersicht'!$L:$L,0)),0))</f>
        <v>0</v>
      </c>
      <c r="M81" s="10">
        <f t="shared" si="13"/>
        <v>0</v>
      </c>
      <c r="N81" s="10">
        <f t="shared" si="14"/>
        <v>0</v>
      </c>
      <c r="O81" s="10">
        <f t="shared" si="15"/>
        <v>0</v>
      </c>
      <c r="P81" s="10">
        <f>'E. Bieler'!M101+'H. Bektas'!M81</f>
        <v>0</v>
      </c>
      <c r="Q81" s="10">
        <f>IFERROR(INDEX('Projekt-Budget-Übersicht'!$E:$E,MATCH(4697,'Projekt-Budget-Übersicht'!$L:$L,0)),0)</f>
        <v>0</v>
      </c>
      <c r="R81" s="10">
        <v>360.82</v>
      </c>
      <c r="S81" s="4"/>
      <c r="T81" s="4"/>
      <c r="U81" s="4"/>
    </row>
    <row r="82" spans="1:21" x14ac:dyDescent="0.25">
      <c r="A82" s="4" t="s">
        <v>4785</v>
      </c>
      <c r="B82" s="4" t="s">
        <v>5459</v>
      </c>
      <c r="C82" s="4" t="str">
        <f>IFERROR(INDEX('Projekt-Budget-Übersicht'!$C:$C,MATCH(4792,'Projekt-Budget-Übersicht'!$L:$L,0)),"")</f>
        <v/>
      </c>
      <c r="D82" s="4">
        <v>19</v>
      </c>
      <c r="E82" s="4">
        <v>20.75</v>
      </c>
      <c r="F82" s="5">
        <f t="shared" si="16"/>
        <v>2.5</v>
      </c>
      <c r="G82" s="15">
        <v>109.21</v>
      </c>
      <c r="H82" s="5">
        <f t="shared" si="17"/>
        <v>0</v>
      </c>
      <c r="I82" s="5">
        <f t="shared" si="12"/>
        <v>0</v>
      </c>
      <c r="J82" s="4" t="s">
        <v>5531</v>
      </c>
      <c r="K82" s="5">
        <f t="shared" si="18"/>
        <v>0</v>
      </c>
      <c r="L82" s="10">
        <f>IF($B$2="-",0,IFERROR(INDEX(IF($B$2="SV",'Projekt-Budget-Übersicht'!$H:$H,IF($B$2="CAD",'Projekt-Budget-Übersicht'!$I:$I,IF($B$2="ADM",'Projekt-Budget-Übersicht'!$J:$J,'Projekt-Budget-Übersicht'!$H:$H))),MATCH(4792,'Projekt-Budget-Übersicht'!$L:$L,0)),0))</f>
        <v>0</v>
      </c>
      <c r="M82" s="10">
        <f t="shared" si="13"/>
        <v>0</v>
      </c>
      <c r="N82" s="10">
        <f t="shared" si="14"/>
        <v>0</v>
      </c>
      <c r="O82" s="10">
        <f t="shared" si="15"/>
        <v>0</v>
      </c>
      <c r="P82" s="10">
        <f>'E. Bieler'!M102+'H. Bektas'!M82</f>
        <v>0</v>
      </c>
      <c r="Q82" s="10">
        <f>IFERROR(INDEX('Projekt-Budget-Übersicht'!$E:$E,MATCH(4792,'Projekt-Budget-Übersicht'!$L:$L,0)),0)</f>
        <v>0</v>
      </c>
      <c r="R82" s="10">
        <v>330.82</v>
      </c>
      <c r="S82" s="4"/>
      <c r="T82" s="4"/>
      <c r="U82" s="4"/>
    </row>
    <row r="83" spans="1:21" x14ac:dyDescent="0.25">
      <c r="A83" s="4" t="s">
        <v>4797</v>
      </c>
      <c r="B83" s="4" t="s">
        <v>5459</v>
      </c>
      <c r="C83" s="4" t="str">
        <f>IFERROR(INDEX('Projekt-Budget-Übersicht'!$C:$C,MATCH(4803,'Projekt-Budget-Übersicht'!$L:$L,0)),"")</f>
        <v/>
      </c>
      <c r="D83" s="4">
        <v>19</v>
      </c>
      <c r="E83" s="4">
        <v>18.25</v>
      </c>
      <c r="F83" s="5">
        <f t="shared" si="16"/>
        <v>8</v>
      </c>
      <c r="G83" s="14">
        <v>96.05</v>
      </c>
      <c r="H83" s="5">
        <f t="shared" si="17"/>
        <v>0</v>
      </c>
      <c r="I83" s="5">
        <f t="shared" si="12"/>
        <v>0</v>
      </c>
      <c r="J83" s="4" t="s">
        <v>5531</v>
      </c>
      <c r="K83" s="5">
        <f t="shared" si="18"/>
        <v>0</v>
      </c>
      <c r="L83" s="10">
        <f>IF($B$2="-",0,IFERROR(INDEX(IF($B$2="SV",'Projekt-Budget-Übersicht'!$H:$H,IF($B$2="CAD",'Projekt-Budget-Übersicht'!$I:$I,IF($B$2="ADM",'Projekt-Budget-Übersicht'!$J:$J,'Projekt-Budget-Übersicht'!$H:$H))),MATCH(4803,'Projekt-Budget-Übersicht'!$L:$L,0)),0))</f>
        <v>0</v>
      </c>
      <c r="M83" s="10">
        <f t="shared" si="13"/>
        <v>0</v>
      </c>
      <c r="N83" s="10">
        <f t="shared" si="14"/>
        <v>0</v>
      </c>
      <c r="O83" s="10">
        <f t="shared" si="15"/>
        <v>0</v>
      </c>
      <c r="P83" s="10">
        <f>'E. Bieler'!M103+'H. Bektas'!M83</f>
        <v>0</v>
      </c>
      <c r="Q83" s="10">
        <f>IFERROR(INDEX('Projekt-Budget-Übersicht'!$E:$E,MATCH(4803,'Projekt-Budget-Übersicht'!$L:$L,0)),0)</f>
        <v>0</v>
      </c>
      <c r="R83" s="10">
        <v>330.82</v>
      </c>
      <c r="S83" s="4"/>
      <c r="T83" s="4"/>
      <c r="U83" s="4"/>
    </row>
    <row r="84" spans="1:21" x14ac:dyDescent="0.25">
      <c r="A84" s="4" t="s">
        <v>4809</v>
      </c>
      <c r="B84" s="4" t="s">
        <v>5485</v>
      </c>
      <c r="C84" s="4" t="str">
        <f>IFERROR(INDEX('Projekt-Budget-Übersicht'!$C:$C,MATCH(4813,'Projekt-Budget-Übersicht'!$L:$L,0)),"")</f>
        <v/>
      </c>
      <c r="D84" s="4">
        <v>20</v>
      </c>
      <c r="E84" s="4">
        <v>21</v>
      </c>
      <c r="F84" s="5">
        <f t="shared" si="16"/>
        <v>19</v>
      </c>
      <c r="G84" s="15">
        <v>105</v>
      </c>
      <c r="H84" s="5">
        <f t="shared" si="17"/>
        <v>0</v>
      </c>
      <c r="I84" s="5">
        <f t="shared" si="12"/>
        <v>0</v>
      </c>
      <c r="J84" s="4" t="s">
        <v>5531</v>
      </c>
      <c r="K84" s="5">
        <f t="shared" si="18"/>
        <v>0</v>
      </c>
      <c r="L84" s="10">
        <f>IF($B$2="-",0,IFERROR(INDEX(IF($B$2="SV",'Projekt-Budget-Übersicht'!$H:$H,IF($B$2="CAD",'Projekt-Budget-Übersicht'!$I:$I,IF($B$2="ADM",'Projekt-Budget-Übersicht'!$J:$J,'Projekt-Budget-Übersicht'!$H:$H))),MATCH(4813,'Projekt-Budget-Übersicht'!$L:$L,0)),0))</f>
        <v>0</v>
      </c>
      <c r="M84" s="10">
        <f t="shared" si="13"/>
        <v>0</v>
      </c>
      <c r="N84" s="10">
        <f t="shared" si="14"/>
        <v>0</v>
      </c>
      <c r="O84" s="10">
        <f t="shared" si="15"/>
        <v>0</v>
      </c>
      <c r="P84" s="10">
        <f>'A. Kokott'!M189+'H. Bektas'!M84+'J. Dorn'!M155</f>
        <v>0</v>
      </c>
      <c r="Q84" s="10">
        <f>IFERROR(INDEX('Projekt-Budget-Übersicht'!$E:$E,MATCH(4813,'Projekt-Budget-Übersicht'!$L:$L,0)),0)</f>
        <v>0</v>
      </c>
      <c r="R84" s="10">
        <v>440</v>
      </c>
      <c r="S84" s="4"/>
      <c r="T84" s="4"/>
      <c r="U84" s="4"/>
    </row>
    <row r="85" spans="1:21" x14ac:dyDescent="0.25">
      <c r="A85" s="21" t="s">
        <v>5506</v>
      </c>
      <c r="B85" s="4" t="s">
        <v>5576</v>
      </c>
      <c r="C85" s="4" t="str">
        <f>IFERROR(INDEX('Projekt-Budget-Übersicht'!$C:$C,MATCH(4889,'Projekt-Budget-Übersicht'!$L:$L,0)),"")</f>
        <v/>
      </c>
      <c r="D85" s="4">
        <v>2</v>
      </c>
      <c r="E85" s="4">
        <v>2</v>
      </c>
      <c r="F85" s="5">
        <f t="shared" si="16"/>
        <v>2</v>
      </c>
      <c r="G85" s="14">
        <v>100</v>
      </c>
      <c r="H85" s="5">
        <f t="shared" si="17"/>
        <v>0</v>
      </c>
      <c r="I85" s="5">
        <f t="shared" si="12"/>
        <v>0</v>
      </c>
      <c r="J85" s="4" t="s">
        <v>5531</v>
      </c>
      <c r="K85" s="5">
        <f t="shared" si="18"/>
        <v>0</v>
      </c>
      <c r="L85" s="10">
        <f>IF($B$2="-",0,IFERROR(INDEX(IF($B$2="SV",'Projekt-Budget-Übersicht'!$H:$H,IF($B$2="CAD",'Projekt-Budget-Übersicht'!$I:$I,IF($B$2="ADM",'Projekt-Budget-Übersicht'!$J:$J,'Projekt-Budget-Übersicht'!$H:$H))),MATCH(4889,'Projekt-Budget-Übersicht'!$L:$L,0)),0))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'H. Bektas'!M85</f>
        <v>0</v>
      </c>
      <c r="Q85" s="10">
        <f>IFERROR(INDEX('Projekt-Budget-Übersicht'!$E:$E,MATCH(4889,'Projekt-Budget-Übersicht'!$L:$L,0)),0)</f>
        <v>0</v>
      </c>
      <c r="R85" s="10">
        <v>202.5</v>
      </c>
      <c r="S85" s="4"/>
      <c r="T85" s="4"/>
      <c r="U85" s="4"/>
    </row>
    <row r="86" spans="1:21" x14ac:dyDescent="0.25">
      <c r="A86" s="22"/>
      <c r="B86" s="4" t="s">
        <v>5508</v>
      </c>
      <c r="C86" s="4" t="str">
        <f>IFERROR(INDEX('Projekt-Budget-Übersicht'!$C:$C,MATCH(4890,'Projekt-Budget-Übersicht'!$L:$L,0)),"")</f>
        <v/>
      </c>
      <c r="D86" s="4">
        <v>10</v>
      </c>
      <c r="E86" s="4">
        <v>10</v>
      </c>
      <c r="F86" s="5">
        <f t="shared" si="16"/>
        <v>8</v>
      </c>
      <c r="G86" s="14">
        <v>100</v>
      </c>
      <c r="H86" s="5">
        <f t="shared" si="17"/>
        <v>0</v>
      </c>
      <c r="I86" s="5">
        <f t="shared" si="12"/>
        <v>0</v>
      </c>
      <c r="J86" s="4" t="s">
        <v>5531</v>
      </c>
      <c r="K86" s="5">
        <f t="shared" si="18"/>
        <v>0</v>
      </c>
      <c r="L86" s="10">
        <f>IF($B$2="-",0,IFERROR(INDEX(IF($B$2="SV",'Projekt-Budget-Übersicht'!$H:$H,IF($B$2="CAD",'Projekt-Budget-Übersicht'!$I:$I,IF($B$2="ADM",'Projekt-Budget-Übersicht'!$J:$J,'Projekt-Budget-Übersicht'!$H:$H))),MATCH(4890,'Projekt-Budget-Übersicht'!$L:$L,0)),0))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'A. Kokott'!M192+'H. Bektas'!M86</f>
        <v>0</v>
      </c>
      <c r="Q86" s="10">
        <f>IFERROR(INDEX('Projekt-Budget-Übersicht'!$E:$E,MATCH(4890,'Projekt-Budget-Übersicht'!$L:$L,0)),0)</f>
        <v>0</v>
      </c>
      <c r="R86" s="10">
        <v>17.5</v>
      </c>
      <c r="S86" s="4"/>
      <c r="T86" s="4"/>
      <c r="U86" s="4"/>
    </row>
    <row r="87" spans="1:21" x14ac:dyDescent="0.25">
      <c r="A87" s="4" t="s">
        <v>4911</v>
      </c>
      <c r="B87" s="4" t="s">
        <v>5459</v>
      </c>
      <c r="C87" s="4" t="str">
        <f>IFERROR(INDEX('Projekt-Budget-Übersicht'!$C:$C,MATCH(4897,'Projekt-Budget-Übersicht'!$L:$L,0)),"")</f>
        <v/>
      </c>
      <c r="D87" s="4">
        <v>16</v>
      </c>
      <c r="E87" s="4">
        <v>19</v>
      </c>
      <c r="F87" s="5">
        <f t="shared" si="16"/>
        <v>7</v>
      </c>
      <c r="G87" s="15">
        <v>118.75</v>
      </c>
      <c r="H87" s="5">
        <f t="shared" si="17"/>
        <v>0</v>
      </c>
      <c r="I87" s="5">
        <f t="shared" si="12"/>
        <v>0</v>
      </c>
      <c r="J87" s="4" t="s">
        <v>5531</v>
      </c>
      <c r="K87" s="5">
        <f t="shared" si="18"/>
        <v>0</v>
      </c>
      <c r="L87" s="10">
        <f>IF($B$2="-",0,IFERROR(INDEX(IF($B$2="SV",'Projekt-Budget-Übersicht'!$H:$H,IF($B$2="CAD",'Projekt-Budget-Übersicht'!$I:$I,IF($B$2="ADM",'Projekt-Budget-Übersicht'!$J:$J,'Projekt-Budget-Übersicht'!$H:$H))),MATCH(4897,'Projekt-Budget-Übersicht'!$L:$L,0)),0))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'H. Bektas'!M87</f>
        <v>0</v>
      </c>
      <c r="Q87" s="10">
        <f>IFERROR(INDEX('Projekt-Budget-Übersicht'!$E:$E,MATCH(4897,'Projekt-Budget-Übersicht'!$L:$L,0)),0)</f>
        <v>0</v>
      </c>
      <c r="R87" s="10">
        <v>267.5</v>
      </c>
      <c r="S87" s="4"/>
      <c r="T87" s="4"/>
      <c r="U87" s="4"/>
    </row>
    <row r="88" spans="1:21" x14ac:dyDescent="0.25">
      <c r="A88" s="4" t="s">
        <v>4954</v>
      </c>
      <c r="B88" s="4" t="s">
        <v>5459</v>
      </c>
      <c r="C88" s="4" t="str">
        <f>IFERROR(INDEX('Projekt-Budget-Übersicht'!$C:$C,MATCH(4930,'Projekt-Budget-Übersicht'!$L:$L,0)),"")</f>
        <v/>
      </c>
      <c r="D88" s="4">
        <v>8</v>
      </c>
      <c r="E88" s="4">
        <v>7.75</v>
      </c>
      <c r="F88" s="5">
        <f>SUM(F35,I35,K35)</f>
        <v>6</v>
      </c>
      <c r="G88" s="14">
        <v>96.88</v>
      </c>
      <c r="H88" s="5">
        <f>SUM(H35)</f>
        <v>0</v>
      </c>
      <c r="I88" s="5">
        <f t="shared" si="12"/>
        <v>0</v>
      </c>
      <c r="J88" s="4" t="s">
        <v>5531</v>
      </c>
      <c r="K88" s="5">
        <f>SUM(K35)</f>
        <v>0</v>
      </c>
      <c r="L88" s="10">
        <f>IF($B$2="-",0,IFERROR(INDEX(IF($B$2="SV",'Projekt-Budget-Übersicht'!$H:$H,IF($B$2="CAD",'Projekt-Budget-Übersicht'!$I:$I,IF($B$2="ADM",'Projekt-Budget-Übersicht'!$J:$J,'Projekt-Budget-Übersicht'!$H:$H))),MATCH(4930,'Projekt-Budget-Übersicht'!$L:$L,0)),0))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'H. Bektas'!M88+'R. Böttiger'!M105+'T. Trautmann'!M151</f>
        <v>0</v>
      </c>
      <c r="Q88" s="10">
        <f>IFERROR(INDEX('Projekt-Budget-Übersicht'!$E:$E,MATCH(4930,'Projekt-Budget-Übersicht'!$L:$L,0)),0)</f>
        <v>0</v>
      </c>
      <c r="R88" s="10">
        <v>85</v>
      </c>
      <c r="S88" s="4"/>
      <c r="T88" s="4"/>
      <c r="U88" s="4"/>
    </row>
    <row r="89" spans="1:21" x14ac:dyDescent="0.25">
      <c r="A89" s="4" t="s">
        <v>4958</v>
      </c>
      <c r="B89" s="4" t="s">
        <v>5459</v>
      </c>
      <c r="C89" s="4" t="str">
        <f>IFERROR(INDEX('Projekt-Budget-Übersicht'!$C:$C,MATCH(4932,'Projekt-Budget-Übersicht'!$L:$L,0)),"")</f>
        <v/>
      </c>
      <c r="D89" s="4">
        <v>16</v>
      </c>
      <c r="E89" s="4">
        <v>15.25</v>
      </c>
      <c r="F89" s="5">
        <f>SUM(F16,I16,K16)</f>
        <v>7</v>
      </c>
      <c r="G89" s="14">
        <v>95.31</v>
      </c>
      <c r="H89" s="5">
        <f>SUM(H16)</f>
        <v>0</v>
      </c>
      <c r="I89" s="5">
        <f t="shared" si="12"/>
        <v>0</v>
      </c>
      <c r="J89" s="4" t="s">
        <v>5531</v>
      </c>
      <c r="K89" s="5">
        <f>SUM(K16)</f>
        <v>0</v>
      </c>
      <c r="L89" s="10">
        <f>IF($B$2="-",0,IFERROR(INDEX(IF($B$2="SV",'Projekt-Budget-Übersicht'!$H:$H,IF($B$2="CAD",'Projekt-Budget-Übersicht'!$I:$I,IF($B$2="ADM",'Projekt-Budget-Übersicht'!$J:$J,'Projekt-Budget-Übersicht'!$H:$H))),MATCH(4932,'Projekt-Budget-Übersicht'!$L:$L,0)),0))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'E. Bieler'!M108+'H. Bektas'!M89</f>
        <v>0</v>
      </c>
      <c r="Q89" s="10">
        <f>IFERROR(INDEX('Projekt-Budget-Übersicht'!$E:$E,MATCH(4932,'Projekt-Budget-Übersicht'!$L:$L,0)),0)</f>
        <v>0</v>
      </c>
      <c r="R89" s="10">
        <v>315.82</v>
      </c>
      <c r="S89" s="4"/>
      <c r="T89" s="4"/>
      <c r="U89" s="4"/>
    </row>
    <row r="90" spans="1:21" x14ac:dyDescent="0.25">
      <c r="A90" s="4" t="s">
        <v>5033</v>
      </c>
      <c r="B90" s="4" t="s">
        <v>5459</v>
      </c>
      <c r="C90" s="4" t="str">
        <f>IFERROR(INDEX('Projekt-Budget-Übersicht'!$C:$C,MATCH(5015,'Projekt-Budget-Übersicht'!$L:$L,0)),"")</f>
        <v/>
      </c>
      <c r="D90" s="4">
        <v>17</v>
      </c>
      <c r="E90" s="4">
        <v>16.25</v>
      </c>
      <c r="F90" s="5">
        <f>SUM(F17,I17,K17)</f>
        <v>16</v>
      </c>
      <c r="G90" s="14">
        <v>95.59</v>
      </c>
      <c r="H90" s="5">
        <f>SUM(H17)</f>
        <v>0</v>
      </c>
      <c r="I90" s="5">
        <f t="shared" si="12"/>
        <v>0</v>
      </c>
      <c r="J90" s="4" t="s">
        <v>5531</v>
      </c>
      <c r="K90" s="5">
        <f>SUM(K17)</f>
        <v>0</v>
      </c>
      <c r="L90" s="10">
        <f>IF($B$2="-",0,IFERROR(INDEX(IF($B$2="SV",'Projekt-Budget-Übersicht'!$H:$H,IF($B$2="CAD",'Projekt-Budget-Übersicht'!$I:$I,IF($B$2="ADM",'Projekt-Budget-Übersicht'!$J:$J,'Projekt-Budget-Übersicht'!$H:$H))),MATCH(5015,'Projekt-Budget-Übersicht'!$L:$L,0)),0))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'E. Bieler'!M110+'H. Bektas'!M90</f>
        <v>0</v>
      </c>
      <c r="Q90" s="10">
        <f>IFERROR(INDEX('Projekt-Budget-Übersicht'!$E:$E,MATCH(5015,'Projekt-Budget-Übersicht'!$L:$L,0)),0)</f>
        <v>0</v>
      </c>
      <c r="R90" s="10">
        <v>248.32</v>
      </c>
      <c r="S90" s="4"/>
      <c r="T90" s="4"/>
      <c r="U90" s="4"/>
    </row>
    <row r="91" spans="1:21" x14ac:dyDescent="0.25">
      <c r="A91" s="4" t="s">
        <v>5056</v>
      </c>
      <c r="B91" s="4" t="s">
        <v>5459</v>
      </c>
      <c r="C91" s="4" t="str">
        <f>IFERROR(INDEX('Projekt-Budget-Übersicht'!$C:$C,MATCH(5033,'Projekt-Budget-Übersicht'!$L:$L,0)),"")</f>
        <v/>
      </c>
      <c r="D91" s="4">
        <v>17</v>
      </c>
      <c r="E91" s="4">
        <v>16.5</v>
      </c>
      <c r="F91" s="5">
        <f>SUM(F18,F52,I18,I52,K18,K52)</f>
        <v>16</v>
      </c>
      <c r="G91" s="14">
        <v>97.06</v>
      </c>
      <c r="H91" s="5">
        <f>SUM(H18,H52)</f>
        <v>0</v>
      </c>
      <c r="I91" s="5">
        <f t="shared" si="12"/>
        <v>0</v>
      </c>
      <c r="J91" s="4" t="s">
        <v>5531</v>
      </c>
      <c r="K91" s="5">
        <f>SUM(K18,K52)</f>
        <v>0</v>
      </c>
      <c r="L91" s="10">
        <f>IF($B$2="-",0,IFERROR(INDEX(IF($B$2="SV",'Projekt-Budget-Übersicht'!$H:$H,IF($B$2="CAD",'Projekt-Budget-Übersicht'!$I:$I,IF($B$2="ADM",'Projekt-Budget-Übersicht'!$J:$J,'Projekt-Budget-Übersicht'!$H:$H))),MATCH(5033,'Projekt-Budget-Übersicht'!$L:$L,0)),0))</f>
        <v>0</v>
      </c>
      <c r="M91" s="10">
        <f t="shared" si="13"/>
        <v>0</v>
      </c>
      <c r="N91" s="10">
        <f t="shared" si="14"/>
        <v>0</v>
      </c>
      <c r="O91" s="10">
        <f t="shared" si="15"/>
        <v>0</v>
      </c>
      <c r="P91" s="10">
        <f>'E. Bieler'!M112+'H. Bektas'!M91</f>
        <v>0</v>
      </c>
      <c r="Q91" s="10">
        <f>IFERROR(INDEX('Projekt-Budget-Übersicht'!$E:$E,MATCH(5033,'Projekt-Budget-Übersicht'!$L:$L,0)),0)</f>
        <v>0</v>
      </c>
      <c r="R91" s="10"/>
      <c r="S91" s="4"/>
      <c r="T91" s="4"/>
      <c r="U91" s="4"/>
    </row>
    <row r="92" spans="1:21" x14ac:dyDescent="0.25">
      <c r="A92" s="4" t="s">
        <v>5063</v>
      </c>
      <c r="B92" s="4" t="s">
        <v>5459</v>
      </c>
      <c r="C92" s="4" t="str">
        <f>IFERROR(INDEX('Projekt-Budget-Übersicht'!$C:$C,MATCH(5044,'Projekt-Budget-Übersicht'!$L:$L,0)),"")</f>
        <v/>
      </c>
      <c r="D92" s="4">
        <v>16</v>
      </c>
      <c r="E92" s="4">
        <v>13</v>
      </c>
      <c r="F92" s="5">
        <f>SUM(F19,I19,K19)</f>
        <v>13</v>
      </c>
      <c r="G92" s="16">
        <v>81.25</v>
      </c>
      <c r="H92" s="5">
        <f>SUM(H19)</f>
        <v>0</v>
      </c>
      <c r="I92" s="5">
        <f t="shared" si="12"/>
        <v>0</v>
      </c>
      <c r="J92" s="4" t="s">
        <v>5531</v>
      </c>
      <c r="K92" s="5">
        <f>SUM(K19)</f>
        <v>0</v>
      </c>
      <c r="L92" s="10">
        <f>IF($B$2="-",0,IFERROR(INDEX(IF($B$2="SV",'Projekt-Budget-Übersicht'!$H:$H,IF($B$2="CAD",'Projekt-Budget-Übersicht'!$I:$I,IF($B$2="ADM",'Projekt-Budget-Übersicht'!$J:$J,'Projekt-Budget-Übersicht'!$H:$H))),MATCH(5044,'Projekt-Budget-Übersicht'!$L:$L,0)),0))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'H. Bektas'!M92</f>
        <v>0</v>
      </c>
      <c r="Q92" s="10">
        <f>IFERROR(INDEX('Projekt-Budget-Übersicht'!$E:$E,MATCH(5044,'Projekt-Budget-Übersicht'!$L:$L,0)),0)</f>
        <v>0</v>
      </c>
      <c r="R92" s="10">
        <v>235</v>
      </c>
      <c r="S92" s="4"/>
      <c r="T92" s="4"/>
      <c r="U92" s="4"/>
    </row>
    <row r="93" spans="1:21" x14ac:dyDescent="0.25">
      <c r="A93" s="4" t="s">
        <v>5064</v>
      </c>
      <c r="B93" s="4" t="s">
        <v>5459</v>
      </c>
      <c r="C93" s="4" t="str">
        <f>IFERROR(INDEX('Projekt-Budget-Übersicht'!$C:$C,MATCH(5045,'Projekt-Budget-Übersicht'!$L:$L,0)),"")</f>
        <v/>
      </c>
      <c r="D93" s="4">
        <v>16</v>
      </c>
      <c r="E93" s="4">
        <v>16</v>
      </c>
      <c r="F93" s="5">
        <f>SUM(F20,I20,K20)</f>
        <v>16</v>
      </c>
      <c r="G93" s="14">
        <v>100</v>
      </c>
      <c r="H93" s="5">
        <f>SUM(H20)</f>
        <v>0</v>
      </c>
      <c r="I93" s="5">
        <f t="shared" si="12"/>
        <v>0</v>
      </c>
      <c r="J93" s="4" t="s">
        <v>5531</v>
      </c>
      <c r="K93" s="5">
        <f>SUM(K20)</f>
        <v>0</v>
      </c>
      <c r="L93" s="10">
        <f>IF($B$2="-",0,IFERROR(INDEX(IF($B$2="SV",'Projekt-Budget-Übersicht'!$H:$H,IF($B$2="CAD",'Projekt-Budget-Übersicht'!$I:$I,IF($B$2="ADM",'Projekt-Budget-Übersicht'!$J:$J,'Projekt-Budget-Übersicht'!$H:$H))),MATCH(5045,'Projekt-Budget-Übersicht'!$L:$L,0)),0))</f>
        <v>0</v>
      </c>
      <c r="M93" s="10">
        <f t="shared" si="13"/>
        <v>0</v>
      </c>
      <c r="N93" s="10">
        <f t="shared" si="14"/>
        <v>0</v>
      </c>
      <c r="O93" s="10">
        <f t="shared" si="15"/>
        <v>0</v>
      </c>
      <c r="P93" s="10">
        <f>'H. Bektas'!M93</f>
        <v>0</v>
      </c>
      <c r="Q93" s="10">
        <f>IFERROR(INDEX('Projekt-Budget-Übersicht'!$E:$E,MATCH(5045,'Projekt-Budget-Übersicht'!$L:$L,0)),0)</f>
        <v>0</v>
      </c>
      <c r="R93" s="10">
        <v>222.5</v>
      </c>
      <c r="S93" s="4"/>
      <c r="T93" s="4"/>
      <c r="U93" s="4"/>
    </row>
    <row r="94" spans="1:21" x14ac:dyDescent="0.25">
      <c r="A94" s="4" t="s">
        <v>5142</v>
      </c>
      <c r="B94" s="4" t="s">
        <v>5459</v>
      </c>
      <c r="C94" s="4" t="str">
        <f>IFERROR(INDEX('Projekt-Budget-Übersicht'!$C:$C,MATCH(5106,'Projekt-Budget-Übersicht'!$L:$L,0)),"")</f>
        <v/>
      </c>
      <c r="D94" s="4">
        <v>18</v>
      </c>
      <c r="E94" s="4">
        <v>18</v>
      </c>
      <c r="F94" s="5">
        <f>SUM(F36,F53,I36,I53,K36,K53)</f>
        <v>18</v>
      </c>
      <c r="G94" s="14">
        <v>100</v>
      </c>
      <c r="H94" s="5">
        <f>SUM(H36,H53)</f>
        <v>0</v>
      </c>
      <c r="I94" s="5">
        <f t="shared" si="12"/>
        <v>0</v>
      </c>
      <c r="J94" s="4" t="s">
        <v>5531</v>
      </c>
      <c r="K94" s="5">
        <f>SUM(K36,K53)</f>
        <v>0</v>
      </c>
      <c r="L94" s="10">
        <f>IF($B$2="-",0,IFERROR(INDEX(IF($B$2="SV",'Projekt-Budget-Übersicht'!$H:$H,IF($B$2="CAD",'Projekt-Budget-Übersicht'!$I:$I,IF($B$2="ADM",'Projekt-Budget-Übersicht'!$J:$J,'Projekt-Budget-Übersicht'!$H:$H))),MATCH(5106,'Projekt-Budget-Übersicht'!$L:$L,0)),0))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'H. Bektas'!M94</f>
        <v>0</v>
      </c>
      <c r="Q94" s="10">
        <f>IFERROR(INDEX('Projekt-Budget-Übersicht'!$E:$E,MATCH(5106,'Projekt-Budget-Übersicht'!$L:$L,0)),0)</f>
        <v>0</v>
      </c>
      <c r="R94" s="10">
        <v>385</v>
      </c>
      <c r="S94" s="4"/>
      <c r="T94" s="4"/>
      <c r="U94" s="4"/>
    </row>
    <row r="95" spans="1:21" x14ac:dyDescent="0.25">
      <c r="A95" s="4" t="s">
        <v>5143</v>
      </c>
      <c r="B95" s="4" t="s">
        <v>5459</v>
      </c>
      <c r="C95" s="4" t="str">
        <f>IFERROR(INDEX('Projekt-Budget-Übersicht'!$C:$C,MATCH(5107,'Projekt-Budget-Übersicht'!$L:$L,0)),"")</f>
        <v/>
      </c>
      <c r="D95" s="4">
        <v>18</v>
      </c>
      <c r="E95" s="4">
        <v>16</v>
      </c>
      <c r="F95" s="5">
        <f>SUM(F37,F54,I37,I54,K37,K54)</f>
        <v>16</v>
      </c>
      <c r="G95" s="16">
        <v>88.89</v>
      </c>
      <c r="H95" s="5">
        <f>SUM(H37,H54)</f>
        <v>0</v>
      </c>
      <c r="I95" s="5">
        <f t="shared" si="12"/>
        <v>0</v>
      </c>
      <c r="J95" s="4" t="s">
        <v>5531</v>
      </c>
      <c r="K95" s="5">
        <f>SUM(K37,K54)</f>
        <v>0</v>
      </c>
      <c r="L95" s="10">
        <f>IF($B$2="-",0,IFERROR(INDEX(IF($B$2="SV",'Projekt-Budget-Übersicht'!$H:$H,IF($B$2="CAD",'Projekt-Budget-Übersicht'!$I:$I,IF($B$2="ADM",'Projekt-Budget-Übersicht'!$J:$J,'Projekt-Budget-Übersicht'!$H:$H))),MATCH(5107,'Projekt-Budget-Übersicht'!$L:$L,0)),0))</f>
        <v>0</v>
      </c>
      <c r="M95" s="10">
        <f t="shared" si="13"/>
        <v>0</v>
      </c>
      <c r="N95" s="10">
        <f t="shared" si="14"/>
        <v>0</v>
      </c>
      <c r="O95" s="10">
        <f t="shared" si="15"/>
        <v>0</v>
      </c>
      <c r="P95" s="10">
        <f>'H. Bektas'!M95</f>
        <v>0</v>
      </c>
      <c r="Q95" s="10">
        <f>IFERROR(INDEX('Projekt-Budget-Übersicht'!$E:$E,MATCH(5107,'Projekt-Budget-Übersicht'!$L:$L,0)),0)</f>
        <v>0</v>
      </c>
      <c r="R95" s="10">
        <v>347.5</v>
      </c>
      <c r="S95" s="4"/>
      <c r="T95" s="4"/>
      <c r="U95" s="4"/>
    </row>
    <row r="96" spans="1:21" x14ac:dyDescent="0.25">
      <c r="A96" s="4" t="s">
        <v>5161</v>
      </c>
      <c r="B96" s="4" t="s">
        <v>5459</v>
      </c>
      <c r="C96" s="4" t="str">
        <f>IFERROR(INDEX('Projekt-Budget-Übersicht'!$C:$C,MATCH(5123,'Projekt-Budget-Übersicht'!$L:$L,0)),"")</f>
        <v/>
      </c>
      <c r="D96" s="4">
        <v>12</v>
      </c>
      <c r="E96" s="4">
        <v>11.5</v>
      </c>
      <c r="F96" s="5">
        <f>SUM(F55,I55,K55)</f>
        <v>11.5</v>
      </c>
      <c r="G96" s="14">
        <v>95.83</v>
      </c>
      <c r="H96" s="5">
        <f>SUM(H55)</f>
        <v>0</v>
      </c>
      <c r="I96" s="5">
        <f t="shared" si="12"/>
        <v>0</v>
      </c>
      <c r="J96" s="4" t="s">
        <v>5531</v>
      </c>
      <c r="K96" s="5">
        <f>SUM(K55)</f>
        <v>0</v>
      </c>
      <c r="L96" s="10">
        <f>IF($B$2="-",0,IFERROR(INDEX(IF($B$2="SV",'Projekt-Budget-Übersicht'!$H:$H,IF($B$2="CAD",'Projekt-Budget-Übersicht'!$I:$I,IF($B$2="ADM",'Projekt-Budget-Übersicht'!$J:$J,'Projekt-Budget-Übersicht'!$H:$H))),MATCH(5123,'Projekt-Budget-Übersicht'!$L:$L,0)),0))</f>
        <v>0</v>
      </c>
      <c r="M96" s="10">
        <f t="shared" si="13"/>
        <v>0</v>
      </c>
      <c r="N96" s="10">
        <f t="shared" si="14"/>
        <v>0</v>
      </c>
      <c r="O96" s="10">
        <f t="shared" si="15"/>
        <v>0</v>
      </c>
      <c r="P96" s="10">
        <f>'H. Bektas'!M96</f>
        <v>0</v>
      </c>
      <c r="Q96" s="10">
        <f>IFERROR(INDEX('Projekt-Budget-Übersicht'!$E:$E,MATCH(5123,'Projekt-Budget-Übersicht'!$L:$L,0)),0)</f>
        <v>0</v>
      </c>
      <c r="R96" s="10">
        <v>217.5</v>
      </c>
      <c r="S96" s="4"/>
      <c r="T96" s="4"/>
      <c r="U96" s="4"/>
    </row>
    <row r="97" spans="1:21" x14ac:dyDescent="0.25">
      <c r="A97" s="4" t="s">
        <v>5186</v>
      </c>
      <c r="B97" s="4" t="s">
        <v>5577</v>
      </c>
      <c r="C97" s="4" t="str">
        <f>IFERROR(INDEX('Projekt-Budget-Übersicht'!$C:$C,MATCH(5144,'Projekt-Budget-Übersicht'!$L:$L,0)),"")</f>
        <v/>
      </c>
      <c r="D97" s="4">
        <v>3</v>
      </c>
      <c r="E97" s="4">
        <v>3.5</v>
      </c>
      <c r="F97" s="5">
        <f>SUM(F21,I21,K21)</f>
        <v>3.5</v>
      </c>
      <c r="G97" s="15">
        <v>116.67</v>
      </c>
      <c r="H97" s="5">
        <f>SUM(H21)</f>
        <v>0</v>
      </c>
      <c r="I97" s="5">
        <f t="shared" si="12"/>
        <v>0</v>
      </c>
      <c r="J97" s="4" t="s">
        <v>5531</v>
      </c>
      <c r="K97" s="5">
        <f>SUM(K21)</f>
        <v>0</v>
      </c>
      <c r="L97" s="10">
        <f>IF($B$2="-",0,IFERROR(INDEX(IF($B$2="SV",'Projekt-Budget-Übersicht'!$H:$H,IF($B$2="CAD",'Projekt-Budget-Übersicht'!$I:$I,IF($B$2="ADM",'Projekt-Budget-Übersicht'!$J:$J,'Projekt-Budget-Übersicht'!$H:$H))),MATCH(5144,'Projekt-Budget-Übersicht'!$L:$L,0)),0))</f>
        <v>0</v>
      </c>
      <c r="M97" s="10">
        <f t="shared" si="13"/>
        <v>0</v>
      </c>
      <c r="N97" s="10">
        <f t="shared" si="14"/>
        <v>0</v>
      </c>
      <c r="O97" s="10">
        <f t="shared" si="15"/>
        <v>0</v>
      </c>
      <c r="P97" s="10">
        <f>'H. Bektas'!M97</f>
        <v>0</v>
      </c>
      <c r="Q97" s="10">
        <f>IFERROR(INDEX('Projekt-Budget-Übersicht'!$E:$E,MATCH(5144,'Projekt-Budget-Übersicht'!$L:$L,0)),0)</f>
        <v>0</v>
      </c>
      <c r="R97" s="10"/>
      <c r="S97" s="4"/>
      <c r="T97" s="4"/>
      <c r="U97" s="4"/>
    </row>
    <row r="99" spans="1:21" x14ac:dyDescent="0.25">
      <c r="A99" s="3"/>
      <c r="B99" s="3" t="s">
        <v>5492</v>
      </c>
      <c r="C99" s="3"/>
      <c r="D99" s="3"/>
      <c r="E99" s="3"/>
      <c r="F99" s="6">
        <f>SUM(F23,F39,F56)</f>
        <v>311.5</v>
      </c>
      <c r="G99" s="3"/>
      <c r="H99" s="3"/>
      <c r="I99" s="3"/>
      <c r="J99" s="3"/>
      <c r="K99" s="3"/>
      <c r="L99" s="3"/>
      <c r="M99" s="17">
        <f>SUM(M71:M97)</f>
        <v>0</v>
      </c>
      <c r="N99" s="17">
        <f>SUM(N71:N97)</f>
        <v>0</v>
      </c>
      <c r="O99" s="17">
        <f>SUM(O71:O97)</f>
        <v>0</v>
      </c>
      <c r="P99" s="17">
        <f>SUM(P71:P97)</f>
        <v>0</v>
      </c>
      <c r="Q99" s="3"/>
      <c r="R99" s="3"/>
      <c r="S99" s="3"/>
      <c r="T99" s="3"/>
      <c r="U99" s="3"/>
    </row>
    <row r="100" spans="1:21" x14ac:dyDescent="0.25">
      <c r="A100" s="3"/>
      <c r="B100" s="3" t="s">
        <v>4</v>
      </c>
      <c r="C100" s="3"/>
      <c r="D100" s="3"/>
      <c r="E100" s="3"/>
      <c r="F100" s="6">
        <f>G100+H100</f>
        <v>257.5</v>
      </c>
      <c r="G100" s="6">
        <f>SUM(G24,G40,G57)</f>
        <v>257.5</v>
      </c>
      <c r="H100" s="6">
        <v>0</v>
      </c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1:21" x14ac:dyDescent="0.25">
      <c r="A101" s="3"/>
      <c r="B101" s="3" t="s">
        <v>5</v>
      </c>
      <c r="C101" s="3"/>
      <c r="D101" s="3"/>
      <c r="E101" s="3"/>
      <c r="F101" s="6">
        <f>G101+H101</f>
        <v>0</v>
      </c>
      <c r="G101" s="6">
        <f>SUM(G25,G41,G58)</f>
        <v>0</v>
      </c>
      <c r="H101" s="6">
        <v>0</v>
      </c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1:21" x14ac:dyDescent="0.25">
      <c r="A102" s="3"/>
      <c r="B102" s="3" t="s">
        <v>5493</v>
      </c>
      <c r="C102" s="3"/>
      <c r="D102" s="3"/>
      <c r="E102" s="3"/>
      <c r="F102" s="6">
        <f>SUM(F26,F42,F59)</f>
        <v>0</v>
      </c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1:21" x14ac:dyDescent="0.25">
      <c r="A103" s="18"/>
      <c r="B103" s="18" t="s">
        <v>5494</v>
      </c>
      <c r="C103" s="18"/>
      <c r="D103" s="18"/>
      <c r="E103" s="18"/>
      <c r="F103" s="19">
        <f>F100+F101+F102</f>
        <v>257.5</v>
      </c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5" spans="1:21" ht="15.75" x14ac:dyDescent="0.25">
      <c r="A105" s="2" t="s">
        <v>5532</v>
      </c>
    </row>
    <row r="106" spans="1:21" x14ac:dyDescent="0.25">
      <c r="A106" s="13" t="s">
        <v>10</v>
      </c>
      <c r="B106" s="13">
        <v>311.5</v>
      </c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</row>
    <row r="107" spans="1:21" x14ac:dyDescent="0.25">
      <c r="A107" s="13" t="s">
        <v>11</v>
      </c>
      <c r="B107" s="20">
        <f>SUM(F24,F40,F57)</f>
        <v>257.5</v>
      </c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</row>
    <row r="108" spans="1:21" x14ac:dyDescent="0.25">
      <c r="A108" s="13" t="s">
        <v>12</v>
      </c>
      <c r="B108" s="20">
        <f>SUM(F25,F41,F58)</f>
        <v>0</v>
      </c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</row>
  </sheetData>
  <mergeCells count="3">
    <mergeCell ref="A85:A86"/>
    <mergeCell ref="A13:A14"/>
    <mergeCell ref="A21:A22"/>
  </mergeCells>
  <conditionalFormatting sqref="I6:I22">
    <cfRule type="cellIs" dxfId="51" priority="1" stopIfTrue="1" operator="lessThan">
      <formula>0</formula>
    </cfRule>
  </conditionalFormatting>
  <conditionalFormatting sqref="I31:I38">
    <cfRule type="cellIs" dxfId="50" priority="18" stopIfTrue="1" operator="lessThan">
      <formula>0</formula>
    </cfRule>
  </conditionalFormatting>
  <conditionalFormatting sqref="I47:I55">
    <cfRule type="cellIs" dxfId="49" priority="26" stopIfTrue="1" operator="lessThan">
      <formula>0</formula>
    </cfRule>
  </conditionalFormatting>
  <conditionalFormatting sqref="I71:I97">
    <cfRule type="cellIs" dxfId="48" priority="35" stopIfTrue="1" operator="lessThan">
      <formula>0</formula>
    </cfRule>
  </conditionalFormatting>
  <dataValidations count="7">
    <dataValidation type="list" sqref="B2" xr:uid="{00000000-0002-0000-0700-000000000000}">
      <formula1>"SV,CAD,ADM,Pauschale,-"</formula1>
    </dataValidation>
    <dataValidation type="list" allowBlank="1" sqref="J50:J51 J6:J7" xr:uid="{00000000-0002-0000-0700-000001000000}">
      <formula1>"A. Kokott"</formula1>
    </dataValidation>
    <dataValidation type="list" allowBlank="1" sqref="T47:T55 T31:T38 T6:T22" xr:uid="{00000000-0002-0000-0700-000002000000}">
      <formula1>"SR,AZ"</formula1>
    </dataValidation>
    <dataValidation type="list" allowBlank="1" sqref="J8" xr:uid="{00000000-0002-0000-0700-000005000000}">
      <formula1>"E. Bieler,J. Dorchies"</formula1>
    </dataValidation>
    <dataValidation type="list" allowBlank="1" sqref="J16:J18 J9:J11" xr:uid="{00000000-0002-0000-0700-000007000000}">
      <formula1>"E. Bieler"</formula1>
    </dataValidation>
    <dataValidation type="list" allowBlank="1" sqref="J22" xr:uid="{00000000-0002-0000-0700-00001A000000}">
      <formula1>"S. Schüler"</formula1>
    </dataValidation>
    <dataValidation type="list" allowBlank="1" sqref="J35" xr:uid="{00000000-0002-0000-0700-000020000000}">
      <formula1>"R. Böttiger,T. Trautmann"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U57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5579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IFERROR(INDEX('Projekt-Budget-Übersicht'!$C:$C,MATCH(10,'Projekt-Budget-Übersicht'!$L:$L,0)),"")</f>
        <v/>
      </c>
      <c r="D6" s="4">
        <v>8</v>
      </c>
      <c r="E6" s="4">
        <v>4.5</v>
      </c>
      <c r="F6" s="4">
        <v>4.5</v>
      </c>
      <c r="G6" s="16">
        <v>56.25</v>
      </c>
      <c r="H6" s="5"/>
      <c r="I6" s="5">
        <f t="shared" ref="I6:I14" si="0">IF(H6=0,0,F6-H6)</f>
        <v>0</v>
      </c>
      <c r="J6" s="4"/>
      <c r="K6" s="5">
        <f>IF('A. Kokott'!J6="J. Dorchies",'A. Kokott'!I6,0)+IF('D. Brucker'!J6="J. Dorchies",'D. Brucker'!I6,0)+IF('E. Bieler'!J6="J. Dorchies",'E. Bieler'!I6,0)+IF('O. Haag BS-CAD'!J6="J. Dorchies",'O. Haag BS-CAD'!I6,0)+IF('S. Schüler'!J6="J. Dorchies",'S. Schüler'!I6,0)+IF('T. Trautmann'!J6="J. Dorchies",'T. Trautmann'!I6,0)+IF('U. Sutter ADM'!J6="J. Dorchies",'U.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4" si="1">IF($B$2="-",0,IF(C6="Pauschale",IF(OR(R6=0,N(D6)=0),0,MAX(0,MIN(R6*((N(F6)+N(K6))/N(D6)),R6-R6*(N(E6)/N(D6))))),L6*(N(F6)+N(K6))))</f>
        <v>0</v>
      </c>
      <c r="N6" s="10">
        <f t="shared" ref="N6:N14" si="2">IF($B$2="-",0,IF(C6="Pauschale",IF(OR(R6=0,N(D6)=0),0,R6*((N(F6)+N(K6))/N(D6))),L6*(N(F6)+N(K6))))</f>
        <v>0</v>
      </c>
      <c r="O6" s="10">
        <f t="shared" ref="O6:O14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22"/>
      <c r="B7" s="4" t="s">
        <v>5481</v>
      </c>
      <c r="C7" s="4" t="str">
        <f>IFERROR(INDEX('Projekt-Budget-Übersicht'!$C:$C,MATCH(10,'Projekt-Budget-Übersicht'!$L:$L,0)),"")</f>
        <v/>
      </c>
      <c r="D7" s="4">
        <v>8</v>
      </c>
      <c r="E7" s="4">
        <v>4</v>
      </c>
      <c r="F7" s="4">
        <v>4</v>
      </c>
      <c r="G7" s="16">
        <v>50</v>
      </c>
      <c r="H7" s="5"/>
      <c r="I7" s="5">
        <f t="shared" si="0"/>
        <v>0</v>
      </c>
      <c r="J7" s="4"/>
      <c r="K7" s="5">
        <f>IF('A. Kokott'!J7="J. Dorchies",'A. Kokott'!I7,0)+IF('C. Trapp SV'!J6="J. Dorchies",'C. Trapp SV'!I6,0)+IF('D. Brucker'!J7="J. Dorchies",'D. Brucker'!I7,0)+IF('E. Bieler'!J7="J. Dorchies",'E. Bieler'!I7,0)+IF('J. Dorn'!J6="J. Dorchies",'J. Dorn'!I6,0)+IF('M. Bandlofsky'!J6="J. Dorchies",'M. Bandlofsky'!I6,0)+IF('T. Trautmann'!J7="J. Dorchies",'T. Trautmann'!I7,0)+IF('U. Sutter ADM'!J7="J. Dorchies",'U. Sutter ADM'!I7,0)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IFERROR(INDEX('Projekt-Budget-Übersicht'!$F:$F,MATCH(10,'Projekt-Budget-Übersicht'!$L:$L,0)),0)</f>
        <v>0</v>
      </c>
      <c r="S7" s="10">
        <v>68628.19</v>
      </c>
      <c r="T7" s="4"/>
      <c r="U7" s="4"/>
    </row>
    <row r="8" spans="1:21" x14ac:dyDescent="0.25">
      <c r="A8" s="4" t="s">
        <v>105</v>
      </c>
      <c r="B8" s="4" t="s">
        <v>5536</v>
      </c>
      <c r="C8" s="4" t="str">
        <f>IFERROR(INDEX('Projekt-Budget-Übersicht'!$C:$C,MATCH(36,'Projekt-Budget-Übersicht'!$L:$L,0)),"")</f>
        <v/>
      </c>
      <c r="D8" s="4">
        <v>42</v>
      </c>
      <c r="E8" s="4">
        <v>20</v>
      </c>
      <c r="F8" s="4">
        <v>0.75</v>
      </c>
      <c r="G8" s="16">
        <v>47.62</v>
      </c>
      <c r="H8" s="5"/>
      <c r="I8" s="5">
        <f t="shared" si="0"/>
        <v>0</v>
      </c>
      <c r="J8" s="4"/>
      <c r="K8" s="5">
        <f>IF('S. Schüler'!J7="J. Dorchies",'S. Schüler'!I7,0)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IF($B$2="-",0,IFERROR(INDEX(IF($B$2="SV",'Projekt-Budget-Übersicht'!$I:$I,IF($B$2="CAD",'Projekt-Budget-Übersicht'!$J:$J,IF($B$2="ADM",'Projekt-Budget-Übersicht'!$K:$K,'Projekt-Budget-Übersicht'!$I:$I))),MATCH(36,'Projekt-Budget-Übersicht'!$M:$M,0)),0))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'J. Dorchies'!M8+'S. Schüler'!M7</f>
        <v>0</v>
      </c>
      <c r="Q8" s="10">
        <v>30</v>
      </c>
      <c r="R8" s="10">
        <f>IFERROR(INDEX('Projekt-Budget-Übersicht'!$F:$F,MATCH(36,'Projekt-Budget-Übersicht'!$L:$L,0)),0)</f>
        <v>0</v>
      </c>
      <c r="S8" s="10"/>
      <c r="T8" s="4"/>
      <c r="U8" s="4"/>
    </row>
    <row r="9" spans="1:21" x14ac:dyDescent="0.25">
      <c r="A9" s="4" t="s">
        <v>2834</v>
      </c>
      <c r="B9" s="4" t="s">
        <v>5459</v>
      </c>
      <c r="C9" s="4" t="str">
        <f>IFERROR(INDEX('Projekt-Budget-Übersicht'!$C:$C,MATCH(3122,'Projekt-Budget-Übersicht'!$L:$L,0)),"")</f>
        <v/>
      </c>
      <c r="D9" s="4">
        <v>6</v>
      </c>
      <c r="E9" s="4">
        <v>33.75</v>
      </c>
      <c r="F9" s="4">
        <v>0.75</v>
      </c>
      <c r="G9" s="15">
        <v>562.5</v>
      </c>
      <c r="H9" s="5"/>
      <c r="I9" s="5">
        <f t="shared" si="0"/>
        <v>0</v>
      </c>
      <c r="J9" s="4"/>
      <c r="K9" s="5">
        <f>IF('A. Kokott'!J14="J. Dorchies",'A. Kokott'!I14,0)+IF('E. Bieler'!J20="J. Dorchies",'E. Bieler'!I20,0)+IF('J. Dorn'!J23="J. Dorchies",'J. Dorn'!I23,0)+IF('P. Bergner'!J7="J. Dorchies",'P. Bergner'!I7,0)+IF('R. Böttiger'!J13="J. Dorchies",'R. Böttiger'!I13,0)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9" s="10">
        <f t="shared" si="1"/>
        <v>43.750000000000007</v>
      </c>
      <c r="N9" s="10">
        <f t="shared" si="2"/>
        <v>43.750000000000007</v>
      </c>
      <c r="O9" s="10">
        <f t="shared" si="3"/>
        <v>0</v>
      </c>
      <c r="P9" s="10">
        <f>'A. Kokott'!M14+'E. Bieler'!M20+'J. Dorchies'!M9+'J. Dorn'!M23+'P. Bergner'!M7+'R. Böttiger'!M13</f>
        <v>1195.8333333333335</v>
      </c>
      <c r="Q9" s="10">
        <v>18</v>
      </c>
      <c r="R9" s="10">
        <f>IFERROR(INDEX('Projekt-Budget-Übersicht'!$F:$F,MATCH(3122,'Projekt-Budget-Übersicht'!$L:$L,0)),0)</f>
        <v>0</v>
      </c>
      <c r="S9" s="10">
        <v>2985.82</v>
      </c>
      <c r="T9" s="4"/>
      <c r="U9" s="4"/>
    </row>
    <row r="10" spans="1:21" x14ac:dyDescent="0.25">
      <c r="A10" s="4" t="s">
        <v>4099</v>
      </c>
      <c r="B10" s="4" t="s">
        <v>5459</v>
      </c>
      <c r="C10" s="4" t="str">
        <f>IFERROR(INDEX('Projekt-Budget-Übersicht'!$C:$C,MATCH(4217,'Projekt-Budget-Übersicht'!$L:$L,0)),"")</f>
        <v/>
      </c>
      <c r="D10" s="4">
        <v>12</v>
      </c>
      <c r="E10" s="4">
        <v>12.25</v>
      </c>
      <c r="F10" s="4">
        <v>0.25</v>
      </c>
      <c r="G10" s="15">
        <v>102.08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IF($B$2="-",0,IFERROR(INDEX(IF($B$2="SV",'Projekt-Budget-Übersicht'!$I:$I,IF($B$2="CAD",'Projekt-Budget-Übersicht'!$J:$J,IF($B$2="ADM",'Projekt-Budget-Übersicht'!$K:$K,'Projekt-Budget-Übersicht'!$I:$I))),MATCH(4217,'Projekt-Budget-Übersicht'!$M:$M,0)),0))</f>
        <v>117.64705882352941</v>
      </c>
      <c r="M10" s="10">
        <f t="shared" si="1"/>
        <v>29.411764705882351</v>
      </c>
      <c r="N10" s="10">
        <f t="shared" si="2"/>
        <v>29.411764705882351</v>
      </c>
      <c r="O10" s="10">
        <f t="shared" si="3"/>
        <v>0</v>
      </c>
      <c r="P10" s="10">
        <f>'J. Dorchies'!M10</f>
        <v>29.411764705882351</v>
      </c>
      <c r="Q10" s="10">
        <v>191</v>
      </c>
      <c r="R10" s="10">
        <f>IFERROR(INDEX('Projekt-Budget-Übersicht'!$F:$F,MATCH(4217,'Projekt-Budget-Übersicht'!$L:$L,0)),0)</f>
        <v>0</v>
      </c>
      <c r="S10" s="10">
        <v>405</v>
      </c>
      <c r="T10" s="4"/>
      <c r="U10" s="4"/>
    </row>
    <row r="11" spans="1:21" x14ac:dyDescent="0.25">
      <c r="A11" s="4" t="s">
        <v>4278</v>
      </c>
      <c r="B11" s="4" t="s">
        <v>5459</v>
      </c>
      <c r="C11" s="4" t="str">
        <f>IFERROR(INDEX('Projekt-Budget-Übersicht'!$C:$C,MATCH(4368,'Projekt-Budget-Übersicht'!$L:$L,0)),"")</f>
        <v/>
      </c>
      <c r="D11" s="4">
        <v>13</v>
      </c>
      <c r="E11" s="4">
        <v>146.75</v>
      </c>
      <c r="F11" s="4">
        <v>0.5</v>
      </c>
      <c r="G11" s="15">
        <v>1128.8499999999999</v>
      </c>
      <c r="H11" s="5"/>
      <c r="I11" s="5">
        <f t="shared" si="0"/>
        <v>0</v>
      </c>
      <c r="J11" s="4"/>
      <c r="K11" s="5">
        <f>IF('E. Bieler'!J22="J. Dorchies",'E. Bieler'!I22,0)+IF('J. Dorn'!J33="J. Dorchies",'J. Dorn'!I33,0)+IF('R. Böttiger'!J14="J. Dorchies",'R. Böttiger'!I14,0)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90.166956521739138</v>
      </c>
      <c r="M11" s="10">
        <f t="shared" si="1"/>
        <v>45.083478260869569</v>
      </c>
      <c r="N11" s="10">
        <f t="shared" si="2"/>
        <v>45.083478260869569</v>
      </c>
      <c r="O11" s="10">
        <f t="shared" si="3"/>
        <v>0</v>
      </c>
      <c r="P11" s="10">
        <f>'E. Bieler'!M22+'J. Dorchies'!M11+'J. Dorn'!M33+'R. Böttiger'!M14</f>
        <v>1532.8382608695654</v>
      </c>
      <c r="Q11" s="10">
        <v>57.5</v>
      </c>
      <c r="R11" s="10">
        <f>IFERROR(INDEX('Projekt-Budget-Übersicht'!$F:$F,MATCH(4368,'Projekt-Budget-Übersicht'!$L:$L,0)),0)</f>
        <v>0</v>
      </c>
      <c r="S11" s="10">
        <v>1720.79</v>
      </c>
      <c r="T11" s="4"/>
      <c r="U11" s="4"/>
    </row>
    <row r="12" spans="1:21" x14ac:dyDescent="0.25">
      <c r="A12" s="4" t="s">
        <v>4298</v>
      </c>
      <c r="B12" s="4" t="s">
        <v>5484</v>
      </c>
      <c r="C12" s="4" t="str">
        <f>IFERROR(INDEX('Projekt-Budget-Übersicht'!$C:$C,MATCH(4386,'Projekt-Budget-Übersicht'!$L:$L,0)),"")</f>
        <v/>
      </c>
      <c r="D12" s="4">
        <v>1</v>
      </c>
      <c r="E12" s="4">
        <v>1.08</v>
      </c>
      <c r="F12" s="4">
        <v>0.33</v>
      </c>
      <c r="G12" s="15">
        <v>108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IF($B$2="-",0,IFERROR(INDEX(IF($B$2="SV",'Projekt-Budget-Übersicht'!$I:$I,IF($B$2="CAD",'Projekt-Budget-Übersicht'!$J:$J,IF($B$2="ADM",'Projekt-Budget-Übersicht'!$K:$K,'Projekt-Budget-Übersicht'!$I:$I))),MATCH(4386,'Projekt-Budget-Übersicht'!$M:$M,0)),0))</f>
        <v>129.09090909090909</v>
      </c>
      <c r="M12" s="10">
        <f t="shared" si="1"/>
        <v>42.6</v>
      </c>
      <c r="N12" s="10">
        <f t="shared" si="2"/>
        <v>42.6</v>
      </c>
      <c r="O12" s="10">
        <f t="shared" si="3"/>
        <v>0</v>
      </c>
      <c r="P12" s="10">
        <f>'J. Dorchies'!M12</f>
        <v>42.6</v>
      </c>
      <c r="Q12" s="10">
        <v>55</v>
      </c>
      <c r="R12" s="10">
        <f>IFERROR(INDEX('Projekt-Budget-Übersicht'!$F:$F,MATCH(4386,'Projekt-Budget-Übersicht'!$L:$L,0)),0)</f>
        <v>0</v>
      </c>
      <c r="S12" s="10">
        <v>7883.29</v>
      </c>
      <c r="T12" s="4"/>
      <c r="U12" s="4"/>
    </row>
    <row r="13" spans="1:21" x14ac:dyDescent="0.25">
      <c r="A13" s="4" t="s">
        <v>5580</v>
      </c>
      <c r="B13" s="4" t="s">
        <v>5581</v>
      </c>
      <c r="C13" s="4" t="s">
        <v>50</v>
      </c>
      <c r="D13" s="4">
        <v>0</v>
      </c>
      <c r="E13" s="4">
        <v>0</v>
      </c>
      <c r="F13" s="4">
        <v>0.25</v>
      </c>
      <c r="G13" s="4">
        <v>0</v>
      </c>
      <c r="H13" s="5"/>
      <c r="I13" s="5">
        <f t="shared" si="0"/>
        <v>0</v>
      </c>
      <c r="J13" s="4"/>
      <c r="K13" s="5">
        <v>0</v>
      </c>
      <c r="L13" s="10">
        <f>IF($B$2="-",0,0)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'J. Dorchies'!M13</f>
        <v>0</v>
      </c>
      <c r="Q13" s="10"/>
      <c r="R13" s="10">
        <f>0</f>
        <v>0</v>
      </c>
      <c r="S13" s="10"/>
      <c r="T13" s="4"/>
      <c r="U13" s="4"/>
    </row>
    <row r="14" spans="1:21" x14ac:dyDescent="0.25">
      <c r="A14" s="4" t="s">
        <v>4489</v>
      </c>
      <c r="B14" s="4" t="s">
        <v>5567</v>
      </c>
      <c r="C14" s="4" t="str">
        <f>IFERROR(INDEX('Projekt-Budget-Übersicht'!$C:$C,MATCH(4552,'Projekt-Budget-Übersicht'!$L:$L,0)),"")</f>
        <v/>
      </c>
      <c r="D14" s="4">
        <v>10</v>
      </c>
      <c r="E14" s="4">
        <v>16.25</v>
      </c>
      <c r="F14" s="4">
        <v>0.5</v>
      </c>
      <c r="G14" s="15">
        <v>162.5</v>
      </c>
      <c r="H14" s="5"/>
      <c r="I14" s="5">
        <f t="shared" si="0"/>
        <v>0</v>
      </c>
      <c r="J14" s="4"/>
      <c r="K14" s="5">
        <f>IF('E. Bieler'!J25="J. Dorchies",'E. Bieler'!I25,0)+IF('H. Bektas'!J8="J. Dorchies",'H. Bektas'!I8,0)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IF($B$2="-",0,IFERROR(INDEX(IF($B$2="SV",'Projekt-Budget-Übersicht'!$I:$I,IF($B$2="CAD",'Projekt-Budget-Übersicht'!$J:$J,IF($B$2="ADM",'Projekt-Budget-Übersicht'!$K:$K,'Projekt-Budget-Übersicht'!$I:$I))),MATCH(4552,'Projekt-Budget-Übersicht'!$M:$M,0)),0))</f>
        <v>100</v>
      </c>
      <c r="M14" s="10">
        <f t="shared" si="1"/>
        <v>50</v>
      </c>
      <c r="N14" s="10">
        <f t="shared" si="2"/>
        <v>50</v>
      </c>
      <c r="O14" s="10">
        <f t="shared" si="3"/>
        <v>0</v>
      </c>
      <c r="P14" s="10">
        <f>'E. Bieler'!M25+'H. Bektas'!M8+'J. Dorchies'!M14</f>
        <v>400</v>
      </c>
      <c r="Q14" s="10">
        <v>56</v>
      </c>
      <c r="R14" s="10">
        <f>IFERROR(INDEX('Projekt-Budget-Übersicht'!$F:$F,MATCH(4552,'Projekt-Budget-Übersicht'!$L:$L,0)),0)</f>
        <v>0</v>
      </c>
      <c r="S14" s="10">
        <v>134.15</v>
      </c>
      <c r="T14" s="4"/>
      <c r="U14" s="4"/>
    </row>
    <row r="15" spans="1:21" x14ac:dyDescent="0.25">
      <c r="A15" s="3"/>
      <c r="B15" s="3" t="s">
        <v>5492</v>
      </c>
      <c r="C15" s="3"/>
      <c r="D15" s="3"/>
      <c r="E15" s="3"/>
      <c r="F15" s="6">
        <v>11.83</v>
      </c>
      <c r="G15" s="3"/>
      <c r="H15" s="3"/>
      <c r="I15" s="3"/>
      <c r="J15" s="3"/>
      <c r="K15" s="3"/>
      <c r="L15" s="3"/>
      <c r="M15" s="17">
        <f>SUM(M6:M14)</f>
        <v>210.84524296675193</v>
      </c>
      <c r="N15" s="17">
        <f>SUM(N6:N14)</f>
        <v>210.84524296675193</v>
      </c>
      <c r="O15" s="17">
        <f>SUM(O6:O14)</f>
        <v>0</v>
      </c>
      <c r="P15" s="17">
        <f>SUM(P6:P14)</f>
        <v>3200.6833589087814</v>
      </c>
      <c r="Q15" s="3"/>
      <c r="R15" s="3"/>
      <c r="S15" s="3"/>
      <c r="T15" s="3"/>
      <c r="U15" s="3"/>
    </row>
    <row r="16" spans="1:21" x14ac:dyDescent="0.25">
      <c r="A16" s="3"/>
      <c r="B16" s="3" t="s">
        <v>4</v>
      </c>
      <c r="C16" s="3"/>
      <c r="D16" s="3"/>
      <c r="E16" s="3"/>
      <c r="F16" s="6">
        <f>G16+H16</f>
        <v>1</v>
      </c>
      <c r="G16" s="6">
        <v>1</v>
      </c>
      <c r="H16" s="6">
        <f>SUM(H8,H9,H10,H11,H12,H13,H14)</f>
        <v>0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3"/>
      <c r="B17" s="3" t="s">
        <v>5</v>
      </c>
      <c r="C17" s="3"/>
      <c r="D17" s="3"/>
      <c r="E17" s="3"/>
      <c r="F17" s="6">
        <f>G17+H17</f>
        <v>8.5</v>
      </c>
      <c r="G17" s="6">
        <v>8.5</v>
      </c>
      <c r="H17" s="6">
        <f>SUM(H6,H7)</f>
        <v>0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3"/>
      <c r="B18" s="3" t="s">
        <v>5493</v>
      </c>
      <c r="C18" s="3"/>
      <c r="D18" s="3"/>
      <c r="E18" s="3"/>
      <c r="F18" s="6">
        <f>SUM(K6:K14)</f>
        <v>0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 x14ac:dyDescent="0.25">
      <c r="A19" s="18"/>
      <c r="B19" s="18" t="s">
        <v>5494</v>
      </c>
      <c r="C19" s="18"/>
      <c r="D19" s="18"/>
      <c r="E19" s="18"/>
      <c r="F19" s="19">
        <f>F16+F17+F18</f>
        <v>9.5</v>
      </c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1" spans="1:21" ht="15.75" x14ac:dyDescent="0.25">
      <c r="A21" s="2" t="s">
        <v>5495</v>
      </c>
    </row>
    <row r="22" spans="1:21" x14ac:dyDescent="0.25">
      <c r="A22" s="3" t="s">
        <v>35</v>
      </c>
      <c r="B22" s="3" t="s">
        <v>5461</v>
      </c>
      <c r="C22" s="3" t="s">
        <v>37</v>
      </c>
      <c r="D22" s="3" t="s">
        <v>5462</v>
      </c>
      <c r="E22" s="3" t="s">
        <v>5463</v>
      </c>
      <c r="F22" s="3" t="s">
        <v>5496</v>
      </c>
      <c r="G22" s="3" t="s">
        <v>5465</v>
      </c>
      <c r="H22" s="3" t="s">
        <v>5466</v>
      </c>
      <c r="I22" s="3" t="s">
        <v>5467</v>
      </c>
      <c r="J22" s="3" t="s">
        <v>5468</v>
      </c>
      <c r="K22" s="3" t="s">
        <v>5469</v>
      </c>
      <c r="L22" s="3" t="s">
        <v>5470</v>
      </c>
      <c r="M22" s="3" t="s">
        <v>5471</v>
      </c>
      <c r="N22" s="3" t="s">
        <v>5472</v>
      </c>
      <c r="O22" s="3" t="s">
        <v>5473</v>
      </c>
      <c r="P22" s="3" t="s">
        <v>5474</v>
      </c>
      <c r="Q22" s="3" t="s">
        <v>5475</v>
      </c>
      <c r="R22" s="3" t="s">
        <v>5476</v>
      </c>
      <c r="S22" s="3" t="s">
        <v>5477</v>
      </c>
      <c r="T22" s="3" t="s">
        <v>5478</v>
      </c>
      <c r="U22" s="3" t="s">
        <v>5479</v>
      </c>
    </row>
    <row r="23" spans="1:21" x14ac:dyDescent="0.25">
      <c r="A23" s="4" t="s">
        <v>4980</v>
      </c>
      <c r="B23" s="4" t="s">
        <v>5487</v>
      </c>
      <c r="C23" s="4" t="str">
        <f>IFERROR(INDEX('Projekt-Budget-Übersicht'!$C:$C,MATCH(4962,'Projekt-Budget-Übersicht'!$L:$L,0)),"")</f>
        <v/>
      </c>
      <c r="D23" s="4">
        <v>26</v>
      </c>
      <c r="E23" s="4">
        <v>41.25</v>
      </c>
      <c r="F23" s="4">
        <v>0.5</v>
      </c>
      <c r="G23" s="15">
        <v>158.65</v>
      </c>
      <c r="H23" s="5"/>
      <c r="I23" s="5">
        <f>IF(H23=0,0,F23-H23)</f>
        <v>0</v>
      </c>
      <c r="J23" s="4"/>
      <c r="K23" s="5">
        <f>IF('M. Bandlofsky'!J35="J. Dorchies",'M. Bandlofsky'!I35,0)+IF('T. Trautmann'!J61="J. Dorchies",'T. Trautmann'!I61,0)</f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23" s="10">
        <f>IF($B$2="-",0,IF(C23="Pauschale",IF(OR(R23=0,N(D23)=0),0,MAX(0,MIN(R23*((N(F23)+N(K23))/N(D23)),R23-R23*(N(E23)/N(D23))))),L23*(N(F23)+N(K23))))</f>
        <v>0</v>
      </c>
      <c r="N23" s="10">
        <f>IF($B$2="-",0,IF(C23="Pauschale",IF(OR(R23=0,N(D23)=0),0,R23*((N(F23)+N(K23))/N(D23))),L23*(N(F23)+N(K23))))</f>
        <v>0</v>
      </c>
      <c r="O23" s="10">
        <f>N23-M23</f>
        <v>0</v>
      </c>
      <c r="P23" s="10">
        <f>'J. Dorchies'!M23+'M. Bandlofsky'!M35+'T. Trautmann'!M61</f>
        <v>0</v>
      </c>
      <c r="Q23" s="10">
        <v>178</v>
      </c>
      <c r="R23" s="10">
        <f>IFERROR(INDEX('Projekt-Budget-Übersicht'!$F:$F,MATCH(4962,'Projekt-Budget-Übersicht'!$L:$L,0)),0)</f>
        <v>0</v>
      </c>
      <c r="S23" s="10">
        <v>606.65</v>
      </c>
      <c r="T23" s="4"/>
      <c r="U23" s="4"/>
    </row>
    <row r="24" spans="1:21" x14ac:dyDescent="0.25">
      <c r="A24" s="3"/>
      <c r="B24" s="3" t="s">
        <v>5492</v>
      </c>
      <c r="C24" s="3"/>
      <c r="D24" s="3"/>
      <c r="E24" s="3"/>
      <c r="F24" s="6">
        <v>0.5</v>
      </c>
      <c r="G24" s="3"/>
      <c r="H24" s="3"/>
      <c r="I24" s="3"/>
      <c r="J24" s="3"/>
      <c r="K24" s="3"/>
      <c r="L24" s="3"/>
      <c r="M24" s="17">
        <f>SUM(M23:M23)</f>
        <v>0</v>
      </c>
      <c r="N24" s="17">
        <f>SUM(N23:N23)</f>
        <v>0</v>
      </c>
      <c r="O24" s="17">
        <f>SUM(O23:O23)</f>
        <v>0</v>
      </c>
      <c r="P24" s="17">
        <f>SUM(P23:P23)</f>
        <v>0</v>
      </c>
      <c r="Q24" s="3"/>
      <c r="R24" s="3"/>
      <c r="S24" s="3"/>
      <c r="T24" s="3"/>
      <c r="U24" s="3"/>
    </row>
    <row r="25" spans="1:21" x14ac:dyDescent="0.25">
      <c r="A25" s="3"/>
      <c r="B25" s="3" t="s">
        <v>4</v>
      </c>
      <c r="C25" s="3"/>
      <c r="D25" s="3"/>
      <c r="E25" s="3"/>
      <c r="F25" s="6">
        <f>G25+H25</f>
        <v>0</v>
      </c>
      <c r="G25" s="6">
        <v>0</v>
      </c>
      <c r="H25" s="6">
        <f>SUM(H23)</f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</v>
      </c>
      <c r="C26" s="3"/>
      <c r="D26" s="3"/>
      <c r="E26" s="3"/>
      <c r="F26" s="6">
        <v>0</v>
      </c>
      <c r="G26" s="6">
        <v>0</v>
      </c>
      <c r="H26" s="6">
        <v>0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3"/>
      <c r="B27" s="3" t="s">
        <v>5493</v>
      </c>
      <c r="C27" s="3"/>
      <c r="D27" s="3"/>
      <c r="E27" s="3"/>
      <c r="F27" s="6">
        <f>SUM(K23:K23)</f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1:21" x14ac:dyDescent="0.25">
      <c r="A28" s="18"/>
      <c r="B28" s="18" t="s">
        <v>5494</v>
      </c>
      <c r="C28" s="18"/>
      <c r="D28" s="18"/>
      <c r="E28" s="18"/>
      <c r="F28" s="19">
        <f>F25+F26+F27</f>
        <v>0</v>
      </c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30" spans="1:21" ht="15.75" x14ac:dyDescent="0.25">
      <c r="A30" s="2" t="s">
        <v>5524</v>
      </c>
    </row>
    <row r="31" spans="1:21" x14ac:dyDescent="0.25">
      <c r="A31" s="3" t="s">
        <v>2</v>
      </c>
      <c r="B31" s="3" t="s">
        <v>5525</v>
      </c>
      <c r="C31" s="3" t="s">
        <v>5526</v>
      </c>
      <c r="D31" s="3" t="s">
        <v>4</v>
      </c>
      <c r="E31" s="3" t="s">
        <v>5</v>
      </c>
      <c r="F31" s="3" t="s">
        <v>5527</v>
      </c>
      <c r="G31" s="3" t="s">
        <v>5528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4" t="s">
        <v>6</v>
      </c>
      <c r="B32" s="4" t="s">
        <v>20</v>
      </c>
      <c r="C32" s="4">
        <f>F15</f>
        <v>11.83</v>
      </c>
      <c r="D32" s="4">
        <f>F16</f>
        <v>1</v>
      </c>
      <c r="E32" s="4">
        <f>F17</f>
        <v>8.5</v>
      </c>
      <c r="F32" s="4">
        <f>F18</f>
        <v>0</v>
      </c>
      <c r="G32" s="4">
        <f>F19</f>
        <v>9.5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21" x14ac:dyDescent="0.25">
      <c r="A33" s="4" t="s">
        <v>7</v>
      </c>
      <c r="B33" s="4" t="s">
        <v>20</v>
      </c>
      <c r="C33" s="4">
        <f>F24</f>
        <v>0.5</v>
      </c>
      <c r="D33" s="4">
        <f>F25</f>
        <v>0</v>
      </c>
      <c r="E33" s="4">
        <f>F26</f>
        <v>0</v>
      </c>
      <c r="F33" s="4">
        <f>F27</f>
        <v>0</v>
      </c>
      <c r="G33" s="4">
        <f>F28</f>
        <v>0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</row>
    <row r="36" spans="1:21" ht="18.75" x14ac:dyDescent="0.3">
      <c r="A36" s="1" t="s">
        <v>5529</v>
      </c>
    </row>
    <row r="37" spans="1:21" x14ac:dyDescent="0.25">
      <c r="A37" s="3" t="s">
        <v>35</v>
      </c>
      <c r="B37" s="3" t="s">
        <v>5461</v>
      </c>
      <c r="C37" s="3" t="s">
        <v>37</v>
      </c>
      <c r="D37" s="3" t="s">
        <v>5462</v>
      </c>
      <c r="E37" s="3" t="s">
        <v>5463</v>
      </c>
      <c r="F37" s="3" t="s">
        <v>5530</v>
      </c>
      <c r="G37" s="3" t="s">
        <v>5465</v>
      </c>
      <c r="H37" s="3" t="s">
        <v>5466</v>
      </c>
      <c r="I37" s="3" t="s">
        <v>5467</v>
      </c>
      <c r="J37" s="3" t="s">
        <v>5468</v>
      </c>
      <c r="K37" s="3" t="s">
        <v>5469</v>
      </c>
      <c r="L37" s="3" t="s">
        <v>5470</v>
      </c>
      <c r="M37" s="3" t="s">
        <v>5471</v>
      </c>
      <c r="N37" s="3" t="s">
        <v>5472</v>
      </c>
      <c r="O37" s="3" t="s">
        <v>5473</v>
      </c>
      <c r="P37" s="3" t="s">
        <v>5474</v>
      </c>
      <c r="Q37" s="3" t="s">
        <v>5476</v>
      </c>
      <c r="R37" s="3" t="s">
        <v>5477</v>
      </c>
      <c r="S37" s="3"/>
      <c r="T37" s="3"/>
      <c r="U37" s="3"/>
    </row>
    <row r="38" spans="1:21" x14ac:dyDescent="0.25">
      <c r="A38" s="21" t="s">
        <v>61</v>
      </c>
      <c r="B38" s="4" t="s">
        <v>5480</v>
      </c>
      <c r="C38" s="4" t="str">
        <f>IFERROR(INDEX('Projekt-Budget-Übersicht'!$C:$C,MATCH(10,'Projekt-Budget-Übersicht'!$L:$L,0)),"")</f>
        <v/>
      </c>
      <c r="D38" s="4">
        <v>24</v>
      </c>
      <c r="E38" s="4">
        <v>4.5</v>
      </c>
      <c r="F38" s="5">
        <f t="shared" ref="F38:F44" si="4">SUM(F6,I6,K6)</f>
        <v>4.5</v>
      </c>
      <c r="G38" s="16">
        <v>18.75</v>
      </c>
      <c r="H38" s="5">
        <f t="shared" ref="H38:H44" si="5">SUM(H6)</f>
        <v>0</v>
      </c>
      <c r="I38" s="5">
        <f t="shared" ref="I38:I46" si="6">IF(H38=0,0,F38-H38)</f>
        <v>0</v>
      </c>
      <c r="J38" s="4" t="s">
        <v>5531</v>
      </c>
      <c r="K38" s="5">
        <f t="shared" ref="K38:K44" si="7">SUM(K6)</f>
        <v>0</v>
      </c>
      <c r="L38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38" s="10">
        <f t="shared" ref="M38:M46" si="8">IF($B$2="-",0,IF(C38="Pauschale",IF(OR(Q38=0,N(D38)=0),0,MAX(0,MIN(Q38*((N(F38)+N(K38))/N(D38)),Q38-Q38*(N(E38)/N(D38))))),L38*(N(F38)+N(K38))))</f>
        <v>0</v>
      </c>
      <c r="N38" s="10">
        <f t="shared" ref="N38:N46" si="9">IF($B$2="-",0,IF(C38="Pauschale",IF(OR(Q38=0,N(D38)=0),0,Q38*((N(F38)+N(K38))/N(D38))),L38*(N(F38)+N(K38))))</f>
        <v>0</v>
      </c>
      <c r="O38" s="10">
        <f t="shared" ref="O38:O46" si="10">N38-M38</f>
        <v>0</v>
      </c>
      <c r="P38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38" s="10">
        <f>IFERROR(INDEX('Projekt-Budget-Übersicht'!$E:$E,MATCH(10,'Projekt-Budget-Übersicht'!$L:$L,0)),0)</f>
        <v>0</v>
      </c>
      <c r="R38" s="10">
        <v>68628.19</v>
      </c>
      <c r="S38" s="4"/>
      <c r="T38" s="4"/>
      <c r="U38" s="4"/>
    </row>
    <row r="39" spans="1:21" x14ac:dyDescent="0.25">
      <c r="A39" s="22"/>
      <c r="B39" s="4" t="s">
        <v>5481</v>
      </c>
      <c r="C39" s="4" t="str">
        <f>IFERROR(INDEX('Projekt-Budget-Übersicht'!$C:$C,MATCH(10,'Projekt-Budget-Übersicht'!$L:$L,0)),"")</f>
        <v/>
      </c>
      <c r="D39" s="4">
        <v>24</v>
      </c>
      <c r="E39" s="4">
        <v>4</v>
      </c>
      <c r="F39" s="5">
        <f t="shared" si="4"/>
        <v>4</v>
      </c>
      <c r="G39" s="16">
        <v>16.670000000000002</v>
      </c>
      <c r="H39" s="5">
        <f t="shared" si="5"/>
        <v>0</v>
      </c>
      <c r="I39" s="5">
        <f t="shared" si="6"/>
        <v>0</v>
      </c>
      <c r="J39" s="4" t="s">
        <v>5531</v>
      </c>
      <c r="K39" s="5">
        <f t="shared" si="7"/>
        <v>0</v>
      </c>
      <c r="L39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39" s="10">
        <f t="shared" si="8"/>
        <v>0</v>
      </c>
      <c r="N39" s="10">
        <f t="shared" si="9"/>
        <v>0</v>
      </c>
      <c r="O39" s="10">
        <f t="shared" si="10"/>
        <v>0</v>
      </c>
      <c r="P39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39" s="10">
        <f>IFERROR(INDEX('Projekt-Budget-Übersicht'!$E:$E,MATCH(10,'Projekt-Budget-Übersicht'!$L:$L,0)),0)</f>
        <v>0</v>
      </c>
      <c r="R39" s="10">
        <v>68628.19</v>
      </c>
      <c r="S39" s="4"/>
      <c r="T39" s="4"/>
      <c r="U39" s="4"/>
    </row>
    <row r="40" spans="1:21" x14ac:dyDescent="0.25">
      <c r="A40" s="4" t="s">
        <v>105</v>
      </c>
      <c r="B40" s="4" t="s">
        <v>5536</v>
      </c>
      <c r="C40" s="4" t="str">
        <f>IFERROR(INDEX('Projekt-Budget-Übersicht'!$C:$C,MATCH(36,'Projekt-Budget-Übersicht'!$L:$L,0)),"")</f>
        <v/>
      </c>
      <c r="D40" s="4">
        <v>42</v>
      </c>
      <c r="E40" s="4">
        <v>20</v>
      </c>
      <c r="F40" s="5">
        <f t="shared" si="4"/>
        <v>0.75</v>
      </c>
      <c r="G40" s="16">
        <v>47.62</v>
      </c>
      <c r="H40" s="5">
        <f t="shared" si="5"/>
        <v>0</v>
      </c>
      <c r="I40" s="5">
        <f t="shared" si="6"/>
        <v>0</v>
      </c>
      <c r="J40" s="4" t="s">
        <v>5531</v>
      </c>
      <c r="K40" s="5">
        <f t="shared" si="7"/>
        <v>0</v>
      </c>
      <c r="L40" s="10">
        <f>IF($B$2="-",0,IFERROR(INDEX(IF($B$2="SV",'Projekt-Budget-Übersicht'!$H:$H,IF($B$2="CAD",'Projekt-Budget-Übersicht'!$I:$I,IF($B$2="ADM",'Projekt-Budget-Übersicht'!$J:$J,'Projekt-Budget-Übersicht'!$H:$H))),MATCH(36,'Projekt-Budget-Übersicht'!$L:$L,0)),0))</f>
        <v>0</v>
      </c>
      <c r="M40" s="10">
        <f t="shared" si="8"/>
        <v>0</v>
      </c>
      <c r="N40" s="10">
        <f t="shared" si="9"/>
        <v>0</v>
      </c>
      <c r="O40" s="10">
        <f t="shared" si="10"/>
        <v>0</v>
      </c>
      <c r="P40" s="10">
        <f>'J. Dorchies'!M40+'S. Schüler'!M134</f>
        <v>0</v>
      </c>
      <c r="Q40" s="10">
        <f>IFERROR(INDEX('Projekt-Budget-Übersicht'!$E:$E,MATCH(36,'Projekt-Budget-Übersicht'!$L:$L,0)),0)</f>
        <v>0</v>
      </c>
      <c r="R40" s="10"/>
      <c r="S40" s="4"/>
      <c r="T40" s="4"/>
      <c r="U40" s="4"/>
    </row>
    <row r="41" spans="1:21" x14ac:dyDescent="0.25">
      <c r="A41" s="4" t="s">
        <v>2834</v>
      </c>
      <c r="B41" s="4" t="s">
        <v>5459</v>
      </c>
      <c r="C41" s="4" t="str">
        <f>IFERROR(INDEX('Projekt-Budget-Übersicht'!$C:$C,MATCH(3122,'Projekt-Budget-Übersicht'!$L:$L,0)),"")</f>
        <v/>
      </c>
      <c r="D41" s="4">
        <v>6</v>
      </c>
      <c r="E41" s="4">
        <v>48</v>
      </c>
      <c r="F41" s="5">
        <f t="shared" si="4"/>
        <v>0.75</v>
      </c>
      <c r="G41" s="15">
        <v>800</v>
      </c>
      <c r="H41" s="5">
        <f t="shared" si="5"/>
        <v>0</v>
      </c>
      <c r="I41" s="5">
        <f t="shared" si="6"/>
        <v>0</v>
      </c>
      <c r="J41" s="4" t="s">
        <v>5531</v>
      </c>
      <c r="K41" s="5">
        <f t="shared" si="7"/>
        <v>0</v>
      </c>
      <c r="L41" s="10">
        <f>IF($B$2="-",0,IFERROR(INDEX(IF($B$2="SV",'Projekt-Budget-Übersicht'!$H:$H,IF($B$2="CAD",'Projekt-Budget-Übersicht'!$I:$I,IF($B$2="ADM",'Projekt-Budget-Übersicht'!$J:$J,'Projekt-Budget-Übersicht'!$H:$H))),MATCH(3122,'Projekt-Budget-Übersicht'!$L:$L,0)),0))</f>
        <v>0</v>
      </c>
      <c r="M41" s="10">
        <f t="shared" si="8"/>
        <v>0</v>
      </c>
      <c r="N41" s="10">
        <f t="shared" si="9"/>
        <v>0</v>
      </c>
      <c r="O41" s="10">
        <f t="shared" si="10"/>
        <v>0</v>
      </c>
      <c r="P41" s="10">
        <f>'A. Kokott'!M165+'E. Bieler'!M94+'J. Dorchies'!M41+'J. Dorn'!M142+'O. Haag BS-CAD'!M178+'P. Bergner'!M88+'R. Böttiger'!M95</f>
        <v>0</v>
      </c>
      <c r="Q41" s="10">
        <f>IFERROR(INDEX('Projekt-Budget-Übersicht'!$E:$E,MATCH(3122,'Projekt-Budget-Übersicht'!$L:$L,0)),0)</f>
        <v>0</v>
      </c>
      <c r="R41" s="10">
        <v>2985.82</v>
      </c>
      <c r="S41" s="4"/>
      <c r="T41" s="4"/>
      <c r="U41" s="4"/>
    </row>
    <row r="42" spans="1:21" x14ac:dyDescent="0.25">
      <c r="A42" s="4" t="s">
        <v>4099</v>
      </c>
      <c r="B42" s="4" t="s">
        <v>5459</v>
      </c>
      <c r="C42" s="4" t="str">
        <f>IFERROR(INDEX('Projekt-Budget-Übersicht'!$C:$C,MATCH(4217,'Projekt-Budget-Übersicht'!$L:$L,0)),"")</f>
        <v/>
      </c>
      <c r="D42" s="4">
        <v>12</v>
      </c>
      <c r="E42" s="4">
        <v>17.25</v>
      </c>
      <c r="F42" s="5">
        <f t="shared" si="4"/>
        <v>0.25</v>
      </c>
      <c r="G42" s="15">
        <v>143.75</v>
      </c>
      <c r="H42" s="5">
        <f t="shared" si="5"/>
        <v>0</v>
      </c>
      <c r="I42" s="5">
        <f t="shared" si="6"/>
        <v>0</v>
      </c>
      <c r="J42" s="4" t="s">
        <v>5531</v>
      </c>
      <c r="K42" s="5">
        <f t="shared" si="7"/>
        <v>0</v>
      </c>
      <c r="L42" s="10">
        <f>IF($B$2="-",0,IFERROR(INDEX(IF($B$2="SV",'Projekt-Budget-Übersicht'!$H:$H,IF($B$2="CAD",'Projekt-Budget-Übersicht'!$I:$I,IF($B$2="ADM",'Projekt-Budget-Übersicht'!$J:$J,'Projekt-Budget-Übersicht'!$H:$H))),MATCH(4217,'Projekt-Budget-Übersicht'!$L:$L,0)),0))</f>
        <v>0</v>
      </c>
      <c r="M42" s="10">
        <f t="shared" si="8"/>
        <v>0</v>
      </c>
      <c r="N42" s="10">
        <f t="shared" si="9"/>
        <v>0</v>
      </c>
      <c r="O42" s="10">
        <f t="shared" si="10"/>
        <v>0</v>
      </c>
      <c r="P42" s="10">
        <f>'H. Bektas'!M76+'J. Dorchies'!M42</f>
        <v>0</v>
      </c>
      <c r="Q42" s="10">
        <f>IFERROR(INDEX('Projekt-Budget-Übersicht'!$E:$E,MATCH(4217,'Projekt-Budget-Übersicht'!$L:$L,0)),0)</f>
        <v>0</v>
      </c>
      <c r="R42" s="10">
        <v>405</v>
      </c>
      <c r="S42" s="4"/>
      <c r="T42" s="4"/>
      <c r="U42" s="4"/>
    </row>
    <row r="43" spans="1:21" x14ac:dyDescent="0.25">
      <c r="A43" s="4" t="s">
        <v>4278</v>
      </c>
      <c r="B43" s="4" t="s">
        <v>5459</v>
      </c>
      <c r="C43" s="4" t="str">
        <f>IFERROR(INDEX('Projekt-Budget-Übersicht'!$C:$C,MATCH(4368,'Projekt-Budget-Übersicht'!$L:$L,0)),"")</f>
        <v/>
      </c>
      <c r="D43" s="4">
        <v>13</v>
      </c>
      <c r="E43" s="4">
        <v>146.75</v>
      </c>
      <c r="F43" s="5">
        <f t="shared" si="4"/>
        <v>0.5</v>
      </c>
      <c r="G43" s="15">
        <v>1128.8499999999999</v>
      </c>
      <c r="H43" s="5">
        <f t="shared" si="5"/>
        <v>0</v>
      </c>
      <c r="I43" s="5">
        <f t="shared" si="6"/>
        <v>0</v>
      </c>
      <c r="J43" s="4" t="s">
        <v>5531</v>
      </c>
      <c r="K43" s="5">
        <f t="shared" si="7"/>
        <v>0</v>
      </c>
      <c r="L43" s="10">
        <f>IF($B$2="-",0,IFERROR(INDEX(IF($B$2="SV",'Projekt-Budget-Übersicht'!$H:$H,IF($B$2="CAD",'Projekt-Budget-Übersicht'!$I:$I,IF($B$2="ADM",'Projekt-Budget-Übersicht'!$J:$J,'Projekt-Budget-Übersicht'!$H:$H))),MATCH(4368,'Projekt-Budget-Übersicht'!$L:$L,0)),0))</f>
        <v>0</v>
      </c>
      <c r="M43" s="10">
        <f t="shared" si="8"/>
        <v>0</v>
      </c>
      <c r="N43" s="10">
        <f t="shared" si="9"/>
        <v>0</v>
      </c>
      <c r="O43" s="10">
        <f t="shared" si="10"/>
        <v>0</v>
      </c>
      <c r="P43" s="10">
        <f>'E. Bieler'!M97+'J. Dorchies'!M43+'J. Dorn'!M152+'R. Böttiger'!M97</f>
        <v>0</v>
      </c>
      <c r="Q43" s="10">
        <f>IFERROR(INDEX('Projekt-Budget-Übersicht'!$E:$E,MATCH(4368,'Projekt-Budget-Übersicht'!$L:$L,0)),0)</f>
        <v>0</v>
      </c>
      <c r="R43" s="10">
        <v>1720.79</v>
      </c>
      <c r="S43" s="4"/>
      <c r="T43" s="4"/>
      <c r="U43" s="4"/>
    </row>
    <row r="44" spans="1:21" x14ac:dyDescent="0.25">
      <c r="A44" s="4" t="s">
        <v>4298</v>
      </c>
      <c r="B44" s="4" t="s">
        <v>5484</v>
      </c>
      <c r="C44" s="4" t="str">
        <f>IFERROR(INDEX('Projekt-Budget-Übersicht'!$C:$C,MATCH(4386,'Projekt-Budget-Übersicht'!$L:$L,0)),"")</f>
        <v/>
      </c>
      <c r="D44" s="4">
        <v>1</v>
      </c>
      <c r="E44" s="4">
        <v>1.08</v>
      </c>
      <c r="F44" s="5">
        <f t="shared" si="4"/>
        <v>0.33</v>
      </c>
      <c r="G44" s="15">
        <v>108</v>
      </c>
      <c r="H44" s="5">
        <f t="shared" si="5"/>
        <v>0</v>
      </c>
      <c r="I44" s="5">
        <f t="shared" si="6"/>
        <v>0</v>
      </c>
      <c r="J44" s="4" t="s">
        <v>5531</v>
      </c>
      <c r="K44" s="5">
        <f t="shared" si="7"/>
        <v>0</v>
      </c>
      <c r="L44" s="10">
        <f>IF($B$2="-",0,IFERROR(INDEX(IF($B$2="SV",'Projekt-Budget-Übersicht'!$H:$H,IF($B$2="CAD",'Projekt-Budget-Übersicht'!$I:$I,IF($B$2="ADM",'Projekt-Budget-Übersicht'!$J:$J,'Projekt-Budget-Übersicht'!$H:$H))),MATCH(4386,'Projekt-Budget-Übersicht'!$L:$L,0)),0))</f>
        <v>0</v>
      </c>
      <c r="M44" s="10">
        <f t="shared" si="8"/>
        <v>0</v>
      </c>
      <c r="N44" s="10">
        <f t="shared" si="9"/>
        <v>0</v>
      </c>
      <c r="O44" s="10">
        <f t="shared" si="10"/>
        <v>0</v>
      </c>
      <c r="P44" s="10">
        <f>'J. Dorchies'!M44</f>
        <v>0</v>
      </c>
      <c r="Q44" s="10">
        <f>IFERROR(INDEX('Projekt-Budget-Übersicht'!$E:$E,MATCH(4386,'Projekt-Budget-Übersicht'!$L:$L,0)),0)</f>
        <v>0</v>
      </c>
      <c r="R44" s="10">
        <v>7883.29</v>
      </c>
      <c r="S44" s="4"/>
      <c r="T44" s="4"/>
      <c r="U44" s="4"/>
    </row>
    <row r="45" spans="1:21" x14ac:dyDescent="0.25">
      <c r="A45" s="4" t="s">
        <v>4489</v>
      </c>
      <c r="B45" s="4" t="s">
        <v>5567</v>
      </c>
      <c r="C45" s="4" t="str">
        <f>IFERROR(INDEX('Projekt-Budget-Übersicht'!$C:$C,MATCH(4552,'Projekt-Budget-Übersicht'!$L:$L,0)),"")</f>
        <v/>
      </c>
      <c r="D45" s="4">
        <v>10</v>
      </c>
      <c r="E45" s="4">
        <v>16.25</v>
      </c>
      <c r="F45" s="5">
        <f>SUM(F14,I14,K14)</f>
        <v>0.5</v>
      </c>
      <c r="G45" s="15">
        <v>162.5</v>
      </c>
      <c r="H45" s="5">
        <f>SUM(H14)</f>
        <v>0</v>
      </c>
      <c r="I45" s="5">
        <f t="shared" si="6"/>
        <v>0</v>
      </c>
      <c r="J45" s="4" t="s">
        <v>5531</v>
      </c>
      <c r="K45" s="5">
        <f>SUM(K14)</f>
        <v>0</v>
      </c>
      <c r="L45" s="10">
        <f>IF($B$2="-",0,IFERROR(INDEX(IF($B$2="SV",'Projekt-Budget-Übersicht'!$H:$H,IF($B$2="CAD",'Projekt-Budget-Übersicht'!$I:$I,IF($B$2="ADM",'Projekt-Budget-Übersicht'!$J:$J,'Projekt-Budget-Übersicht'!$H:$H))),MATCH(4552,'Projekt-Budget-Übersicht'!$L:$L,0)),0))</f>
        <v>0</v>
      </c>
      <c r="M45" s="10">
        <f t="shared" si="8"/>
        <v>0</v>
      </c>
      <c r="N45" s="10">
        <f t="shared" si="9"/>
        <v>0</v>
      </c>
      <c r="O45" s="10">
        <f t="shared" si="10"/>
        <v>0</v>
      </c>
      <c r="P45" s="10">
        <f>'E. Bieler'!M100+'H. Bektas'!M80+'J. Dorchies'!M45</f>
        <v>0</v>
      </c>
      <c r="Q45" s="10">
        <f>IFERROR(INDEX('Projekt-Budget-Übersicht'!$E:$E,MATCH(4552,'Projekt-Budget-Übersicht'!$L:$L,0)),0)</f>
        <v>0</v>
      </c>
      <c r="R45" s="10">
        <v>134.15</v>
      </c>
      <c r="S45" s="4"/>
      <c r="T45" s="4"/>
      <c r="U45" s="4"/>
    </row>
    <row r="46" spans="1:21" x14ac:dyDescent="0.25">
      <c r="A46" s="4" t="s">
        <v>4980</v>
      </c>
      <c r="B46" s="4" t="s">
        <v>5487</v>
      </c>
      <c r="C46" s="4" t="str">
        <f>IFERROR(INDEX('Projekt-Budget-Übersicht'!$C:$C,MATCH(4962,'Projekt-Budget-Übersicht'!$L:$L,0)),"")</f>
        <v/>
      </c>
      <c r="D46" s="4">
        <v>26</v>
      </c>
      <c r="E46" s="4">
        <v>42.75</v>
      </c>
      <c r="F46" s="5">
        <f>SUM(F23,I23,K23)</f>
        <v>0.5</v>
      </c>
      <c r="G46" s="15">
        <v>164.42</v>
      </c>
      <c r="H46" s="5">
        <f>SUM(H23)</f>
        <v>0</v>
      </c>
      <c r="I46" s="5">
        <f t="shared" si="6"/>
        <v>0</v>
      </c>
      <c r="J46" s="4" t="s">
        <v>5531</v>
      </c>
      <c r="K46" s="5">
        <f>SUM(K23)</f>
        <v>0</v>
      </c>
      <c r="L46" s="10">
        <f>IF($B$2="-",0,IFERROR(INDEX(IF($B$2="SV",'Projekt-Budget-Übersicht'!$H:$H,IF($B$2="CAD",'Projekt-Budget-Übersicht'!$I:$I,IF($B$2="ADM",'Projekt-Budget-Übersicht'!$J:$J,'Projekt-Budget-Übersicht'!$H:$H))),MATCH(4962,'Projekt-Budget-Übersicht'!$L:$L,0)),0))</f>
        <v>0</v>
      </c>
      <c r="M46" s="10">
        <f t="shared" si="8"/>
        <v>0</v>
      </c>
      <c r="N46" s="10">
        <f t="shared" si="9"/>
        <v>0</v>
      </c>
      <c r="O46" s="10">
        <f t="shared" si="10"/>
        <v>0</v>
      </c>
      <c r="P46" s="10">
        <f>'A. Kokott'!M198+'E. Bieler'!M109+'J. Dorchies'!M46+'M. Bandlofsky'!M103+'T. Trautmann'!M153</f>
        <v>0</v>
      </c>
      <c r="Q46" s="10">
        <f>IFERROR(INDEX('Projekt-Budget-Übersicht'!$E:$E,MATCH(4962,'Projekt-Budget-Übersicht'!$L:$L,0)),0)</f>
        <v>0</v>
      </c>
      <c r="R46" s="10">
        <v>606.65</v>
      </c>
      <c r="S46" s="4"/>
      <c r="T46" s="4"/>
      <c r="U46" s="4"/>
    </row>
    <row r="48" spans="1:21" x14ac:dyDescent="0.25">
      <c r="A48" s="3"/>
      <c r="B48" s="3" t="s">
        <v>5492</v>
      </c>
      <c r="C48" s="3"/>
      <c r="D48" s="3"/>
      <c r="E48" s="3"/>
      <c r="F48" s="6">
        <f>SUM(F15,F24)</f>
        <v>12.33</v>
      </c>
      <c r="G48" s="3"/>
      <c r="H48" s="3"/>
      <c r="I48" s="3"/>
      <c r="J48" s="3"/>
      <c r="K48" s="3"/>
      <c r="L48" s="3"/>
      <c r="M48" s="17">
        <f>SUM(M38:M46)</f>
        <v>0</v>
      </c>
      <c r="N48" s="17">
        <f>SUM(N38:N46)</f>
        <v>0</v>
      </c>
      <c r="O48" s="17">
        <f>SUM(O38:O46)</f>
        <v>0</v>
      </c>
      <c r="P48" s="17">
        <f>SUM(P38:P46)</f>
        <v>0</v>
      </c>
      <c r="Q48" s="3"/>
      <c r="R48" s="3"/>
      <c r="S48" s="3"/>
      <c r="T48" s="3"/>
      <c r="U48" s="3"/>
    </row>
    <row r="49" spans="1:21" x14ac:dyDescent="0.25">
      <c r="A49" s="3"/>
      <c r="B49" s="3" t="s">
        <v>4</v>
      </c>
      <c r="C49" s="3"/>
      <c r="D49" s="3"/>
      <c r="E49" s="3"/>
      <c r="F49" s="6">
        <f>G49+H49</f>
        <v>1</v>
      </c>
      <c r="G49" s="6">
        <f>SUM(G16,G25)</f>
        <v>1</v>
      </c>
      <c r="H49" s="6">
        <v>0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 x14ac:dyDescent="0.25">
      <c r="A50" s="3"/>
      <c r="B50" s="3" t="s">
        <v>5</v>
      </c>
      <c r="C50" s="3"/>
      <c r="D50" s="3"/>
      <c r="E50" s="3"/>
      <c r="F50" s="6">
        <f>G50+H50</f>
        <v>8.5</v>
      </c>
      <c r="G50" s="6">
        <f>SUM(G17,G26)</f>
        <v>8.5</v>
      </c>
      <c r="H50" s="6">
        <v>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3"/>
      <c r="B51" s="3" t="s">
        <v>5493</v>
      </c>
      <c r="C51" s="3"/>
      <c r="D51" s="3"/>
      <c r="E51" s="3"/>
      <c r="F51" s="6">
        <f>SUM(F18,F27)</f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x14ac:dyDescent="0.25">
      <c r="A52" s="18"/>
      <c r="B52" s="18" t="s">
        <v>5494</v>
      </c>
      <c r="C52" s="18"/>
      <c r="D52" s="18"/>
      <c r="E52" s="18"/>
      <c r="F52" s="19">
        <f>F49+F50+F51</f>
        <v>9.5</v>
      </c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4" spans="1:21" ht="15.75" x14ac:dyDescent="0.25">
      <c r="A54" s="2" t="s">
        <v>5532</v>
      </c>
    </row>
    <row r="55" spans="1:21" x14ac:dyDescent="0.25">
      <c r="A55" s="13" t="s">
        <v>10</v>
      </c>
      <c r="B55" s="13">
        <v>12.33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1:21" x14ac:dyDescent="0.25">
      <c r="A56" s="13" t="s">
        <v>11</v>
      </c>
      <c r="B56" s="20">
        <f>SUM(F16,F25)</f>
        <v>1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1:21" x14ac:dyDescent="0.25">
      <c r="A57" s="13" t="s">
        <v>12</v>
      </c>
      <c r="B57" s="20">
        <f>SUM(F17,F26)</f>
        <v>8.5</v>
      </c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</row>
  </sheetData>
  <mergeCells count="2">
    <mergeCell ref="A38:A39"/>
    <mergeCell ref="A6:A7"/>
  </mergeCells>
  <conditionalFormatting sqref="I6:I14">
    <cfRule type="cellIs" dxfId="47" priority="1" stopIfTrue="1" operator="lessThan">
      <formula>0</formula>
    </cfRule>
  </conditionalFormatting>
  <conditionalFormatting sqref="I23">
    <cfRule type="cellIs" dxfId="46" priority="10" stopIfTrue="1" operator="lessThan">
      <formula>0</formula>
    </cfRule>
  </conditionalFormatting>
  <conditionalFormatting sqref="I38:I46">
    <cfRule type="cellIs" dxfId="45" priority="11" stopIfTrue="1" operator="lessThan">
      <formula>0</formula>
    </cfRule>
  </conditionalFormatting>
  <dataValidations count="9">
    <dataValidation type="list" sqref="B2" xr:uid="{00000000-0002-0000-0800-000000000000}">
      <formula1>"SV,CAD,ADM,Pauschale,-"</formula1>
    </dataValidation>
    <dataValidation type="list" allowBlank="1" sqref="J6" xr:uid="{00000000-0002-0000-0800-000001000000}">
      <formula1>"A. Kokott,D. Brucker,E. Bieler,O. Haag BS-CAD,S. Schüler,T. Trautmann,U. Sutter ADM"</formula1>
    </dataValidation>
    <dataValidation type="list" allowBlank="1" sqref="T23 T6:T14" xr:uid="{00000000-0002-0000-0800-000002000000}">
      <formula1>"SR,AZ"</formula1>
    </dataValidation>
    <dataValidation type="list" allowBlank="1" sqref="J7" xr:uid="{00000000-0002-0000-0800-000003000000}">
      <formula1>"A. Kokott,C. Trapp SV,D. Brucker,E. Bieler,J. Dorn,M. Bandlofsky,T. Trautmann,U. Sutter ADM"</formula1>
    </dataValidation>
    <dataValidation type="list" allowBlank="1" sqref="J8" xr:uid="{00000000-0002-0000-0800-000005000000}">
      <formula1>"S. Schüler"</formula1>
    </dataValidation>
    <dataValidation type="list" allowBlank="1" sqref="J9" xr:uid="{00000000-0002-0000-0800-000007000000}">
      <formula1>"A. Kokott,E. Bieler,J. Dorn,P. Bergner,R. Böttiger"</formula1>
    </dataValidation>
    <dataValidation type="list" allowBlank="1" sqref="J11" xr:uid="{00000000-0002-0000-0800-00000A000000}">
      <formula1>"E. Bieler,J. Dorn,R. Böttiger"</formula1>
    </dataValidation>
    <dataValidation type="list" allowBlank="1" sqref="J14" xr:uid="{00000000-0002-0000-0800-00000E000000}">
      <formula1>"E. Bieler,H. Bektas"</formula1>
    </dataValidation>
    <dataValidation type="list" allowBlank="1" sqref="J23" xr:uid="{00000000-0002-0000-0800-000010000000}">
      <formula1>"M. Bandlofsky,T. Trautmann"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U169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5582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5481</v>
      </c>
      <c r="C6" s="4" t="str">
        <f>IFERROR(INDEX('Projekt-Budget-Übersicht'!$C:$C,MATCH(10,'Projekt-Budget-Übersicht'!$L:$L,0)),"")</f>
        <v/>
      </c>
      <c r="D6" s="4">
        <v>8</v>
      </c>
      <c r="E6" s="4">
        <v>1.25</v>
      </c>
      <c r="F6" s="4">
        <v>1.25</v>
      </c>
      <c r="G6" s="16">
        <v>15.62</v>
      </c>
      <c r="H6" s="5"/>
      <c r="I6" s="5">
        <f t="shared" ref="I6:I36" si="0">IF(H6=0,0,F6-H6)</f>
        <v>0</v>
      </c>
      <c r="J6" s="4"/>
      <c r="K6" s="5">
        <f>IF('A. Kokott'!J7="J. Dorn",'A. Kokott'!I7,0)+IF('C. Trapp SV'!J6="J. Dorn",'C. Trapp SV'!I6,0)+IF('D. Brucker'!J7="J. Dorn",'D. Brucker'!I7,0)+IF('E. Bieler'!J7="J. Dorn",'E. Bieler'!I7,0)+IF('J. Dorchies'!J7="J. Dorn",'J. Dorchies'!I7,0)+IF('M. Bandlofsky'!J6="J. Dorn",'M. Bandlofsky'!I6,0)+IF('T. Trautmann'!J7="J. Dorn",'T. Trautmann'!I7,0)+IF('U. Sutter ADM'!J7="J. Dorn",'U. Sutter ADM'!I7,0)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36" si="1">IF($B$2="-",0,IF(C6="Pauschale",IF(OR(R6=0,N(D6)=0),0,MAX(0,MIN(R6*((N(F6)+N(K6))/N(D6)),R6-R6*(N(E6)/N(D6))))),L6*(N(F6)+N(K6))))</f>
        <v>0</v>
      </c>
      <c r="N6" s="10">
        <f t="shared" ref="N6:N36" si="2">IF($B$2="-",0,IF(C6="Pauschale",IF(OR(R6=0,N(D6)=0),0,R6*((N(F6)+N(K6))/N(D6))),L6*(N(F6)+N(K6))))</f>
        <v>0</v>
      </c>
      <c r="O6" s="10">
        <f t="shared" ref="O6:O36" si="3">N6-M6</f>
        <v>0</v>
      </c>
      <c r="P6" s="10">
        <f>'A. Kokott'!M7+'C. Trapp SV'!M6+'D. Brucker'!M7+'E. Bieler'!M7+'J. Dorchies'!M7+'J. Dorn'!M6+'M. Bandlofsky'!M6+'T. Trautmann'!M7+'U. Sutter ADM'!M7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22"/>
      <c r="B7" s="4" t="s">
        <v>5547</v>
      </c>
      <c r="C7" s="4" t="str">
        <f>IFERROR(INDEX('Projekt-Budget-Übersicht'!$C:$C,MATCH(10,'Projekt-Budget-Übersicht'!$L:$L,0)),"")</f>
        <v/>
      </c>
      <c r="D7" s="4">
        <v>8</v>
      </c>
      <c r="E7" s="4">
        <v>0.25</v>
      </c>
      <c r="F7" s="4">
        <v>0.25</v>
      </c>
      <c r="G7" s="16">
        <v>3.12</v>
      </c>
      <c r="H7" s="5"/>
      <c r="I7" s="5">
        <f t="shared" si="0"/>
        <v>0</v>
      </c>
      <c r="J7" s="4"/>
      <c r="K7" s="5">
        <f>IF('T. Trautmann'!J8="J. Dorn",'T. Trautmann'!I8,0)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'J. Dorn'!M7+'T. Trautmann'!M8</f>
        <v>0</v>
      </c>
      <c r="Q7" s="10">
        <v>132</v>
      </c>
      <c r="R7" s="10">
        <f>IFERROR(INDEX('Projekt-Budget-Übersicht'!$F:$F,MATCH(10,'Projekt-Budget-Übersicht'!$L:$L,0)),0)</f>
        <v>0</v>
      </c>
      <c r="S7" s="10">
        <v>68628.19</v>
      </c>
      <c r="T7" s="4"/>
      <c r="U7" s="4"/>
    </row>
    <row r="8" spans="1:21" x14ac:dyDescent="0.25">
      <c r="A8" s="4" t="s">
        <v>1059</v>
      </c>
      <c r="B8" s="4" t="s">
        <v>5583</v>
      </c>
      <c r="C8" s="4" t="str">
        <f>IFERROR(INDEX('Projekt-Budget-Übersicht'!$C:$C,MATCH(1085,'Projekt-Budget-Übersicht'!$L:$L,0)),"")</f>
        <v/>
      </c>
      <c r="D8" s="4">
        <v>19</v>
      </c>
      <c r="E8" s="4">
        <v>9.75</v>
      </c>
      <c r="F8" s="4">
        <v>1.75</v>
      </c>
      <c r="G8" s="16">
        <v>51.32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IF($B$2="-",0,IFERROR(INDEX(IF($B$2="SV",'Projekt-Budget-Übersicht'!$I:$I,IF($B$2="CAD",'Projekt-Budget-Übersicht'!$J:$J,IF($B$2="ADM",'Projekt-Budget-Übersicht'!$K:$K,'Projekt-Budget-Übersicht'!$I:$I))),MATCH(1085,'Projekt-Budget-Übersicht'!$M:$M,0)),0))</f>
        <v>128.9473684210526</v>
      </c>
      <c r="M8" s="10">
        <f t="shared" si="1"/>
        <v>225.65789473684205</v>
      </c>
      <c r="N8" s="10">
        <f t="shared" si="2"/>
        <v>225.65789473684205</v>
      </c>
      <c r="O8" s="10">
        <f t="shared" si="3"/>
        <v>0</v>
      </c>
      <c r="P8" s="10">
        <f>'J. Dorn'!M8</f>
        <v>225.65789473684205</v>
      </c>
      <c r="Q8" s="10">
        <v>138</v>
      </c>
      <c r="R8" s="10">
        <f>IFERROR(INDEX('Projekt-Budget-Übersicht'!$F:$F,MATCH(1085,'Projekt-Budget-Übersicht'!$L:$L,0)),0)</f>
        <v>0</v>
      </c>
      <c r="S8" s="10">
        <v>1125</v>
      </c>
      <c r="T8" s="4"/>
      <c r="U8" s="4"/>
    </row>
    <row r="9" spans="1:21" x14ac:dyDescent="0.25">
      <c r="A9" s="4" t="s">
        <v>1302</v>
      </c>
      <c r="B9" s="4" t="s">
        <v>5563</v>
      </c>
      <c r="C9" s="4" t="str">
        <f>IFERROR(INDEX('Projekt-Budget-Übersicht'!$C:$C,MATCH(1412,'Projekt-Budget-Übersicht'!$L:$L,0)),"")</f>
        <v/>
      </c>
      <c r="D9" s="4">
        <v>295.5</v>
      </c>
      <c r="E9" s="4">
        <v>108.25</v>
      </c>
      <c r="F9" s="4">
        <v>10.75</v>
      </c>
      <c r="G9" s="16">
        <v>36.630000000000003</v>
      </c>
      <c r="H9" s="5"/>
      <c r="I9" s="5">
        <f t="shared" si="0"/>
        <v>0</v>
      </c>
      <c r="J9" s="4"/>
      <c r="K9" s="5">
        <f>IF('E. Bieler'!J10="J. Dorn",'E. Bieler'!I10,0)+IF('P. Bergner'!J6="J. Dorn",'P. Bergner'!I6,0)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77.834179357021995</v>
      </c>
      <c r="M9" s="10">
        <f t="shared" si="1"/>
        <v>836.71742808798649</v>
      </c>
      <c r="N9" s="10">
        <f t="shared" si="2"/>
        <v>836.71742808798649</v>
      </c>
      <c r="O9" s="10">
        <f t="shared" si="3"/>
        <v>0</v>
      </c>
      <c r="P9" s="10">
        <f>'E. Bieler'!M10+'J. Dorn'!M9+'P. Bergner'!M6</f>
        <v>2529.6108291032147</v>
      </c>
      <c r="Q9" s="10">
        <v>76</v>
      </c>
      <c r="R9" s="10">
        <f>IFERROR(INDEX('Projekt-Budget-Übersicht'!$F:$F,MATCH(1412,'Projekt-Budget-Übersicht'!$L:$L,0)),0)</f>
        <v>0</v>
      </c>
      <c r="S9" s="10">
        <v>9580.17</v>
      </c>
      <c r="T9" s="4"/>
      <c r="U9" s="4"/>
    </row>
    <row r="10" spans="1:21" x14ac:dyDescent="0.25">
      <c r="A10" s="4" t="s">
        <v>1383</v>
      </c>
      <c r="B10" s="4" t="s">
        <v>5536</v>
      </c>
      <c r="C10" s="4" t="str">
        <f>IFERROR(INDEX('Projekt-Budget-Übersicht'!$C:$C,MATCH(1499,'Projekt-Budget-Übersicht'!$L:$L,0)),"")</f>
        <v/>
      </c>
      <c r="D10" s="4">
        <v>20</v>
      </c>
      <c r="E10" s="4">
        <v>2.75</v>
      </c>
      <c r="F10" s="4">
        <v>0.25</v>
      </c>
      <c r="G10" s="16">
        <v>13.75</v>
      </c>
      <c r="H10" s="5"/>
      <c r="I10" s="5">
        <f t="shared" si="0"/>
        <v>0</v>
      </c>
      <c r="J10" s="4"/>
      <c r="K10" s="5">
        <f>IF('U. Sutter ADM'!J14="J. Dorn",'U. Sutter ADM'!I14,0)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'J. Dorn'!M10+'U. Sutter ADM'!M14</f>
        <v>0</v>
      </c>
      <c r="Q10" s="10">
        <v>451</v>
      </c>
      <c r="R10" s="10">
        <f>IFERROR(INDEX('Projekt-Budget-Übersicht'!$F:$F,MATCH(1499,'Projekt-Budget-Übersicht'!$L:$L,0)),0)</f>
        <v>0</v>
      </c>
      <c r="S10" s="10">
        <v>15665.4</v>
      </c>
      <c r="T10" s="4"/>
      <c r="U10" s="4"/>
    </row>
    <row r="11" spans="1:21" x14ac:dyDescent="0.25">
      <c r="A11" s="4" t="s">
        <v>1558</v>
      </c>
      <c r="B11" s="4" t="s">
        <v>5540</v>
      </c>
      <c r="C11" s="4" t="str">
        <f>IFERROR(INDEX('Projekt-Budget-Übersicht'!$C:$C,MATCH(1761,'Projekt-Budget-Übersicht'!$L:$L,0)),"")</f>
        <v/>
      </c>
      <c r="D11" s="4">
        <v>30</v>
      </c>
      <c r="E11" s="4">
        <v>17.25</v>
      </c>
      <c r="F11" s="4">
        <v>10</v>
      </c>
      <c r="G11" s="16">
        <v>57.5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IF($B$2="-",0,IFERROR(INDEX(IF($B$2="SV",'Projekt-Budget-Übersicht'!$I:$I,IF($B$2="CAD",'Projekt-Budget-Übersicht'!$J:$J,IF($B$2="ADM",'Projekt-Budget-Übersicht'!$K:$K,'Projekt-Budget-Übersicht'!$I:$I))),MATCH(1761,'Projekt-Budget-Übersicht'!$M:$M,0)),0))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'J. Dorn'!M11</f>
        <v>0</v>
      </c>
      <c r="Q11" s="10">
        <v>64</v>
      </c>
      <c r="R11" s="10">
        <f>IFERROR(INDEX('Projekt-Budget-Übersicht'!$F:$F,MATCH(1761,'Projekt-Budget-Übersicht'!$L:$L,0)),0)</f>
        <v>0</v>
      </c>
      <c r="S11" s="10">
        <v>2317.5</v>
      </c>
      <c r="T11" s="4"/>
      <c r="U11" s="4"/>
    </row>
    <row r="12" spans="1:21" x14ac:dyDescent="0.25">
      <c r="A12" s="4" t="s">
        <v>1562</v>
      </c>
      <c r="B12" s="4" t="s">
        <v>5501</v>
      </c>
      <c r="C12" s="4" t="str">
        <f>IFERROR(INDEX('Projekt-Budget-Übersicht'!$C:$C,MATCH(1764,'Projekt-Budget-Übersicht'!$L:$L,0)),"")</f>
        <v/>
      </c>
      <c r="D12" s="4">
        <v>16</v>
      </c>
      <c r="E12" s="4">
        <v>15.5</v>
      </c>
      <c r="F12" s="4">
        <v>4.25</v>
      </c>
      <c r="G12" s="14">
        <v>96.88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107.8947368421053</v>
      </c>
      <c r="M12" s="10">
        <f t="shared" si="1"/>
        <v>458.55263157894751</v>
      </c>
      <c r="N12" s="10">
        <f t="shared" si="2"/>
        <v>458.55263157894751</v>
      </c>
      <c r="O12" s="10">
        <f t="shared" si="3"/>
        <v>0</v>
      </c>
      <c r="P12" s="10">
        <f>'J. Dorn'!M12</f>
        <v>458.55263157894751</v>
      </c>
      <c r="Q12" s="10">
        <v>49</v>
      </c>
      <c r="R12" s="10">
        <f>IFERROR(INDEX('Projekt-Budget-Übersicht'!$F:$F,MATCH(1764,'Projekt-Budget-Übersicht'!$L:$L,0)),0)</f>
        <v>0</v>
      </c>
      <c r="S12" s="10">
        <v>1574.15</v>
      </c>
      <c r="T12" s="4"/>
      <c r="U12" s="4"/>
    </row>
    <row r="13" spans="1:21" x14ac:dyDescent="0.25">
      <c r="A13" s="4" t="s">
        <v>1566</v>
      </c>
      <c r="B13" s="4" t="s">
        <v>5459</v>
      </c>
      <c r="C13" s="4" t="str">
        <f>IFERROR(INDEX('Projekt-Budget-Übersicht'!$C:$C,MATCH(1766,'Projekt-Budget-Übersicht'!$L:$L,0)),"")</f>
        <v/>
      </c>
      <c r="D13" s="4">
        <v>30</v>
      </c>
      <c r="E13" s="4">
        <v>11.5</v>
      </c>
      <c r="F13" s="4">
        <v>2.5</v>
      </c>
      <c r="G13" s="16">
        <v>38.33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IF($B$2="-",0,IFERROR(INDEX(IF($B$2="SV",'Projekt-Budget-Übersicht'!$I:$I,IF($B$2="CAD",'Projekt-Budget-Übersicht'!$J:$J,IF($B$2="ADM",'Projekt-Budget-Übersicht'!$K:$K,'Projekt-Budget-Übersicht'!$I:$I))),MATCH(1766,'Projekt-Budget-Übersicht'!$M:$M,0)),0))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'J. Dorn'!M13</f>
        <v>0</v>
      </c>
      <c r="Q13" s="10">
        <v>30</v>
      </c>
      <c r="R13" s="10">
        <f>IFERROR(INDEX('Projekt-Budget-Übersicht'!$F:$F,MATCH(1766,'Projekt-Budget-Übersicht'!$L:$L,0)),0)</f>
        <v>0</v>
      </c>
      <c r="S13" s="10"/>
      <c r="T13" s="4"/>
      <c r="U13" s="4"/>
    </row>
    <row r="14" spans="1:21" x14ac:dyDescent="0.25">
      <c r="A14" s="4" t="s">
        <v>1825</v>
      </c>
      <c r="B14" s="4" t="s">
        <v>5544</v>
      </c>
      <c r="C14" s="4" t="str">
        <f>IFERROR(INDEX('Projekt-Budget-Übersicht'!$C:$C,MATCH(2066,'Projekt-Budget-Übersicht'!$L:$L,0)),"")</f>
        <v/>
      </c>
      <c r="D14" s="4">
        <v>110</v>
      </c>
      <c r="E14" s="4">
        <v>45.75</v>
      </c>
      <c r="F14" s="4">
        <v>3.5</v>
      </c>
      <c r="G14" s="16">
        <v>41.59</v>
      </c>
      <c r="H14" s="5"/>
      <c r="I14" s="5">
        <f t="shared" si="0"/>
        <v>0</v>
      </c>
      <c r="J14" s="4"/>
      <c r="K14" s="5">
        <f>IF('E. Bieler'!J13="J. Dorn",'E. Bieler'!I13,0)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'E. Bieler'!M13+'J. Dorn'!M14</f>
        <v>0</v>
      </c>
      <c r="Q14" s="10">
        <v>146</v>
      </c>
      <c r="R14" s="10">
        <f>IFERROR(INDEX('Projekt-Budget-Übersicht'!$F:$F,MATCH(2066,'Projekt-Budget-Übersicht'!$L:$L,0)),0)</f>
        <v>0</v>
      </c>
      <c r="S14" s="10">
        <v>4160.79</v>
      </c>
      <c r="T14" s="4"/>
      <c r="U14" s="4"/>
    </row>
    <row r="15" spans="1:21" x14ac:dyDescent="0.25">
      <c r="A15" s="4" t="s">
        <v>2053</v>
      </c>
      <c r="B15" s="4" t="s">
        <v>5584</v>
      </c>
      <c r="C15" s="4" t="str">
        <f>IFERROR(INDEX('Projekt-Budget-Übersicht'!$C:$C,MATCH(2423,'Projekt-Budget-Übersicht'!$L:$L,0)),"")</f>
        <v/>
      </c>
      <c r="D15" s="4">
        <v>16</v>
      </c>
      <c r="E15" s="4">
        <v>8</v>
      </c>
      <c r="F15" s="4">
        <v>2.5</v>
      </c>
      <c r="G15" s="16">
        <v>50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IF($B$2="-",0,IFERROR(INDEX(IF($B$2="SV",'Projekt-Budget-Übersicht'!$I:$I,IF($B$2="CAD",'Projekt-Budget-Übersicht'!$J:$J,IF($B$2="ADM",'Projekt-Budget-Übersicht'!$K:$K,'Projekt-Budget-Übersicht'!$I:$I))),MATCH(2423,'Projekt-Budget-Übersicht'!$M:$M,0)),0))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'J. Dorn'!M15</f>
        <v>0</v>
      </c>
      <c r="Q15" s="10">
        <v>92</v>
      </c>
      <c r="R15" s="10">
        <f>IFERROR(INDEX('Projekt-Budget-Übersicht'!$F:$F,MATCH(2423,'Projekt-Budget-Übersicht'!$L:$L,0)),0)</f>
        <v>0</v>
      </c>
      <c r="S15" s="10">
        <v>652.5</v>
      </c>
      <c r="T15" s="4"/>
      <c r="U15" s="4"/>
    </row>
    <row r="16" spans="1:21" x14ac:dyDescent="0.25">
      <c r="A16" s="4" t="s">
        <v>2055</v>
      </c>
      <c r="B16" s="4" t="s">
        <v>5585</v>
      </c>
      <c r="C16" s="4" t="str">
        <f>IFERROR(INDEX('Projekt-Budget-Übersicht'!$C:$C,MATCH(2425,'Projekt-Budget-Übersicht'!$L:$L,0)),"")</f>
        <v/>
      </c>
      <c r="D16" s="4">
        <v>15</v>
      </c>
      <c r="E16" s="4">
        <v>13.5</v>
      </c>
      <c r="F16" s="4">
        <v>3.25</v>
      </c>
      <c r="G16" s="14">
        <v>90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IF($B$2="-",0,IFERROR(INDEX(IF($B$2="SV",'Projekt-Budget-Übersicht'!$I:$I,IF($B$2="CAD",'Projekt-Budget-Übersicht'!$J:$J,IF($B$2="ADM",'Projekt-Budget-Übersicht'!$K:$K,'Projekt-Budget-Übersicht'!$I:$I))),MATCH(2425,'Projekt-Budget-Übersicht'!$M:$M,0)),0))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'J. Dorn'!M16</f>
        <v>0</v>
      </c>
      <c r="Q16" s="10">
        <v>15</v>
      </c>
      <c r="R16" s="10">
        <f>IFERROR(INDEX('Projekt-Budget-Übersicht'!$F:$F,MATCH(2425,'Projekt-Budget-Übersicht'!$L:$L,0)),0)</f>
        <v>0</v>
      </c>
      <c r="S16" s="10">
        <v>1215</v>
      </c>
      <c r="T16" s="4"/>
      <c r="U16" s="4"/>
    </row>
    <row r="17" spans="1:21" x14ac:dyDescent="0.25">
      <c r="A17" s="4" t="s">
        <v>2207</v>
      </c>
      <c r="B17" s="4" t="s">
        <v>5586</v>
      </c>
      <c r="C17" s="4" t="str">
        <f>IFERROR(INDEX('Projekt-Budget-Übersicht'!$C:$C,MATCH(2561,'Projekt-Budget-Übersicht'!$L:$L,0)),"")</f>
        <v/>
      </c>
      <c r="D17" s="4">
        <v>160</v>
      </c>
      <c r="E17" s="4">
        <v>72.25</v>
      </c>
      <c r="F17" s="4">
        <v>22.25</v>
      </c>
      <c r="G17" s="16">
        <v>45.16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'J. Dorn'!M17</f>
        <v>0</v>
      </c>
      <c r="Q17" s="10">
        <v>2</v>
      </c>
      <c r="R17" s="10">
        <f>IFERROR(INDEX('Projekt-Budget-Übersicht'!$F:$F,MATCH(2561,'Projekt-Budget-Übersicht'!$L:$L,0)),0)</f>
        <v>0</v>
      </c>
      <c r="S17" s="10"/>
      <c r="T17" s="4"/>
      <c r="U17" s="4"/>
    </row>
    <row r="18" spans="1:21" x14ac:dyDescent="0.25">
      <c r="A18" s="21" t="s">
        <v>2291</v>
      </c>
      <c r="B18" s="4" t="s">
        <v>5587</v>
      </c>
      <c r="C18" s="4" t="str">
        <f>IFERROR(INDEX('Projekt-Budget-Übersicht'!$C:$C,MATCH(2634,'Projekt-Budget-Übersicht'!$L:$L,0)),"")</f>
        <v/>
      </c>
      <c r="D18" s="4">
        <v>38</v>
      </c>
      <c r="E18" s="4">
        <v>13.25</v>
      </c>
      <c r="F18" s="4">
        <v>2</v>
      </c>
      <c r="G18" s="16">
        <v>34.869999999999997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IF($B$2="-",0,IFERROR(INDEX(IF($B$2="SV",'Projekt-Budget-Übersicht'!$I:$I,IF($B$2="CAD",'Projekt-Budget-Übersicht'!$J:$J,IF($B$2="ADM",'Projekt-Budget-Übersicht'!$K:$K,'Projekt-Budget-Übersicht'!$I:$I))),MATCH(2634,'Projekt-Budget-Übersicht'!$M:$M,0)),0))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'J. Dorn'!M18</f>
        <v>0</v>
      </c>
      <c r="Q18" s="10">
        <v>38</v>
      </c>
      <c r="R18" s="10">
        <f>IFERROR(INDEX('Projekt-Budget-Übersicht'!$F:$F,MATCH(2634,'Projekt-Budget-Übersicht'!$L:$L,0)),0)</f>
        <v>0</v>
      </c>
      <c r="S18" s="10">
        <v>1192.5</v>
      </c>
      <c r="T18" s="4"/>
      <c r="U18" s="4"/>
    </row>
    <row r="19" spans="1:21" x14ac:dyDescent="0.25">
      <c r="A19" s="22"/>
      <c r="B19" s="4" t="s">
        <v>5545</v>
      </c>
      <c r="C19" s="4" t="str">
        <f>IFERROR(INDEX('Projekt-Budget-Übersicht'!$C:$C,MATCH(2637,'Projekt-Budget-Übersicht'!$L:$L,0)),"")</f>
        <v/>
      </c>
      <c r="D19" s="4">
        <v>20</v>
      </c>
      <c r="E19" s="4">
        <v>17.5</v>
      </c>
      <c r="F19" s="4">
        <v>3</v>
      </c>
      <c r="G19" s="16">
        <v>87.5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IF($B$2="-",0,IFERROR(INDEX(IF($B$2="SV",'Projekt-Budget-Übersicht'!$I:$I,IF($B$2="CAD",'Projekt-Budget-Übersicht'!$J:$J,IF($B$2="ADM",'Projekt-Budget-Übersicht'!$K:$K,'Projekt-Budget-Übersicht'!$I:$I))),MATCH(2637,'Projekt-Budget-Übersicht'!$M:$M,0)),0))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'J. Dorn'!M19</f>
        <v>0</v>
      </c>
      <c r="Q19" s="10">
        <v>70</v>
      </c>
      <c r="R19" s="10">
        <f>IFERROR(INDEX('Projekt-Budget-Übersicht'!$F:$F,MATCH(2637,'Projekt-Budget-Übersicht'!$L:$L,0)),0)</f>
        <v>0</v>
      </c>
      <c r="S19" s="10">
        <v>13545</v>
      </c>
      <c r="T19" s="4"/>
      <c r="U19" s="4"/>
    </row>
    <row r="20" spans="1:21" x14ac:dyDescent="0.25">
      <c r="A20" s="4" t="s">
        <v>2491</v>
      </c>
      <c r="B20" s="4" t="s">
        <v>5566</v>
      </c>
      <c r="C20" s="4" t="str">
        <f>IFERROR(INDEX('Projekt-Budget-Übersicht'!$C:$C,MATCH(2815,'Projekt-Budget-Übersicht'!$L:$L,0)),"")</f>
        <v/>
      </c>
      <c r="D20" s="4">
        <v>16</v>
      </c>
      <c r="E20" s="4">
        <v>22.25</v>
      </c>
      <c r="F20" s="4">
        <v>0.5</v>
      </c>
      <c r="G20" s="15">
        <v>139.06</v>
      </c>
      <c r="H20" s="5"/>
      <c r="I20" s="5">
        <f t="shared" si="0"/>
        <v>0</v>
      </c>
      <c r="J20" s="4"/>
      <c r="K20" s="5">
        <f>IF('E. Bieler'!J18="J. Dorn",'E. Bieler'!I18,0)+IF('R. Böttiger'!J8="J. Dorn",'R. Böttiger'!I8,0)</f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128.125</v>
      </c>
      <c r="M20" s="10">
        <f t="shared" si="1"/>
        <v>64.0625</v>
      </c>
      <c r="N20" s="10">
        <f t="shared" si="2"/>
        <v>64.0625</v>
      </c>
      <c r="O20" s="10">
        <f t="shared" si="3"/>
        <v>0</v>
      </c>
      <c r="P20" s="10">
        <f>'E. Bieler'!M18+'J. Dorn'!M20+'R. Böttiger'!M8</f>
        <v>1153.125</v>
      </c>
      <c r="Q20" s="10">
        <v>82</v>
      </c>
      <c r="R20" s="10">
        <f>IFERROR(INDEX('Projekt-Budget-Übersicht'!$F:$F,MATCH(2815,'Projekt-Budget-Übersicht'!$L:$L,0)),0)</f>
        <v>0</v>
      </c>
      <c r="S20" s="10">
        <v>1013.98</v>
      </c>
      <c r="T20" s="4"/>
      <c r="U20" s="4"/>
    </row>
    <row r="21" spans="1:21" x14ac:dyDescent="0.25">
      <c r="A21" s="4" t="s">
        <v>2578</v>
      </c>
      <c r="B21" s="4" t="s">
        <v>5521</v>
      </c>
      <c r="C21" s="4" t="str">
        <f>IFERROR(INDEX('Projekt-Budget-Übersicht'!$C:$C,MATCH(2892,'Projekt-Budget-Übersicht'!$L:$L,0)),"")</f>
        <v/>
      </c>
      <c r="D21" s="4">
        <v>16</v>
      </c>
      <c r="E21" s="4">
        <v>9.25</v>
      </c>
      <c r="F21" s="4">
        <v>0.25</v>
      </c>
      <c r="G21" s="16">
        <v>57.81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IF($B$2="-",0,IFERROR(INDEX(IF($B$2="SV",'Projekt-Budget-Übersicht'!$I:$I,IF($B$2="CAD",'Projekt-Budget-Übersicht'!$J:$J,IF($B$2="ADM",'Projekt-Budget-Übersicht'!$K:$K,'Projekt-Budget-Übersicht'!$I:$I))),MATCH(2892,'Projekt-Budget-Übersicht'!$M:$M,0)),0))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'J. Dorn'!M21</f>
        <v>0</v>
      </c>
      <c r="Q21" s="10">
        <v>16</v>
      </c>
      <c r="R21" s="10">
        <f>IFERROR(INDEX('Projekt-Budget-Übersicht'!$F:$F,MATCH(2892,'Projekt-Budget-Übersicht'!$L:$L,0)),0)</f>
        <v>0</v>
      </c>
      <c r="S21" s="10">
        <v>832.5</v>
      </c>
      <c r="T21" s="4"/>
      <c r="U21" s="4"/>
    </row>
    <row r="22" spans="1:21" x14ac:dyDescent="0.25">
      <c r="A22" s="4" t="s">
        <v>2725</v>
      </c>
      <c r="B22" s="4" t="s">
        <v>5516</v>
      </c>
      <c r="C22" s="4" t="s">
        <v>50</v>
      </c>
      <c r="D22" s="4">
        <v>0</v>
      </c>
      <c r="E22" s="4">
        <v>-19</v>
      </c>
      <c r="F22" s="4">
        <v>1.5</v>
      </c>
      <c r="G22" s="4">
        <v>0</v>
      </c>
      <c r="H22" s="5"/>
      <c r="I22" s="5">
        <f t="shared" si="0"/>
        <v>0</v>
      </c>
      <c r="J22" s="4"/>
      <c r="K22" s="5">
        <f>IF('M. Bandlofsky'!J12="J. Dorn",'M. Bandlofsky'!I12,0)</f>
        <v>0</v>
      </c>
      <c r="L22" s="10">
        <f>IF($B$2="-",0,0)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'J. Dorn'!M22+'M. Bandlofsky'!M12</f>
        <v>0</v>
      </c>
      <c r="Q22" s="10"/>
      <c r="R22" s="10">
        <f>0</f>
        <v>0</v>
      </c>
      <c r="S22" s="10"/>
      <c r="T22" s="4"/>
      <c r="U22" s="4"/>
    </row>
    <row r="23" spans="1:21" x14ac:dyDescent="0.25">
      <c r="A23" s="4" t="s">
        <v>2834</v>
      </c>
      <c r="B23" s="4" t="s">
        <v>5459</v>
      </c>
      <c r="C23" s="4" t="str">
        <f>IFERROR(INDEX('Projekt-Budget-Übersicht'!$C:$C,MATCH(3122,'Projekt-Budget-Übersicht'!$L:$L,0)),"")</f>
        <v/>
      </c>
      <c r="D23" s="4">
        <v>6</v>
      </c>
      <c r="E23" s="4">
        <v>33.75</v>
      </c>
      <c r="F23" s="4">
        <v>0.75</v>
      </c>
      <c r="G23" s="15">
        <v>562.5</v>
      </c>
      <c r="H23" s="5"/>
      <c r="I23" s="5">
        <f t="shared" si="0"/>
        <v>0</v>
      </c>
      <c r="J23" s="4"/>
      <c r="K23" s="5">
        <f>IF('A. Kokott'!J14="J. Dorn",'A. Kokott'!I14,0)+IF('E. Bieler'!J20="J. Dorn",'E. Bieler'!I20,0)+IF('J. Dorchies'!J9="J. Dorn",'J. Dorchies'!I9,0)+IF('P. Bergner'!J7="J. Dorn",'P. Bergner'!I7,0)+IF('R. Böttiger'!J13="J. Dorn",'R. Böttiger'!I13,0)</f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23" s="10">
        <f t="shared" si="1"/>
        <v>43.750000000000007</v>
      </c>
      <c r="N23" s="10">
        <f t="shared" si="2"/>
        <v>43.750000000000007</v>
      </c>
      <c r="O23" s="10">
        <f t="shared" si="3"/>
        <v>0</v>
      </c>
      <c r="P23" s="10">
        <f>'A. Kokott'!M14+'E. Bieler'!M20+'J. Dorchies'!M9+'J. Dorn'!M23+'P. Bergner'!M7+'R. Böttiger'!M13</f>
        <v>1195.8333333333335</v>
      </c>
      <c r="Q23" s="10">
        <v>18</v>
      </c>
      <c r="R23" s="10">
        <f>IFERROR(INDEX('Projekt-Budget-Übersicht'!$F:$F,MATCH(3122,'Projekt-Budget-Übersicht'!$L:$L,0)),0)</f>
        <v>0</v>
      </c>
      <c r="S23" s="10">
        <v>2985.82</v>
      </c>
      <c r="T23" s="4"/>
      <c r="U23" s="4"/>
    </row>
    <row r="24" spans="1:21" x14ac:dyDescent="0.25">
      <c r="A24" s="4" t="s">
        <v>2903</v>
      </c>
      <c r="B24" s="4" t="s">
        <v>5459</v>
      </c>
      <c r="C24" s="4" t="str">
        <f>IFERROR(INDEX('Projekt-Budget-Übersicht'!$C:$C,MATCH(3178,'Projekt-Budget-Übersicht'!$L:$L,0)),"")</f>
        <v/>
      </c>
      <c r="D24" s="4">
        <v>25</v>
      </c>
      <c r="E24" s="4">
        <v>5.25</v>
      </c>
      <c r="F24" s="4">
        <v>3.75</v>
      </c>
      <c r="G24" s="16">
        <v>21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IF($B$2="-",0,IFERROR(INDEX(IF($B$2="SV",'Projekt-Budget-Übersicht'!$I:$I,IF($B$2="CAD",'Projekt-Budget-Übersicht'!$J:$J,IF($B$2="ADM",'Projekt-Budget-Übersicht'!$K:$K,'Projekt-Budget-Übersicht'!$I:$I))),MATCH(3178,'Projekt-Budget-Übersicht'!$M:$M,0)),0))</f>
        <v>130.7692307692308</v>
      </c>
      <c r="M24" s="10">
        <f t="shared" si="1"/>
        <v>490.38461538461553</v>
      </c>
      <c r="N24" s="10">
        <f t="shared" si="2"/>
        <v>490.38461538461553</v>
      </c>
      <c r="O24" s="10">
        <f t="shared" si="3"/>
        <v>0</v>
      </c>
      <c r="P24" s="10">
        <f>'J. Dorn'!M24</f>
        <v>490.38461538461553</v>
      </c>
      <c r="Q24" s="10">
        <v>78</v>
      </c>
      <c r="R24" s="10">
        <f>IFERROR(INDEX('Projekt-Budget-Übersicht'!$F:$F,MATCH(3178,'Projekt-Budget-Übersicht'!$L:$L,0)),0)</f>
        <v>0</v>
      </c>
      <c r="S24" s="10">
        <v>382.5</v>
      </c>
      <c r="T24" s="4"/>
      <c r="U24" s="4"/>
    </row>
    <row r="25" spans="1:21" x14ac:dyDescent="0.25">
      <c r="A25" s="4" t="s">
        <v>2913</v>
      </c>
      <c r="B25" s="4" t="s">
        <v>5504</v>
      </c>
      <c r="C25" s="4" t="str">
        <f>IFERROR(INDEX('Projekt-Budget-Übersicht'!$C:$C,MATCH(3186,'Projekt-Budget-Übersicht'!$L:$L,0)),"")</f>
        <v/>
      </c>
      <c r="D25" s="4">
        <v>1560</v>
      </c>
      <c r="E25" s="4">
        <v>1564.25</v>
      </c>
      <c r="F25" s="4">
        <v>1</v>
      </c>
      <c r="G25" s="15">
        <v>100.27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IF($B$2="-",0,IFERROR(INDEX(IF($B$2="SV",'Projekt-Budget-Übersicht'!$I:$I,IF($B$2="CAD",'Projekt-Budget-Übersicht'!$J:$J,IF($B$2="ADM",'Projekt-Budget-Übersicht'!$K:$K,'Projekt-Budget-Übersicht'!$I:$I))),MATCH(3186,'Projekt-Budget-Übersicht'!$M:$M,0)),0))</f>
        <v>0</v>
      </c>
      <c r="M25" s="10">
        <f t="shared" si="1"/>
        <v>0</v>
      </c>
      <c r="N25" s="10">
        <f t="shared" si="2"/>
        <v>0</v>
      </c>
      <c r="O25" s="10">
        <f t="shared" si="3"/>
        <v>0</v>
      </c>
      <c r="P25" s="10">
        <f>'J. Dorn'!M25</f>
        <v>0</v>
      </c>
      <c r="Q25" s="10">
        <v>1560</v>
      </c>
      <c r="R25" s="10">
        <f>IFERROR(INDEX('Projekt-Budget-Übersicht'!$F:$F,MATCH(3186,'Projekt-Budget-Übersicht'!$L:$L,0)),0)</f>
        <v>0</v>
      </c>
      <c r="S25" s="10">
        <v>132885.43</v>
      </c>
      <c r="T25" s="4"/>
      <c r="U25" s="4"/>
    </row>
    <row r="26" spans="1:21" x14ac:dyDescent="0.25">
      <c r="A26" s="21" t="s">
        <v>3144</v>
      </c>
      <c r="B26" s="4" t="s">
        <v>5521</v>
      </c>
      <c r="C26" s="4" t="str">
        <f>IFERROR(INDEX('Projekt-Budget-Übersicht'!$C:$C,MATCH(3386,'Projekt-Budget-Übersicht'!$L:$L,0)),"")</f>
        <v/>
      </c>
      <c r="D26" s="4">
        <v>6</v>
      </c>
      <c r="E26" s="4">
        <v>15.25</v>
      </c>
      <c r="F26" s="4">
        <v>0.25</v>
      </c>
      <c r="G26" s="15">
        <v>254.17</v>
      </c>
      <c r="H26" s="5"/>
      <c r="I26" s="5">
        <f t="shared" si="0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26" s="10">
        <f t="shared" si="1"/>
        <v>0</v>
      </c>
      <c r="N26" s="10">
        <f t="shared" si="2"/>
        <v>0</v>
      </c>
      <c r="O26" s="10">
        <f t="shared" si="3"/>
        <v>0</v>
      </c>
      <c r="P26" s="10">
        <f>'J. Dorn'!M26</f>
        <v>0</v>
      </c>
      <c r="Q26" s="10">
        <v>40</v>
      </c>
      <c r="R26" s="10">
        <f>IFERROR(INDEX('Projekt-Budget-Übersicht'!$F:$F,MATCH(3386,'Projekt-Budget-Übersicht'!$L:$L,0)),0)</f>
        <v>0</v>
      </c>
      <c r="S26" s="10">
        <v>2435</v>
      </c>
      <c r="T26" s="4"/>
      <c r="U26" s="4"/>
    </row>
    <row r="27" spans="1:21" x14ac:dyDescent="0.25">
      <c r="A27" s="22"/>
      <c r="B27" s="4" t="s">
        <v>5504</v>
      </c>
      <c r="C27" s="4" t="str">
        <f>IFERROR(INDEX('Projekt-Budget-Übersicht'!$C:$C,MATCH(3386,'Projekt-Budget-Übersicht'!$L:$L,0)),"")</f>
        <v/>
      </c>
      <c r="D27" s="4">
        <v>10</v>
      </c>
      <c r="E27" s="4">
        <v>1.25</v>
      </c>
      <c r="F27" s="4">
        <v>0.25</v>
      </c>
      <c r="G27" s="16">
        <v>12.5</v>
      </c>
      <c r="H27" s="5"/>
      <c r="I27" s="5">
        <f t="shared" si="0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27" s="10">
        <f t="shared" si="1"/>
        <v>0</v>
      </c>
      <c r="N27" s="10">
        <f t="shared" si="2"/>
        <v>0</v>
      </c>
      <c r="O27" s="10">
        <f t="shared" si="3"/>
        <v>0</v>
      </c>
      <c r="P27" s="10">
        <f>'J. Dorn'!M27</f>
        <v>0</v>
      </c>
      <c r="Q27" s="10">
        <v>40</v>
      </c>
      <c r="R27" s="10">
        <f>IFERROR(INDEX('Projekt-Budget-Übersicht'!$F:$F,MATCH(3386,'Projekt-Budget-Übersicht'!$L:$L,0)),0)</f>
        <v>0</v>
      </c>
      <c r="S27" s="10">
        <v>2435</v>
      </c>
      <c r="T27" s="4"/>
      <c r="U27" s="4"/>
    </row>
    <row r="28" spans="1:21" x14ac:dyDescent="0.25">
      <c r="A28" s="21" t="s">
        <v>3181</v>
      </c>
      <c r="B28" s="4" t="s">
        <v>5588</v>
      </c>
      <c r="C28" s="4" t="s">
        <v>50</v>
      </c>
      <c r="D28" s="4">
        <v>0</v>
      </c>
      <c r="E28" s="4">
        <v>-0.5</v>
      </c>
      <c r="F28" s="4">
        <v>0.5</v>
      </c>
      <c r="G28" s="4">
        <v>0</v>
      </c>
      <c r="H28" s="5"/>
      <c r="I28" s="5">
        <f t="shared" si="0"/>
        <v>0</v>
      </c>
      <c r="J28" s="4"/>
      <c r="K28" s="5">
        <v>0</v>
      </c>
      <c r="L28" s="10">
        <f>IF($B$2="-",0,0)</f>
        <v>0</v>
      </c>
      <c r="M28" s="10">
        <f t="shared" si="1"/>
        <v>0</v>
      </c>
      <c r="N28" s="10">
        <f t="shared" si="2"/>
        <v>0</v>
      </c>
      <c r="O28" s="10">
        <f t="shared" si="3"/>
        <v>0</v>
      </c>
      <c r="P28" s="10">
        <f>'J. Dorn'!M28</f>
        <v>0</v>
      </c>
      <c r="Q28" s="10"/>
      <c r="R28" s="10">
        <f>0</f>
        <v>0</v>
      </c>
      <c r="S28" s="10"/>
      <c r="T28" s="4"/>
      <c r="U28" s="4"/>
    </row>
    <row r="29" spans="1:21" x14ac:dyDescent="0.25">
      <c r="A29" s="22"/>
      <c r="B29" s="4" t="s">
        <v>5589</v>
      </c>
      <c r="C29" s="4" t="s">
        <v>50</v>
      </c>
      <c r="D29" s="4">
        <v>0</v>
      </c>
      <c r="E29" s="4">
        <v>0</v>
      </c>
      <c r="F29" s="4">
        <v>2</v>
      </c>
      <c r="G29" s="4">
        <v>0</v>
      </c>
      <c r="H29" s="5"/>
      <c r="I29" s="5">
        <f t="shared" si="0"/>
        <v>0</v>
      </c>
      <c r="J29" s="4"/>
      <c r="K29" s="5">
        <v>0</v>
      </c>
      <c r="L29" s="10">
        <f>IF($B$2="-",0,0)</f>
        <v>0</v>
      </c>
      <c r="M29" s="10">
        <f t="shared" si="1"/>
        <v>0</v>
      </c>
      <c r="N29" s="10">
        <f t="shared" si="2"/>
        <v>0</v>
      </c>
      <c r="O29" s="10">
        <f t="shared" si="3"/>
        <v>0</v>
      </c>
      <c r="P29" s="10">
        <f>'J. Dorn'!M29</f>
        <v>0</v>
      </c>
      <c r="Q29" s="10"/>
      <c r="R29" s="10">
        <f>0</f>
        <v>0</v>
      </c>
      <c r="S29" s="10"/>
      <c r="T29" s="4"/>
      <c r="U29" s="4"/>
    </row>
    <row r="30" spans="1:21" x14ac:dyDescent="0.25">
      <c r="A30" s="21" t="s">
        <v>3851</v>
      </c>
      <c r="B30" s="4" t="s">
        <v>5590</v>
      </c>
      <c r="C30" s="4" t="s">
        <v>50</v>
      </c>
      <c r="D30" s="4">
        <v>0</v>
      </c>
      <c r="E30" s="4">
        <v>0</v>
      </c>
      <c r="F30" s="4">
        <v>0.75</v>
      </c>
      <c r="G30" s="4">
        <v>0</v>
      </c>
      <c r="H30" s="5"/>
      <c r="I30" s="5">
        <f t="shared" si="0"/>
        <v>0</v>
      </c>
      <c r="J30" s="4"/>
      <c r="K30" s="5">
        <v>0</v>
      </c>
      <c r="L30" s="10">
        <f>IF($B$2="-",0,0)</f>
        <v>0</v>
      </c>
      <c r="M30" s="10">
        <f t="shared" si="1"/>
        <v>0</v>
      </c>
      <c r="N30" s="10">
        <f t="shared" si="2"/>
        <v>0</v>
      </c>
      <c r="O30" s="10">
        <f t="shared" si="3"/>
        <v>0</v>
      </c>
      <c r="P30" s="10">
        <f>'J. Dorn'!M30</f>
        <v>0</v>
      </c>
      <c r="Q30" s="10"/>
      <c r="R30" s="10">
        <f>0</f>
        <v>0</v>
      </c>
      <c r="S30" s="10"/>
      <c r="T30" s="4"/>
      <c r="U30" s="4"/>
    </row>
    <row r="31" spans="1:21" x14ac:dyDescent="0.25">
      <c r="A31" s="23"/>
      <c r="B31" s="4" t="s">
        <v>5591</v>
      </c>
      <c r="C31" s="4" t="s">
        <v>50</v>
      </c>
      <c r="D31" s="4">
        <v>0</v>
      </c>
      <c r="E31" s="4">
        <v>-1.75</v>
      </c>
      <c r="F31" s="4">
        <v>0.5</v>
      </c>
      <c r="G31" s="4">
        <v>0</v>
      </c>
      <c r="H31" s="5"/>
      <c r="I31" s="5">
        <f t="shared" si="0"/>
        <v>0</v>
      </c>
      <c r="J31" s="4"/>
      <c r="K31" s="5">
        <v>0</v>
      </c>
      <c r="L31" s="10">
        <f>IF($B$2="-",0,0)</f>
        <v>0</v>
      </c>
      <c r="M31" s="10">
        <f t="shared" si="1"/>
        <v>0</v>
      </c>
      <c r="N31" s="10">
        <f t="shared" si="2"/>
        <v>0</v>
      </c>
      <c r="O31" s="10">
        <f t="shared" si="3"/>
        <v>0</v>
      </c>
      <c r="P31" s="10">
        <f>'J. Dorn'!M31</f>
        <v>0</v>
      </c>
      <c r="Q31" s="10"/>
      <c r="R31" s="10">
        <f>0</f>
        <v>0</v>
      </c>
      <c r="S31" s="10"/>
      <c r="T31" s="4"/>
      <c r="U31" s="4"/>
    </row>
    <row r="32" spans="1:21" x14ac:dyDescent="0.25">
      <c r="A32" s="22"/>
      <c r="B32" s="4" t="s">
        <v>5459</v>
      </c>
      <c r="C32" s="4" t="s">
        <v>50</v>
      </c>
      <c r="D32" s="4">
        <v>0</v>
      </c>
      <c r="E32" s="4">
        <v>-16.5</v>
      </c>
      <c r="F32" s="4">
        <v>4</v>
      </c>
      <c r="G32" s="4">
        <v>0</v>
      </c>
      <c r="H32" s="5"/>
      <c r="I32" s="5">
        <f t="shared" si="0"/>
        <v>0</v>
      </c>
      <c r="J32" s="4"/>
      <c r="K32" s="5">
        <v>0</v>
      </c>
      <c r="L32" s="10">
        <f>IF($B$2="-",0,0)</f>
        <v>0</v>
      </c>
      <c r="M32" s="10">
        <f t="shared" si="1"/>
        <v>0</v>
      </c>
      <c r="N32" s="10">
        <f t="shared" si="2"/>
        <v>0</v>
      </c>
      <c r="O32" s="10">
        <f t="shared" si="3"/>
        <v>0</v>
      </c>
      <c r="P32" s="10">
        <f>'J. Dorn'!M32</f>
        <v>0</v>
      </c>
      <c r="Q32" s="10"/>
      <c r="R32" s="10">
        <f>0</f>
        <v>0</v>
      </c>
      <c r="S32" s="10"/>
      <c r="T32" s="4"/>
      <c r="U32" s="4"/>
    </row>
    <row r="33" spans="1:21" x14ac:dyDescent="0.25">
      <c r="A33" s="4" t="s">
        <v>4278</v>
      </c>
      <c r="B33" s="4" t="s">
        <v>5459</v>
      </c>
      <c r="C33" s="4" t="str">
        <f>IFERROR(INDEX('Projekt-Budget-Übersicht'!$C:$C,MATCH(4368,'Projekt-Budget-Übersicht'!$L:$L,0)),"")</f>
        <v/>
      </c>
      <c r="D33" s="4">
        <v>13</v>
      </c>
      <c r="E33" s="4">
        <v>146.75</v>
      </c>
      <c r="F33" s="4">
        <v>5.25</v>
      </c>
      <c r="G33" s="15">
        <v>1128.8499999999999</v>
      </c>
      <c r="H33" s="5"/>
      <c r="I33" s="5">
        <f t="shared" si="0"/>
        <v>0</v>
      </c>
      <c r="J33" s="4"/>
      <c r="K33" s="5">
        <f>IF('E. Bieler'!J22="J. Dorn",'E. Bieler'!I22,0)+IF('J. Dorchies'!J11="J. Dorn",'J. Dorchies'!I11,0)+IF('R. Böttiger'!J14="J. Dorn",'R. Böttiger'!I14,0)</f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90.166956521739138</v>
      </c>
      <c r="M33" s="10">
        <f t="shared" si="1"/>
        <v>473.37652173913045</v>
      </c>
      <c r="N33" s="10">
        <f t="shared" si="2"/>
        <v>473.37652173913045</v>
      </c>
      <c r="O33" s="10">
        <f t="shared" si="3"/>
        <v>0</v>
      </c>
      <c r="P33" s="10">
        <f>'E. Bieler'!M22+'J. Dorchies'!M11+'J. Dorn'!M33+'R. Böttiger'!M14</f>
        <v>1532.8382608695654</v>
      </c>
      <c r="Q33" s="10">
        <v>57.5</v>
      </c>
      <c r="R33" s="10">
        <f>IFERROR(INDEX('Projekt-Budget-Übersicht'!$F:$F,MATCH(4368,'Projekt-Budget-Übersicht'!$L:$L,0)),0)</f>
        <v>0</v>
      </c>
      <c r="S33" s="10">
        <v>1720.79</v>
      </c>
      <c r="T33" s="4"/>
      <c r="U33" s="4"/>
    </row>
    <row r="34" spans="1:21" x14ac:dyDescent="0.25">
      <c r="A34" s="4" t="s">
        <v>4347</v>
      </c>
      <c r="B34" s="4" t="s">
        <v>5592</v>
      </c>
      <c r="C34" s="4" t="str">
        <f>IFERROR(INDEX('Projekt-Budget-Übersicht'!$C:$C,MATCH(4420,'Projekt-Budget-Übersicht'!$L:$L,0)),"")</f>
        <v/>
      </c>
      <c r="D34" s="4">
        <v>20</v>
      </c>
      <c r="E34" s="4">
        <v>30.5</v>
      </c>
      <c r="F34" s="4">
        <v>1</v>
      </c>
      <c r="G34" s="15">
        <v>152.5</v>
      </c>
      <c r="H34" s="5"/>
      <c r="I34" s="5">
        <f t="shared" si="0"/>
        <v>0</v>
      </c>
      <c r="J34" s="4"/>
      <c r="K34" s="5">
        <f>IF('S. Schüler'!J28="J. Dorn",'S. Schüler'!I28,0)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34" s="10">
        <f t="shared" si="1"/>
        <v>0</v>
      </c>
      <c r="N34" s="10">
        <f t="shared" si="2"/>
        <v>0</v>
      </c>
      <c r="O34" s="10">
        <f t="shared" si="3"/>
        <v>0</v>
      </c>
      <c r="P34" s="10">
        <f>'J. Dorn'!M34+'S. Schüler'!M28</f>
        <v>0</v>
      </c>
      <c r="Q34" s="10">
        <v>36</v>
      </c>
      <c r="R34" s="10">
        <f>IFERROR(INDEX('Projekt-Budget-Übersicht'!$F:$F,MATCH(4420,'Projekt-Budget-Übersicht'!$L:$L,0)),0)</f>
        <v>0</v>
      </c>
      <c r="S34" s="10">
        <v>2697.5</v>
      </c>
      <c r="T34" s="4"/>
      <c r="U34" s="4"/>
    </row>
    <row r="35" spans="1:21" x14ac:dyDescent="0.25">
      <c r="A35" s="4" t="s">
        <v>5038</v>
      </c>
      <c r="B35" s="4" t="s">
        <v>5509</v>
      </c>
      <c r="C35" s="4" t="str">
        <f>IFERROR(INDEX('Projekt-Budget-Übersicht'!$C:$C,MATCH(5020,'Projekt-Budget-Übersicht'!$L:$L,0)),"")</f>
        <v/>
      </c>
      <c r="D35" s="4">
        <v>31</v>
      </c>
      <c r="E35" s="4">
        <v>35.25</v>
      </c>
      <c r="F35" s="4">
        <v>1</v>
      </c>
      <c r="G35" s="15">
        <v>113.71</v>
      </c>
      <c r="H35" s="5"/>
      <c r="I35" s="5">
        <f t="shared" si="0"/>
        <v>0</v>
      </c>
      <c r="J35" s="4"/>
      <c r="K35" s="5">
        <f>IF('E. Bieler'!J36="J. Dorn",'E. Bieler'!I36,0)+IF('M. Bandlofsky'!J16="J. Dorn",'M. Bandlofsky'!I16,0)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123.8095238095238</v>
      </c>
      <c r="M35" s="10">
        <f t="shared" si="1"/>
        <v>123.8095238095238</v>
      </c>
      <c r="N35" s="10">
        <f t="shared" si="2"/>
        <v>123.8095238095238</v>
      </c>
      <c r="O35" s="10">
        <f t="shared" si="3"/>
        <v>0</v>
      </c>
      <c r="P35" s="10">
        <f>'E. Bieler'!M36+'J. Dorn'!M35+'M. Bandlofsky'!M16</f>
        <v>4240.4761904761899</v>
      </c>
      <c r="Q35" s="10">
        <v>123</v>
      </c>
      <c r="R35" s="10">
        <f>IFERROR(INDEX('Projekt-Budget-Übersicht'!$F:$F,MATCH(5020,'Projekt-Budget-Übersicht'!$L:$L,0)),0)</f>
        <v>0</v>
      </c>
      <c r="S35" s="10">
        <v>756.58</v>
      </c>
      <c r="T35" s="4"/>
      <c r="U35" s="4"/>
    </row>
    <row r="36" spans="1:21" x14ac:dyDescent="0.25">
      <c r="A36" s="4" t="s">
        <v>5414</v>
      </c>
      <c r="B36" s="4" t="s">
        <v>5593</v>
      </c>
      <c r="C36" s="4" t="str">
        <f>IFERROR(INDEX('Projekt-Budget-Übersicht'!$C:$C,MATCH(5362,'Projekt-Budget-Übersicht'!$L:$L,0)),"")</f>
        <v/>
      </c>
      <c r="D36" s="4">
        <v>47</v>
      </c>
      <c r="E36" s="4">
        <v>59.5</v>
      </c>
      <c r="F36" s="4">
        <v>0.5</v>
      </c>
      <c r="G36" s="15">
        <v>126.6</v>
      </c>
      <c r="H36" s="5"/>
      <c r="I36" s="5">
        <f t="shared" si="0"/>
        <v>0</v>
      </c>
      <c r="J36" s="4"/>
      <c r="K36" s="5">
        <f>IF('R. Böttiger'!J20="J. Dorn",'R. Böttiger'!I20,0)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36" s="10">
        <f t="shared" si="1"/>
        <v>0</v>
      </c>
      <c r="N36" s="10">
        <f t="shared" si="2"/>
        <v>0</v>
      </c>
      <c r="O36" s="10">
        <f t="shared" si="3"/>
        <v>0</v>
      </c>
      <c r="P36" s="10">
        <f>'J. Dorn'!M36+'R. Böttiger'!M20</f>
        <v>0</v>
      </c>
      <c r="Q36" s="10">
        <v>67</v>
      </c>
      <c r="R36" s="10">
        <f>IFERROR(INDEX('Projekt-Budget-Übersicht'!$F:$F,MATCH(5362,'Projekt-Budget-Übersicht'!$L:$L,0)),0)</f>
        <v>0</v>
      </c>
      <c r="S36" s="10">
        <v>2749.15</v>
      </c>
      <c r="T36" s="4"/>
      <c r="U36" s="4"/>
    </row>
    <row r="37" spans="1:21" x14ac:dyDescent="0.25">
      <c r="A37" s="3"/>
      <c r="B37" s="3" t="s">
        <v>5492</v>
      </c>
      <c r="C37" s="3"/>
      <c r="D37" s="3"/>
      <c r="E37" s="3"/>
      <c r="F37" s="6">
        <v>91.25</v>
      </c>
      <c r="G37" s="3"/>
      <c r="H37" s="3"/>
      <c r="I37" s="3"/>
      <c r="J37" s="3"/>
      <c r="K37" s="3"/>
      <c r="L37" s="3"/>
      <c r="M37" s="17">
        <f>SUM(M6:M36)</f>
        <v>2716.311115337046</v>
      </c>
      <c r="N37" s="17">
        <f>SUM(N6:N36)</f>
        <v>2716.311115337046</v>
      </c>
      <c r="O37" s="17">
        <f>SUM(O6:O36)</f>
        <v>0</v>
      </c>
      <c r="P37" s="17">
        <f>SUM(P6:P36)</f>
        <v>11826.478755482709</v>
      </c>
      <c r="Q37" s="3"/>
      <c r="R37" s="3"/>
      <c r="S37" s="3"/>
      <c r="T37" s="3"/>
      <c r="U37" s="3"/>
    </row>
    <row r="38" spans="1:21" x14ac:dyDescent="0.25">
      <c r="A38" s="3"/>
      <c r="B38" s="3" t="s">
        <v>4</v>
      </c>
      <c r="C38" s="3"/>
      <c r="D38" s="3"/>
      <c r="E38" s="3"/>
      <c r="F38" s="6">
        <f>G38+H38</f>
        <v>79.5</v>
      </c>
      <c r="G38" s="6">
        <v>79.5</v>
      </c>
      <c r="H38" s="6">
        <f>SUM(H8,H9,H10,H11,H12,H13,H14,H15,H16,H17,H18,H19,H20,H21,H22,H23,H24,H25,H26,H27,H28,H29,H30,H31,H32,H33,H34,H35,H36)</f>
        <v>0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3"/>
      <c r="B39" s="3" t="s">
        <v>5</v>
      </c>
      <c r="C39" s="3"/>
      <c r="D39" s="3"/>
      <c r="E39" s="3"/>
      <c r="F39" s="6">
        <f>G39+H39</f>
        <v>1.5</v>
      </c>
      <c r="G39" s="6">
        <v>1.5</v>
      </c>
      <c r="H39" s="6">
        <f>SUM(H6,H7)</f>
        <v>0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3"/>
      <c r="B40" s="3" t="s">
        <v>5493</v>
      </c>
      <c r="C40" s="3"/>
      <c r="D40" s="3"/>
      <c r="E40" s="3"/>
      <c r="F40" s="6">
        <f>SUM(K6:K36)</f>
        <v>0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18"/>
      <c r="B41" s="18" t="s">
        <v>5494</v>
      </c>
      <c r="C41" s="18"/>
      <c r="D41" s="18"/>
      <c r="E41" s="18"/>
      <c r="F41" s="19">
        <f>F38+F39+F40</f>
        <v>81</v>
      </c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3" spans="1:21" ht="15.75" x14ac:dyDescent="0.25">
      <c r="A43" s="2" t="s">
        <v>5495</v>
      </c>
    </row>
    <row r="44" spans="1:21" x14ac:dyDescent="0.25">
      <c r="A44" s="3" t="s">
        <v>35</v>
      </c>
      <c r="B44" s="3" t="s">
        <v>5461</v>
      </c>
      <c r="C44" s="3" t="s">
        <v>37</v>
      </c>
      <c r="D44" s="3" t="s">
        <v>5462</v>
      </c>
      <c r="E44" s="3" t="s">
        <v>5463</v>
      </c>
      <c r="F44" s="3" t="s">
        <v>5496</v>
      </c>
      <c r="G44" s="3" t="s">
        <v>5465</v>
      </c>
      <c r="H44" s="3" t="s">
        <v>5466</v>
      </c>
      <c r="I44" s="3" t="s">
        <v>5467</v>
      </c>
      <c r="J44" s="3" t="s">
        <v>5468</v>
      </c>
      <c r="K44" s="3" t="s">
        <v>5469</v>
      </c>
      <c r="L44" s="3" t="s">
        <v>5470</v>
      </c>
      <c r="M44" s="3" t="s">
        <v>5471</v>
      </c>
      <c r="N44" s="3" t="s">
        <v>5472</v>
      </c>
      <c r="O44" s="3" t="s">
        <v>5473</v>
      </c>
      <c r="P44" s="3" t="s">
        <v>5474</v>
      </c>
      <c r="Q44" s="3" t="s">
        <v>5475</v>
      </c>
      <c r="R44" s="3" t="s">
        <v>5476</v>
      </c>
      <c r="S44" s="3" t="s">
        <v>5477</v>
      </c>
      <c r="T44" s="3" t="s">
        <v>5478</v>
      </c>
      <c r="U44" s="3" t="s">
        <v>5479</v>
      </c>
    </row>
    <row r="45" spans="1:21" x14ac:dyDescent="0.25">
      <c r="A45" s="21" t="s">
        <v>61</v>
      </c>
      <c r="B45" s="4" t="s">
        <v>5480</v>
      </c>
      <c r="C45" s="4" t="str">
        <f>IFERROR(INDEX('Projekt-Budget-Übersicht'!$C:$C,MATCH(10,'Projekt-Budget-Übersicht'!$L:$L,0)),"")</f>
        <v/>
      </c>
      <c r="D45" s="4">
        <v>8</v>
      </c>
      <c r="E45" s="4">
        <v>0.5</v>
      </c>
      <c r="F45" s="4">
        <v>0.5</v>
      </c>
      <c r="G45" s="16">
        <v>6.25</v>
      </c>
      <c r="H45" s="5"/>
      <c r="I45" s="5">
        <f t="shared" ref="I45:I74" si="4">IF(H45=0,0,F45-H45)</f>
        <v>0</v>
      </c>
      <c r="J45" s="4"/>
      <c r="K45" s="5">
        <f>IF('A. Kokott'!J39="J. Dorn",'A. Kokott'!I39,0)+IF('O. Haag BS-CAD'!J51="J. Dorn",'O. Haag BS-CAD'!I51,0)+IF('P. Bergner'!J21="J. Dorn",'P. Bergner'!I21,0)+IF('R. Böttiger'!J31="J. Dorn",'R. Böttiger'!I31,0)+IF('T. Trautmann'!J28="J. Dorn",'T. Trautmann'!I28,0)+IF('U. Sutter ADM'!J28="J. Dorn",'U. Sutter ADM'!I28,0)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5" s="10">
        <f t="shared" ref="M45:M74" si="5">IF($B$2="-",0,IF(C45="Pauschale",IF(OR(R45=0,N(D45)=0),0,MAX(0,MIN(R45*((N(F45)+N(K45))/N(D45)),R45-R45*(N(E45)/N(D45))))),L45*(N(F45)+N(K45))))</f>
        <v>0</v>
      </c>
      <c r="N45" s="10">
        <f t="shared" ref="N45:N74" si="6">IF($B$2="-",0,IF(C45="Pauschale",IF(OR(R45=0,N(D45)=0),0,R45*((N(F45)+N(K45))/N(D45))),L45*(N(F45)+N(K45))))</f>
        <v>0</v>
      </c>
      <c r="O45" s="10">
        <f t="shared" ref="O45:O74" si="7">N45-M45</f>
        <v>0</v>
      </c>
      <c r="P45" s="10">
        <f>'A. Kokott'!M39+'J. Dorn'!M45+'O. Haag BS-CAD'!M51+'P. Bergner'!M21+'R. Böttiger'!M31+'T. Trautmann'!M28+'U. Sutter ADM'!M28</f>
        <v>0</v>
      </c>
      <c r="Q45" s="10">
        <v>132</v>
      </c>
      <c r="R45" s="10">
        <f>IFERROR(INDEX('Projekt-Budget-Übersicht'!$F:$F,MATCH(10,'Projekt-Budget-Übersicht'!$L:$L,0)),0)</f>
        <v>0</v>
      </c>
      <c r="S45" s="10">
        <v>68628.19</v>
      </c>
      <c r="T45" s="4"/>
      <c r="U45" s="4"/>
    </row>
    <row r="46" spans="1:21" x14ac:dyDescent="0.25">
      <c r="A46" s="22"/>
      <c r="B46" s="4" t="s">
        <v>5547</v>
      </c>
      <c r="C46" s="4" t="str">
        <f>IFERROR(INDEX('Projekt-Budget-Übersicht'!$C:$C,MATCH(10,'Projekt-Budget-Übersicht'!$L:$L,0)),"")</f>
        <v/>
      </c>
      <c r="D46" s="4">
        <v>8</v>
      </c>
      <c r="E46" s="4">
        <v>1</v>
      </c>
      <c r="F46" s="4">
        <v>1</v>
      </c>
      <c r="G46" s="16">
        <v>12.5</v>
      </c>
      <c r="H46" s="5"/>
      <c r="I46" s="5">
        <f t="shared" si="4"/>
        <v>0</v>
      </c>
      <c r="J46" s="4"/>
      <c r="K46" s="5">
        <f>IF('C. Trapp SV'!J32="J. Dorn",'C. Trapp SV'!I32,0)+IF('T. Trautmann'!J30="J. Dorn",'T. Trautmann'!I30,0)</f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6" s="10">
        <f t="shared" si="5"/>
        <v>0</v>
      </c>
      <c r="N46" s="10">
        <f t="shared" si="6"/>
        <v>0</v>
      </c>
      <c r="O46" s="10">
        <f t="shared" si="7"/>
        <v>0</v>
      </c>
      <c r="P46" s="10">
        <f>'C. Trapp SV'!M32+'J. Dorn'!M46+'T. Trautmann'!M30</f>
        <v>0</v>
      </c>
      <c r="Q46" s="10">
        <v>132</v>
      </c>
      <c r="R46" s="10">
        <f>IFERROR(INDEX('Projekt-Budget-Übersicht'!$F:$F,MATCH(10,'Projekt-Budget-Übersicht'!$L:$L,0)),0)</f>
        <v>0</v>
      </c>
      <c r="S46" s="10">
        <v>68628.19</v>
      </c>
      <c r="T46" s="4"/>
      <c r="U46" s="4"/>
    </row>
    <row r="47" spans="1:21" x14ac:dyDescent="0.25">
      <c r="A47" s="4" t="s">
        <v>1059</v>
      </c>
      <c r="B47" s="4" t="s">
        <v>5583</v>
      </c>
      <c r="C47" s="4" t="str">
        <f>IFERROR(INDEX('Projekt-Budget-Übersicht'!$C:$C,MATCH(1085,'Projekt-Budget-Übersicht'!$L:$L,0)),"")</f>
        <v/>
      </c>
      <c r="D47" s="4">
        <v>19</v>
      </c>
      <c r="E47" s="4">
        <v>13.25</v>
      </c>
      <c r="F47" s="4">
        <v>3.5</v>
      </c>
      <c r="G47" s="16">
        <v>69.739999999999995</v>
      </c>
      <c r="H47" s="5"/>
      <c r="I47" s="5">
        <f t="shared" si="4"/>
        <v>0</v>
      </c>
      <c r="J47" s="4"/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IF($B$2="-",0,IFERROR(INDEX(IF($B$2="SV",'Projekt-Budget-Übersicht'!$I:$I,IF($B$2="CAD",'Projekt-Budget-Übersicht'!$J:$J,IF($B$2="ADM",'Projekt-Budget-Übersicht'!$K:$K,'Projekt-Budget-Übersicht'!$I:$I))),MATCH(1085,'Projekt-Budget-Übersicht'!$M:$M,0)),0))</f>
        <v>128.9473684210526</v>
      </c>
      <c r="M47" s="10">
        <f t="shared" si="5"/>
        <v>451.31578947368411</v>
      </c>
      <c r="N47" s="10">
        <f t="shared" si="6"/>
        <v>451.31578947368411</v>
      </c>
      <c r="O47" s="10">
        <f t="shared" si="7"/>
        <v>0</v>
      </c>
      <c r="P47" s="10">
        <f>'J. Dorn'!M47</f>
        <v>451.31578947368411</v>
      </c>
      <c r="Q47" s="10">
        <v>138</v>
      </c>
      <c r="R47" s="10">
        <f>IFERROR(INDEX('Projekt-Budget-Übersicht'!$F:$F,MATCH(1085,'Projekt-Budget-Übersicht'!$L:$L,0)),0)</f>
        <v>0</v>
      </c>
      <c r="S47" s="10">
        <v>1125</v>
      </c>
      <c r="T47" s="4"/>
      <c r="U47" s="4"/>
    </row>
    <row r="48" spans="1:21" x14ac:dyDescent="0.25">
      <c r="A48" s="4" t="s">
        <v>1302</v>
      </c>
      <c r="B48" s="4" t="s">
        <v>5563</v>
      </c>
      <c r="C48" s="4" t="str">
        <f>IFERROR(INDEX('Projekt-Budget-Übersicht'!$C:$C,MATCH(1412,'Projekt-Budget-Übersicht'!$L:$L,0)),"")</f>
        <v/>
      </c>
      <c r="D48" s="4">
        <v>295.5</v>
      </c>
      <c r="E48" s="4">
        <v>113</v>
      </c>
      <c r="F48" s="4">
        <v>4.75</v>
      </c>
      <c r="G48" s="16">
        <v>38.24</v>
      </c>
      <c r="H48" s="5"/>
      <c r="I48" s="5">
        <f t="shared" si="4"/>
        <v>0</v>
      </c>
      <c r="J48" s="4"/>
      <c r="K48" s="5"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77.834179357021995</v>
      </c>
      <c r="M48" s="10">
        <f t="shared" si="5"/>
        <v>369.71235194585449</v>
      </c>
      <c r="N48" s="10">
        <f t="shared" si="6"/>
        <v>369.71235194585449</v>
      </c>
      <c r="O48" s="10">
        <f t="shared" si="7"/>
        <v>0</v>
      </c>
      <c r="P48" s="10">
        <f>'J. Dorn'!M48</f>
        <v>369.71235194585449</v>
      </c>
      <c r="Q48" s="10">
        <v>76</v>
      </c>
      <c r="R48" s="10">
        <f>IFERROR(INDEX('Projekt-Budget-Übersicht'!$F:$F,MATCH(1412,'Projekt-Budget-Übersicht'!$L:$L,0)),0)</f>
        <v>0</v>
      </c>
      <c r="S48" s="10">
        <v>9580.17</v>
      </c>
      <c r="T48" s="4"/>
      <c r="U48" s="4"/>
    </row>
    <row r="49" spans="1:21" x14ac:dyDescent="0.25">
      <c r="A49" s="4" t="s">
        <v>1532</v>
      </c>
      <c r="B49" s="4" t="s">
        <v>5540</v>
      </c>
      <c r="C49" s="4" t="str">
        <f>IFERROR(INDEX('Projekt-Budget-Übersicht'!$C:$C,MATCH(1732,'Projekt-Budget-Übersicht'!$L:$L,0)),"")</f>
        <v/>
      </c>
      <c r="D49" s="4">
        <v>30</v>
      </c>
      <c r="E49" s="4">
        <v>87.5</v>
      </c>
      <c r="F49" s="4">
        <v>5.5</v>
      </c>
      <c r="G49" s="15">
        <v>291.67</v>
      </c>
      <c r="H49" s="5"/>
      <c r="I49" s="5">
        <f t="shared" si="4"/>
        <v>0</v>
      </c>
      <c r="J49" s="4"/>
      <c r="K49" s="5"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IF($B$2="-",0,IFERROR(INDEX(IF($B$2="SV",'Projekt-Budget-Übersicht'!$I:$I,IF($B$2="CAD",'Projekt-Budget-Übersicht'!$J:$J,IF($B$2="ADM",'Projekt-Budget-Übersicht'!$K:$K,'Projekt-Budget-Übersicht'!$I:$I))),MATCH(1732,'Projekt-Budget-Übersicht'!$M:$M,0)),0))</f>
        <v>0</v>
      </c>
      <c r="M49" s="10">
        <f t="shared" si="5"/>
        <v>0</v>
      </c>
      <c r="N49" s="10">
        <f t="shared" si="6"/>
        <v>0</v>
      </c>
      <c r="O49" s="10">
        <f t="shared" si="7"/>
        <v>0</v>
      </c>
      <c r="P49" s="10">
        <f>'J. Dorn'!M49</f>
        <v>0</v>
      </c>
      <c r="Q49" s="10">
        <v>71</v>
      </c>
      <c r="R49" s="10">
        <f>IFERROR(INDEX('Projekt-Budget-Übersicht'!$F:$F,MATCH(1732,'Projekt-Budget-Übersicht'!$L:$L,0)),0)</f>
        <v>0</v>
      </c>
      <c r="S49" s="10">
        <v>7775.4</v>
      </c>
      <c r="T49" s="4"/>
      <c r="U49" s="4"/>
    </row>
    <row r="50" spans="1:21" x14ac:dyDescent="0.25">
      <c r="A50" s="4" t="s">
        <v>1558</v>
      </c>
      <c r="B50" s="4" t="s">
        <v>5540</v>
      </c>
      <c r="C50" s="4" t="str">
        <f>IFERROR(INDEX('Projekt-Budget-Übersicht'!$C:$C,MATCH(1761,'Projekt-Budget-Übersicht'!$L:$L,0)),"")</f>
        <v/>
      </c>
      <c r="D50" s="4">
        <v>30</v>
      </c>
      <c r="E50" s="4">
        <v>25.25</v>
      </c>
      <c r="F50" s="4">
        <v>8</v>
      </c>
      <c r="G50" s="16">
        <v>84.17</v>
      </c>
      <c r="H50" s="5"/>
      <c r="I50" s="5">
        <f t="shared" si="4"/>
        <v>0</v>
      </c>
      <c r="J50" s="4"/>
      <c r="K50" s="5"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IF($B$2="-",0,IFERROR(INDEX(IF($B$2="SV",'Projekt-Budget-Übersicht'!$I:$I,IF($B$2="CAD",'Projekt-Budget-Übersicht'!$J:$J,IF($B$2="ADM",'Projekt-Budget-Übersicht'!$K:$K,'Projekt-Budget-Übersicht'!$I:$I))),MATCH(1761,'Projekt-Budget-Übersicht'!$M:$M,0)),0))</f>
        <v>0</v>
      </c>
      <c r="M50" s="10">
        <f t="shared" si="5"/>
        <v>0</v>
      </c>
      <c r="N50" s="10">
        <f t="shared" si="6"/>
        <v>0</v>
      </c>
      <c r="O50" s="10">
        <f t="shared" si="7"/>
        <v>0</v>
      </c>
      <c r="P50" s="10">
        <f>'J. Dorn'!M50</f>
        <v>0</v>
      </c>
      <c r="Q50" s="10">
        <v>64</v>
      </c>
      <c r="R50" s="10">
        <f>IFERROR(INDEX('Projekt-Budget-Übersicht'!$F:$F,MATCH(1761,'Projekt-Budget-Übersicht'!$L:$L,0)),0)</f>
        <v>0</v>
      </c>
      <c r="S50" s="10">
        <v>2317.5</v>
      </c>
      <c r="T50" s="4"/>
      <c r="U50" s="4"/>
    </row>
    <row r="51" spans="1:21" x14ac:dyDescent="0.25">
      <c r="A51" s="4" t="s">
        <v>1562</v>
      </c>
      <c r="B51" s="4" t="s">
        <v>5501</v>
      </c>
      <c r="C51" s="4" t="str">
        <f>IFERROR(INDEX('Projekt-Budget-Übersicht'!$C:$C,MATCH(1764,'Projekt-Budget-Übersicht'!$L:$L,0)),"")</f>
        <v/>
      </c>
      <c r="D51" s="4">
        <v>16</v>
      </c>
      <c r="E51" s="4">
        <v>18</v>
      </c>
      <c r="F51" s="4">
        <v>1.75</v>
      </c>
      <c r="G51" s="15">
        <v>112.5</v>
      </c>
      <c r="H51" s="5"/>
      <c r="I51" s="5">
        <f t="shared" si="4"/>
        <v>0</v>
      </c>
      <c r="J51" s="4"/>
      <c r="K51" s="5">
        <f>IF('A. Kokott'!J49="J. Dorn",'A. Kokott'!I49,0)+IF('T. Trautmann'!J41="J. Dorn",'T. Trautmann'!I41,0)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107.8947368421053</v>
      </c>
      <c r="M51" s="10">
        <f t="shared" si="5"/>
        <v>188.81578947368428</v>
      </c>
      <c r="N51" s="10">
        <f t="shared" si="6"/>
        <v>188.81578947368428</v>
      </c>
      <c r="O51" s="10">
        <f t="shared" si="7"/>
        <v>0</v>
      </c>
      <c r="P51" s="10">
        <f>'A. Kokott'!M49+'J. Dorn'!M51+'T. Trautmann'!M41</f>
        <v>269.73684210526324</v>
      </c>
      <c r="Q51" s="10">
        <v>49</v>
      </c>
      <c r="R51" s="10">
        <f>IFERROR(INDEX('Projekt-Budget-Übersicht'!$F:$F,MATCH(1764,'Projekt-Budget-Übersicht'!$L:$L,0)),0)</f>
        <v>0</v>
      </c>
      <c r="S51" s="10">
        <v>1574.15</v>
      </c>
      <c r="T51" s="4"/>
      <c r="U51" s="4"/>
    </row>
    <row r="52" spans="1:21" x14ac:dyDescent="0.25">
      <c r="A52" s="4" t="s">
        <v>1564</v>
      </c>
      <c r="B52" s="4" t="s">
        <v>5515</v>
      </c>
      <c r="C52" s="4" t="str">
        <f>IFERROR(INDEX('Projekt-Budget-Übersicht'!$C:$C,MATCH(1765,'Projekt-Budget-Übersicht'!$L:$L,0)),"")</f>
        <v/>
      </c>
      <c r="D52" s="4">
        <v>30</v>
      </c>
      <c r="E52" s="4">
        <v>12.5</v>
      </c>
      <c r="F52" s="4">
        <v>10.75</v>
      </c>
      <c r="G52" s="16">
        <v>41.67</v>
      </c>
      <c r="H52" s="5"/>
      <c r="I52" s="5">
        <f t="shared" si="4"/>
        <v>0</v>
      </c>
      <c r="J52" s="4"/>
      <c r="K52" s="5">
        <f>IF('T. Trautmann'!J42="J. Dorn",'T. Trautmann'!I42,0)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IF($B$2="-",0,IFERROR(INDEX(IF($B$2="SV",'Projekt-Budget-Übersicht'!$I:$I,IF($B$2="CAD",'Projekt-Budget-Übersicht'!$J:$J,IF($B$2="ADM",'Projekt-Budget-Übersicht'!$K:$K,'Projekt-Budget-Übersicht'!$I:$I))),MATCH(1765,'Projekt-Budget-Übersicht'!$M:$M,0)),0))</f>
        <v>0</v>
      </c>
      <c r="M52" s="10">
        <f t="shared" si="5"/>
        <v>0</v>
      </c>
      <c r="N52" s="10">
        <f t="shared" si="6"/>
        <v>0</v>
      </c>
      <c r="O52" s="10">
        <f t="shared" si="7"/>
        <v>0</v>
      </c>
      <c r="P52" s="10">
        <f>'J. Dorn'!M52+'T. Trautmann'!M42</f>
        <v>0</v>
      </c>
      <c r="Q52" s="10">
        <v>30</v>
      </c>
      <c r="R52" s="10">
        <f>IFERROR(INDEX('Projekt-Budget-Übersicht'!$F:$F,MATCH(1765,'Projekt-Budget-Übersicht'!$L:$L,0)),0)</f>
        <v>0</v>
      </c>
      <c r="S52" s="10">
        <v>1133.75</v>
      </c>
      <c r="T52" s="4"/>
      <c r="U52" s="4"/>
    </row>
    <row r="53" spans="1:21" x14ac:dyDescent="0.25">
      <c r="A53" s="4" t="s">
        <v>1825</v>
      </c>
      <c r="B53" s="4" t="s">
        <v>5544</v>
      </c>
      <c r="C53" s="4" t="str">
        <f>IFERROR(INDEX('Projekt-Budget-Übersicht'!$C:$C,MATCH(2066,'Projekt-Budget-Übersicht'!$L:$L,0)),"")</f>
        <v/>
      </c>
      <c r="D53" s="4">
        <v>110</v>
      </c>
      <c r="E53" s="4">
        <v>46.5</v>
      </c>
      <c r="F53" s="4">
        <v>0.75</v>
      </c>
      <c r="G53" s="16">
        <v>42.27</v>
      </c>
      <c r="H53" s="5"/>
      <c r="I53" s="5">
        <f t="shared" si="4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53" s="10">
        <f t="shared" si="5"/>
        <v>0</v>
      </c>
      <c r="N53" s="10">
        <f t="shared" si="6"/>
        <v>0</v>
      </c>
      <c r="O53" s="10">
        <f t="shared" si="7"/>
        <v>0</v>
      </c>
      <c r="P53" s="10">
        <f>'J. Dorn'!M53</f>
        <v>0</v>
      </c>
      <c r="Q53" s="10">
        <v>146</v>
      </c>
      <c r="R53" s="10">
        <f>IFERROR(INDEX('Projekt-Budget-Übersicht'!$F:$F,MATCH(2066,'Projekt-Budget-Übersicht'!$L:$L,0)),0)</f>
        <v>0</v>
      </c>
      <c r="S53" s="10">
        <v>4160.79</v>
      </c>
      <c r="T53" s="4"/>
      <c r="U53" s="4"/>
    </row>
    <row r="54" spans="1:21" x14ac:dyDescent="0.25">
      <c r="A54" s="4" t="s">
        <v>2207</v>
      </c>
      <c r="B54" s="4" t="s">
        <v>5586</v>
      </c>
      <c r="C54" s="4" t="str">
        <f>IFERROR(INDEX('Projekt-Budget-Übersicht'!$C:$C,MATCH(2561,'Projekt-Budget-Übersicht'!$L:$L,0)),"")</f>
        <v/>
      </c>
      <c r="D54" s="4">
        <v>160</v>
      </c>
      <c r="E54" s="4">
        <v>111.25</v>
      </c>
      <c r="F54" s="4">
        <v>39</v>
      </c>
      <c r="G54" s="16">
        <v>69.53</v>
      </c>
      <c r="H54" s="5"/>
      <c r="I54" s="5">
        <f t="shared" si="4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54" s="10">
        <f t="shared" si="5"/>
        <v>0</v>
      </c>
      <c r="N54" s="10">
        <f t="shared" si="6"/>
        <v>0</v>
      </c>
      <c r="O54" s="10">
        <f t="shared" si="7"/>
        <v>0</v>
      </c>
      <c r="P54" s="10">
        <f>'J. Dorn'!M54</f>
        <v>0</v>
      </c>
      <c r="Q54" s="10">
        <v>2</v>
      </c>
      <c r="R54" s="10">
        <f>IFERROR(INDEX('Projekt-Budget-Übersicht'!$F:$F,MATCH(2561,'Projekt-Budget-Übersicht'!$L:$L,0)),0)</f>
        <v>0</v>
      </c>
      <c r="S54" s="10"/>
      <c r="T54" s="4"/>
      <c r="U54" s="4"/>
    </row>
    <row r="55" spans="1:21" x14ac:dyDescent="0.25">
      <c r="A55" s="4" t="s">
        <v>2291</v>
      </c>
      <c r="B55" s="4" t="s">
        <v>5545</v>
      </c>
      <c r="C55" s="4" t="str">
        <f>IFERROR(INDEX('Projekt-Budget-Übersicht'!$C:$C,MATCH(2637,'Projekt-Budget-Übersicht'!$L:$L,0)),"")</f>
        <v/>
      </c>
      <c r="D55" s="4">
        <v>20</v>
      </c>
      <c r="E55" s="4">
        <v>17.75</v>
      </c>
      <c r="F55" s="4">
        <v>0.25</v>
      </c>
      <c r="G55" s="16">
        <v>88.75</v>
      </c>
      <c r="H55" s="5"/>
      <c r="I55" s="5">
        <f t="shared" si="4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IF($B$2="-",0,IFERROR(INDEX(IF($B$2="SV",'Projekt-Budget-Übersicht'!$I:$I,IF($B$2="CAD",'Projekt-Budget-Übersicht'!$J:$J,IF($B$2="ADM",'Projekt-Budget-Übersicht'!$K:$K,'Projekt-Budget-Übersicht'!$I:$I))),MATCH(2637,'Projekt-Budget-Übersicht'!$M:$M,0)),0))</f>
        <v>0</v>
      </c>
      <c r="M55" s="10">
        <f t="shared" si="5"/>
        <v>0</v>
      </c>
      <c r="N55" s="10">
        <f t="shared" si="6"/>
        <v>0</v>
      </c>
      <c r="O55" s="10">
        <f t="shared" si="7"/>
        <v>0</v>
      </c>
      <c r="P55" s="10">
        <f>'J. Dorn'!M55</f>
        <v>0</v>
      </c>
      <c r="Q55" s="10">
        <v>70</v>
      </c>
      <c r="R55" s="10">
        <f>IFERROR(INDEX('Projekt-Budget-Übersicht'!$F:$F,MATCH(2637,'Projekt-Budget-Übersicht'!$L:$L,0)),0)</f>
        <v>0</v>
      </c>
      <c r="S55" s="10">
        <v>13545</v>
      </c>
      <c r="T55" s="4"/>
      <c r="U55" s="4"/>
    </row>
    <row r="56" spans="1:21" x14ac:dyDescent="0.25">
      <c r="A56" s="4" t="s">
        <v>2295</v>
      </c>
      <c r="B56" s="4" t="s">
        <v>5587</v>
      </c>
      <c r="C56" s="4" t="str">
        <f>IFERROR(INDEX('Projekt-Budget-Übersicht'!$C:$C,MATCH(2641,'Projekt-Budget-Übersicht'!$L:$L,0)),"")</f>
        <v/>
      </c>
      <c r="D56" s="4">
        <v>23</v>
      </c>
      <c r="E56" s="4">
        <v>28</v>
      </c>
      <c r="F56" s="4">
        <v>21.75</v>
      </c>
      <c r="G56" s="15">
        <v>121.74</v>
      </c>
      <c r="H56" s="5"/>
      <c r="I56" s="5">
        <f t="shared" si="4"/>
        <v>0</v>
      </c>
      <c r="J56" s="4"/>
      <c r="K56" s="5"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IF($B$2="-",0,IFERROR(INDEX(IF($B$2="SV",'Projekt-Budget-Übersicht'!$I:$I,IF($B$2="CAD",'Projekt-Budget-Übersicht'!$J:$J,IF($B$2="ADM",'Projekt-Budget-Übersicht'!$K:$K,'Projekt-Budget-Übersicht'!$I:$I))),MATCH(2641,'Projekt-Budget-Übersicht'!$M:$M,0)),0))</f>
        <v>0</v>
      </c>
      <c r="M56" s="10">
        <f t="shared" si="5"/>
        <v>0</v>
      </c>
      <c r="N56" s="10">
        <f t="shared" si="6"/>
        <v>0</v>
      </c>
      <c r="O56" s="10">
        <f t="shared" si="7"/>
        <v>0</v>
      </c>
      <c r="P56" s="10">
        <f>'J. Dorn'!M56</f>
        <v>0</v>
      </c>
      <c r="Q56" s="10">
        <v>78</v>
      </c>
      <c r="R56" s="10">
        <f>IFERROR(INDEX('Projekt-Budget-Übersicht'!$F:$F,MATCH(2641,'Projekt-Budget-Übersicht'!$L:$L,0)),0)</f>
        <v>0</v>
      </c>
      <c r="S56" s="10">
        <v>2645</v>
      </c>
      <c r="T56" s="4"/>
      <c r="U56" s="4"/>
    </row>
    <row r="57" spans="1:21" x14ac:dyDescent="0.25">
      <c r="A57" s="4" t="s">
        <v>2395</v>
      </c>
      <c r="B57" s="4" t="s">
        <v>5504</v>
      </c>
      <c r="C57" s="4" t="str">
        <f>IFERROR(INDEX('Projekt-Budget-Übersicht'!$C:$C,MATCH(2729,'Projekt-Budget-Übersicht'!$L:$L,0)),"")</f>
        <v/>
      </c>
      <c r="D57" s="4">
        <v>34</v>
      </c>
      <c r="E57" s="4">
        <v>10.75</v>
      </c>
      <c r="F57" s="4">
        <v>0.5</v>
      </c>
      <c r="G57" s="16">
        <v>31.62</v>
      </c>
      <c r="H57" s="5"/>
      <c r="I57" s="5">
        <f t="shared" si="4"/>
        <v>0</v>
      </c>
      <c r="J57" s="4"/>
      <c r="K57" s="5"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IF($B$2="-",0,IFERROR(INDEX(IF($B$2="SV",'Projekt-Budget-Übersicht'!$I:$I,IF($B$2="CAD",'Projekt-Budget-Übersicht'!$J:$J,IF($B$2="ADM",'Projekt-Budget-Übersicht'!$K:$K,'Projekt-Budget-Übersicht'!$I:$I))),MATCH(2729,'Projekt-Budget-Übersicht'!$M:$M,0)),0))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'J. Dorn'!M57</f>
        <v>0</v>
      </c>
      <c r="Q57" s="10">
        <v>34</v>
      </c>
      <c r="R57" s="10">
        <f>IFERROR(INDEX('Projekt-Budget-Übersicht'!$F:$F,MATCH(2729,'Projekt-Budget-Übersicht'!$L:$L,0)),0)</f>
        <v>0</v>
      </c>
      <c r="S57" s="10">
        <v>930.79</v>
      </c>
      <c r="T57" s="4"/>
      <c r="U57" s="4"/>
    </row>
    <row r="58" spans="1:21" x14ac:dyDescent="0.25">
      <c r="A58" s="4" t="s">
        <v>2495</v>
      </c>
      <c r="B58" s="4" t="s">
        <v>5544</v>
      </c>
      <c r="C58" s="4" t="str">
        <f>IFERROR(INDEX('Projekt-Budget-Übersicht'!$C:$C,MATCH(2818,'Projekt-Budget-Übersicht'!$L:$L,0)),"")</f>
        <v/>
      </c>
      <c r="D58" s="4">
        <v>16</v>
      </c>
      <c r="E58" s="4">
        <v>36.75</v>
      </c>
      <c r="F58" s="4">
        <v>0.5</v>
      </c>
      <c r="G58" s="15">
        <v>229.69</v>
      </c>
      <c r="H58" s="5"/>
      <c r="I58" s="5">
        <f t="shared" si="4"/>
        <v>0</v>
      </c>
      <c r="J58" s="4"/>
      <c r="K58" s="5">
        <f>IF('R. Böttiger'!J35="J. Dorn",'R. Böttiger'!I35,0)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134.375</v>
      </c>
      <c r="M58" s="10">
        <f t="shared" si="5"/>
        <v>67.1875</v>
      </c>
      <c r="N58" s="10">
        <f t="shared" si="6"/>
        <v>67.1875</v>
      </c>
      <c r="O58" s="10">
        <f t="shared" si="7"/>
        <v>0</v>
      </c>
      <c r="P58" s="10">
        <f>'J. Dorn'!M58+'R. Böttiger'!M35</f>
        <v>1545.3125</v>
      </c>
      <c r="Q58" s="10">
        <v>16</v>
      </c>
      <c r="R58" s="10">
        <f>IFERROR(INDEX('Projekt-Budget-Übersicht'!$F:$F,MATCH(2818,'Projekt-Budget-Übersicht'!$L:$L,0)),0)</f>
        <v>0</v>
      </c>
      <c r="S58" s="10">
        <v>71.650000000000006</v>
      </c>
      <c r="T58" s="4"/>
      <c r="U58" s="4"/>
    </row>
    <row r="59" spans="1:21" x14ac:dyDescent="0.25">
      <c r="A59" s="4" t="s">
        <v>2578</v>
      </c>
      <c r="B59" s="4" t="s">
        <v>5516</v>
      </c>
      <c r="C59" s="4" t="str">
        <f>IFERROR(INDEX('Projekt-Budget-Übersicht'!$C:$C,MATCH(2893,'Projekt-Budget-Übersicht'!$L:$L,0)),"")</f>
        <v/>
      </c>
      <c r="D59" s="4">
        <v>37</v>
      </c>
      <c r="E59" s="4">
        <v>17.5</v>
      </c>
      <c r="F59" s="4">
        <v>1.25</v>
      </c>
      <c r="G59" s="16">
        <v>47.3</v>
      </c>
      <c r="H59" s="5"/>
      <c r="I59" s="5">
        <f t="shared" si="4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59" s="10">
        <f t="shared" si="5"/>
        <v>0</v>
      </c>
      <c r="N59" s="10">
        <f t="shared" si="6"/>
        <v>0</v>
      </c>
      <c r="O59" s="10">
        <f t="shared" si="7"/>
        <v>0</v>
      </c>
      <c r="P59" s="10">
        <f>'J. Dorn'!M59</f>
        <v>0</v>
      </c>
      <c r="Q59" s="10">
        <v>37</v>
      </c>
      <c r="R59" s="10">
        <f>IFERROR(INDEX('Projekt-Budget-Übersicht'!$F:$F,MATCH(2893,'Projekt-Budget-Übersicht'!$L:$L,0)),0)</f>
        <v>0</v>
      </c>
      <c r="S59" s="10">
        <v>1736.25</v>
      </c>
      <c r="T59" s="4"/>
      <c r="U59" s="4"/>
    </row>
    <row r="60" spans="1:21" x14ac:dyDescent="0.25">
      <c r="A60" s="4" t="s">
        <v>2725</v>
      </c>
      <c r="B60" s="4" t="s">
        <v>5516</v>
      </c>
      <c r="C60" s="4" t="s">
        <v>50</v>
      </c>
      <c r="D60" s="4">
        <v>0</v>
      </c>
      <c r="E60" s="4">
        <v>-18.25</v>
      </c>
      <c r="F60" s="4">
        <v>0.75</v>
      </c>
      <c r="G60" s="4">
        <v>0</v>
      </c>
      <c r="H60" s="5"/>
      <c r="I60" s="5">
        <f t="shared" si="4"/>
        <v>0</v>
      </c>
      <c r="J60" s="4"/>
      <c r="K60" s="5">
        <v>0</v>
      </c>
      <c r="L60" s="10">
        <f>IF($B$2="-",0,0)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'J. Dorn'!M60</f>
        <v>0</v>
      </c>
      <c r="Q60" s="10"/>
      <c r="R60" s="10">
        <f>0</f>
        <v>0</v>
      </c>
      <c r="S60" s="10"/>
      <c r="T60" s="4"/>
      <c r="U60" s="4"/>
    </row>
    <row r="61" spans="1:21" x14ac:dyDescent="0.25">
      <c r="A61" s="4" t="s">
        <v>2834</v>
      </c>
      <c r="B61" s="4" t="s">
        <v>5459</v>
      </c>
      <c r="C61" s="4" t="str">
        <f>IFERROR(INDEX('Projekt-Budget-Übersicht'!$C:$C,MATCH(3122,'Projekt-Budget-Übersicht'!$L:$L,0)),"")</f>
        <v/>
      </c>
      <c r="D61" s="4">
        <v>6</v>
      </c>
      <c r="E61" s="4">
        <v>41.25</v>
      </c>
      <c r="F61" s="4">
        <v>7.5</v>
      </c>
      <c r="G61" s="15">
        <v>687.5</v>
      </c>
      <c r="H61" s="5"/>
      <c r="I61" s="5">
        <f t="shared" si="4"/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61" s="10">
        <f t="shared" si="5"/>
        <v>437.50000000000006</v>
      </c>
      <c r="N61" s="10">
        <f t="shared" si="6"/>
        <v>437.50000000000006</v>
      </c>
      <c r="O61" s="10">
        <f t="shared" si="7"/>
        <v>0</v>
      </c>
      <c r="P61" s="10">
        <f>'J. Dorn'!M61</f>
        <v>437.50000000000006</v>
      </c>
      <c r="Q61" s="10">
        <v>18</v>
      </c>
      <c r="R61" s="10">
        <f>IFERROR(INDEX('Projekt-Budget-Übersicht'!$F:$F,MATCH(3122,'Projekt-Budget-Übersicht'!$L:$L,0)),0)</f>
        <v>0</v>
      </c>
      <c r="S61" s="10">
        <v>2985.82</v>
      </c>
      <c r="T61" s="4"/>
      <c r="U61" s="4"/>
    </row>
    <row r="62" spans="1:21" x14ac:dyDescent="0.25">
      <c r="A62" s="4" t="s">
        <v>2913</v>
      </c>
      <c r="B62" s="4" t="s">
        <v>5504</v>
      </c>
      <c r="C62" s="4" t="str">
        <f>IFERROR(INDEX('Projekt-Budget-Übersicht'!$C:$C,MATCH(3186,'Projekt-Budget-Übersicht'!$L:$L,0)),"")</f>
        <v/>
      </c>
      <c r="D62" s="4">
        <v>1560</v>
      </c>
      <c r="E62" s="4">
        <v>1568</v>
      </c>
      <c r="F62" s="4">
        <v>3.75</v>
      </c>
      <c r="G62" s="15">
        <v>100.51</v>
      </c>
      <c r="H62" s="5"/>
      <c r="I62" s="5">
        <f t="shared" si="4"/>
        <v>0</v>
      </c>
      <c r="J62" s="4"/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IF($B$2="-",0,IFERROR(INDEX(IF($B$2="SV",'Projekt-Budget-Übersicht'!$I:$I,IF($B$2="CAD",'Projekt-Budget-Übersicht'!$J:$J,IF($B$2="ADM",'Projekt-Budget-Übersicht'!$K:$K,'Projekt-Budget-Übersicht'!$I:$I))),MATCH(3186,'Projekt-Budget-Übersicht'!$M:$M,0)),0))</f>
        <v>0</v>
      </c>
      <c r="M62" s="10">
        <f t="shared" si="5"/>
        <v>0</v>
      </c>
      <c r="N62" s="10">
        <f t="shared" si="6"/>
        <v>0</v>
      </c>
      <c r="O62" s="10">
        <f t="shared" si="7"/>
        <v>0</v>
      </c>
      <c r="P62" s="10">
        <f>'J. Dorn'!M62</f>
        <v>0</v>
      </c>
      <c r="Q62" s="10">
        <v>1560</v>
      </c>
      <c r="R62" s="10">
        <f>IFERROR(INDEX('Projekt-Budget-Übersicht'!$F:$F,MATCH(3186,'Projekt-Budget-Übersicht'!$L:$L,0)),0)</f>
        <v>0</v>
      </c>
      <c r="S62" s="10">
        <v>132885.43</v>
      </c>
      <c r="T62" s="4"/>
      <c r="U62" s="4"/>
    </row>
    <row r="63" spans="1:21" x14ac:dyDescent="0.25">
      <c r="A63" s="4" t="s">
        <v>2966</v>
      </c>
      <c r="B63" s="4" t="s">
        <v>5459</v>
      </c>
      <c r="C63" s="4" t="str">
        <f>IFERROR(INDEX('Projekt-Budget-Übersicht'!$C:$C,MATCH(3235,'Projekt-Budget-Übersicht'!$L:$L,0)),"")</f>
        <v/>
      </c>
      <c r="D63" s="4">
        <v>18.75</v>
      </c>
      <c r="E63" s="4">
        <v>53</v>
      </c>
      <c r="F63" s="4">
        <v>3.25</v>
      </c>
      <c r="G63" s="15">
        <v>282.67</v>
      </c>
      <c r="H63" s="5"/>
      <c r="I63" s="5">
        <f t="shared" si="4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IF($B$2="-",0,IFERROR(INDEX(IF($B$2="SV",'Projekt-Budget-Übersicht'!$I:$I,IF($B$2="CAD",'Projekt-Budget-Übersicht'!$J:$J,IF($B$2="ADM",'Projekt-Budget-Übersicht'!$K:$K,'Projekt-Budget-Übersicht'!$I:$I))),MATCH(3235,'Projekt-Budget-Übersicht'!$M:$M,0)),0))</f>
        <v>0</v>
      </c>
      <c r="M63" s="10">
        <f t="shared" si="5"/>
        <v>0</v>
      </c>
      <c r="N63" s="10">
        <f t="shared" si="6"/>
        <v>0</v>
      </c>
      <c r="O63" s="10">
        <f t="shared" si="7"/>
        <v>0</v>
      </c>
      <c r="P63" s="10">
        <f>'J. Dorn'!M63</f>
        <v>0</v>
      </c>
      <c r="Q63" s="10">
        <v>155</v>
      </c>
      <c r="R63" s="10">
        <f>IFERROR(INDEX('Projekt-Budget-Übersicht'!$F:$F,MATCH(3235,'Projekt-Budget-Übersicht'!$L:$L,0)),0)</f>
        <v>0</v>
      </c>
      <c r="S63" s="10"/>
      <c r="T63" s="4"/>
      <c r="U63" s="4"/>
    </row>
    <row r="64" spans="1:21" x14ac:dyDescent="0.25">
      <c r="A64" s="4" t="s">
        <v>5503</v>
      </c>
      <c r="B64" s="4" t="s">
        <v>5459</v>
      </c>
      <c r="C64" s="4" t="s">
        <v>50</v>
      </c>
      <c r="D64" s="4">
        <v>0</v>
      </c>
      <c r="E64" s="4">
        <v>-1</v>
      </c>
      <c r="F64" s="4">
        <v>7.25</v>
      </c>
      <c r="G64" s="4">
        <v>0</v>
      </c>
      <c r="H64" s="5"/>
      <c r="I64" s="5">
        <f t="shared" si="4"/>
        <v>0</v>
      </c>
      <c r="J64" s="4"/>
      <c r="K64" s="5">
        <f>IF('A. Kokott'!J51="J. Dorn",'A. Kokott'!I51,0)+IF('T. Trautmann'!J50="J. Dorn",'T. Trautmann'!I50,0)</f>
        <v>0</v>
      </c>
      <c r="L64" s="10">
        <f>IF($B$2="-",0,0)</f>
        <v>0</v>
      </c>
      <c r="M64" s="10">
        <f t="shared" si="5"/>
        <v>0</v>
      </c>
      <c r="N64" s="10">
        <f t="shared" si="6"/>
        <v>0</v>
      </c>
      <c r="O64" s="10">
        <f t="shared" si="7"/>
        <v>0</v>
      </c>
      <c r="P64" s="10">
        <f>'A. Kokott'!M51+'J. Dorn'!M64+'T. Trautmann'!M50</f>
        <v>0</v>
      </c>
      <c r="Q64" s="10"/>
      <c r="R64" s="10">
        <f>0</f>
        <v>0</v>
      </c>
      <c r="S64" s="10"/>
      <c r="T64" s="4"/>
      <c r="U64" s="4"/>
    </row>
    <row r="65" spans="1:21" x14ac:dyDescent="0.25">
      <c r="A65" s="4" t="s">
        <v>3144</v>
      </c>
      <c r="B65" s="4" t="s">
        <v>5504</v>
      </c>
      <c r="C65" s="4" t="str">
        <f>IFERROR(INDEX('Projekt-Budget-Übersicht'!$C:$C,MATCH(3386,'Projekt-Budget-Übersicht'!$L:$L,0)),"")</f>
        <v/>
      </c>
      <c r="D65" s="4">
        <v>10</v>
      </c>
      <c r="E65" s="4">
        <v>2.25</v>
      </c>
      <c r="F65" s="4">
        <v>1</v>
      </c>
      <c r="G65" s="16">
        <v>22.5</v>
      </c>
      <c r="H65" s="5"/>
      <c r="I65" s="5">
        <f t="shared" si="4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65" s="10">
        <f t="shared" si="5"/>
        <v>0</v>
      </c>
      <c r="N65" s="10">
        <f t="shared" si="6"/>
        <v>0</v>
      </c>
      <c r="O65" s="10">
        <f t="shared" si="7"/>
        <v>0</v>
      </c>
      <c r="P65" s="10">
        <f>'J. Dorn'!M65</f>
        <v>0</v>
      </c>
      <c r="Q65" s="10">
        <v>40</v>
      </c>
      <c r="R65" s="10">
        <f>IFERROR(INDEX('Projekt-Budget-Übersicht'!$F:$F,MATCH(3386,'Projekt-Budget-Übersicht'!$L:$L,0)),0)</f>
        <v>0</v>
      </c>
      <c r="S65" s="10">
        <v>2435</v>
      </c>
      <c r="T65" s="4"/>
      <c r="U65" s="4"/>
    </row>
    <row r="66" spans="1:21" x14ac:dyDescent="0.25">
      <c r="A66" s="4" t="s">
        <v>3168</v>
      </c>
      <c r="B66" s="4" t="s">
        <v>5594</v>
      </c>
      <c r="C66" s="4" t="str">
        <f>IFERROR(INDEX('Projekt-Budget-Übersicht'!$C:$C,MATCH(3402,'Projekt-Budget-Übersicht'!$L:$L,0)),"")</f>
        <v/>
      </c>
      <c r="D66" s="4">
        <v>66</v>
      </c>
      <c r="E66" s="4">
        <v>3</v>
      </c>
      <c r="F66" s="4">
        <v>0.5</v>
      </c>
      <c r="G66" s="16">
        <v>4.55</v>
      </c>
      <c r="H66" s="5"/>
      <c r="I66" s="5">
        <f t="shared" si="4"/>
        <v>0</v>
      </c>
      <c r="J66" s="4"/>
      <c r="K66" s="5"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IF($B$2="-",0,IFERROR(INDEX(IF($B$2="SV",'Projekt-Budget-Übersicht'!$I:$I,IF($B$2="CAD",'Projekt-Budget-Übersicht'!$J:$J,IF($B$2="ADM",'Projekt-Budget-Übersicht'!$K:$K,'Projekt-Budget-Übersicht'!$I:$I))),MATCH(3402,'Projekt-Budget-Übersicht'!$M:$M,0)),0))</f>
        <v>80.727272727272734</v>
      </c>
      <c r="M66" s="10">
        <f t="shared" si="5"/>
        <v>40.363636363636367</v>
      </c>
      <c r="N66" s="10">
        <f t="shared" si="6"/>
        <v>40.363636363636367</v>
      </c>
      <c r="O66" s="10">
        <f t="shared" si="7"/>
        <v>0</v>
      </c>
      <c r="P66" s="10">
        <f>'J. Dorn'!M66</f>
        <v>40.363636363636367</v>
      </c>
      <c r="Q66" s="10">
        <v>217</v>
      </c>
      <c r="R66" s="10">
        <f>IFERROR(INDEX('Projekt-Budget-Übersicht'!$F:$F,MATCH(3402,'Projekt-Budget-Übersicht'!$L:$L,0)),0)</f>
        <v>0</v>
      </c>
      <c r="S66" s="10">
        <v>769.15</v>
      </c>
      <c r="T66" s="4"/>
      <c r="U66" s="4"/>
    </row>
    <row r="67" spans="1:21" x14ac:dyDescent="0.25">
      <c r="A67" s="4" t="s">
        <v>3181</v>
      </c>
      <c r="B67" s="4" t="s">
        <v>5588</v>
      </c>
      <c r="C67" s="4" t="s">
        <v>50</v>
      </c>
      <c r="D67" s="4">
        <v>0</v>
      </c>
      <c r="E67" s="4">
        <v>0</v>
      </c>
      <c r="F67" s="4">
        <v>0.5</v>
      </c>
      <c r="G67" s="4">
        <v>0</v>
      </c>
      <c r="H67" s="5"/>
      <c r="I67" s="5">
        <f t="shared" si="4"/>
        <v>0</v>
      </c>
      <c r="J67" s="4"/>
      <c r="K67" s="5">
        <v>0</v>
      </c>
      <c r="L67" s="10">
        <f>IF($B$2="-",0,0)</f>
        <v>0</v>
      </c>
      <c r="M67" s="10">
        <f t="shared" si="5"/>
        <v>0</v>
      </c>
      <c r="N67" s="10">
        <f t="shared" si="6"/>
        <v>0</v>
      </c>
      <c r="O67" s="10">
        <f t="shared" si="7"/>
        <v>0</v>
      </c>
      <c r="P67" s="10">
        <f>'J. Dorn'!M67</f>
        <v>0</v>
      </c>
      <c r="Q67" s="10"/>
      <c r="R67" s="10">
        <f>0</f>
        <v>0</v>
      </c>
      <c r="S67" s="10"/>
      <c r="T67" s="4"/>
      <c r="U67" s="4"/>
    </row>
    <row r="68" spans="1:21" x14ac:dyDescent="0.25">
      <c r="A68" s="21" t="s">
        <v>3851</v>
      </c>
      <c r="B68" s="4" t="s">
        <v>5595</v>
      </c>
      <c r="C68" s="4" t="s">
        <v>50</v>
      </c>
      <c r="D68" s="4">
        <v>0</v>
      </c>
      <c r="E68" s="4">
        <v>-0.25</v>
      </c>
      <c r="F68" s="4">
        <v>1.25</v>
      </c>
      <c r="G68" s="4">
        <v>0</v>
      </c>
      <c r="H68" s="5"/>
      <c r="I68" s="5">
        <f t="shared" si="4"/>
        <v>0</v>
      </c>
      <c r="J68" s="4"/>
      <c r="K68" s="5">
        <v>0</v>
      </c>
      <c r="L68" s="10">
        <f>IF($B$2="-",0,0)</f>
        <v>0</v>
      </c>
      <c r="M68" s="10">
        <f t="shared" si="5"/>
        <v>0</v>
      </c>
      <c r="N68" s="10">
        <f t="shared" si="6"/>
        <v>0</v>
      </c>
      <c r="O68" s="10">
        <f t="shared" si="7"/>
        <v>0</v>
      </c>
      <c r="P68" s="10">
        <f>'J. Dorn'!M68</f>
        <v>0</v>
      </c>
      <c r="Q68" s="10"/>
      <c r="R68" s="10">
        <f>0</f>
        <v>0</v>
      </c>
      <c r="S68" s="10"/>
      <c r="T68" s="4"/>
      <c r="U68" s="4"/>
    </row>
    <row r="69" spans="1:21" x14ac:dyDescent="0.25">
      <c r="A69" s="23"/>
      <c r="B69" s="4" t="s">
        <v>5591</v>
      </c>
      <c r="C69" s="4" t="s">
        <v>50</v>
      </c>
      <c r="D69" s="4">
        <v>0</v>
      </c>
      <c r="E69" s="4">
        <v>-1.25</v>
      </c>
      <c r="F69" s="4">
        <v>0.5</v>
      </c>
      <c r="G69" s="4">
        <v>0</v>
      </c>
      <c r="H69" s="5"/>
      <c r="I69" s="5">
        <f t="shared" si="4"/>
        <v>0</v>
      </c>
      <c r="J69" s="4"/>
      <c r="K69" s="5">
        <v>0</v>
      </c>
      <c r="L69" s="10">
        <f>IF($B$2="-",0,0)</f>
        <v>0</v>
      </c>
      <c r="M69" s="10">
        <f t="shared" si="5"/>
        <v>0</v>
      </c>
      <c r="N69" s="10">
        <f t="shared" si="6"/>
        <v>0</v>
      </c>
      <c r="O69" s="10">
        <f t="shared" si="7"/>
        <v>0</v>
      </c>
      <c r="P69" s="10">
        <f>'J. Dorn'!M69</f>
        <v>0</v>
      </c>
      <c r="Q69" s="10"/>
      <c r="R69" s="10">
        <f>0</f>
        <v>0</v>
      </c>
      <c r="S69" s="10"/>
      <c r="T69" s="4"/>
      <c r="U69" s="4"/>
    </row>
    <row r="70" spans="1:21" x14ac:dyDescent="0.25">
      <c r="A70" s="22"/>
      <c r="B70" s="4" t="s">
        <v>5459</v>
      </c>
      <c r="C70" s="4" t="s">
        <v>50</v>
      </c>
      <c r="D70" s="4">
        <v>0</v>
      </c>
      <c r="E70" s="4">
        <v>-6</v>
      </c>
      <c r="F70" s="4">
        <v>10.5</v>
      </c>
      <c r="G70" s="4">
        <v>0</v>
      </c>
      <c r="H70" s="5"/>
      <c r="I70" s="5">
        <f t="shared" si="4"/>
        <v>0</v>
      </c>
      <c r="J70" s="4"/>
      <c r="K70" s="5">
        <v>0</v>
      </c>
      <c r="L70" s="10">
        <f>IF($B$2="-",0,0)</f>
        <v>0</v>
      </c>
      <c r="M70" s="10">
        <f t="shared" si="5"/>
        <v>0</v>
      </c>
      <c r="N70" s="10">
        <f t="shared" si="6"/>
        <v>0</v>
      </c>
      <c r="O70" s="10">
        <f t="shared" si="7"/>
        <v>0</v>
      </c>
      <c r="P70" s="10">
        <f>'J. Dorn'!M70</f>
        <v>0</v>
      </c>
      <c r="Q70" s="10"/>
      <c r="R70" s="10">
        <f>0</f>
        <v>0</v>
      </c>
      <c r="S70" s="10"/>
      <c r="T70" s="4"/>
      <c r="U70" s="4"/>
    </row>
    <row r="71" spans="1:21" x14ac:dyDescent="0.25">
      <c r="A71" s="4" t="s">
        <v>4109</v>
      </c>
      <c r="B71" s="4" t="s">
        <v>5596</v>
      </c>
      <c r="C71" s="4" t="str">
        <f>IFERROR(INDEX('Projekt-Budget-Übersicht'!$C:$C,MATCH(4225,'Projekt-Budget-Übersicht'!$L:$L,0)),"")</f>
        <v/>
      </c>
      <c r="D71" s="4">
        <v>46</v>
      </c>
      <c r="E71" s="4">
        <v>2.5</v>
      </c>
      <c r="F71" s="4">
        <v>2.5</v>
      </c>
      <c r="G71" s="16">
        <v>5.43</v>
      </c>
      <c r="H71" s="5"/>
      <c r="I71" s="5">
        <f t="shared" si="4"/>
        <v>0</v>
      </c>
      <c r="J71" s="4"/>
      <c r="K71" s="5">
        <f>IF('O. Haag BS-CAD'!J71="J. Dorn",'O. Haag BS-CAD'!I71,0)</f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IF($B$2="-",0,IFERROR(INDEX(IF($B$2="SV",'Projekt-Budget-Übersicht'!$I:$I,IF($B$2="CAD",'Projekt-Budget-Übersicht'!$J:$J,IF($B$2="ADM",'Projekt-Budget-Übersicht'!$K:$K,'Projekt-Budget-Übersicht'!$I:$I))),MATCH(4225,'Projekt-Budget-Übersicht'!$M:$M,0)),0))</f>
        <v>0</v>
      </c>
      <c r="M71" s="10">
        <f t="shared" si="5"/>
        <v>0</v>
      </c>
      <c r="N71" s="10">
        <f t="shared" si="6"/>
        <v>0</v>
      </c>
      <c r="O71" s="10">
        <f t="shared" si="7"/>
        <v>0</v>
      </c>
      <c r="P71" s="10">
        <f>'J. Dorn'!M71+'O. Haag BS-CAD'!M71</f>
        <v>0</v>
      </c>
      <c r="Q71" s="10">
        <v>108</v>
      </c>
      <c r="R71" s="10">
        <f>IFERROR(INDEX('Projekt-Budget-Übersicht'!$F:$F,MATCH(4225,'Projekt-Budget-Übersicht'!$L:$L,0)),0)</f>
        <v>0</v>
      </c>
      <c r="S71" s="10">
        <v>210.79</v>
      </c>
      <c r="T71" s="4"/>
      <c r="U71" s="4"/>
    </row>
    <row r="72" spans="1:21" x14ac:dyDescent="0.25">
      <c r="A72" s="4" t="s">
        <v>4809</v>
      </c>
      <c r="B72" s="4" t="s">
        <v>5485</v>
      </c>
      <c r="C72" s="4" t="str">
        <f>IFERROR(INDEX('Projekt-Budget-Übersicht'!$C:$C,MATCH(4813,'Projekt-Budget-Übersicht'!$L:$L,0)),"")</f>
        <v/>
      </c>
      <c r="D72" s="4">
        <v>20</v>
      </c>
      <c r="E72" s="4">
        <v>21</v>
      </c>
      <c r="F72" s="4">
        <v>1.5</v>
      </c>
      <c r="G72" s="15">
        <v>105</v>
      </c>
      <c r="H72" s="5"/>
      <c r="I72" s="5">
        <f t="shared" si="4"/>
        <v>0</v>
      </c>
      <c r="J72" s="4"/>
      <c r="K72" s="5">
        <f>IF('A. Kokott'!J59="J. Dorn",'A. Kokott'!I59,0)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118.5185185185185</v>
      </c>
      <c r="M72" s="10">
        <f t="shared" si="5"/>
        <v>177.77777777777777</v>
      </c>
      <c r="N72" s="10">
        <f t="shared" si="6"/>
        <v>177.77777777777777</v>
      </c>
      <c r="O72" s="10">
        <f t="shared" si="7"/>
        <v>0</v>
      </c>
      <c r="P72" s="10">
        <f>'A. Kokott'!M59+'J. Dorn'!M72</f>
        <v>237.03703703703701</v>
      </c>
      <c r="Q72" s="10">
        <v>62</v>
      </c>
      <c r="R72" s="10">
        <f>IFERROR(INDEX('Projekt-Budget-Übersicht'!$F:$F,MATCH(4813,'Projekt-Budget-Übersicht'!$L:$L,0)),0)</f>
        <v>0</v>
      </c>
      <c r="S72" s="10">
        <v>440</v>
      </c>
      <c r="T72" s="4"/>
      <c r="U72" s="4"/>
    </row>
    <row r="73" spans="1:21" x14ac:dyDescent="0.25">
      <c r="A73" s="4" t="s">
        <v>5414</v>
      </c>
      <c r="B73" s="4" t="s">
        <v>5593</v>
      </c>
      <c r="C73" s="4" t="str">
        <f>IFERROR(INDEX('Projekt-Budget-Übersicht'!$C:$C,MATCH(5362,'Projekt-Budget-Übersicht'!$L:$L,0)),"")</f>
        <v/>
      </c>
      <c r="D73" s="4">
        <v>47</v>
      </c>
      <c r="E73" s="4">
        <v>88</v>
      </c>
      <c r="F73" s="4">
        <v>1.5</v>
      </c>
      <c r="G73" s="15">
        <v>187.23</v>
      </c>
      <c r="H73" s="5"/>
      <c r="I73" s="5">
        <f t="shared" si="4"/>
        <v>0</v>
      </c>
      <c r="J73" s="4"/>
      <c r="K73" s="5">
        <f>IF('R. Böttiger'!J44="J. Dorn",'R. Böttiger'!I44,0)</f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73" s="10">
        <f t="shared" si="5"/>
        <v>0</v>
      </c>
      <c r="N73" s="10">
        <f t="shared" si="6"/>
        <v>0</v>
      </c>
      <c r="O73" s="10">
        <f t="shared" si="7"/>
        <v>0</v>
      </c>
      <c r="P73" s="10">
        <f>'J. Dorn'!M73+'R. Böttiger'!M44</f>
        <v>0</v>
      </c>
      <c r="Q73" s="10">
        <v>67</v>
      </c>
      <c r="R73" s="10">
        <f>IFERROR(INDEX('Projekt-Budget-Übersicht'!$F:$F,MATCH(5362,'Projekt-Budget-Übersicht'!$L:$L,0)),0)</f>
        <v>0</v>
      </c>
      <c r="S73" s="10">
        <v>2749.15</v>
      </c>
      <c r="T73" s="4"/>
      <c r="U73" s="4"/>
    </row>
    <row r="74" spans="1:21" x14ac:dyDescent="0.25">
      <c r="A74" s="4" t="s">
        <v>5420</v>
      </c>
      <c r="B74" s="4" t="s">
        <v>5593</v>
      </c>
      <c r="C74" s="4" t="str">
        <f>IFERROR(INDEX('Projekt-Budget-Übersicht'!$C:$C,MATCH(5367,'Projekt-Budget-Übersicht'!$L:$L,0)),"")</f>
        <v/>
      </c>
      <c r="D74" s="4">
        <v>3</v>
      </c>
      <c r="E74" s="4">
        <v>64.25</v>
      </c>
      <c r="F74" s="4">
        <v>1.75</v>
      </c>
      <c r="G74" s="15">
        <v>2141.67</v>
      </c>
      <c r="H74" s="5"/>
      <c r="I74" s="5">
        <f t="shared" si="4"/>
        <v>0</v>
      </c>
      <c r="J74" s="4"/>
      <c r="K74" s="5">
        <f>IF('R. Böttiger'!J46="J. Dorn",'R. Böttiger'!I46,0)</f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74" s="10">
        <f t="shared" si="5"/>
        <v>0</v>
      </c>
      <c r="N74" s="10">
        <f t="shared" si="6"/>
        <v>0</v>
      </c>
      <c r="O74" s="10">
        <f t="shared" si="7"/>
        <v>0</v>
      </c>
      <c r="P74" s="10">
        <f>'J. Dorn'!M74+'R. Böttiger'!M46</f>
        <v>0</v>
      </c>
      <c r="Q74" s="10">
        <v>23</v>
      </c>
      <c r="R74" s="10">
        <f>IFERROR(INDEX('Projekt-Budget-Übersicht'!$F:$F,MATCH(5367,'Projekt-Budget-Übersicht'!$L:$L,0)),0)</f>
        <v>0</v>
      </c>
      <c r="S74" s="10">
        <v>2164.15</v>
      </c>
      <c r="T74" s="4"/>
      <c r="U74" s="4"/>
    </row>
    <row r="75" spans="1:21" x14ac:dyDescent="0.25">
      <c r="A75" s="3"/>
      <c r="B75" s="3" t="s">
        <v>5492</v>
      </c>
      <c r="C75" s="3"/>
      <c r="D75" s="3"/>
      <c r="E75" s="3"/>
      <c r="F75" s="6">
        <v>143.75</v>
      </c>
      <c r="G75" s="3"/>
      <c r="H75" s="3"/>
      <c r="I75" s="3"/>
      <c r="J75" s="3"/>
      <c r="K75" s="3"/>
      <c r="L75" s="3"/>
      <c r="M75" s="17">
        <f>SUM(M45:M74)</f>
        <v>1732.672845034637</v>
      </c>
      <c r="N75" s="17">
        <f>SUM(N45:N74)</f>
        <v>1732.672845034637</v>
      </c>
      <c r="O75" s="17">
        <f>SUM(O45:O74)</f>
        <v>0</v>
      </c>
      <c r="P75" s="17">
        <f>SUM(P45:P74)</f>
        <v>3350.9781569254751</v>
      </c>
      <c r="Q75" s="3"/>
      <c r="R75" s="3"/>
      <c r="S75" s="3"/>
      <c r="T75" s="3"/>
      <c r="U75" s="3"/>
    </row>
    <row r="76" spans="1:21" x14ac:dyDescent="0.25">
      <c r="A76" s="3"/>
      <c r="B76" s="3" t="s">
        <v>4</v>
      </c>
      <c r="C76" s="3"/>
      <c r="D76" s="3"/>
      <c r="E76" s="3"/>
      <c r="F76" s="6">
        <f>G76+H76</f>
        <v>93.5</v>
      </c>
      <c r="G76" s="6">
        <v>93.5</v>
      </c>
      <c r="H76" s="6">
        <f>SUM(H47,H48,H49,H50,H51,H52,H53,H54,H55,H56,H57,H58,H59,H60,H61,H62,H63,H64,H65,H66,H67,H68,H69,H70,H71,H72,H73,H74)</f>
        <v>0</v>
      </c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1:21" x14ac:dyDescent="0.25">
      <c r="A77" s="3"/>
      <c r="B77" s="3" t="s">
        <v>5</v>
      </c>
      <c r="C77" s="3"/>
      <c r="D77" s="3"/>
      <c r="E77" s="3"/>
      <c r="F77" s="6">
        <f>G77+H77</f>
        <v>1.5</v>
      </c>
      <c r="G77" s="6">
        <v>1.5</v>
      </c>
      <c r="H77" s="6">
        <f>SUM(H45,H46)</f>
        <v>0</v>
      </c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1:21" x14ac:dyDescent="0.25">
      <c r="A78" s="3"/>
      <c r="B78" s="3" t="s">
        <v>5493</v>
      </c>
      <c r="C78" s="3"/>
      <c r="D78" s="3"/>
      <c r="E78" s="3"/>
      <c r="F78" s="6">
        <f>SUM(K45:K74)</f>
        <v>0</v>
      </c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1:21" x14ac:dyDescent="0.25">
      <c r="A79" s="18"/>
      <c r="B79" s="18" t="s">
        <v>5494</v>
      </c>
      <c r="C79" s="18"/>
      <c r="D79" s="18"/>
      <c r="E79" s="18"/>
      <c r="F79" s="19">
        <f>F76+F77+F78</f>
        <v>95</v>
      </c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1" spans="1:21" ht="15.75" x14ac:dyDescent="0.25">
      <c r="A81" s="2" t="s">
        <v>5512</v>
      </c>
    </row>
    <row r="82" spans="1:21" x14ac:dyDescent="0.25">
      <c r="A82" s="3" t="s">
        <v>35</v>
      </c>
      <c r="B82" s="3" t="s">
        <v>5461</v>
      </c>
      <c r="C82" s="3" t="s">
        <v>37</v>
      </c>
      <c r="D82" s="3" t="s">
        <v>5462</v>
      </c>
      <c r="E82" s="3" t="s">
        <v>5463</v>
      </c>
      <c r="F82" s="3" t="s">
        <v>5513</v>
      </c>
      <c r="G82" s="3" t="s">
        <v>5465</v>
      </c>
      <c r="H82" s="3" t="s">
        <v>5466</v>
      </c>
      <c r="I82" s="3" t="s">
        <v>5467</v>
      </c>
      <c r="J82" s="3" t="s">
        <v>5468</v>
      </c>
      <c r="K82" s="3" t="s">
        <v>5469</v>
      </c>
      <c r="L82" s="3" t="s">
        <v>5470</v>
      </c>
      <c r="M82" s="3" t="s">
        <v>5471</v>
      </c>
      <c r="N82" s="3" t="s">
        <v>5472</v>
      </c>
      <c r="O82" s="3" t="s">
        <v>5473</v>
      </c>
      <c r="P82" s="3" t="s">
        <v>5474</v>
      </c>
      <c r="Q82" s="3" t="s">
        <v>5475</v>
      </c>
      <c r="R82" s="3" t="s">
        <v>5476</v>
      </c>
      <c r="S82" s="3" t="s">
        <v>5477</v>
      </c>
      <c r="T82" s="3" t="s">
        <v>5478</v>
      </c>
      <c r="U82" s="3" t="s">
        <v>5479</v>
      </c>
    </row>
    <row r="83" spans="1:21" x14ac:dyDescent="0.25">
      <c r="A83" s="21" t="s">
        <v>61</v>
      </c>
      <c r="B83" s="4" t="s">
        <v>5480</v>
      </c>
      <c r="C83" s="4" t="str">
        <f>IFERROR(INDEX('Projekt-Budget-Übersicht'!$C:$C,MATCH(10,'Projekt-Budget-Übersicht'!$L:$L,0)),"")</f>
        <v/>
      </c>
      <c r="D83" s="4">
        <v>8</v>
      </c>
      <c r="E83" s="4">
        <v>0.25</v>
      </c>
      <c r="F83" s="4">
        <v>0.25</v>
      </c>
      <c r="G83" s="16">
        <v>3.12</v>
      </c>
      <c r="H83" s="5"/>
      <c r="I83" s="5">
        <f t="shared" ref="I83:I102" si="8">IF(H83=0,0,F83-H83)</f>
        <v>0</v>
      </c>
      <c r="J83" s="4"/>
      <c r="K83" s="5">
        <f>IF('A. Kokott'!J85="J. Dorn",'A. Kokott'!I85,0)+IF('C. Trapp SV'!J56="J. Dorn",'C. Trapp SV'!I56,0)+IF('D. Brucker'!J33="J. Dorn",'D. Brucker'!I33,0)+IF('O. Haag BS-CAD'!J92="J. Dorn",'O. Haag BS-CAD'!I92,0)+IF('S. Schüler'!J93="J. Dorn",'S. Schüler'!I93,0)+IF('U. Sutter ADM'!J51="J. Dorn",'U. Sutter ADM'!I51,0)</f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3" s="10">
        <f t="shared" ref="M83:M102" si="9">IF($B$2="-",0,IF(C83="Pauschale",IF(OR(R83=0,N(D83)=0),0,MAX(0,MIN(R83*((N(F83)+N(K83))/N(D83)),R83-R83*(N(E83)/N(D83))))),L83*(N(F83)+N(K83))))</f>
        <v>0</v>
      </c>
      <c r="N83" s="10">
        <f t="shared" ref="N83:N102" si="10">IF($B$2="-",0,IF(C83="Pauschale",IF(OR(R83=0,N(D83)=0),0,R83*((N(F83)+N(K83))/N(D83))),L83*(N(F83)+N(K83))))</f>
        <v>0</v>
      </c>
      <c r="O83" s="10">
        <f t="shared" ref="O83:O102" si="11">N83-M83</f>
        <v>0</v>
      </c>
      <c r="P83" s="10">
        <f>'A. Kokott'!M85+'C. Trapp SV'!M56+'D. Brucker'!M33+'J. Dorn'!M83+'O. Haag BS-CAD'!M92+'S. Schüler'!M93+'U. Sutter ADM'!M51</f>
        <v>0</v>
      </c>
      <c r="Q83" s="10">
        <v>132</v>
      </c>
      <c r="R83" s="10">
        <f>IFERROR(INDEX('Projekt-Budget-Übersicht'!$F:$F,MATCH(10,'Projekt-Budget-Übersicht'!$L:$L,0)),0)</f>
        <v>0</v>
      </c>
      <c r="S83" s="10">
        <v>68628.19</v>
      </c>
      <c r="T83" s="4"/>
      <c r="U83" s="4"/>
    </row>
    <row r="84" spans="1:21" x14ac:dyDescent="0.25">
      <c r="A84" s="23"/>
      <c r="B84" s="4" t="s">
        <v>5481</v>
      </c>
      <c r="C84" s="4" t="str">
        <f>IFERROR(INDEX('Projekt-Budget-Übersicht'!$C:$C,MATCH(10,'Projekt-Budget-Übersicht'!$L:$L,0)),"")</f>
        <v/>
      </c>
      <c r="D84" s="4">
        <v>8</v>
      </c>
      <c r="E84" s="4">
        <v>3.5</v>
      </c>
      <c r="F84" s="4">
        <v>3.5</v>
      </c>
      <c r="G84" s="16">
        <v>43.75</v>
      </c>
      <c r="H84" s="5"/>
      <c r="I84" s="5">
        <f t="shared" si="8"/>
        <v>0</v>
      </c>
      <c r="J84" s="4"/>
      <c r="K84" s="5">
        <f>IF('A. Kokott'!J86="J. Dorn",'A. Kokott'!I86,0)+IF('C. Trapp SV'!J57="J. Dorn",'C. Trapp SV'!I57,0)+IF('M. Bandlofsky'!J45="J. Dorn",'M. Bandlofsky'!I45,0)+IF('O. Haag BS-CAD'!J93="J. Dorn",'O. Haag BS-CAD'!I93,0)+IF('R. Wagen CAD'!J57="J. Dorn",'R. Wagen CAD'!I57,0)+IF('T. Trautmann'!J72="J. Dorn",'T. Trautmann'!I72,0)+IF('U. Sutter ADM'!J52="J. Dorn",'U. Sutter ADM'!I52,0)</f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4" s="10">
        <f t="shared" si="9"/>
        <v>0</v>
      </c>
      <c r="N84" s="10">
        <f t="shared" si="10"/>
        <v>0</v>
      </c>
      <c r="O84" s="10">
        <f t="shared" si="11"/>
        <v>0</v>
      </c>
      <c r="P84" s="10">
        <f>'A. Kokott'!M86+'C. Trapp SV'!M57+'J. Dorn'!M84+'M. Bandlofsky'!M45+'O. Haag BS-CAD'!M93+'R. Wagen CAD'!M57+'T. Trautmann'!M72+'U. Sutter ADM'!M52</f>
        <v>0</v>
      </c>
      <c r="Q84" s="10">
        <v>132</v>
      </c>
      <c r="R84" s="10">
        <f>IFERROR(INDEX('Projekt-Budget-Übersicht'!$F:$F,MATCH(10,'Projekt-Budget-Übersicht'!$L:$L,0)),0)</f>
        <v>0</v>
      </c>
      <c r="S84" s="10">
        <v>68628.19</v>
      </c>
      <c r="T84" s="4"/>
      <c r="U84" s="4"/>
    </row>
    <row r="85" spans="1:21" x14ac:dyDescent="0.25">
      <c r="A85" s="22"/>
      <c r="B85" s="4" t="s">
        <v>5547</v>
      </c>
      <c r="C85" s="4" t="str">
        <f>IFERROR(INDEX('Projekt-Budget-Übersicht'!$C:$C,MATCH(10,'Projekt-Budget-Übersicht'!$L:$L,0)),"")</f>
        <v/>
      </c>
      <c r="D85" s="4">
        <v>8</v>
      </c>
      <c r="E85" s="4">
        <v>0.75</v>
      </c>
      <c r="F85" s="4">
        <v>0.75</v>
      </c>
      <c r="G85" s="16">
        <v>9.3800000000000008</v>
      </c>
      <c r="H85" s="5"/>
      <c r="I85" s="5">
        <f t="shared" si="8"/>
        <v>0</v>
      </c>
      <c r="J85" s="4"/>
      <c r="K85" s="5">
        <f>IF('C. Trapp SV'!J58="J. Dorn",'C. Trapp SV'!I58,0)+IF('O. Haag BS-CAD'!J94="J. Dorn",'O. Haag BS-CAD'!I94,0)+IF('P. Bergner'!J42="J. Dorn",'P. Bergner'!I42,0)+IF('T. Trautmann'!J73="J. Dorn",'T. Trautmann'!I73,0)</f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5" s="10">
        <f t="shared" si="9"/>
        <v>0</v>
      </c>
      <c r="N85" s="10">
        <f t="shared" si="10"/>
        <v>0</v>
      </c>
      <c r="O85" s="10">
        <f t="shared" si="11"/>
        <v>0</v>
      </c>
      <c r="P85" s="10">
        <f>'C. Trapp SV'!M58+'J. Dorn'!M85+'O. Haag BS-CAD'!M94+'P. Bergner'!M42+'T. Trautmann'!M73</f>
        <v>0</v>
      </c>
      <c r="Q85" s="10">
        <v>132</v>
      </c>
      <c r="R85" s="10">
        <f>IFERROR(INDEX('Projekt-Budget-Übersicht'!$F:$F,MATCH(10,'Projekt-Budget-Übersicht'!$L:$L,0)),0)</f>
        <v>0</v>
      </c>
      <c r="S85" s="10">
        <v>68628.19</v>
      </c>
      <c r="T85" s="4"/>
      <c r="U85" s="4"/>
    </row>
    <row r="86" spans="1:21" x14ac:dyDescent="0.25">
      <c r="A86" s="4" t="s">
        <v>1558</v>
      </c>
      <c r="B86" s="4" t="s">
        <v>5540</v>
      </c>
      <c r="C86" s="4" t="str">
        <f>IFERROR(INDEX('Projekt-Budget-Übersicht'!$C:$C,MATCH(1761,'Projekt-Budget-Übersicht'!$L:$L,0)),"")</f>
        <v/>
      </c>
      <c r="D86" s="4">
        <v>30</v>
      </c>
      <c r="E86" s="4">
        <v>25.75</v>
      </c>
      <c r="F86" s="4">
        <v>0.5</v>
      </c>
      <c r="G86" s="16">
        <v>85.83</v>
      </c>
      <c r="H86" s="5"/>
      <c r="I86" s="5">
        <f t="shared" si="8"/>
        <v>0</v>
      </c>
      <c r="J86" s="4"/>
      <c r="K86" s="5"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IF($B$2="-",0,IFERROR(INDEX(IF($B$2="SV",'Projekt-Budget-Übersicht'!$I:$I,IF($B$2="CAD",'Projekt-Budget-Übersicht'!$J:$J,IF($B$2="ADM",'Projekt-Budget-Übersicht'!$K:$K,'Projekt-Budget-Übersicht'!$I:$I))),MATCH(1761,'Projekt-Budget-Übersicht'!$M:$M,0)),0))</f>
        <v>0</v>
      </c>
      <c r="M86" s="10">
        <f t="shared" si="9"/>
        <v>0</v>
      </c>
      <c r="N86" s="10">
        <f t="shared" si="10"/>
        <v>0</v>
      </c>
      <c r="O86" s="10">
        <f t="shared" si="11"/>
        <v>0</v>
      </c>
      <c r="P86" s="10">
        <f>'J. Dorn'!M86</f>
        <v>0</v>
      </c>
      <c r="Q86" s="10">
        <v>64</v>
      </c>
      <c r="R86" s="10">
        <f>IFERROR(INDEX('Projekt-Budget-Übersicht'!$F:$F,MATCH(1761,'Projekt-Budget-Übersicht'!$L:$L,0)),0)</f>
        <v>0</v>
      </c>
      <c r="S86" s="10">
        <v>2317.5</v>
      </c>
      <c r="T86" s="4"/>
      <c r="U86" s="4"/>
    </row>
    <row r="87" spans="1:21" x14ac:dyDescent="0.25">
      <c r="A87" s="4" t="s">
        <v>1562</v>
      </c>
      <c r="B87" s="4" t="s">
        <v>5487</v>
      </c>
      <c r="C87" s="4" t="str">
        <f>IFERROR(INDEX('Projekt-Budget-Übersicht'!$C:$C,MATCH(1763,'Projekt-Budget-Übersicht'!$L:$L,0)),"")</f>
        <v/>
      </c>
      <c r="D87" s="4">
        <v>20</v>
      </c>
      <c r="E87" s="4">
        <v>8.75</v>
      </c>
      <c r="F87" s="4">
        <v>4.5</v>
      </c>
      <c r="G87" s="16">
        <v>43.75</v>
      </c>
      <c r="H87" s="5"/>
      <c r="I87" s="5">
        <f t="shared" si="8"/>
        <v>0</v>
      </c>
      <c r="J87" s="4"/>
      <c r="K87" s="5"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IF($B$2="-",0,IFERROR(INDEX(IF($B$2="SV",'Projekt-Budget-Übersicht'!$I:$I,IF($B$2="CAD",'Projekt-Budget-Übersicht'!$J:$J,IF($B$2="ADM",'Projekt-Budget-Übersicht'!$K:$K,'Projekt-Budget-Übersicht'!$I:$I))),MATCH(1763,'Projekt-Budget-Übersicht'!$M:$M,0)),0))</f>
        <v>0</v>
      </c>
      <c r="M87" s="10">
        <f t="shared" si="9"/>
        <v>0</v>
      </c>
      <c r="N87" s="10">
        <f t="shared" si="10"/>
        <v>0</v>
      </c>
      <c r="O87" s="10">
        <f t="shared" si="11"/>
        <v>0</v>
      </c>
      <c r="P87" s="10">
        <f>'J. Dorn'!M87</f>
        <v>0</v>
      </c>
      <c r="Q87" s="10">
        <v>20</v>
      </c>
      <c r="R87" s="10">
        <f>IFERROR(INDEX('Projekt-Budget-Übersicht'!$F:$F,MATCH(1763,'Projekt-Budget-Übersicht'!$L:$L,0)),0)</f>
        <v>0</v>
      </c>
      <c r="S87" s="10">
        <v>720</v>
      </c>
      <c r="T87" s="4"/>
      <c r="U87" s="4"/>
    </row>
    <row r="88" spans="1:21" x14ac:dyDescent="0.25">
      <c r="A88" s="4" t="s">
        <v>1825</v>
      </c>
      <c r="B88" s="4" t="s">
        <v>5544</v>
      </c>
      <c r="C88" s="4" t="str">
        <f>IFERROR(INDEX('Projekt-Budget-Übersicht'!$C:$C,MATCH(2066,'Projekt-Budget-Übersicht'!$L:$L,0)),"")</f>
        <v/>
      </c>
      <c r="D88" s="4">
        <v>110</v>
      </c>
      <c r="E88" s="4">
        <v>47.75</v>
      </c>
      <c r="F88" s="4">
        <v>1.25</v>
      </c>
      <c r="G88" s="16">
        <v>43.41</v>
      </c>
      <c r="H88" s="5"/>
      <c r="I88" s="5">
        <f t="shared" si="8"/>
        <v>0</v>
      </c>
      <c r="J88" s="4"/>
      <c r="K88" s="5"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IF($B$2="-",0,IFERROR(INDEX(IF($B$2="SV",'Projekt-Budget-Übersicht'!$I:$I,IF($B$2="CAD",'Projekt-Budget-Übersicht'!$J:$J,IF($B$2="ADM",'Projekt-Budget-Übersicht'!$K:$K,'Projekt-Budget-Übersicht'!$I:$I))),MATCH(2066,'Projekt-Budget-Übersicht'!$M:$M,0)),0))</f>
        <v>0</v>
      </c>
      <c r="M88" s="10">
        <f t="shared" si="9"/>
        <v>0</v>
      </c>
      <c r="N88" s="10">
        <f t="shared" si="10"/>
        <v>0</v>
      </c>
      <c r="O88" s="10">
        <f t="shared" si="11"/>
        <v>0</v>
      </c>
      <c r="P88" s="10">
        <f>'J. Dorn'!M88</f>
        <v>0</v>
      </c>
      <c r="Q88" s="10">
        <v>146</v>
      </c>
      <c r="R88" s="10">
        <f>IFERROR(INDEX('Projekt-Budget-Übersicht'!$F:$F,MATCH(2066,'Projekt-Budget-Übersicht'!$L:$L,0)),0)</f>
        <v>0</v>
      </c>
      <c r="S88" s="10">
        <v>4160.79</v>
      </c>
      <c r="T88" s="4"/>
      <c r="U88" s="4"/>
    </row>
    <row r="89" spans="1:21" x14ac:dyDescent="0.25">
      <c r="A89" s="4" t="s">
        <v>2207</v>
      </c>
      <c r="B89" s="4" t="s">
        <v>5586</v>
      </c>
      <c r="C89" s="4" t="str">
        <f>IFERROR(INDEX('Projekt-Budget-Übersicht'!$C:$C,MATCH(2561,'Projekt-Budget-Übersicht'!$L:$L,0)),"")</f>
        <v/>
      </c>
      <c r="D89" s="4">
        <v>160</v>
      </c>
      <c r="E89" s="4">
        <v>134.25</v>
      </c>
      <c r="F89" s="4">
        <v>19.25</v>
      </c>
      <c r="G89" s="16">
        <v>83.91</v>
      </c>
      <c r="H89" s="5"/>
      <c r="I89" s="5">
        <f t="shared" si="8"/>
        <v>0</v>
      </c>
      <c r="J89" s="4"/>
      <c r="K89" s="5">
        <f>IF('T. Trautmann'!J87="J. Dorn",'T. Trautmann'!I87,0)</f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89" s="10">
        <f t="shared" si="9"/>
        <v>0</v>
      </c>
      <c r="N89" s="10">
        <f t="shared" si="10"/>
        <v>0</v>
      </c>
      <c r="O89" s="10">
        <f t="shared" si="11"/>
        <v>0</v>
      </c>
      <c r="P89" s="10">
        <f>'J. Dorn'!M89+'T. Trautmann'!M87</f>
        <v>0</v>
      </c>
      <c r="Q89" s="10">
        <v>2</v>
      </c>
      <c r="R89" s="10">
        <f>IFERROR(INDEX('Projekt-Budget-Übersicht'!$F:$F,MATCH(2561,'Projekt-Budget-Übersicht'!$L:$L,0)),0)</f>
        <v>0</v>
      </c>
      <c r="S89" s="10"/>
      <c r="T89" s="4"/>
      <c r="U89" s="4"/>
    </row>
    <row r="90" spans="1:21" x14ac:dyDescent="0.25">
      <c r="A90" s="4" t="s">
        <v>2578</v>
      </c>
      <c r="B90" s="4" t="s">
        <v>5516</v>
      </c>
      <c r="C90" s="4" t="str">
        <f>IFERROR(INDEX('Projekt-Budget-Übersicht'!$C:$C,MATCH(2893,'Projekt-Budget-Übersicht'!$L:$L,0)),"")</f>
        <v/>
      </c>
      <c r="D90" s="4">
        <v>37</v>
      </c>
      <c r="E90" s="4">
        <v>27.75</v>
      </c>
      <c r="F90" s="4">
        <v>3</v>
      </c>
      <c r="G90" s="16">
        <v>75</v>
      </c>
      <c r="H90" s="5"/>
      <c r="I90" s="5">
        <f t="shared" si="8"/>
        <v>0</v>
      </c>
      <c r="J90" s="4"/>
      <c r="K90" s="5">
        <f>IF('A. Kokott'!J97="J. Dorn",'A. Kokott'!I97,0)+IF('M. Bandlofsky'!J61="J. Dorn",'M. Bandlofsky'!I61,0)+IF('O. Haag BS-CAD'!J106="J. Dorn",'O. Haag BS-CAD'!I106,0)+IF('T. Trautmann'!J88="J. Dorn",'T. Trautmann'!I88,0)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90" s="10">
        <f t="shared" si="9"/>
        <v>0</v>
      </c>
      <c r="N90" s="10">
        <f t="shared" si="10"/>
        <v>0</v>
      </c>
      <c r="O90" s="10">
        <f t="shared" si="11"/>
        <v>0</v>
      </c>
      <c r="P90" s="10">
        <f>'A. Kokott'!M97+'J. Dorn'!M90+'M. Bandlofsky'!M61+'O. Haag BS-CAD'!M106+'T. Trautmann'!M88</f>
        <v>0</v>
      </c>
      <c r="Q90" s="10">
        <v>37</v>
      </c>
      <c r="R90" s="10">
        <f>IFERROR(INDEX('Projekt-Budget-Übersicht'!$F:$F,MATCH(2893,'Projekt-Budget-Übersicht'!$L:$L,0)),0)</f>
        <v>0</v>
      </c>
      <c r="S90" s="10">
        <v>1736.25</v>
      </c>
      <c r="T90" s="4"/>
      <c r="U90" s="4"/>
    </row>
    <row r="91" spans="1:21" x14ac:dyDescent="0.25">
      <c r="A91" s="4" t="s">
        <v>2725</v>
      </c>
      <c r="B91" s="4" t="s">
        <v>5516</v>
      </c>
      <c r="C91" s="4" t="s">
        <v>50</v>
      </c>
      <c r="D91" s="4">
        <v>0</v>
      </c>
      <c r="E91" s="4">
        <v>0</v>
      </c>
      <c r="F91" s="4">
        <v>14</v>
      </c>
      <c r="G91" s="4">
        <v>0</v>
      </c>
      <c r="H91" s="5"/>
      <c r="I91" s="5">
        <f t="shared" si="8"/>
        <v>0</v>
      </c>
      <c r="J91" s="4"/>
      <c r="K91" s="5">
        <f>IF('A. Kokott'!J100="J. Dorn",'A. Kokott'!I100,0)+IF('T. Trautmann'!J91="J. Dorn",'T. Trautmann'!I91,0)</f>
        <v>0</v>
      </c>
      <c r="L91" s="10">
        <f>IF($B$2="-",0,0)</f>
        <v>0</v>
      </c>
      <c r="M91" s="10">
        <f t="shared" si="9"/>
        <v>0</v>
      </c>
      <c r="N91" s="10">
        <f t="shared" si="10"/>
        <v>0</v>
      </c>
      <c r="O91" s="10">
        <f t="shared" si="11"/>
        <v>0</v>
      </c>
      <c r="P91" s="10">
        <f>'A. Kokott'!M100+'J. Dorn'!M91+'T. Trautmann'!M91</f>
        <v>0</v>
      </c>
      <c r="Q91" s="10"/>
      <c r="R91" s="10">
        <f>0</f>
        <v>0</v>
      </c>
      <c r="S91" s="10"/>
      <c r="T91" s="4"/>
      <c r="U91" s="4"/>
    </row>
    <row r="92" spans="1:21" x14ac:dyDescent="0.25">
      <c r="A92" s="4" t="s">
        <v>2834</v>
      </c>
      <c r="B92" s="4" t="s">
        <v>5459</v>
      </c>
      <c r="C92" s="4" t="str">
        <f>IFERROR(INDEX('Projekt-Budget-Übersicht'!$C:$C,MATCH(3122,'Projekt-Budget-Übersicht'!$L:$L,0)),"")</f>
        <v/>
      </c>
      <c r="D92" s="4">
        <v>6</v>
      </c>
      <c r="E92" s="4">
        <v>48</v>
      </c>
      <c r="F92" s="4">
        <v>5</v>
      </c>
      <c r="G92" s="15">
        <v>800</v>
      </c>
      <c r="H92" s="5"/>
      <c r="I92" s="5">
        <f t="shared" si="8"/>
        <v>0</v>
      </c>
      <c r="J92" s="4"/>
      <c r="K92" s="5">
        <f>IF('A. Kokott'!J101="J. Dorn",'A. Kokott'!I101,0)+IF('O. Haag BS-CAD'!J109="J. Dorn",'O. Haag BS-CAD'!I109,0)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92" s="10">
        <f t="shared" si="9"/>
        <v>291.66666666666674</v>
      </c>
      <c r="N92" s="10">
        <f t="shared" si="10"/>
        <v>291.66666666666674</v>
      </c>
      <c r="O92" s="10">
        <f t="shared" si="11"/>
        <v>0</v>
      </c>
      <c r="P92" s="10">
        <f>'A. Kokott'!M101+'J. Dorn'!M92+'O. Haag BS-CAD'!M109</f>
        <v>393.75000000000011</v>
      </c>
      <c r="Q92" s="10">
        <v>18</v>
      </c>
      <c r="R92" s="10">
        <f>IFERROR(INDEX('Projekt-Budget-Übersicht'!$F:$F,MATCH(3122,'Projekt-Budget-Übersicht'!$L:$L,0)),0)</f>
        <v>0</v>
      </c>
      <c r="S92" s="10">
        <v>2985.82</v>
      </c>
      <c r="T92" s="4"/>
      <c r="U92" s="4"/>
    </row>
    <row r="93" spans="1:21" x14ac:dyDescent="0.25">
      <c r="A93" s="4" t="s">
        <v>2966</v>
      </c>
      <c r="B93" s="4" t="s">
        <v>5459</v>
      </c>
      <c r="C93" s="4" t="str">
        <f>IFERROR(INDEX('Projekt-Budget-Übersicht'!$C:$C,MATCH(3235,'Projekt-Budget-Übersicht'!$L:$L,0)),"")</f>
        <v/>
      </c>
      <c r="D93" s="4">
        <v>18.75</v>
      </c>
      <c r="E93" s="4">
        <v>53.25</v>
      </c>
      <c r="F93" s="4">
        <v>0.25</v>
      </c>
      <c r="G93" s="15">
        <v>284</v>
      </c>
      <c r="H93" s="5"/>
      <c r="I93" s="5">
        <f t="shared" si="8"/>
        <v>0</v>
      </c>
      <c r="J93" s="4"/>
      <c r="K93" s="5"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IF($B$2="-",0,IFERROR(INDEX(IF($B$2="SV",'Projekt-Budget-Übersicht'!$I:$I,IF($B$2="CAD",'Projekt-Budget-Übersicht'!$J:$J,IF($B$2="ADM",'Projekt-Budget-Übersicht'!$K:$K,'Projekt-Budget-Übersicht'!$I:$I))),MATCH(3235,'Projekt-Budget-Übersicht'!$M:$M,0)),0))</f>
        <v>0</v>
      </c>
      <c r="M93" s="10">
        <f t="shared" si="9"/>
        <v>0</v>
      </c>
      <c r="N93" s="10">
        <f t="shared" si="10"/>
        <v>0</v>
      </c>
      <c r="O93" s="10">
        <f t="shared" si="11"/>
        <v>0</v>
      </c>
      <c r="P93" s="10">
        <f>'J. Dorn'!M93</f>
        <v>0</v>
      </c>
      <c r="Q93" s="10">
        <v>155</v>
      </c>
      <c r="R93" s="10">
        <f>IFERROR(INDEX('Projekt-Budget-Übersicht'!$F:$F,MATCH(3235,'Projekt-Budget-Übersicht'!$L:$L,0)),0)</f>
        <v>0</v>
      </c>
      <c r="S93" s="10"/>
      <c r="T93" s="4"/>
      <c r="U93" s="4"/>
    </row>
    <row r="94" spans="1:21" x14ac:dyDescent="0.25">
      <c r="A94" s="4" t="s">
        <v>5503</v>
      </c>
      <c r="B94" s="4" t="s">
        <v>5459</v>
      </c>
      <c r="C94" s="4" t="s">
        <v>50</v>
      </c>
      <c r="D94" s="4">
        <v>0</v>
      </c>
      <c r="E94" s="4">
        <v>0</v>
      </c>
      <c r="F94" s="4">
        <v>1</v>
      </c>
      <c r="G94" s="4">
        <v>0</v>
      </c>
      <c r="H94" s="5"/>
      <c r="I94" s="5">
        <f t="shared" si="8"/>
        <v>0</v>
      </c>
      <c r="J94" s="4"/>
      <c r="K94" s="5">
        <v>0</v>
      </c>
      <c r="L94" s="10">
        <f>IF($B$2="-",0,0)</f>
        <v>0</v>
      </c>
      <c r="M94" s="10">
        <f t="shared" si="9"/>
        <v>0</v>
      </c>
      <c r="N94" s="10">
        <f t="shared" si="10"/>
        <v>0</v>
      </c>
      <c r="O94" s="10">
        <f t="shared" si="11"/>
        <v>0</v>
      </c>
      <c r="P94" s="10">
        <f>'J. Dorn'!M94</f>
        <v>0</v>
      </c>
      <c r="Q94" s="10"/>
      <c r="R94" s="10">
        <f>0</f>
        <v>0</v>
      </c>
      <c r="S94" s="10"/>
      <c r="T94" s="4"/>
      <c r="U94" s="4"/>
    </row>
    <row r="95" spans="1:21" x14ac:dyDescent="0.25">
      <c r="A95" s="21" t="s">
        <v>3144</v>
      </c>
      <c r="B95" s="4" t="s">
        <v>5504</v>
      </c>
      <c r="C95" s="4" t="str">
        <f>IFERROR(INDEX('Projekt-Budget-Übersicht'!$C:$C,MATCH(3386,'Projekt-Budget-Übersicht'!$L:$L,0)),"")</f>
        <v/>
      </c>
      <c r="D95" s="4">
        <v>10</v>
      </c>
      <c r="E95" s="4">
        <v>2.75</v>
      </c>
      <c r="F95" s="4">
        <v>0.5</v>
      </c>
      <c r="G95" s="16">
        <v>27.5</v>
      </c>
      <c r="H95" s="5"/>
      <c r="I95" s="5">
        <f t="shared" si="8"/>
        <v>0</v>
      </c>
      <c r="J95" s="4"/>
      <c r="K95" s="5"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95" s="10">
        <f t="shared" si="9"/>
        <v>0</v>
      </c>
      <c r="N95" s="10">
        <f t="shared" si="10"/>
        <v>0</v>
      </c>
      <c r="O95" s="10">
        <f t="shared" si="11"/>
        <v>0</v>
      </c>
      <c r="P95" s="10">
        <f>'J. Dorn'!M95</f>
        <v>0</v>
      </c>
      <c r="Q95" s="10">
        <v>40</v>
      </c>
      <c r="R95" s="10">
        <f>IFERROR(INDEX('Projekt-Budget-Übersicht'!$F:$F,MATCH(3386,'Projekt-Budget-Übersicht'!$L:$L,0)),0)</f>
        <v>0</v>
      </c>
      <c r="S95" s="10">
        <v>2435</v>
      </c>
      <c r="T95" s="4"/>
      <c r="U95" s="4"/>
    </row>
    <row r="96" spans="1:21" x14ac:dyDescent="0.25">
      <c r="A96" s="22"/>
      <c r="B96" s="4" t="s">
        <v>5544</v>
      </c>
      <c r="C96" s="4" t="str">
        <f>IFERROR(INDEX('Projekt-Budget-Übersicht'!$C:$C,MATCH(3386,'Projekt-Budget-Übersicht'!$L:$L,0)),"")</f>
        <v/>
      </c>
      <c r="D96" s="4">
        <v>12</v>
      </c>
      <c r="E96" s="4">
        <v>6.75</v>
      </c>
      <c r="F96" s="4">
        <v>3</v>
      </c>
      <c r="G96" s="16">
        <v>56.25</v>
      </c>
      <c r="H96" s="5"/>
      <c r="I96" s="5">
        <f t="shared" si="8"/>
        <v>0</v>
      </c>
      <c r="J96" s="4"/>
      <c r="K96" s="5"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IF($B$2="-",0,IFERROR(INDEX(IF($B$2="SV",'Projekt-Budget-Übersicht'!$I:$I,IF($B$2="CAD",'Projekt-Budget-Übersicht'!$J:$J,IF($B$2="ADM",'Projekt-Budget-Übersicht'!$K:$K,'Projekt-Budget-Übersicht'!$I:$I))),MATCH(3386,'Projekt-Budget-Übersicht'!$M:$M,0)),0))</f>
        <v>0</v>
      </c>
      <c r="M96" s="10">
        <f t="shared" si="9"/>
        <v>0</v>
      </c>
      <c r="N96" s="10">
        <f t="shared" si="10"/>
        <v>0</v>
      </c>
      <c r="O96" s="10">
        <f t="shared" si="11"/>
        <v>0</v>
      </c>
      <c r="P96" s="10">
        <f>'J. Dorn'!M96</f>
        <v>0</v>
      </c>
      <c r="Q96" s="10">
        <v>40</v>
      </c>
      <c r="R96" s="10">
        <f>IFERROR(INDEX('Projekt-Budget-Übersicht'!$F:$F,MATCH(3386,'Projekt-Budget-Übersicht'!$L:$L,0)),0)</f>
        <v>0</v>
      </c>
      <c r="S96" s="10">
        <v>2435</v>
      </c>
      <c r="T96" s="4"/>
      <c r="U96" s="4"/>
    </row>
    <row r="97" spans="1:21" x14ac:dyDescent="0.25">
      <c r="A97" s="21" t="s">
        <v>3168</v>
      </c>
      <c r="B97" s="4" t="s">
        <v>5594</v>
      </c>
      <c r="C97" s="4" t="str">
        <f>IFERROR(INDEX('Projekt-Budget-Übersicht'!$C:$C,MATCH(3402,'Projekt-Budget-Übersicht'!$L:$L,0)),"")</f>
        <v/>
      </c>
      <c r="D97" s="4">
        <v>66</v>
      </c>
      <c r="E97" s="4">
        <v>3.25</v>
      </c>
      <c r="F97" s="4">
        <v>0.25</v>
      </c>
      <c r="G97" s="16">
        <v>4.92</v>
      </c>
      <c r="H97" s="5"/>
      <c r="I97" s="5">
        <f t="shared" si="8"/>
        <v>0</v>
      </c>
      <c r="J97" s="4"/>
      <c r="K97" s="5"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IF($B$2="-",0,IFERROR(INDEX(IF($B$2="SV",'Projekt-Budget-Übersicht'!$I:$I,IF($B$2="CAD",'Projekt-Budget-Übersicht'!$J:$J,IF($B$2="ADM",'Projekt-Budget-Übersicht'!$K:$K,'Projekt-Budget-Übersicht'!$I:$I))),MATCH(3402,'Projekt-Budget-Übersicht'!$M:$M,0)),0))</f>
        <v>80.727272727272734</v>
      </c>
      <c r="M97" s="10">
        <f t="shared" si="9"/>
        <v>20.181818181818183</v>
      </c>
      <c r="N97" s="10">
        <f t="shared" si="10"/>
        <v>20.181818181818183</v>
      </c>
      <c r="O97" s="10">
        <f t="shared" si="11"/>
        <v>0</v>
      </c>
      <c r="P97" s="10">
        <f>'J. Dorn'!M97</f>
        <v>20.181818181818183</v>
      </c>
      <c r="Q97" s="10">
        <v>217</v>
      </c>
      <c r="R97" s="10">
        <f>IFERROR(INDEX('Projekt-Budget-Übersicht'!$F:$F,MATCH(3402,'Projekt-Budget-Übersicht'!$L:$L,0)),0)</f>
        <v>0</v>
      </c>
      <c r="S97" s="10">
        <v>769.15</v>
      </c>
      <c r="T97" s="4"/>
      <c r="U97" s="4"/>
    </row>
    <row r="98" spans="1:21" x14ac:dyDescent="0.25">
      <c r="A98" s="22"/>
      <c r="B98" s="4" t="s">
        <v>5597</v>
      </c>
      <c r="C98" s="4" t="str">
        <f>IFERROR(INDEX('Projekt-Budget-Übersicht'!$C:$C,MATCH(3402,'Projekt-Budget-Übersicht'!$L:$L,0)),"")</f>
        <v/>
      </c>
      <c r="D98" s="4">
        <v>56</v>
      </c>
      <c r="E98" s="4">
        <v>6.5</v>
      </c>
      <c r="F98" s="4">
        <v>5</v>
      </c>
      <c r="G98" s="16">
        <v>11.61</v>
      </c>
      <c r="H98" s="5"/>
      <c r="I98" s="5">
        <f t="shared" si="8"/>
        <v>0</v>
      </c>
      <c r="J98" s="4"/>
      <c r="K98" s="5"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IF($B$2="-",0,IFERROR(INDEX(IF($B$2="SV",'Projekt-Budget-Übersicht'!$I:$I,IF($B$2="CAD",'Projekt-Budget-Übersicht'!$J:$J,IF($B$2="ADM",'Projekt-Budget-Übersicht'!$K:$K,'Projekt-Budget-Übersicht'!$I:$I))),MATCH(3402,'Projekt-Budget-Übersicht'!$M:$M,0)),0))</f>
        <v>80.727272727272734</v>
      </c>
      <c r="M98" s="10">
        <f t="shared" si="9"/>
        <v>403.63636363636368</v>
      </c>
      <c r="N98" s="10">
        <f t="shared" si="10"/>
        <v>403.63636363636368</v>
      </c>
      <c r="O98" s="10">
        <f t="shared" si="11"/>
        <v>0</v>
      </c>
      <c r="P98" s="10">
        <f>'J. Dorn'!M98</f>
        <v>403.63636363636368</v>
      </c>
      <c r="Q98" s="10">
        <v>217</v>
      </c>
      <c r="R98" s="10">
        <f>IFERROR(INDEX('Projekt-Budget-Übersicht'!$F:$F,MATCH(3402,'Projekt-Budget-Übersicht'!$L:$L,0)),0)</f>
        <v>0</v>
      </c>
      <c r="S98" s="10">
        <v>769.15</v>
      </c>
      <c r="T98" s="4"/>
      <c r="U98" s="4"/>
    </row>
    <row r="99" spans="1:21" x14ac:dyDescent="0.25">
      <c r="A99" s="21" t="s">
        <v>3851</v>
      </c>
      <c r="B99" s="4" t="s">
        <v>5595</v>
      </c>
      <c r="C99" s="4" t="s">
        <v>50</v>
      </c>
      <c r="D99" s="4">
        <v>0</v>
      </c>
      <c r="E99" s="4">
        <v>0</v>
      </c>
      <c r="F99" s="4">
        <v>0.25</v>
      </c>
      <c r="G99" s="4">
        <v>0</v>
      </c>
      <c r="H99" s="5"/>
      <c r="I99" s="5">
        <f t="shared" si="8"/>
        <v>0</v>
      </c>
      <c r="J99" s="4"/>
      <c r="K99" s="5">
        <v>0</v>
      </c>
      <c r="L99" s="10">
        <f>IF($B$2="-",0,0)</f>
        <v>0</v>
      </c>
      <c r="M99" s="10">
        <f t="shared" si="9"/>
        <v>0</v>
      </c>
      <c r="N99" s="10">
        <f t="shared" si="10"/>
        <v>0</v>
      </c>
      <c r="O99" s="10">
        <f t="shared" si="11"/>
        <v>0</v>
      </c>
      <c r="P99" s="10">
        <f>'J. Dorn'!M99</f>
        <v>0</v>
      </c>
      <c r="Q99" s="10"/>
      <c r="R99" s="10">
        <f>0</f>
        <v>0</v>
      </c>
      <c r="S99" s="10"/>
      <c r="T99" s="4"/>
      <c r="U99" s="4"/>
    </row>
    <row r="100" spans="1:21" x14ac:dyDescent="0.25">
      <c r="A100" s="23"/>
      <c r="B100" s="4" t="s">
        <v>5591</v>
      </c>
      <c r="C100" s="4" t="s">
        <v>50</v>
      </c>
      <c r="D100" s="4">
        <v>0</v>
      </c>
      <c r="E100" s="4">
        <v>0</v>
      </c>
      <c r="F100" s="4">
        <v>0.75</v>
      </c>
      <c r="G100" s="4">
        <v>0</v>
      </c>
      <c r="H100" s="5"/>
      <c r="I100" s="5">
        <f t="shared" si="8"/>
        <v>0</v>
      </c>
      <c r="J100" s="4"/>
      <c r="K100" s="5">
        <f>IF('O. Haag BS-CAD'!J114="J. Dorn",'O. Haag BS-CAD'!I114,0)</f>
        <v>0</v>
      </c>
      <c r="L100" s="10">
        <f>IF($B$2="-",0,0)</f>
        <v>0</v>
      </c>
      <c r="M100" s="10">
        <f t="shared" si="9"/>
        <v>0</v>
      </c>
      <c r="N100" s="10">
        <f t="shared" si="10"/>
        <v>0</v>
      </c>
      <c r="O100" s="10">
        <f t="shared" si="11"/>
        <v>0</v>
      </c>
      <c r="P100" s="10">
        <f>'J. Dorn'!M100+'O. Haag BS-CAD'!M114</f>
        <v>0</v>
      </c>
      <c r="Q100" s="10"/>
      <c r="R100" s="10">
        <f>0</f>
        <v>0</v>
      </c>
      <c r="S100" s="10"/>
      <c r="T100" s="4"/>
      <c r="U100" s="4"/>
    </row>
    <row r="101" spans="1:21" x14ac:dyDescent="0.25">
      <c r="A101" s="22"/>
      <c r="B101" s="4" t="s">
        <v>5459</v>
      </c>
      <c r="C101" s="4" t="s">
        <v>50</v>
      </c>
      <c r="D101" s="4">
        <v>0</v>
      </c>
      <c r="E101" s="4">
        <v>0</v>
      </c>
      <c r="F101" s="4">
        <v>6</v>
      </c>
      <c r="G101" s="4">
        <v>0</v>
      </c>
      <c r="H101" s="5"/>
      <c r="I101" s="5">
        <f t="shared" si="8"/>
        <v>0</v>
      </c>
      <c r="J101" s="4"/>
      <c r="K101" s="5">
        <v>0</v>
      </c>
      <c r="L101" s="10">
        <f>IF($B$2="-",0,0)</f>
        <v>0</v>
      </c>
      <c r="M101" s="10">
        <f t="shared" si="9"/>
        <v>0</v>
      </c>
      <c r="N101" s="10">
        <f t="shared" si="10"/>
        <v>0</v>
      </c>
      <c r="O101" s="10">
        <f t="shared" si="11"/>
        <v>0</v>
      </c>
      <c r="P101" s="10">
        <f>'J. Dorn'!M101</f>
        <v>0</v>
      </c>
      <c r="Q101" s="10"/>
      <c r="R101" s="10">
        <f>0</f>
        <v>0</v>
      </c>
      <c r="S101" s="10"/>
      <c r="T101" s="4"/>
      <c r="U101" s="4"/>
    </row>
    <row r="102" spans="1:21" x14ac:dyDescent="0.25">
      <c r="A102" s="4" t="s">
        <v>4373</v>
      </c>
      <c r="B102" s="4" t="s">
        <v>5459</v>
      </c>
      <c r="C102" s="4" t="str">
        <f>IFERROR(INDEX('Projekt-Budget-Übersicht'!$C:$C,MATCH(4448,'Projekt-Budget-Übersicht'!$L:$L,0)),"")</f>
        <v/>
      </c>
      <c r="D102" s="4">
        <v>19</v>
      </c>
      <c r="E102" s="4">
        <v>22</v>
      </c>
      <c r="F102" s="4">
        <v>3</v>
      </c>
      <c r="G102" s="15">
        <v>115.79</v>
      </c>
      <c r="H102" s="5"/>
      <c r="I102" s="5">
        <f t="shared" si="8"/>
        <v>0</v>
      </c>
      <c r="J102" s="4"/>
      <c r="K102" s="5">
        <f>IF('R. Böttiger'!J60="J. Dorn",'R. Böttiger'!I60,0)+IF('T. Trautmann'!J94="J. Dorn",'T. Trautmann'!I94,0)</f>
        <v>0</v>
      </c>
      <c r="L102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120.8333333333333</v>
      </c>
      <c r="M102" s="10">
        <f t="shared" si="9"/>
        <v>362.49999999999989</v>
      </c>
      <c r="N102" s="10">
        <f t="shared" si="10"/>
        <v>362.49999999999989</v>
      </c>
      <c r="O102" s="10">
        <f t="shared" si="11"/>
        <v>0</v>
      </c>
      <c r="P102" s="10">
        <f>'J. Dorn'!M102+'R. Böttiger'!M60+'T. Trautmann'!M94</f>
        <v>483.3333333333332</v>
      </c>
      <c r="Q102" s="10">
        <v>47</v>
      </c>
      <c r="R102" s="10">
        <f>IFERROR(INDEX('Projekt-Budget-Übersicht'!$F:$F,MATCH(4448,'Projekt-Budget-Übersicht'!$L:$L,0)),0)</f>
        <v>0</v>
      </c>
      <c r="S102" s="10">
        <v>2173.75</v>
      </c>
      <c r="T102" s="4"/>
      <c r="U102" s="4"/>
    </row>
    <row r="103" spans="1:21" x14ac:dyDescent="0.25">
      <c r="A103" s="3"/>
      <c r="B103" s="3" t="s">
        <v>5492</v>
      </c>
      <c r="C103" s="3"/>
      <c r="D103" s="3"/>
      <c r="E103" s="3"/>
      <c r="F103" s="6">
        <v>72</v>
      </c>
      <c r="G103" s="3"/>
      <c r="H103" s="3"/>
      <c r="I103" s="3"/>
      <c r="J103" s="3"/>
      <c r="K103" s="3"/>
      <c r="L103" s="3"/>
      <c r="M103" s="17">
        <f>SUM(M83:M102)</f>
        <v>1077.9848484848485</v>
      </c>
      <c r="N103" s="17">
        <f>SUM(N83:N102)</f>
        <v>1077.9848484848485</v>
      </c>
      <c r="O103" s="17">
        <f>SUM(O83:O102)</f>
        <v>0</v>
      </c>
      <c r="P103" s="17">
        <f>SUM(P83:P102)</f>
        <v>1300.9015151515152</v>
      </c>
      <c r="Q103" s="3"/>
      <c r="R103" s="3"/>
      <c r="S103" s="3"/>
      <c r="T103" s="3"/>
      <c r="U103" s="3"/>
    </row>
    <row r="104" spans="1:21" x14ac:dyDescent="0.25">
      <c r="A104" s="3"/>
      <c r="B104" s="3" t="s">
        <v>4</v>
      </c>
      <c r="C104" s="3"/>
      <c r="D104" s="3"/>
      <c r="E104" s="3"/>
      <c r="F104" s="6">
        <f>G104+H104</f>
        <v>59.25</v>
      </c>
      <c r="G104" s="6">
        <v>59.25</v>
      </c>
      <c r="H104" s="6">
        <f>SUM(H86,H87,H88,H89,H90,H91,H92,H93,H94,H95,H96,H97,H98,H99,H100,H101,H102)</f>
        <v>0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1:21" x14ac:dyDescent="0.25">
      <c r="A105" s="3"/>
      <c r="B105" s="3" t="s">
        <v>5</v>
      </c>
      <c r="C105" s="3"/>
      <c r="D105" s="3"/>
      <c r="E105" s="3"/>
      <c r="F105" s="6">
        <f>G105+H105</f>
        <v>4.5</v>
      </c>
      <c r="G105" s="6">
        <v>4.5</v>
      </c>
      <c r="H105" s="6">
        <f>SUM(H83,H84,H85)</f>
        <v>0</v>
      </c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1:21" x14ac:dyDescent="0.25">
      <c r="A106" s="3"/>
      <c r="B106" s="3" t="s">
        <v>5493</v>
      </c>
      <c r="C106" s="3"/>
      <c r="D106" s="3"/>
      <c r="E106" s="3"/>
      <c r="F106" s="6">
        <f>SUM(K83:K102)</f>
        <v>0</v>
      </c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1:21" x14ac:dyDescent="0.25">
      <c r="A107" s="18"/>
      <c r="B107" s="18" t="s">
        <v>5494</v>
      </c>
      <c r="C107" s="18"/>
      <c r="D107" s="18"/>
      <c r="E107" s="18"/>
      <c r="F107" s="19">
        <f>F104+F105+F106</f>
        <v>63.75</v>
      </c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9" spans="1:21" ht="15.75" x14ac:dyDescent="0.25">
      <c r="A109" s="2" t="s">
        <v>5524</v>
      </c>
    </row>
    <row r="110" spans="1:21" x14ac:dyDescent="0.25">
      <c r="A110" s="3" t="s">
        <v>2</v>
      </c>
      <c r="B110" s="3" t="s">
        <v>5525</v>
      </c>
      <c r="C110" s="3" t="s">
        <v>5526</v>
      </c>
      <c r="D110" s="3" t="s">
        <v>4</v>
      </c>
      <c r="E110" s="3" t="s">
        <v>5</v>
      </c>
      <c r="F110" s="3" t="s">
        <v>5527</v>
      </c>
      <c r="G110" s="3" t="s">
        <v>5528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1:21" x14ac:dyDescent="0.25">
      <c r="A111" s="4" t="s">
        <v>6</v>
      </c>
      <c r="B111" s="4" t="s">
        <v>21</v>
      </c>
      <c r="C111" s="4">
        <f>F37</f>
        <v>91.25</v>
      </c>
      <c r="D111" s="4">
        <f>F38</f>
        <v>79.5</v>
      </c>
      <c r="E111" s="4">
        <f>F39</f>
        <v>1.5</v>
      </c>
      <c r="F111" s="4">
        <f>F40</f>
        <v>0</v>
      </c>
      <c r="G111" s="4">
        <f>F41</f>
        <v>81</v>
      </c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</row>
    <row r="112" spans="1:21" x14ac:dyDescent="0.25">
      <c r="A112" s="4" t="s">
        <v>7</v>
      </c>
      <c r="B112" s="4" t="s">
        <v>21</v>
      </c>
      <c r="C112" s="4">
        <f>F75</f>
        <v>143.75</v>
      </c>
      <c r="D112" s="4">
        <f>F76</f>
        <v>93.5</v>
      </c>
      <c r="E112" s="4">
        <f>F77</f>
        <v>1.5</v>
      </c>
      <c r="F112" s="4">
        <f>F78</f>
        <v>0</v>
      </c>
      <c r="G112" s="4">
        <f>F79</f>
        <v>95</v>
      </c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</row>
    <row r="113" spans="1:21" x14ac:dyDescent="0.25">
      <c r="A113" s="4" t="s">
        <v>8</v>
      </c>
      <c r="B113" s="4" t="s">
        <v>21</v>
      </c>
      <c r="C113" s="4">
        <f>F103</f>
        <v>72</v>
      </c>
      <c r="D113" s="4">
        <f>F104</f>
        <v>59.25</v>
      </c>
      <c r="E113" s="4">
        <f>F105</f>
        <v>4.5</v>
      </c>
      <c r="F113" s="4">
        <f>F106</f>
        <v>0</v>
      </c>
      <c r="G113" s="4">
        <f>F107</f>
        <v>63.75</v>
      </c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</row>
    <row r="116" spans="1:21" ht="18.75" x14ac:dyDescent="0.3">
      <c r="A116" s="1" t="s">
        <v>5529</v>
      </c>
    </row>
    <row r="117" spans="1:21" x14ac:dyDescent="0.25">
      <c r="A117" s="3" t="s">
        <v>35</v>
      </c>
      <c r="B117" s="3" t="s">
        <v>5461</v>
      </c>
      <c r="C117" s="3" t="s">
        <v>37</v>
      </c>
      <c r="D117" s="3" t="s">
        <v>5462</v>
      </c>
      <c r="E117" s="3" t="s">
        <v>5463</v>
      </c>
      <c r="F117" s="3" t="s">
        <v>5530</v>
      </c>
      <c r="G117" s="3" t="s">
        <v>5465</v>
      </c>
      <c r="H117" s="3" t="s">
        <v>5466</v>
      </c>
      <c r="I117" s="3" t="s">
        <v>5467</v>
      </c>
      <c r="J117" s="3" t="s">
        <v>5468</v>
      </c>
      <c r="K117" s="3" t="s">
        <v>5469</v>
      </c>
      <c r="L117" s="3" t="s">
        <v>5470</v>
      </c>
      <c r="M117" s="3" t="s">
        <v>5471</v>
      </c>
      <c r="N117" s="3" t="s">
        <v>5472</v>
      </c>
      <c r="O117" s="3" t="s">
        <v>5473</v>
      </c>
      <c r="P117" s="3" t="s">
        <v>5474</v>
      </c>
      <c r="Q117" s="3" t="s">
        <v>5476</v>
      </c>
      <c r="R117" s="3" t="s">
        <v>5477</v>
      </c>
      <c r="S117" s="3"/>
      <c r="T117" s="3"/>
      <c r="U117" s="3"/>
    </row>
    <row r="118" spans="1:21" x14ac:dyDescent="0.25">
      <c r="A118" s="21" t="s">
        <v>61</v>
      </c>
      <c r="B118" s="4" t="s">
        <v>5480</v>
      </c>
      <c r="C118" s="4" t="str">
        <f>IFERROR(INDEX('Projekt-Budget-Übersicht'!$C:$C,MATCH(10,'Projekt-Budget-Übersicht'!$L:$L,0)),"")</f>
        <v/>
      </c>
      <c r="D118" s="4">
        <v>24</v>
      </c>
      <c r="E118" s="4">
        <v>0.75</v>
      </c>
      <c r="F118" s="5">
        <f>SUM(F45,F83,I45,I83,K45,K83)</f>
        <v>0.75</v>
      </c>
      <c r="G118" s="16">
        <v>3.12</v>
      </c>
      <c r="H118" s="5">
        <f>SUM(H45,H83)</f>
        <v>0</v>
      </c>
      <c r="I118" s="5">
        <f t="shared" ref="I118:I158" si="12">IF(H118=0,0,F118-H118)</f>
        <v>0</v>
      </c>
      <c r="J118" s="4" t="s">
        <v>5531</v>
      </c>
      <c r="K118" s="5">
        <f>SUM(K45,K83)</f>
        <v>0</v>
      </c>
      <c r="L118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18" s="10">
        <f t="shared" ref="M118:M158" si="13">IF($B$2="-",0,IF(C118="Pauschale",IF(OR(Q118=0,N(D118)=0),0,MAX(0,MIN(Q118*((N(F118)+N(K118))/N(D118)),Q118-Q118*(N(E118)/N(D118))))),L118*(N(F118)+N(K118))))</f>
        <v>0</v>
      </c>
      <c r="N118" s="10">
        <f t="shared" ref="N118:N158" si="14">IF($B$2="-",0,IF(C118="Pauschale",IF(OR(Q118=0,N(D118)=0),0,Q118*((N(F118)+N(K118))/N(D118))),L118*(N(F118)+N(K118))))</f>
        <v>0</v>
      </c>
      <c r="O118" s="10">
        <f t="shared" ref="O118:O158" si="15">N118-M118</f>
        <v>0</v>
      </c>
      <c r="P118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118" s="10">
        <f>IFERROR(INDEX('Projekt-Budget-Übersicht'!$E:$E,MATCH(10,'Projekt-Budget-Übersicht'!$L:$L,0)),0)</f>
        <v>0</v>
      </c>
      <c r="R118" s="10">
        <v>68628.19</v>
      </c>
      <c r="S118" s="4"/>
      <c r="T118" s="4"/>
      <c r="U118" s="4"/>
    </row>
    <row r="119" spans="1:21" x14ac:dyDescent="0.25">
      <c r="A119" s="23"/>
      <c r="B119" s="4" t="s">
        <v>5481</v>
      </c>
      <c r="C119" s="4" t="str">
        <f>IFERROR(INDEX('Projekt-Budget-Übersicht'!$C:$C,MATCH(10,'Projekt-Budget-Übersicht'!$L:$L,0)),"")</f>
        <v/>
      </c>
      <c r="D119" s="4">
        <v>24</v>
      </c>
      <c r="E119" s="4">
        <v>4.75</v>
      </c>
      <c r="F119" s="5">
        <f>SUM(F6,F84,I6,I84,K6,K84)</f>
        <v>4.75</v>
      </c>
      <c r="G119" s="16">
        <v>19.79</v>
      </c>
      <c r="H119" s="5">
        <f>SUM(H6,H84)</f>
        <v>0</v>
      </c>
      <c r="I119" s="5">
        <f t="shared" si="12"/>
        <v>0</v>
      </c>
      <c r="J119" s="4" t="s">
        <v>5531</v>
      </c>
      <c r="K119" s="5">
        <f>SUM(K6,K84)</f>
        <v>0</v>
      </c>
      <c r="L119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19" s="10">
        <f t="shared" si="13"/>
        <v>0</v>
      </c>
      <c r="N119" s="10">
        <f t="shared" si="14"/>
        <v>0</v>
      </c>
      <c r="O119" s="10">
        <f t="shared" si="15"/>
        <v>0</v>
      </c>
      <c r="P119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119" s="10">
        <f>IFERROR(INDEX('Projekt-Budget-Übersicht'!$E:$E,MATCH(10,'Projekt-Budget-Übersicht'!$L:$L,0)),0)</f>
        <v>0</v>
      </c>
      <c r="R119" s="10">
        <v>68628.19</v>
      </c>
      <c r="S119" s="4"/>
      <c r="T119" s="4"/>
      <c r="U119" s="4"/>
    </row>
    <row r="120" spans="1:21" x14ac:dyDescent="0.25">
      <c r="A120" s="22"/>
      <c r="B120" s="4" t="s">
        <v>5547</v>
      </c>
      <c r="C120" s="4" t="str">
        <f>IFERROR(INDEX('Projekt-Budget-Übersicht'!$C:$C,MATCH(10,'Projekt-Budget-Übersicht'!$L:$L,0)),"")</f>
        <v/>
      </c>
      <c r="D120" s="4">
        <v>24</v>
      </c>
      <c r="E120" s="4">
        <v>2</v>
      </c>
      <c r="F120" s="5">
        <f>SUM(F7,F46,F85,I7,I46,I85,K7,K46,K85)</f>
        <v>2</v>
      </c>
      <c r="G120" s="16">
        <v>8.33</v>
      </c>
      <c r="H120" s="5">
        <f>SUM(H7,H46,H85)</f>
        <v>0</v>
      </c>
      <c r="I120" s="5">
        <f t="shared" si="12"/>
        <v>0</v>
      </c>
      <c r="J120" s="4" t="s">
        <v>5531</v>
      </c>
      <c r="K120" s="5">
        <f>SUM(K7,K46,K85)</f>
        <v>0</v>
      </c>
      <c r="L120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20" s="10">
        <f t="shared" si="13"/>
        <v>0</v>
      </c>
      <c r="N120" s="10">
        <f t="shared" si="14"/>
        <v>0</v>
      </c>
      <c r="O120" s="10">
        <f t="shared" si="15"/>
        <v>0</v>
      </c>
      <c r="P120" s="10">
        <f>'C. Trapp SV'!M86+'J. Dorn'!M120+'O. Haag BS-CAD'!M144+'P. Bergner'!M75+'T. Trautmann'!M114</f>
        <v>0</v>
      </c>
      <c r="Q120" s="10">
        <f>IFERROR(INDEX('Projekt-Budget-Übersicht'!$E:$E,MATCH(10,'Projekt-Budget-Übersicht'!$L:$L,0)),0)</f>
        <v>0</v>
      </c>
      <c r="R120" s="10">
        <v>68628.19</v>
      </c>
      <c r="S120" s="4"/>
      <c r="T120" s="4"/>
      <c r="U120" s="4"/>
    </row>
    <row r="121" spans="1:21" x14ac:dyDescent="0.25">
      <c r="A121" s="4" t="s">
        <v>1059</v>
      </c>
      <c r="B121" s="4" t="s">
        <v>5583</v>
      </c>
      <c r="C121" s="4" t="str">
        <f>IFERROR(INDEX('Projekt-Budget-Übersicht'!$C:$C,MATCH(1085,'Projekt-Budget-Übersicht'!$L:$L,0)),"")</f>
        <v/>
      </c>
      <c r="D121" s="4">
        <v>19</v>
      </c>
      <c r="E121" s="4">
        <v>13.25</v>
      </c>
      <c r="F121" s="5">
        <f>SUM(F8,F47,I8,I47,K8,K47)</f>
        <v>5.25</v>
      </c>
      <c r="G121" s="16">
        <v>69.739999999999995</v>
      </c>
      <c r="H121" s="5">
        <f>SUM(H8,H47)</f>
        <v>0</v>
      </c>
      <c r="I121" s="5">
        <f t="shared" si="12"/>
        <v>0</v>
      </c>
      <c r="J121" s="4" t="s">
        <v>5531</v>
      </c>
      <c r="K121" s="5">
        <f>SUM(K8,K47)</f>
        <v>0</v>
      </c>
      <c r="L121" s="10">
        <f>IF($B$2="-",0,IFERROR(INDEX(IF($B$2="SV",'Projekt-Budget-Übersicht'!$H:$H,IF($B$2="CAD",'Projekt-Budget-Übersicht'!$I:$I,IF($B$2="ADM",'Projekt-Budget-Übersicht'!$J:$J,'Projekt-Budget-Übersicht'!$H:$H))),MATCH(1085,'Projekt-Budget-Übersicht'!$L:$L,0)),0))</f>
        <v>0</v>
      </c>
      <c r="M121" s="10">
        <f t="shared" si="13"/>
        <v>0</v>
      </c>
      <c r="N121" s="10">
        <f t="shared" si="14"/>
        <v>0</v>
      </c>
      <c r="O121" s="10">
        <f t="shared" si="15"/>
        <v>0</v>
      </c>
      <c r="P121" s="10">
        <f>'J. Dorn'!M121</f>
        <v>0</v>
      </c>
      <c r="Q121" s="10">
        <f>IFERROR(INDEX('Projekt-Budget-Übersicht'!$E:$E,MATCH(1085,'Projekt-Budget-Übersicht'!$L:$L,0)),0)</f>
        <v>0</v>
      </c>
      <c r="R121" s="10">
        <v>1125</v>
      </c>
      <c r="S121" s="4"/>
      <c r="T121" s="4"/>
      <c r="U121" s="4"/>
    </row>
    <row r="122" spans="1:21" x14ac:dyDescent="0.25">
      <c r="A122" s="4" t="s">
        <v>1302</v>
      </c>
      <c r="B122" s="4" t="s">
        <v>5563</v>
      </c>
      <c r="C122" s="4" t="str">
        <f>IFERROR(INDEX('Projekt-Budget-Übersicht'!$C:$C,MATCH(1412,'Projekt-Budget-Übersicht'!$L:$L,0)),"")</f>
        <v/>
      </c>
      <c r="D122" s="4">
        <v>295.5</v>
      </c>
      <c r="E122" s="4">
        <v>113</v>
      </c>
      <c r="F122" s="5">
        <f>SUM(F9,F48,I9,I48,K9,K48)</f>
        <v>15.5</v>
      </c>
      <c r="G122" s="16">
        <v>38.24</v>
      </c>
      <c r="H122" s="5">
        <f>SUM(H9,H48)</f>
        <v>0</v>
      </c>
      <c r="I122" s="5">
        <f t="shared" si="12"/>
        <v>0</v>
      </c>
      <c r="J122" s="4" t="s">
        <v>5531</v>
      </c>
      <c r="K122" s="5">
        <f>SUM(K9,K48)</f>
        <v>0</v>
      </c>
      <c r="L122" s="10">
        <f>IF($B$2="-",0,IFERROR(INDEX(IF($B$2="SV",'Projekt-Budget-Übersicht'!$H:$H,IF($B$2="CAD",'Projekt-Budget-Übersicht'!$I:$I,IF($B$2="ADM",'Projekt-Budget-Übersicht'!$J:$J,'Projekt-Budget-Übersicht'!$H:$H))),MATCH(1412,'Projekt-Budget-Übersicht'!$L:$L,0)),0))</f>
        <v>0</v>
      </c>
      <c r="M122" s="10">
        <f t="shared" si="13"/>
        <v>0</v>
      </c>
      <c r="N122" s="10">
        <f t="shared" si="14"/>
        <v>0</v>
      </c>
      <c r="O122" s="10">
        <f t="shared" si="15"/>
        <v>0</v>
      </c>
      <c r="P122" s="10">
        <f>'E. Bieler'!M82+'J. Dorn'!M122+'P. Bergner'!M81</f>
        <v>0</v>
      </c>
      <c r="Q122" s="10">
        <f>IFERROR(INDEX('Projekt-Budget-Übersicht'!$E:$E,MATCH(1412,'Projekt-Budget-Übersicht'!$L:$L,0)),0)</f>
        <v>0</v>
      </c>
      <c r="R122" s="10">
        <v>9580.17</v>
      </c>
      <c r="S122" s="4"/>
      <c r="T122" s="4"/>
      <c r="U122" s="4"/>
    </row>
    <row r="123" spans="1:21" x14ac:dyDescent="0.25">
      <c r="A123" s="4" t="s">
        <v>1383</v>
      </c>
      <c r="B123" s="4" t="s">
        <v>5536</v>
      </c>
      <c r="C123" s="4" t="str">
        <f>IFERROR(INDEX('Projekt-Budget-Übersicht'!$C:$C,MATCH(1499,'Projekt-Budget-Übersicht'!$L:$L,0)),"")</f>
        <v/>
      </c>
      <c r="D123" s="4">
        <v>20</v>
      </c>
      <c r="E123" s="4">
        <v>8.75</v>
      </c>
      <c r="F123" s="5">
        <f>SUM(F10,I10,K10)</f>
        <v>0.25</v>
      </c>
      <c r="G123" s="16">
        <v>43.75</v>
      </c>
      <c r="H123" s="5">
        <f>SUM(H10)</f>
        <v>0</v>
      </c>
      <c r="I123" s="5">
        <f t="shared" si="12"/>
        <v>0</v>
      </c>
      <c r="J123" s="4" t="s">
        <v>5531</v>
      </c>
      <c r="K123" s="5">
        <f>SUM(K10)</f>
        <v>0</v>
      </c>
      <c r="L123" s="10">
        <f>IF($B$2="-",0,IFERROR(INDEX(IF($B$2="SV",'Projekt-Budget-Übersicht'!$H:$H,IF($B$2="CAD",'Projekt-Budget-Übersicht'!$I:$I,IF($B$2="ADM",'Projekt-Budget-Übersicht'!$J:$J,'Projekt-Budget-Übersicht'!$H:$H))),MATCH(1499,'Projekt-Budget-Übersicht'!$L:$L,0)),0))</f>
        <v>0</v>
      </c>
      <c r="M123" s="10">
        <f t="shared" si="13"/>
        <v>0</v>
      </c>
      <c r="N123" s="10">
        <f t="shared" si="14"/>
        <v>0</v>
      </c>
      <c r="O123" s="10">
        <f t="shared" si="15"/>
        <v>0</v>
      </c>
      <c r="P123" s="10">
        <f>'J. Dorn'!M123+'M. Bandlofsky'!M97+'U. Sutter ADM'!M88</f>
        <v>0</v>
      </c>
      <c r="Q123" s="10">
        <f>IFERROR(INDEX('Projekt-Budget-Übersicht'!$E:$E,MATCH(1499,'Projekt-Budget-Übersicht'!$L:$L,0)),0)</f>
        <v>0</v>
      </c>
      <c r="R123" s="10">
        <v>15665.4</v>
      </c>
      <c r="S123" s="4"/>
      <c r="T123" s="4"/>
      <c r="U123" s="4"/>
    </row>
    <row r="124" spans="1:21" x14ac:dyDescent="0.25">
      <c r="A124" s="4" t="s">
        <v>1532</v>
      </c>
      <c r="B124" s="4" t="s">
        <v>5540</v>
      </c>
      <c r="C124" s="4" t="str">
        <f>IFERROR(INDEX('Projekt-Budget-Übersicht'!$C:$C,MATCH(1732,'Projekt-Budget-Übersicht'!$L:$L,0)),"")</f>
        <v/>
      </c>
      <c r="D124" s="4">
        <v>30</v>
      </c>
      <c r="E124" s="4">
        <v>87.5</v>
      </c>
      <c r="F124" s="5">
        <f>SUM(F49,I49,K49)</f>
        <v>5.5</v>
      </c>
      <c r="G124" s="15">
        <v>291.67</v>
      </c>
      <c r="H124" s="5">
        <f>SUM(H49)</f>
        <v>0</v>
      </c>
      <c r="I124" s="5">
        <f t="shared" si="12"/>
        <v>0</v>
      </c>
      <c r="J124" s="4" t="s">
        <v>5531</v>
      </c>
      <c r="K124" s="5">
        <f>SUM(K49)</f>
        <v>0</v>
      </c>
      <c r="L124" s="10">
        <f>IF($B$2="-",0,IFERROR(INDEX(IF($B$2="SV",'Projekt-Budget-Übersicht'!$H:$H,IF($B$2="CAD",'Projekt-Budget-Übersicht'!$I:$I,IF($B$2="ADM",'Projekt-Budget-Übersicht'!$J:$J,'Projekt-Budget-Übersicht'!$H:$H))),MATCH(1732,'Projekt-Budget-Übersicht'!$L:$L,0)),0))</f>
        <v>0</v>
      </c>
      <c r="M124" s="10">
        <f t="shared" si="13"/>
        <v>0</v>
      </c>
      <c r="N124" s="10">
        <f t="shared" si="14"/>
        <v>0</v>
      </c>
      <c r="O124" s="10">
        <f t="shared" si="15"/>
        <v>0</v>
      </c>
      <c r="P124" s="10">
        <f>'J. Dorn'!M124</f>
        <v>0</v>
      </c>
      <c r="Q124" s="10">
        <f>IFERROR(INDEX('Projekt-Budget-Übersicht'!$E:$E,MATCH(1732,'Projekt-Budget-Übersicht'!$L:$L,0)),0)</f>
        <v>0</v>
      </c>
      <c r="R124" s="10">
        <v>7775.4</v>
      </c>
      <c r="S124" s="4"/>
      <c r="T124" s="4"/>
      <c r="U124" s="4"/>
    </row>
    <row r="125" spans="1:21" x14ac:dyDescent="0.25">
      <c r="A125" s="4" t="s">
        <v>1558</v>
      </c>
      <c r="B125" s="4" t="s">
        <v>5540</v>
      </c>
      <c r="C125" s="4" t="str">
        <f>IFERROR(INDEX('Projekt-Budget-Übersicht'!$C:$C,MATCH(1761,'Projekt-Budget-Übersicht'!$L:$L,0)),"")</f>
        <v/>
      </c>
      <c r="D125" s="4">
        <v>30</v>
      </c>
      <c r="E125" s="4">
        <v>25.75</v>
      </c>
      <c r="F125" s="5">
        <f>SUM(F11,F50,F86,I11,I50,I86,K11,K50,K86)</f>
        <v>18.5</v>
      </c>
      <c r="G125" s="16">
        <v>85.83</v>
      </c>
      <c r="H125" s="5">
        <f>SUM(H11,H50,H86)</f>
        <v>0</v>
      </c>
      <c r="I125" s="5">
        <f t="shared" si="12"/>
        <v>0</v>
      </c>
      <c r="J125" s="4" t="s">
        <v>5531</v>
      </c>
      <c r="K125" s="5">
        <f>SUM(K11,K50,K86)</f>
        <v>0</v>
      </c>
      <c r="L125" s="10">
        <f>IF($B$2="-",0,IFERROR(INDEX(IF($B$2="SV",'Projekt-Budget-Übersicht'!$H:$H,IF($B$2="CAD",'Projekt-Budget-Übersicht'!$I:$I,IF($B$2="ADM",'Projekt-Budget-Übersicht'!$J:$J,'Projekt-Budget-Übersicht'!$H:$H))),MATCH(1761,'Projekt-Budget-Übersicht'!$L:$L,0)),0))</f>
        <v>0</v>
      </c>
      <c r="M125" s="10">
        <f t="shared" si="13"/>
        <v>0</v>
      </c>
      <c r="N125" s="10">
        <f t="shared" si="14"/>
        <v>0</v>
      </c>
      <c r="O125" s="10">
        <f t="shared" si="15"/>
        <v>0</v>
      </c>
      <c r="P125" s="10">
        <f>'J. Dorn'!M125</f>
        <v>0</v>
      </c>
      <c r="Q125" s="10">
        <f>IFERROR(INDEX('Projekt-Budget-Übersicht'!$E:$E,MATCH(1761,'Projekt-Budget-Übersicht'!$L:$L,0)),0)</f>
        <v>0</v>
      </c>
      <c r="R125" s="10">
        <v>2317.5</v>
      </c>
      <c r="S125" s="4"/>
      <c r="T125" s="4"/>
      <c r="U125" s="4"/>
    </row>
    <row r="126" spans="1:21" x14ac:dyDescent="0.25">
      <c r="A126" s="21" t="s">
        <v>1562</v>
      </c>
      <c r="B126" s="4" t="s">
        <v>5487</v>
      </c>
      <c r="C126" s="4" t="str">
        <f>IFERROR(INDEX('Projekt-Budget-Übersicht'!$C:$C,MATCH(1763,'Projekt-Budget-Übersicht'!$L:$L,0)),"")</f>
        <v/>
      </c>
      <c r="D126" s="4">
        <v>20</v>
      </c>
      <c r="E126" s="4">
        <v>8.75</v>
      </c>
      <c r="F126" s="5">
        <f>SUM(F87,I87,K87)</f>
        <v>4.5</v>
      </c>
      <c r="G126" s="16">
        <v>43.75</v>
      </c>
      <c r="H126" s="5">
        <f>SUM(H87)</f>
        <v>0</v>
      </c>
      <c r="I126" s="5">
        <f t="shared" si="12"/>
        <v>0</v>
      </c>
      <c r="J126" s="4" t="s">
        <v>5531</v>
      </c>
      <c r="K126" s="5">
        <f>SUM(K87)</f>
        <v>0</v>
      </c>
      <c r="L126" s="10">
        <f>IF($B$2="-",0,IFERROR(INDEX(IF($B$2="SV",'Projekt-Budget-Übersicht'!$H:$H,IF($B$2="CAD",'Projekt-Budget-Übersicht'!$I:$I,IF($B$2="ADM",'Projekt-Budget-Übersicht'!$J:$J,'Projekt-Budget-Übersicht'!$H:$H))),MATCH(1763,'Projekt-Budget-Übersicht'!$L:$L,0)),0))</f>
        <v>0</v>
      </c>
      <c r="M126" s="10">
        <f t="shared" si="13"/>
        <v>0</v>
      </c>
      <c r="N126" s="10">
        <f t="shared" si="14"/>
        <v>0</v>
      </c>
      <c r="O126" s="10">
        <f t="shared" si="15"/>
        <v>0</v>
      </c>
      <c r="P126" s="10">
        <f>'J. Dorn'!M126</f>
        <v>0</v>
      </c>
      <c r="Q126" s="10">
        <f>IFERROR(INDEX('Projekt-Budget-Übersicht'!$E:$E,MATCH(1763,'Projekt-Budget-Übersicht'!$L:$L,0)),0)</f>
        <v>0</v>
      </c>
      <c r="R126" s="10">
        <v>720</v>
      </c>
      <c r="S126" s="4"/>
      <c r="T126" s="4"/>
      <c r="U126" s="4"/>
    </row>
    <row r="127" spans="1:21" x14ac:dyDescent="0.25">
      <c r="A127" s="22"/>
      <c r="B127" s="4" t="s">
        <v>5501</v>
      </c>
      <c r="C127" s="4" t="str">
        <f>IFERROR(INDEX('Projekt-Budget-Übersicht'!$C:$C,MATCH(1764,'Projekt-Budget-Übersicht'!$L:$L,0)),"")</f>
        <v/>
      </c>
      <c r="D127" s="4">
        <v>16</v>
      </c>
      <c r="E127" s="4">
        <v>18</v>
      </c>
      <c r="F127" s="5">
        <f>SUM(F12,F51,I12,I51,K12,K51)</f>
        <v>6</v>
      </c>
      <c r="G127" s="15">
        <v>112.5</v>
      </c>
      <c r="H127" s="5">
        <f>SUM(H12,H51)</f>
        <v>0</v>
      </c>
      <c r="I127" s="5">
        <f t="shared" si="12"/>
        <v>0</v>
      </c>
      <c r="J127" s="4" t="s">
        <v>5531</v>
      </c>
      <c r="K127" s="5">
        <f>SUM(K12,K51)</f>
        <v>0</v>
      </c>
      <c r="L127" s="10">
        <f>IF($B$2="-",0,IFERROR(INDEX(IF($B$2="SV",'Projekt-Budget-Übersicht'!$H:$H,IF($B$2="CAD",'Projekt-Budget-Übersicht'!$I:$I,IF($B$2="ADM",'Projekt-Budget-Übersicht'!$J:$J,'Projekt-Budget-Übersicht'!$H:$H))),MATCH(1764,'Projekt-Budget-Übersicht'!$L:$L,0)),0))</f>
        <v>0</v>
      </c>
      <c r="M127" s="10">
        <f t="shared" si="13"/>
        <v>0</v>
      </c>
      <c r="N127" s="10">
        <f t="shared" si="14"/>
        <v>0</v>
      </c>
      <c r="O127" s="10">
        <f t="shared" si="15"/>
        <v>0</v>
      </c>
      <c r="P127" s="10">
        <f>'A. Kokott'!M154+'J. Dorn'!M127+'T. Trautmann'!M130</f>
        <v>0</v>
      </c>
      <c r="Q127" s="10">
        <f>IFERROR(INDEX('Projekt-Budget-Übersicht'!$E:$E,MATCH(1764,'Projekt-Budget-Übersicht'!$L:$L,0)),0)</f>
        <v>0</v>
      </c>
      <c r="R127" s="10">
        <v>1574.15</v>
      </c>
      <c r="S127" s="4"/>
      <c r="T127" s="4"/>
      <c r="U127" s="4"/>
    </row>
    <row r="128" spans="1:21" x14ac:dyDescent="0.25">
      <c r="A128" s="4" t="s">
        <v>1564</v>
      </c>
      <c r="B128" s="4" t="s">
        <v>5515</v>
      </c>
      <c r="C128" s="4" t="str">
        <f>IFERROR(INDEX('Projekt-Budget-Übersicht'!$C:$C,MATCH(1765,'Projekt-Budget-Übersicht'!$L:$L,0)),"")</f>
        <v/>
      </c>
      <c r="D128" s="4">
        <v>30</v>
      </c>
      <c r="E128" s="4">
        <v>12.75</v>
      </c>
      <c r="F128" s="5">
        <f>SUM(F52,I52,K52)</f>
        <v>10.75</v>
      </c>
      <c r="G128" s="16">
        <v>42.5</v>
      </c>
      <c r="H128" s="5">
        <f>SUM(H52)</f>
        <v>0</v>
      </c>
      <c r="I128" s="5">
        <f t="shared" si="12"/>
        <v>0</v>
      </c>
      <c r="J128" s="4" t="s">
        <v>5531</v>
      </c>
      <c r="K128" s="5">
        <f>SUM(K52)</f>
        <v>0</v>
      </c>
      <c r="L128" s="10">
        <f>IF($B$2="-",0,IFERROR(INDEX(IF($B$2="SV",'Projekt-Budget-Übersicht'!$H:$H,IF($B$2="CAD",'Projekt-Budget-Übersicht'!$I:$I,IF($B$2="ADM",'Projekt-Budget-Übersicht'!$J:$J,'Projekt-Budget-Übersicht'!$H:$H))),MATCH(1765,'Projekt-Budget-Übersicht'!$L:$L,0)),0))</f>
        <v>0</v>
      </c>
      <c r="M128" s="10">
        <f t="shared" si="13"/>
        <v>0</v>
      </c>
      <c r="N128" s="10">
        <f t="shared" si="14"/>
        <v>0</v>
      </c>
      <c r="O128" s="10">
        <f t="shared" si="15"/>
        <v>0</v>
      </c>
      <c r="P128" s="10">
        <f>'A. Kokott'!M155+'J. Dorn'!M128+'T. Trautmann'!M131</f>
        <v>0</v>
      </c>
      <c r="Q128" s="10">
        <f>IFERROR(INDEX('Projekt-Budget-Übersicht'!$E:$E,MATCH(1765,'Projekt-Budget-Übersicht'!$L:$L,0)),0)</f>
        <v>0</v>
      </c>
      <c r="R128" s="10">
        <v>1133.75</v>
      </c>
      <c r="S128" s="4"/>
      <c r="T128" s="4"/>
      <c r="U128" s="4"/>
    </row>
    <row r="129" spans="1:21" x14ac:dyDescent="0.25">
      <c r="A129" s="4" t="s">
        <v>1566</v>
      </c>
      <c r="B129" s="4" t="s">
        <v>5459</v>
      </c>
      <c r="C129" s="4" t="str">
        <f>IFERROR(INDEX('Projekt-Budget-Übersicht'!$C:$C,MATCH(1766,'Projekt-Budget-Übersicht'!$L:$L,0)),"")</f>
        <v/>
      </c>
      <c r="D129" s="4">
        <v>30</v>
      </c>
      <c r="E129" s="4">
        <v>11.5</v>
      </c>
      <c r="F129" s="5">
        <f>SUM(F13,I13,K13)</f>
        <v>2.5</v>
      </c>
      <c r="G129" s="16">
        <v>38.33</v>
      </c>
      <c r="H129" s="5">
        <f>SUM(H13)</f>
        <v>0</v>
      </c>
      <c r="I129" s="5">
        <f t="shared" si="12"/>
        <v>0</v>
      </c>
      <c r="J129" s="4" t="s">
        <v>5531</v>
      </c>
      <c r="K129" s="5">
        <f>SUM(K13)</f>
        <v>0</v>
      </c>
      <c r="L129" s="10">
        <f>IF($B$2="-",0,IFERROR(INDEX(IF($B$2="SV",'Projekt-Budget-Übersicht'!$H:$H,IF($B$2="CAD",'Projekt-Budget-Übersicht'!$I:$I,IF($B$2="ADM",'Projekt-Budget-Übersicht'!$J:$J,'Projekt-Budget-Übersicht'!$H:$H))),MATCH(1766,'Projekt-Budget-Übersicht'!$L:$L,0)),0))</f>
        <v>0</v>
      </c>
      <c r="M129" s="10">
        <f t="shared" si="13"/>
        <v>0</v>
      </c>
      <c r="N129" s="10">
        <f t="shared" si="14"/>
        <v>0</v>
      </c>
      <c r="O129" s="10">
        <f t="shared" si="15"/>
        <v>0</v>
      </c>
      <c r="P129" s="10">
        <f>'J. Dorn'!M129</f>
        <v>0</v>
      </c>
      <c r="Q129" s="10">
        <f>IFERROR(INDEX('Projekt-Budget-Übersicht'!$E:$E,MATCH(1766,'Projekt-Budget-Übersicht'!$L:$L,0)),0)</f>
        <v>0</v>
      </c>
      <c r="R129" s="10"/>
      <c r="S129" s="4"/>
      <c r="T129" s="4"/>
      <c r="U129" s="4"/>
    </row>
    <row r="130" spans="1:21" x14ac:dyDescent="0.25">
      <c r="A130" s="4" t="s">
        <v>1825</v>
      </c>
      <c r="B130" s="4" t="s">
        <v>5544</v>
      </c>
      <c r="C130" s="4" t="str">
        <f>IFERROR(INDEX('Projekt-Budget-Übersicht'!$C:$C,MATCH(2066,'Projekt-Budget-Übersicht'!$L:$L,0)),"")</f>
        <v/>
      </c>
      <c r="D130" s="4">
        <v>110</v>
      </c>
      <c r="E130" s="4">
        <v>47.75</v>
      </c>
      <c r="F130" s="5">
        <f>SUM(F14,F53,F88,I14,I53,I88,K14,K53,K88)</f>
        <v>5.5</v>
      </c>
      <c r="G130" s="16">
        <v>43.41</v>
      </c>
      <c r="H130" s="5">
        <f>SUM(H14,H53,H88)</f>
        <v>0</v>
      </c>
      <c r="I130" s="5">
        <f t="shared" si="12"/>
        <v>0</v>
      </c>
      <c r="J130" s="4" t="s">
        <v>5531</v>
      </c>
      <c r="K130" s="5">
        <f>SUM(K14,K53,K88)</f>
        <v>0</v>
      </c>
      <c r="L130" s="10">
        <f>IF($B$2="-",0,IFERROR(INDEX(IF($B$2="SV",'Projekt-Budget-Übersicht'!$H:$H,IF($B$2="CAD",'Projekt-Budget-Übersicht'!$I:$I,IF($B$2="ADM",'Projekt-Budget-Übersicht'!$J:$J,'Projekt-Budget-Übersicht'!$H:$H))),MATCH(2066,'Projekt-Budget-Übersicht'!$L:$L,0)),0))</f>
        <v>0</v>
      </c>
      <c r="M130" s="10">
        <f t="shared" si="13"/>
        <v>0</v>
      </c>
      <c r="N130" s="10">
        <f t="shared" si="14"/>
        <v>0</v>
      </c>
      <c r="O130" s="10">
        <f t="shared" si="15"/>
        <v>0</v>
      </c>
      <c r="P130" s="10">
        <f>'E. Bieler'!M87+'J. Dorn'!M130</f>
        <v>0</v>
      </c>
      <c r="Q130" s="10">
        <f>IFERROR(INDEX('Projekt-Budget-Übersicht'!$E:$E,MATCH(2066,'Projekt-Budget-Übersicht'!$L:$L,0)),0)</f>
        <v>0</v>
      </c>
      <c r="R130" s="10">
        <v>4160.79</v>
      </c>
      <c r="S130" s="4"/>
      <c r="T130" s="4"/>
      <c r="U130" s="4"/>
    </row>
    <row r="131" spans="1:21" x14ac:dyDescent="0.25">
      <c r="A131" s="4" t="s">
        <v>2053</v>
      </c>
      <c r="B131" s="4" t="s">
        <v>5584</v>
      </c>
      <c r="C131" s="4" t="str">
        <f>IFERROR(INDEX('Projekt-Budget-Übersicht'!$C:$C,MATCH(2423,'Projekt-Budget-Übersicht'!$L:$L,0)),"")</f>
        <v/>
      </c>
      <c r="D131" s="4">
        <v>16</v>
      </c>
      <c r="E131" s="4">
        <v>8</v>
      </c>
      <c r="F131" s="5">
        <f>SUM(F15,I15,K15)</f>
        <v>2.5</v>
      </c>
      <c r="G131" s="16">
        <v>50</v>
      </c>
      <c r="H131" s="5">
        <f>SUM(H15)</f>
        <v>0</v>
      </c>
      <c r="I131" s="5">
        <f t="shared" si="12"/>
        <v>0</v>
      </c>
      <c r="J131" s="4" t="s">
        <v>5531</v>
      </c>
      <c r="K131" s="5">
        <f>SUM(K15)</f>
        <v>0</v>
      </c>
      <c r="L131" s="10">
        <f>IF($B$2="-",0,IFERROR(INDEX(IF($B$2="SV",'Projekt-Budget-Übersicht'!$H:$H,IF($B$2="CAD",'Projekt-Budget-Übersicht'!$I:$I,IF($B$2="ADM",'Projekt-Budget-Übersicht'!$J:$J,'Projekt-Budget-Übersicht'!$H:$H))),MATCH(2423,'Projekt-Budget-Übersicht'!$L:$L,0)),0))</f>
        <v>0</v>
      </c>
      <c r="M131" s="10">
        <f t="shared" si="13"/>
        <v>0</v>
      </c>
      <c r="N131" s="10">
        <f t="shared" si="14"/>
        <v>0</v>
      </c>
      <c r="O131" s="10">
        <f t="shared" si="15"/>
        <v>0</v>
      </c>
      <c r="P131" s="10">
        <f>'J. Dorn'!M131</f>
        <v>0</v>
      </c>
      <c r="Q131" s="10">
        <f>IFERROR(INDEX('Projekt-Budget-Übersicht'!$E:$E,MATCH(2423,'Projekt-Budget-Übersicht'!$L:$L,0)),0)</f>
        <v>0</v>
      </c>
      <c r="R131" s="10">
        <v>652.5</v>
      </c>
      <c r="S131" s="4"/>
      <c r="T131" s="4"/>
      <c r="U131" s="4"/>
    </row>
    <row r="132" spans="1:21" x14ac:dyDescent="0.25">
      <c r="A132" s="4" t="s">
        <v>2055</v>
      </c>
      <c r="B132" s="4" t="s">
        <v>5585</v>
      </c>
      <c r="C132" s="4" t="str">
        <f>IFERROR(INDEX('Projekt-Budget-Übersicht'!$C:$C,MATCH(2425,'Projekt-Budget-Übersicht'!$L:$L,0)),"")</f>
        <v/>
      </c>
      <c r="D132" s="4">
        <v>15</v>
      </c>
      <c r="E132" s="4">
        <v>13.5</v>
      </c>
      <c r="F132" s="5">
        <f>SUM(F16,I16,K16)</f>
        <v>3.25</v>
      </c>
      <c r="G132" s="14">
        <v>90</v>
      </c>
      <c r="H132" s="5">
        <f>SUM(H16)</f>
        <v>0</v>
      </c>
      <c r="I132" s="5">
        <f t="shared" si="12"/>
        <v>0</v>
      </c>
      <c r="J132" s="4" t="s">
        <v>5531</v>
      </c>
      <c r="K132" s="5">
        <f>SUM(K16)</f>
        <v>0</v>
      </c>
      <c r="L132" s="10">
        <f>IF($B$2="-",0,IFERROR(INDEX(IF($B$2="SV",'Projekt-Budget-Übersicht'!$H:$H,IF($B$2="CAD",'Projekt-Budget-Übersicht'!$I:$I,IF($B$2="ADM",'Projekt-Budget-Übersicht'!$J:$J,'Projekt-Budget-Übersicht'!$H:$H))),MATCH(2425,'Projekt-Budget-Übersicht'!$L:$L,0)),0))</f>
        <v>0</v>
      </c>
      <c r="M132" s="10">
        <f t="shared" si="13"/>
        <v>0</v>
      </c>
      <c r="N132" s="10">
        <f t="shared" si="14"/>
        <v>0</v>
      </c>
      <c r="O132" s="10">
        <f t="shared" si="15"/>
        <v>0</v>
      </c>
      <c r="P132" s="10">
        <f>'J. Dorn'!M132</f>
        <v>0</v>
      </c>
      <c r="Q132" s="10">
        <f>IFERROR(INDEX('Projekt-Budget-Übersicht'!$E:$E,MATCH(2425,'Projekt-Budget-Übersicht'!$L:$L,0)),0)</f>
        <v>0</v>
      </c>
      <c r="R132" s="10">
        <v>1215</v>
      </c>
      <c r="S132" s="4"/>
      <c r="T132" s="4"/>
      <c r="U132" s="4"/>
    </row>
    <row r="133" spans="1:21" x14ac:dyDescent="0.25">
      <c r="A133" s="4" t="s">
        <v>2207</v>
      </c>
      <c r="B133" s="4" t="s">
        <v>5586</v>
      </c>
      <c r="C133" s="4" t="str">
        <f>IFERROR(INDEX('Projekt-Budget-Übersicht'!$C:$C,MATCH(2561,'Projekt-Budget-Übersicht'!$L:$L,0)),"")</f>
        <v/>
      </c>
      <c r="D133" s="4">
        <v>160</v>
      </c>
      <c r="E133" s="4">
        <v>134.25</v>
      </c>
      <c r="F133" s="5">
        <f>SUM(F17,F54,F89,I17,I54,I89,K17,K54,K89)</f>
        <v>80.5</v>
      </c>
      <c r="G133" s="16">
        <v>83.91</v>
      </c>
      <c r="H133" s="5">
        <f>SUM(H17,H54,H89)</f>
        <v>0</v>
      </c>
      <c r="I133" s="5">
        <f t="shared" si="12"/>
        <v>0</v>
      </c>
      <c r="J133" s="4" t="s">
        <v>5531</v>
      </c>
      <c r="K133" s="5">
        <f>SUM(K17,K54,K89)</f>
        <v>0</v>
      </c>
      <c r="L133" s="10">
        <f>IF($B$2="-",0,IFERROR(INDEX(IF($B$2="SV",'Projekt-Budget-Übersicht'!$H:$H,IF($B$2="CAD",'Projekt-Budget-Übersicht'!$I:$I,IF($B$2="ADM",'Projekt-Budget-Übersicht'!$J:$J,'Projekt-Budget-Übersicht'!$H:$H))),MATCH(2561,'Projekt-Budget-Übersicht'!$L:$L,0)),0))</f>
        <v>0</v>
      </c>
      <c r="M133" s="10">
        <f t="shared" si="13"/>
        <v>0</v>
      </c>
      <c r="N133" s="10">
        <f t="shared" si="14"/>
        <v>0</v>
      </c>
      <c r="O133" s="10">
        <f t="shared" si="15"/>
        <v>0</v>
      </c>
      <c r="P133" s="10">
        <f>'J. Dorn'!M133+'T. Trautmann'!M137</f>
        <v>0</v>
      </c>
      <c r="Q133" s="10">
        <f>IFERROR(INDEX('Projekt-Budget-Übersicht'!$E:$E,MATCH(2561,'Projekt-Budget-Übersicht'!$L:$L,0)),0)</f>
        <v>0</v>
      </c>
      <c r="R133" s="10"/>
      <c r="S133" s="4"/>
      <c r="T133" s="4"/>
      <c r="U133" s="4"/>
    </row>
    <row r="134" spans="1:21" x14ac:dyDescent="0.25">
      <c r="A134" s="21" t="s">
        <v>2291</v>
      </c>
      <c r="B134" s="4" t="s">
        <v>5587</v>
      </c>
      <c r="C134" s="4" t="str">
        <f>IFERROR(INDEX('Projekt-Budget-Übersicht'!$C:$C,MATCH(2634,'Projekt-Budget-Übersicht'!$L:$L,0)),"")</f>
        <v/>
      </c>
      <c r="D134" s="4">
        <v>38</v>
      </c>
      <c r="E134" s="4">
        <v>13.25</v>
      </c>
      <c r="F134" s="5">
        <f>SUM(F18,I18,K18)</f>
        <v>2</v>
      </c>
      <c r="G134" s="16">
        <v>34.869999999999997</v>
      </c>
      <c r="H134" s="5">
        <f>SUM(H18)</f>
        <v>0</v>
      </c>
      <c r="I134" s="5">
        <f t="shared" si="12"/>
        <v>0</v>
      </c>
      <c r="J134" s="4" t="s">
        <v>5531</v>
      </c>
      <c r="K134" s="5">
        <f>SUM(K18)</f>
        <v>0</v>
      </c>
      <c r="L134" s="10">
        <f>IF($B$2="-",0,IFERROR(INDEX(IF($B$2="SV",'Projekt-Budget-Übersicht'!$H:$H,IF($B$2="CAD",'Projekt-Budget-Übersicht'!$I:$I,IF($B$2="ADM",'Projekt-Budget-Übersicht'!$J:$J,'Projekt-Budget-Übersicht'!$H:$H))),MATCH(2634,'Projekt-Budget-Übersicht'!$L:$L,0)),0))</f>
        <v>0</v>
      </c>
      <c r="M134" s="10">
        <f t="shared" si="13"/>
        <v>0</v>
      </c>
      <c r="N134" s="10">
        <f t="shared" si="14"/>
        <v>0</v>
      </c>
      <c r="O134" s="10">
        <f t="shared" si="15"/>
        <v>0</v>
      </c>
      <c r="P134" s="10">
        <f>'J. Dorn'!M134</f>
        <v>0</v>
      </c>
      <c r="Q134" s="10">
        <f>IFERROR(INDEX('Projekt-Budget-Übersicht'!$E:$E,MATCH(2634,'Projekt-Budget-Übersicht'!$L:$L,0)),0)</f>
        <v>0</v>
      </c>
      <c r="R134" s="10">
        <v>1192.5</v>
      </c>
      <c r="S134" s="4"/>
      <c r="T134" s="4"/>
      <c r="U134" s="4"/>
    </row>
    <row r="135" spans="1:21" x14ac:dyDescent="0.25">
      <c r="A135" s="22"/>
      <c r="B135" s="4" t="s">
        <v>5545</v>
      </c>
      <c r="C135" s="4" t="str">
        <f>IFERROR(INDEX('Projekt-Budget-Übersicht'!$C:$C,MATCH(2637,'Projekt-Budget-Übersicht'!$L:$L,0)),"")</f>
        <v/>
      </c>
      <c r="D135" s="4">
        <v>20</v>
      </c>
      <c r="E135" s="4">
        <v>17.75</v>
      </c>
      <c r="F135" s="5">
        <f>SUM(F19,F55,I19,I55,K19,K55)</f>
        <v>3.25</v>
      </c>
      <c r="G135" s="16">
        <v>88.75</v>
      </c>
      <c r="H135" s="5">
        <f>SUM(H19,H55)</f>
        <v>0</v>
      </c>
      <c r="I135" s="5">
        <f t="shared" si="12"/>
        <v>0</v>
      </c>
      <c r="J135" s="4" t="s">
        <v>5531</v>
      </c>
      <c r="K135" s="5">
        <f>SUM(K19,K55)</f>
        <v>0</v>
      </c>
      <c r="L135" s="10">
        <f>IF($B$2="-",0,IFERROR(INDEX(IF($B$2="SV",'Projekt-Budget-Übersicht'!$H:$H,IF($B$2="CAD",'Projekt-Budget-Übersicht'!$I:$I,IF($B$2="ADM",'Projekt-Budget-Übersicht'!$J:$J,'Projekt-Budget-Übersicht'!$H:$H))),MATCH(2637,'Projekt-Budget-Übersicht'!$L:$L,0)),0))</f>
        <v>0</v>
      </c>
      <c r="M135" s="10">
        <f t="shared" si="13"/>
        <v>0</v>
      </c>
      <c r="N135" s="10">
        <f t="shared" si="14"/>
        <v>0</v>
      </c>
      <c r="O135" s="10">
        <f t="shared" si="15"/>
        <v>0</v>
      </c>
      <c r="P135" s="10">
        <f>'J. Dorn'!M135</f>
        <v>0</v>
      </c>
      <c r="Q135" s="10">
        <f>IFERROR(INDEX('Projekt-Budget-Übersicht'!$E:$E,MATCH(2637,'Projekt-Budget-Übersicht'!$L:$L,0)),0)</f>
        <v>0</v>
      </c>
      <c r="R135" s="10">
        <v>13545</v>
      </c>
      <c r="S135" s="4"/>
      <c r="T135" s="4"/>
      <c r="U135" s="4"/>
    </row>
    <row r="136" spans="1:21" x14ac:dyDescent="0.25">
      <c r="A136" s="4" t="s">
        <v>2295</v>
      </c>
      <c r="B136" s="4" t="s">
        <v>5587</v>
      </c>
      <c r="C136" s="4" t="str">
        <f>IFERROR(INDEX('Projekt-Budget-Übersicht'!$C:$C,MATCH(2641,'Projekt-Budget-Übersicht'!$L:$L,0)),"")</f>
        <v/>
      </c>
      <c r="D136" s="4">
        <v>23</v>
      </c>
      <c r="E136" s="4">
        <v>28</v>
      </c>
      <c r="F136" s="5">
        <f>SUM(F56,I56,K56)</f>
        <v>21.75</v>
      </c>
      <c r="G136" s="15">
        <v>121.74</v>
      </c>
      <c r="H136" s="5">
        <f>SUM(H56)</f>
        <v>0</v>
      </c>
      <c r="I136" s="5">
        <f t="shared" si="12"/>
        <v>0</v>
      </c>
      <c r="J136" s="4" t="s">
        <v>5531</v>
      </c>
      <c r="K136" s="5">
        <f>SUM(K56)</f>
        <v>0</v>
      </c>
      <c r="L136" s="10">
        <f>IF($B$2="-",0,IFERROR(INDEX(IF($B$2="SV",'Projekt-Budget-Übersicht'!$H:$H,IF($B$2="CAD",'Projekt-Budget-Übersicht'!$I:$I,IF($B$2="ADM",'Projekt-Budget-Übersicht'!$J:$J,'Projekt-Budget-Übersicht'!$H:$H))),MATCH(2641,'Projekt-Budget-Übersicht'!$L:$L,0)),0))</f>
        <v>0</v>
      </c>
      <c r="M136" s="10">
        <f t="shared" si="13"/>
        <v>0</v>
      </c>
      <c r="N136" s="10">
        <f t="shared" si="14"/>
        <v>0</v>
      </c>
      <c r="O136" s="10">
        <f t="shared" si="15"/>
        <v>0</v>
      </c>
      <c r="P136" s="10">
        <f>'J. Dorn'!M136</f>
        <v>0</v>
      </c>
      <c r="Q136" s="10">
        <f>IFERROR(INDEX('Projekt-Budget-Übersicht'!$E:$E,MATCH(2641,'Projekt-Budget-Übersicht'!$L:$L,0)),0)</f>
        <v>0</v>
      </c>
      <c r="R136" s="10">
        <v>2645</v>
      </c>
      <c r="S136" s="4"/>
      <c r="T136" s="4"/>
      <c r="U136" s="4"/>
    </row>
    <row r="137" spans="1:21" x14ac:dyDescent="0.25">
      <c r="A137" s="4" t="s">
        <v>2395</v>
      </c>
      <c r="B137" s="4" t="s">
        <v>5504</v>
      </c>
      <c r="C137" s="4" t="str">
        <f>IFERROR(INDEX('Projekt-Budget-Übersicht'!$C:$C,MATCH(2729,'Projekt-Budget-Übersicht'!$L:$L,0)),"")</f>
        <v/>
      </c>
      <c r="D137" s="4">
        <v>34</v>
      </c>
      <c r="E137" s="4">
        <v>10.75</v>
      </c>
      <c r="F137" s="5">
        <f>SUM(F57,I57,K57)</f>
        <v>0.5</v>
      </c>
      <c r="G137" s="16">
        <v>31.62</v>
      </c>
      <c r="H137" s="5">
        <f>SUM(H57)</f>
        <v>0</v>
      </c>
      <c r="I137" s="5">
        <f t="shared" si="12"/>
        <v>0</v>
      </c>
      <c r="J137" s="4" t="s">
        <v>5531</v>
      </c>
      <c r="K137" s="5">
        <f>SUM(K57)</f>
        <v>0</v>
      </c>
      <c r="L137" s="10">
        <f>IF($B$2="-",0,IFERROR(INDEX(IF($B$2="SV",'Projekt-Budget-Übersicht'!$H:$H,IF($B$2="CAD",'Projekt-Budget-Übersicht'!$I:$I,IF($B$2="ADM",'Projekt-Budget-Übersicht'!$J:$J,'Projekt-Budget-Übersicht'!$H:$H))),MATCH(2729,'Projekt-Budget-Übersicht'!$L:$L,0)),0))</f>
        <v>0</v>
      </c>
      <c r="M137" s="10">
        <f t="shared" si="13"/>
        <v>0</v>
      </c>
      <c r="N137" s="10">
        <f t="shared" si="14"/>
        <v>0</v>
      </c>
      <c r="O137" s="10">
        <f t="shared" si="15"/>
        <v>0</v>
      </c>
      <c r="P137" s="10">
        <f>'J. Dorn'!M137</f>
        <v>0</v>
      </c>
      <c r="Q137" s="10">
        <f>IFERROR(INDEX('Projekt-Budget-Übersicht'!$E:$E,MATCH(2729,'Projekt-Budget-Übersicht'!$L:$L,0)),0)</f>
        <v>0</v>
      </c>
      <c r="R137" s="10">
        <v>930.79</v>
      </c>
      <c r="S137" s="4"/>
      <c r="T137" s="4"/>
      <c r="U137" s="4"/>
    </row>
    <row r="138" spans="1:21" x14ac:dyDescent="0.25">
      <c r="A138" s="4" t="s">
        <v>2491</v>
      </c>
      <c r="B138" s="4" t="s">
        <v>5566</v>
      </c>
      <c r="C138" s="4" t="str">
        <f>IFERROR(INDEX('Projekt-Budget-Übersicht'!$C:$C,MATCH(2815,'Projekt-Budget-Übersicht'!$L:$L,0)),"")</f>
        <v/>
      </c>
      <c r="D138" s="4">
        <v>16</v>
      </c>
      <c r="E138" s="4">
        <v>22.75</v>
      </c>
      <c r="F138" s="5">
        <f>SUM(F20,I20,K20)</f>
        <v>0.5</v>
      </c>
      <c r="G138" s="15">
        <v>142.19</v>
      </c>
      <c r="H138" s="5">
        <f>SUM(H20)</f>
        <v>0</v>
      </c>
      <c r="I138" s="5">
        <f t="shared" si="12"/>
        <v>0</v>
      </c>
      <c r="J138" s="4" t="s">
        <v>5531</v>
      </c>
      <c r="K138" s="5">
        <f>SUM(K20)</f>
        <v>0</v>
      </c>
      <c r="L138" s="10">
        <f>IF($B$2="-",0,IFERROR(INDEX(IF($B$2="SV",'Projekt-Budget-Übersicht'!$H:$H,IF($B$2="CAD",'Projekt-Budget-Übersicht'!$I:$I,IF($B$2="ADM",'Projekt-Budget-Übersicht'!$J:$J,'Projekt-Budget-Übersicht'!$H:$H))),MATCH(2815,'Projekt-Budget-Übersicht'!$L:$L,0)),0))</f>
        <v>0</v>
      </c>
      <c r="M138" s="10">
        <f t="shared" si="13"/>
        <v>0</v>
      </c>
      <c r="N138" s="10">
        <f t="shared" si="14"/>
        <v>0</v>
      </c>
      <c r="O138" s="10">
        <f t="shared" si="15"/>
        <v>0</v>
      </c>
      <c r="P138" s="10">
        <f>'E. Bieler'!M92+'J. Dorn'!M138+'R. Böttiger'!M89</f>
        <v>0</v>
      </c>
      <c r="Q138" s="10">
        <f>IFERROR(INDEX('Projekt-Budget-Übersicht'!$E:$E,MATCH(2815,'Projekt-Budget-Übersicht'!$L:$L,0)),0)</f>
        <v>0</v>
      </c>
      <c r="R138" s="10">
        <v>1013.98</v>
      </c>
      <c r="S138" s="4"/>
      <c r="T138" s="4"/>
      <c r="U138" s="4"/>
    </row>
    <row r="139" spans="1:21" x14ac:dyDescent="0.25">
      <c r="A139" s="4" t="s">
        <v>2495</v>
      </c>
      <c r="B139" s="4" t="s">
        <v>5544</v>
      </c>
      <c r="C139" s="4" t="str">
        <f>IFERROR(INDEX('Projekt-Budget-Übersicht'!$C:$C,MATCH(2818,'Projekt-Budget-Übersicht'!$L:$L,0)),"")</f>
        <v/>
      </c>
      <c r="D139" s="4">
        <v>16</v>
      </c>
      <c r="E139" s="4">
        <v>36.75</v>
      </c>
      <c r="F139" s="5">
        <f>SUM(F58,I58,K58)</f>
        <v>0.5</v>
      </c>
      <c r="G139" s="15">
        <v>229.69</v>
      </c>
      <c r="H139" s="5">
        <f>SUM(H58)</f>
        <v>0</v>
      </c>
      <c r="I139" s="5">
        <f t="shared" si="12"/>
        <v>0</v>
      </c>
      <c r="J139" s="4" t="s">
        <v>5531</v>
      </c>
      <c r="K139" s="5">
        <f>SUM(K58)</f>
        <v>0</v>
      </c>
      <c r="L139" s="10">
        <f>IF($B$2="-",0,IFERROR(INDEX(IF($B$2="SV",'Projekt-Budget-Übersicht'!$H:$H,IF($B$2="CAD",'Projekt-Budget-Übersicht'!$I:$I,IF($B$2="ADM",'Projekt-Budget-Übersicht'!$J:$J,'Projekt-Budget-Übersicht'!$H:$H))),MATCH(2818,'Projekt-Budget-Übersicht'!$L:$L,0)),0))</f>
        <v>0</v>
      </c>
      <c r="M139" s="10">
        <f t="shared" si="13"/>
        <v>0</v>
      </c>
      <c r="N139" s="10">
        <f t="shared" si="14"/>
        <v>0</v>
      </c>
      <c r="O139" s="10">
        <f t="shared" si="15"/>
        <v>0</v>
      </c>
      <c r="P139" s="10">
        <f>'E. Bieler'!M93+'J. Dorn'!M139+'R. Böttiger'!M92</f>
        <v>0</v>
      </c>
      <c r="Q139" s="10">
        <f>IFERROR(INDEX('Projekt-Budget-Übersicht'!$E:$E,MATCH(2818,'Projekt-Budget-Übersicht'!$L:$L,0)),0)</f>
        <v>0</v>
      </c>
      <c r="R139" s="10">
        <v>71.650000000000006</v>
      </c>
      <c r="S139" s="4"/>
      <c r="T139" s="4"/>
      <c r="U139" s="4"/>
    </row>
    <row r="140" spans="1:21" x14ac:dyDescent="0.25">
      <c r="A140" s="21" t="s">
        <v>2578</v>
      </c>
      <c r="B140" s="4" t="s">
        <v>5521</v>
      </c>
      <c r="C140" s="4" t="str">
        <f>IFERROR(INDEX('Projekt-Budget-Übersicht'!$C:$C,MATCH(2892,'Projekt-Budget-Übersicht'!$L:$L,0)),"")</f>
        <v/>
      </c>
      <c r="D140" s="4">
        <v>16</v>
      </c>
      <c r="E140" s="4">
        <v>9.25</v>
      </c>
      <c r="F140" s="5">
        <f>SUM(F21,I21,K21)</f>
        <v>0.25</v>
      </c>
      <c r="G140" s="16">
        <v>57.81</v>
      </c>
      <c r="H140" s="5">
        <f>SUM(H21)</f>
        <v>0</v>
      </c>
      <c r="I140" s="5">
        <f t="shared" si="12"/>
        <v>0</v>
      </c>
      <c r="J140" s="4" t="s">
        <v>5531</v>
      </c>
      <c r="K140" s="5">
        <f>SUM(K21)</f>
        <v>0</v>
      </c>
      <c r="L140" s="10">
        <f>IF($B$2="-",0,IFERROR(INDEX(IF($B$2="SV",'Projekt-Budget-Übersicht'!$H:$H,IF($B$2="CAD",'Projekt-Budget-Übersicht'!$I:$I,IF($B$2="ADM",'Projekt-Budget-Übersicht'!$J:$J,'Projekt-Budget-Übersicht'!$H:$H))),MATCH(2892,'Projekt-Budget-Übersicht'!$L:$L,0)),0))</f>
        <v>0</v>
      </c>
      <c r="M140" s="10">
        <f t="shared" si="13"/>
        <v>0</v>
      </c>
      <c r="N140" s="10">
        <f t="shared" si="14"/>
        <v>0</v>
      </c>
      <c r="O140" s="10">
        <f t="shared" si="15"/>
        <v>0</v>
      </c>
      <c r="P140" s="10">
        <f>'J. Dorn'!M140</f>
        <v>0</v>
      </c>
      <c r="Q140" s="10">
        <f>IFERROR(INDEX('Projekt-Budget-Übersicht'!$E:$E,MATCH(2892,'Projekt-Budget-Übersicht'!$L:$L,0)),0)</f>
        <v>0</v>
      </c>
      <c r="R140" s="10">
        <v>832.5</v>
      </c>
      <c r="S140" s="4"/>
      <c r="T140" s="4"/>
      <c r="U140" s="4"/>
    </row>
    <row r="141" spans="1:21" x14ac:dyDescent="0.25">
      <c r="A141" s="22"/>
      <c r="B141" s="4" t="s">
        <v>5516</v>
      </c>
      <c r="C141" s="4" t="str">
        <f>IFERROR(INDEX('Projekt-Budget-Übersicht'!$C:$C,MATCH(2893,'Projekt-Budget-Übersicht'!$L:$L,0)),"")</f>
        <v/>
      </c>
      <c r="D141" s="4">
        <v>37</v>
      </c>
      <c r="E141" s="4">
        <v>27.75</v>
      </c>
      <c r="F141" s="5">
        <f>SUM(F59,F90,I59,I90,K59,K90)</f>
        <v>4.25</v>
      </c>
      <c r="G141" s="16">
        <v>75</v>
      </c>
      <c r="H141" s="5">
        <f>SUM(H59,H90)</f>
        <v>0</v>
      </c>
      <c r="I141" s="5">
        <f t="shared" si="12"/>
        <v>0</v>
      </c>
      <c r="J141" s="4" t="s">
        <v>5531</v>
      </c>
      <c r="K141" s="5">
        <f>SUM(K59,K90)</f>
        <v>0</v>
      </c>
      <c r="L141" s="10">
        <f>IF($B$2="-",0,IFERROR(INDEX(IF($B$2="SV",'Projekt-Budget-Übersicht'!$H:$H,IF($B$2="CAD",'Projekt-Budget-Übersicht'!$I:$I,IF($B$2="ADM",'Projekt-Budget-Übersicht'!$J:$J,'Projekt-Budget-Übersicht'!$H:$H))),MATCH(2893,'Projekt-Budget-Übersicht'!$L:$L,0)),0))</f>
        <v>0</v>
      </c>
      <c r="M141" s="10">
        <f t="shared" si="13"/>
        <v>0</v>
      </c>
      <c r="N141" s="10">
        <f t="shared" si="14"/>
        <v>0</v>
      </c>
      <c r="O141" s="10">
        <f t="shared" si="15"/>
        <v>0</v>
      </c>
      <c r="P141" s="10">
        <f>'A. Kokott'!M162+'J. Dorn'!M141+'M. Bandlofsky'!M101+'O. Haag BS-CAD'!M175+'T. Trautmann'!M139</f>
        <v>0</v>
      </c>
      <c r="Q141" s="10">
        <f>IFERROR(INDEX('Projekt-Budget-Übersicht'!$E:$E,MATCH(2893,'Projekt-Budget-Übersicht'!$L:$L,0)),0)</f>
        <v>0</v>
      </c>
      <c r="R141" s="10">
        <v>1736.25</v>
      </c>
      <c r="S141" s="4"/>
      <c r="T141" s="4"/>
      <c r="U141" s="4"/>
    </row>
    <row r="142" spans="1:21" x14ac:dyDescent="0.25">
      <c r="A142" s="4" t="s">
        <v>2834</v>
      </c>
      <c r="B142" s="4" t="s">
        <v>5459</v>
      </c>
      <c r="C142" s="4" t="str">
        <f>IFERROR(INDEX('Projekt-Budget-Übersicht'!$C:$C,MATCH(3122,'Projekt-Budget-Übersicht'!$L:$L,0)),"")</f>
        <v/>
      </c>
      <c r="D142" s="4">
        <v>6</v>
      </c>
      <c r="E142" s="4">
        <v>48</v>
      </c>
      <c r="F142" s="5">
        <f>SUM(F23,F61,F92,I23,I61,I92,K23,K61,K92)</f>
        <v>13.25</v>
      </c>
      <c r="G142" s="15">
        <v>800</v>
      </c>
      <c r="H142" s="5">
        <f>SUM(H23,H61,H92)</f>
        <v>0</v>
      </c>
      <c r="I142" s="5">
        <f t="shared" si="12"/>
        <v>0</v>
      </c>
      <c r="J142" s="4" t="s">
        <v>5531</v>
      </c>
      <c r="K142" s="5">
        <f>SUM(K23,K61,K92)</f>
        <v>0</v>
      </c>
      <c r="L142" s="10">
        <f>IF($B$2="-",0,IFERROR(INDEX(IF($B$2="SV",'Projekt-Budget-Übersicht'!$H:$H,IF($B$2="CAD",'Projekt-Budget-Übersicht'!$I:$I,IF($B$2="ADM",'Projekt-Budget-Übersicht'!$J:$J,'Projekt-Budget-Übersicht'!$H:$H))),MATCH(3122,'Projekt-Budget-Übersicht'!$L:$L,0)),0))</f>
        <v>0</v>
      </c>
      <c r="M142" s="10">
        <f t="shared" si="13"/>
        <v>0</v>
      </c>
      <c r="N142" s="10">
        <f t="shared" si="14"/>
        <v>0</v>
      </c>
      <c r="O142" s="10">
        <f t="shared" si="15"/>
        <v>0</v>
      </c>
      <c r="P142" s="10">
        <f>'A. Kokott'!M165+'E. Bieler'!M94+'J. Dorchies'!M41+'J. Dorn'!M142+'O. Haag BS-CAD'!M178+'P. Bergner'!M88+'R. Böttiger'!M95</f>
        <v>0</v>
      </c>
      <c r="Q142" s="10">
        <f>IFERROR(INDEX('Projekt-Budget-Übersicht'!$E:$E,MATCH(3122,'Projekt-Budget-Übersicht'!$L:$L,0)),0)</f>
        <v>0</v>
      </c>
      <c r="R142" s="10">
        <v>2985.82</v>
      </c>
      <c r="S142" s="4"/>
      <c r="T142" s="4"/>
      <c r="U142" s="4"/>
    </row>
    <row r="143" spans="1:21" x14ac:dyDescent="0.25">
      <c r="A143" s="4" t="s">
        <v>2903</v>
      </c>
      <c r="B143" s="4" t="s">
        <v>5459</v>
      </c>
      <c r="C143" s="4" t="str">
        <f>IFERROR(INDEX('Projekt-Budget-Übersicht'!$C:$C,MATCH(3178,'Projekt-Budget-Übersicht'!$L:$L,0)),"")</f>
        <v/>
      </c>
      <c r="D143" s="4">
        <v>25</v>
      </c>
      <c r="E143" s="4">
        <v>5.25</v>
      </c>
      <c r="F143" s="5">
        <f>SUM(F24,I24,K24)</f>
        <v>3.75</v>
      </c>
      <c r="G143" s="16">
        <v>21</v>
      </c>
      <c r="H143" s="5">
        <f>SUM(H24)</f>
        <v>0</v>
      </c>
      <c r="I143" s="5">
        <f t="shared" si="12"/>
        <v>0</v>
      </c>
      <c r="J143" s="4" t="s">
        <v>5531</v>
      </c>
      <c r="K143" s="5">
        <f>SUM(K24)</f>
        <v>0</v>
      </c>
      <c r="L143" s="10">
        <f>IF($B$2="-",0,IFERROR(INDEX(IF($B$2="SV",'Projekt-Budget-Übersicht'!$H:$H,IF($B$2="CAD",'Projekt-Budget-Übersicht'!$I:$I,IF($B$2="ADM",'Projekt-Budget-Übersicht'!$J:$J,'Projekt-Budget-Übersicht'!$H:$H))),MATCH(3178,'Projekt-Budget-Übersicht'!$L:$L,0)),0))</f>
        <v>0</v>
      </c>
      <c r="M143" s="10">
        <f t="shared" si="13"/>
        <v>0</v>
      </c>
      <c r="N143" s="10">
        <f t="shared" si="14"/>
        <v>0</v>
      </c>
      <c r="O143" s="10">
        <f t="shared" si="15"/>
        <v>0</v>
      </c>
      <c r="P143" s="10">
        <f>'J. Dorn'!M143</f>
        <v>0</v>
      </c>
      <c r="Q143" s="10">
        <f>IFERROR(INDEX('Projekt-Budget-Übersicht'!$E:$E,MATCH(3178,'Projekt-Budget-Übersicht'!$L:$L,0)),0)</f>
        <v>0</v>
      </c>
      <c r="R143" s="10">
        <v>382.5</v>
      </c>
      <c r="S143" s="4"/>
      <c r="T143" s="4"/>
      <c r="U143" s="4"/>
    </row>
    <row r="144" spans="1:21" x14ac:dyDescent="0.25">
      <c r="A144" s="4" t="s">
        <v>2913</v>
      </c>
      <c r="B144" s="4" t="s">
        <v>5504</v>
      </c>
      <c r="C144" s="4" t="str">
        <f>IFERROR(INDEX('Projekt-Budget-Übersicht'!$C:$C,MATCH(3186,'Projekt-Budget-Übersicht'!$L:$L,0)),"")</f>
        <v/>
      </c>
      <c r="D144" s="4">
        <v>1560</v>
      </c>
      <c r="E144" s="4">
        <v>1568</v>
      </c>
      <c r="F144" s="5">
        <f>SUM(F25,F62,I25,I62,K25,K62)</f>
        <v>4.75</v>
      </c>
      <c r="G144" s="15">
        <v>100.51</v>
      </c>
      <c r="H144" s="5">
        <f>SUM(H25,H62)</f>
        <v>0</v>
      </c>
      <c r="I144" s="5">
        <f t="shared" si="12"/>
        <v>0</v>
      </c>
      <c r="J144" s="4" t="s">
        <v>5531</v>
      </c>
      <c r="K144" s="5">
        <f>SUM(K25,K62)</f>
        <v>0</v>
      </c>
      <c r="L144" s="10">
        <f>IF($B$2="-",0,IFERROR(INDEX(IF($B$2="SV",'Projekt-Budget-Übersicht'!$H:$H,IF($B$2="CAD",'Projekt-Budget-Übersicht'!$I:$I,IF($B$2="ADM",'Projekt-Budget-Übersicht'!$J:$J,'Projekt-Budget-Übersicht'!$H:$H))),MATCH(3186,'Projekt-Budget-Übersicht'!$L:$L,0)),0))</f>
        <v>0</v>
      </c>
      <c r="M144" s="10">
        <f t="shared" si="13"/>
        <v>0</v>
      </c>
      <c r="N144" s="10">
        <f t="shared" si="14"/>
        <v>0</v>
      </c>
      <c r="O144" s="10">
        <f t="shared" si="15"/>
        <v>0</v>
      </c>
      <c r="P144" s="10">
        <f>'J. Dorn'!M144</f>
        <v>0</v>
      </c>
      <c r="Q144" s="10">
        <f>IFERROR(INDEX('Projekt-Budget-Übersicht'!$E:$E,MATCH(3186,'Projekt-Budget-Übersicht'!$L:$L,0)),0)</f>
        <v>0</v>
      </c>
      <c r="R144" s="10">
        <v>132885.43</v>
      </c>
      <c r="S144" s="4"/>
      <c r="T144" s="4"/>
      <c r="U144" s="4"/>
    </row>
    <row r="145" spans="1:21" x14ac:dyDescent="0.25">
      <c r="A145" s="4" t="s">
        <v>2966</v>
      </c>
      <c r="B145" s="4" t="s">
        <v>5459</v>
      </c>
      <c r="C145" s="4" t="str">
        <f>IFERROR(INDEX('Projekt-Budget-Übersicht'!$C:$C,MATCH(3235,'Projekt-Budget-Übersicht'!$L:$L,0)),"")</f>
        <v/>
      </c>
      <c r="D145" s="4">
        <v>18.75</v>
      </c>
      <c r="E145" s="4">
        <v>53.25</v>
      </c>
      <c r="F145" s="5">
        <f>SUM(F63,F93,I63,I93,K63,K93)</f>
        <v>3.5</v>
      </c>
      <c r="G145" s="15">
        <v>284</v>
      </c>
      <c r="H145" s="5">
        <f>SUM(H63,H93)</f>
        <v>0</v>
      </c>
      <c r="I145" s="5">
        <f t="shared" si="12"/>
        <v>0</v>
      </c>
      <c r="J145" s="4" t="s">
        <v>5531</v>
      </c>
      <c r="K145" s="5">
        <f>SUM(K63,K93)</f>
        <v>0</v>
      </c>
      <c r="L145" s="10">
        <f>IF($B$2="-",0,IFERROR(INDEX(IF($B$2="SV",'Projekt-Budget-Übersicht'!$H:$H,IF($B$2="CAD",'Projekt-Budget-Übersicht'!$I:$I,IF($B$2="ADM",'Projekt-Budget-Übersicht'!$J:$J,'Projekt-Budget-Übersicht'!$H:$H))),MATCH(3235,'Projekt-Budget-Übersicht'!$L:$L,0)),0))</f>
        <v>0</v>
      </c>
      <c r="M145" s="10">
        <f t="shared" si="13"/>
        <v>0</v>
      </c>
      <c r="N145" s="10">
        <f t="shared" si="14"/>
        <v>0</v>
      </c>
      <c r="O145" s="10">
        <f t="shared" si="15"/>
        <v>0</v>
      </c>
      <c r="P145" s="10">
        <f>'J. Dorn'!M145</f>
        <v>0</v>
      </c>
      <c r="Q145" s="10">
        <f>IFERROR(INDEX('Projekt-Budget-Übersicht'!$E:$E,MATCH(3235,'Projekt-Budget-Übersicht'!$L:$L,0)),0)</f>
        <v>0</v>
      </c>
      <c r="R145" s="10"/>
      <c r="S145" s="4"/>
      <c r="T145" s="4"/>
      <c r="U145" s="4"/>
    </row>
    <row r="146" spans="1:21" x14ac:dyDescent="0.25">
      <c r="A146" s="21" t="s">
        <v>3144</v>
      </c>
      <c r="B146" s="4" t="s">
        <v>5521</v>
      </c>
      <c r="C146" s="4" t="str">
        <f>IFERROR(INDEX('Projekt-Budget-Übersicht'!$C:$C,MATCH(3386,'Projekt-Budget-Übersicht'!$L:$L,0)),"")</f>
        <v/>
      </c>
      <c r="D146" s="4">
        <v>6</v>
      </c>
      <c r="E146" s="4">
        <v>15.25</v>
      </c>
      <c r="F146" s="5">
        <f>SUM(F26,I26,K26)</f>
        <v>0.25</v>
      </c>
      <c r="G146" s="15">
        <v>254.17</v>
      </c>
      <c r="H146" s="5">
        <f>SUM(H26)</f>
        <v>0</v>
      </c>
      <c r="I146" s="5">
        <f t="shared" si="12"/>
        <v>0</v>
      </c>
      <c r="J146" s="4" t="s">
        <v>5531</v>
      </c>
      <c r="K146" s="5">
        <f>SUM(K26)</f>
        <v>0</v>
      </c>
      <c r="L146" s="10">
        <f>IF($B$2="-",0,IFERROR(INDEX(IF($B$2="SV",'Projekt-Budget-Übersicht'!$H:$H,IF($B$2="CAD",'Projekt-Budget-Übersicht'!$I:$I,IF($B$2="ADM",'Projekt-Budget-Übersicht'!$J:$J,'Projekt-Budget-Übersicht'!$H:$H))),MATCH(3386,'Projekt-Budget-Übersicht'!$L:$L,0)),0))</f>
        <v>0</v>
      </c>
      <c r="M146" s="10">
        <f t="shared" si="13"/>
        <v>0</v>
      </c>
      <c r="N146" s="10">
        <f t="shared" si="14"/>
        <v>0</v>
      </c>
      <c r="O146" s="10">
        <f t="shared" si="15"/>
        <v>0</v>
      </c>
      <c r="P146" s="10">
        <f>'J. Dorn'!M146</f>
        <v>0</v>
      </c>
      <c r="Q146" s="10">
        <f>IFERROR(INDEX('Projekt-Budget-Übersicht'!$E:$E,MATCH(3386,'Projekt-Budget-Übersicht'!$L:$L,0)),0)</f>
        <v>0</v>
      </c>
      <c r="R146" s="10">
        <v>2435</v>
      </c>
      <c r="S146" s="4"/>
      <c r="T146" s="4"/>
      <c r="U146" s="4"/>
    </row>
    <row r="147" spans="1:21" x14ac:dyDescent="0.25">
      <c r="A147" s="23"/>
      <c r="B147" s="4" t="s">
        <v>5504</v>
      </c>
      <c r="C147" s="4" t="str">
        <f>IFERROR(INDEX('Projekt-Budget-Übersicht'!$C:$C,MATCH(3386,'Projekt-Budget-Übersicht'!$L:$L,0)),"")</f>
        <v/>
      </c>
      <c r="D147" s="4">
        <v>10</v>
      </c>
      <c r="E147" s="4">
        <v>2.75</v>
      </c>
      <c r="F147" s="5">
        <f>SUM(F27,F65,F95,I27,I65,I95,K27,K65,K95)</f>
        <v>1.75</v>
      </c>
      <c r="G147" s="16">
        <v>27.5</v>
      </c>
      <c r="H147" s="5">
        <f>SUM(H27,H65,H95)</f>
        <v>0</v>
      </c>
      <c r="I147" s="5">
        <f t="shared" si="12"/>
        <v>0</v>
      </c>
      <c r="J147" s="4" t="s">
        <v>5531</v>
      </c>
      <c r="K147" s="5">
        <f>SUM(K27,K65,K95)</f>
        <v>0</v>
      </c>
      <c r="L147" s="10">
        <f>IF($B$2="-",0,IFERROR(INDEX(IF($B$2="SV",'Projekt-Budget-Übersicht'!$H:$H,IF($B$2="CAD",'Projekt-Budget-Übersicht'!$I:$I,IF($B$2="ADM",'Projekt-Budget-Übersicht'!$J:$J,'Projekt-Budget-Übersicht'!$H:$H))),MATCH(3386,'Projekt-Budget-Übersicht'!$L:$L,0)),0))</f>
        <v>0</v>
      </c>
      <c r="M147" s="10">
        <f t="shared" si="13"/>
        <v>0</v>
      </c>
      <c r="N147" s="10">
        <f t="shared" si="14"/>
        <v>0</v>
      </c>
      <c r="O147" s="10">
        <f t="shared" si="15"/>
        <v>0</v>
      </c>
      <c r="P147" s="10">
        <f>'J. Dorn'!M147</f>
        <v>0</v>
      </c>
      <c r="Q147" s="10">
        <f>IFERROR(INDEX('Projekt-Budget-Übersicht'!$E:$E,MATCH(3386,'Projekt-Budget-Übersicht'!$L:$L,0)),0)</f>
        <v>0</v>
      </c>
      <c r="R147" s="10">
        <v>2435</v>
      </c>
      <c r="S147" s="4"/>
      <c r="T147" s="4"/>
      <c r="U147" s="4"/>
    </row>
    <row r="148" spans="1:21" x14ac:dyDescent="0.25">
      <c r="A148" s="22"/>
      <c r="B148" s="4" t="s">
        <v>5544</v>
      </c>
      <c r="C148" s="4" t="str">
        <f>IFERROR(INDEX('Projekt-Budget-Übersicht'!$C:$C,MATCH(3386,'Projekt-Budget-Übersicht'!$L:$L,0)),"")</f>
        <v/>
      </c>
      <c r="D148" s="4">
        <v>12</v>
      </c>
      <c r="E148" s="4">
        <v>6.75</v>
      </c>
      <c r="F148" s="5">
        <f>SUM(F96,I96,K96)</f>
        <v>3</v>
      </c>
      <c r="G148" s="16">
        <v>56.25</v>
      </c>
      <c r="H148" s="5">
        <f>SUM(H96)</f>
        <v>0</v>
      </c>
      <c r="I148" s="5">
        <f t="shared" si="12"/>
        <v>0</v>
      </c>
      <c r="J148" s="4" t="s">
        <v>5531</v>
      </c>
      <c r="K148" s="5">
        <f>SUM(K96)</f>
        <v>0</v>
      </c>
      <c r="L148" s="10">
        <f>IF($B$2="-",0,IFERROR(INDEX(IF($B$2="SV",'Projekt-Budget-Übersicht'!$H:$H,IF($B$2="CAD",'Projekt-Budget-Übersicht'!$I:$I,IF($B$2="ADM",'Projekt-Budget-Übersicht'!$J:$J,'Projekt-Budget-Übersicht'!$H:$H))),MATCH(3386,'Projekt-Budget-Übersicht'!$L:$L,0)),0))</f>
        <v>0</v>
      </c>
      <c r="M148" s="10">
        <f t="shared" si="13"/>
        <v>0</v>
      </c>
      <c r="N148" s="10">
        <f t="shared" si="14"/>
        <v>0</v>
      </c>
      <c r="O148" s="10">
        <f t="shared" si="15"/>
        <v>0</v>
      </c>
      <c r="P148" s="10">
        <f>'J. Dorn'!M148</f>
        <v>0</v>
      </c>
      <c r="Q148" s="10">
        <f>IFERROR(INDEX('Projekt-Budget-Übersicht'!$E:$E,MATCH(3386,'Projekt-Budget-Übersicht'!$L:$L,0)),0)</f>
        <v>0</v>
      </c>
      <c r="R148" s="10">
        <v>2435</v>
      </c>
      <c r="S148" s="4"/>
      <c r="T148" s="4"/>
      <c r="U148" s="4"/>
    </row>
    <row r="149" spans="1:21" x14ac:dyDescent="0.25">
      <c r="A149" s="21" t="s">
        <v>3168</v>
      </c>
      <c r="B149" s="4" t="s">
        <v>5594</v>
      </c>
      <c r="C149" s="4" t="str">
        <f>IFERROR(INDEX('Projekt-Budget-Übersicht'!$C:$C,MATCH(3402,'Projekt-Budget-Übersicht'!$L:$L,0)),"")</f>
        <v/>
      </c>
      <c r="D149" s="4">
        <v>66</v>
      </c>
      <c r="E149" s="4">
        <v>3.25</v>
      </c>
      <c r="F149" s="5">
        <f>SUM(F66,F97,I66,I97,K66,K97)</f>
        <v>0.75</v>
      </c>
      <c r="G149" s="16">
        <v>4.92</v>
      </c>
      <c r="H149" s="5">
        <f>SUM(H66,H97)</f>
        <v>0</v>
      </c>
      <c r="I149" s="5">
        <f t="shared" si="12"/>
        <v>0</v>
      </c>
      <c r="J149" s="4" t="s">
        <v>5531</v>
      </c>
      <c r="K149" s="5">
        <f>SUM(K66,K97)</f>
        <v>0</v>
      </c>
      <c r="L149" s="10">
        <f>IF($B$2="-",0,IFERROR(INDEX(IF($B$2="SV",'Projekt-Budget-Übersicht'!$H:$H,IF($B$2="CAD",'Projekt-Budget-Übersicht'!$I:$I,IF($B$2="ADM",'Projekt-Budget-Übersicht'!$J:$J,'Projekt-Budget-Übersicht'!$H:$H))),MATCH(3402,'Projekt-Budget-Übersicht'!$L:$L,0)),0))</f>
        <v>0</v>
      </c>
      <c r="M149" s="10">
        <f t="shared" si="13"/>
        <v>0</v>
      </c>
      <c r="N149" s="10">
        <f t="shared" si="14"/>
        <v>0</v>
      </c>
      <c r="O149" s="10">
        <f t="shared" si="15"/>
        <v>0</v>
      </c>
      <c r="P149" s="10">
        <f>'J. Dorn'!M149</f>
        <v>0</v>
      </c>
      <c r="Q149" s="10">
        <f>IFERROR(INDEX('Projekt-Budget-Übersicht'!$E:$E,MATCH(3402,'Projekt-Budget-Übersicht'!$L:$L,0)),0)</f>
        <v>0</v>
      </c>
      <c r="R149" s="10">
        <v>769.15</v>
      </c>
      <c r="S149" s="4"/>
      <c r="T149" s="4"/>
      <c r="U149" s="4"/>
    </row>
    <row r="150" spans="1:21" x14ac:dyDescent="0.25">
      <c r="A150" s="22"/>
      <c r="B150" s="4" t="s">
        <v>5597</v>
      </c>
      <c r="C150" s="4" t="str">
        <f>IFERROR(INDEX('Projekt-Budget-Übersicht'!$C:$C,MATCH(3402,'Projekt-Budget-Übersicht'!$L:$L,0)),"")</f>
        <v/>
      </c>
      <c r="D150" s="4">
        <v>56</v>
      </c>
      <c r="E150" s="4">
        <v>6.5</v>
      </c>
      <c r="F150" s="5">
        <f>SUM(F98,I98,K98)</f>
        <v>5</v>
      </c>
      <c r="G150" s="16">
        <v>11.61</v>
      </c>
      <c r="H150" s="5">
        <f>SUM(H98)</f>
        <v>0</v>
      </c>
      <c r="I150" s="5">
        <f t="shared" si="12"/>
        <v>0</v>
      </c>
      <c r="J150" s="4" t="s">
        <v>5531</v>
      </c>
      <c r="K150" s="5">
        <f>SUM(K98)</f>
        <v>0</v>
      </c>
      <c r="L150" s="10">
        <f>IF($B$2="-",0,IFERROR(INDEX(IF($B$2="SV",'Projekt-Budget-Übersicht'!$H:$H,IF($B$2="CAD",'Projekt-Budget-Übersicht'!$I:$I,IF($B$2="ADM",'Projekt-Budget-Übersicht'!$J:$J,'Projekt-Budget-Übersicht'!$H:$H))),MATCH(3402,'Projekt-Budget-Übersicht'!$L:$L,0)),0))</f>
        <v>0</v>
      </c>
      <c r="M150" s="10">
        <f t="shared" si="13"/>
        <v>0</v>
      </c>
      <c r="N150" s="10">
        <f t="shared" si="14"/>
        <v>0</v>
      </c>
      <c r="O150" s="10">
        <f t="shared" si="15"/>
        <v>0</v>
      </c>
      <c r="P150" s="10">
        <f>'J. Dorn'!M150</f>
        <v>0</v>
      </c>
      <c r="Q150" s="10">
        <f>IFERROR(INDEX('Projekt-Budget-Übersicht'!$E:$E,MATCH(3402,'Projekt-Budget-Übersicht'!$L:$L,0)),0)</f>
        <v>0</v>
      </c>
      <c r="R150" s="10">
        <v>769.15</v>
      </c>
      <c r="S150" s="4"/>
      <c r="T150" s="4"/>
      <c r="U150" s="4"/>
    </row>
    <row r="151" spans="1:21" x14ac:dyDescent="0.25">
      <c r="A151" s="4" t="s">
        <v>4109</v>
      </c>
      <c r="B151" s="4" t="s">
        <v>5596</v>
      </c>
      <c r="C151" s="4" t="str">
        <f>IFERROR(INDEX('Projekt-Budget-Übersicht'!$C:$C,MATCH(4225,'Projekt-Budget-Übersicht'!$L:$L,0)),"")</f>
        <v/>
      </c>
      <c r="D151" s="4">
        <v>46</v>
      </c>
      <c r="E151" s="4">
        <v>2.5</v>
      </c>
      <c r="F151" s="5">
        <f>SUM(F71,I71,K71)</f>
        <v>2.5</v>
      </c>
      <c r="G151" s="16">
        <v>5.43</v>
      </c>
      <c r="H151" s="5">
        <f>SUM(H71)</f>
        <v>0</v>
      </c>
      <c r="I151" s="5">
        <f t="shared" si="12"/>
        <v>0</v>
      </c>
      <c r="J151" s="4" t="s">
        <v>5531</v>
      </c>
      <c r="K151" s="5">
        <f>SUM(K71)</f>
        <v>0</v>
      </c>
      <c r="L151" s="10">
        <f>IF($B$2="-",0,IFERROR(INDEX(IF($B$2="SV",'Projekt-Budget-Übersicht'!$H:$H,IF($B$2="CAD",'Projekt-Budget-Übersicht'!$I:$I,IF($B$2="ADM",'Projekt-Budget-Übersicht'!$J:$J,'Projekt-Budget-Übersicht'!$H:$H))),MATCH(4225,'Projekt-Budget-Übersicht'!$L:$L,0)),0))</f>
        <v>0</v>
      </c>
      <c r="M151" s="10">
        <f t="shared" si="13"/>
        <v>0</v>
      </c>
      <c r="N151" s="10">
        <f t="shared" si="14"/>
        <v>0</v>
      </c>
      <c r="O151" s="10">
        <f t="shared" si="15"/>
        <v>0</v>
      </c>
      <c r="P151" s="10">
        <f>'J. Dorn'!M151+'O. Haag BS-CAD'!M190</f>
        <v>0</v>
      </c>
      <c r="Q151" s="10">
        <f>IFERROR(INDEX('Projekt-Budget-Übersicht'!$E:$E,MATCH(4225,'Projekt-Budget-Übersicht'!$L:$L,0)),0)</f>
        <v>0</v>
      </c>
      <c r="R151" s="10">
        <v>210.79</v>
      </c>
      <c r="S151" s="4"/>
      <c r="T151" s="4"/>
      <c r="U151" s="4"/>
    </row>
    <row r="152" spans="1:21" x14ac:dyDescent="0.25">
      <c r="A152" s="4" t="s">
        <v>4278</v>
      </c>
      <c r="B152" s="4" t="s">
        <v>5459</v>
      </c>
      <c r="C152" s="4" t="str">
        <f>IFERROR(INDEX('Projekt-Budget-Übersicht'!$C:$C,MATCH(4368,'Projekt-Budget-Übersicht'!$L:$L,0)),"")</f>
        <v/>
      </c>
      <c r="D152" s="4">
        <v>13</v>
      </c>
      <c r="E152" s="4">
        <v>146.75</v>
      </c>
      <c r="F152" s="5">
        <f>SUM(F33,I33,K33)</f>
        <v>5.25</v>
      </c>
      <c r="G152" s="15">
        <v>1128.8499999999999</v>
      </c>
      <c r="H152" s="5">
        <f>SUM(H33)</f>
        <v>0</v>
      </c>
      <c r="I152" s="5">
        <f t="shared" si="12"/>
        <v>0</v>
      </c>
      <c r="J152" s="4" t="s">
        <v>5531</v>
      </c>
      <c r="K152" s="5">
        <f>SUM(K33)</f>
        <v>0</v>
      </c>
      <c r="L152" s="10">
        <f>IF($B$2="-",0,IFERROR(INDEX(IF($B$2="SV",'Projekt-Budget-Übersicht'!$H:$H,IF($B$2="CAD",'Projekt-Budget-Übersicht'!$I:$I,IF($B$2="ADM",'Projekt-Budget-Übersicht'!$J:$J,'Projekt-Budget-Übersicht'!$H:$H))),MATCH(4368,'Projekt-Budget-Übersicht'!$L:$L,0)),0))</f>
        <v>0</v>
      </c>
      <c r="M152" s="10">
        <f t="shared" si="13"/>
        <v>0</v>
      </c>
      <c r="N152" s="10">
        <f t="shared" si="14"/>
        <v>0</v>
      </c>
      <c r="O152" s="10">
        <f t="shared" si="15"/>
        <v>0</v>
      </c>
      <c r="P152" s="10">
        <f>'E. Bieler'!M97+'J. Dorchies'!M43+'J. Dorn'!M152+'R. Böttiger'!M97</f>
        <v>0</v>
      </c>
      <c r="Q152" s="10">
        <f>IFERROR(INDEX('Projekt-Budget-Übersicht'!$E:$E,MATCH(4368,'Projekt-Budget-Übersicht'!$L:$L,0)),0)</f>
        <v>0</v>
      </c>
      <c r="R152" s="10">
        <v>1720.79</v>
      </c>
      <c r="S152" s="4"/>
      <c r="T152" s="4"/>
      <c r="U152" s="4"/>
    </row>
    <row r="153" spans="1:21" x14ac:dyDescent="0.25">
      <c r="A153" s="4" t="s">
        <v>4347</v>
      </c>
      <c r="B153" s="4" t="s">
        <v>5592</v>
      </c>
      <c r="C153" s="4" t="str">
        <f>IFERROR(INDEX('Projekt-Budget-Übersicht'!$C:$C,MATCH(4420,'Projekt-Budget-Übersicht'!$L:$L,0)),"")</f>
        <v/>
      </c>
      <c r="D153" s="4">
        <v>20</v>
      </c>
      <c r="E153" s="4">
        <v>31.5</v>
      </c>
      <c r="F153" s="5">
        <f>SUM(F34,I34,K34)</f>
        <v>1</v>
      </c>
      <c r="G153" s="15">
        <v>157.5</v>
      </c>
      <c r="H153" s="5">
        <f>SUM(H34)</f>
        <v>0</v>
      </c>
      <c r="I153" s="5">
        <f t="shared" si="12"/>
        <v>0</v>
      </c>
      <c r="J153" s="4" t="s">
        <v>5531</v>
      </c>
      <c r="K153" s="5">
        <f>SUM(K34)</f>
        <v>0</v>
      </c>
      <c r="L153" s="10">
        <f>IF($B$2="-",0,IFERROR(INDEX(IF($B$2="SV",'Projekt-Budget-Übersicht'!$H:$H,IF($B$2="CAD",'Projekt-Budget-Übersicht'!$I:$I,IF($B$2="ADM",'Projekt-Budget-Übersicht'!$J:$J,'Projekt-Budget-Übersicht'!$H:$H))),MATCH(4420,'Projekt-Budget-Übersicht'!$L:$L,0)),0))</f>
        <v>0</v>
      </c>
      <c r="M153" s="10">
        <f t="shared" si="13"/>
        <v>0</v>
      </c>
      <c r="N153" s="10">
        <f t="shared" si="14"/>
        <v>0</v>
      </c>
      <c r="O153" s="10">
        <f t="shared" si="15"/>
        <v>0</v>
      </c>
      <c r="P153" s="10">
        <f>'J. Dorn'!M153+'S. Schüler'!M166</f>
        <v>0</v>
      </c>
      <c r="Q153" s="10">
        <f>IFERROR(INDEX('Projekt-Budget-Übersicht'!$E:$E,MATCH(4420,'Projekt-Budget-Übersicht'!$L:$L,0)),0)</f>
        <v>0</v>
      </c>
      <c r="R153" s="10">
        <v>2697.5</v>
      </c>
      <c r="S153" s="4"/>
      <c r="T153" s="4"/>
      <c r="U153" s="4"/>
    </row>
    <row r="154" spans="1:21" x14ac:dyDescent="0.25">
      <c r="A154" s="4" t="s">
        <v>4373</v>
      </c>
      <c r="B154" s="4" t="s">
        <v>5459</v>
      </c>
      <c r="C154" s="4" t="str">
        <f>IFERROR(INDEX('Projekt-Budget-Übersicht'!$C:$C,MATCH(4448,'Projekt-Budget-Übersicht'!$L:$L,0)),"")</f>
        <v/>
      </c>
      <c r="D154" s="4">
        <v>19</v>
      </c>
      <c r="E154" s="4">
        <v>22</v>
      </c>
      <c r="F154" s="5">
        <f>SUM(F102,I102,K102)</f>
        <v>3</v>
      </c>
      <c r="G154" s="15">
        <v>115.79</v>
      </c>
      <c r="H154" s="5">
        <f>SUM(H102)</f>
        <v>0</v>
      </c>
      <c r="I154" s="5">
        <f t="shared" si="12"/>
        <v>0</v>
      </c>
      <c r="J154" s="4" t="s">
        <v>5531</v>
      </c>
      <c r="K154" s="5">
        <f>SUM(K102)</f>
        <v>0</v>
      </c>
      <c r="L154" s="10">
        <f>IF($B$2="-",0,IFERROR(INDEX(IF($B$2="SV",'Projekt-Budget-Übersicht'!$H:$H,IF($B$2="CAD",'Projekt-Budget-Übersicht'!$I:$I,IF($B$2="ADM",'Projekt-Budget-Übersicht'!$J:$J,'Projekt-Budget-Übersicht'!$H:$H))),MATCH(4448,'Projekt-Budget-Übersicht'!$L:$L,0)),0))</f>
        <v>0</v>
      </c>
      <c r="M154" s="10">
        <f t="shared" si="13"/>
        <v>0</v>
      </c>
      <c r="N154" s="10">
        <f t="shared" si="14"/>
        <v>0</v>
      </c>
      <c r="O154" s="10">
        <f t="shared" si="15"/>
        <v>0</v>
      </c>
      <c r="P154" s="10">
        <f>'J. Dorn'!M154+'R. Böttiger'!M98+'T. Trautmann'!M148</f>
        <v>0</v>
      </c>
      <c r="Q154" s="10">
        <f>IFERROR(INDEX('Projekt-Budget-Übersicht'!$E:$E,MATCH(4448,'Projekt-Budget-Übersicht'!$L:$L,0)),0)</f>
        <v>0</v>
      </c>
      <c r="R154" s="10">
        <v>2173.75</v>
      </c>
      <c r="S154" s="4"/>
      <c r="T154" s="4"/>
      <c r="U154" s="4"/>
    </row>
    <row r="155" spans="1:21" x14ac:dyDescent="0.25">
      <c r="A155" s="4" t="s">
        <v>4809</v>
      </c>
      <c r="B155" s="4" t="s">
        <v>5485</v>
      </c>
      <c r="C155" s="4" t="str">
        <f>IFERROR(INDEX('Projekt-Budget-Übersicht'!$C:$C,MATCH(4813,'Projekt-Budget-Übersicht'!$L:$L,0)),"")</f>
        <v/>
      </c>
      <c r="D155" s="4">
        <v>20</v>
      </c>
      <c r="E155" s="4">
        <v>21</v>
      </c>
      <c r="F155" s="5">
        <f>SUM(F72,I72,K72)</f>
        <v>1.5</v>
      </c>
      <c r="G155" s="15">
        <v>105</v>
      </c>
      <c r="H155" s="5">
        <f>SUM(H72)</f>
        <v>0</v>
      </c>
      <c r="I155" s="5">
        <f t="shared" si="12"/>
        <v>0</v>
      </c>
      <c r="J155" s="4" t="s">
        <v>5531</v>
      </c>
      <c r="K155" s="5">
        <f>SUM(K72)</f>
        <v>0</v>
      </c>
      <c r="L155" s="10">
        <f>IF($B$2="-",0,IFERROR(INDEX(IF($B$2="SV",'Projekt-Budget-Übersicht'!$H:$H,IF($B$2="CAD",'Projekt-Budget-Übersicht'!$I:$I,IF($B$2="ADM",'Projekt-Budget-Übersicht'!$J:$J,'Projekt-Budget-Übersicht'!$H:$H))),MATCH(4813,'Projekt-Budget-Übersicht'!$L:$L,0)),0))</f>
        <v>0</v>
      </c>
      <c r="M155" s="10">
        <f t="shared" si="13"/>
        <v>0</v>
      </c>
      <c r="N155" s="10">
        <f t="shared" si="14"/>
        <v>0</v>
      </c>
      <c r="O155" s="10">
        <f t="shared" si="15"/>
        <v>0</v>
      </c>
      <c r="P155" s="10">
        <f>'A. Kokott'!M189+'H. Bektas'!M84+'J. Dorn'!M155</f>
        <v>0</v>
      </c>
      <c r="Q155" s="10">
        <f>IFERROR(INDEX('Projekt-Budget-Übersicht'!$E:$E,MATCH(4813,'Projekt-Budget-Übersicht'!$L:$L,0)),0)</f>
        <v>0</v>
      </c>
      <c r="R155" s="10">
        <v>440</v>
      </c>
      <c r="S155" s="4"/>
      <c r="T155" s="4"/>
      <c r="U155" s="4"/>
    </row>
    <row r="156" spans="1:21" x14ac:dyDescent="0.25">
      <c r="A156" s="4" t="s">
        <v>5038</v>
      </c>
      <c r="B156" s="4" t="s">
        <v>5509</v>
      </c>
      <c r="C156" s="4" t="str">
        <f>IFERROR(INDEX('Projekt-Budget-Übersicht'!$C:$C,MATCH(5020,'Projekt-Budget-Übersicht'!$L:$L,0)),"")</f>
        <v/>
      </c>
      <c r="D156" s="4">
        <v>31</v>
      </c>
      <c r="E156" s="4">
        <v>38.75</v>
      </c>
      <c r="F156" s="5">
        <f>SUM(F35,I35,K35)</f>
        <v>1</v>
      </c>
      <c r="G156" s="15">
        <v>125</v>
      </c>
      <c r="H156" s="5">
        <f>SUM(H35)</f>
        <v>0</v>
      </c>
      <c r="I156" s="5">
        <f t="shared" si="12"/>
        <v>0</v>
      </c>
      <c r="J156" s="4" t="s">
        <v>5531</v>
      </c>
      <c r="K156" s="5">
        <f>SUM(K35)</f>
        <v>0</v>
      </c>
      <c r="L156" s="10">
        <f>IF($B$2="-",0,IFERROR(INDEX(IF($B$2="SV",'Projekt-Budget-Übersicht'!$H:$H,IF($B$2="CAD",'Projekt-Budget-Übersicht'!$I:$I,IF($B$2="ADM",'Projekt-Budget-Übersicht'!$J:$J,'Projekt-Budget-Übersicht'!$H:$H))),MATCH(5020,'Projekt-Budget-Übersicht'!$L:$L,0)),0))</f>
        <v>0</v>
      </c>
      <c r="M156" s="10">
        <f t="shared" si="13"/>
        <v>0</v>
      </c>
      <c r="N156" s="10">
        <f t="shared" si="14"/>
        <v>0</v>
      </c>
      <c r="O156" s="10">
        <f t="shared" si="15"/>
        <v>0</v>
      </c>
      <c r="P156" s="10">
        <f>'A. Kokott'!M201+'E. Bieler'!M111+'J. Dorn'!M156+'M. Bandlofsky'!M105</f>
        <v>0</v>
      </c>
      <c r="Q156" s="10">
        <f>IFERROR(INDEX('Projekt-Budget-Übersicht'!$E:$E,MATCH(5020,'Projekt-Budget-Übersicht'!$L:$L,0)),0)</f>
        <v>0</v>
      </c>
      <c r="R156" s="10">
        <v>756.58</v>
      </c>
      <c r="S156" s="4"/>
      <c r="T156" s="4"/>
      <c r="U156" s="4"/>
    </row>
    <row r="157" spans="1:21" x14ac:dyDescent="0.25">
      <c r="A157" s="4" t="s">
        <v>5414</v>
      </c>
      <c r="B157" s="4" t="s">
        <v>5593</v>
      </c>
      <c r="C157" s="4" t="str">
        <f>IFERROR(INDEX('Projekt-Budget-Übersicht'!$C:$C,MATCH(5362,'Projekt-Budget-Übersicht'!$L:$L,0)),"")</f>
        <v/>
      </c>
      <c r="D157" s="4">
        <v>47</v>
      </c>
      <c r="E157" s="4">
        <v>92.25</v>
      </c>
      <c r="F157" s="5">
        <f>SUM(F36,F73,I36,I73,K36,K73)</f>
        <v>2</v>
      </c>
      <c r="G157" s="15">
        <v>196.28</v>
      </c>
      <c r="H157" s="5">
        <f>SUM(H36,H73)</f>
        <v>0</v>
      </c>
      <c r="I157" s="5">
        <f t="shared" si="12"/>
        <v>0</v>
      </c>
      <c r="J157" s="4" t="s">
        <v>5531</v>
      </c>
      <c r="K157" s="5">
        <f>SUM(K36,K73)</f>
        <v>0</v>
      </c>
      <c r="L157" s="10">
        <f>IF($B$2="-",0,IFERROR(INDEX(IF($B$2="SV",'Projekt-Budget-Übersicht'!$H:$H,IF($B$2="CAD",'Projekt-Budget-Übersicht'!$I:$I,IF($B$2="ADM",'Projekt-Budget-Übersicht'!$J:$J,'Projekt-Budget-Übersicht'!$H:$H))),MATCH(5362,'Projekt-Budget-Übersicht'!$L:$L,0)),0))</f>
        <v>0</v>
      </c>
      <c r="M157" s="10">
        <f t="shared" si="13"/>
        <v>0</v>
      </c>
      <c r="N157" s="10">
        <f t="shared" si="14"/>
        <v>0</v>
      </c>
      <c r="O157" s="10">
        <f t="shared" si="15"/>
        <v>0</v>
      </c>
      <c r="P157" s="10">
        <f>'J. Dorn'!M157+'R. Böttiger'!M108</f>
        <v>0</v>
      </c>
      <c r="Q157" s="10">
        <f>IFERROR(INDEX('Projekt-Budget-Übersicht'!$E:$E,MATCH(5362,'Projekt-Budget-Übersicht'!$L:$L,0)),0)</f>
        <v>0</v>
      </c>
      <c r="R157" s="10">
        <v>2749.15</v>
      </c>
      <c r="S157" s="4"/>
      <c r="T157" s="4"/>
      <c r="U157" s="4"/>
    </row>
    <row r="158" spans="1:21" x14ac:dyDescent="0.25">
      <c r="A158" s="4" t="s">
        <v>5420</v>
      </c>
      <c r="B158" s="4" t="s">
        <v>5593</v>
      </c>
      <c r="C158" s="4" t="str">
        <f>IFERROR(INDEX('Projekt-Budget-Übersicht'!$C:$C,MATCH(5367,'Projekt-Budget-Übersicht'!$L:$L,0)),"")</f>
        <v/>
      </c>
      <c r="D158" s="4">
        <v>3</v>
      </c>
      <c r="E158" s="4">
        <v>66.5</v>
      </c>
      <c r="F158" s="5">
        <f>SUM(F74,I74,K74)</f>
        <v>1.75</v>
      </c>
      <c r="G158" s="15">
        <v>2216.67</v>
      </c>
      <c r="H158" s="5">
        <f>SUM(H74)</f>
        <v>0</v>
      </c>
      <c r="I158" s="5">
        <f t="shared" si="12"/>
        <v>0</v>
      </c>
      <c r="J158" s="4" t="s">
        <v>5531</v>
      </c>
      <c r="K158" s="5">
        <f>SUM(K74)</f>
        <v>0</v>
      </c>
      <c r="L158" s="10">
        <f>IF($B$2="-",0,IFERROR(INDEX(IF($B$2="SV",'Projekt-Budget-Übersicht'!$H:$H,IF($B$2="CAD",'Projekt-Budget-Übersicht'!$I:$I,IF($B$2="ADM",'Projekt-Budget-Übersicht'!$J:$J,'Projekt-Budget-Übersicht'!$H:$H))),MATCH(5367,'Projekt-Budget-Übersicht'!$L:$L,0)),0))</f>
        <v>0</v>
      </c>
      <c r="M158" s="10">
        <f t="shared" si="13"/>
        <v>0</v>
      </c>
      <c r="N158" s="10">
        <f t="shared" si="14"/>
        <v>0</v>
      </c>
      <c r="O158" s="10">
        <f t="shared" si="15"/>
        <v>0</v>
      </c>
      <c r="P158" s="10">
        <f>'J. Dorn'!M158+'R. Böttiger'!M111</f>
        <v>0</v>
      </c>
      <c r="Q158" s="10">
        <f>IFERROR(INDEX('Projekt-Budget-Übersicht'!$E:$E,MATCH(5367,'Projekt-Budget-Übersicht'!$L:$L,0)),0)</f>
        <v>0</v>
      </c>
      <c r="R158" s="10">
        <v>2164.15</v>
      </c>
      <c r="S158" s="4"/>
      <c r="T158" s="4"/>
      <c r="U158" s="4"/>
    </row>
    <row r="160" spans="1:21" x14ac:dyDescent="0.25">
      <c r="A160" s="3"/>
      <c r="B160" s="3" t="s">
        <v>5492</v>
      </c>
      <c r="C160" s="3"/>
      <c r="D160" s="3"/>
      <c r="E160" s="3"/>
      <c r="F160" s="6">
        <f>SUM(F37,F75,F103)</f>
        <v>307</v>
      </c>
      <c r="G160" s="3"/>
      <c r="H160" s="3"/>
      <c r="I160" s="3"/>
      <c r="J160" s="3"/>
      <c r="K160" s="3"/>
      <c r="L160" s="3"/>
      <c r="M160" s="17">
        <f>SUM(M118:M158)</f>
        <v>0</v>
      </c>
      <c r="N160" s="17">
        <f>SUM(N118:N158)</f>
        <v>0</v>
      </c>
      <c r="O160" s="17">
        <f>SUM(O118:O158)</f>
        <v>0</v>
      </c>
      <c r="P160" s="17">
        <f>SUM(P118:P158)</f>
        <v>0</v>
      </c>
      <c r="Q160" s="3"/>
      <c r="R160" s="3"/>
      <c r="S160" s="3"/>
      <c r="T160" s="3"/>
      <c r="U160" s="3"/>
    </row>
    <row r="161" spans="1:21" x14ac:dyDescent="0.25">
      <c r="A161" s="3"/>
      <c r="B161" s="3" t="s">
        <v>4</v>
      </c>
      <c r="C161" s="3"/>
      <c r="D161" s="3"/>
      <c r="E161" s="3"/>
      <c r="F161" s="6">
        <f>G161+H161</f>
        <v>232.25</v>
      </c>
      <c r="G161" s="6">
        <f>SUM(G38,G76,G104)</f>
        <v>232.25</v>
      </c>
      <c r="H161" s="6">
        <v>0</v>
      </c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1:21" x14ac:dyDescent="0.25">
      <c r="A162" s="3"/>
      <c r="B162" s="3" t="s">
        <v>5</v>
      </c>
      <c r="C162" s="3"/>
      <c r="D162" s="3"/>
      <c r="E162" s="3"/>
      <c r="F162" s="6">
        <f>G162+H162</f>
        <v>7.5</v>
      </c>
      <c r="G162" s="6">
        <f>SUM(G39,G77,G105)</f>
        <v>7.5</v>
      </c>
      <c r="H162" s="6">
        <v>0</v>
      </c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1:21" x14ac:dyDescent="0.25">
      <c r="A163" s="3"/>
      <c r="B163" s="3" t="s">
        <v>5493</v>
      </c>
      <c r="C163" s="3"/>
      <c r="D163" s="3"/>
      <c r="E163" s="3"/>
      <c r="F163" s="6">
        <f>SUM(F40,F78,F106)</f>
        <v>0</v>
      </c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1:21" x14ac:dyDescent="0.25">
      <c r="A164" s="18"/>
      <c r="B164" s="18" t="s">
        <v>5494</v>
      </c>
      <c r="C164" s="18"/>
      <c r="D164" s="18"/>
      <c r="E164" s="18"/>
      <c r="F164" s="19">
        <f>F161+F162+F163</f>
        <v>239.75</v>
      </c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</row>
    <row r="166" spans="1:21" ht="15.75" x14ac:dyDescent="0.25">
      <c r="A166" s="2" t="s">
        <v>5532</v>
      </c>
    </row>
    <row r="167" spans="1:21" x14ac:dyDescent="0.25">
      <c r="A167" s="13" t="s">
        <v>10</v>
      </c>
      <c r="B167" s="13">
        <v>307</v>
      </c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</row>
    <row r="168" spans="1:21" x14ac:dyDescent="0.25">
      <c r="A168" s="13" t="s">
        <v>11</v>
      </c>
      <c r="B168" s="20">
        <f>SUM(F38,F76,F104)</f>
        <v>232.25</v>
      </c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</row>
    <row r="169" spans="1:21" x14ac:dyDescent="0.25">
      <c r="A169" s="13" t="s">
        <v>12</v>
      </c>
      <c r="B169" s="20">
        <f>SUM(F39,F77,F105)</f>
        <v>7.5</v>
      </c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</row>
  </sheetData>
  <mergeCells count="17">
    <mergeCell ref="A6:A7"/>
    <mergeCell ref="A97:A98"/>
    <mergeCell ref="A18:A19"/>
    <mergeCell ref="A146:A148"/>
    <mergeCell ref="A68:A70"/>
    <mergeCell ref="A140:A141"/>
    <mergeCell ref="A149:A150"/>
    <mergeCell ref="A45:A46"/>
    <mergeCell ref="A126:A127"/>
    <mergeCell ref="A95:A96"/>
    <mergeCell ref="A134:A135"/>
    <mergeCell ref="A30:A32"/>
    <mergeCell ref="A118:A120"/>
    <mergeCell ref="A83:A85"/>
    <mergeCell ref="A28:A29"/>
    <mergeCell ref="A26:A27"/>
    <mergeCell ref="A99:A101"/>
  </mergeCells>
  <conditionalFormatting sqref="I6:I36">
    <cfRule type="cellIs" dxfId="44" priority="1" stopIfTrue="1" operator="lessThan">
      <formula>0</formula>
    </cfRule>
  </conditionalFormatting>
  <conditionalFormatting sqref="I45:I74">
    <cfRule type="cellIs" dxfId="43" priority="32" stopIfTrue="1" operator="lessThan">
      <formula>0</formula>
    </cfRule>
  </conditionalFormatting>
  <conditionalFormatting sqref="I83:I102">
    <cfRule type="cellIs" dxfId="42" priority="62" stopIfTrue="1" operator="lessThan">
      <formula>0</formula>
    </cfRule>
  </conditionalFormatting>
  <conditionalFormatting sqref="I118:I158">
    <cfRule type="cellIs" dxfId="41" priority="82" stopIfTrue="1" operator="lessThan">
      <formula>0</formula>
    </cfRule>
  </conditionalFormatting>
  <dataValidations count="25">
    <dataValidation type="list" sqref="B2" xr:uid="{00000000-0002-0000-0900-000000000000}">
      <formula1>"SV,CAD,ADM,Pauschale,-"</formula1>
    </dataValidation>
    <dataValidation type="list" allowBlank="1" sqref="J6" xr:uid="{00000000-0002-0000-0900-000001000000}">
      <formula1>"A. Kokott,C. Trapp SV,D. Brucker,E. Bieler,J. Dorchies,M. Bandlofsky,T. Trautmann,U. Sutter ADM"</formula1>
    </dataValidation>
    <dataValidation type="list" allowBlank="1" sqref="T83:T102 T45:T74 T6:T36" xr:uid="{00000000-0002-0000-0900-000002000000}">
      <formula1>"SR,AZ"</formula1>
    </dataValidation>
    <dataValidation type="list" allowBlank="1" sqref="J7 J89 J52" xr:uid="{00000000-0002-0000-0900-000003000000}">
      <formula1>"T. Trautmann"</formula1>
    </dataValidation>
    <dataValidation type="list" allowBlank="1" sqref="J9" xr:uid="{00000000-0002-0000-0900-000006000000}">
      <formula1>"E. Bieler,P. Bergner"</formula1>
    </dataValidation>
    <dataValidation type="list" allowBlank="1" sqref="J10" xr:uid="{00000000-0002-0000-0900-000008000000}">
      <formula1>"U. Sutter ADM"</formula1>
    </dataValidation>
    <dataValidation type="list" allowBlank="1" sqref="J14" xr:uid="{00000000-0002-0000-0900-00000D000000}">
      <formula1>"E. Bieler"</formula1>
    </dataValidation>
    <dataValidation type="list" allowBlank="1" sqref="J20" xr:uid="{00000000-0002-0000-0900-000014000000}">
      <formula1>"E. Bieler,R. Böttiger"</formula1>
    </dataValidation>
    <dataValidation type="list" allowBlank="1" sqref="J22" xr:uid="{00000000-0002-0000-0900-000017000000}">
      <formula1>"M. Bandlofsky"</formula1>
    </dataValidation>
    <dataValidation type="list" allowBlank="1" sqref="J23" xr:uid="{00000000-0002-0000-0900-000019000000}">
      <formula1>"A. Kokott,E. Bieler,J. Dorchies,P. Bergner,R. Böttiger"</formula1>
    </dataValidation>
    <dataValidation type="list" allowBlank="1" sqref="J33" xr:uid="{00000000-0002-0000-0900-000024000000}">
      <formula1>"E. Bieler,J. Dorchies,R. Böttiger"</formula1>
    </dataValidation>
    <dataValidation type="list" allowBlank="1" sqref="J34" xr:uid="{00000000-0002-0000-0900-000026000000}">
      <formula1>"S. Schüler"</formula1>
    </dataValidation>
    <dataValidation type="list" allowBlank="1" sqref="J35" xr:uid="{00000000-0002-0000-0900-000028000000}">
      <formula1>"E. Bieler,M. Bandlofsky"</formula1>
    </dataValidation>
    <dataValidation type="list" allowBlank="1" sqref="J36 J73:J74 J58" xr:uid="{00000000-0002-0000-0900-00002A000000}">
      <formula1>"R. Böttiger"</formula1>
    </dataValidation>
    <dataValidation type="list" allowBlank="1" sqref="J45" xr:uid="{00000000-0002-0000-0900-00002C000000}">
      <formula1>"A. Kokott,O. Haag BS-CAD,P. Bergner,R. Böttiger,T. Trautmann,U. Sutter ADM"</formula1>
    </dataValidation>
    <dataValidation type="list" allowBlank="1" sqref="J46" xr:uid="{00000000-0002-0000-0900-00002E000000}">
      <formula1>"C. Trapp SV,T. Trautmann"</formula1>
    </dataValidation>
    <dataValidation type="list" allowBlank="1" sqref="J51 J91 J64" xr:uid="{00000000-0002-0000-0900-000034000000}">
      <formula1>"A. Kokott,T. Trautmann"</formula1>
    </dataValidation>
    <dataValidation type="list" allowBlank="1" sqref="J71 J100" xr:uid="{00000000-0002-0000-0900-00004C000000}">
      <formula1>"O. Haag BS-CAD"</formula1>
    </dataValidation>
    <dataValidation type="list" allowBlank="1" sqref="J72" xr:uid="{00000000-0002-0000-0900-00004E000000}">
      <formula1>"A. Kokott"</formula1>
    </dataValidation>
    <dataValidation type="list" allowBlank="1" sqref="J83" xr:uid="{00000000-0002-0000-0900-000054000000}">
      <formula1>"A. Kokott,C. Trapp SV,D. Brucker,O. Haag BS-CAD,S. Schüler,U. Sutter ADM"</formula1>
    </dataValidation>
    <dataValidation type="list" allowBlank="1" sqref="J84" xr:uid="{00000000-0002-0000-0900-000056000000}">
      <formula1>"A. Kokott,C. Trapp SV,M. Bandlofsky,O. Haag BS-CAD,R. Wagen CAD,T. Trautmann,U. Sutter ADM"</formula1>
    </dataValidation>
    <dataValidation type="list" allowBlank="1" sqref="J85" xr:uid="{00000000-0002-0000-0900-000058000000}">
      <formula1>"C. Trapp SV,O. Haag BS-CAD,P. Bergner,T. Trautmann"</formula1>
    </dataValidation>
    <dataValidation type="list" allowBlank="1" sqref="J90" xr:uid="{00000000-0002-0000-0900-00005F000000}">
      <formula1>"A. Kokott,M. Bandlofsky,O. Haag BS-CAD,T. Trautmann"</formula1>
    </dataValidation>
    <dataValidation type="list" allowBlank="1" sqref="J92" xr:uid="{00000000-0002-0000-0900-000063000000}">
      <formula1>"A. Kokott,O. Haag BS-CAD"</formula1>
    </dataValidation>
    <dataValidation type="list" allowBlank="1" sqref="J102" xr:uid="{00000000-0002-0000-0900-00006F000000}">
      <formula1>"R. Böttiger,T. Trautmann"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U117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5598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61</v>
      </c>
      <c r="B6" s="4" t="s">
        <v>5481</v>
      </c>
      <c r="C6" s="4" t="str">
        <f>IFERROR(INDEX('Projekt-Budget-Übersicht'!$C:$C,MATCH(10,'Projekt-Budget-Übersicht'!$L:$L,0)),"")</f>
        <v/>
      </c>
      <c r="D6" s="4">
        <v>8</v>
      </c>
      <c r="E6" s="4">
        <v>1</v>
      </c>
      <c r="F6" s="4">
        <v>1</v>
      </c>
      <c r="G6" s="16">
        <v>12.5</v>
      </c>
      <c r="H6" s="5"/>
      <c r="I6" s="5">
        <f t="shared" ref="I6:I17" si="0">IF(H6=0,0,F6-H6)</f>
        <v>0</v>
      </c>
      <c r="J6" s="4"/>
      <c r="K6" s="5">
        <f>IF('A. Kokott'!J7="M. Bandlofsky",'A. Kokott'!I7,0)+IF('C. Trapp SV'!J6="M. Bandlofsky",'C. Trapp SV'!I6,0)+IF('D. Brucker'!J7="M. Bandlofsky",'D. Brucker'!I7,0)+IF('E. Bieler'!J7="M. Bandlofsky",'E. Bieler'!I7,0)+IF('J. Dorchies'!J7="M. Bandlofsky",'J. Dorchies'!I7,0)+IF('J. Dorn'!J6="M. Bandlofsky",'J. Dorn'!I6,0)+IF('T. Trautmann'!J7="M. Bandlofsky",'T. Trautmann'!I7,0)+IF('U. Sutter ADM'!J7="M. Bandlofsky",'U. Sutter ADM'!I7,0)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7" si="1">IF($B$2="-",0,IF(C6="Pauschale",IF(OR(R6=0,N(D6)=0),0,MAX(0,MIN(R6*((N(F6)+N(K6))/N(D6)),R6-R6*(N(E6)/N(D6))))),L6*(N(F6)+N(K6))))</f>
        <v>0</v>
      </c>
      <c r="N6" s="10">
        <f t="shared" ref="N6:N17" si="2">IF($B$2="-",0,IF(C6="Pauschale",IF(OR(R6=0,N(D6)=0),0,R6*((N(F6)+N(K6))/N(D6))),L6*(N(F6)+N(K6))))</f>
        <v>0</v>
      </c>
      <c r="O6" s="10">
        <f t="shared" ref="O6:O17" si="3">N6-M6</f>
        <v>0</v>
      </c>
      <c r="P6" s="10">
        <f>'A. Kokott'!M7+'C. Trapp SV'!M6+'D. Brucker'!M7+'E. Bieler'!M7+'J. Dorchies'!M7+'J. Dorn'!M6+'M. Bandlofsky'!M6+'T. Trautmann'!M7+'U. Sutter ADM'!M7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4" t="s">
        <v>87</v>
      </c>
      <c r="B7" s="4" t="s">
        <v>5521</v>
      </c>
      <c r="C7" s="4" t="str">
        <f>IFERROR(INDEX('Projekt-Budget-Übersicht'!$C:$C,MATCH(24,'Projekt-Budget-Übersicht'!$L:$L,0)),"")</f>
        <v/>
      </c>
      <c r="D7" s="4">
        <v>40</v>
      </c>
      <c r="E7" s="4">
        <v>15.25</v>
      </c>
      <c r="F7" s="4">
        <v>0.75</v>
      </c>
      <c r="G7" s="16">
        <v>38.119999999999997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IF($B$2="-",0,IFERROR(INDEX(IF($B$2="SV",'Projekt-Budget-Übersicht'!$I:$I,IF($B$2="CAD",'Projekt-Budget-Übersicht'!$J:$J,IF($B$2="ADM",'Projekt-Budget-Übersicht'!$K:$K,'Projekt-Budget-Übersicht'!$I:$I))),MATCH(24,'Projekt-Budget-Übersicht'!$M:$M,0)),0))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'M. Bandlofsky'!M7</f>
        <v>0</v>
      </c>
      <c r="Q7" s="10">
        <v>40</v>
      </c>
      <c r="R7" s="10">
        <f>IFERROR(INDEX('Projekt-Budget-Übersicht'!$F:$F,MATCH(24,'Projekt-Budget-Übersicht'!$L:$L,0)),0)</f>
        <v>0</v>
      </c>
      <c r="S7" s="10">
        <v>1263.75</v>
      </c>
      <c r="T7" s="4"/>
      <c r="U7" s="4"/>
    </row>
    <row r="8" spans="1:21" x14ac:dyDescent="0.25">
      <c r="A8" s="4" t="s">
        <v>982</v>
      </c>
      <c r="B8" s="4" t="s">
        <v>5536</v>
      </c>
      <c r="C8" s="4" t="str">
        <f>IFERROR(INDEX('Projekt-Budget-Übersicht'!$C:$C,MATCH(1003,'Projekt-Budget-Übersicht'!$L:$L,0)),"")</f>
        <v/>
      </c>
      <c r="D8" s="4">
        <v>116</v>
      </c>
      <c r="E8" s="4">
        <v>139.5</v>
      </c>
      <c r="F8" s="4">
        <v>5</v>
      </c>
      <c r="G8" s="15">
        <v>120.26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IF($B$2="-",0,IFERROR(INDEX(IF($B$2="SV",'Projekt-Budget-Übersicht'!$I:$I,IF($B$2="CAD",'Projekt-Budget-Übersicht'!$J:$J,IF($B$2="ADM",'Projekt-Budget-Übersicht'!$K:$K,'Projekt-Budget-Übersicht'!$I:$I))),MATCH(1003,'Projekt-Budget-Übersicht'!$M:$M,0)),0))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'M. Bandlofsky'!M8</f>
        <v>0</v>
      </c>
      <c r="Q8" s="10">
        <v>180</v>
      </c>
      <c r="R8" s="10">
        <f>IFERROR(INDEX('Projekt-Budget-Übersicht'!$F:$F,MATCH(1003,'Projekt-Budget-Übersicht'!$L:$L,0)),0)</f>
        <v>0</v>
      </c>
      <c r="S8" s="10"/>
      <c r="T8" s="4"/>
      <c r="U8" s="4"/>
    </row>
    <row r="9" spans="1:21" x14ac:dyDescent="0.25">
      <c r="A9" s="4" t="s">
        <v>1367</v>
      </c>
      <c r="B9" s="4" t="s">
        <v>5599</v>
      </c>
      <c r="C9" s="4" t="str">
        <f>IFERROR(INDEX('Projekt-Budget-Übersicht'!$C:$C,MATCH(1479,'Projekt-Budget-Übersicht'!$L:$L,0)),"")</f>
        <v/>
      </c>
      <c r="D9" s="4">
        <v>28</v>
      </c>
      <c r="E9" s="4">
        <v>29.75</v>
      </c>
      <c r="F9" s="4">
        <v>21.5</v>
      </c>
      <c r="G9" s="15">
        <v>106.25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'M. Bandlofsky'!M9</f>
        <v>0</v>
      </c>
      <c r="Q9" s="10">
        <v>167</v>
      </c>
      <c r="R9" s="10">
        <f>IFERROR(INDEX('Projekt-Budget-Übersicht'!$F:$F,MATCH(1479,'Projekt-Budget-Übersicht'!$L:$L,0)),0)</f>
        <v>0</v>
      </c>
      <c r="S9" s="10">
        <v>1355.79</v>
      </c>
      <c r="T9" s="4"/>
      <c r="U9" s="4"/>
    </row>
    <row r="10" spans="1:21" x14ac:dyDescent="0.25">
      <c r="A10" s="21" t="s">
        <v>1377</v>
      </c>
      <c r="B10" s="4" t="s">
        <v>5536</v>
      </c>
      <c r="C10" s="4" t="str">
        <f>IFERROR(INDEX('Projekt-Budget-Übersicht'!$C:$C,MATCH(1491,'Projekt-Budget-Übersicht'!$L:$L,0)),"")</f>
        <v/>
      </c>
      <c r="D10" s="4">
        <v>307.5</v>
      </c>
      <c r="E10" s="4">
        <v>383.75</v>
      </c>
      <c r="F10" s="4">
        <v>5.5</v>
      </c>
      <c r="G10" s="15">
        <v>124.8</v>
      </c>
      <c r="H10" s="5"/>
      <c r="I10" s="5">
        <f t="shared" si="0"/>
        <v>0</v>
      </c>
      <c r="J10" s="4"/>
      <c r="K10" s="5">
        <f>IF('E. Bieler'!J11="M. Bandlofsky",'E. Bieler'!I11,0)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'E. Bieler'!M11+'M. Bandlofsky'!M10</f>
        <v>0</v>
      </c>
      <c r="Q10" s="10">
        <v>652.5</v>
      </c>
      <c r="R10" s="10">
        <f>IFERROR(INDEX('Projekt-Budget-Übersicht'!$F:$F,MATCH(1491,'Projekt-Budget-Übersicht'!$L:$L,0)),0)</f>
        <v>0</v>
      </c>
      <c r="S10" s="10">
        <v>21224.71</v>
      </c>
      <c r="T10" s="4"/>
      <c r="U10" s="4"/>
    </row>
    <row r="11" spans="1:21" x14ac:dyDescent="0.25">
      <c r="A11" s="22"/>
      <c r="B11" s="4" t="s">
        <v>5537</v>
      </c>
      <c r="C11" s="4" t="str">
        <f>IFERROR(INDEX('Projekt-Budget-Übersicht'!$C:$C,MATCH(1490,'Projekt-Budget-Übersicht'!$L:$L,0)),"")</f>
        <v/>
      </c>
      <c r="D11" s="4">
        <v>16</v>
      </c>
      <c r="E11" s="4">
        <v>68.75</v>
      </c>
      <c r="F11" s="4">
        <v>9.5</v>
      </c>
      <c r="G11" s="15">
        <v>429.69</v>
      </c>
      <c r="H11" s="5"/>
      <c r="I11" s="5">
        <f t="shared" si="0"/>
        <v>0</v>
      </c>
      <c r="J11" s="4"/>
      <c r="K11" s="5">
        <f>IF('C. Trapp SV'!J13="M. Bandlofsky",'C. Trapp SV'!I13,0)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11" s="10">
        <f t="shared" si="1"/>
        <v>807.5</v>
      </c>
      <c r="N11" s="10">
        <f t="shared" si="2"/>
        <v>807.5</v>
      </c>
      <c r="O11" s="10">
        <f t="shared" si="3"/>
        <v>0</v>
      </c>
      <c r="P11" s="10">
        <f>'C. Trapp SV'!M13+'M. Bandlofsky'!M11</f>
        <v>998.75</v>
      </c>
      <c r="Q11" s="10">
        <v>16</v>
      </c>
      <c r="R11" s="10">
        <f>IFERROR(INDEX('Projekt-Budget-Übersicht'!$F:$F,MATCH(1490,'Projekt-Budget-Übersicht'!$L:$L,0)),0)</f>
        <v>0</v>
      </c>
      <c r="S11" s="10">
        <v>453.82</v>
      </c>
      <c r="T11" s="4"/>
      <c r="U11" s="4"/>
    </row>
    <row r="12" spans="1:21" x14ac:dyDescent="0.25">
      <c r="A12" s="4" t="s">
        <v>2725</v>
      </c>
      <c r="B12" s="4" t="s">
        <v>5516</v>
      </c>
      <c r="C12" s="4" t="s">
        <v>50</v>
      </c>
      <c r="D12" s="4">
        <v>0</v>
      </c>
      <c r="E12" s="4">
        <v>-19</v>
      </c>
      <c r="F12" s="4">
        <v>2</v>
      </c>
      <c r="G12" s="4">
        <v>0</v>
      </c>
      <c r="H12" s="5"/>
      <c r="I12" s="5">
        <f t="shared" si="0"/>
        <v>0</v>
      </c>
      <c r="J12" s="4"/>
      <c r="K12" s="5">
        <f>IF('J. Dorn'!J22="M. Bandlofsky",'J. Dorn'!I22,0)</f>
        <v>0</v>
      </c>
      <c r="L12" s="10">
        <f>IF($B$2="-",0,0)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'J. Dorn'!M22+'M. Bandlofsky'!M12</f>
        <v>0</v>
      </c>
      <c r="Q12" s="10"/>
      <c r="R12" s="10">
        <f>0</f>
        <v>0</v>
      </c>
      <c r="S12" s="10"/>
      <c r="T12" s="4"/>
      <c r="U12" s="4"/>
    </row>
    <row r="13" spans="1:21" x14ac:dyDescent="0.25">
      <c r="A13" s="4" t="s">
        <v>4429</v>
      </c>
      <c r="B13" s="4" t="s">
        <v>5459</v>
      </c>
      <c r="C13" s="4" t="str">
        <f>IFERROR(INDEX('Projekt-Budget-Übersicht'!$C:$C,MATCH(4500,'Projekt-Budget-Übersicht'!$L:$L,0)),"")</f>
        <v/>
      </c>
      <c r="D13" s="4">
        <v>0</v>
      </c>
      <c r="E13" s="4">
        <v>119</v>
      </c>
      <c r="F13" s="4">
        <v>3.5</v>
      </c>
      <c r="G13" s="4">
        <v>0</v>
      </c>
      <c r="H13" s="5"/>
      <c r="I13" s="5">
        <f t="shared" si="0"/>
        <v>0</v>
      </c>
      <c r="J13" s="4"/>
      <c r="K13" s="5">
        <f>IF('E. Bieler'!J24="M. Bandlofsky",'E. Bieler'!I24,0)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'E. Bieler'!M24+'M. Bandlofsky'!M13</f>
        <v>0</v>
      </c>
      <c r="Q13" s="10"/>
      <c r="R13" s="10">
        <f>IFERROR(INDEX('Projekt-Budget-Übersicht'!$F:$F,MATCH(4500,'Projekt-Budget-Übersicht'!$L:$L,0)),0)</f>
        <v>0</v>
      </c>
      <c r="S13" s="10"/>
      <c r="T13" s="4"/>
      <c r="U13" s="4"/>
    </row>
    <row r="14" spans="1:21" x14ac:dyDescent="0.25">
      <c r="A14" s="4" t="s">
        <v>4980</v>
      </c>
      <c r="B14" s="4" t="s">
        <v>5487</v>
      </c>
      <c r="C14" s="4" t="str">
        <f>IFERROR(INDEX('Projekt-Budget-Übersicht'!$C:$C,MATCH(4962,'Projekt-Budget-Übersicht'!$L:$L,0)),"")</f>
        <v/>
      </c>
      <c r="D14" s="4">
        <v>26</v>
      </c>
      <c r="E14" s="4">
        <v>29</v>
      </c>
      <c r="F14" s="4">
        <v>21.5</v>
      </c>
      <c r="G14" s="15">
        <v>111.54</v>
      </c>
      <c r="H14" s="5"/>
      <c r="I14" s="5">
        <f t="shared" si="0"/>
        <v>0</v>
      </c>
      <c r="J14" s="4"/>
      <c r="K14" s="5">
        <f>IF('E. Bieler'!J34="M. Bandlofsky",'E. Bieler'!I34,0)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'E. Bieler'!M34+'M. Bandlofsky'!M14</f>
        <v>0</v>
      </c>
      <c r="Q14" s="10">
        <v>178</v>
      </c>
      <c r="R14" s="10">
        <f>IFERROR(INDEX('Projekt-Budget-Übersicht'!$F:$F,MATCH(4962,'Projekt-Budget-Übersicht'!$L:$L,0)),0)</f>
        <v>0</v>
      </c>
      <c r="S14" s="10">
        <v>606.65</v>
      </c>
      <c r="T14" s="4"/>
      <c r="U14" s="4"/>
    </row>
    <row r="15" spans="1:21" x14ac:dyDescent="0.25">
      <c r="A15" s="21" t="s">
        <v>5038</v>
      </c>
      <c r="B15" s="4" t="s">
        <v>5600</v>
      </c>
      <c r="C15" s="4" t="str">
        <f>IFERROR(INDEX('Projekt-Budget-Übersicht'!$C:$C,MATCH(5019,'Projekt-Budget-Übersicht'!$L:$L,0)),"")</f>
        <v/>
      </c>
      <c r="D15" s="4">
        <v>0</v>
      </c>
      <c r="E15" s="4">
        <v>0.75</v>
      </c>
      <c r="F15" s="4">
        <v>0.75</v>
      </c>
      <c r="G15" s="4">
        <v>0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IF($B$2="-",0,IFERROR(INDEX(IF($B$2="SV",'Projekt-Budget-Übersicht'!$I:$I,IF($B$2="CAD",'Projekt-Budget-Übersicht'!$J:$J,IF($B$2="ADM",'Projekt-Budget-Übersicht'!$K:$K,'Projekt-Budget-Übersicht'!$I:$I))),MATCH(5019,'Projekt-Budget-Übersicht'!$M:$M,0)),0))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'M. Bandlofsky'!M15</f>
        <v>0</v>
      </c>
      <c r="Q15" s="10"/>
      <c r="R15" s="10">
        <f>IFERROR(INDEX('Projekt-Budget-Übersicht'!$F:$F,MATCH(5019,'Projekt-Budget-Übersicht'!$L:$L,0)),0)</f>
        <v>0</v>
      </c>
      <c r="S15" s="10"/>
      <c r="T15" s="4"/>
      <c r="U15" s="4"/>
    </row>
    <row r="16" spans="1:21" x14ac:dyDescent="0.25">
      <c r="A16" s="22"/>
      <c r="B16" s="4" t="s">
        <v>5509</v>
      </c>
      <c r="C16" s="4" t="str">
        <f>IFERROR(INDEX('Projekt-Budget-Übersicht'!$C:$C,MATCH(5020,'Projekt-Budget-Übersicht'!$L:$L,0)),"")</f>
        <v/>
      </c>
      <c r="D16" s="4">
        <v>31</v>
      </c>
      <c r="E16" s="4">
        <v>35.25</v>
      </c>
      <c r="F16" s="4">
        <v>31.25</v>
      </c>
      <c r="G16" s="15">
        <v>113.71</v>
      </c>
      <c r="H16" s="5"/>
      <c r="I16" s="5">
        <f t="shared" si="0"/>
        <v>0</v>
      </c>
      <c r="J16" s="4"/>
      <c r="K16" s="5">
        <f>IF('E. Bieler'!J36="M. Bandlofsky",'E. Bieler'!I36,0)+IF('J. Dorn'!J35="M. Bandlofsky",'J. Dorn'!I35,0)</f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123.8095238095238</v>
      </c>
      <c r="M16" s="10">
        <f t="shared" si="1"/>
        <v>3869.0476190476188</v>
      </c>
      <c r="N16" s="10">
        <f t="shared" si="2"/>
        <v>3869.0476190476188</v>
      </c>
      <c r="O16" s="10">
        <f t="shared" si="3"/>
        <v>0</v>
      </c>
      <c r="P16" s="10">
        <f>'E. Bieler'!M36+'J. Dorn'!M35+'M. Bandlofsky'!M16</f>
        <v>4240.4761904761899</v>
      </c>
      <c r="Q16" s="10">
        <v>123</v>
      </c>
      <c r="R16" s="10">
        <f>IFERROR(INDEX('Projekt-Budget-Übersicht'!$F:$F,MATCH(5020,'Projekt-Budget-Übersicht'!$L:$L,0)),0)</f>
        <v>0</v>
      </c>
      <c r="S16" s="10">
        <v>756.58</v>
      </c>
      <c r="T16" s="4"/>
      <c r="U16" s="4"/>
    </row>
    <row r="17" spans="1:21" x14ac:dyDescent="0.25">
      <c r="A17" s="4" t="s">
        <v>5103</v>
      </c>
      <c r="B17" s="4" t="s">
        <v>5485</v>
      </c>
      <c r="C17" s="4" t="str">
        <f>IFERROR(INDEX('Projekt-Budget-Übersicht'!$C:$C,MATCH(5077,'Projekt-Budget-Übersicht'!$L:$L,0)),"")</f>
        <v/>
      </c>
      <c r="D17" s="4">
        <v>14</v>
      </c>
      <c r="E17" s="4">
        <v>15.5</v>
      </c>
      <c r="F17" s="4">
        <v>14.5</v>
      </c>
      <c r="G17" s="15">
        <v>110.71</v>
      </c>
      <c r="H17" s="5"/>
      <c r="I17" s="5">
        <f t="shared" si="0"/>
        <v>0</v>
      </c>
      <c r="J17" s="4"/>
      <c r="K17" s="5">
        <f>IF('A. Kokott'!J30="M. Bandlofsky",'A. Kokott'!I30,0)+IF('E. Bieler'!J38="M. Bandlofsky",'E. Bieler'!I38,0)</f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IF($B$2="-",0,IFERROR(INDEX(IF($B$2="SV",'Projekt-Budget-Übersicht'!$I:$I,IF($B$2="CAD",'Projekt-Budget-Übersicht'!$J:$J,IF($B$2="ADM",'Projekt-Budget-Übersicht'!$K:$K,'Projekt-Budget-Übersicht'!$I:$I))),MATCH(5077,'Projekt-Budget-Übersicht'!$M:$M,0)),0))</f>
        <v>129.41176470588229</v>
      </c>
      <c r="M17" s="10">
        <f t="shared" si="1"/>
        <v>1876.4705882352932</v>
      </c>
      <c r="N17" s="10">
        <f t="shared" si="2"/>
        <v>1876.4705882352932</v>
      </c>
      <c r="O17" s="10">
        <f t="shared" si="3"/>
        <v>0</v>
      </c>
      <c r="P17" s="10">
        <f>'A. Kokott'!M30+'E. Bieler'!M38+'M. Bandlofsky'!M17</f>
        <v>2005.8823529411754</v>
      </c>
      <c r="Q17" s="10">
        <v>17</v>
      </c>
      <c r="R17" s="10">
        <f>IFERROR(INDEX('Projekt-Budget-Übersicht'!$F:$F,MATCH(5077,'Projekt-Budget-Übersicht'!$L:$L,0)),0)</f>
        <v>0</v>
      </c>
      <c r="S17" s="10">
        <v>99.15</v>
      </c>
      <c r="T17" s="4"/>
      <c r="U17" s="4"/>
    </row>
    <row r="18" spans="1:21" x14ac:dyDescent="0.25">
      <c r="A18" s="3"/>
      <c r="B18" s="3" t="s">
        <v>5492</v>
      </c>
      <c r="C18" s="3"/>
      <c r="D18" s="3"/>
      <c r="E18" s="3"/>
      <c r="F18" s="6">
        <v>116.75</v>
      </c>
      <c r="G18" s="3"/>
      <c r="H18" s="3"/>
      <c r="I18" s="3"/>
      <c r="J18" s="3"/>
      <c r="K18" s="3"/>
      <c r="L18" s="3"/>
      <c r="M18" s="17">
        <f>SUM(M6:M17)</f>
        <v>6553.018207282912</v>
      </c>
      <c r="N18" s="17">
        <f>SUM(N6:N17)</f>
        <v>6553.018207282912</v>
      </c>
      <c r="O18" s="17">
        <f>SUM(O6:O17)</f>
        <v>0</v>
      </c>
      <c r="P18" s="17">
        <f>SUM(P6:P17)</f>
        <v>7245.1085434173656</v>
      </c>
      <c r="Q18" s="3"/>
      <c r="R18" s="3"/>
      <c r="S18" s="3"/>
      <c r="T18" s="3"/>
      <c r="U18" s="3"/>
    </row>
    <row r="19" spans="1:21" x14ac:dyDescent="0.25">
      <c r="A19" s="3"/>
      <c r="B19" s="3" t="s">
        <v>4</v>
      </c>
      <c r="C19" s="3"/>
      <c r="D19" s="3"/>
      <c r="E19" s="3"/>
      <c r="F19" s="6">
        <f>G19+H19</f>
        <v>7</v>
      </c>
      <c r="G19" s="6">
        <v>7</v>
      </c>
      <c r="H19" s="6">
        <f>SUM(H7,H8,H9,H10,H11,H12,H13,H14,H15,H16,H17)</f>
        <v>0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x14ac:dyDescent="0.25">
      <c r="A20" s="3"/>
      <c r="B20" s="3" t="s">
        <v>5</v>
      </c>
      <c r="C20" s="3"/>
      <c r="D20" s="3"/>
      <c r="E20" s="3"/>
      <c r="F20" s="6">
        <f>G20+H20</f>
        <v>1</v>
      </c>
      <c r="G20" s="6">
        <v>1</v>
      </c>
      <c r="H20" s="6">
        <f>SUM(H6)</f>
        <v>0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3"/>
      <c r="B21" s="3" t="s">
        <v>5493</v>
      </c>
      <c r="C21" s="3"/>
      <c r="D21" s="3"/>
      <c r="E21" s="3"/>
      <c r="F21" s="6">
        <f>SUM(K6:K17)</f>
        <v>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18"/>
      <c r="B22" s="18" t="s">
        <v>5494</v>
      </c>
      <c r="C22" s="18"/>
      <c r="D22" s="18"/>
      <c r="E22" s="18"/>
      <c r="F22" s="19">
        <f>F19+F20+F21</f>
        <v>8</v>
      </c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</row>
    <row r="24" spans="1:21" ht="15.75" x14ac:dyDescent="0.25">
      <c r="A24" s="2" t="s">
        <v>5495</v>
      </c>
    </row>
    <row r="25" spans="1:21" x14ac:dyDescent="0.25">
      <c r="A25" s="3" t="s">
        <v>35</v>
      </c>
      <c r="B25" s="3" t="s">
        <v>5461</v>
      </c>
      <c r="C25" s="3" t="s">
        <v>37</v>
      </c>
      <c r="D25" s="3" t="s">
        <v>5462</v>
      </c>
      <c r="E25" s="3" t="s">
        <v>5463</v>
      </c>
      <c r="F25" s="3" t="s">
        <v>5496</v>
      </c>
      <c r="G25" s="3" t="s">
        <v>5465</v>
      </c>
      <c r="H25" s="3" t="s">
        <v>5466</v>
      </c>
      <c r="I25" s="3" t="s">
        <v>5467</v>
      </c>
      <c r="J25" s="3" t="s">
        <v>5468</v>
      </c>
      <c r="K25" s="3" t="s">
        <v>5469</v>
      </c>
      <c r="L25" s="3" t="s">
        <v>5470</v>
      </c>
      <c r="M25" s="3" t="s">
        <v>5471</v>
      </c>
      <c r="N25" s="3" t="s">
        <v>5472</v>
      </c>
      <c r="O25" s="3" t="s">
        <v>5473</v>
      </c>
      <c r="P25" s="3" t="s">
        <v>5474</v>
      </c>
      <c r="Q25" s="3" t="s">
        <v>5475</v>
      </c>
      <c r="R25" s="3" t="s">
        <v>5476</v>
      </c>
      <c r="S25" s="3" t="s">
        <v>5477</v>
      </c>
      <c r="T25" s="3" t="s">
        <v>5478</v>
      </c>
      <c r="U25" s="3" t="s">
        <v>5479</v>
      </c>
    </row>
    <row r="26" spans="1:21" x14ac:dyDescent="0.25">
      <c r="A26" s="4" t="s">
        <v>61</v>
      </c>
      <c r="B26" s="4" t="s">
        <v>5481</v>
      </c>
      <c r="C26" s="4" t="str">
        <f>IFERROR(INDEX('Projekt-Budget-Übersicht'!$C:$C,MATCH(10,'Projekt-Budget-Übersicht'!$L:$L,0)),"")</f>
        <v/>
      </c>
      <c r="D26" s="4">
        <v>8</v>
      </c>
      <c r="E26" s="4">
        <v>3.5</v>
      </c>
      <c r="F26" s="4">
        <v>3.5</v>
      </c>
      <c r="G26" s="16">
        <v>43.75</v>
      </c>
      <c r="H26" s="5"/>
      <c r="I26" s="5">
        <f t="shared" ref="I26:I36" si="4">IF(H26=0,0,F26-H26)</f>
        <v>0</v>
      </c>
      <c r="J26" s="4"/>
      <c r="K26" s="5">
        <f>IF('A. Kokott'!J40="M. Bandlofsky",'A. Kokott'!I40,0)+IF('O. Haag BS-CAD'!J52="M. Bandlofsky",'O. Haag BS-CAD'!I52,0)+IF('P. Bergner'!J22="M. Bandlofsky",'P. Bergner'!I22,0)+IF('R. Wagen CAD'!J31="M. Bandlofsky",'R. Wagen CAD'!I31,0)+IF('T. Trautmann'!J29="M. Bandlofsky",'T. Trautmann'!I29,0)+IF('U. Sutter ADM'!J29="M. Bandlofsky",'U. Sutter ADM'!I29,0)</f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6" s="10">
        <f t="shared" ref="M26:M36" si="5">IF($B$2="-",0,IF(C26="Pauschale",IF(OR(R26=0,N(D26)=0),0,MAX(0,MIN(R26*((N(F26)+N(K26))/N(D26)),R26-R26*(N(E26)/N(D26))))),L26*(N(F26)+N(K26))))</f>
        <v>0</v>
      </c>
      <c r="N26" s="10">
        <f t="shared" ref="N26:N36" si="6">IF($B$2="-",0,IF(C26="Pauschale",IF(OR(R26=0,N(D26)=0),0,R26*((N(F26)+N(K26))/N(D26))),L26*(N(F26)+N(K26))))</f>
        <v>0</v>
      </c>
      <c r="O26" s="10">
        <f t="shared" ref="O26:O36" si="7">N26-M26</f>
        <v>0</v>
      </c>
      <c r="P26" s="10">
        <f>'A. Kokott'!M40+'M. Bandlofsky'!M26+'O. Haag BS-CAD'!M52+'P. Bergner'!M22+'R. Wagen CAD'!M31+'T. Trautmann'!M29+'U. Sutter ADM'!M29</f>
        <v>0</v>
      </c>
      <c r="Q26" s="10">
        <v>132</v>
      </c>
      <c r="R26" s="10">
        <f>IFERROR(INDEX('Projekt-Budget-Übersicht'!$F:$F,MATCH(10,'Projekt-Budget-Übersicht'!$L:$L,0)),0)</f>
        <v>0</v>
      </c>
      <c r="S26" s="10">
        <v>68628.19</v>
      </c>
      <c r="T26" s="4"/>
      <c r="U26" s="4"/>
    </row>
    <row r="27" spans="1:21" x14ac:dyDescent="0.25">
      <c r="A27" s="4" t="s">
        <v>91</v>
      </c>
      <c r="B27" s="4" t="s">
        <v>5459</v>
      </c>
      <c r="C27" s="4" t="str">
        <f>IFERROR(INDEX('Projekt-Budget-Übersicht'!$C:$C,MATCH(26,'Projekt-Budget-Übersicht'!$L:$L,0)),"")</f>
        <v/>
      </c>
      <c r="D27" s="4">
        <v>20</v>
      </c>
      <c r="E27" s="4">
        <v>18.25</v>
      </c>
      <c r="F27" s="4">
        <v>0.25</v>
      </c>
      <c r="G27" s="14">
        <v>91.25</v>
      </c>
      <c r="H27" s="5"/>
      <c r="I27" s="5">
        <f t="shared" si="4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IF($B$2="-",0,IFERROR(INDEX(IF($B$2="SV",'Projekt-Budget-Übersicht'!$I:$I,IF($B$2="CAD",'Projekt-Budget-Übersicht'!$J:$J,IF($B$2="ADM",'Projekt-Budget-Übersicht'!$K:$K,'Projekt-Budget-Übersicht'!$I:$I))),MATCH(26,'Projekt-Budget-Übersicht'!$M:$M,0)),0))</f>
        <v>108.75</v>
      </c>
      <c r="M27" s="10">
        <f t="shared" si="5"/>
        <v>27.1875</v>
      </c>
      <c r="N27" s="10">
        <f t="shared" si="6"/>
        <v>27.1875</v>
      </c>
      <c r="O27" s="10">
        <f t="shared" si="7"/>
        <v>0</v>
      </c>
      <c r="P27" s="10">
        <f>'M. Bandlofsky'!M27</f>
        <v>27.1875</v>
      </c>
      <c r="Q27" s="10">
        <v>131</v>
      </c>
      <c r="R27" s="10">
        <f>IFERROR(INDEX('Projekt-Budget-Übersicht'!$F:$F,MATCH(26,'Projekt-Budget-Übersicht'!$L:$L,0)),0)</f>
        <v>0</v>
      </c>
      <c r="S27" s="10">
        <v>1453.75</v>
      </c>
      <c r="T27" s="4"/>
      <c r="U27" s="4"/>
    </row>
    <row r="28" spans="1:21" x14ac:dyDescent="0.25">
      <c r="A28" s="21" t="s">
        <v>1367</v>
      </c>
      <c r="B28" s="4" t="s">
        <v>5599</v>
      </c>
      <c r="C28" s="4" t="str">
        <f>IFERROR(INDEX('Projekt-Budget-Übersicht'!$C:$C,MATCH(1479,'Projekt-Budget-Übersicht'!$L:$L,0)),"")</f>
        <v/>
      </c>
      <c r="D28" s="4">
        <v>28</v>
      </c>
      <c r="E28" s="4">
        <v>31.75</v>
      </c>
      <c r="F28" s="4">
        <v>2</v>
      </c>
      <c r="G28" s="15">
        <v>113.39</v>
      </c>
      <c r="H28" s="5"/>
      <c r="I28" s="5">
        <f t="shared" si="4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28" s="10">
        <f t="shared" si="5"/>
        <v>0</v>
      </c>
      <c r="N28" s="10">
        <f t="shared" si="6"/>
        <v>0</v>
      </c>
      <c r="O28" s="10">
        <f t="shared" si="7"/>
        <v>0</v>
      </c>
      <c r="P28" s="10">
        <f>'M. Bandlofsky'!M28</f>
        <v>0</v>
      </c>
      <c r="Q28" s="10">
        <v>167</v>
      </c>
      <c r="R28" s="10">
        <f>IFERROR(INDEX('Projekt-Budget-Übersicht'!$F:$F,MATCH(1479,'Projekt-Budget-Übersicht'!$L:$L,0)),0)</f>
        <v>0</v>
      </c>
      <c r="S28" s="10">
        <v>1355.79</v>
      </c>
      <c r="T28" s="4"/>
      <c r="U28" s="4"/>
    </row>
    <row r="29" spans="1:21" x14ac:dyDescent="0.25">
      <c r="A29" s="22"/>
      <c r="B29" s="4" t="s">
        <v>5459</v>
      </c>
      <c r="C29" s="4" t="s">
        <v>50</v>
      </c>
      <c r="D29" s="4">
        <v>0</v>
      </c>
      <c r="E29" s="4">
        <v>-3.5</v>
      </c>
      <c r="F29" s="4">
        <v>6</v>
      </c>
      <c r="G29" s="4">
        <v>0</v>
      </c>
      <c r="H29" s="5"/>
      <c r="I29" s="5">
        <f t="shared" si="4"/>
        <v>0</v>
      </c>
      <c r="J29" s="4"/>
      <c r="K29" s="5">
        <v>0</v>
      </c>
      <c r="L29" s="10">
        <f>IF($B$2="-",0,0)</f>
        <v>0</v>
      </c>
      <c r="M29" s="10">
        <f t="shared" si="5"/>
        <v>0</v>
      </c>
      <c r="N29" s="10">
        <f t="shared" si="6"/>
        <v>0</v>
      </c>
      <c r="O29" s="10">
        <f t="shared" si="7"/>
        <v>0</v>
      </c>
      <c r="P29" s="10">
        <f>'M. Bandlofsky'!M29</f>
        <v>0</v>
      </c>
      <c r="Q29" s="10"/>
      <c r="R29" s="10">
        <f>0</f>
        <v>0</v>
      </c>
      <c r="S29" s="10"/>
      <c r="T29" s="4"/>
      <c r="U29" s="4"/>
    </row>
    <row r="30" spans="1:21" x14ac:dyDescent="0.25">
      <c r="A30" s="21" t="s">
        <v>1377</v>
      </c>
      <c r="B30" s="4" t="s">
        <v>5601</v>
      </c>
      <c r="C30" s="4" t="str">
        <f>IFERROR(INDEX('Projekt-Budget-Übersicht'!$C:$C,MATCH(1489,'Projekt-Budget-Übersicht'!$L:$L,0)),"")</f>
        <v/>
      </c>
      <c r="D30" s="4">
        <v>46.5</v>
      </c>
      <c r="E30" s="4">
        <v>8</v>
      </c>
      <c r="F30" s="4">
        <v>1</v>
      </c>
      <c r="G30" s="16">
        <v>17.2</v>
      </c>
      <c r="H30" s="5"/>
      <c r="I30" s="5">
        <f t="shared" si="4"/>
        <v>0</v>
      </c>
      <c r="J30" s="4"/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IF($B$2="-",0,IFERROR(INDEX(IF($B$2="SV",'Projekt-Budget-Übersicht'!$I:$I,IF($B$2="CAD",'Projekt-Budget-Übersicht'!$J:$J,IF($B$2="ADM",'Projekt-Budget-Übersicht'!$K:$K,'Projekt-Budget-Übersicht'!$I:$I))),MATCH(1489,'Projekt-Budget-Übersicht'!$M:$M,0)),0))</f>
        <v>0</v>
      </c>
      <c r="M30" s="10">
        <f t="shared" si="5"/>
        <v>0</v>
      </c>
      <c r="N30" s="10">
        <f t="shared" si="6"/>
        <v>0</v>
      </c>
      <c r="O30" s="10">
        <f t="shared" si="7"/>
        <v>0</v>
      </c>
      <c r="P30" s="10">
        <f>'M. Bandlofsky'!M30</f>
        <v>0</v>
      </c>
      <c r="Q30" s="10">
        <v>479.5</v>
      </c>
      <c r="R30" s="10">
        <f>IFERROR(INDEX('Projekt-Budget-Übersicht'!$F:$F,MATCH(1489,'Projekt-Budget-Übersicht'!$L:$L,0)),0)</f>
        <v>0</v>
      </c>
      <c r="S30" s="10">
        <v>17296.3</v>
      </c>
      <c r="T30" s="4"/>
      <c r="U30" s="4"/>
    </row>
    <row r="31" spans="1:21" x14ac:dyDescent="0.25">
      <c r="A31" s="23"/>
      <c r="B31" s="4" t="s">
        <v>5536</v>
      </c>
      <c r="C31" s="4" t="str">
        <f>IFERROR(INDEX('Projekt-Budget-Übersicht'!$C:$C,MATCH(1491,'Projekt-Budget-Übersicht'!$L:$L,0)),"")</f>
        <v/>
      </c>
      <c r="D31" s="4">
        <v>307.5</v>
      </c>
      <c r="E31" s="4">
        <v>390.25</v>
      </c>
      <c r="F31" s="4">
        <v>3</v>
      </c>
      <c r="G31" s="15">
        <v>126.91</v>
      </c>
      <c r="H31" s="5"/>
      <c r="I31" s="5">
        <f t="shared" si="4"/>
        <v>0</v>
      </c>
      <c r="J31" s="4"/>
      <c r="K31" s="5">
        <f>IF('C. Trapp SV'!J35="M. Bandlofsky",'C. Trapp SV'!I35,0)+IF('E. Bieler'!J50="M. Bandlofsky",'E. Bieler'!I50,0)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'C. Trapp SV'!M35+'E. Bieler'!M50+'M. Bandlofsky'!M31</f>
        <v>0</v>
      </c>
      <c r="Q31" s="10">
        <v>652.5</v>
      </c>
      <c r="R31" s="10">
        <f>IFERROR(INDEX('Projekt-Budget-Übersicht'!$F:$F,MATCH(1491,'Projekt-Budget-Übersicht'!$L:$L,0)),0)</f>
        <v>0</v>
      </c>
      <c r="S31" s="10">
        <v>21224.71</v>
      </c>
      <c r="T31" s="4"/>
      <c r="U31" s="4"/>
    </row>
    <row r="32" spans="1:21" x14ac:dyDescent="0.25">
      <c r="A32" s="23"/>
      <c r="B32" s="4" t="s">
        <v>5537</v>
      </c>
      <c r="C32" s="4" t="str">
        <f>IFERROR(INDEX('Projekt-Budget-Übersicht'!$C:$C,MATCH(1490,'Projekt-Budget-Übersicht'!$L:$L,0)),"")</f>
        <v/>
      </c>
      <c r="D32" s="4">
        <v>16</v>
      </c>
      <c r="E32" s="4">
        <v>74.25</v>
      </c>
      <c r="F32" s="4">
        <v>4.75</v>
      </c>
      <c r="G32" s="15">
        <v>464.06</v>
      </c>
      <c r="H32" s="5"/>
      <c r="I32" s="5">
        <f t="shared" si="4"/>
        <v>0</v>
      </c>
      <c r="J32" s="4"/>
      <c r="K32" s="5">
        <f>IF('U. Sutter ADM'!J35="M. Bandlofsky",'U. Sutter ADM'!I35,0)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32" s="10">
        <f t="shared" si="5"/>
        <v>403.75</v>
      </c>
      <c r="N32" s="10">
        <f t="shared" si="6"/>
        <v>403.75</v>
      </c>
      <c r="O32" s="10">
        <f t="shared" si="7"/>
        <v>0</v>
      </c>
      <c r="P32" s="10">
        <f>'M. Bandlofsky'!M32+'U. Sutter ADM'!M35</f>
        <v>467.5</v>
      </c>
      <c r="Q32" s="10">
        <v>16</v>
      </c>
      <c r="R32" s="10">
        <f>IFERROR(INDEX('Projekt-Budget-Übersicht'!$F:$F,MATCH(1490,'Projekt-Budget-Übersicht'!$L:$L,0)),0)</f>
        <v>0</v>
      </c>
      <c r="S32" s="10">
        <v>453.82</v>
      </c>
      <c r="T32" s="4"/>
      <c r="U32" s="4"/>
    </row>
    <row r="33" spans="1:21" x14ac:dyDescent="0.25">
      <c r="A33" s="22"/>
      <c r="B33" s="4" t="s">
        <v>5602</v>
      </c>
      <c r="C33" s="4" t="str">
        <f>IFERROR(INDEX('Projekt-Budget-Übersicht'!$C:$C,MATCH(1491,'Projekt-Budget-Übersicht'!$L:$L,0)),"")</f>
        <v/>
      </c>
      <c r="D33" s="4">
        <v>40</v>
      </c>
      <c r="E33" s="4">
        <v>68.5</v>
      </c>
      <c r="F33" s="4">
        <v>9.5</v>
      </c>
      <c r="G33" s="15">
        <v>171.25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'M. Bandlofsky'!M33</f>
        <v>0</v>
      </c>
      <c r="Q33" s="10">
        <v>652.5</v>
      </c>
      <c r="R33" s="10">
        <f>IFERROR(INDEX('Projekt-Budget-Übersicht'!$F:$F,MATCH(1491,'Projekt-Budget-Übersicht'!$L:$L,0)),0)</f>
        <v>0</v>
      </c>
      <c r="S33" s="10">
        <v>21224.71</v>
      </c>
      <c r="T33" s="4"/>
      <c r="U33" s="4"/>
    </row>
    <row r="34" spans="1:21" x14ac:dyDescent="0.25">
      <c r="A34" s="4" t="s">
        <v>1403</v>
      </c>
      <c r="B34" s="4" t="s">
        <v>5459</v>
      </c>
      <c r="C34" s="4" t="str">
        <f>IFERROR(INDEX('Projekt-Budget-Übersicht'!$C:$C,MATCH(1544,'Projekt-Budget-Übersicht'!$L:$L,0)),"")</f>
        <v/>
      </c>
      <c r="D34" s="4">
        <v>30</v>
      </c>
      <c r="E34" s="4">
        <v>29</v>
      </c>
      <c r="F34" s="4">
        <v>27</v>
      </c>
      <c r="G34" s="14">
        <v>96.67</v>
      </c>
      <c r="H34" s="5"/>
      <c r="I34" s="5">
        <f t="shared" si="4"/>
        <v>0</v>
      </c>
      <c r="J34" s="4"/>
      <c r="K34" s="5">
        <f>IF('P. Bergner'!J25="M. Bandlofsky",'P. Bergner'!I25,0)</f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124.32432432432429</v>
      </c>
      <c r="M34" s="10">
        <f t="shared" si="5"/>
        <v>3356.7567567567557</v>
      </c>
      <c r="N34" s="10">
        <f t="shared" si="6"/>
        <v>3356.7567567567557</v>
      </c>
      <c r="O34" s="10">
        <f t="shared" si="7"/>
        <v>0</v>
      </c>
      <c r="P34" s="10">
        <f>'M. Bandlofsky'!M34+'P. Bergner'!M25</f>
        <v>3605.4054054054045</v>
      </c>
      <c r="Q34" s="10">
        <v>161</v>
      </c>
      <c r="R34" s="10">
        <f>IFERROR(INDEX('Projekt-Budget-Übersicht'!$F:$F,MATCH(1544,'Projekt-Budget-Übersicht'!$L:$L,0)),0)</f>
        <v>0</v>
      </c>
      <c r="S34" s="10">
        <v>215</v>
      </c>
      <c r="T34" s="4"/>
      <c r="U34" s="4"/>
    </row>
    <row r="35" spans="1:21" x14ac:dyDescent="0.25">
      <c r="A35" s="4" t="s">
        <v>4980</v>
      </c>
      <c r="B35" s="4" t="s">
        <v>5487</v>
      </c>
      <c r="C35" s="4" t="str">
        <f>IFERROR(INDEX('Projekt-Budget-Übersicht'!$C:$C,MATCH(4962,'Projekt-Budget-Übersicht'!$L:$L,0)),"")</f>
        <v/>
      </c>
      <c r="D35" s="4">
        <v>26</v>
      </c>
      <c r="E35" s="4">
        <v>41.25</v>
      </c>
      <c r="F35" s="4">
        <v>9</v>
      </c>
      <c r="G35" s="15">
        <v>158.65</v>
      </c>
      <c r="H35" s="5"/>
      <c r="I35" s="5">
        <f t="shared" si="4"/>
        <v>0</v>
      </c>
      <c r="J35" s="4"/>
      <c r="K35" s="5">
        <f>IF('J. Dorchies'!J23="M. Bandlofsky",'J. Dorchies'!I23,0)+IF('T. Trautmann'!J61="M. Bandlofsky",'T. Trautmann'!I61,0)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'J. Dorchies'!M23+'M. Bandlofsky'!M35+'T. Trautmann'!M61</f>
        <v>0</v>
      </c>
      <c r="Q35" s="10">
        <v>178</v>
      </c>
      <c r="R35" s="10">
        <f>IFERROR(INDEX('Projekt-Budget-Übersicht'!$F:$F,MATCH(4962,'Projekt-Budget-Übersicht'!$L:$L,0)),0)</f>
        <v>0</v>
      </c>
      <c r="S35" s="10">
        <v>606.65</v>
      </c>
      <c r="T35" s="4"/>
      <c r="U35" s="4"/>
    </row>
    <row r="36" spans="1:21" x14ac:dyDescent="0.25">
      <c r="A36" s="4" t="s">
        <v>5038</v>
      </c>
      <c r="B36" s="4" t="s">
        <v>5509</v>
      </c>
      <c r="C36" s="4" t="str">
        <f>IFERROR(INDEX('Projekt-Budget-Übersicht'!$C:$C,MATCH(5020,'Projekt-Budget-Übersicht'!$L:$L,0)),"")</f>
        <v/>
      </c>
      <c r="D36" s="4">
        <v>31</v>
      </c>
      <c r="E36" s="4">
        <v>38.75</v>
      </c>
      <c r="F36" s="4">
        <v>3</v>
      </c>
      <c r="G36" s="15">
        <v>125</v>
      </c>
      <c r="H36" s="5"/>
      <c r="I36" s="5">
        <f t="shared" si="4"/>
        <v>0</v>
      </c>
      <c r="J36" s="4"/>
      <c r="K36" s="5">
        <f>IF('A. Kokott'!J67="M. Bandlofsky",'A. Kokott'!I67,0)</f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123.8095238095238</v>
      </c>
      <c r="M36" s="10">
        <f t="shared" si="5"/>
        <v>371.42857142857139</v>
      </c>
      <c r="N36" s="10">
        <f t="shared" si="6"/>
        <v>371.42857142857139</v>
      </c>
      <c r="O36" s="10">
        <f t="shared" si="7"/>
        <v>0</v>
      </c>
      <c r="P36" s="10">
        <f>'A. Kokott'!M67+'M. Bandlofsky'!M36</f>
        <v>433.33333333333326</v>
      </c>
      <c r="Q36" s="10">
        <v>123</v>
      </c>
      <c r="R36" s="10">
        <f>IFERROR(INDEX('Projekt-Budget-Übersicht'!$F:$F,MATCH(5020,'Projekt-Budget-Übersicht'!$L:$L,0)),0)</f>
        <v>0</v>
      </c>
      <c r="S36" s="10">
        <v>756.58</v>
      </c>
      <c r="T36" s="4"/>
      <c r="U36" s="4"/>
    </row>
    <row r="37" spans="1:21" x14ac:dyDescent="0.25">
      <c r="A37" s="3"/>
      <c r="B37" s="3" t="s">
        <v>5492</v>
      </c>
      <c r="C37" s="3"/>
      <c r="D37" s="3"/>
      <c r="E37" s="3"/>
      <c r="F37" s="6">
        <v>69</v>
      </c>
      <c r="G37" s="3"/>
      <c r="H37" s="3"/>
      <c r="I37" s="3"/>
      <c r="J37" s="3"/>
      <c r="K37" s="3"/>
      <c r="L37" s="3"/>
      <c r="M37" s="17">
        <f>SUM(M26:M36)</f>
        <v>4159.1228281853273</v>
      </c>
      <c r="N37" s="17">
        <f>SUM(N26:N36)</f>
        <v>4159.1228281853273</v>
      </c>
      <c r="O37" s="17">
        <f>SUM(O26:O36)</f>
        <v>0</v>
      </c>
      <c r="P37" s="17">
        <f>SUM(P26:P36)</f>
        <v>4533.426238738738</v>
      </c>
      <c r="Q37" s="3"/>
      <c r="R37" s="3"/>
      <c r="S37" s="3"/>
      <c r="T37" s="3"/>
      <c r="U37" s="3"/>
    </row>
    <row r="38" spans="1:21" x14ac:dyDescent="0.25">
      <c r="A38" s="3"/>
      <c r="B38" s="3" t="s">
        <v>4</v>
      </c>
      <c r="C38" s="3"/>
      <c r="D38" s="3"/>
      <c r="E38" s="3"/>
      <c r="F38" s="6">
        <f>G38+H38</f>
        <v>34.25</v>
      </c>
      <c r="G38" s="6">
        <v>34.25</v>
      </c>
      <c r="H38" s="6">
        <f>SUM(H27,H28,H29,H30,H31,H32,H33,H34,H35,H36)</f>
        <v>0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x14ac:dyDescent="0.25">
      <c r="A39" s="3"/>
      <c r="B39" s="3" t="s">
        <v>5</v>
      </c>
      <c r="C39" s="3"/>
      <c r="D39" s="3"/>
      <c r="E39" s="3"/>
      <c r="F39" s="6">
        <f>G39+H39</f>
        <v>3.5</v>
      </c>
      <c r="G39" s="6">
        <v>3.5</v>
      </c>
      <c r="H39" s="6">
        <f>SUM(H26)</f>
        <v>0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x14ac:dyDescent="0.25">
      <c r="A40" s="3"/>
      <c r="B40" s="3" t="s">
        <v>5493</v>
      </c>
      <c r="C40" s="3"/>
      <c r="D40" s="3"/>
      <c r="E40" s="3"/>
      <c r="F40" s="6">
        <f>SUM(K26:K36)</f>
        <v>0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18"/>
      <c r="B41" s="18" t="s">
        <v>5494</v>
      </c>
      <c r="C41" s="18"/>
      <c r="D41" s="18"/>
      <c r="E41" s="18"/>
      <c r="F41" s="19">
        <f>F38+F39+F40</f>
        <v>37.75</v>
      </c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3" spans="1:21" ht="15.75" x14ac:dyDescent="0.25">
      <c r="A43" s="2" t="s">
        <v>5512</v>
      </c>
    </row>
    <row r="44" spans="1:21" x14ac:dyDescent="0.25">
      <c r="A44" s="3" t="s">
        <v>35</v>
      </c>
      <c r="B44" s="3" t="s">
        <v>5461</v>
      </c>
      <c r="C44" s="3" t="s">
        <v>37</v>
      </c>
      <c r="D44" s="3" t="s">
        <v>5462</v>
      </c>
      <c r="E44" s="3" t="s">
        <v>5463</v>
      </c>
      <c r="F44" s="3" t="s">
        <v>5513</v>
      </c>
      <c r="G44" s="3" t="s">
        <v>5465</v>
      </c>
      <c r="H44" s="3" t="s">
        <v>5466</v>
      </c>
      <c r="I44" s="3" t="s">
        <v>5467</v>
      </c>
      <c r="J44" s="3" t="s">
        <v>5468</v>
      </c>
      <c r="K44" s="3" t="s">
        <v>5469</v>
      </c>
      <c r="L44" s="3" t="s">
        <v>5470</v>
      </c>
      <c r="M44" s="3" t="s">
        <v>5471</v>
      </c>
      <c r="N44" s="3" t="s">
        <v>5472</v>
      </c>
      <c r="O44" s="3" t="s">
        <v>5473</v>
      </c>
      <c r="P44" s="3" t="s">
        <v>5474</v>
      </c>
      <c r="Q44" s="3" t="s">
        <v>5475</v>
      </c>
      <c r="R44" s="3" t="s">
        <v>5476</v>
      </c>
      <c r="S44" s="3" t="s">
        <v>5477</v>
      </c>
      <c r="T44" s="3" t="s">
        <v>5478</v>
      </c>
      <c r="U44" s="3" t="s">
        <v>5479</v>
      </c>
    </row>
    <row r="45" spans="1:21" x14ac:dyDescent="0.25">
      <c r="A45" s="21" t="s">
        <v>61</v>
      </c>
      <c r="B45" s="4" t="s">
        <v>5481</v>
      </c>
      <c r="C45" s="4" t="str">
        <f>IFERROR(INDEX('Projekt-Budget-Übersicht'!$C:$C,MATCH(10,'Projekt-Budget-Übersicht'!$L:$L,0)),"")</f>
        <v/>
      </c>
      <c r="D45" s="4">
        <v>8</v>
      </c>
      <c r="E45" s="4">
        <v>1</v>
      </c>
      <c r="F45" s="4">
        <v>1</v>
      </c>
      <c r="G45" s="16">
        <v>12.5</v>
      </c>
      <c r="H45" s="5"/>
      <c r="I45" s="5">
        <f t="shared" ref="I45:I63" si="8">IF(H45=0,0,F45-H45)</f>
        <v>0</v>
      </c>
      <c r="J45" s="4"/>
      <c r="K45" s="5">
        <f>IF('A. Kokott'!J86="M. Bandlofsky",'A. Kokott'!I86,0)+IF('C. Trapp SV'!J57="M. Bandlofsky",'C. Trapp SV'!I57,0)+IF('J. Dorn'!J84="M. Bandlofsky",'J. Dorn'!I84,0)+IF('O. Haag BS-CAD'!J93="M. Bandlofsky",'O. Haag BS-CAD'!I93,0)+IF('R. Wagen CAD'!J57="M. Bandlofsky",'R. Wagen CAD'!I57,0)+IF('T. Trautmann'!J72="M. Bandlofsky",'T. Trautmann'!I72,0)+IF('U. Sutter ADM'!J52="M. Bandlofsky",'U. Sutter ADM'!I52,0)</f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5" s="10">
        <f t="shared" ref="M45:M63" si="9">IF($B$2="-",0,IF(C45="Pauschale",IF(OR(R45=0,N(D45)=0),0,MAX(0,MIN(R45*((N(F45)+N(K45))/N(D45)),R45-R45*(N(E45)/N(D45))))),L45*(N(F45)+N(K45))))</f>
        <v>0</v>
      </c>
      <c r="N45" s="10">
        <f t="shared" ref="N45:N63" si="10">IF($B$2="-",0,IF(C45="Pauschale",IF(OR(R45=0,N(D45)=0),0,R45*((N(F45)+N(K45))/N(D45))),L45*(N(F45)+N(K45))))</f>
        <v>0</v>
      </c>
      <c r="O45" s="10">
        <f t="shared" ref="O45:O63" si="11">N45-M45</f>
        <v>0</v>
      </c>
      <c r="P45" s="10">
        <f>'A. Kokott'!M86+'C. Trapp SV'!M57+'J. Dorn'!M84+'M. Bandlofsky'!M45+'O. Haag BS-CAD'!M93+'R. Wagen CAD'!M57+'T. Trautmann'!M72+'U. Sutter ADM'!M52</f>
        <v>0</v>
      </c>
      <c r="Q45" s="10">
        <v>132</v>
      </c>
      <c r="R45" s="10">
        <f>IFERROR(INDEX('Projekt-Budget-Übersicht'!$F:$F,MATCH(10,'Projekt-Budget-Übersicht'!$L:$L,0)),0)</f>
        <v>0</v>
      </c>
      <c r="S45" s="10">
        <v>68628.19</v>
      </c>
      <c r="T45" s="4"/>
      <c r="U45" s="4"/>
    </row>
    <row r="46" spans="1:21" x14ac:dyDescent="0.25">
      <c r="A46" s="22"/>
      <c r="B46" s="4" t="s">
        <v>5603</v>
      </c>
      <c r="C46" s="4" t="str">
        <f>IFERROR(INDEX('Projekt-Budget-Übersicht'!$C:$C,MATCH(10,'Projekt-Budget-Übersicht'!$L:$L,0)),"")</f>
        <v/>
      </c>
      <c r="D46" s="4">
        <v>4</v>
      </c>
      <c r="E46" s="4">
        <v>3</v>
      </c>
      <c r="F46" s="4">
        <v>3</v>
      </c>
      <c r="G46" s="16">
        <v>75</v>
      </c>
      <c r="H46" s="5"/>
      <c r="I46" s="5">
        <f t="shared" si="8"/>
        <v>0</v>
      </c>
      <c r="J46" s="4"/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6" s="10">
        <f t="shared" si="9"/>
        <v>0</v>
      </c>
      <c r="N46" s="10">
        <f t="shared" si="10"/>
        <v>0</v>
      </c>
      <c r="O46" s="10">
        <f t="shared" si="11"/>
        <v>0</v>
      </c>
      <c r="P46" s="10">
        <f>'M. Bandlofsky'!M46</f>
        <v>0</v>
      </c>
      <c r="Q46" s="10">
        <v>132</v>
      </c>
      <c r="R46" s="10">
        <f>IFERROR(INDEX('Projekt-Budget-Übersicht'!$F:$F,MATCH(10,'Projekt-Budget-Übersicht'!$L:$L,0)),0)</f>
        <v>0</v>
      </c>
      <c r="S46" s="10">
        <v>68628.19</v>
      </c>
      <c r="T46" s="4"/>
      <c r="U46" s="4"/>
    </row>
    <row r="47" spans="1:21" x14ac:dyDescent="0.25">
      <c r="A47" s="4" t="s">
        <v>91</v>
      </c>
      <c r="B47" s="4" t="s">
        <v>5459</v>
      </c>
      <c r="C47" s="4" t="str">
        <f>IFERROR(INDEX('Projekt-Budget-Übersicht'!$C:$C,MATCH(26,'Projekt-Budget-Übersicht'!$L:$L,0)),"")</f>
        <v/>
      </c>
      <c r="D47" s="4">
        <v>20</v>
      </c>
      <c r="E47" s="4">
        <v>19.5</v>
      </c>
      <c r="F47" s="4">
        <v>1</v>
      </c>
      <c r="G47" s="14">
        <v>97.5</v>
      </c>
      <c r="H47" s="5"/>
      <c r="I47" s="5">
        <f t="shared" si="8"/>
        <v>0</v>
      </c>
      <c r="J47" s="4"/>
      <c r="K47" s="5">
        <f>IF('A. Kokott'!J87="M. Bandlofsky",'A. Kokott'!I87,0)</f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IF($B$2="-",0,IFERROR(INDEX(IF($B$2="SV",'Projekt-Budget-Übersicht'!$I:$I,IF($B$2="CAD",'Projekt-Budget-Übersicht'!$J:$J,IF($B$2="ADM",'Projekt-Budget-Übersicht'!$K:$K,'Projekt-Budget-Übersicht'!$I:$I))),MATCH(26,'Projekt-Budget-Übersicht'!$M:$M,0)),0))</f>
        <v>108.75</v>
      </c>
      <c r="M47" s="10">
        <f t="shared" si="9"/>
        <v>108.75</v>
      </c>
      <c r="N47" s="10">
        <f t="shared" si="10"/>
        <v>108.75</v>
      </c>
      <c r="O47" s="10">
        <f t="shared" si="11"/>
        <v>0</v>
      </c>
      <c r="P47" s="10">
        <f>'A. Kokott'!M87+'M. Bandlofsky'!M47</f>
        <v>135.9375</v>
      </c>
      <c r="Q47" s="10">
        <v>131</v>
      </c>
      <c r="R47" s="10">
        <f>IFERROR(INDEX('Projekt-Budget-Übersicht'!$F:$F,MATCH(26,'Projekt-Budget-Übersicht'!$L:$L,0)),0)</f>
        <v>0</v>
      </c>
      <c r="S47" s="10">
        <v>1453.75</v>
      </c>
      <c r="T47" s="4"/>
      <c r="U47" s="4"/>
    </row>
    <row r="48" spans="1:21" x14ac:dyDescent="0.25">
      <c r="A48" s="4" t="s">
        <v>770</v>
      </c>
      <c r="B48" s="4" t="s">
        <v>5459</v>
      </c>
      <c r="C48" s="4" t="str">
        <f>IFERROR(INDEX('Projekt-Budget-Übersicht'!$C:$C,MATCH(777,'Projekt-Budget-Übersicht'!$L:$L,0)),"")</f>
        <v/>
      </c>
      <c r="D48" s="4">
        <v>20</v>
      </c>
      <c r="E48" s="4">
        <v>26</v>
      </c>
      <c r="F48" s="4">
        <v>12</v>
      </c>
      <c r="G48" s="15">
        <v>130</v>
      </c>
      <c r="H48" s="5"/>
      <c r="I48" s="5">
        <f t="shared" si="8"/>
        <v>0</v>
      </c>
      <c r="J48" s="4"/>
      <c r="K48" s="5">
        <f>IF('T. Trautmann'!J80="M. Bandlofsky",'T. Trautmann'!I80,0)</f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IF($B$2="-",0,IFERROR(INDEX(IF($B$2="SV",'Projekt-Budget-Übersicht'!$I:$I,IF($B$2="CAD",'Projekt-Budget-Übersicht'!$J:$J,IF($B$2="ADM",'Projekt-Budget-Übersicht'!$K:$K,'Projekt-Budget-Übersicht'!$I:$I))),MATCH(777,'Projekt-Budget-Übersicht'!$M:$M,0)),0))</f>
        <v>111.2903225806452</v>
      </c>
      <c r="M48" s="10">
        <f t="shared" si="9"/>
        <v>1335.4838709677424</v>
      </c>
      <c r="N48" s="10">
        <f t="shared" si="10"/>
        <v>1335.4838709677424</v>
      </c>
      <c r="O48" s="10">
        <f t="shared" si="11"/>
        <v>0</v>
      </c>
      <c r="P48" s="10">
        <f>'M. Bandlofsky'!M48+'T. Trautmann'!M80</f>
        <v>1446.7741935483875</v>
      </c>
      <c r="Q48" s="10">
        <v>767</v>
      </c>
      <c r="R48" s="10">
        <f>IFERROR(INDEX('Projekt-Budget-Übersicht'!$F:$F,MATCH(777,'Projekt-Budget-Übersicht'!$L:$L,0)),0)</f>
        <v>0</v>
      </c>
      <c r="S48" s="10">
        <v>219.15</v>
      </c>
      <c r="T48" s="4"/>
      <c r="U48" s="4"/>
    </row>
    <row r="49" spans="1:21" x14ac:dyDescent="0.25">
      <c r="A49" s="21" t="s">
        <v>1367</v>
      </c>
      <c r="B49" s="4" t="s">
        <v>5599</v>
      </c>
      <c r="C49" s="4" t="str">
        <f>IFERROR(INDEX('Projekt-Budget-Übersicht'!$C:$C,MATCH(1479,'Projekt-Budget-Übersicht'!$L:$L,0)),"")</f>
        <v/>
      </c>
      <c r="D49" s="4">
        <v>28</v>
      </c>
      <c r="E49" s="4">
        <v>41.5</v>
      </c>
      <c r="F49" s="4">
        <v>5.5</v>
      </c>
      <c r="G49" s="15">
        <v>148.21</v>
      </c>
      <c r="H49" s="5"/>
      <c r="I49" s="5">
        <f t="shared" si="8"/>
        <v>0</v>
      </c>
      <c r="J49" s="4"/>
      <c r="K49" s="5">
        <f>IF('T. Trautmann'!J82="M. Bandlofsky",'T. Trautmann'!I82,0)</f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49" s="10">
        <f t="shared" si="9"/>
        <v>0</v>
      </c>
      <c r="N49" s="10">
        <f t="shared" si="10"/>
        <v>0</v>
      </c>
      <c r="O49" s="10">
        <f t="shared" si="11"/>
        <v>0</v>
      </c>
      <c r="P49" s="10">
        <f>'M. Bandlofsky'!M49+'T. Trautmann'!M82</f>
        <v>0</v>
      </c>
      <c r="Q49" s="10">
        <v>167</v>
      </c>
      <c r="R49" s="10">
        <f>IFERROR(INDEX('Projekt-Budget-Übersicht'!$F:$F,MATCH(1479,'Projekt-Budget-Übersicht'!$L:$L,0)),0)</f>
        <v>0</v>
      </c>
      <c r="S49" s="10">
        <v>1355.79</v>
      </c>
      <c r="T49" s="4"/>
      <c r="U49" s="4"/>
    </row>
    <row r="50" spans="1:21" x14ac:dyDescent="0.25">
      <c r="A50" s="22"/>
      <c r="B50" s="4" t="s">
        <v>5459</v>
      </c>
      <c r="C50" s="4" t="s">
        <v>50</v>
      </c>
      <c r="D50" s="4">
        <v>0</v>
      </c>
      <c r="E50" s="4">
        <v>0</v>
      </c>
      <c r="F50" s="4">
        <v>3</v>
      </c>
      <c r="G50" s="4">
        <v>0</v>
      </c>
      <c r="H50" s="5"/>
      <c r="I50" s="5">
        <f t="shared" si="8"/>
        <v>0</v>
      </c>
      <c r="J50" s="4"/>
      <c r="K50" s="5">
        <f>IF('A. Kokott'!J91="M. Bandlofsky",'A. Kokott'!I91,0)</f>
        <v>0</v>
      </c>
      <c r="L50" s="10">
        <f>IF($B$2="-",0,0)</f>
        <v>0</v>
      </c>
      <c r="M50" s="10">
        <f t="shared" si="9"/>
        <v>0</v>
      </c>
      <c r="N50" s="10">
        <f t="shared" si="10"/>
        <v>0</v>
      </c>
      <c r="O50" s="10">
        <f t="shared" si="11"/>
        <v>0</v>
      </c>
      <c r="P50" s="10">
        <f>'A. Kokott'!M91+'M. Bandlofsky'!M50</f>
        <v>0</v>
      </c>
      <c r="Q50" s="10"/>
      <c r="R50" s="10">
        <f>0</f>
        <v>0</v>
      </c>
      <c r="S50" s="10"/>
      <c r="T50" s="4"/>
      <c r="U50" s="4"/>
    </row>
    <row r="51" spans="1:21" x14ac:dyDescent="0.25">
      <c r="A51" s="21" t="s">
        <v>1377</v>
      </c>
      <c r="B51" s="4" t="s">
        <v>5536</v>
      </c>
      <c r="C51" s="4" t="str">
        <f>IFERROR(INDEX('Projekt-Budget-Übersicht'!$C:$C,MATCH(1491,'Projekt-Budget-Übersicht'!$L:$L,0)),"")</f>
        <v/>
      </c>
      <c r="D51" s="4">
        <v>307.5</v>
      </c>
      <c r="E51" s="4">
        <v>398.25</v>
      </c>
      <c r="F51" s="4">
        <v>6</v>
      </c>
      <c r="G51" s="15">
        <v>129.51</v>
      </c>
      <c r="H51" s="5"/>
      <c r="I51" s="5">
        <f t="shared" si="8"/>
        <v>0</v>
      </c>
      <c r="J51" s="4"/>
      <c r="K51" s="5">
        <f>IF('E. Bieler'!J62="M. Bandlofsky",'E. Bieler'!I62,0)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1" s="10">
        <f t="shared" si="9"/>
        <v>0</v>
      </c>
      <c r="N51" s="10">
        <f t="shared" si="10"/>
        <v>0</v>
      </c>
      <c r="O51" s="10">
        <f t="shared" si="11"/>
        <v>0</v>
      </c>
      <c r="P51" s="10">
        <f>'E. Bieler'!M62+'M. Bandlofsky'!M51</f>
        <v>0</v>
      </c>
      <c r="Q51" s="10">
        <v>652.5</v>
      </c>
      <c r="R51" s="10">
        <f>IFERROR(INDEX('Projekt-Budget-Übersicht'!$F:$F,MATCH(1491,'Projekt-Budget-Übersicht'!$L:$L,0)),0)</f>
        <v>0</v>
      </c>
      <c r="S51" s="10">
        <v>21224.71</v>
      </c>
      <c r="T51" s="4"/>
      <c r="U51" s="4"/>
    </row>
    <row r="52" spans="1:21" x14ac:dyDescent="0.25">
      <c r="A52" s="23"/>
      <c r="B52" s="4" t="s">
        <v>5537</v>
      </c>
      <c r="C52" s="4" t="str">
        <f>IFERROR(INDEX('Projekt-Budget-Übersicht'!$C:$C,MATCH(1490,'Projekt-Budget-Übersicht'!$L:$L,0)),"")</f>
        <v/>
      </c>
      <c r="D52" s="4">
        <v>16</v>
      </c>
      <c r="E52" s="4">
        <v>78</v>
      </c>
      <c r="F52" s="4">
        <v>3.75</v>
      </c>
      <c r="G52" s="15">
        <v>487.5</v>
      </c>
      <c r="H52" s="5"/>
      <c r="I52" s="5">
        <f t="shared" si="8"/>
        <v>0</v>
      </c>
      <c r="J52" s="4"/>
      <c r="K52" s="5"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52" s="10">
        <f t="shared" si="9"/>
        <v>318.75</v>
      </c>
      <c r="N52" s="10">
        <f t="shared" si="10"/>
        <v>318.75</v>
      </c>
      <c r="O52" s="10">
        <f t="shared" si="11"/>
        <v>0</v>
      </c>
      <c r="P52" s="10">
        <f>'M. Bandlofsky'!M52</f>
        <v>318.75</v>
      </c>
      <c r="Q52" s="10">
        <v>16</v>
      </c>
      <c r="R52" s="10">
        <f>IFERROR(INDEX('Projekt-Budget-Übersicht'!$F:$F,MATCH(1490,'Projekt-Budget-Übersicht'!$L:$L,0)),0)</f>
        <v>0</v>
      </c>
      <c r="S52" s="10">
        <v>453.82</v>
      </c>
      <c r="T52" s="4"/>
      <c r="U52" s="4"/>
    </row>
    <row r="53" spans="1:21" x14ac:dyDescent="0.25">
      <c r="A53" s="23"/>
      <c r="B53" s="4" t="s">
        <v>5604</v>
      </c>
      <c r="C53" s="4" t="str">
        <f>IFERROR(INDEX('Projekt-Budget-Übersicht'!$C:$C,MATCH(1491,'Projekt-Budget-Übersicht'!$L:$L,0)),"")</f>
        <v/>
      </c>
      <c r="D53" s="4">
        <v>8</v>
      </c>
      <c r="E53" s="4">
        <v>11.5</v>
      </c>
      <c r="F53" s="4">
        <v>1.5</v>
      </c>
      <c r="G53" s="15">
        <v>143.75</v>
      </c>
      <c r="H53" s="5"/>
      <c r="I53" s="5">
        <f t="shared" si="8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3" s="10">
        <f t="shared" si="9"/>
        <v>0</v>
      </c>
      <c r="N53" s="10">
        <f t="shared" si="10"/>
        <v>0</v>
      </c>
      <c r="O53" s="10">
        <f t="shared" si="11"/>
        <v>0</v>
      </c>
      <c r="P53" s="10">
        <f>'M. Bandlofsky'!M53</f>
        <v>0</v>
      </c>
      <c r="Q53" s="10">
        <v>652.5</v>
      </c>
      <c r="R53" s="10">
        <f>IFERROR(INDEX('Projekt-Budget-Übersicht'!$F:$F,MATCH(1491,'Projekt-Budget-Übersicht'!$L:$L,0)),0)</f>
        <v>0</v>
      </c>
      <c r="S53" s="10">
        <v>21224.71</v>
      </c>
      <c r="T53" s="4"/>
      <c r="U53" s="4"/>
    </row>
    <row r="54" spans="1:21" x14ac:dyDescent="0.25">
      <c r="A54" s="23"/>
      <c r="B54" s="4" t="s">
        <v>5605</v>
      </c>
      <c r="C54" s="4" t="str">
        <f>IFERROR(INDEX('Projekt-Budget-Übersicht'!$C:$C,MATCH(1491,'Projekt-Budget-Übersicht'!$L:$L,0)),"")</f>
        <v/>
      </c>
      <c r="D54" s="4">
        <v>24</v>
      </c>
      <c r="E54" s="4">
        <v>4.75</v>
      </c>
      <c r="F54" s="4">
        <v>1.5</v>
      </c>
      <c r="G54" s="16">
        <v>19.79</v>
      </c>
      <c r="H54" s="5"/>
      <c r="I54" s="5">
        <f t="shared" si="8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4" s="10">
        <f t="shared" si="9"/>
        <v>0</v>
      </c>
      <c r="N54" s="10">
        <f t="shared" si="10"/>
        <v>0</v>
      </c>
      <c r="O54" s="10">
        <f t="shared" si="11"/>
        <v>0</v>
      </c>
      <c r="P54" s="10">
        <f>'M. Bandlofsky'!M54</f>
        <v>0</v>
      </c>
      <c r="Q54" s="10">
        <v>652.5</v>
      </c>
      <c r="R54" s="10">
        <f>IFERROR(INDEX('Projekt-Budget-Übersicht'!$F:$F,MATCH(1491,'Projekt-Budget-Übersicht'!$L:$L,0)),0)</f>
        <v>0</v>
      </c>
      <c r="S54" s="10">
        <v>21224.71</v>
      </c>
      <c r="T54" s="4"/>
      <c r="U54" s="4"/>
    </row>
    <row r="55" spans="1:21" x14ac:dyDescent="0.25">
      <c r="A55" s="23"/>
      <c r="B55" s="4" t="s">
        <v>5606</v>
      </c>
      <c r="C55" s="4" t="str">
        <f>IFERROR(INDEX('Projekt-Budget-Übersicht'!$C:$C,MATCH(1491,'Projekt-Budget-Übersicht'!$L:$L,0)),"")</f>
        <v/>
      </c>
      <c r="D55" s="4">
        <v>57</v>
      </c>
      <c r="E55" s="4">
        <v>57.75</v>
      </c>
      <c r="F55" s="4">
        <v>2.5</v>
      </c>
      <c r="G55" s="15">
        <v>101.32</v>
      </c>
      <c r="H55" s="5"/>
      <c r="I55" s="5">
        <f t="shared" si="8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5" s="10">
        <f t="shared" si="9"/>
        <v>0</v>
      </c>
      <c r="N55" s="10">
        <f t="shared" si="10"/>
        <v>0</v>
      </c>
      <c r="O55" s="10">
        <f t="shared" si="11"/>
        <v>0</v>
      </c>
      <c r="P55" s="10">
        <f>'M. Bandlofsky'!M55</f>
        <v>0</v>
      </c>
      <c r="Q55" s="10">
        <v>652.5</v>
      </c>
      <c r="R55" s="10">
        <f>IFERROR(INDEX('Projekt-Budget-Übersicht'!$F:$F,MATCH(1491,'Projekt-Budget-Übersicht'!$L:$L,0)),0)</f>
        <v>0</v>
      </c>
      <c r="S55" s="10">
        <v>21224.71</v>
      </c>
      <c r="T55" s="4"/>
      <c r="U55" s="4"/>
    </row>
    <row r="56" spans="1:21" x14ac:dyDescent="0.25">
      <c r="A56" s="23"/>
      <c r="B56" s="4" t="s">
        <v>5607</v>
      </c>
      <c r="C56" s="4" t="str">
        <f>IFERROR(INDEX('Projekt-Budget-Übersicht'!$C:$C,MATCH(1491,'Projekt-Budget-Übersicht'!$L:$L,0)),"")</f>
        <v/>
      </c>
      <c r="D56" s="4">
        <v>24</v>
      </c>
      <c r="E56" s="4">
        <v>1.5</v>
      </c>
      <c r="F56" s="4">
        <v>1</v>
      </c>
      <c r="G56" s="16">
        <v>6.25</v>
      </c>
      <c r="H56" s="5"/>
      <c r="I56" s="5">
        <f t="shared" si="8"/>
        <v>0</v>
      </c>
      <c r="J56" s="4"/>
      <c r="K56" s="5"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6" s="10">
        <f t="shared" si="9"/>
        <v>0</v>
      </c>
      <c r="N56" s="10">
        <f t="shared" si="10"/>
        <v>0</v>
      </c>
      <c r="O56" s="10">
        <f t="shared" si="11"/>
        <v>0</v>
      </c>
      <c r="P56" s="10">
        <f>'M. Bandlofsky'!M56</f>
        <v>0</v>
      </c>
      <c r="Q56" s="10">
        <v>652.5</v>
      </c>
      <c r="R56" s="10">
        <f>IFERROR(INDEX('Projekt-Budget-Übersicht'!$F:$F,MATCH(1491,'Projekt-Budget-Übersicht'!$L:$L,0)),0)</f>
        <v>0</v>
      </c>
      <c r="S56" s="10">
        <v>21224.71</v>
      </c>
      <c r="T56" s="4"/>
      <c r="U56" s="4"/>
    </row>
    <row r="57" spans="1:21" x14ac:dyDescent="0.25">
      <c r="A57" s="22"/>
      <c r="B57" s="4" t="s">
        <v>5602</v>
      </c>
      <c r="C57" s="4" t="str">
        <f>IFERROR(INDEX('Projekt-Budget-Übersicht'!$C:$C,MATCH(1491,'Projekt-Budget-Übersicht'!$L:$L,0)),"")</f>
        <v/>
      </c>
      <c r="D57" s="4">
        <v>40</v>
      </c>
      <c r="E57" s="4">
        <v>69.25</v>
      </c>
      <c r="F57" s="4">
        <v>0.75</v>
      </c>
      <c r="G57" s="15">
        <v>173.12</v>
      </c>
      <c r="H57" s="5"/>
      <c r="I57" s="5">
        <f t="shared" si="8"/>
        <v>0</v>
      </c>
      <c r="J57" s="4"/>
      <c r="K57" s="5"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57" s="10">
        <f t="shared" si="9"/>
        <v>0</v>
      </c>
      <c r="N57" s="10">
        <f t="shared" si="10"/>
        <v>0</v>
      </c>
      <c r="O57" s="10">
        <f t="shared" si="11"/>
        <v>0</v>
      </c>
      <c r="P57" s="10">
        <f>'M. Bandlofsky'!M57</f>
        <v>0</v>
      </c>
      <c r="Q57" s="10">
        <v>652.5</v>
      </c>
      <c r="R57" s="10">
        <f>IFERROR(INDEX('Projekt-Budget-Übersicht'!$F:$F,MATCH(1491,'Projekt-Budget-Übersicht'!$L:$L,0)),0)</f>
        <v>0</v>
      </c>
      <c r="S57" s="10">
        <v>21224.71</v>
      </c>
      <c r="T57" s="4"/>
      <c r="U57" s="4"/>
    </row>
    <row r="58" spans="1:21" x14ac:dyDescent="0.25">
      <c r="A58" s="4" t="s">
        <v>1383</v>
      </c>
      <c r="B58" s="4" t="s">
        <v>5536</v>
      </c>
      <c r="C58" s="4" t="str">
        <f>IFERROR(INDEX('Projekt-Budget-Übersicht'!$C:$C,MATCH(1499,'Projekt-Budget-Übersicht'!$L:$L,0)),"")</f>
        <v/>
      </c>
      <c r="D58" s="4">
        <v>20</v>
      </c>
      <c r="E58" s="4">
        <v>8.75</v>
      </c>
      <c r="F58" s="4">
        <v>1.25</v>
      </c>
      <c r="G58" s="16">
        <v>43.75</v>
      </c>
      <c r="H58" s="5"/>
      <c r="I58" s="5">
        <f t="shared" si="8"/>
        <v>0</v>
      </c>
      <c r="J58" s="4"/>
      <c r="K58" s="5">
        <f>IF('U. Sutter ADM'!J55="M. Bandlofsky",'U. Sutter ADM'!I55,0)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58" s="10">
        <f t="shared" si="9"/>
        <v>0</v>
      </c>
      <c r="N58" s="10">
        <f t="shared" si="10"/>
        <v>0</v>
      </c>
      <c r="O58" s="10">
        <f t="shared" si="11"/>
        <v>0</v>
      </c>
      <c r="P58" s="10">
        <f>'M. Bandlofsky'!M58+'U. Sutter ADM'!M55</f>
        <v>0</v>
      </c>
      <c r="Q58" s="10">
        <v>451</v>
      </c>
      <c r="R58" s="10">
        <f>IFERROR(INDEX('Projekt-Budget-Übersicht'!$F:$F,MATCH(1499,'Projekt-Budget-Übersicht'!$L:$L,0)),0)</f>
        <v>0</v>
      </c>
      <c r="S58" s="10">
        <v>15665.4</v>
      </c>
      <c r="T58" s="4"/>
      <c r="U58" s="4"/>
    </row>
    <row r="59" spans="1:21" x14ac:dyDescent="0.25">
      <c r="A59" s="4" t="s">
        <v>1644</v>
      </c>
      <c r="B59" s="4" t="s">
        <v>5459</v>
      </c>
      <c r="C59" s="4" t="str">
        <f>IFERROR(INDEX('Projekt-Budget-Übersicht'!$C:$C,MATCH(1852,'Projekt-Budget-Übersicht'!$L:$L,0)),"")</f>
        <v/>
      </c>
      <c r="D59" s="4">
        <v>0</v>
      </c>
      <c r="E59" s="4">
        <v>16</v>
      </c>
      <c r="F59" s="4">
        <v>16</v>
      </c>
      <c r="G59" s="4">
        <v>0</v>
      </c>
      <c r="H59" s="5"/>
      <c r="I59" s="5">
        <f t="shared" si="8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IF($B$2="-",0,IFERROR(INDEX(IF($B$2="SV",'Projekt-Budget-Übersicht'!$I:$I,IF($B$2="CAD",'Projekt-Budget-Übersicht'!$J:$J,IF($B$2="ADM",'Projekt-Budget-Übersicht'!$K:$K,'Projekt-Budget-Übersicht'!$I:$I))),MATCH(1852,'Projekt-Budget-Übersicht'!$M:$M,0)),0))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'M. Bandlofsky'!M59</f>
        <v>0</v>
      </c>
      <c r="Q59" s="10">
        <v>87</v>
      </c>
      <c r="R59" s="10">
        <f>IFERROR(INDEX('Projekt-Budget-Übersicht'!$F:$F,MATCH(1852,'Projekt-Budget-Übersicht'!$L:$L,0)),0)</f>
        <v>0</v>
      </c>
      <c r="S59" s="10">
        <v>1092.5</v>
      </c>
      <c r="T59" s="4"/>
      <c r="U59" s="4"/>
    </row>
    <row r="60" spans="1:21" x14ac:dyDescent="0.25">
      <c r="A60" s="4" t="s">
        <v>2060</v>
      </c>
      <c r="B60" s="4" t="s">
        <v>5459</v>
      </c>
      <c r="C60" s="4" t="str">
        <f>IFERROR(INDEX('Projekt-Budget-Übersicht'!$C:$C,MATCH(2428,'Projekt-Budget-Übersicht'!$L:$L,0)),"")</f>
        <v/>
      </c>
      <c r="D60" s="4">
        <v>6</v>
      </c>
      <c r="E60" s="4">
        <v>6.75</v>
      </c>
      <c r="F60" s="4">
        <v>1.5</v>
      </c>
      <c r="G60" s="15">
        <v>112.5</v>
      </c>
      <c r="H60" s="5"/>
      <c r="I60" s="5">
        <f t="shared" si="8"/>
        <v>0</v>
      </c>
      <c r="J60" s="4"/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IF($B$2="-",0,IFERROR(INDEX(IF($B$2="SV",'Projekt-Budget-Übersicht'!$I:$I,IF($B$2="CAD",'Projekt-Budget-Übersicht'!$J:$J,IF($B$2="ADM",'Projekt-Budget-Übersicht'!$K:$K,'Projekt-Budget-Übersicht'!$I:$I))),MATCH(2428,'Projekt-Budget-Übersicht'!$M:$M,0)),0))</f>
        <v>73.913043478260875</v>
      </c>
      <c r="M60" s="10">
        <f t="shared" si="9"/>
        <v>110.86956521739131</v>
      </c>
      <c r="N60" s="10">
        <f t="shared" si="10"/>
        <v>110.86956521739131</v>
      </c>
      <c r="O60" s="10">
        <f t="shared" si="11"/>
        <v>0</v>
      </c>
      <c r="P60" s="10">
        <f>'M. Bandlofsky'!M60</f>
        <v>110.86956521739131</v>
      </c>
      <c r="Q60" s="10">
        <v>11.5</v>
      </c>
      <c r="R60" s="10">
        <f>IFERROR(INDEX('Projekt-Budget-Übersicht'!$F:$F,MATCH(2428,'Projekt-Budget-Übersicht'!$L:$L,0)),0)</f>
        <v>0</v>
      </c>
      <c r="S60" s="10"/>
      <c r="T60" s="4"/>
      <c r="U60" s="4"/>
    </row>
    <row r="61" spans="1:21" x14ac:dyDescent="0.25">
      <c r="A61" s="4" t="s">
        <v>2578</v>
      </c>
      <c r="B61" s="4" t="s">
        <v>5516</v>
      </c>
      <c r="C61" s="4" t="str">
        <f>IFERROR(INDEX('Projekt-Budget-Übersicht'!$C:$C,MATCH(2893,'Projekt-Budget-Übersicht'!$L:$L,0)),"")</f>
        <v/>
      </c>
      <c r="D61" s="4">
        <v>37</v>
      </c>
      <c r="E61" s="4">
        <v>27.75</v>
      </c>
      <c r="F61" s="4">
        <v>3</v>
      </c>
      <c r="G61" s="16">
        <v>75</v>
      </c>
      <c r="H61" s="5"/>
      <c r="I61" s="5">
        <f t="shared" si="8"/>
        <v>0</v>
      </c>
      <c r="J61" s="4"/>
      <c r="K61" s="5">
        <f>IF('A. Kokott'!J97="M. Bandlofsky",'A. Kokott'!I97,0)+IF('J. Dorn'!J90="M. Bandlofsky",'J. Dorn'!I90,0)+IF('O. Haag BS-CAD'!J106="M. Bandlofsky",'O. Haag BS-CAD'!I106,0)+IF('T. Trautmann'!J88="M. Bandlofsky",'T. Trautmann'!I88,0)</f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61" s="10">
        <f t="shared" si="9"/>
        <v>0</v>
      </c>
      <c r="N61" s="10">
        <f t="shared" si="10"/>
        <v>0</v>
      </c>
      <c r="O61" s="10">
        <f t="shared" si="11"/>
        <v>0</v>
      </c>
      <c r="P61" s="10">
        <f>'A. Kokott'!M97+'J. Dorn'!M90+'M. Bandlofsky'!M61+'O. Haag BS-CAD'!M106+'T. Trautmann'!M88</f>
        <v>0</v>
      </c>
      <c r="Q61" s="10">
        <v>37</v>
      </c>
      <c r="R61" s="10">
        <f>IFERROR(INDEX('Projekt-Budget-Übersicht'!$F:$F,MATCH(2893,'Projekt-Budget-Übersicht'!$L:$L,0)),0)</f>
        <v>0</v>
      </c>
      <c r="S61" s="10">
        <v>1736.25</v>
      </c>
      <c r="T61" s="4"/>
      <c r="U61" s="4"/>
    </row>
    <row r="62" spans="1:21" x14ac:dyDescent="0.25">
      <c r="A62" s="4" t="s">
        <v>4980</v>
      </c>
      <c r="B62" s="4" t="s">
        <v>5487</v>
      </c>
      <c r="C62" s="4" t="str">
        <f>IFERROR(INDEX('Projekt-Budget-Übersicht'!$C:$C,MATCH(4962,'Projekt-Budget-Übersicht'!$L:$L,0)),"")</f>
        <v/>
      </c>
      <c r="D62" s="4">
        <v>26</v>
      </c>
      <c r="E62" s="4">
        <v>42.75</v>
      </c>
      <c r="F62" s="4">
        <v>1</v>
      </c>
      <c r="G62" s="15">
        <v>164.42</v>
      </c>
      <c r="H62" s="5"/>
      <c r="I62" s="5">
        <f t="shared" si="8"/>
        <v>0</v>
      </c>
      <c r="J62" s="4"/>
      <c r="K62" s="5">
        <f>IF('A. Kokott'!J116="M. Bandlofsky",'A. Kokott'!I116,0)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62" s="10">
        <f t="shared" si="9"/>
        <v>0</v>
      </c>
      <c r="N62" s="10">
        <f t="shared" si="10"/>
        <v>0</v>
      </c>
      <c r="O62" s="10">
        <f t="shared" si="11"/>
        <v>0</v>
      </c>
      <c r="P62" s="10">
        <f>'A. Kokott'!M116+'M. Bandlofsky'!M62</f>
        <v>0</v>
      </c>
      <c r="Q62" s="10">
        <v>178</v>
      </c>
      <c r="R62" s="10">
        <f>IFERROR(INDEX('Projekt-Budget-Übersicht'!$F:$F,MATCH(4962,'Projekt-Budget-Übersicht'!$L:$L,0)),0)</f>
        <v>0</v>
      </c>
      <c r="S62" s="10">
        <v>606.65</v>
      </c>
      <c r="T62" s="4"/>
      <c r="U62" s="4"/>
    </row>
    <row r="63" spans="1:21" x14ac:dyDescent="0.25">
      <c r="A63" s="4" t="s">
        <v>5381</v>
      </c>
      <c r="B63" s="4" t="s">
        <v>5459</v>
      </c>
      <c r="C63" s="4" t="s">
        <v>50</v>
      </c>
      <c r="D63" s="4">
        <v>0</v>
      </c>
      <c r="E63" s="4">
        <v>0</v>
      </c>
      <c r="F63" s="4">
        <v>11.75</v>
      </c>
      <c r="G63" s="4">
        <v>0</v>
      </c>
      <c r="H63" s="5"/>
      <c r="I63" s="5">
        <f t="shared" si="8"/>
        <v>0</v>
      </c>
      <c r="J63" s="4"/>
      <c r="K63" s="5">
        <v>0</v>
      </c>
      <c r="L63" s="10">
        <f>IF($B$2="-",0,0)</f>
        <v>0</v>
      </c>
      <c r="M63" s="10">
        <f t="shared" si="9"/>
        <v>0</v>
      </c>
      <c r="N63" s="10">
        <f t="shared" si="10"/>
        <v>0</v>
      </c>
      <c r="O63" s="10">
        <f t="shared" si="11"/>
        <v>0</v>
      </c>
      <c r="P63" s="10">
        <f>'M. Bandlofsky'!M63</f>
        <v>0</v>
      </c>
      <c r="Q63" s="10"/>
      <c r="R63" s="10">
        <f>0</f>
        <v>0</v>
      </c>
      <c r="S63" s="10"/>
      <c r="T63" s="4"/>
      <c r="U63" s="4"/>
    </row>
    <row r="64" spans="1:21" x14ac:dyDescent="0.25">
      <c r="A64" s="3"/>
      <c r="B64" s="3" t="s">
        <v>5492</v>
      </c>
      <c r="C64" s="3"/>
      <c r="D64" s="3"/>
      <c r="E64" s="3"/>
      <c r="F64" s="6">
        <v>77</v>
      </c>
      <c r="G64" s="3"/>
      <c r="H64" s="3"/>
      <c r="I64" s="3"/>
      <c r="J64" s="3"/>
      <c r="K64" s="3"/>
      <c r="L64" s="3"/>
      <c r="M64" s="17">
        <f>SUM(M45:M63)</f>
        <v>1873.8534361851337</v>
      </c>
      <c r="N64" s="17">
        <f>SUM(N45:N63)</f>
        <v>1873.8534361851337</v>
      </c>
      <c r="O64" s="17">
        <f>SUM(O45:O63)</f>
        <v>0</v>
      </c>
      <c r="P64" s="17">
        <f>SUM(P45:P63)</f>
        <v>2012.3312587657788</v>
      </c>
      <c r="Q64" s="3"/>
      <c r="R64" s="3"/>
      <c r="S64" s="3"/>
      <c r="T64" s="3"/>
      <c r="U64" s="3"/>
    </row>
    <row r="65" spans="1:21" x14ac:dyDescent="0.25">
      <c r="A65" s="3"/>
      <c r="B65" s="3" t="s">
        <v>4</v>
      </c>
      <c r="C65" s="3"/>
      <c r="D65" s="3"/>
      <c r="E65" s="3"/>
      <c r="F65" s="6">
        <f>G65+H65</f>
        <v>38.5</v>
      </c>
      <c r="G65" s="6">
        <v>38.5</v>
      </c>
      <c r="H65" s="6">
        <f>SUM(H47,H48,H49,H50,H51,H52,H53,H54,H55,H56,H57,H58,H59,H60,H61,H62,H63)</f>
        <v>0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1:21" x14ac:dyDescent="0.25">
      <c r="A66" s="3"/>
      <c r="B66" s="3" t="s">
        <v>5</v>
      </c>
      <c r="C66" s="3"/>
      <c r="D66" s="3"/>
      <c r="E66" s="3"/>
      <c r="F66" s="6">
        <f>G66+H66</f>
        <v>4</v>
      </c>
      <c r="G66" s="6">
        <v>4</v>
      </c>
      <c r="H66" s="6">
        <f>SUM(H45,H46)</f>
        <v>0</v>
      </c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1:21" x14ac:dyDescent="0.25">
      <c r="A67" s="3"/>
      <c r="B67" s="3" t="s">
        <v>5493</v>
      </c>
      <c r="C67" s="3"/>
      <c r="D67" s="3"/>
      <c r="E67" s="3"/>
      <c r="F67" s="6">
        <f>SUM(K45:K63)</f>
        <v>0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1:21" x14ac:dyDescent="0.25">
      <c r="A68" s="18"/>
      <c r="B68" s="18" t="s">
        <v>5494</v>
      </c>
      <c r="C68" s="18"/>
      <c r="D68" s="18"/>
      <c r="E68" s="18"/>
      <c r="F68" s="19">
        <f>F65+F66+F67</f>
        <v>42.5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</row>
    <row r="70" spans="1:21" ht="15.75" x14ac:dyDescent="0.25">
      <c r="A70" s="2" t="s">
        <v>5524</v>
      </c>
    </row>
    <row r="71" spans="1:21" x14ac:dyDescent="0.25">
      <c r="A71" s="3" t="s">
        <v>2</v>
      </c>
      <c r="B71" s="3" t="s">
        <v>5525</v>
      </c>
      <c r="C71" s="3" t="s">
        <v>5526</v>
      </c>
      <c r="D71" s="3" t="s">
        <v>4</v>
      </c>
      <c r="E71" s="3" t="s">
        <v>5</v>
      </c>
      <c r="F71" s="3" t="s">
        <v>5527</v>
      </c>
      <c r="G71" s="3" t="s">
        <v>5528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1:21" x14ac:dyDescent="0.25">
      <c r="A72" s="4" t="s">
        <v>6</v>
      </c>
      <c r="B72" s="4" t="s">
        <v>22</v>
      </c>
      <c r="C72" s="4">
        <f>F18</f>
        <v>116.75</v>
      </c>
      <c r="D72" s="4">
        <f>F19</f>
        <v>7</v>
      </c>
      <c r="E72" s="4">
        <f>F20</f>
        <v>1</v>
      </c>
      <c r="F72" s="4">
        <f>F21</f>
        <v>0</v>
      </c>
      <c r="G72" s="4">
        <f>F22</f>
        <v>8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1:21" x14ac:dyDescent="0.25">
      <c r="A73" s="4" t="s">
        <v>7</v>
      </c>
      <c r="B73" s="4" t="s">
        <v>22</v>
      </c>
      <c r="C73" s="4">
        <f>F37</f>
        <v>69</v>
      </c>
      <c r="D73" s="4">
        <f>F38</f>
        <v>34.25</v>
      </c>
      <c r="E73" s="4">
        <f>F39</f>
        <v>3.5</v>
      </c>
      <c r="F73" s="4">
        <f>F40</f>
        <v>0</v>
      </c>
      <c r="G73" s="4">
        <f>F41</f>
        <v>37.75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4" spans="1:21" x14ac:dyDescent="0.25">
      <c r="A74" s="4" t="s">
        <v>8</v>
      </c>
      <c r="B74" s="4" t="s">
        <v>22</v>
      </c>
      <c r="C74" s="4">
        <f>F64</f>
        <v>77</v>
      </c>
      <c r="D74" s="4">
        <f>F65</f>
        <v>38.5</v>
      </c>
      <c r="E74" s="4">
        <f>F66</f>
        <v>4</v>
      </c>
      <c r="F74" s="4">
        <f>F67</f>
        <v>0</v>
      </c>
      <c r="G74" s="4">
        <f>F68</f>
        <v>42.5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</row>
    <row r="76" spans="1:21" ht="15.75" x14ac:dyDescent="0.25">
      <c r="A76" s="2" t="s">
        <v>5550</v>
      </c>
    </row>
    <row r="77" spans="1:21" x14ac:dyDescent="0.25">
      <c r="A77" s="3" t="s">
        <v>35</v>
      </c>
      <c r="B77" s="3" t="s">
        <v>5461</v>
      </c>
      <c r="C77" s="3" t="s">
        <v>5551</v>
      </c>
      <c r="D77" s="3" t="s">
        <v>5552</v>
      </c>
      <c r="E77" s="3" t="s">
        <v>5465</v>
      </c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1:21" x14ac:dyDescent="0.25">
      <c r="A78" s="4" t="s">
        <v>61</v>
      </c>
      <c r="B78" s="4" t="s">
        <v>5603</v>
      </c>
      <c r="C78" s="4">
        <v>4</v>
      </c>
      <c r="D78" s="4">
        <v>3</v>
      </c>
      <c r="E78" s="16">
        <v>75</v>
      </c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</row>
    <row r="80" spans="1:21" ht="18.75" x14ac:dyDescent="0.3">
      <c r="A80" s="1" t="s">
        <v>5529</v>
      </c>
    </row>
    <row r="81" spans="1:21" x14ac:dyDescent="0.25">
      <c r="A81" s="3" t="s">
        <v>35</v>
      </c>
      <c r="B81" s="3" t="s">
        <v>5461</v>
      </c>
      <c r="C81" s="3" t="s">
        <v>37</v>
      </c>
      <c r="D81" s="3" t="s">
        <v>5462</v>
      </c>
      <c r="E81" s="3" t="s">
        <v>5463</v>
      </c>
      <c r="F81" s="3" t="s">
        <v>5530</v>
      </c>
      <c r="G81" s="3" t="s">
        <v>5465</v>
      </c>
      <c r="H81" s="3" t="s">
        <v>5466</v>
      </c>
      <c r="I81" s="3" t="s">
        <v>5467</v>
      </c>
      <c r="J81" s="3" t="s">
        <v>5468</v>
      </c>
      <c r="K81" s="3" t="s">
        <v>5469</v>
      </c>
      <c r="L81" s="3" t="s">
        <v>5470</v>
      </c>
      <c r="M81" s="3" t="s">
        <v>5471</v>
      </c>
      <c r="N81" s="3" t="s">
        <v>5472</v>
      </c>
      <c r="O81" s="3" t="s">
        <v>5473</v>
      </c>
      <c r="P81" s="3" t="s">
        <v>5474</v>
      </c>
      <c r="Q81" s="3" t="s">
        <v>5476</v>
      </c>
      <c r="R81" s="3" t="s">
        <v>5477</v>
      </c>
      <c r="S81" s="3"/>
      <c r="T81" s="3"/>
      <c r="U81" s="3"/>
    </row>
    <row r="82" spans="1:21" x14ac:dyDescent="0.25">
      <c r="A82" s="21" t="s">
        <v>61</v>
      </c>
      <c r="B82" s="4" t="s">
        <v>5481</v>
      </c>
      <c r="C82" s="4" t="str">
        <f>IFERROR(INDEX('Projekt-Budget-Übersicht'!$C:$C,MATCH(10,'Projekt-Budget-Übersicht'!$L:$L,0)),"")</f>
        <v/>
      </c>
      <c r="D82" s="4">
        <v>24</v>
      </c>
      <c r="E82" s="4">
        <v>5.5</v>
      </c>
      <c r="F82" s="5">
        <f>SUM(F6,F26,F45,I6,I26,I45,K6,K26,K45)</f>
        <v>5.5</v>
      </c>
      <c r="G82" s="16">
        <v>22.92</v>
      </c>
      <c r="H82" s="5">
        <f>SUM(H6,H26,H45)</f>
        <v>0</v>
      </c>
      <c r="I82" s="5">
        <f t="shared" ref="I82:I106" si="12">IF(H82=0,0,F82-H82)</f>
        <v>0</v>
      </c>
      <c r="J82" s="4" t="s">
        <v>5531</v>
      </c>
      <c r="K82" s="5">
        <f>SUM(K6,K26,K45)</f>
        <v>0</v>
      </c>
      <c r="L82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82" s="10">
        <f t="shared" ref="M82:M106" si="13">IF($B$2="-",0,IF(C82="Pauschale",IF(OR(Q82=0,N(D82)=0),0,MAX(0,MIN(Q82*((N(F82)+N(K82))/N(D82)),Q82-Q82*(N(E82)/N(D82))))),L82*(N(F82)+N(K82))))</f>
        <v>0</v>
      </c>
      <c r="N82" s="10">
        <f t="shared" ref="N82:N106" si="14">IF($B$2="-",0,IF(C82="Pauschale",IF(OR(Q82=0,N(D82)=0),0,Q82*((N(F82)+N(K82))/N(D82))),L82*(N(F82)+N(K82))))</f>
        <v>0</v>
      </c>
      <c r="O82" s="10">
        <f t="shared" ref="O82:O106" si="15">N82-M82</f>
        <v>0</v>
      </c>
      <c r="P82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82" s="10">
        <f>IFERROR(INDEX('Projekt-Budget-Übersicht'!$E:$E,MATCH(10,'Projekt-Budget-Übersicht'!$L:$L,0)),0)</f>
        <v>0</v>
      </c>
      <c r="R82" s="10">
        <v>68628.19</v>
      </c>
      <c r="S82" s="4"/>
      <c r="T82" s="4"/>
      <c r="U82" s="4"/>
    </row>
    <row r="83" spans="1:21" x14ac:dyDescent="0.25">
      <c r="A83" s="22"/>
      <c r="B83" s="4" t="s">
        <v>5603</v>
      </c>
      <c r="C83" s="4" t="str">
        <f>IFERROR(INDEX('Projekt-Budget-Übersicht'!$C:$C,MATCH(10,'Projekt-Budget-Übersicht'!$L:$L,0)),"")</f>
        <v/>
      </c>
      <c r="D83" s="4">
        <v>4</v>
      </c>
      <c r="E83" s="4">
        <v>3</v>
      </c>
      <c r="F83" s="5">
        <f>SUM(F46,I46,K46)</f>
        <v>3</v>
      </c>
      <c r="G83" s="16">
        <v>75</v>
      </c>
      <c r="H83" s="5">
        <f>SUM(H46)</f>
        <v>0</v>
      </c>
      <c r="I83" s="5">
        <f t="shared" si="12"/>
        <v>0</v>
      </c>
      <c r="J83" s="4" t="s">
        <v>5531</v>
      </c>
      <c r="K83" s="5">
        <f>SUM(K46)</f>
        <v>0</v>
      </c>
      <c r="L83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83" s="10">
        <f t="shared" si="13"/>
        <v>0</v>
      </c>
      <c r="N83" s="10">
        <f t="shared" si="14"/>
        <v>0</v>
      </c>
      <c r="O83" s="10">
        <f t="shared" si="15"/>
        <v>0</v>
      </c>
      <c r="P83" s="10">
        <f>'M. Bandlofsky'!M83</f>
        <v>0</v>
      </c>
      <c r="Q83" s="10">
        <f>IFERROR(INDEX('Projekt-Budget-Übersicht'!$E:$E,MATCH(10,'Projekt-Budget-Übersicht'!$L:$L,0)),0)</f>
        <v>0</v>
      </c>
      <c r="R83" s="10">
        <v>68628.19</v>
      </c>
      <c r="S83" s="4"/>
      <c r="T83" s="4"/>
      <c r="U83" s="4"/>
    </row>
    <row r="84" spans="1:21" x14ac:dyDescent="0.25">
      <c r="A84" s="4" t="s">
        <v>87</v>
      </c>
      <c r="B84" s="4" t="s">
        <v>5521</v>
      </c>
      <c r="C84" s="4" t="str">
        <f>IFERROR(INDEX('Projekt-Budget-Übersicht'!$C:$C,MATCH(24,'Projekt-Budget-Übersicht'!$L:$L,0)),"")</f>
        <v/>
      </c>
      <c r="D84" s="4">
        <v>40</v>
      </c>
      <c r="E84" s="4">
        <v>15.25</v>
      </c>
      <c r="F84" s="5">
        <f>SUM(F7,I7,K7)</f>
        <v>0.75</v>
      </c>
      <c r="G84" s="16">
        <v>38.119999999999997</v>
      </c>
      <c r="H84" s="5">
        <f>SUM(H7)</f>
        <v>0</v>
      </c>
      <c r="I84" s="5">
        <f t="shared" si="12"/>
        <v>0</v>
      </c>
      <c r="J84" s="4" t="s">
        <v>5531</v>
      </c>
      <c r="K84" s="5">
        <f>SUM(K7)</f>
        <v>0</v>
      </c>
      <c r="L84" s="10">
        <f>IF($B$2="-",0,IFERROR(INDEX(IF($B$2="SV",'Projekt-Budget-Übersicht'!$H:$H,IF($B$2="CAD",'Projekt-Budget-Übersicht'!$I:$I,IF($B$2="ADM",'Projekt-Budget-Übersicht'!$J:$J,'Projekt-Budget-Übersicht'!$H:$H))),MATCH(24,'Projekt-Budget-Übersicht'!$L:$L,0)),0))</f>
        <v>0</v>
      </c>
      <c r="M84" s="10">
        <f t="shared" si="13"/>
        <v>0</v>
      </c>
      <c r="N84" s="10">
        <f t="shared" si="14"/>
        <v>0</v>
      </c>
      <c r="O84" s="10">
        <f t="shared" si="15"/>
        <v>0</v>
      </c>
      <c r="P84" s="10">
        <f>'M. Bandlofsky'!M84</f>
        <v>0</v>
      </c>
      <c r="Q84" s="10">
        <f>IFERROR(INDEX('Projekt-Budget-Übersicht'!$E:$E,MATCH(24,'Projekt-Budget-Übersicht'!$L:$L,0)),0)</f>
        <v>0</v>
      </c>
      <c r="R84" s="10">
        <v>1263.75</v>
      </c>
      <c r="S84" s="4"/>
      <c r="T84" s="4"/>
      <c r="U84" s="4"/>
    </row>
    <row r="85" spans="1:21" x14ac:dyDescent="0.25">
      <c r="A85" s="4" t="s">
        <v>91</v>
      </c>
      <c r="B85" s="4" t="s">
        <v>5459</v>
      </c>
      <c r="C85" s="4" t="str">
        <f>IFERROR(INDEX('Projekt-Budget-Übersicht'!$C:$C,MATCH(26,'Projekt-Budget-Übersicht'!$L:$L,0)),"")</f>
        <v/>
      </c>
      <c r="D85" s="4">
        <v>20</v>
      </c>
      <c r="E85" s="4">
        <v>19.5</v>
      </c>
      <c r="F85" s="5">
        <f>SUM(F27,F47,I27,I47,K27,K47)</f>
        <v>1.25</v>
      </c>
      <c r="G85" s="14">
        <v>97.5</v>
      </c>
      <c r="H85" s="5">
        <f>SUM(H27,H47)</f>
        <v>0</v>
      </c>
      <c r="I85" s="5">
        <f t="shared" si="12"/>
        <v>0</v>
      </c>
      <c r="J85" s="4" t="s">
        <v>5531</v>
      </c>
      <c r="K85" s="5">
        <f>SUM(K27,K47)</f>
        <v>0</v>
      </c>
      <c r="L85" s="10">
        <f>IF($B$2="-",0,IFERROR(INDEX(IF($B$2="SV",'Projekt-Budget-Übersicht'!$H:$H,IF($B$2="CAD",'Projekt-Budget-Übersicht'!$I:$I,IF($B$2="ADM",'Projekt-Budget-Übersicht'!$J:$J,'Projekt-Budget-Übersicht'!$H:$H))),MATCH(26,'Projekt-Budget-Übersicht'!$L:$L,0)),0))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'A. Kokott'!M140+'M. Bandlofsky'!M85</f>
        <v>0</v>
      </c>
      <c r="Q85" s="10">
        <f>IFERROR(INDEX('Projekt-Budget-Übersicht'!$E:$E,MATCH(26,'Projekt-Budget-Übersicht'!$L:$L,0)),0)</f>
        <v>0</v>
      </c>
      <c r="R85" s="10">
        <v>1453.75</v>
      </c>
      <c r="S85" s="4"/>
      <c r="T85" s="4"/>
      <c r="U85" s="4"/>
    </row>
    <row r="86" spans="1:21" x14ac:dyDescent="0.25">
      <c r="A86" s="4" t="s">
        <v>770</v>
      </c>
      <c r="B86" s="4" t="s">
        <v>5459</v>
      </c>
      <c r="C86" s="4" t="str">
        <f>IFERROR(INDEX('Projekt-Budget-Übersicht'!$C:$C,MATCH(777,'Projekt-Budget-Übersicht'!$L:$L,0)),"")</f>
        <v/>
      </c>
      <c r="D86" s="4">
        <v>20</v>
      </c>
      <c r="E86" s="4">
        <v>26</v>
      </c>
      <c r="F86" s="5">
        <f>SUM(F48,I48,K48)</f>
        <v>12</v>
      </c>
      <c r="G86" s="15">
        <v>130</v>
      </c>
      <c r="H86" s="5">
        <f>SUM(H48)</f>
        <v>0</v>
      </c>
      <c r="I86" s="5">
        <f t="shared" si="12"/>
        <v>0</v>
      </c>
      <c r="J86" s="4" t="s">
        <v>5531</v>
      </c>
      <c r="K86" s="5">
        <f>SUM(K48)</f>
        <v>0</v>
      </c>
      <c r="L86" s="10">
        <f>IF($B$2="-",0,IFERROR(INDEX(IF($B$2="SV",'Projekt-Budget-Übersicht'!$H:$H,IF($B$2="CAD",'Projekt-Budget-Übersicht'!$I:$I,IF($B$2="ADM",'Projekt-Budget-Übersicht'!$J:$J,'Projekt-Budget-Übersicht'!$H:$H))),MATCH(777,'Projekt-Budget-Übersicht'!$L:$L,0)),0))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'M. Bandlofsky'!M86+'T. Trautmann'!M124</f>
        <v>0</v>
      </c>
      <c r="Q86" s="10">
        <f>IFERROR(INDEX('Projekt-Budget-Übersicht'!$E:$E,MATCH(777,'Projekt-Budget-Übersicht'!$L:$L,0)),0)</f>
        <v>0</v>
      </c>
      <c r="R86" s="10">
        <v>219.15</v>
      </c>
      <c r="S86" s="4"/>
      <c r="T86" s="4"/>
      <c r="U86" s="4"/>
    </row>
    <row r="87" spans="1:21" x14ac:dyDescent="0.25">
      <c r="A87" s="4" t="s">
        <v>982</v>
      </c>
      <c r="B87" s="4" t="s">
        <v>5536</v>
      </c>
      <c r="C87" s="4" t="str">
        <f>IFERROR(INDEX('Projekt-Budget-Übersicht'!$C:$C,MATCH(1003,'Projekt-Budget-Übersicht'!$L:$L,0)),"")</f>
        <v/>
      </c>
      <c r="D87" s="4">
        <v>116</v>
      </c>
      <c r="E87" s="4">
        <v>139.5</v>
      </c>
      <c r="F87" s="5">
        <f>SUM(F8,I8,K8)</f>
        <v>5</v>
      </c>
      <c r="G87" s="15">
        <v>120.26</v>
      </c>
      <c r="H87" s="5">
        <f>SUM(H8)</f>
        <v>0</v>
      </c>
      <c r="I87" s="5">
        <f t="shared" si="12"/>
        <v>0</v>
      </c>
      <c r="J87" s="4" t="s">
        <v>5531</v>
      </c>
      <c r="K87" s="5">
        <f>SUM(K8)</f>
        <v>0</v>
      </c>
      <c r="L87" s="10">
        <f>IF($B$2="-",0,IFERROR(INDEX(IF($B$2="SV",'Projekt-Budget-Übersicht'!$H:$H,IF($B$2="CAD",'Projekt-Budget-Übersicht'!$I:$I,IF($B$2="ADM",'Projekt-Budget-Übersicht'!$J:$J,'Projekt-Budget-Übersicht'!$H:$H))),MATCH(1003,'Projekt-Budget-Übersicht'!$L:$L,0)),0))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'M. Bandlofsky'!M87</f>
        <v>0</v>
      </c>
      <c r="Q87" s="10">
        <f>IFERROR(INDEX('Projekt-Budget-Übersicht'!$E:$E,MATCH(1003,'Projekt-Budget-Übersicht'!$L:$L,0)),0)</f>
        <v>0</v>
      </c>
      <c r="R87" s="10"/>
      <c r="S87" s="4"/>
      <c r="T87" s="4"/>
      <c r="U87" s="4"/>
    </row>
    <row r="88" spans="1:21" x14ac:dyDescent="0.25">
      <c r="A88" s="4" t="s">
        <v>1367</v>
      </c>
      <c r="B88" s="4" t="s">
        <v>5599</v>
      </c>
      <c r="C88" s="4" t="str">
        <f>IFERROR(INDEX('Projekt-Budget-Übersicht'!$C:$C,MATCH(1479,'Projekt-Budget-Übersicht'!$L:$L,0)),"")</f>
        <v/>
      </c>
      <c r="D88" s="4">
        <v>28</v>
      </c>
      <c r="E88" s="4">
        <v>41.5</v>
      </c>
      <c r="F88" s="5">
        <f>SUM(F9,F28,F49,I9,I28,I49,K9,K28,K49)</f>
        <v>29</v>
      </c>
      <c r="G88" s="15">
        <v>148.21</v>
      </c>
      <c r="H88" s="5">
        <f>SUM(H9,H28,H49)</f>
        <v>0</v>
      </c>
      <c r="I88" s="5">
        <f t="shared" si="12"/>
        <v>0</v>
      </c>
      <c r="J88" s="4" t="s">
        <v>5531</v>
      </c>
      <c r="K88" s="5">
        <f>SUM(K9,K28,K49)</f>
        <v>0</v>
      </c>
      <c r="L88" s="10">
        <f>IF($B$2="-",0,IFERROR(INDEX(IF($B$2="SV",'Projekt-Budget-Übersicht'!$H:$H,IF($B$2="CAD",'Projekt-Budget-Übersicht'!$I:$I,IF($B$2="ADM",'Projekt-Budget-Übersicht'!$J:$J,'Projekt-Budget-Übersicht'!$H:$H))),MATCH(1479,'Projekt-Budget-Übersicht'!$L:$L,0)),0))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'M. Bandlofsky'!M88+'T. Trautmann'!M126</f>
        <v>0</v>
      </c>
      <c r="Q88" s="10">
        <f>IFERROR(INDEX('Projekt-Budget-Übersicht'!$E:$E,MATCH(1479,'Projekt-Budget-Übersicht'!$L:$L,0)),0)</f>
        <v>0</v>
      </c>
      <c r="R88" s="10">
        <v>1355.79</v>
      </c>
      <c r="S88" s="4"/>
      <c r="T88" s="4"/>
      <c r="U88" s="4"/>
    </row>
    <row r="89" spans="1:21" x14ac:dyDescent="0.25">
      <c r="A89" s="21" t="s">
        <v>1377</v>
      </c>
      <c r="B89" s="4" t="s">
        <v>5601</v>
      </c>
      <c r="C89" s="4" t="str">
        <f>IFERROR(INDEX('Projekt-Budget-Übersicht'!$C:$C,MATCH(1489,'Projekt-Budget-Übersicht'!$L:$L,0)),"")</f>
        <v/>
      </c>
      <c r="D89" s="4">
        <v>46.5</v>
      </c>
      <c r="E89" s="4">
        <v>8</v>
      </c>
      <c r="F89" s="5">
        <f>SUM(F30,I30,K30)</f>
        <v>1</v>
      </c>
      <c r="G89" s="16">
        <v>17.2</v>
      </c>
      <c r="H89" s="5">
        <f>SUM(H30)</f>
        <v>0</v>
      </c>
      <c r="I89" s="5">
        <f t="shared" si="12"/>
        <v>0</v>
      </c>
      <c r="J89" s="4" t="s">
        <v>5531</v>
      </c>
      <c r="K89" s="5">
        <f>SUM(K30)</f>
        <v>0</v>
      </c>
      <c r="L89" s="10">
        <f>IF($B$2="-",0,IFERROR(INDEX(IF($B$2="SV",'Projekt-Budget-Übersicht'!$H:$H,IF($B$2="CAD",'Projekt-Budget-Übersicht'!$I:$I,IF($B$2="ADM",'Projekt-Budget-Übersicht'!$J:$J,'Projekt-Budget-Übersicht'!$H:$H))),MATCH(1489,'Projekt-Budget-Übersicht'!$L:$L,0)),0))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'M. Bandlofsky'!M89</f>
        <v>0</v>
      </c>
      <c r="Q89" s="10">
        <f>IFERROR(INDEX('Projekt-Budget-Übersicht'!$E:$E,MATCH(1489,'Projekt-Budget-Übersicht'!$L:$L,0)),0)</f>
        <v>0</v>
      </c>
      <c r="R89" s="10">
        <v>17296.3</v>
      </c>
      <c r="S89" s="4"/>
      <c r="T89" s="4"/>
      <c r="U89" s="4"/>
    </row>
    <row r="90" spans="1:21" x14ac:dyDescent="0.25">
      <c r="A90" s="23"/>
      <c r="B90" s="4" t="s">
        <v>5536</v>
      </c>
      <c r="C90" s="4" t="str">
        <f>IFERROR(INDEX('Projekt-Budget-Übersicht'!$C:$C,MATCH(1491,'Projekt-Budget-Übersicht'!$L:$L,0)),"")</f>
        <v/>
      </c>
      <c r="D90" s="4">
        <v>307.5</v>
      </c>
      <c r="E90" s="4">
        <v>398.25</v>
      </c>
      <c r="F90" s="5">
        <f>SUM(F10,F31,F51,I10,I31,I51,K10,K31,K51)</f>
        <v>14.5</v>
      </c>
      <c r="G90" s="15">
        <v>129.51</v>
      </c>
      <c r="H90" s="5">
        <f>SUM(H10,H31,H51)</f>
        <v>0</v>
      </c>
      <c r="I90" s="5">
        <f t="shared" si="12"/>
        <v>0</v>
      </c>
      <c r="J90" s="4" t="s">
        <v>5531</v>
      </c>
      <c r="K90" s="5">
        <f>SUM(K10,K31,K51)</f>
        <v>0</v>
      </c>
      <c r="L90" s="10">
        <f>IF($B$2="-",0,IFERROR(INDEX(IF($B$2="SV",'Projekt-Budget-Übersicht'!$H:$H,IF($B$2="CAD",'Projekt-Budget-Übersicht'!$I:$I,IF($B$2="ADM",'Projekt-Budget-Übersicht'!$J:$J,'Projekt-Budget-Übersicht'!$H:$H))),MATCH(1491,'Projekt-Budget-Übersicht'!$L:$L,0)),0))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'C. Trapp SV'!M94+'E. Bieler'!M84+'M. Bandlofsky'!M90</f>
        <v>0</v>
      </c>
      <c r="Q90" s="10">
        <f>IFERROR(INDEX('Projekt-Budget-Übersicht'!$E:$E,MATCH(1491,'Projekt-Budget-Übersicht'!$L:$L,0)),0)</f>
        <v>0</v>
      </c>
      <c r="R90" s="10">
        <v>21224.71</v>
      </c>
      <c r="S90" s="4"/>
      <c r="T90" s="4"/>
      <c r="U90" s="4"/>
    </row>
    <row r="91" spans="1:21" x14ac:dyDescent="0.25">
      <c r="A91" s="23"/>
      <c r="B91" s="4" t="s">
        <v>5537</v>
      </c>
      <c r="C91" s="4" t="str">
        <f>IFERROR(INDEX('Projekt-Budget-Übersicht'!$C:$C,MATCH(1490,'Projekt-Budget-Übersicht'!$L:$L,0)),"")</f>
        <v/>
      </c>
      <c r="D91" s="4">
        <v>16</v>
      </c>
      <c r="E91" s="4">
        <v>78</v>
      </c>
      <c r="F91" s="5">
        <f>SUM(F11,F32,F52,I11,I32,I52,K11,K32,K52)</f>
        <v>18</v>
      </c>
      <c r="G91" s="15">
        <v>487.5</v>
      </c>
      <c r="H91" s="5">
        <f>SUM(H11,H32,H52)</f>
        <v>0</v>
      </c>
      <c r="I91" s="5">
        <f t="shared" si="12"/>
        <v>0</v>
      </c>
      <c r="J91" s="4" t="s">
        <v>5531</v>
      </c>
      <c r="K91" s="5">
        <f>SUM(K11,K32,K52)</f>
        <v>0</v>
      </c>
      <c r="L91" s="10">
        <f>IF($B$2="-",0,IFERROR(INDEX(IF($B$2="SV",'Projekt-Budget-Übersicht'!$H:$H,IF($B$2="CAD",'Projekt-Budget-Übersicht'!$I:$I,IF($B$2="ADM",'Projekt-Budget-Übersicht'!$J:$J,'Projekt-Budget-Übersicht'!$H:$H))),MATCH(1490,'Projekt-Budget-Übersicht'!$L:$L,0)),0))</f>
        <v>0</v>
      </c>
      <c r="M91" s="10">
        <f t="shared" si="13"/>
        <v>0</v>
      </c>
      <c r="N91" s="10">
        <f t="shared" si="14"/>
        <v>0</v>
      </c>
      <c r="O91" s="10">
        <f t="shared" si="15"/>
        <v>0</v>
      </c>
      <c r="P91" s="10">
        <f>'C. Trapp SV'!M95+'M. Bandlofsky'!M91+'U. Sutter ADM'!M84</f>
        <v>0</v>
      </c>
      <c r="Q91" s="10">
        <f>IFERROR(INDEX('Projekt-Budget-Übersicht'!$E:$E,MATCH(1490,'Projekt-Budget-Übersicht'!$L:$L,0)),0)</f>
        <v>0</v>
      </c>
      <c r="R91" s="10">
        <v>453.82</v>
      </c>
      <c r="S91" s="4"/>
      <c r="T91" s="4"/>
      <c r="U91" s="4"/>
    </row>
    <row r="92" spans="1:21" x14ac:dyDescent="0.25">
      <c r="A92" s="23"/>
      <c r="B92" s="4" t="s">
        <v>5604</v>
      </c>
      <c r="C92" s="4" t="str">
        <f>IFERROR(INDEX('Projekt-Budget-Übersicht'!$C:$C,MATCH(1491,'Projekt-Budget-Übersicht'!$L:$L,0)),"")</f>
        <v/>
      </c>
      <c r="D92" s="4">
        <v>8</v>
      </c>
      <c r="E92" s="4">
        <v>11.5</v>
      </c>
      <c r="F92" s="5">
        <f>SUM(F53,I53,K53)</f>
        <v>1.5</v>
      </c>
      <c r="G92" s="15">
        <v>143.75</v>
      </c>
      <c r="H92" s="5">
        <f>SUM(H53)</f>
        <v>0</v>
      </c>
      <c r="I92" s="5">
        <f t="shared" si="12"/>
        <v>0</v>
      </c>
      <c r="J92" s="4" t="s">
        <v>5531</v>
      </c>
      <c r="K92" s="5">
        <f>SUM(K53)</f>
        <v>0</v>
      </c>
      <c r="L92" s="10">
        <f>IF($B$2="-",0,IFERROR(INDEX(IF($B$2="SV",'Projekt-Budget-Übersicht'!$H:$H,IF($B$2="CAD",'Projekt-Budget-Übersicht'!$I:$I,IF($B$2="ADM",'Projekt-Budget-Übersicht'!$J:$J,'Projekt-Budget-Übersicht'!$H:$H))),MATCH(1491,'Projekt-Budget-Übersicht'!$L:$L,0)),0))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'M. Bandlofsky'!M92</f>
        <v>0</v>
      </c>
      <c r="Q92" s="10">
        <f>IFERROR(INDEX('Projekt-Budget-Übersicht'!$E:$E,MATCH(1491,'Projekt-Budget-Übersicht'!$L:$L,0)),0)</f>
        <v>0</v>
      </c>
      <c r="R92" s="10">
        <v>21224.71</v>
      </c>
      <c r="S92" s="4"/>
      <c r="T92" s="4"/>
      <c r="U92" s="4"/>
    </row>
    <row r="93" spans="1:21" x14ac:dyDescent="0.25">
      <c r="A93" s="23"/>
      <c r="B93" s="4" t="s">
        <v>5605</v>
      </c>
      <c r="C93" s="4" t="str">
        <f>IFERROR(INDEX('Projekt-Budget-Übersicht'!$C:$C,MATCH(1491,'Projekt-Budget-Übersicht'!$L:$L,0)),"")</f>
        <v/>
      </c>
      <c r="D93" s="4">
        <v>24</v>
      </c>
      <c r="E93" s="4">
        <v>4.75</v>
      </c>
      <c r="F93" s="5">
        <f>SUM(F54,I54,K54)</f>
        <v>1.5</v>
      </c>
      <c r="G93" s="16">
        <v>19.79</v>
      </c>
      <c r="H93" s="5">
        <f>SUM(H54)</f>
        <v>0</v>
      </c>
      <c r="I93" s="5">
        <f t="shared" si="12"/>
        <v>0</v>
      </c>
      <c r="J93" s="4" t="s">
        <v>5531</v>
      </c>
      <c r="K93" s="5">
        <f>SUM(K54)</f>
        <v>0</v>
      </c>
      <c r="L93" s="10">
        <f>IF($B$2="-",0,IFERROR(INDEX(IF($B$2="SV",'Projekt-Budget-Übersicht'!$H:$H,IF($B$2="CAD",'Projekt-Budget-Übersicht'!$I:$I,IF($B$2="ADM",'Projekt-Budget-Übersicht'!$J:$J,'Projekt-Budget-Übersicht'!$H:$H))),MATCH(1491,'Projekt-Budget-Übersicht'!$L:$L,0)),0))</f>
        <v>0</v>
      </c>
      <c r="M93" s="10">
        <f t="shared" si="13"/>
        <v>0</v>
      </c>
      <c r="N93" s="10">
        <f t="shared" si="14"/>
        <v>0</v>
      </c>
      <c r="O93" s="10">
        <f t="shared" si="15"/>
        <v>0</v>
      </c>
      <c r="P93" s="10">
        <f>'M. Bandlofsky'!M93</f>
        <v>0</v>
      </c>
      <c r="Q93" s="10">
        <f>IFERROR(INDEX('Projekt-Budget-Übersicht'!$E:$E,MATCH(1491,'Projekt-Budget-Übersicht'!$L:$L,0)),0)</f>
        <v>0</v>
      </c>
      <c r="R93" s="10">
        <v>21224.71</v>
      </c>
      <c r="S93" s="4"/>
      <c r="T93" s="4"/>
      <c r="U93" s="4"/>
    </row>
    <row r="94" spans="1:21" x14ac:dyDescent="0.25">
      <c r="A94" s="23"/>
      <c r="B94" s="4" t="s">
        <v>5606</v>
      </c>
      <c r="C94" s="4" t="str">
        <f>IFERROR(INDEX('Projekt-Budget-Übersicht'!$C:$C,MATCH(1491,'Projekt-Budget-Übersicht'!$L:$L,0)),"")</f>
        <v/>
      </c>
      <c r="D94" s="4">
        <v>57</v>
      </c>
      <c r="E94" s="4">
        <v>57.75</v>
      </c>
      <c r="F94" s="5">
        <f>SUM(F55,I55,K55)</f>
        <v>2.5</v>
      </c>
      <c r="G94" s="15">
        <v>101.32</v>
      </c>
      <c r="H94" s="5">
        <f>SUM(H55)</f>
        <v>0</v>
      </c>
      <c r="I94" s="5">
        <f t="shared" si="12"/>
        <v>0</v>
      </c>
      <c r="J94" s="4" t="s">
        <v>5531</v>
      </c>
      <c r="K94" s="5">
        <f>SUM(K55)</f>
        <v>0</v>
      </c>
      <c r="L94" s="10">
        <f>IF($B$2="-",0,IFERROR(INDEX(IF($B$2="SV",'Projekt-Budget-Übersicht'!$H:$H,IF($B$2="CAD",'Projekt-Budget-Übersicht'!$I:$I,IF($B$2="ADM",'Projekt-Budget-Übersicht'!$J:$J,'Projekt-Budget-Übersicht'!$H:$H))),MATCH(1491,'Projekt-Budget-Übersicht'!$L:$L,0)),0))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'M. Bandlofsky'!M94</f>
        <v>0</v>
      </c>
      <c r="Q94" s="10">
        <f>IFERROR(INDEX('Projekt-Budget-Übersicht'!$E:$E,MATCH(1491,'Projekt-Budget-Übersicht'!$L:$L,0)),0)</f>
        <v>0</v>
      </c>
      <c r="R94" s="10">
        <v>21224.71</v>
      </c>
      <c r="S94" s="4"/>
      <c r="T94" s="4"/>
      <c r="U94" s="4"/>
    </row>
    <row r="95" spans="1:21" x14ac:dyDescent="0.25">
      <c r="A95" s="23"/>
      <c r="B95" s="4" t="s">
        <v>5607</v>
      </c>
      <c r="C95" s="4" t="str">
        <f>IFERROR(INDEX('Projekt-Budget-Übersicht'!$C:$C,MATCH(1491,'Projekt-Budget-Übersicht'!$L:$L,0)),"")</f>
        <v/>
      </c>
      <c r="D95" s="4">
        <v>24</v>
      </c>
      <c r="E95" s="4">
        <v>1.5</v>
      </c>
      <c r="F95" s="5">
        <f>SUM(F56,I56,K56)</f>
        <v>1</v>
      </c>
      <c r="G95" s="16">
        <v>6.25</v>
      </c>
      <c r="H95" s="5">
        <f>SUM(H56)</f>
        <v>0</v>
      </c>
      <c r="I95" s="5">
        <f t="shared" si="12"/>
        <v>0</v>
      </c>
      <c r="J95" s="4" t="s">
        <v>5531</v>
      </c>
      <c r="K95" s="5">
        <f>SUM(K56)</f>
        <v>0</v>
      </c>
      <c r="L95" s="10">
        <f>IF($B$2="-",0,IFERROR(INDEX(IF($B$2="SV",'Projekt-Budget-Übersicht'!$H:$H,IF($B$2="CAD",'Projekt-Budget-Übersicht'!$I:$I,IF($B$2="ADM",'Projekt-Budget-Übersicht'!$J:$J,'Projekt-Budget-Übersicht'!$H:$H))),MATCH(1491,'Projekt-Budget-Übersicht'!$L:$L,0)),0))</f>
        <v>0</v>
      </c>
      <c r="M95" s="10">
        <f t="shared" si="13"/>
        <v>0</v>
      </c>
      <c r="N95" s="10">
        <f t="shared" si="14"/>
        <v>0</v>
      </c>
      <c r="O95" s="10">
        <f t="shared" si="15"/>
        <v>0</v>
      </c>
      <c r="P95" s="10">
        <f>'M. Bandlofsky'!M95</f>
        <v>0</v>
      </c>
      <c r="Q95" s="10">
        <f>IFERROR(INDEX('Projekt-Budget-Übersicht'!$E:$E,MATCH(1491,'Projekt-Budget-Übersicht'!$L:$L,0)),0)</f>
        <v>0</v>
      </c>
      <c r="R95" s="10">
        <v>21224.71</v>
      </c>
      <c r="S95" s="4"/>
      <c r="T95" s="4"/>
      <c r="U95" s="4"/>
    </row>
    <row r="96" spans="1:21" x14ac:dyDescent="0.25">
      <c r="A96" s="22"/>
      <c r="B96" s="4" t="s">
        <v>5602</v>
      </c>
      <c r="C96" s="4" t="str">
        <f>IFERROR(INDEX('Projekt-Budget-Übersicht'!$C:$C,MATCH(1491,'Projekt-Budget-Übersicht'!$L:$L,0)),"")</f>
        <v/>
      </c>
      <c r="D96" s="4">
        <v>40</v>
      </c>
      <c r="E96" s="4">
        <v>69.25</v>
      </c>
      <c r="F96" s="5">
        <f>SUM(F33,F57,I33,I57,K33,K57)</f>
        <v>10.25</v>
      </c>
      <c r="G96" s="15">
        <v>173.12</v>
      </c>
      <c r="H96" s="5">
        <f>SUM(H33,H57)</f>
        <v>0</v>
      </c>
      <c r="I96" s="5">
        <f t="shared" si="12"/>
        <v>0</v>
      </c>
      <c r="J96" s="4" t="s">
        <v>5531</v>
      </c>
      <c r="K96" s="5">
        <f>SUM(K33,K57)</f>
        <v>0</v>
      </c>
      <c r="L96" s="10">
        <f>IF($B$2="-",0,IFERROR(INDEX(IF($B$2="SV",'Projekt-Budget-Übersicht'!$H:$H,IF($B$2="CAD",'Projekt-Budget-Übersicht'!$I:$I,IF($B$2="ADM",'Projekt-Budget-Übersicht'!$J:$J,'Projekt-Budget-Übersicht'!$H:$H))),MATCH(1491,'Projekt-Budget-Übersicht'!$L:$L,0)),0))</f>
        <v>0</v>
      </c>
      <c r="M96" s="10">
        <f t="shared" si="13"/>
        <v>0</v>
      </c>
      <c r="N96" s="10">
        <f t="shared" si="14"/>
        <v>0</v>
      </c>
      <c r="O96" s="10">
        <f t="shared" si="15"/>
        <v>0</v>
      </c>
      <c r="P96" s="10">
        <f>'M. Bandlofsky'!M96+'U. Sutter ADM'!M85</f>
        <v>0</v>
      </c>
      <c r="Q96" s="10">
        <f>IFERROR(INDEX('Projekt-Budget-Übersicht'!$E:$E,MATCH(1491,'Projekt-Budget-Übersicht'!$L:$L,0)),0)</f>
        <v>0</v>
      </c>
      <c r="R96" s="10">
        <v>21224.71</v>
      </c>
      <c r="S96" s="4"/>
      <c r="T96" s="4"/>
      <c r="U96" s="4"/>
    </row>
    <row r="97" spans="1:21" x14ac:dyDescent="0.25">
      <c r="A97" s="4" t="s">
        <v>1383</v>
      </c>
      <c r="B97" s="4" t="s">
        <v>5536</v>
      </c>
      <c r="C97" s="4" t="str">
        <f>IFERROR(INDEX('Projekt-Budget-Übersicht'!$C:$C,MATCH(1499,'Projekt-Budget-Übersicht'!$L:$L,0)),"")</f>
        <v/>
      </c>
      <c r="D97" s="4">
        <v>20</v>
      </c>
      <c r="E97" s="4">
        <v>8.75</v>
      </c>
      <c r="F97" s="5">
        <f>SUM(F58,I58,K58)</f>
        <v>1.25</v>
      </c>
      <c r="G97" s="16">
        <v>43.75</v>
      </c>
      <c r="H97" s="5">
        <f>SUM(H58)</f>
        <v>0</v>
      </c>
      <c r="I97" s="5">
        <f t="shared" si="12"/>
        <v>0</v>
      </c>
      <c r="J97" s="4" t="s">
        <v>5531</v>
      </c>
      <c r="K97" s="5">
        <f>SUM(K58)</f>
        <v>0</v>
      </c>
      <c r="L97" s="10">
        <f>IF($B$2="-",0,IFERROR(INDEX(IF($B$2="SV",'Projekt-Budget-Übersicht'!$H:$H,IF($B$2="CAD",'Projekt-Budget-Übersicht'!$I:$I,IF($B$2="ADM",'Projekt-Budget-Übersicht'!$J:$J,'Projekt-Budget-Übersicht'!$H:$H))),MATCH(1499,'Projekt-Budget-Übersicht'!$L:$L,0)),0))</f>
        <v>0</v>
      </c>
      <c r="M97" s="10">
        <f t="shared" si="13"/>
        <v>0</v>
      </c>
      <c r="N97" s="10">
        <f t="shared" si="14"/>
        <v>0</v>
      </c>
      <c r="O97" s="10">
        <f t="shared" si="15"/>
        <v>0</v>
      </c>
      <c r="P97" s="10">
        <f>'J. Dorn'!M123+'M. Bandlofsky'!M97+'U. Sutter ADM'!M88</f>
        <v>0</v>
      </c>
      <c r="Q97" s="10">
        <f>IFERROR(INDEX('Projekt-Budget-Übersicht'!$E:$E,MATCH(1499,'Projekt-Budget-Übersicht'!$L:$L,0)),0)</f>
        <v>0</v>
      </c>
      <c r="R97" s="10">
        <v>15665.4</v>
      </c>
      <c r="S97" s="4"/>
      <c r="T97" s="4"/>
      <c r="U97" s="4"/>
    </row>
    <row r="98" spans="1:21" x14ac:dyDescent="0.25">
      <c r="A98" s="4" t="s">
        <v>1403</v>
      </c>
      <c r="B98" s="4" t="s">
        <v>5459</v>
      </c>
      <c r="C98" s="4" t="str">
        <f>IFERROR(INDEX('Projekt-Budget-Übersicht'!$C:$C,MATCH(1544,'Projekt-Budget-Übersicht'!$L:$L,0)),"")</f>
        <v/>
      </c>
      <c r="D98" s="4">
        <v>30</v>
      </c>
      <c r="E98" s="4">
        <v>29</v>
      </c>
      <c r="F98" s="5">
        <f>SUM(F34,I34,K34)</f>
        <v>27</v>
      </c>
      <c r="G98" s="14">
        <v>96.67</v>
      </c>
      <c r="H98" s="5">
        <f>SUM(H34)</f>
        <v>0</v>
      </c>
      <c r="I98" s="5">
        <f t="shared" si="12"/>
        <v>0</v>
      </c>
      <c r="J98" s="4" t="s">
        <v>5531</v>
      </c>
      <c r="K98" s="5">
        <f>SUM(K34)</f>
        <v>0</v>
      </c>
      <c r="L98" s="10">
        <f>IF($B$2="-",0,IFERROR(INDEX(IF($B$2="SV",'Projekt-Budget-Übersicht'!$H:$H,IF($B$2="CAD",'Projekt-Budget-Übersicht'!$I:$I,IF($B$2="ADM",'Projekt-Budget-Übersicht'!$J:$J,'Projekt-Budget-Übersicht'!$H:$H))),MATCH(1544,'Projekt-Budget-Übersicht'!$L:$L,0)),0))</f>
        <v>0</v>
      </c>
      <c r="M98" s="10">
        <f t="shared" si="13"/>
        <v>0</v>
      </c>
      <c r="N98" s="10">
        <f t="shared" si="14"/>
        <v>0</v>
      </c>
      <c r="O98" s="10">
        <f t="shared" si="15"/>
        <v>0</v>
      </c>
      <c r="P98" s="10">
        <f>'M. Bandlofsky'!M98+'P. Bergner'!M82</f>
        <v>0</v>
      </c>
      <c r="Q98" s="10">
        <f>IFERROR(INDEX('Projekt-Budget-Übersicht'!$E:$E,MATCH(1544,'Projekt-Budget-Übersicht'!$L:$L,0)),0)</f>
        <v>0</v>
      </c>
      <c r="R98" s="10">
        <v>215</v>
      </c>
      <c r="S98" s="4"/>
      <c r="T98" s="4"/>
      <c r="U98" s="4"/>
    </row>
    <row r="99" spans="1:21" x14ac:dyDescent="0.25">
      <c r="A99" s="4" t="s">
        <v>1644</v>
      </c>
      <c r="B99" s="4" t="s">
        <v>5459</v>
      </c>
      <c r="C99" s="4" t="str">
        <f>IFERROR(INDEX('Projekt-Budget-Übersicht'!$C:$C,MATCH(1852,'Projekt-Budget-Übersicht'!$L:$L,0)),"")</f>
        <v/>
      </c>
      <c r="D99" s="4" t="s">
        <v>5531</v>
      </c>
      <c r="E99" s="4">
        <v>16</v>
      </c>
      <c r="F99" s="5">
        <f>SUM(F59,I59,K59)</f>
        <v>16</v>
      </c>
      <c r="G99" s="4" t="s">
        <v>5531</v>
      </c>
      <c r="H99" s="5">
        <f>SUM(H59)</f>
        <v>0</v>
      </c>
      <c r="I99" s="5">
        <f t="shared" si="12"/>
        <v>0</v>
      </c>
      <c r="J99" s="4" t="s">
        <v>5531</v>
      </c>
      <c r="K99" s="5">
        <f>SUM(K59)</f>
        <v>0</v>
      </c>
      <c r="L99" s="10">
        <f>IF($B$2="-",0,IFERROR(INDEX(IF($B$2="SV",'Projekt-Budget-Übersicht'!$H:$H,IF($B$2="CAD",'Projekt-Budget-Übersicht'!$I:$I,IF($B$2="ADM",'Projekt-Budget-Übersicht'!$J:$J,'Projekt-Budget-Übersicht'!$H:$H))),MATCH(1852,'Projekt-Budget-Übersicht'!$L:$L,0)),0))</f>
        <v>0</v>
      </c>
      <c r="M99" s="10">
        <f t="shared" si="13"/>
        <v>0</v>
      </c>
      <c r="N99" s="10">
        <f t="shared" si="14"/>
        <v>0</v>
      </c>
      <c r="O99" s="10">
        <f t="shared" si="15"/>
        <v>0</v>
      </c>
      <c r="P99" s="10">
        <f>'M. Bandlofsky'!M99</f>
        <v>0</v>
      </c>
      <c r="Q99" s="10">
        <f>IFERROR(INDEX('Projekt-Budget-Übersicht'!$E:$E,MATCH(1852,'Projekt-Budget-Übersicht'!$L:$L,0)),0)</f>
        <v>0</v>
      </c>
      <c r="R99" s="10">
        <v>1092.5</v>
      </c>
      <c r="S99" s="4"/>
      <c r="T99" s="4"/>
      <c r="U99" s="4"/>
    </row>
    <row r="100" spans="1:21" x14ac:dyDescent="0.25">
      <c r="A100" s="4" t="s">
        <v>2060</v>
      </c>
      <c r="B100" s="4" t="s">
        <v>5459</v>
      </c>
      <c r="C100" s="4" t="str">
        <f>IFERROR(INDEX('Projekt-Budget-Übersicht'!$C:$C,MATCH(2428,'Projekt-Budget-Übersicht'!$L:$L,0)),"")</f>
        <v/>
      </c>
      <c r="D100" s="4">
        <v>6</v>
      </c>
      <c r="E100" s="4">
        <v>6.75</v>
      </c>
      <c r="F100" s="5">
        <f>SUM(F60,I60,K60)</f>
        <v>1.5</v>
      </c>
      <c r="G100" s="15">
        <v>112.5</v>
      </c>
      <c r="H100" s="5">
        <f>SUM(H60)</f>
        <v>0</v>
      </c>
      <c r="I100" s="5">
        <f t="shared" si="12"/>
        <v>0</v>
      </c>
      <c r="J100" s="4" t="s">
        <v>5531</v>
      </c>
      <c r="K100" s="5">
        <f>SUM(K60)</f>
        <v>0</v>
      </c>
      <c r="L100" s="10">
        <f>IF($B$2="-",0,IFERROR(INDEX(IF($B$2="SV",'Projekt-Budget-Übersicht'!$H:$H,IF($B$2="CAD",'Projekt-Budget-Übersicht'!$I:$I,IF($B$2="ADM",'Projekt-Budget-Übersicht'!$J:$J,'Projekt-Budget-Übersicht'!$H:$H))),MATCH(2428,'Projekt-Budget-Übersicht'!$L:$L,0)),0))</f>
        <v>0</v>
      </c>
      <c r="M100" s="10">
        <f t="shared" si="13"/>
        <v>0</v>
      </c>
      <c r="N100" s="10">
        <f t="shared" si="14"/>
        <v>0</v>
      </c>
      <c r="O100" s="10">
        <f t="shared" si="15"/>
        <v>0</v>
      </c>
      <c r="P100" s="10">
        <f>'M. Bandlofsky'!M100</f>
        <v>0</v>
      </c>
      <c r="Q100" s="10">
        <f>IFERROR(INDEX('Projekt-Budget-Übersicht'!$E:$E,MATCH(2428,'Projekt-Budget-Übersicht'!$L:$L,0)),0)</f>
        <v>0</v>
      </c>
      <c r="R100" s="10"/>
      <c r="S100" s="4"/>
      <c r="T100" s="4"/>
      <c r="U100" s="4"/>
    </row>
    <row r="101" spans="1:21" x14ac:dyDescent="0.25">
      <c r="A101" s="4" t="s">
        <v>2578</v>
      </c>
      <c r="B101" s="4" t="s">
        <v>5516</v>
      </c>
      <c r="C101" s="4" t="str">
        <f>IFERROR(INDEX('Projekt-Budget-Übersicht'!$C:$C,MATCH(2893,'Projekt-Budget-Übersicht'!$L:$L,0)),"")</f>
        <v/>
      </c>
      <c r="D101" s="4">
        <v>37</v>
      </c>
      <c r="E101" s="4">
        <v>27.75</v>
      </c>
      <c r="F101" s="5">
        <f>SUM(F61,I61,K61)</f>
        <v>3</v>
      </c>
      <c r="G101" s="16">
        <v>75</v>
      </c>
      <c r="H101" s="5">
        <f>SUM(H61)</f>
        <v>0</v>
      </c>
      <c r="I101" s="5">
        <f t="shared" si="12"/>
        <v>0</v>
      </c>
      <c r="J101" s="4" t="s">
        <v>5531</v>
      </c>
      <c r="K101" s="5">
        <f>SUM(K61)</f>
        <v>0</v>
      </c>
      <c r="L101" s="10">
        <f>IF($B$2="-",0,IFERROR(INDEX(IF($B$2="SV",'Projekt-Budget-Übersicht'!$H:$H,IF($B$2="CAD",'Projekt-Budget-Übersicht'!$I:$I,IF($B$2="ADM",'Projekt-Budget-Übersicht'!$J:$J,'Projekt-Budget-Übersicht'!$H:$H))),MATCH(2893,'Projekt-Budget-Übersicht'!$L:$L,0)),0))</f>
        <v>0</v>
      </c>
      <c r="M101" s="10">
        <f t="shared" si="13"/>
        <v>0</v>
      </c>
      <c r="N101" s="10">
        <f t="shared" si="14"/>
        <v>0</v>
      </c>
      <c r="O101" s="10">
        <f t="shared" si="15"/>
        <v>0</v>
      </c>
      <c r="P101" s="10">
        <f>'A. Kokott'!M162+'J. Dorn'!M141+'M. Bandlofsky'!M101+'O. Haag BS-CAD'!M175+'T. Trautmann'!M139</f>
        <v>0</v>
      </c>
      <c r="Q101" s="10">
        <f>IFERROR(INDEX('Projekt-Budget-Übersicht'!$E:$E,MATCH(2893,'Projekt-Budget-Übersicht'!$L:$L,0)),0)</f>
        <v>0</v>
      </c>
      <c r="R101" s="10">
        <v>1736.25</v>
      </c>
      <c r="S101" s="4"/>
      <c r="T101" s="4"/>
      <c r="U101" s="4"/>
    </row>
    <row r="102" spans="1:21" x14ac:dyDescent="0.25">
      <c r="A102" s="4" t="s">
        <v>4429</v>
      </c>
      <c r="B102" s="4" t="s">
        <v>5459</v>
      </c>
      <c r="C102" s="4" t="str">
        <f>IFERROR(INDEX('Projekt-Budget-Übersicht'!$C:$C,MATCH(4500,'Projekt-Budget-Übersicht'!$L:$L,0)),"")</f>
        <v/>
      </c>
      <c r="D102" s="4" t="s">
        <v>5531</v>
      </c>
      <c r="E102" s="4">
        <v>119</v>
      </c>
      <c r="F102" s="5">
        <f>SUM(F13,I13,K13)</f>
        <v>3.5</v>
      </c>
      <c r="G102" s="4" t="s">
        <v>5531</v>
      </c>
      <c r="H102" s="5">
        <f>SUM(H13)</f>
        <v>0</v>
      </c>
      <c r="I102" s="5">
        <f t="shared" si="12"/>
        <v>0</v>
      </c>
      <c r="J102" s="4" t="s">
        <v>5531</v>
      </c>
      <c r="K102" s="5">
        <f>SUM(K13)</f>
        <v>0</v>
      </c>
      <c r="L102" s="10">
        <f>IF($B$2="-",0,IFERROR(INDEX(IF($B$2="SV",'Projekt-Budget-Übersicht'!$H:$H,IF($B$2="CAD",'Projekt-Budget-Übersicht'!$I:$I,IF($B$2="ADM",'Projekt-Budget-Übersicht'!$J:$J,'Projekt-Budget-Übersicht'!$H:$H))),MATCH(4500,'Projekt-Budget-Übersicht'!$L:$L,0)),0))</f>
        <v>0</v>
      </c>
      <c r="M102" s="10">
        <f t="shared" si="13"/>
        <v>0</v>
      </c>
      <c r="N102" s="10">
        <f t="shared" si="14"/>
        <v>0</v>
      </c>
      <c r="O102" s="10">
        <f t="shared" si="15"/>
        <v>0</v>
      </c>
      <c r="P102" s="10">
        <f>'E. Bieler'!M99+'M. Bandlofsky'!M102</f>
        <v>0</v>
      </c>
      <c r="Q102" s="10">
        <f>IFERROR(INDEX('Projekt-Budget-Übersicht'!$E:$E,MATCH(4500,'Projekt-Budget-Übersicht'!$L:$L,0)),0)</f>
        <v>0</v>
      </c>
      <c r="R102" s="10"/>
      <c r="S102" s="4"/>
      <c r="T102" s="4"/>
      <c r="U102" s="4"/>
    </row>
    <row r="103" spans="1:21" x14ac:dyDescent="0.25">
      <c r="A103" s="4" t="s">
        <v>4980</v>
      </c>
      <c r="B103" s="4" t="s">
        <v>5487</v>
      </c>
      <c r="C103" s="4" t="str">
        <f>IFERROR(INDEX('Projekt-Budget-Übersicht'!$C:$C,MATCH(4962,'Projekt-Budget-Übersicht'!$L:$L,0)),"")</f>
        <v/>
      </c>
      <c r="D103" s="4">
        <v>26</v>
      </c>
      <c r="E103" s="4">
        <v>42.75</v>
      </c>
      <c r="F103" s="5">
        <f>SUM(F14,F35,F62,I14,I35,I62,K14,K35,K62)</f>
        <v>31.5</v>
      </c>
      <c r="G103" s="15">
        <v>164.42</v>
      </c>
      <c r="H103" s="5">
        <f>SUM(H14,H35,H62)</f>
        <v>0</v>
      </c>
      <c r="I103" s="5">
        <f t="shared" si="12"/>
        <v>0</v>
      </c>
      <c r="J103" s="4" t="s">
        <v>5531</v>
      </c>
      <c r="K103" s="5">
        <f>SUM(K14,K35,K62)</f>
        <v>0</v>
      </c>
      <c r="L103" s="10">
        <f>IF($B$2="-",0,IFERROR(INDEX(IF($B$2="SV",'Projekt-Budget-Übersicht'!$H:$H,IF($B$2="CAD",'Projekt-Budget-Übersicht'!$I:$I,IF($B$2="ADM",'Projekt-Budget-Übersicht'!$J:$J,'Projekt-Budget-Übersicht'!$H:$H))),MATCH(4962,'Projekt-Budget-Übersicht'!$L:$L,0)),0))</f>
        <v>0</v>
      </c>
      <c r="M103" s="10">
        <f t="shared" si="13"/>
        <v>0</v>
      </c>
      <c r="N103" s="10">
        <f t="shared" si="14"/>
        <v>0</v>
      </c>
      <c r="O103" s="10">
        <f t="shared" si="15"/>
        <v>0</v>
      </c>
      <c r="P103" s="10">
        <f>'A. Kokott'!M198+'E. Bieler'!M109+'J. Dorchies'!M46+'M. Bandlofsky'!M103+'T. Trautmann'!M153</f>
        <v>0</v>
      </c>
      <c r="Q103" s="10">
        <f>IFERROR(INDEX('Projekt-Budget-Übersicht'!$E:$E,MATCH(4962,'Projekt-Budget-Übersicht'!$L:$L,0)),0)</f>
        <v>0</v>
      </c>
      <c r="R103" s="10">
        <v>606.65</v>
      </c>
      <c r="S103" s="4"/>
      <c r="T103" s="4"/>
      <c r="U103" s="4"/>
    </row>
    <row r="104" spans="1:21" x14ac:dyDescent="0.25">
      <c r="A104" s="21" t="s">
        <v>5038</v>
      </c>
      <c r="B104" s="4" t="s">
        <v>5600</v>
      </c>
      <c r="C104" s="4" t="str">
        <f>IFERROR(INDEX('Projekt-Budget-Übersicht'!$C:$C,MATCH(5019,'Projekt-Budget-Übersicht'!$L:$L,0)),"")</f>
        <v/>
      </c>
      <c r="D104" s="4" t="s">
        <v>5531</v>
      </c>
      <c r="E104" s="4">
        <v>0.75</v>
      </c>
      <c r="F104" s="5">
        <f>SUM(F15,I15,K15)</f>
        <v>0.75</v>
      </c>
      <c r="G104" s="4" t="s">
        <v>5531</v>
      </c>
      <c r="H104" s="5">
        <f>SUM(H15)</f>
        <v>0</v>
      </c>
      <c r="I104" s="5">
        <f t="shared" si="12"/>
        <v>0</v>
      </c>
      <c r="J104" s="4" t="s">
        <v>5531</v>
      </c>
      <c r="K104" s="5">
        <f>SUM(K15)</f>
        <v>0</v>
      </c>
      <c r="L104" s="10">
        <f>IF($B$2="-",0,IFERROR(INDEX(IF($B$2="SV",'Projekt-Budget-Übersicht'!$H:$H,IF($B$2="CAD",'Projekt-Budget-Übersicht'!$I:$I,IF($B$2="ADM",'Projekt-Budget-Übersicht'!$J:$J,'Projekt-Budget-Übersicht'!$H:$H))),MATCH(5019,'Projekt-Budget-Übersicht'!$L:$L,0)),0))</f>
        <v>0</v>
      </c>
      <c r="M104" s="10">
        <f t="shared" si="13"/>
        <v>0</v>
      </c>
      <c r="N104" s="10">
        <f t="shared" si="14"/>
        <v>0</v>
      </c>
      <c r="O104" s="10">
        <f t="shared" si="15"/>
        <v>0</v>
      </c>
      <c r="P104" s="10">
        <f>'M. Bandlofsky'!M104</f>
        <v>0</v>
      </c>
      <c r="Q104" s="10">
        <f>IFERROR(INDEX('Projekt-Budget-Übersicht'!$E:$E,MATCH(5019,'Projekt-Budget-Übersicht'!$L:$L,0)),0)</f>
        <v>0</v>
      </c>
      <c r="R104" s="10"/>
      <c r="S104" s="4"/>
      <c r="T104" s="4"/>
      <c r="U104" s="4"/>
    </row>
    <row r="105" spans="1:21" x14ac:dyDescent="0.25">
      <c r="A105" s="22"/>
      <c r="B105" s="4" t="s">
        <v>5509</v>
      </c>
      <c r="C105" s="4" t="str">
        <f>IFERROR(INDEX('Projekt-Budget-Übersicht'!$C:$C,MATCH(5020,'Projekt-Budget-Übersicht'!$L:$L,0)),"")</f>
        <v/>
      </c>
      <c r="D105" s="4">
        <v>31</v>
      </c>
      <c r="E105" s="4">
        <v>38.75</v>
      </c>
      <c r="F105" s="5">
        <f>SUM(F16,F36,I16,I36,K16,K36)</f>
        <v>34.25</v>
      </c>
      <c r="G105" s="15">
        <v>125</v>
      </c>
      <c r="H105" s="5">
        <f>SUM(H16,H36)</f>
        <v>0</v>
      </c>
      <c r="I105" s="5">
        <f t="shared" si="12"/>
        <v>0</v>
      </c>
      <c r="J105" s="4" t="s">
        <v>5531</v>
      </c>
      <c r="K105" s="5">
        <f>SUM(K16,K36)</f>
        <v>0</v>
      </c>
      <c r="L105" s="10">
        <f>IF($B$2="-",0,IFERROR(INDEX(IF($B$2="SV",'Projekt-Budget-Übersicht'!$H:$H,IF($B$2="CAD",'Projekt-Budget-Übersicht'!$I:$I,IF($B$2="ADM",'Projekt-Budget-Übersicht'!$J:$J,'Projekt-Budget-Übersicht'!$H:$H))),MATCH(5020,'Projekt-Budget-Übersicht'!$L:$L,0)),0))</f>
        <v>0</v>
      </c>
      <c r="M105" s="10">
        <f t="shared" si="13"/>
        <v>0</v>
      </c>
      <c r="N105" s="10">
        <f t="shared" si="14"/>
        <v>0</v>
      </c>
      <c r="O105" s="10">
        <f t="shared" si="15"/>
        <v>0</v>
      </c>
      <c r="P105" s="10">
        <f>'A. Kokott'!M201+'E. Bieler'!M111+'J. Dorn'!M156+'M. Bandlofsky'!M105</f>
        <v>0</v>
      </c>
      <c r="Q105" s="10">
        <f>IFERROR(INDEX('Projekt-Budget-Übersicht'!$E:$E,MATCH(5020,'Projekt-Budget-Übersicht'!$L:$L,0)),0)</f>
        <v>0</v>
      </c>
      <c r="R105" s="10">
        <v>756.58</v>
      </c>
      <c r="S105" s="4"/>
      <c r="T105" s="4"/>
      <c r="U105" s="4"/>
    </row>
    <row r="106" spans="1:21" x14ac:dyDescent="0.25">
      <c r="A106" s="4" t="s">
        <v>5103</v>
      </c>
      <c r="B106" s="4" t="s">
        <v>5485</v>
      </c>
      <c r="C106" s="4" t="str">
        <f>IFERROR(INDEX('Projekt-Budget-Übersicht'!$C:$C,MATCH(5077,'Projekt-Budget-Übersicht'!$L:$L,0)),"")</f>
        <v/>
      </c>
      <c r="D106" s="4">
        <v>14</v>
      </c>
      <c r="E106" s="4">
        <v>15.5</v>
      </c>
      <c r="F106" s="5">
        <f>SUM(F17,I17,K17)</f>
        <v>14.5</v>
      </c>
      <c r="G106" s="15">
        <v>110.71</v>
      </c>
      <c r="H106" s="5">
        <f>SUM(H17)</f>
        <v>0</v>
      </c>
      <c r="I106" s="5">
        <f t="shared" si="12"/>
        <v>0</v>
      </c>
      <c r="J106" s="4" t="s">
        <v>5531</v>
      </c>
      <c r="K106" s="5">
        <f>SUM(K17)</f>
        <v>0</v>
      </c>
      <c r="L106" s="10">
        <f>IF($B$2="-",0,IFERROR(INDEX(IF($B$2="SV",'Projekt-Budget-Übersicht'!$H:$H,IF($B$2="CAD",'Projekt-Budget-Übersicht'!$I:$I,IF($B$2="ADM",'Projekt-Budget-Übersicht'!$J:$J,'Projekt-Budget-Übersicht'!$H:$H))),MATCH(5077,'Projekt-Budget-Übersicht'!$L:$L,0)),0))</f>
        <v>0</v>
      </c>
      <c r="M106" s="10">
        <f t="shared" si="13"/>
        <v>0</v>
      </c>
      <c r="N106" s="10">
        <f t="shared" si="14"/>
        <v>0</v>
      </c>
      <c r="O106" s="10">
        <f t="shared" si="15"/>
        <v>0</v>
      </c>
      <c r="P106" s="10">
        <f>'A. Kokott'!M207+'E. Bieler'!M113+'M. Bandlofsky'!M106</f>
        <v>0</v>
      </c>
      <c r="Q106" s="10">
        <f>IFERROR(INDEX('Projekt-Budget-Übersicht'!$E:$E,MATCH(5077,'Projekt-Budget-Übersicht'!$L:$L,0)),0)</f>
        <v>0</v>
      </c>
      <c r="R106" s="10">
        <v>99.15</v>
      </c>
      <c r="S106" s="4"/>
      <c r="T106" s="4"/>
      <c r="U106" s="4"/>
    </row>
    <row r="108" spans="1:21" x14ac:dyDescent="0.25">
      <c r="A108" s="3"/>
      <c r="B108" s="3" t="s">
        <v>5492</v>
      </c>
      <c r="C108" s="3"/>
      <c r="D108" s="3"/>
      <c r="E108" s="3"/>
      <c r="F108" s="6">
        <f>SUM(F18,F37,F64)</f>
        <v>262.75</v>
      </c>
      <c r="G108" s="3"/>
      <c r="H108" s="3"/>
      <c r="I108" s="3"/>
      <c r="J108" s="3"/>
      <c r="K108" s="3"/>
      <c r="L108" s="3"/>
      <c r="M108" s="17">
        <f>SUM(M82:M106)</f>
        <v>0</v>
      </c>
      <c r="N108" s="17">
        <f>SUM(N82:N106)</f>
        <v>0</v>
      </c>
      <c r="O108" s="17">
        <f>SUM(O82:O106)</f>
        <v>0</v>
      </c>
      <c r="P108" s="17">
        <f>SUM(P82:P106)</f>
        <v>0</v>
      </c>
      <c r="Q108" s="3"/>
      <c r="R108" s="3"/>
      <c r="S108" s="3"/>
      <c r="T108" s="3"/>
      <c r="U108" s="3"/>
    </row>
    <row r="109" spans="1:21" x14ac:dyDescent="0.25">
      <c r="A109" s="3"/>
      <c r="B109" s="3" t="s">
        <v>4</v>
      </c>
      <c r="C109" s="3"/>
      <c r="D109" s="3"/>
      <c r="E109" s="3"/>
      <c r="F109" s="6">
        <f>G109+H109</f>
        <v>79.75</v>
      </c>
      <c r="G109" s="6">
        <f>SUM(G19,G38,G65)</f>
        <v>79.75</v>
      </c>
      <c r="H109" s="6">
        <v>0</v>
      </c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1:21" x14ac:dyDescent="0.25">
      <c r="A110" s="3"/>
      <c r="B110" s="3" t="s">
        <v>5</v>
      </c>
      <c r="C110" s="3"/>
      <c r="D110" s="3"/>
      <c r="E110" s="3"/>
      <c r="F110" s="6">
        <f>G110+H110</f>
        <v>8.5</v>
      </c>
      <c r="G110" s="6">
        <f>SUM(G20,G39,G66)</f>
        <v>8.5</v>
      </c>
      <c r="H110" s="6">
        <v>0</v>
      </c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1:21" x14ac:dyDescent="0.25">
      <c r="A111" s="3"/>
      <c r="B111" s="3" t="s">
        <v>5493</v>
      </c>
      <c r="C111" s="3"/>
      <c r="D111" s="3"/>
      <c r="E111" s="3"/>
      <c r="F111" s="6">
        <f>SUM(F21,F40,F67)</f>
        <v>0</v>
      </c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1:21" x14ac:dyDescent="0.25">
      <c r="A112" s="18"/>
      <c r="B112" s="18" t="s">
        <v>5494</v>
      </c>
      <c r="C112" s="18"/>
      <c r="D112" s="18"/>
      <c r="E112" s="18"/>
      <c r="F112" s="19">
        <f>F109+F110+F111</f>
        <v>88.25</v>
      </c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4" spans="1:21" ht="15.75" x14ac:dyDescent="0.25">
      <c r="A114" s="2" t="s">
        <v>5532</v>
      </c>
    </row>
    <row r="115" spans="1:21" x14ac:dyDescent="0.25">
      <c r="A115" s="13" t="s">
        <v>10</v>
      </c>
      <c r="B115" s="13">
        <v>262.75</v>
      </c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</row>
    <row r="116" spans="1:21" x14ac:dyDescent="0.25">
      <c r="A116" s="13" t="s">
        <v>11</v>
      </c>
      <c r="B116" s="20">
        <f>SUM(F19,F38,F65)</f>
        <v>79.75</v>
      </c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</row>
    <row r="117" spans="1:21" x14ac:dyDescent="0.25">
      <c r="A117" s="13" t="s">
        <v>12</v>
      </c>
      <c r="B117" s="20">
        <f>SUM(F20,F39,F66)</f>
        <v>8.5</v>
      </c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</row>
  </sheetData>
  <mergeCells count="10">
    <mergeCell ref="A10:A11"/>
    <mergeCell ref="A89:A96"/>
    <mergeCell ref="A104:A105"/>
    <mergeCell ref="A28:A29"/>
    <mergeCell ref="A51:A57"/>
    <mergeCell ref="A15:A16"/>
    <mergeCell ref="A45:A46"/>
    <mergeCell ref="A82:A83"/>
    <mergeCell ref="A30:A33"/>
    <mergeCell ref="A49:A50"/>
  </mergeCells>
  <conditionalFormatting sqref="I6:I17">
    <cfRule type="cellIs" dxfId="40" priority="1" stopIfTrue="1" operator="lessThan">
      <formula>0</formula>
    </cfRule>
  </conditionalFormatting>
  <conditionalFormatting sqref="I26:I36">
    <cfRule type="cellIs" dxfId="39" priority="13" stopIfTrue="1" operator="lessThan">
      <formula>0</formula>
    </cfRule>
  </conditionalFormatting>
  <conditionalFormatting sqref="I45:I63">
    <cfRule type="cellIs" dxfId="38" priority="24" stopIfTrue="1" operator="lessThan">
      <formula>0</formula>
    </cfRule>
  </conditionalFormatting>
  <conditionalFormatting sqref="I82:I106">
    <cfRule type="cellIs" dxfId="37" priority="43" stopIfTrue="1" operator="lessThan">
      <formula>0</formula>
    </cfRule>
  </conditionalFormatting>
  <dataValidations count="17">
    <dataValidation type="list" sqref="B2" xr:uid="{00000000-0002-0000-0A00-000000000000}">
      <formula1>"SV,CAD,ADM,Pauschale,-"</formula1>
    </dataValidation>
    <dataValidation type="list" allowBlank="1" sqref="J6" xr:uid="{00000000-0002-0000-0A00-000001000000}">
      <formula1>"A. Kokott,C. Trapp SV,D. Brucker,E. Bieler,J. Dorchies,J. Dorn,T. Trautmann,U. Sutter ADM"</formula1>
    </dataValidation>
    <dataValidation type="list" allowBlank="1" sqref="T45:T63 T26:T36 T6:T17" xr:uid="{00000000-0002-0000-0A00-000002000000}">
      <formula1>"SR,AZ"</formula1>
    </dataValidation>
    <dataValidation type="list" allowBlank="1" sqref="J10 J51 J13:J14" xr:uid="{00000000-0002-0000-0A00-000006000000}">
      <formula1>"E. Bieler"</formula1>
    </dataValidation>
    <dataValidation type="list" allowBlank="1" sqref="J11" xr:uid="{00000000-0002-0000-0A00-000008000000}">
      <formula1>"C. Trapp SV"</formula1>
    </dataValidation>
    <dataValidation type="list" allowBlank="1" sqref="J12" xr:uid="{00000000-0002-0000-0A00-00000A000000}">
      <formula1>"J. Dorn"</formula1>
    </dataValidation>
    <dataValidation type="list" allowBlank="1" sqref="J16" xr:uid="{00000000-0002-0000-0A00-000011000000}">
      <formula1>"E. Bieler,J. Dorn"</formula1>
    </dataValidation>
    <dataValidation type="list" allowBlank="1" sqref="J17" xr:uid="{00000000-0002-0000-0A00-000013000000}">
      <formula1>"A. Kokott,E. Bieler"</formula1>
    </dataValidation>
    <dataValidation type="list" allowBlank="1" sqref="J26" xr:uid="{00000000-0002-0000-0A00-000015000000}">
      <formula1>"A. Kokott,O. Haag BS-CAD,P. Bergner,R. Wagen CAD,T. Trautmann,U. Sutter ADM"</formula1>
    </dataValidation>
    <dataValidation type="list" allowBlank="1" sqref="J31" xr:uid="{00000000-0002-0000-0A00-00001B000000}">
      <formula1>"C. Trapp SV,E. Bieler"</formula1>
    </dataValidation>
    <dataValidation type="list" allowBlank="1" sqref="J32 J58" xr:uid="{00000000-0002-0000-0A00-00001D000000}">
      <formula1>"U. Sutter ADM"</formula1>
    </dataValidation>
    <dataValidation type="list" allowBlank="1" sqref="J34" xr:uid="{00000000-0002-0000-0A00-000020000000}">
      <formula1>"P. Bergner"</formula1>
    </dataValidation>
    <dataValidation type="list" allowBlank="1" sqref="J35" xr:uid="{00000000-0002-0000-0A00-000022000000}">
      <formula1>"J. Dorchies,T. Trautmann"</formula1>
    </dataValidation>
    <dataValidation type="list" allowBlank="1" sqref="J36 J62 J50 J47" xr:uid="{00000000-0002-0000-0A00-000024000000}">
      <formula1>"A. Kokott"</formula1>
    </dataValidation>
    <dataValidation type="list" allowBlank="1" sqref="J45" xr:uid="{00000000-0002-0000-0A00-000026000000}">
      <formula1>"A. Kokott,C. Trapp SV,J. Dorn,O. Haag BS-CAD,R. Wagen CAD,T. Trautmann,U. Sutter ADM"</formula1>
    </dataValidation>
    <dataValidation type="list" allowBlank="1" sqref="J48:J49" xr:uid="{00000000-0002-0000-0A00-00002B000000}">
      <formula1>"T. Trautmann"</formula1>
    </dataValidation>
    <dataValidation type="list" allowBlank="1" sqref="J61" xr:uid="{00000000-0002-0000-0A00-00003D000000}">
      <formula1>"A. Kokott,J. Dorn,O. Haag BS-CAD,T. Trautmann"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U48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5608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1638</v>
      </c>
      <c r="B6" s="4" t="s">
        <v>5544</v>
      </c>
      <c r="C6" s="4" t="str">
        <f>IFERROR(INDEX('Projekt-Budget-Übersicht'!$C:$C,MATCH(1847,'Projekt-Budget-Übersicht'!$L:$L,0)),"")</f>
        <v/>
      </c>
      <c r="D6" s="4">
        <v>283</v>
      </c>
      <c r="E6" s="4">
        <v>232.5</v>
      </c>
      <c r="F6" s="4">
        <v>0.25</v>
      </c>
      <c r="G6" s="16">
        <v>82.16</v>
      </c>
      <c r="H6" s="5"/>
      <c r="I6" s="5">
        <f>IF(H6=0,0,F6-H6)</f>
        <v>0</v>
      </c>
      <c r="J6" s="4"/>
      <c r="K6" s="5">
        <f>IF('T. Trautmann'!J15="M. Bandlofsky CAD",'T. Trautmann'!I15,0)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6" s="10">
        <f>IF($B$2="-",0,IF(C6="Pauschale",IF(OR(R6=0,N(D6)=0),0,MAX(0,MIN(R6*((N(F6)+N(K6))/N(D6)),R6-R6*(N(E6)/N(D6))))),L6*(N(F6)+N(K6))))</f>
        <v>0</v>
      </c>
      <c r="N6" s="10">
        <f>IF($B$2="-",0,IF(C6="Pauschale",IF(OR(R6=0,N(D6)=0),0,R6*((N(F6)+N(K6))/N(D6))),L6*(N(F6)+N(K6))))</f>
        <v>0</v>
      </c>
      <c r="O6" s="10">
        <f>N6-M6</f>
        <v>0</v>
      </c>
      <c r="P6" s="10">
        <f>'M. Bandlofsky CAD'!M6+'T. Trautmann'!M15</f>
        <v>0</v>
      </c>
      <c r="Q6" s="10">
        <v>165.5</v>
      </c>
      <c r="R6" s="10">
        <f>IFERROR(INDEX('Projekt-Budget-Übersicht'!$F:$F,MATCH(1847,'Projekt-Budget-Übersicht'!$L:$L,0)),0)</f>
        <v>0</v>
      </c>
      <c r="S6" s="10">
        <v>10673.29</v>
      </c>
      <c r="T6" s="4"/>
      <c r="U6" s="4"/>
    </row>
    <row r="7" spans="1:21" x14ac:dyDescent="0.25">
      <c r="A7" s="21" t="s">
        <v>5446</v>
      </c>
      <c r="B7" s="4" t="s">
        <v>5569</v>
      </c>
      <c r="C7" s="4" t="str">
        <f>IFERROR(INDEX('Projekt-Budget-Übersicht'!$C:$C,MATCH(5386,'Projekt-Budget-Übersicht'!$L:$L,0)),"")</f>
        <v/>
      </c>
      <c r="D7" s="4">
        <v>0</v>
      </c>
      <c r="E7" s="4">
        <v>3.25</v>
      </c>
      <c r="F7" s="4">
        <v>3</v>
      </c>
      <c r="G7" s="4">
        <v>0</v>
      </c>
      <c r="H7" s="5"/>
      <c r="I7" s="5">
        <f>IF(H7=0,0,F7-H7)</f>
        <v>0</v>
      </c>
      <c r="J7" s="4"/>
      <c r="K7" s="5">
        <f>IF('E. Bieler'!J41="M. Bandlofsky CAD",'E. Bieler'!I41,0)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7" s="10">
        <f>IF($B$2="-",0,IF(C7="Pauschale",IF(OR(R7=0,N(D7)=0),0,MAX(0,MIN(R7*((N(F7)+N(K7))/N(D7)),R7-R7*(N(E7)/N(D7))))),L7*(N(F7)+N(K7))))</f>
        <v>0</v>
      </c>
      <c r="N7" s="10">
        <f>IF($B$2="-",0,IF(C7="Pauschale",IF(OR(R7=0,N(D7)=0),0,R7*((N(F7)+N(K7))/N(D7))),L7*(N(F7)+N(K7))))</f>
        <v>0</v>
      </c>
      <c r="O7" s="10">
        <f>N7-M7</f>
        <v>0</v>
      </c>
      <c r="P7" s="10">
        <f>'E. Bieler'!M41+'M. Bandlofsky CAD'!M7</f>
        <v>0</v>
      </c>
      <c r="Q7" s="10"/>
      <c r="R7" s="10">
        <f>IFERROR(INDEX('Projekt-Budget-Übersicht'!$F:$F,MATCH(5386,'Projekt-Budget-Übersicht'!$L:$L,0)),0)</f>
        <v>0</v>
      </c>
      <c r="S7" s="10">
        <v>13.32</v>
      </c>
      <c r="T7" s="4"/>
      <c r="U7" s="4"/>
    </row>
    <row r="8" spans="1:21" x14ac:dyDescent="0.25">
      <c r="A8" s="22"/>
      <c r="B8" s="4" t="s">
        <v>5609</v>
      </c>
      <c r="C8" s="4" t="str">
        <f>IFERROR(INDEX('Projekt-Budget-Übersicht'!$C:$C,MATCH(5386,'Projekt-Budget-Übersicht'!$L:$L,0)),"")</f>
        <v/>
      </c>
      <c r="D8" s="4">
        <v>0</v>
      </c>
      <c r="E8" s="4">
        <v>5.5</v>
      </c>
      <c r="F8" s="4">
        <v>5.5</v>
      </c>
      <c r="G8" s="4">
        <v>0</v>
      </c>
      <c r="H8" s="5"/>
      <c r="I8" s="5">
        <f>IF(H8=0,0,F8-H8)</f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IF($B$2="-",0,IFERROR(INDEX(IF($B$2="SV",'Projekt-Budget-Übersicht'!$I:$I,IF($B$2="CAD",'Projekt-Budget-Übersicht'!$J:$J,IF($B$2="ADM",'Projekt-Budget-Übersicht'!$K:$K,'Projekt-Budget-Übersicht'!$I:$I))),MATCH(5386,'Projekt-Budget-Übersicht'!$M:$M,0)),0))</f>
        <v>0</v>
      </c>
      <c r="M8" s="10">
        <f>IF($B$2="-",0,IF(C8="Pauschale",IF(OR(R8=0,N(D8)=0),0,MAX(0,MIN(R8*((N(F8)+N(K8))/N(D8)),R8-R8*(N(E8)/N(D8))))),L8*(N(F8)+N(K8))))</f>
        <v>0</v>
      </c>
      <c r="N8" s="10">
        <f>IF($B$2="-",0,IF(C8="Pauschale",IF(OR(R8=0,N(D8)=0),0,R8*((N(F8)+N(K8))/N(D8))),L8*(N(F8)+N(K8))))</f>
        <v>0</v>
      </c>
      <c r="O8" s="10">
        <f>N8-M8</f>
        <v>0</v>
      </c>
      <c r="P8" s="10">
        <f>'M. Bandlofsky CAD'!M8</f>
        <v>0</v>
      </c>
      <c r="Q8" s="10"/>
      <c r="R8" s="10">
        <f>IFERROR(INDEX('Projekt-Budget-Übersicht'!$F:$F,MATCH(5386,'Projekt-Budget-Übersicht'!$L:$L,0)),0)</f>
        <v>0</v>
      </c>
      <c r="S8" s="10">
        <v>13.32</v>
      </c>
      <c r="T8" s="4"/>
      <c r="U8" s="4"/>
    </row>
    <row r="9" spans="1:21" x14ac:dyDescent="0.25">
      <c r="A9" s="3"/>
      <c r="B9" s="3" t="s">
        <v>5492</v>
      </c>
      <c r="C9" s="3"/>
      <c r="D9" s="3"/>
      <c r="E9" s="3"/>
      <c r="F9" s="6">
        <v>8.75</v>
      </c>
      <c r="G9" s="3"/>
      <c r="H9" s="3"/>
      <c r="I9" s="3"/>
      <c r="J9" s="3"/>
      <c r="K9" s="3"/>
      <c r="L9" s="3"/>
      <c r="M9" s="17">
        <f>SUM(M6:M8)</f>
        <v>0</v>
      </c>
      <c r="N9" s="17">
        <f>SUM(N6:N8)</f>
        <v>0</v>
      </c>
      <c r="O9" s="17">
        <f>SUM(O6:O8)</f>
        <v>0</v>
      </c>
      <c r="P9" s="17">
        <f>SUM(P6:P8)</f>
        <v>0</v>
      </c>
      <c r="Q9" s="3"/>
      <c r="R9" s="3"/>
      <c r="S9" s="3"/>
      <c r="T9" s="3"/>
      <c r="U9" s="3"/>
    </row>
    <row r="10" spans="1:21" x14ac:dyDescent="0.25">
      <c r="A10" s="3"/>
      <c r="B10" s="3" t="s">
        <v>4</v>
      </c>
      <c r="C10" s="3"/>
      <c r="D10" s="3"/>
      <c r="E10" s="3"/>
      <c r="F10" s="6">
        <f>G10+H10</f>
        <v>8.75</v>
      </c>
      <c r="G10" s="6">
        <v>8.75</v>
      </c>
      <c r="H10" s="6">
        <f>SUM(H6,H7,H8)</f>
        <v>0</v>
      </c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 x14ac:dyDescent="0.25">
      <c r="A11" s="3"/>
      <c r="B11" s="3" t="s">
        <v>5</v>
      </c>
      <c r="C11" s="3"/>
      <c r="D11" s="3"/>
      <c r="E11" s="3"/>
      <c r="F11" s="6">
        <v>0</v>
      </c>
      <c r="G11" s="6">
        <v>0</v>
      </c>
      <c r="H11" s="6">
        <v>0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x14ac:dyDescent="0.25">
      <c r="A12" s="3"/>
      <c r="B12" s="3" t="s">
        <v>5493</v>
      </c>
      <c r="C12" s="3"/>
      <c r="D12" s="3"/>
      <c r="E12" s="3"/>
      <c r="F12" s="6">
        <f>SUM(K6:K8)</f>
        <v>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x14ac:dyDescent="0.25">
      <c r="A13" s="18"/>
      <c r="B13" s="18" t="s">
        <v>5494</v>
      </c>
      <c r="C13" s="18"/>
      <c r="D13" s="18"/>
      <c r="E13" s="18"/>
      <c r="F13" s="19">
        <f>F10+F11+F12</f>
        <v>8.75</v>
      </c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</row>
    <row r="15" spans="1:21" ht="15.75" x14ac:dyDescent="0.25">
      <c r="A15" s="2" t="s">
        <v>5512</v>
      </c>
    </row>
    <row r="16" spans="1:21" x14ac:dyDescent="0.25">
      <c r="A16" s="3" t="s">
        <v>35</v>
      </c>
      <c r="B16" s="3" t="s">
        <v>5461</v>
      </c>
      <c r="C16" s="3" t="s">
        <v>37</v>
      </c>
      <c r="D16" s="3" t="s">
        <v>5462</v>
      </c>
      <c r="E16" s="3" t="s">
        <v>5463</v>
      </c>
      <c r="F16" s="3" t="s">
        <v>5513</v>
      </c>
      <c r="G16" s="3" t="s">
        <v>5465</v>
      </c>
      <c r="H16" s="3" t="s">
        <v>5466</v>
      </c>
      <c r="I16" s="3" t="s">
        <v>5467</v>
      </c>
      <c r="J16" s="3" t="s">
        <v>5468</v>
      </c>
      <c r="K16" s="3" t="s">
        <v>5469</v>
      </c>
      <c r="L16" s="3" t="s">
        <v>5470</v>
      </c>
      <c r="M16" s="3" t="s">
        <v>5471</v>
      </c>
      <c r="N16" s="3" t="s">
        <v>5472</v>
      </c>
      <c r="O16" s="3" t="s">
        <v>5473</v>
      </c>
      <c r="P16" s="3" t="s">
        <v>5474</v>
      </c>
      <c r="Q16" s="3" t="s">
        <v>5475</v>
      </c>
      <c r="R16" s="3" t="s">
        <v>5476</v>
      </c>
      <c r="S16" s="3" t="s">
        <v>5477</v>
      </c>
      <c r="T16" s="3" t="s">
        <v>5478</v>
      </c>
      <c r="U16" s="3" t="s">
        <v>5479</v>
      </c>
    </row>
    <row r="17" spans="1:21" x14ac:dyDescent="0.25">
      <c r="A17" s="4" t="s">
        <v>1644</v>
      </c>
      <c r="B17" s="4" t="s">
        <v>5486</v>
      </c>
      <c r="C17" s="4" t="str">
        <f>IFERROR(INDEX('Projekt-Budget-Übersicht'!$C:$C,MATCH(1852,'Projekt-Budget-Übersicht'!$L:$L,0)),"")</f>
        <v/>
      </c>
      <c r="D17" s="4">
        <v>0</v>
      </c>
      <c r="E17" s="4">
        <v>36.25</v>
      </c>
      <c r="F17" s="4">
        <v>14.75</v>
      </c>
      <c r="G17" s="4">
        <v>0</v>
      </c>
      <c r="H17" s="5"/>
      <c r="I17" s="5">
        <f>IF(H17=0,0,F17-H17)</f>
        <v>0</v>
      </c>
      <c r="J17" s="4"/>
      <c r="K17" s="5">
        <f>IF('O. Haag BS-CAD'!J100="M. Bandlofsky CAD",'O. Haag BS-CAD'!I100,0)</f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IF($B$2="-",0,IFERROR(INDEX(IF($B$2="SV",'Projekt-Budget-Übersicht'!$I:$I,IF($B$2="CAD",'Projekt-Budget-Übersicht'!$J:$J,IF($B$2="ADM",'Projekt-Budget-Übersicht'!$K:$K,'Projekt-Budget-Übersicht'!$I:$I))),MATCH(1852,'Projekt-Budget-Übersicht'!$M:$M,0)),0))</f>
        <v>0</v>
      </c>
      <c r="M17" s="10">
        <f>IF($B$2="-",0,IF(C17="Pauschale",IF(OR(R17=0,N(D17)=0),0,MAX(0,MIN(R17*((N(F17)+N(K17))/N(D17)),R17-R17*(N(E17)/N(D17))))),L17*(N(F17)+N(K17))))</f>
        <v>0</v>
      </c>
      <c r="N17" s="10">
        <f>IF($B$2="-",0,IF(C17="Pauschale",IF(OR(R17=0,N(D17)=0),0,R17*((N(F17)+N(K17))/N(D17))),L17*(N(F17)+N(K17))))</f>
        <v>0</v>
      </c>
      <c r="O17" s="10">
        <f>N17-M17</f>
        <v>0</v>
      </c>
      <c r="P17" s="10">
        <f>'M. Bandlofsky CAD'!M17+'O. Haag BS-CAD'!M100</f>
        <v>0</v>
      </c>
      <c r="Q17" s="10">
        <v>87</v>
      </c>
      <c r="R17" s="10">
        <f>IFERROR(INDEX('Projekt-Budget-Übersicht'!$F:$F,MATCH(1852,'Projekt-Budget-Übersicht'!$L:$L,0)),0)</f>
        <v>0</v>
      </c>
      <c r="S17" s="10">
        <v>1092.5</v>
      </c>
      <c r="T17" s="4"/>
      <c r="U17" s="4"/>
    </row>
    <row r="18" spans="1:21" x14ac:dyDescent="0.25">
      <c r="A18" s="4" t="s">
        <v>3070</v>
      </c>
      <c r="B18" s="4" t="s">
        <v>5610</v>
      </c>
      <c r="C18" s="4" t="str">
        <f>IFERROR(INDEX('Projekt-Budget-Übersicht'!$C:$C,MATCH(3323,'Projekt-Budget-Übersicht'!$L:$L,0)),"")</f>
        <v/>
      </c>
      <c r="D18" s="4">
        <v>10</v>
      </c>
      <c r="E18" s="4">
        <v>14</v>
      </c>
      <c r="F18" s="4">
        <v>0.5</v>
      </c>
      <c r="G18" s="15">
        <v>140</v>
      </c>
      <c r="H18" s="5"/>
      <c r="I18" s="5">
        <f>IF(H18=0,0,F18-H18)</f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IF($B$2="-",0,IFERROR(INDEX(IF($B$2="SV",'Projekt-Budget-Übersicht'!$I:$I,IF($B$2="CAD",'Projekt-Budget-Übersicht'!$J:$J,IF($B$2="ADM",'Projekt-Budget-Übersicht'!$K:$K,'Projekt-Budget-Übersicht'!$I:$I))),MATCH(3323,'Projekt-Budget-Übersicht'!$M:$M,0)),0))</f>
        <v>0</v>
      </c>
      <c r="M18" s="10">
        <f>IF($B$2="-",0,IF(C18="Pauschale",IF(OR(R18=0,N(D18)=0),0,MAX(0,MIN(R18*((N(F18)+N(K18))/N(D18)),R18-R18*(N(E18)/N(D18))))),L18*(N(F18)+N(K18))))</f>
        <v>0</v>
      </c>
      <c r="N18" s="10">
        <f>IF($B$2="-",0,IF(C18="Pauschale",IF(OR(R18=0,N(D18)=0),0,R18*((N(F18)+N(K18))/N(D18))),L18*(N(F18)+N(K18))))</f>
        <v>0</v>
      </c>
      <c r="O18" s="10">
        <f>N18-M18</f>
        <v>0</v>
      </c>
      <c r="P18" s="10">
        <f>'M. Bandlofsky CAD'!M18</f>
        <v>0</v>
      </c>
      <c r="Q18" s="10">
        <v>10</v>
      </c>
      <c r="R18" s="10">
        <f>IFERROR(INDEX('Projekt-Budget-Übersicht'!$F:$F,MATCH(3323,'Projekt-Budget-Übersicht'!$L:$L,0)),0)</f>
        <v>0</v>
      </c>
      <c r="S18" s="10"/>
      <c r="T18" s="4"/>
      <c r="U18" s="4"/>
    </row>
    <row r="19" spans="1:21" x14ac:dyDescent="0.25">
      <c r="A19" s="3"/>
      <c r="B19" s="3" t="s">
        <v>5492</v>
      </c>
      <c r="C19" s="3"/>
      <c r="D19" s="3"/>
      <c r="E19" s="3"/>
      <c r="F19" s="6">
        <v>15.25</v>
      </c>
      <c r="G19" s="3"/>
      <c r="H19" s="3"/>
      <c r="I19" s="3"/>
      <c r="J19" s="3"/>
      <c r="K19" s="3"/>
      <c r="L19" s="3"/>
      <c r="M19" s="17">
        <f>SUM(M17:M18)</f>
        <v>0</v>
      </c>
      <c r="N19" s="17">
        <f>SUM(N17:N18)</f>
        <v>0</v>
      </c>
      <c r="O19" s="17">
        <f>SUM(O17:O18)</f>
        <v>0</v>
      </c>
      <c r="P19" s="17">
        <f>SUM(P17:P18)</f>
        <v>0</v>
      </c>
      <c r="Q19" s="3"/>
      <c r="R19" s="3"/>
      <c r="S19" s="3"/>
      <c r="T19" s="3"/>
      <c r="U19" s="3"/>
    </row>
    <row r="20" spans="1:21" x14ac:dyDescent="0.25">
      <c r="A20" s="3"/>
      <c r="B20" s="3" t="s">
        <v>4</v>
      </c>
      <c r="C20" s="3"/>
      <c r="D20" s="3"/>
      <c r="E20" s="3"/>
      <c r="F20" s="6">
        <f>G20+H20</f>
        <v>14.75</v>
      </c>
      <c r="G20" s="6">
        <v>14.75</v>
      </c>
      <c r="H20" s="6">
        <f>SUM(H17,H18)</f>
        <v>0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x14ac:dyDescent="0.25">
      <c r="A21" s="3"/>
      <c r="B21" s="3" t="s">
        <v>5</v>
      </c>
      <c r="C21" s="3"/>
      <c r="D21" s="3"/>
      <c r="E21" s="3"/>
      <c r="F21" s="6">
        <v>0</v>
      </c>
      <c r="G21" s="6">
        <v>0</v>
      </c>
      <c r="H21" s="6">
        <v>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3"/>
      <c r="B22" s="3" t="s">
        <v>5493</v>
      </c>
      <c r="C22" s="3"/>
      <c r="D22" s="3"/>
      <c r="E22" s="3"/>
      <c r="F22" s="6">
        <f>SUM(K17:K18)</f>
        <v>0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18"/>
      <c r="B23" s="18" t="s">
        <v>5494</v>
      </c>
      <c r="C23" s="18"/>
      <c r="D23" s="18"/>
      <c r="E23" s="18"/>
      <c r="F23" s="19">
        <f>F20+F21+F22</f>
        <v>14.75</v>
      </c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</row>
    <row r="25" spans="1:21" ht="15.75" x14ac:dyDescent="0.25">
      <c r="A25" s="2" t="s">
        <v>5524</v>
      </c>
    </row>
    <row r="26" spans="1:21" x14ac:dyDescent="0.25">
      <c r="A26" s="3" t="s">
        <v>2</v>
      </c>
      <c r="B26" s="3" t="s">
        <v>5525</v>
      </c>
      <c r="C26" s="3" t="s">
        <v>5526</v>
      </c>
      <c r="D26" s="3" t="s">
        <v>4</v>
      </c>
      <c r="E26" s="3" t="s">
        <v>5</v>
      </c>
      <c r="F26" s="3" t="s">
        <v>5527</v>
      </c>
      <c r="G26" s="3" t="s">
        <v>5528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4" t="s">
        <v>6</v>
      </c>
      <c r="B27" s="4" t="s">
        <v>23</v>
      </c>
      <c r="C27" s="4">
        <f>F9</f>
        <v>8.75</v>
      </c>
      <c r="D27" s="4">
        <f>F10</f>
        <v>8.75</v>
      </c>
      <c r="E27" s="4">
        <f>F11</f>
        <v>0</v>
      </c>
      <c r="F27" s="4">
        <f>F12</f>
        <v>0</v>
      </c>
      <c r="G27" s="4">
        <f>F13</f>
        <v>8.75</v>
      </c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spans="1:21" x14ac:dyDescent="0.25">
      <c r="A28" s="4" t="s">
        <v>8</v>
      </c>
      <c r="B28" s="4" t="s">
        <v>23</v>
      </c>
      <c r="C28" s="4">
        <f>F19</f>
        <v>15.25</v>
      </c>
      <c r="D28" s="4">
        <f>F20</f>
        <v>14.75</v>
      </c>
      <c r="E28" s="4">
        <f>F21</f>
        <v>0</v>
      </c>
      <c r="F28" s="4">
        <f>F22</f>
        <v>0</v>
      </c>
      <c r="G28" s="4">
        <f>F23</f>
        <v>14.75</v>
      </c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</row>
    <row r="31" spans="1:21" ht="18.75" x14ac:dyDescent="0.3">
      <c r="A31" s="1" t="s">
        <v>5529</v>
      </c>
    </row>
    <row r="32" spans="1:21" x14ac:dyDescent="0.25">
      <c r="A32" s="3" t="s">
        <v>35</v>
      </c>
      <c r="B32" s="3" t="s">
        <v>5461</v>
      </c>
      <c r="C32" s="3" t="s">
        <v>37</v>
      </c>
      <c r="D32" s="3" t="s">
        <v>5462</v>
      </c>
      <c r="E32" s="3" t="s">
        <v>5463</v>
      </c>
      <c r="F32" s="3" t="s">
        <v>5530</v>
      </c>
      <c r="G32" s="3" t="s">
        <v>5465</v>
      </c>
      <c r="H32" s="3" t="s">
        <v>5466</v>
      </c>
      <c r="I32" s="3" t="s">
        <v>5467</v>
      </c>
      <c r="J32" s="3" t="s">
        <v>5468</v>
      </c>
      <c r="K32" s="3" t="s">
        <v>5469</v>
      </c>
      <c r="L32" s="3" t="s">
        <v>5470</v>
      </c>
      <c r="M32" s="3" t="s">
        <v>5471</v>
      </c>
      <c r="N32" s="3" t="s">
        <v>5472</v>
      </c>
      <c r="O32" s="3" t="s">
        <v>5473</v>
      </c>
      <c r="P32" s="3" t="s">
        <v>5474</v>
      </c>
      <c r="Q32" s="3" t="s">
        <v>5476</v>
      </c>
      <c r="R32" s="3" t="s">
        <v>5477</v>
      </c>
      <c r="S32" s="3"/>
      <c r="T32" s="3"/>
      <c r="U32" s="3"/>
    </row>
    <row r="33" spans="1:21" x14ac:dyDescent="0.25">
      <c r="A33" s="4" t="s">
        <v>1638</v>
      </c>
      <c r="B33" s="4" t="s">
        <v>5544</v>
      </c>
      <c r="C33" s="4" t="str">
        <f>IFERROR(INDEX('Projekt-Budget-Übersicht'!$C:$C,MATCH(1847,'Projekt-Budget-Übersicht'!$L:$L,0)),"")</f>
        <v/>
      </c>
      <c r="D33" s="4">
        <v>283</v>
      </c>
      <c r="E33" s="4">
        <v>249.5</v>
      </c>
      <c r="F33" s="5">
        <f>SUM(F6,I6,K6)</f>
        <v>0.25</v>
      </c>
      <c r="G33" s="16">
        <v>88.16</v>
      </c>
      <c r="H33" s="5">
        <f>SUM(H6)</f>
        <v>0</v>
      </c>
      <c r="I33" s="5">
        <f>IF(H33=0,0,F33-H33)</f>
        <v>0</v>
      </c>
      <c r="J33" s="4" t="s">
        <v>5531</v>
      </c>
      <c r="K33" s="5">
        <f>SUM(K6)</f>
        <v>0</v>
      </c>
      <c r="L33" s="10">
        <f>IF($B$2="-",0,IFERROR(INDEX(IF($B$2="SV",'Projekt-Budget-Übersicht'!$H:$H,IF($B$2="CAD",'Projekt-Budget-Übersicht'!$I:$I,IF($B$2="ADM",'Projekt-Budget-Übersicht'!$J:$J,'Projekt-Budget-Übersicht'!$H:$H))),MATCH(1847,'Projekt-Budget-Übersicht'!$L:$L,0)),0))</f>
        <v>0</v>
      </c>
      <c r="M33" s="10">
        <f>IF($B$2="-",0,IF(C33="Pauschale",IF(OR(Q33=0,N(D33)=0),0,MAX(0,MIN(Q33*((N(F33)+N(K33))/N(D33)),Q33-Q33*(N(E33)/N(D33))))),L33*(N(F33)+N(K33))))</f>
        <v>0</v>
      </c>
      <c r="N33" s="10">
        <f>IF($B$2="-",0,IF(C33="Pauschale",IF(OR(Q33=0,N(D33)=0),0,Q33*((N(F33)+N(K33))/N(D33))),L33*(N(F33)+N(K33))))</f>
        <v>0</v>
      </c>
      <c r="O33" s="10">
        <f>N33-M33</f>
        <v>0</v>
      </c>
      <c r="P33" s="10">
        <f>'M. Bandlofsky CAD'!M33+'T. Trautmann'!M132</f>
        <v>0</v>
      </c>
      <c r="Q33" s="10">
        <f>IFERROR(INDEX('Projekt-Budget-Übersicht'!$E:$E,MATCH(1847,'Projekt-Budget-Übersicht'!$L:$L,0)),0)</f>
        <v>0</v>
      </c>
      <c r="R33" s="10">
        <v>10673.29</v>
      </c>
      <c r="S33" s="4"/>
      <c r="T33" s="4"/>
      <c r="U33" s="4"/>
    </row>
    <row r="34" spans="1:21" x14ac:dyDescent="0.25">
      <c r="A34" s="4" t="s">
        <v>1644</v>
      </c>
      <c r="B34" s="4" t="s">
        <v>5486</v>
      </c>
      <c r="C34" s="4" t="str">
        <f>IFERROR(INDEX('Projekt-Budget-Übersicht'!$C:$C,MATCH(1852,'Projekt-Budget-Übersicht'!$L:$L,0)),"")</f>
        <v/>
      </c>
      <c r="D34" s="4" t="s">
        <v>5531</v>
      </c>
      <c r="E34" s="4">
        <v>36.25</v>
      </c>
      <c r="F34" s="5">
        <f>SUM(F17,I17,K17)</f>
        <v>14.75</v>
      </c>
      <c r="G34" s="4" t="s">
        <v>5531</v>
      </c>
      <c r="H34" s="5">
        <f>SUM(H17)</f>
        <v>0</v>
      </c>
      <c r="I34" s="5">
        <f>IF(H34=0,0,F34-H34)</f>
        <v>0</v>
      </c>
      <c r="J34" s="4" t="s">
        <v>5531</v>
      </c>
      <c r="K34" s="5">
        <f>SUM(K17)</f>
        <v>0</v>
      </c>
      <c r="L34" s="10">
        <f>IF($B$2="-",0,IFERROR(INDEX(IF($B$2="SV",'Projekt-Budget-Übersicht'!$H:$H,IF($B$2="CAD",'Projekt-Budget-Übersicht'!$I:$I,IF($B$2="ADM",'Projekt-Budget-Übersicht'!$J:$J,'Projekt-Budget-Übersicht'!$H:$H))),MATCH(1852,'Projekt-Budget-Übersicht'!$L:$L,0)),0))</f>
        <v>0</v>
      </c>
      <c r="M34" s="10">
        <f>IF($B$2="-",0,IF(C34="Pauschale",IF(OR(Q34=0,N(D34)=0),0,MAX(0,MIN(Q34*((N(F34)+N(K34))/N(D34)),Q34-Q34*(N(E34)/N(D34))))),L34*(N(F34)+N(K34))))</f>
        <v>0</v>
      </c>
      <c r="N34" s="10">
        <f>IF($B$2="-",0,IF(C34="Pauschale",IF(OR(Q34=0,N(D34)=0),0,Q34*((N(F34)+N(K34))/N(D34))),L34*(N(F34)+N(K34))))</f>
        <v>0</v>
      </c>
      <c r="O34" s="10">
        <f>N34-M34</f>
        <v>0</v>
      </c>
      <c r="P34" s="10">
        <f>'M. Bandlofsky CAD'!M34+'O. Haag BS-CAD'!M163</f>
        <v>0</v>
      </c>
      <c r="Q34" s="10">
        <f>IFERROR(INDEX('Projekt-Budget-Übersicht'!$E:$E,MATCH(1852,'Projekt-Budget-Übersicht'!$L:$L,0)),0)</f>
        <v>0</v>
      </c>
      <c r="R34" s="10">
        <v>1092.5</v>
      </c>
      <c r="S34" s="4"/>
      <c r="T34" s="4"/>
      <c r="U34" s="4"/>
    </row>
    <row r="35" spans="1:21" x14ac:dyDescent="0.25">
      <c r="A35" s="4" t="s">
        <v>3070</v>
      </c>
      <c r="B35" s="4" t="s">
        <v>5610</v>
      </c>
      <c r="C35" s="4" t="str">
        <f>IFERROR(INDEX('Projekt-Budget-Übersicht'!$C:$C,MATCH(3323,'Projekt-Budget-Übersicht'!$L:$L,0)),"")</f>
        <v/>
      </c>
      <c r="D35" s="4">
        <v>10</v>
      </c>
      <c r="E35" s="4">
        <v>14</v>
      </c>
      <c r="F35" s="5">
        <f>SUM(F18,I18,K18)</f>
        <v>0.5</v>
      </c>
      <c r="G35" s="15">
        <v>140</v>
      </c>
      <c r="H35" s="5">
        <f>SUM(H18)</f>
        <v>0</v>
      </c>
      <c r="I35" s="5">
        <f>IF(H35=0,0,F35-H35)</f>
        <v>0</v>
      </c>
      <c r="J35" s="4" t="s">
        <v>5531</v>
      </c>
      <c r="K35" s="5">
        <f>SUM(K18)</f>
        <v>0</v>
      </c>
      <c r="L35" s="10">
        <f>IF($B$2="-",0,IFERROR(INDEX(IF($B$2="SV",'Projekt-Budget-Übersicht'!$H:$H,IF($B$2="CAD",'Projekt-Budget-Übersicht'!$I:$I,IF($B$2="ADM",'Projekt-Budget-Übersicht'!$J:$J,'Projekt-Budget-Übersicht'!$H:$H))),MATCH(3323,'Projekt-Budget-Übersicht'!$L:$L,0)),0))</f>
        <v>0</v>
      </c>
      <c r="M35" s="10">
        <f>IF($B$2="-",0,IF(C35="Pauschale",IF(OR(Q35=0,N(D35)=0),0,MAX(0,MIN(Q35*((N(F35)+N(K35))/N(D35)),Q35-Q35*(N(E35)/N(D35))))),L35*(N(F35)+N(K35))))</f>
        <v>0</v>
      </c>
      <c r="N35" s="10">
        <f>IF($B$2="-",0,IF(C35="Pauschale",IF(OR(Q35=0,N(D35)=0),0,Q35*((N(F35)+N(K35))/N(D35))),L35*(N(F35)+N(K35))))</f>
        <v>0</v>
      </c>
      <c r="O35" s="10">
        <f>N35-M35</f>
        <v>0</v>
      </c>
      <c r="P35" s="10">
        <f>'M. Bandlofsky CAD'!M35</f>
        <v>0</v>
      </c>
      <c r="Q35" s="10">
        <f>IFERROR(INDEX('Projekt-Budget-Übersicht'!$E:$E,MATCH(3323,'Projekt-Budget-Übersicht'!$L:$L,0)),0)</f>
        <v>0</v>
      </c>
      <c r="R35" s="10"/>
      <c r="S35" s="4"/>
      <c r="T35" s="4"/>
      <c r="U35" s="4"/>
    </row>
    <row r="36" spans="1:21" x14ac:dyDescent="0.25">
      <c r="A36" s="21" t="s">
        <v>5446</v>
      </c>
      <c r="B36" s="4" t="s">
        <v>5569</v>
      </c>
      <c r="C36" s="4" t="str">
        <f>IFERROR(INDEX('Projekt-Budget-Übersicht'!$C:$C,MATCH(5386,'Projekt-Budget-Übersicht'!$L:$L,0)),"")</f>
        <v/>
      </c>
      <c r="D36" s="4" t="s">
        <v>5531</v>
      </c>
      <c r="E36" s="4">
        <v>3.25</v>
      </c>
      <c r="F36" s="5">
        <f>SUM(F7,I7,K7)</f>
        <v>3</v>
      </c>
      <c r="G36" s="4" t="s">
        <v>5531</v>
      </c>
      <c r="H36" s="5">
        <f>SUM(H7)</f>
        <v>0</v>
      </c>
      <c r="I36" s="5">
        <f>IF(H36=0,0,F36-H36)</f>
        <v>0</v>
      </c>
      <c r="J36" s="4" t="s">
        <v>5531</v>
      </c>
      <c r="K36" s="5">
        <f>SUM(K7)</f>
        <v>0</v>
      </c>
      <c r="L36" s="10">
        <f>IF($B$2="-",0,IFERROR(INDEX(IF($B$2="SV",'Projekt-Budget-Übersicht'!$H:$H,IF($B$2="CAD",'Projekt-Budget-Übersicht'!$I:$I,IF($B$2="ADM",'Projekt-Budget-Übersicht'!$J:$J,'Projekt-Budget-Übersicht'!$H:$H))),MATCH(5386,'Projekt-Budget-Übersicht'!$L:$L,0)),0))</f>
        <v>0</v>
      </c>
      <c r="M36" s="10">
        <f>IF($B$2="-",0,IF(C36="Pauschale",IF(OR(Q36=0,N(D36)=0),0,MAX(0,MIN(Q36*((N(F36)+N(K36))/N(D36)),Q36-Q36*(N(E36)/N(D36))))),L36*(N(F36)+N(K36))))</f>
        <v>0</v>
      </c>
      <c r="N36" s="10">
        <f>IF($B$2="-",0,IF(C36="Pauschale",IF(OR(Q36=0,N(D36)=0),0,Q36*((N(F36)+N(K36))/N(D36))),L36*(N(F36)+N(K36))))</f>
        <v>0</v>
      </c>
      <c r="O36" s="10">
        <f>N36-M36</f>
        <v>0</v>
      </c>
      <c r="P36" s="10">
        <f>'E. Bieler'!M115+'M. Bandlofsky CAD'!M36</f>
        <v>0</v>
      </c>
      <c r="Q36" s="10">
        <f>IFERROR(INDEX('Projekt-Budget-Übersicht'!$E:$E,MATCH(5386,'Projekt-Budget-Übersicht'!$L:$L,0)),0)</f>
        <v>0</v>
      </c>
      <c r="R36" s="10">
        <v>13.32</v>
      </c>
      <c r="S36" s="4"/>
      <c r="T36" s="4"/>
      <c r="U36" s="4"/>
    </row>
    <row r="37" spans="1:21" x14ac:dyDescent="0.25">
      <c r="A37" s="22"/>
      <c r="B37" s="4" t="s">
        <v>5609</v>
      </c>
      <c r="C37" s="4" t="str">
        <f>IFERROR(INDEX('Projekt-Budget-Übersicht'!$C:$C,MATCH(5386,'Projekt-Budget-Übersicht'!$L:$L,0)),"")</f>
        <v/>
      </c>
      <c r="D37" s="4" t="s">
        <v>5531</v>
      </c>
      <c r="E37" s="4">
        <v>5.5</v>
      </c>
      <c r="F37" s="5">
        <f>SUM(F8,I8,K8)</f>
        <v>5.5</v>
      </c>
      <c r="G37" s="4" t="s">
        <v>5531</v>
      </c>
      <c r="H37" s="5">
        <f>SUM(H8)</f>
        <v>0</v>
      </c>
      <c r="I37" s="5">
        <f>IF(H37=0,0,F37-H37)</f>
        <v>0</v>
      </c>
      <c r="J37" s="4" t="s">
        <v>5531</v>
      </c>
      <c r="K37" s="5">
        <f>SUM(K8)</f>
        <v>0</v>
      </c>
      <c r="L37" s="10">
        <f>IF($B$2="-",0,IFERROR(INDEX(IF($B$2="SV",'Projekt-Budget-Übersicht'!$H:$H,IF($B$2="CAD",'Projekt-Budget-Übersicht'!$I:$I,IF($B$2="ADM",'Projekt-Budget-Übersicht'!$J:$J,'Projekt-Budget-Übersicht'!$H:$H))),MATCH(5386,'Projekt-Budget-Übersicht'!$L:$L,0)),0))</f>
        <v>0</v>
      </c>
      <c r="M37" s="10">
        <f>IF($B$2="-",0,IF(C37="Pauschale",IF(OR(Q37=0,N(D37)=0),0,MAX(0,MIN(Q37*((N(F37)+N(K37))/N(D37)),Q37-Q37*(N(E37)/N(D37))))),L37*(N(F37)+N(K37))))</f>
        <v>0</v>
      </c>
      <c r="N37" s="10">
        <f>IF($B$2="-",0,IF(C37="Pauschale",IF(OR(Q37=0,N(D37)=0),0,Q37*((N(F37)+N(K37))/N(D37))),L37*(N(F37)+N(K37))))</f>
        <v>0</v>
      </c>
      <c r="O37" s="10">
        <f>N37-M37</f>
        <v>0</v>
      </c>
      <c r="P37" s="10">
        <f>'M. Bandlofsky CAD'!M37</f>
        <v>0</v>
      </c>
      <c r="Q37" s="10">
        <f>IFERROR(INDEX('Projekt-Budget-Übersicht'!$E:$E,MATCH(5386,'Projekt-Budget-Übersicht'!$L:$L,0)),0)</f>
        <v>0</v>
      </c>
      <c r="R37" s="10">
        <v>13.32</v>
      </c>
      <c r="S37" s="4"/>
      <c r="T37" s="4"/>
      <c r="U37" s="4"/>
    </row>
    <row r="39" spans="1:21" x14ac:dyDescent="0.25">
      <c r="A39" s="3"/>
      <c r="B39" s="3" t="s">
        <v>5492</v>
      </c>
      <c r="C39" s="3"/>
      <c r="D39" s="3"/>
      <c r="E39" s="3"/>
      <c r="F39" s="6">
        <f>SUM(F9,F19)</f>
        <v>24</v>
      </c>
      <c r="G39" s="3"/>
      <c r="H39" s="3"/>
      <c r="I39" s="3"/>
      <c r="J39" s="3"/>
      <c r="K39" s="3"/>
      <c r="L39" s="3"/>
      <c r="M39" s="17">
        <f>SUM(M33:M37)</f>
        <v>0</v>
      </c>
      <c r="N39" s="17">
        <f>SUM(N33:N37)</f>
        <v>0</v>
      </c>
      <c r="O39" s="17">
        <f>SUM(O33:O37)</f>
        <v>0</v>
      </c>
      <c r="P39" s="17">
        <f>SUM(P33:P37)</f>
        <v>0</v>
      </c>
      <c r="Q39" s="3"/>
      <c r="R39" s="3"/>
      <c r="S39" s="3"/>
      <c r="T39" s="3"/>
      <c r="U39" s="3"/>
    </row>
    <row r="40" spans="1:21" x14ac:dyDescent="0.25">
      <c r="A40" s="3"/>
      <c r="B40" s="3" t="s">
        <v>4</v>
      </c>
      <c r="C40" s="3"/>
      <c r="D40" s="3"/>
      <c r="E40" s="3"/>
      <c r="F40" s="6">
        <f>G40+H40</f>
        <v>23.5</v>
      </c>
      <c r="G40" s="6">
        <f>SUM(G10,G20)</f>
        <v>23.5</v>
      </c>
      <c r="H40" s="6">
        <v>0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x14ac:dyDescent="0.25">
      <c r="A41" s="3"/>
      <c r="B41" s="3" t="s">
        <v>5</v>
      </c>
      <c r="C41" s="3"/>
      <c r="D41" s="3"/>
      <c r="E41" s="3"/>
      <c r="F41" s="6">
        <f>G41+H41</f>
        <v>0</v>
      </c>
      <c r="G41" s="6">
        <f>SUM(G11,G21)</f>
        <v>0</v>
      </c>
      <c r="H41" s="6">
        <v>0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x14ac:dyDescent="0.25">
      <c r="A42" s="3"/>
      <c r="B42" s="3" t="s">
        <v>5493</v>
      </c>
      <c r="C42" s="3"/>
      <c r="D42" s="3"/>
      <c r="E42" s="3"/>
      <c r="F42" s="6">
        <f>SUM(F12,F22)</f>
        <v>0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x14ac:dyDescent="0.25">
      <c r="A43" s="18"/>
      <c r="B43" s="18" t="s">
        <v>5494</v>
      </c>
      <c r="C43" s="18"/>
      <c r="D43" s="18"/>
      <c r="E43" s="18"/>
      <c r="F43" s="19">
        <f>F40+F41+F42</f>
        <v>23.5</v>
      </c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5" spans="1:21" ht="15.75" x14ac:dyDescent="0.25">
      <c r="A45" s="2" t="s">
        <v>5532</v>
      </c>
    </row>
    <row r="46" spans="1:21" x14ac:dyDescent="0.25">
      <c r="A46" s="13" t="s">
        <v>10</v>
      </c>
      <c r="B46" s="13">
        <v>24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</row>
    <row r="47" spans="1:21" x14ac:dyDescent="0.25">
      <c r="A47" s="13" t="s">
        <v>11</v>
      </c>
      <c r="B47" s="20">
        <f>SUM(F10,F20)</f>
        <v>23.5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</row>
    <row r="48" spans="1:21" x14ac:dyDescent="0.25">
      <c r="A48" s="13" t="s">
        <v>12</v>
      </c>
      <c r="B48" s="20">
        <f>SUM(F11,F21)</f>
        <v>0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</row>
  </sheetData>
  <mergeCells count="2">
    <mergeCell ref="A7:A8"/>
    <mergeCell ref="A36:A37"/>
  </mergeCells>
  <conditionalFormatting sqref="I6:I8">
    <cfRule type="cellIs" dxfId="36" priority="1" stopIfTrue="1" operator="lessThan">
      <formula>0</formula>
    </cfRule>
  </conditionalFormatting>
  <conditionalFormatting sqref="I17:I18">
    <cfRule type="cellIs" dxfId="35" priority="4" stopIfTrue="1" operator="lessThan">
      <formula>0</formula>
    </cfRule>
  </conditionalFormatting>
  <conditionalFormatting sqref="I33:I37">
    <cfRule type="cellIs" dxfId="34" priority="6" stopIfTrue="1" operator="lessThan">
      <formula>0</formula>
    </cfRule>
  </conditionalFormatting>
  <dataValidations count="5">
    <dataValidation type="list" sqref="B2" xr:uid="{00000000-0002-0000-0B00-000000000000}">
      <formula1>"SV,CAD,ADM,Pauschale,-"</formula1>
    </dataValidation>
    <dataValidation type="list" allowBlank="1" sqref="J6" xr:uid="{00000000-0002-0000-0B00-000001000000}">
      <formula1>"T. Trautmann"</formula1>
    </dataValidation>
    <dataValidation type="list" allowBlank="1" sqref="T17:T18 T6:T8" xr:uid="{00000000-0002-0000-0B00-000002000000}">
      <formula1>"SR,AZ"</formula1>
    </dataValidation>
    <dataValidation type="list" allowBlank="1" sqref="J7" xr:uid="{00000000-0002-0000-0B00-000003000000}">
      <formula1>"E. Bieler"</formula1>
    </dataValidation>
    <dataValidation type="list" allowBlank="1" sqref="J17" xr:uid="{00000000-0002-0000-0B00-000006000000}">
      <formula1>"O. Haag BS-CAD"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U63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5611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5495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5496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299</v>
      </c>
      <c r="B6" s="4" t="s">
        <v>5612</v>
      </c>
      <c r="C6" s="4" t="str">
        <f>IFERROR(INDEX('Projekt-Budget-Übersicht'!$C:$C,MATCH(251,'Projekt-Budget-Übersicht'!$L:$L,0)),"")</f>
        <v/>
      </c>
      <c r="D6" s="4">
        <v>6</v>
      </c>
      <c r="E6" s="4">
        <v>2</v>
      </c>
      <c r="F6" s="4">
        <v>2</v>
      </c>
      <c r="G6" s="16">
        <v>33.33</v>
      </c>
      <c r="H6" s="5"/>
      <c r="I6" s="5">
        <f t="shared" ref="I6:I13" si="0">IF(H6=0,0,F6-H6)</f>
        <v>0</v>
      </c>
      <c r="J6" s="4"/>
      <c r="K6" s="5">
        <v>0</v>
      </c>
      <c r="L6" s="10">
        <f>IF($B$2="-",0,IFERROR(INDEX(IF($B$2="SV",'Projekt-Budget-Übersicht'!$I:$I,IF($B$2="CAD",'Projekt-Budget-Übersicht'!$J:$J,IF($B$2="ADM",'Projekt-Budget-Übersicht'!$K:$K,'Projekt-Budget-Übersicht'!$I:$I))),MATCH(251,'Projekt-Budget-Übersicht'!$M:$M,0)),0))</f>
        <v>0</v>
      </c>
      <c r="M6" s="10">
        <f t="shared" ref="M6:M13" si="1">IF($B$2="-",0,IF(C6="Pauschale",IF(OR(R6=0,N(D6)=0),0,MAX(0,MIN(R6*((N(F6)+N(K6))/N(D6)),R6-R6*(N(E6)/N(D6))))),L6*(N(F6)+N(K6))))</f>
        <v>0</v>
      </c>
      <c r="N6" s="10">
        <f t="shared" ref="N6:N13" si="2">IF($B$2="-",0,IF(C6="Pauschale",IF(OR(R6=0,N(D6)=0),0,R6*((N(F6)+N(K6))/N(D6))),L6*(N(F6)+N(K6))))</f>
        <v>0</v>
      </c>
      <c r="O6" s="10">
        <f t="shared" ref="O6:O13" si="3">N6-M6</f>
        <v>0</v>
      </c>
      <c r="P6" s="10">
        <f>'M. Warner'!M6</f>
        <v>0</v>
      </c>
      <c r="Q6" s="10">
        <v>20</v>
      </c>
      <c r="R6" s="10">
        <f>IFERROR(INDEX('Projekt-Budget-Übersicht'!$F:$F,MATCH(251,'Projekt-Budget-Übersicht'!$L:$L,0)),0)</f>
        <v>0</v>
      </c>
      <c r="S6" s="10"/>
      <c r="T6" s="4"/>
      <c r="U6" s="4"/>
    </row>
    <row r="7" spans="1:21" x14ac:dyDescent="0.25">
      <c r="A7" s="22"/>
      <c r="B7" s="4" t="s">
        <v>5486</v>
      </c>
      <c r="C7" s="4" t="str">
        <f>IFERROR(INDEX('Projekt-Budget-Übersicht'!$C:$C,MATCH(250,'Projekt-Budget-Übersicht'!$L:$L,0)),"")</f>
        <v/>
      </c>
      <c r="D7" s="4">
        <v>6</v>
      </c>
      <c r="E7" s="4">
        <v>6.5</v>
      </c>
      <c r="F7" s="4">
        <v>6</v>
      </c>
      <c r="G7" s="15">
        <v>108.33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85.714285714285708</v>
      </c>
      <c r="M7" s="10">
        <f t="shared" si="1"/>
        <v>514.28571428571422</v>
      </c>
      <c r="N7" s="10">
        <f t="shared" si="2"/>
        <v>514.28571428571422</v>
      </c>
      <c r="O7" s="10">
        <f t="shared" si="3"/>
        <v>0</v>
      </c>
      <c r="P7" s="10">
        <f>'M. Warner'!M7</f>
        <v>514.28571428571422</v>
      </c>
      <c r="Q7" s="10">
        <v>7</v>
      </c>
      <c r="R7" s="10">
        <f>IFERROR(INDEX('Projekt-Budget-Übersicht'!$F:$F,MATCH(250,'Projekt-Budget-Übersicht'!$L:$L,0)),0)</f>
        <v>0</v>
      </c>
      <c r="S7" s="10">
        <v>42.5</v>
      </c>
      <c r="T7" s="4"/>
      <c r="U7" s="4"/>
    </row>
    <row r="8" spans="1:21" x14ac:dyDescent="0.25">
      <c r="A8" s="4" t="s">
        <v>879</v>
      </c>
      <c r="B8" s="4" t="s">
        <v>5498</v>
      </c>
      <c r="C8" s="4" t="str">
        <f>IFERROR(INDEX('Projekt-Budget-Übersicht'!$C:$C,MATCH(899,'Projekt-Budget-Übersicht'!$L:$L,0)),"")</f>
        <v/>
      </c>
      <c r="D8" s="4">
        <v>230</v>
      </c>
      <c r="E8" s="4">
        <v>31.75</v>
      </c>
      <c r="F8" s="4">
        <v>5.5</v>
      </c>
      <c r="G8" s="16">
        <v>13.8</v>
      </c>
      <c r="H8" s="5"/>
      <c r="I8" s="5">
        <f t="shared" si="0"/>
        <v>0</v>
      </c>
      <c r="J8" s="4"/>
      <c r="K8" s="5">
        <f>IF('A. Kokott'!J45="M. Warner",'A. Kokott'!I45,0)+IF('S. Schüler'!J62="M. Warner",'S. Schüler'!I62,0)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81.25</v>
      </c>
      <c r="M8" s="10">
        <f t="shared" si="1"/>
        <v>446.875</v>
      </c>
      <c r="N8" s="10">
        <f t="shared" si="2"/>
        <v>446.875</v>
      </c>
      <c r="O8" s="10">
        <f t="shared" si="3"/>
        <v>0</v>
      </c>
      <c r="P8" s="10">
        <f>'A. Kokott'!M45+'M. Warner'!M8+'S. Schüler'!M62</f>
        <v>568.75</v>
      </c>
      <c r="Q8" s="10">
        <v>120</v>
      </c>
      <c r="R8" s="10">
        <f>IFERROR(INDEX('Projekt-Budget-Übersicht'!$F:$F,MATCH(899,'Projekt-Budget-Übersicht'!$L:$L,0)),0)</f>
        <v>0</v>
      </c>
      <c r="S8" s="10"/>
      <c r="T8" s="4"/>
      <c r="U8" s="4"/>
    </row>
    <row r="9" spans="1:21" x14ac:dyDescent="0.25">
      <c r="A9" s="4" t="s">
        <v>1403</v>
      </c>
      <c r="B9" s="4" t="s">
        <v>5486</v>
      </c>
      <c r="C9" s="4" t="str">
        <f>IFERROR(INDEX('Projekt-Budget-Übersicht'!$C:$C,MATCH(1544,'Projekt-Budget-Übersicht'!$L:$L,0)),"")</f>
        <v/>
      </c>
      <c r="D9" s="4">
        <v>6</v>
      </c>
      <c r="E9" s="4">
        <v>8.5</v>
      </c>
      <c r="F9" s="4">
        <v>8.5</v>
      </c>
      <c r="G9" s="15">
        <v>141.66999999999999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124.32432432432429</v>
      </c>
      <c r="M9" s="10">
        <f t="shared" si="1"/>
        <v>1056.7567567567564</v>
      </c>
      <c r="N9" s="10">
        <f t="shared" si="2"/>
        <v>1056.7567567567564</v>
      </c>
      <c r="O9" s="10">
        <f t="shared" si="3"/>
        <v>0</v>
      </c>
      <c r="P9" s="10">
        <f>'M. Warner'!M9</f>
        <v>1056.7567567567564</v>
      </c>
      <c r="Q9" s="10">
        <v>161</v>
      </c>
      <c r="R9" s="10">
        <f>IFERROR(INDEX('Projekt-Budget-Übersicht'!$F:$F,MATCH(1544,'Projekt-Budget-Übersicht'!$L:$L,0)),0)</f>
        <v>0</v>
      </c>
      <c r="S9" s="10">
        <v>215</v>
      </c>
      <c r="T9" s="4"/>
      <c r="U9" s="4"/>
    </row>
    <row r="10" spans="1:21" x14ac:dyDescent="0.25">
      <c r="A10" s="4" t="s">
        <v>3158</v>
      </c>
      <c r="B10" s="4" t="s">
        <v>5498</v>
      </c>
      <c r="C10" s="4" t="str">
        <f>IFERROR(INDEX('Projekt-Budget-Übersicht'!$C:$C,MATCH(3395,'Projekt-Budget-Übersicht'!$L:$L,0)),"")</f>
        <v/>
      </c>
      <c r="D10" s="4">
        <v>10</v>
      </c>
      <c r="E10" s="4">
        <v>9.5</v>
      </c>
      <c r="F10" s="4">
        <v>9</v>
      </c>
      <c r="G10" s="14">
        <v>95</v>
      </c>
      <c r="H10" s="5"/>
      <c r="I10" s="5">
        <f t="shared" si="0"/>
        <v>0</v>
      </c>
      <c r="J10" s="4"/>
      <c r="K10" s="5">
        <f>IF('T. Trautmann'!J54="M. Warner",'T. Trautmann'!I54,0)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81.818181818181813</v>
      </c>
      <c r="M10" s="10">
        <f t="shared" si="1"/>
        <v>736.36363636363626</v>
      </c>
      <c r="N10" s="10">
        <f t="shared" si="2"/>
        <v>736.36363636363626</v>
      </c>
      <c r="O10" s="10">
        <f t="shared" si="3"/>
        <v>0</v>
      </c>
      <c r="P10" s="10">
        <f>'M. Warner'!M10+'T. Trautmann'!M54</f>
        <v>777.27272727272714</v>
      </c>
      <c r="Q10" s="10">
        <v>11</v>
      </c>
      <c r="R10" s="10">
        <f>IFERROR(INDEX('Projekt-Budget-Übersicht'!$F:$F,MATCH(3395,'Projekt-Budget-Übersicht'!$L:$L,0)),0)</f>
        <v>0</v>
      </c>
      <c r="S10" s="10">
        <v>100</v>
      </c>
      <c r="T10" s="4"/>
      <c r="U10" s="4"/>
    </row>
    <row r="11" spans="1:21" x14ac:dyDescent="0.25">
      <c r="A11" s="21" t="s">
        <v>5171</v>
      </c>
      <c r="B11" s="4" t="s">
        <v>5613</v>
      </c>
      <c r="C11" s="4" t="str">
        <f>IFERROR(INDEX('Projekt-Budget-Übersicht'!$C:$C,MATCH(5130,'Projekt-Budget-Übersicht'!$L:$L,0)),"")</f>
        <v/>
      </c>
      <c r="D11" s="4">
        <v>8</v>
      </c>
      <c r="E11" s="4">
        <v>3</v>
      </c>
      <c r="F11" s="4">
        <v>3</v>
      </c>
      <c r="G11" s="16">
        <v>37.5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IF($B$2="-",0,IFERROR(INDEX(IF($B$2="SV",'Projekt-Budget-Übersicht'!$I:$I,IF($B$2="CAD",'Projekt-Budget-Übersicht'!$J:$J,IF($B$2="ADM",'Projekt-Budget-Übersicht'!$K:$K,'Projekt-Budget-Übersicht'!$I:$I))),MATCH(5130,'Projekt-Budget-Übersicht'!$M:$M,0)),0))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'M. Warner'!M11</f>
        <v>0</v>
      </c>
      <c r="Q11" s="10">
        <v>4</v>
      </c>
      <c r="R11" s="10">
        <f>IFERROR(INDEX('Projekt-Budget-Übersicht'!$F:$F,MATCH(5130,'Projekt-Budget-Übersicht'!$L:$L,0)),0)</f>
        <v>0</v>
      </c>
      <c r="S11" s="10"/>
      <c r="T11" s="4"/>
      <c r="U11" s="4"/>
    </row>
    <row r="12" spans="1:21" x14ac:dyDescent="0.25">
      <c r="A12" s="22"/>
      <c r="B12" s="4" t="s">
        <v>5486</v>
      </c>
      <c r="C12" s="4" t="str">
        <f>IFERROR(INDEX('Projekt-Budget-Übersicht'!$C:$C,MATCH(5129,'Projekt-Budget-Übersicht'!$L:$L,0)),"")</f>
        <v/>
      </c>
      <c r="D12" s="4">
        <v>35</v>
      </c>
      <c r="E12" s="4">
        <v>23.75</v>
      </c>
      <c r="F12" s="4">
        <v>16.25</v>
      </c>
      <c r="G12" s="16">
        <v>67.86</v>
      </c>
      <c r="H12" s="5"/>
      <c r="I12" s="5">
        <f t="shared" si="0"/>
        <v>0</v>
      </c>
      <c r="J12" s="4"/>
      <c r="K12" s="5">
        <f>IF('O. Haag BS-CAD'!J81="M. Warner",'O. Haag BS-CAD'!I81,0)</f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IF($B$2="-",0,IFERROR(INDEX(IF($B$2="SV",'Projekt-Budget-Übersicht'!$I:$I,IF($B$2="CAD",'Projekt-Budget-Übersicht'!$J:$J,IF($B$2="ADM",'Projekt-Budget-Übersicht'!$K:$K,'Projekt-Budget-Übersicht'!$I:$I))),MATCH(5129,'Projekt-Budget-Übersicht'!$M:$M,0)),0))</f>
        <v>91.666666666666671</v>
      </c>
      <c r="M12" s="10">
        <f t="shared" si="1"/>
        <v>1489.5833333333335</v>
      </c>
      <c r="N12" s="10">
        <f t="shared" si="2"/>
        <v>1489.5833333333335</v>
      </c>
      <c r="O12" s="10">
        <f t="shared" si="3"/>
        <v>0</v>
      </c>
      <c r="P12" s="10">
        <f>'M. Warner'!M12+'O. Haag BS-CAD'!M81</f>
        <v>2177.0833333333335</v>
      </c>
      <c r="Q12" s="10">
        <v>36</v>
      </c>
      <c r="R12" s="10">
        <f>IFERROR(INDEX('Projekt-Budget-Übersicht'!$F:$F,MATCH(5129,'Projekt-Budget-Übersicht'!$L:$L,0)),0)</f>
        <v>0</v>
      </c>
      <c r="S12" s="10">
        <v>375</v>
      </c>
      <c r="T12" s="4"/>
      <c r="U12" s="4"/>
    </row>
    <row r="13" spans="1:21" x14ac:dyDescent="0.25">
      <c r="A13" s="4" t="s">
        <v>5215</v>
      </c>
      <c r="B13" s="4" t="s">
        <v>5486</v>
      </c>
      <c r="C13" s="4" t="str">
        <f>IFERROR(INDEX('Projekt-Budget-Übersicht'!$C:$C,MATCH(5170,'Projekt-Budget-Übersicht'!$L:$L,0)),"")</f>
        <v/>
      </c>
      <c r="D13" s="4">
        <v>58</v>
      </c>
      <c r="E13" s="4">
        <v>17</v>
      </c>
      <c r="F13" s="4">
        <v>3.25</v>
      </c>
      <c r="G13" s="16">
        <v>29.31</v>
      </c>
      <c r="H13" s="5"/>
      <c r="I13" s="5">
        <f t="shared" si="0"/>
        <v>0</v>
      </c>
      <c r="J13" s="4"/>
      <c r="K13" s="5">
        <f>IF('O. Haag BS-CAD'!J83="M. Warner",'O. Haag BS-CAD'!I83,0)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IF($B$2="-",0,IFERROR(INDEX(IF($B$2="SV",'Projekt-Budget-Übersicht'!$I:$I,IF($B$2="CAD",'Projekt-Budget-Übersicht'!$J:$J,IF($B$2="ADM",'Projekt-Budget-Übersicht'!$K:$K,'Projekt-Budget-Übersicht'!$I:$I))),MATCH(5170,'Projekt-Budget-Übersicht'!$M:$M,0)),0))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'M. Warner'!M13+'O. Haag BS-CAD'!M83</f>
        <v>0</v>
      </c>
      <c r="Q13" s="10">
        <v>186</v>
      </c>
      <c r="R13" s="10">
        <f>IFERROR(INDEX('Projekt-Budget-Übersicht'!$F:$F,MATCH(5170,'Projekt-Budget-Übersicht'!$L:$L,0)),0)</f>
        <v>0</v>
      </c>
      <c r="S13" s="10"/>
      <c r="T13" s="4"/>
      <c r="U13" s="4"/>
    </row>
    <row r="14" spans="1:21" x14ac:dyDescent="0.25">
      <c r="A14" s="3"/>
      <c r="B14" s="3" t="s">
        <v>5492</v>
      </c>
      <c r="C14" s="3"/>
      <c r="D14" s="3"/>
      <c r="E14" s="3"/>
      <c r="F14" s="6">
        <v>53.5</v>
      </c>
      <c r="G14" s="3"/>
      <c r="H14" s="3"/>
      <c r="I14" s="3"/>
      <c r="J14" s="3"/>
      <c r="K14" s="3"/>
      <c r="L14" s="3"/>
      <c r="M14" s="17">
        <f>SUM(M6:M13)</f>
        <v>4243.8644407394404</v>
      </c>
      <c r="N14" s="17">
        <f>SUM(N6:N13)</f>
        <v>4243.8644407394404</v>
      </c>
      <c r="O14" s="17">
        <f>SUM(O6:O13)</f>
        <v>0</v>
      </c>
      <c r="P14" s="17">
        <f>SUM(P6:P13)</f>
        <v>5094.1485316485305</v>
      </c>
      <c r="Q14" s="3"/>
      <c r="R14" s="3"/>
      <c r="S14" s="3"/>
      <c r="T14" s="3"/>
      <c r="U14" s="3"/>
    </row>
    <row r="15" spans="1:21" x14ac:dyDescent="0.25">
      <c r="A15" s="3"/>
      <c r="B15" s="3" t="s">
        <v>4</v>
      </c>
      <c r="C15" s="3"/>
      <c r="D15" s="3"/>
      <c r="E15" s="3"/>
      <c r="F15" s="6">
        <f>G15+H15</f>
        <v>39</v>
      </c>
      <c r="G15" s="6">
        <v>39</v>
      </c>
      <c r="H15" s="6">
        <f>SUM(H6,H7,H8,H9,H10,H11,H12,H13)</f>
        <v>0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s="3"/>
      <c r="B16" s="3" t="s">
        <v>5</v>
      </c>
      <c r="C16" s="3"/>
      <c r="D16" s="3"/>
      <c r="E16" s="3"/>
      <c r="F16" s="6">
        <v>0</v>
      </c>
      <c r="G16" s="6">
        <v>0</v>
      </c>
      <c r="H16" s="6">
        <v>0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3"/>
      <c r="B17" s="3" t="s">
        <v>5493</v>
      </c>
      <c r="C17" s="3"/>
      <c r="D17" s="3"/>
      <c r="E17" s="3"/>
      <c r="F17" s="6">
        <f>SUM(K6:K13)</f>
        <v>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x14ac:dyDescent="0.25">
      <c r="A18" s="18"/>
      <c r="B18" s="18" t="s">
        <v>5494</v>
      </c>
      <c r="C18" s="18"/>
      <c r="D18" s="18"/>
      <c r="E18" s="18"/>
      <c r="F18" s="19">
        <f>F15+F16+F17</f>
        <v>39</v>
      </c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20" spans="1:21" ht="15.75" x14ac:dyDescent="0.25">
      <c r="A20" s="2" t="s">
        <v>5512</v>
      </c>
    </row>
    <row r="21" spans="1:21" x14ac:dyDescent="0.25">
      <c r="A21" s="3" t="s">
        <v>35</v>
      </c>
      <c r="B21" s="3" t="s">
        <v>5461</v>
      </c>
      <c r="C21" s="3" t="s">
        <v>37</v>
      </c>
      <c r="D21" s="3" t="s">
        <v>5462</v>
      </c>
      <c r="E21" s="3" t="s">
        <v>5463</v>
      </c>
      <c r="F21" s="3" t="s">
        <v>5513</v>
      </c>
      <c r="G21" s="3" t="s">
        <v>5465</v>
      </c>
      <c r="H21" s="3" t="s">
        <v>5466</v>
      </c>
      <c r="I21" s="3" t="s">
        <v>5467</v>
      </c>
      <c r="J21" s="3" t="s">
        <v>5468</v>
      </c>
      <c r="K21" s="3" t="s">
        <v>5469</v>
      </c>
      <c r="L21" s="3" t="s">
        <v>5470</v>
      </c>
      <c r="M21" s="3" t="s">
        <v>5471</v>
      </c>
      <c r="N21" s="3" t="s">
        <v>5472</v>
      </c>
      <c r="O21" s="3" t="s">
        <v>5473</v>
      </c>
      <c r="P21" s="3" t="s">
        <v>5474</v>
      </c>
      <c r="Q21" s="3" t="s">
        <v>5475</v>
      </c>
      <c r="R21" s="3" t="s">
        <v>5476</v>
      </c>
      <c r="S21" s="3" t="s">
        <v>5477</v>
      </c>
      <c r="T21" s="3" t="s">
        <v>5478</v>
      </c>
      <c r="U21" s="3" t="s">
        <v>5479</v>
      </c>
    </row>
    <row r="22" spans="1:21" x14ac:dyDescent="0.25">
      <c r="A22" s="4" t="s">
        <v>299</v>
      </c>
      <c r="B22" s="4" t="s">
        <v>5486</v>
      </c>
      <c r="C22" s="4" t="str">
        <f>IFERROR(INDEX('Projekt-Budget-Übersicht'!$C:$C,MATCH(250,'Projekt-Budget-Übersicht'!$L:$L,0)),"")</f>
        <v/>
      </c>
      <c r="D22" s="4">
        <v>6</v>
      </c>
      <c r="E22" s="4">
        <v>8.75</v>
      </c>
      <c r="F22" s="4">
        <v>2.25</v>
      </c>
      <c r="G22" s="15">
        <v>145.83000000000001</v>
      </c>
      <c r="H22" s="5"/>
      <c r="I22" s="5">
        <f t="shared" ref="I22:I28" si="4">IF(H22=0,0,F22-H22)</f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85.714285714285708</v>
      </c>
      <c r="M22" s="10">
        <f t="shared" ref="M22:M28" si="5">IF($B$2="-",0,IF(C22="Pauschale",IF(OR(R22=0,N(D22)=0),0,MAX(0,MIN(R22*((N(F22)+N(K22))/N(D22)),R22-R22*(N(E22)/N(D22))))),L22*(N(F22)+N(K22))))</f>
        <v>192.85714285714283</v>
      </c>
      <c r="N22" s="10">
        <f t="shared" ref="N22:N28" si="6">IF($B$2="-",0,IF(C22="Pauschale",IF(OR(R22=0,N(D22)=0),0,R22*((N(F22)+N(K22))/N(D22))),L22*(N(F22)+N(K22))))</f>
        <v>192.85714285714283</v>
      </c>
      <c r="O22" s="10">
        <f t="shared" ref="O22:O28" si="7">N22-M22</f>
        <v>0</v>
      </c>
      <c r="P22" s="10">
        <f>'M. Warner'!M22</f>
        <v>192.85714285714283</v>
      </c>
      <c r="Q22" s="10">
        <v>7</v>
      </c>
      <c r="R22" s="10">
        <f>IFERROR(INDEX('Projekt-Budget-Übersicht'!$F:$F,MATCH(250,'Projekt-Budget-Übersicht'!$L:$L,0)),0)</f>
        <v>0</v>
      </c>
      <c r="S22" s="10">
        <v>42.5</v>
      </c>
      <c r="T22" s="4"/>
      <c r="U22" s="4"/>
    </row>
    <row r="23" spans="1:21" x14ac:dyDescent="0.25">
      <c r="A23" s="21" t="s">
        <v>879</v>
      </c>
      <c r="B23" s="4" t="s">
        <v>5546</v>
      </c>
      <c r="C23" s="4" t="str">
        <f>IFERROR(INDEX('Projekt-Budget-Übersicht'!$C:$C,MATCH(902,'Projekt-Budget-Übersicht'!$L:$L,0)),"")</f>
        <v/>
      </c>
      <c r="D23" s="4">
        <v>20</v>
      </c>
      <c r="E23" s="4">
        <v>12</v>
      </c>
      <c r="F23" s="4">
        <v>12</v>
      </c>
      <c r="G23" s="16">
        <v>60</v>
      </c>
      <c r="H23" s="5"/>
      <c r="I23" s="5">
        <f t="shared" si="4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IF($B$2="-",0,IFERROR(INDEX(IF($B$2="SV",'Projekt-Budget-Übersicht'!$I:$I,IF($B$2="CAD",'Projekt-Budget-Übersicht'!$J:$J,IF($B$2="ADM",'Projekt-Budget-Übersicht'!$K:$K,'Projekt-Budget-Übersicht'!$I:$I))),MATCH(902,'Projekt-Budget-Übersicht'!$M:$M,0)),0))</f>
        <v>0</v>
      </c>
      <c r="M23" s="10">
        <f t="shared" si="5"/>
        <v>0</v>
      </c>
      <c r="N23" s="10">
        <f t="shared" si="6"/>
        <v>0</v>
      </c>
      <c r="O23" s="10">
        <f t="shared" si="7"/>
        <v>0</v>
      </c>
      <c r="P23" s="10">
        <f>'M. Warner'!M23</f>
        <v>0</v>
      </c>
      <c r="Q23" s="10">
        <v>81</v>
      </c>
      <c r="R23" s="10">
        <f>IFERROR(INDEX('Projekt-Budget-Übersicht'!$F:$F,MATCH(902,'Projekt-Budget-Übersicht'!$L:$L,0)),0)</f>
        <v>0</v>
      </c>
      <c r="S23" s="10"/>
      <c r="T23" s="4"/>
      <c r="U23" s="4"/>
    </row>
    <row r="24" spans="1:21" x14ac:dyDescent="0.25">
      <c r="A24" s="22"/>
      <c r="B24" s="4" t="s">
        <v>5498</v>
      </c>
      <c r="C24" s="4" t="str">
        <f>IFERROR(INDEX('Projekt-Budget-Übersicht'!$C:$C,MATCH(899,'Projekt-Budget-Übersicht'!$L:$L,0)),"")</f>
        <v/>
      </c>
      <c r="D24" s="4">
        <v>230</v>
      </c>
      <c r="E24" s="4">
        <v>140.25</v>
      </c>
      <c r="F24" s="4">
        <v>105.25</v>
      </c>
      <c r="G24" s="16">
        <v>60.98</v>
      </c>
      <c r="H24" s="5"/>
      <c r="I24" s="5">
        <f t="shared" si="4"/>
        <v>0</v>
      </c>
      <c r="J24" s="4"/>
      <c r="K24" s="5">
        <f>IF('A. Kokott'!J90="M. Warner",'A. Kokott'!I90,0)+IF('S. Schüler'!J97="M. Warner",'S. Schüler'!I97,0)</f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81.25</v>
      </c>
      <c r="M24" s="10">
        <f t="shared" si="5"/>
        <v>8551.5625</v>
      </c>
      <c r="N24" s="10">
        <f t="shared" si="6"/>
        <v>8551.5625</v>
      </c>
      <c r="O24" s="10">
        <f t="shared" si="7"/>
        <v>0</v>
      </c>
      <c r="P24" s="10">
        <f>'A. Kokott'!M90+'M. Warner'!M24+'S. Schüler'!M97</f>
        <v>8815.625</v>
      </c>
      <c r="Q24" s="10">
        <v>120</v>
      </c>
      <c r="R24" s="10">
        <f>IFERROR(INDEX('Projekt-Budget-Übersicht'!$F:$F,MATCH(899,'Projekt-Budget-Übersicht'!$L:$L,0)),0)</f>
        <v>0</v>
      </c>
      <c r="S24" s="10"/>
      <c r="T24" s="4"/>
      <c r="U24" s="4"/>
    </row>
    <row r="25" spans="1:21" x14ac:dyDescent="0.25">
      <c r="A25" s="4" t="s">
        <v>1505</v>
      </c>
      <c r="B25" s="4" t="s">
        <v>5614</v>
      </c>
      <c r="C25" s="4" t="str">
        <f>IFERROR(INDEX('Projekt-Budget-Übersicht'!$C:$C,MATCH(1694,'Projekt-Budget-Übersicht'!$L:$L,0)),"")</f>
        <v/>
      </c>
      <c r="D25" s="4">
        <v>100</v>
      </c>
      <c r="E25" s="4">
        <v>47.5</v>
      </c>
      <c r="F25" s="4">
        <v>0.75</v>
      </c>
      <c r="G25" s="16">
        <v>47.5</v>
      </c>
      <c r="H25" s="5"/>
      <c r="I25" s="5">
        <f t="shared" si="4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IF($B$2="-",0,IFERROR(INDEX(IF($B$2="SV",'Projekt-Budget-Übersicht'!$I:$I,IF($B$2="CAD",'Projekt-Budget-Übersicht'!$J:$J,IF($B$2="ADM",'Projekt-Budget-Übersicht'!$K:$K,'Projekt-Budget-Übersicht'!$I:$I))),MATCH(1694,'Projekt-Budget-Übersicht'!$M:$M,0)),0))</f>
        <v>0</v>
      </c>
      <c r="M25" s="10">
        <f t="shared" si="5"/>
        <v>0</v>
      </c>
      <c r="N25" s="10">
        <f t="shared" si="6"/>
        <v>0</v>
      </c>
      <c r="O25" s="10">
        <f t="shared" si="7"/>
        <v>0</v>
      </c>
      <c r="P25" s="10">
        <f>'M. Warner'!M25</f>
        <v>0</v>
      </c>
      <c r="Q25" s="10">
        <v>108</v>
      </c>
      <c r="R25" s="10">
        <f>IFERROR(INDEX('Projekt-Budget-Übersicht'!$F:$F,MATCH(1694,'Projekt-Budget-Übersicht'!$L:$L,0)),0)</f>
        <v>0</v>
      </c>
      <c r="S25" s="10">
        <v>2337.5</v>
      </c>
      <c r="T25" s="4"/>
      <c r="U25" s="4"/>
    </row>
    <row r="26" spans="1:21" x14ac:dyDescent="0.25">
      <c r="A26" s="4" t="s">
        <v>3158</v>
      </c>
      <c r="B26" s="4" t="s">
        <v>5498</v>
      </c>
      <c r="C26" s="4" t="str">
        <f>IFERROR(INDEX('Projekt-Budget-Übersicht'!$C:$C,MATCH(3395,'Projekt-Budget-Übersicht'!$L:$L,0)),"")</f>
        <v/>
      </c>
      <c r="D26" s="4">
        <v>10</v>
      </c>
      <c r="E26" s="4">
        <v>10.5</v>
      </c>
      <c r="F26" s="4">
        <v>1</v>
      </c>
      <c r="G26" s="15">
        <v>105</v>
      </c>
      <c r="H26" s="5"/>
      <c r="I26" s="5">
        <f t="shared" si="4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81.818181818181813</v>
      </c>
      <c r="M26" s="10">
        <f t="shared" si="5"/>
        <v>81.818181818181813</v>
      </c>
      <c r="N26" s="10">
        <f t="shared" si="6"/>
        <v>81.818181818181813</v>
      </c>
      <c r="O26" s="10">
        <f t="shared" si="7"/>
        <v>0</v>
      </c>
      <c r="P26" s="10">
        <f>'M. Warner'!M26</f>
        <v>81.818181818181813</v>
      </c>
      <c r="Q26" s="10">
        <v>11</v>
      </c>
      <c r="R26" s="10">
        <f>IFERROR(INDEX('Projekt-Budget-Übersicht'!$F:$F,MATCH(3395,'Projekt-Budget-Übersicht'!$L:$L,0)),0)</f>
        <v>0</v>
      </c>
      <c r="S26" s="10">
        <v>100</v>
      </c>
      <c r="T26" s="4"/>
      <c r="U26" s="4"/>
    </row>
    <row r="27" spans="1:21" x14ac:dyDescent="0.25">
      <c r="A27" s="4" t="s">
        <v>5171</v>
      </c>
      <c r="B27" s="4" t="s">
        <v>5486</v>
      </c>
      <c r="C27" s="4" t="str">
        <f>IFERROR(INDEX('Projekt-Budget-Übersicht'!$C:$C,MATCH(5129,'Projekt-Budget-Übersicht'!$L:$L,0)),"")</f>
        <v/>
      </c>
      <c r="D27" s="4">
        <v>35</v>
      </c>
      <c r="E27" s="4">
        <v>26</v>
      </c>
      <c r="F27" s="4">
        <v>2.25</v>
      </c>
      <c r="G27" s="16">
        <v>74.290000000000006</v>
      </c>
      <c r="H27" s="5"/>
      <c r="I27" s="5">
        <f t="shared" si="4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IF($B$2="-",0,IFERROR(INDEX(IF($B$2="SV",'Projekt-Budget-Übersicht'!$I:$I,IF($B$2="CAD",'Projekt-Budget-Übersicht'!$J:$J,IF($B$2="ADM",'Projekt-Budget-Übersicht'!$K:$K,'Projekt-Budget-Übersicht'!$I:$I))),MATCH(5129,'Projekt-Budget-Übersicht'!$M:$M,0)),0))</f>
        <v>91.666666666666671</v>
      </c>
      <c r="M27" s="10">
        <f t="shared" si="5"/>
        <v>206.25</v>
      </c>
      <c r="N27" s="10">
        <f t="shared" si="6"/>
        <v>206.25</v>
      </c>
      <c r="O27" s="10">
        <f t="shared" si="7"/>
        <v>0</v>
      </c>
      <c r="P27" s="10">
        <f>'M. Warner'!M27</f>
        <v>206.25</v>
      </c>
      <c r="Q27" s="10">
        <v>36</v>
      </c>
      <c r="R27" s="10">
        <f>IFERROR(INDEX('Projekt-Budget-Übersicht'!$F:$F,MATCH(5129,'Projekt-Budget-Übersicht'!$L:$L,0)),0)</f>
        <v>0</v>
      </c>
      <c r="S27" s="10">
        <v>375</v>
      </c>
      <c r="T27" s="4"/>
      <c r="U27" s="4"/>
    </row>
    <row r="28" spans="1:21" x14ac:dyDescent="0.25">
      <c r="A28" s="4" t="s">
        <v>5215</v>
      </c>
      <c r="B28" s="4" t="s">
        <v>5486</v>
      </c>
      <c r="C28" s="4" t="str">
        <f>IFERROR(INDEX('Projekt-Budget-Übersicht'!$C:$C,MATCH(5170,'Projekt-Budget-Übersicht'!$L:$L,0)),"")</f>
        <v/>
      </c>
      <c r="D28" s="4">
        <v>58</v>
      </c>
      <c r="E28" s="4">
        <v>27.25</v>
      </c>
      <c r="F28" s="4">
        <v>10.25</v>
      </c>
      <c r="G28" s="16">
        <v>46.98</v>
      </c>
      <c r="H28" s="5"/>
      <c r="I28" s="5">
        <f t="shared" si="4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IF($B$2="-",0,IFERROR(INDEX(IF($B$2="SV",'Projekt-Budget-Übersicht'!$I:$I,IF($B$2="CAD",'Projekt-Budget-Übersicht'!$J:$J,IF($B$2="ADM",'Projekt-Budget-Übersicht'!$K:$K,'Projekt-Budget-Übersicht'!$I:$I))),MATCH(5170,'Projekt-Budget-Übersicht'!$M:$M,0)),0))</f>
        <v>0</v>
      </c>
      <c r="M28" s="10">
        <f t="shared" si="5"/>
        <v>0</v>
      </c>
      <c r="N28" s="10">
        <f t="shared" si="6"/>
        <v>0</v>
      </c>
      <c r="O28" s="10">
        <f t="shared" si="7"/>
        <v>0</v>
      </c>
      <c r="P28" s="10">
        <f>'M. Warner'!M28</f>
        <v>0</v>
      </c>
      <c r="Q28" s="10">
        <v>186</v>
      </c>
      <c r="R28" s="10">
        <f>IFERROR(INDEX('Projekt-Budget-Übersicht'!$F:$F,MATCH(5170,'Projekt-Budget-Übersicht'!$L:$L,0)),0)</f>
        <v>0</v>
      </c>
      <c r="S28" s="10"/>
      <c r="T28" s="4"/>
      <c r="U28" s="4"/>
    </row>
    <row r="29" spans="1:21" x14ac:dyDescent="0.25">
      <c r="A29" s="3"/>
      <c r="B29" s="3" t="s">
        <v>5492</v>
      </c>
      <c r="C29" s="3"/>
      <c r="D29" s="3"/>
      <c r="E29" s="3"/>
      <c r="F29" s="6">
        <v>133.75</v>
      </c>
      <c r="G29" s="3"/>
      <c r="H29" s="3"/>
      <c r="I29" s="3"/>
      <c r="J29" s="3"/>
      <c r="K29" s="3"/>
      <c r="L29" s="3"/>
      <c r="M29" s="17">
        <f>SUM(M22:M28)</f>
        <v>9032.4878246753251</v>
      </c>
      <c r="N29" s="17">
        <f>SUM(N22:N28)</f>
        <v>9032.4878246753251</v>
      </c>
      <c r="O29" s="17">
        <f>SUM(O22:O28)</f>
        <v>0</v>
      </c>
      <c r="P29" s="17">
        <f>SUM(P22:P28)</f>
        <v>9296.5503246753251</v>
      </c>
      <c r="Q29" s="3"/>
      <c r="R29" s="3"/>
      <c r="S29" s="3"/>
      <c r="T29" s="3"/>
      <c r="U29" s="3"/>
    </row>
    <row r="30" spans="1:21" x14ac:dyDescent="0.25">
      <c r="A30" s="3"/>
      <c r="B30" s="3" t="s">
        <v>4</v>
      </c>
      <c r="C30" s="3"/>
      <c r="D30" s="3"/>
      <c r="E30" s="3"/>
      <c r="F30" s="6">
        <f>G30+H30</f>
        <v>130.5</v>
      </c>
      <c r="G30" s="6">
        <v>130.5</v>
      </c>
      <c r="H30" s="6">
        <f>SUM(H22,H23,H24,H25,H26,H27,H28)</f>
        <v>0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x14ac:dyDescent="0.25">
      <c r="A31" s="3"/>
      <c r="B31" s="3" t="s">
        <v>5</v>
      </c>
      <c r="C31" s="3"/>
      <c r="D31" s="3"/>
      <c r="E31" s="3"/>
      <c r="F31" s="6">
        <v>0</v>
      </c>
      <c r="G31" s="6">
        <v>0</v>
      </c>
      <c r="H31" s="6">
        <v>0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A32" s="3"/>
      <c r="B32" s="3" t="s">
        <v>5493</v>
      </c>
      <c r="C32" s="3"/>
      <c r="D32" s="3"/>
      <c r="E32" s="3"/>
      <c r="F32" s="6">
        <f>SUM(K22:K28)</f>
        <v>0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21" x14ac:dyDescent="0.25">
      <c r="A33" s="18"/>
      <c r="B33" s="18" t="s">
        <v>5494</v>
      </c>
      <c r="C33" s="18"/>
      <c r="D33" s="18"/>
      <c r="E33" s="18"/>
      <c r="F33" s="19">
        <f>F30+F31+F32</f>
        <v>130.5</v>
      </c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5" spans="1:21" ht="15.75" x14ac:dyDescent="0.25">
      <c r="A35" s="2" t="s">
        <v>5524</v>
      </c>
    </row>
    <row r="36" spans="1:21" x14ac:dyDescent="0.25">
      <c r="A36" s="3" t="s">
        <v>2</v>
      </c>
      <c r="B36" s="3" t="s">
        <v>5525</v>
      </c>
      <c r="C36" s="3" t="s">
        <v>5526</v>
      </c>
      <c r="D36" s="3" t="s">
        <v>4</v>
      </c>
      <c r="E36" s="3" t="s">
        <v>5</v>
      </c>
      <c r="F36" s="3" t="s">
        <v>5527</v>
      </c>
      <c r="G36" s="3" t="s">
        <v>5528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1:21" x14ac:dyDescent="0.25">
      <c r="A37" s="4" t="s">
        <v>7</v>
      </c>
      <c r="B37" s="4" t="s">
        <v>24</v>
      </c>
      <c r="C37" s="4">
        <f>F14</f>
        <v>53.5</v>
      </c>
      <c r="D37" s="4">
        <f>F15</f>
        <v>39</v>
      </c>
      <c r="E37" s="4">
        <f>F16</f>
        <v>0</v>
      </c>
      <c r="F37" s="4">
        <f>F17</f>
        <v>0</v>
      </c>
      <c r="G37" s="4">
        <f>F18</f>
        <v>39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</row>
    <row r="38" spans="1:21" x14ac:dyDescent="0.25">
      <c r="A38" s="4" t="s">
        <v>8</v>
      </c>
      <c r="B38" s="4" t="s">
        <v>24</v>
      </c>
      <c r="C38" s="4">
        <f>F29</f>
        <v>133.75</v>
      </c>
      <c r="D38" s="4">
        <f>F30</f>
        <v>130.5</v>
      </c>
      <c r="E38" s="4">
        <f>F31</f>
        <v>0</v>
      </c>
      <c r="F38" s="4">
        <f>F32</f>
        <v>0</v>
      </c>
      <c r="G38" s="4">
        <f>F33</f>
        <v>130.5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</row>
    <row r="41" spans="1:21" ht="18.75" x14ac:dyDescent="0.3">
      <c r="A41" s="1" t="s">
        <v>5529</v>
      </c>
    </row>
    <row r="42" spans="1:21" x14ac:dyDescent="0.25">
      <c r="A42" s="3" t="s">
        <v>35</v>
      </c>
      <c r="B42" s="3" t="s">
        <v>5461</v>
      </c>
      <c r="C42" s="3" t="s">
        <v>37</v>
      </c>
      <c r="D42" s="3" t="s">
        <v>5462</v>
      </c>
      <c r="E42" s="3" t="s">
        <v>5463</v>
      </c>
      <c r="F42" s="3" t="s">
        <v>5530</v>
      </c>
      <c r="G42" s="3" t="s">
        <v>5465</v>
      </c>
      <c r="H42" s="3" t="s">
        <v>5466</v>
      </c>
      <c r="I42" s="3" t="s">
        <v>5467</v>
      </c>
      <c r="J42" s="3" t="s">
        <v>5468</v>
      </c>
      <c r="K42" s="3" t="s">
        <v>5469</v>
      </c>
      <c r="L42" s="3" t="s">
        <v>5470</v>
      </c>
      <c r="M42" s="3" t="s">
        <v>5471</v>
      </c>
      <c r="N42" s="3" t="s">
        <v>5472</v>
      </c>
      <c r="O42" s="3" t="s">
        <v>5473</v>
      </c>
      <c r="P42" s="3" t="s">
        <v>5474</v>
      </c>
      <c r="Q42" s="3" t="s">
        <v>5476</v>
      </c>
      <c r="R42" s="3" t="s">
        <v>5477</v>
      </c>
      <c r="S42" s="3"/>
      <c r="T42" s="3"/>
      <c r="U42" s="3"/>
    </row>
    <row r="43" spans="1:21" x14ac:dyDescent="0.25">
      <c r="A43" s="21" t="s">
        <v>299</v>
      </c>
      <c r="B43" s="4" t="s">
        <v>5612</v>
      </c>
      <c r="C43" s="4" t="str">
        <f>IFERROR(INDEX('Projekt-Budget-Übersicht'!$C:$C,MATCH(251,'Projekt-Budget-Übersicht'!$L:$L,0)),"")</f>
        <v/>
      </c>
      <c r="D43" s="4">
        <v>6</v>
      </c>
      <c r="E43" s="4">
        <v>2</v>
      </c>
      <c r="F43" s="5">
        <f>SUM(F6,I6,K6)</f>
        <v>2</v>
      </c>
      <c r="G43" s="16">
        <v>33.33</v>
      </c>
      <c r="H43" s="5">
        <f>SUM(H6)</f>
        <v>0</v>
      </c>
      <c r="I43" s="5">
        <f t="shared" ref="I43:I52" si="8">IF(H43=0,0,F43-H43)</f>
        <v>0</v>
      </c>
      <c r="J43" s="4" t="s">
        <v>5531</v>
      </c>
      <c r="K43" s="5">
        <f>SUM(K6)</f>
        <v>0</v>
      </c>
      <c r="L43" s="10">
        <f>IF($B$2="-",0,IFERROR(INDEX(IF($B$2="SV",'Projekt-Budget-Übersicht'!$H:$H,IF($B$2="CAD",'Projekt-Budget-Übersicht'!$I:$I,IF($B$2="ADM",'Projekt-Budget-Übersicht'!$J:$J,'Projekt-Budget-Übersicht'!$H:$H))),MATCH(251,'Projekt-Budget-Übersicht'!$L:$L,0)),0))</f>
        <v>0</v>
      </c>
      <c r="M43" s="10">
        <f t="shared" ref="M43:M52" si="9">IF($B$2="-",0,IF(C43="Pauschale",IF(OR(Q43=0,N(D43)=0),0,MAX(0,MIN(Q43*((N(F43)+N(K43))/N(D43)),Q43-Q43*(N(E43)/N(D43))))),L43*(N(F43)+N(K43))))</f>
        <v>0</v>
      </c>
      <c r="N43" s="10">
        <f t="shared" ref="N43:N52" si="10">IF($B$2="-",0,IF(C43="Pauschale",IF(OR(Q43=0,N(D43)=0),0,Q43*((N(F43)+N(K43))/N(D43))),L43*(N(F43)+N(K43))))</f>
        <v>0</v>
      </c>
      <c r="O43" s="10">
        <f t="shared" ref="O43:O52" si="11">N43-M43</f>
        <v>0</v>
      </c>
      <c r="P43" s="10">
        <f>'M. Warner'!M43</f>
        <v>0</v>
      </c>
      <c r="Q43" s="10">
        <f>IFERROR(INDEX('Projekt-Budget-Übersicht'!$E:$E,MATCH(251,'Projekt-Budget-Übersicht'!$L:$L,0)),0)</f>
        <v>0</v>
      </c>
      <c r="R43" s="10"/>
      <c r="S43" s="4"/>
      <c r="T43" s="4"/>
      <c r="U43" s="4"/>
    </row>
    <row r="44" spans="1:21" x14ac:dyDescent="0.25">
      <c r="A44" s="22"/>
      <c r="B44" s="4" t="s">
        <v>5486</v>
      </c>
      <c r="C44" s="4" t="str">
        <f>IFERROR(INDEX('Projekt-Budget-Übersicht'!$C:$C,MATCH(250,'Projekt-Budget-Übersicht'!$L:$L,0)),"")</f>
        <v/>
      </c>
      <c r="D44" s="4">
        <v>6</v>
      </c>
      <c r="E44" s="4">
        <v>8.75</v>
      </c>
      <c r="F44" s="5">
        <f>SUM(F7,F22,I7,I22,K7,K22)</f>
        <v>8.25</v>
      </c>
      <c r="G44" s="15">
        <v>145.83000000000001</v>
      </c>
      <c r="H44" s="5">
        <f>SUM(H7,H22)</f>
        <v>0</v>
      </c>
      <c r="I44" s="5">
        <f t="shared" si="8"/>
        <v>0</v>
      </c>
      <c r="J44" s="4" t="s">
        <v>5531</v>
      </c>
      <c r="K44" s="5">
        <f>SUM(K7,K22)</f>
        <v>0</v>
      </c>
      <c r="L44" s="10">
        <f>IF($B$2="-",0,IFERROR(INDEX(IF($B$2="SV",'Projekt-Budget-Übersicht'!$H:$H,IF($B$2="CAD",'Projekt-Budget-Übersicht'!$I:$I,IF($B$2="ADM",'Projekt-Budget-Übersicht'!$J:$J,'Projekt-Budget-Übersicht'!$H:$H))),MATCH(250,'Projekt-Budget-Übersicht'!$L:$L,0)),0))</f>
        <v>0</v>
      </c>
      <c r="M44" s="10">
        <f t="shared" si="9"/>
        <v>0</v>
      </c>
      <c r="N44" s="10">
        <f t="shared" si="10"/>
        <v>0</v>
      </c>
      <c r="O44" s="10">
        <f t="shared" si="11"/>
        <v>0</v>
      </c>
      <c r="P44" s="10">
        <f>'M. Warner'!M44+'O. Haag BS-CAD'!M145</f>
        <v>0</v>
      </c>
      <c r="Q44" s="10">
        <f>IFERROR(INDEX('Projekt-Budget-Übersicht'!$E:$E,MATCH(250,'Projekt-Budget-Übersicht'!$L:$L,0)),0)</f>
        <v>0</v>
      </c>
      <c r="R44" s="10">
        <v>42.5</v>
      </c>
      <c r="S44" s="4"/>
      <c r="T44" s="4"/>
      <c r="U44" s="4"/>
    </row>
    <row r="45" spans="1:21" x14ac:dyDescent="0.25">
      <c r="A45" s="21" t="s">
        <v>879</v>
      </c>
      <c r="B45" s="4" t="s">
        <v>5546</v>
      </c>
      <c r="C45" s="4" t="str">
        <f>IFERROR(INDEX('Projekt-Budget-Übersicht'!$C:$C,MATCH(902,'Projekt-Budget-Übersicht'!$L:$L,0)),"")</f>
        <v/>
      </c>
      <c r="D45" s="4">
        <v>20</v>
      </c>
      <c r="E45" s="4">
        <v>12</v>
      </c>
      <c r="F45" s="5">
        <f>SUM(F23,I23,K23)</f>
        <v>12</v>
      </c>
      <c r="G45" s="16">
        <v>60</v>
      </c>
      <c r="H45" s="5">
        <f>SUM(H23)</f>
        <v>0</v>
      </c>
      <c r="I45" s="5">
        <f t="shared" si="8"/>
        <v>0</v>
      </c>
      <c r="J45" s="4" t="s">
        <v>5531</v>
      </c>
      <c r="K45" s="5">
        <f>SUM(K23)</f>
        <v>0</v>
      </c>
      <c r="L45" s="10">
        <f>IF($B$2="-",0,IFERROR(INDEX(IF($B$2="SV",'Projekt-Budget-Übersicht'!$H:$H,IF($B$2="CAD",'Projekt-Budget-Übersicht'!$I:$I,IF($B$2="ADM",'Projekt-Budget-Übersicht'!$J:$J,'Projekt-Budget-Übersicht'!$H:$H))),MATCH(902,'Projekt-Budget-Übersicht'!$L:$L,0)),0))</f>
        <v>0</v>
      </c>
      <c r="M45" s="10">
        <f t="shared" si="9"/>
        <v>0</v>
      </c>
      <c r="N45" s="10">
        <f t="shared" si="10"/>
        <v>0</v>
      </c>
      <c r="O45" s="10">
        <f t="shared" si="11"/>
        <v>0</v>
      </c>
      <c r="P45" s="10">
        <f>'M. Warner'!M45</f>
        <v>0</v>
      </c>
      <c r="Q45" s="10">
        <f>IFERROR(INDEX('Projekt-Budget-Übersicht'!$E:$E,MATCH(902,'Projekt-Budget-Übersicht'!$L:$L,0)),0)</f>
        <v>0</v>
      </c>
      <c r="R45" s="10"/>
      <c r="S45" s="4"/>
      <c r="T45" s="4"/>
      <c r="U45" s="4"/>
    </row>
    <row r="46" spans="1:21" x14ac:dyDescent="0.25">
      <c r="A46" s="22"/>
      <c r="B46" s="4" t="s">
        <v>5498</v>
      </c>
      <c r="C46" s="4" t="str">
        <f>IFERROR(INDEX('Projekt-Budget-Übersicht'!$C:$C,MATCH(899,'Projekt-Budget-Übersicht'!$L:$L,0)),"")</f>
        <v/>
      </c>
      <c r="D46" s="4">
        <v>230</v>
      </c>
      <c r="E46" s="4">
        <v>140.25</v>
      </c>
      <c r="F46" s="5">
        <f>SUM(F8,F24,I8,I24,K8,K24)</f>
        <v>110.75</v>
      </c>
      <c r="G46" s="16">
        <v>60.98</v>
      </c>
      <c r="H46" s="5">
        <f>SUM(H8,H24)</f>
        <v>0</v>
      </c>
      <c r="I46" s="5">
        <f t="shared" si="8"/>
        <v>0</v>
      </c>
      <c r="J46" s="4" t="s">
        <v>5531</v>
      </c>
      <c r="K46" s="5">
        <f>SUM(K8,K24)</f>
        <v>0</v>
      </c>
      <c r="L46" s="10">
        <f>IF($B$2="-",0,IFERROR(INDEX(IF($B$2="SV",'Projekt-Budget-Übersicht'!$H:$H,IF($B$2="CAD",'Projekt-Budget-Übersicht'!$I:$I,IF($B$2="ADM",'Projekt-Budget-Übersicht'!$J:$J,'Projekt-Budget-Übersicht'!$H:$H))),MATCH(899,'Projekt-Budget-Übersicht'!$L:$L,0)),0))</f>
        <v>0</v>
      </c>
      <c r="M46" s="10">
        <f t="shared" si="9"/>
        <v>0</v>
      </c>
      <c r="N46" s="10">
        <f t="shared" si="10"/>
        <v>0</v>
      </c>
      <c r="O46" s="10">
        <f t="shared" si="11"/>
        <v>0</v>
      </c>
      <c r="P46" s="10">
        <f>'A. Kokott'!M147+'M. Warner'!M46+'S. Schüler'!M148</f>
        <v>0</v>
      </c>
      <c r="Q46" s="10">
        <f>IFERROR(INDEX('Projekt-Budget-Übersicht'!$E:$E,MATCH(899,'Projekt-Budget-Übersicht'!$L:$L,0)),0)</f>
        <v>0</v>
      </c>
      <c r="R46" s="10"/>
      <c r="S46" s="4"/>
      <c r="T46" s="4"/>
      <c r="U46" s="4"/>
    </row>
    <row r="47" spans="1:21" x14ac:dyDescent="0.25">
      <c r="A47" s="4" t="s">
        <v>1403</v>
      </c>
      <c r="B47" s="4" t="s">
        <v>5486</v>
      </c>
      <c r="C47" s="4" t="str">
        <f>IFERROR(INDEX('Projekt-Budget-Übersicht'!$C:$C,MATCH(1544,'Projekt-Budget-Übersicht'!$L:$L,0)),"")</f>
        <v/>
      </c>
      <c r="D47" s="4">
        <v>6</v>
      </c>
      <c r="E47" s="4">
        <v>8.5</v>
      </c>
      <c r="F47" s="5">
        <f>SUM(F9,I9,K9)</f>
        <v>8.5</v>
      </c>
      <c r="G47" s="15">
        <v>141.66999999999999</v>
      </c>
      <c r="H47" s="5">
        <f>SUM(H9)</f>
        <v>0</v>
      </c>
      <c r="I47" s="5">
        <f t="shared" si="8"/>
        <v>0</v>
      </c>
      <c r="J47" s="4" t="s">
        <v>5531</v>
      </c>
      <c r="K47" s="5">
        <f>SUM(K9)</f>
        <v>0</v>
      </c>
      <c r="L47" s="10">
        <f>IF($B$2="-",0,IFERROR(INDEX(IF($B$2="SV",'Projekt-Budget-Übersicht'!$H:$H,IF($B$2="CAD",'Projekt-Budget-Übersicht'!$I:$I,IF($B$2="ADM",'Projekt-Budget-Übersicht'!$J:$J,'Projekt-Budget-Übersicht'!$H:$H))),MATCH(1544,'Projekt-Budget-Übersicht'!$L:$L,0)),0))</f>
        <v>0</v>
      </c>
      <c r="M47" s="10">
        <f t="shared" si="9"/>
        <v>0</v>
      </c>
      <c r="N47" s="10">
        <f t="shared" si="10"/>
        <v>0</v>
      </c>
      <c r="O47" s="10">
        <f t="shared" si="11"/>
        <v>0</v>
      </c>
      <c r="P47" s="10">
        <f>'M. Warner'!M47</f>
        <v>0</v>
      </c>
      <c r="Q47" s="10">
        <f>IFERROR(INDEX('Projekt-Budget-Übersicht'!$E:$E,MATCH(1544,'Projekt-Budget-Übersicht'!$L:$L,0)),0)</f>
        <v>0</v>
      </c>
      <c r="R47" s="10">
        <v>215</v>
      </c>
      <c r="S47" s="4"/>
      <c r="T47" s="4"/>
      <c r="U47" s="4"/>
    </row>
    <row r="48" spans="1:21" x14ac:dyDescent="0.25">
      <c r="A48" s="4" t="s">
        <v>1505</v>
      </c>
      <c r="B48" s="4" t="s">
        <v>5614</v>
      </c>
      <c r="C48" s="4" t="str">
        <f>IFERROR(INDEX('Projekt-Budget-Übersicht'!$C:$C,MATCH(1694,'Projekt-Budget-Übersicht'!$L:$L,0)),"")</f>
        <v/>
      </c>
      <c r="D48" s="4">
        <v>100</v>
      </c>
      <c r="E48" s="4">
        <v>47.5</v>
      </c>
      <c r="F48" s="5">
        <f>SUM(F25,I25,K25)</f>
        <v>0.75</v>
      </c>
      <c r="G48" s="16">
        <v>47.5</v>
      </c>
      <c r="H48" s="5">
        <f>SUM(H25)</f>
        <v>0</v>
      </c>
      <c r="I48" s="5">
        <f t="shared" si="8"/>
        <v>0</v>
      </c>
      <c r="J48" s="4" t="s">
        <v>5531</v>
      </c>
      <c r="K48" s="5">
        <f>SUM(K25)</f>
        <v>0</v>
      </c>
      <c r="L48" s="10">
        <f>IF($B$2="-",0,IFERROR(INDEX(IF($B$2="SV",'Projekt-Budget-Übersicht'!$H:$H,IF($B$2="CAD",'Projekt-Budget-Übersicht'!$I:$I,IF($B$2="ADM",'Projekt-Budget-Übersicht'!$J:$J,'Projekt-Budget-Übersicht'!$H:$H))),MATCH(1694,'Projekt-Budget-Übersicht'!$L:$L,0)),0))</f>
        <v>0</v>
      </c>
      <c r="M48" s="10">
        <f t="shared" si="9"/>
        <v>0</v>
      </c>
      <c r="N48" s="10">
        <f t="shared" si="10"/>
        <v>0</v>
      </c>
      <c r="O48" s="10">
        <f t="shared" si="11"/>
        <v>0</v>
      </c>
      <c r="P48" s="10">
        <f>'M. Warner'!M48+'O. Haag BS-CAD'!M160</f>
        <v>0</v>
      </c>
      <c r="Q48" s="10">
        <f>IFERROR(INDEX('Projekt-Budget-Übersicht'!$E:$E,MATCH(1694,'Projekt-Budget-Übersicht'!$L:$L,0)),0)</f>
        <v>0</v>
      </c>
      <c r="R48" s="10">
        <v>2337.5</v>
      </c>
      <c r="S48" s="4"/>
      <c r="T48" s="4"/>
      <c r="U48" s="4"/>
    </row>
    <row r="49" spans="1:21" x14ac:dyDescent="0.25">
      <c r="A49" s="4" t="s">
        <v>3158</v>
      </c>
      <c r="B49" s="4" t="s">
        <v>5498</v>
      </c>
      <c r="C49" s="4" t="str">
        <f>IFERROR(INDEX('Projekt-Budget-Übersicht'!$C:$C,MATCH(3395,'Projekt-Budget-Übersicht'!$L:$L,0)),"")</f>
        <v/>
      </c>
      <c r="D49" s="4">
        <v>10</v>
      </c>
      <c r="E49" s="4">
        <v>10.5</v>
      </c>
      <c r="F49" s="5">
        <f>SUM(F10,F26,I10,I26,K10,K26)</f>
        <v>10</v>
      </c>
      <c r="G49" s="15">
        <v>105</v>
      </c>
      <c r="H49" s="5">
        <f>SUM(H10,H26)</f>
        <v>0</v>
      </c>
      <c r="I49" s="5">
        <f t="shared" si="8"/>
        <v>0</v>
      </c>
      <c r="J49" s="4" t="s">
        <v>5531</v>
      </c>
      <c r="K49" s="5">
        <f>SUM(K10,K26)</f>
        <v>0</v>
      </c>
      <c r="L49" s="10">
        <f>IF($B$2="-",0,IFERROR(INDEX(IF($B$2="SV",'Projekt-Budget-Übersicht'!$H:$H,IF($B$2="CAD",'Projekt-Budget-Übersicht'!$I:$I,IF($B$2="ADM",'Projekt-Budget-Übersicht'!$J:$J,'Projekt-Budget-Übersicht'!$H:$H))),MATCH(3395,'Projekt-Budget-Übersicht'!$L:$L,0)),0))</f>
        <v>0</v>
      </c>
      <c r="M49" s="10">
        <f t="shared" si="9"/>
        <v>0</v>
      </c>
      <c r="N49" s="10">
        <f t="shared" si="10"/>
        <v>0</v>
      </c>
      <c r="O49" s="10">
        <f t="shared" si="11"/>
        <v>0</v>
      </c>
      <c r="P49" s="10">
        <f>'M. Warner'!M49+'T. Trautmann'!M145</f>
        <v>0</v>
      </c>
      <c r="Q49" s="10">
        <f>IFERROR(INDEX('Projekt-Budget-Übersicht'!$E:$E,MATCH(3395,'Projekt-Budget-Übersicht'!$L:$L,0)),0)</f>
        <v>0</v>
      </c>
      <c r="R49" s="10">
        <v>100</v>
      </c>
      <c r="S49" s="4"/>
      <c r="T49" s="4"/>
      <c r="U49" s="4"/>
    </row>
    <row r="50" spans="1:21" x14ac:dyDescent="0.25">
      <c r="A50" s="21" t="s">
        <v>5171</v>
      </c>
      <c r="B50" s="4" t="s">
        <v>5613</v>
      </c>
      <c r="C50" s="4" t="str">
        <f>IFERROR(INDEX('Projekt-Budget-Übersicht'!$C:$C,MATCH(5130,'Projekt-Budget-Übersicht'!$L:$L,0)),"")</f>
        <v/>
      </c>
      <c r="D50" s="4">
        <v>8</v>
      </c>
      <c r="E50" s="4">
        <v>3</v>
      </c>
      <c r="F50" s="5">
        <f>SUM(F11,I11,K11)</f>
        <v>3</v>
      </c>
      <c r="G50" s="16">
        <v>37.5</v>
      </c>
      <c r="H50" s="5">
        <f>SUM(H11)</f>
        <v>0</v>
      </c>
      <c r="I50" s="5">
        <f t="shared" si="8"/>
        <v>0</v>
      </c>
      <c r="J50" s="4" t="s">
        <v>5531</v>
      </c>
      <c r="K50" s="5">
        <f>SUM(K11)</f>
        <v>0</v>
      </c>
      <c r="L50" s="10">
        <f>IF($B$2="-",0,IFERROR(INDEX(IF($B$2="SV",'Projekt-Budget-Übersicht'!$H:$H,IF($B$2="CAD",'Projekt-Budget-Übersicht'!$I:$I,IF($B$2="ADM",'Projekt-Budget-Übersicht'!$J:$J,'Projekt-Budget-Übersicht'!$H:$H))),MATCH(5130,'Projekt-Budget-Übersicht'!$L:$L,0)),0))</f>
        <v>0</v>
      </c>
      <c r="M50" s="10">
        <f t="shared" si="9"/>
        <v>0</v>
      </c>
      <c r="N50" s="10">
        <f t="shared" si="10"/>
        <v>0</v>
      </c>
      <c r="O50" s="10">
        <f t="shared" si="11"/>
        <v>0</v>
      </c>
      <c r="P50" s="10">
        <f>'M. Warner'!M50</f>
        <v>0</v>
      </c>
      <c r="Q50" s="10">
        <f>IFERROR(INDEX('Projekt-Budget-Übersicht'!$E:$E,MATCH(5130,'Projekt-Budget-Übersicht'!$L:$L,0)),0)</f>
        <v>0</v>
      </c>
      <c r="R50" s="10"/>
      <c r="S50" s="4"/>
      <c r="T50" s="4"/>
      <c r="U50" s="4"/>
    </row>
    <row r="51" spans="1:21" x14ac:dyDescent="0.25">
      <c r="A51" s="22"/>
      <c r="B51" s="4" t="s">
        <v>5486</v>
      </c>
      <c r="C51" s="4" t="str">
        <f>IFERROR(INDEX('Projekt-Budget-Übersicht'!$C:$C,MATCH(5129,'Projekt-Budget-Übersicht'!$L:$L,0)),"")</f>
        <v/>
      </c>
      <c r="D51" s="4">
        <v>35</v>
      </c>
      <c r="E51" s="4">
        <v>26</v>
      </c>
      <c r="F51" s="5">
        <f>SUM(F12,F27,I12,I27,K12,K27)</f>
        <v>18.5</v>
      </c>
      <c r="G51" s="16">
        <v>74.290000000000006</v>
      </c>
      <c r="H51" s="5">
        <f>SUM(H12,H27)</f>
        <v>0</v>
      </c>
      <c r="I51" s="5">
        <f t="shared" si="8"/>
        <v>0</v>
      </c>
      <c r="J51" s="4" t="s">
        <v>5531</v>
      </c>
      <c r="K51" s="5">
        <f>SUM(K12,K27)</f>
        <v>0</v>
      </c>
      <c r="L51" s="10">
        <f>IF($B$2="-",0,IFERROR(INDEX(IF($B$2="SV",'Projekt-Budget-Übersicht'!$H:$H,IF($B$2="CAD",'Projekt-Budget-Übersicht'!$I:$I,IF($B$2="ADM",'Projekt-Budget-Übersicht'!$J:$J,'Projekt-Budget-Übersicht'!$H:$H))),MATCH(5129,'Projekt-Budget-Übersicht'!$L:$L,0)),0))</f>
        <v>0</v>
      </c>
      <c r="M51" s="10">
        <f t="shared" si="9"/>
        <v>0</v>
      </c>
      <c r="N51" s="10">
        <f t="shared" si="10"/>
        <v>0</v>
      </c>
      <c r="O51" s="10">
        <f t="shared" si="11"/>
        <v>0</v>
      </c>
      <c r="P51" s="10">
        <f>'M. Warner'!M51+'O. Haag BS-CAD'!M214</f>
        <v>0</v>
      </c>
      <c r="Q51" s="10">
        <f>IFERROR(INDEX('Projekt-Budget-Übersicht'!$E:$E,MATCH(5129,'Projekt-Budget-Übersicht'!$L:$L,0)),0)</f>
        <v>0</v>
      </c>
      <c r="R51" s="10">
        <v>375</v>
      </c>
      <c r="S51" s="4"/>
      <c r="T51" s="4"/>
      <c r="U51" s="4"/>
    </row>
    <row r="52" spans="1:21" x14ac:dyDescent="0.25">
      <c r="A52" s="4" t="s">
        <v>5215</v>
      </c>
      <c r="B52" s="4" t="s">
        <v>5486</v>
      </c>
      <c r="C52" s="4" t="str">
        <f>IFERROR(INDEX('Projekt-Budget-Übersicht'!$C:$C,MATCH(5170,'Projekt-Budget-Übersicht'!$L:$L,0)),"")</f>
        <v/>
      </c>
      <c r="D52" s="4">
        <v>58</v>
      </c>
      <c r="E52" s="4">
        <v>27.25</v>
      </c>
      <c r="F52" s="5">
        <f>SUM(F13,F28,I13,I28,K13,K28)</f>
        <v>13.5</v>
      </c>
      <c r="G52" s="16">
        <v>46.98</v>
      </c>
      <c r="H52" s="5">
        <f>SUM(H13,H28)</f>
        <v>0</v>
      </c>
      <c r="I52" s="5">
        <f t="shared" si="8"/>
        <v>0</v>
      </c>
      <c r="J52" s="4" t="s">
        <v>5531</v>
      </c>
      <c r="K52" s="5">
        <f>SUM(K13,K28)</f>
        <v>0</v>
      </c>
      <c r="L52" s="10">
        <f>IF($B$2="-",0,IFERROR(INDEX(IF($B$2="SV",'Projekt-Budget-Übersicht'!$H:$H,IF($B$2="CAD",'Projekt-Budget-Übersicht'!$I:$I,IF($B$2="ADM",'Projekt-Budget-Übersicht'!$J:$J,'Projekt-Budget-Übersicht'!$H:$H))),MATCH(5170,'Projekt-Budget-Übersicht'!$L:$L,0)),0))</f>
        <v>0</v>
      </c>
      <c r="M52" s="10">
        <f t="shared" si="9"/>
        <v>0</v>
      </c>
      <c r="N52" s="10">
        <f t="shared" si="10"/>
        <v>0</v>
      </c>
      <c r="O52" s="10">
        <f t="shared" si="11"/>
        <v>0</v>
      </c>
      <c r="P52" s="10">
        <f>'M. Warner'!M52+'O. Haag BS-CAD'!M216</f>
        <v>0</v>
      </c>
      <c r="Q52" s="10">
        <f>IFERROR(INDEX('Projekt-Budget-Übersicht'!$E:$E,MATCH(5170,'Projekt-Budget-Übersicht'!$L:$L,0)),0)</f>
        <v>0</v>
      </c>
      <c r="R52" s="10"/>
      <c r="S52" s="4"/>
      <c r="T52" s="4"/>
      <c r="U52" s="4"/>
    </row>
    <row r="54" spans="1:21" x14ac:dyDescent="0.25">
      <c r="A54" s="3"/>
      <c r="B54" s="3" t="s">
        <v>5492</v>
      </c>
      <c r="C54" s="3"/>
      <c r="D54" s="3"/>
      <c r="E54" s="3"/>
      <c r="F54" s="6">
        <f>SUM(F14,F29)</f>
        <v>187.25</v>
      </c>
      <c r="G54" s="3"/>
      <c r="H54" s="3"/>
      <c r="I54" s="3"/>
      <c r="J54" s="3"/>
      <c r="K54" s="3"/>
      <c r="L54" s="3"/>
      <c r="M54" s="17">
        <f>SUM(M43:M52)</f>
        <v>0</v>
      </c>
      <c r="N54" s="17">
        <f>SUM(N43:N52)</f>
        <v>0</v>
      </c>
      <c r="O54" s="17">
        <f>SUM(O43:O52)</f>
        <v>0</v>
      </c>
      <c r="P54" s="17">
        <f>SUM(P43:P52)</f>
        <v>0</v>
      </c>
      <c r="Q54" s="3"/>
      <c r="R54" s="3"/>
      <c r="S54" s="3"/>
      <c r="T54" s="3"/>
      <c r="U54" s="3"/>
    </row>
    <row r="55" spans="1:21" x14ac:dyDescent="0.25">
      <c r="A55" s="3"/>
      <c r="B55" s="3" t="s">
        <v>4</v>
      </c>
      <c r="C55" s="3"/>
      <c r="D55" s="3"/>
      <c r="E55" s="3"/>
      <c r="F55" s="6">
        <f>G55+H55</f>
        <v>169.5</v>
      </c>
      <c r="G55" s="6">
        <f>SUM(G15,G30)</f>
        <v>169.5</v>
      </c>
      <c r="H55" s="6">
        <v>0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1:21" x14ac:dyDescent="0.25">
      <c r="A56" s="3"/>
      <c r="B56" s="3" t="s">
        <v>5</v>
      </c>
      <c r="C56" s="3"/>
      <c r="D56" s="3"/>
      <c r="E56" s="3"/>
      <c r="F56" s="6">
        <f>G56+H56</f>
        <v>0</v>
      </c>
      <c r="G56" s="6">
        <f>SUM(G16,G31)</f>
        <v>0</v>
      </c>
      <c r="H56" s="6">
        <v>0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1:21" x14ac:dyDescent="0.25">
      <c r="A57" s="3"/>
      <c r="B57" s="3" t="s">
        <v>5493</v>
      </c>
      <c r="C57" s="3"/>
      <c r="D57" s="3"/>
      <c r="E57" s="3"/>
      <c r="F57" s="6">
        <f>SUM(F17,F32)</f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1:21" x14ac:dyDescent="0.25">
      <c r="A58" s="18"/>
      <c r="B58" s="18" t="s">
        <v>5494</v>
      </c>
      <c r="C58" s="18"/>
      <c r="D58" s="18"/>
      <c r="E58" s="18"/>
      <c r="F58" s="19">
        <f>F55+F56+F57</f>
        <v>169.5</v>
      </c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</row>
    <row r="60" spans="1:21" ht="15.75" x14ac:dyDescent="0.25">
      <c r="A60" s="2" t="s">
        <v>5532</v>
      </c>
    </row>
    <row r="61" spans="1:21" x14ac:dyDescent="0.25">
      <c r="A61" s="13" t="s">
        <v>10</v>
      </c>
      <c r="B61" s="13">
        <v>187.25</v>
      </c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1:21" x14ac:dyDescent="0.25">
      <c r="A62" s="13" t="s">
        <v>11</v>
      </c>
      <c r="B62" s="20">
        <f>SUM(F15,F30)</f>
        <v>169.5</v>
      </c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1:21" x14ac:dyDescent="0.25">
      <c r="A63" s="13" t="s">
        <v>12</v>
      </c>
      <c r="B63" s="20">
        <f>SUM(F16,F31)</f>
        <v>0</v>
      </c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</row>
  </sheetData>
  <mergeCells count="6">
    <mergeCell ref="A43:A44"/>
    <mergeCell ref="A45:A46"/>
    <mergeCell ref="A23:A24"/>
    <mergeCell ref="A6:A7"/>
    <mergeCell ref="A50:A51"/>
    <mergeCell ref="A11:A12"/>
  </mergeCells>
  <conditionalFormatting sqref="I6:I13">
    <cfRule type="cellIs" dxfId="33" priority="1" stopIfTrue="1" operator="lessThan">
      <formula>0</formula>
    </cfRule>
  </conditionalFormatting>
  <conditionalFormatting sqref="I22:I28">
    <cfRule type="cellIs" dxfId="32" priority="9" stopIfTrue="1" operator="lessThan">
      <formula>0</formula>
    </cfRule>
  </conditionalFormatting>
  <conditionalFormatting sqref="I43:I52">
    <cfRule type="cellIs" dxfId="31" priority="16" stopIfTrue="1" operator="lessThan">
      <formula>0</formula>
    </cfRule>
  </conditionalFormatting>
  <dataValidations count="5">
    <dataValidation type="list" sqref="B2" xr:uid="{00000000-0002-0000-0C00-000000000000}">
      <formula1>"SV,CAD,ADM,Pauschale,-"</formula1>
    </dataValidation>
    <dataValidation type="list" allowBlank="1" sqref="T22:T28 T6:T13" xr:uid="{00000000-0002-0000-0C00-000001000000}">
      <formula1>"SR,AZ"</formula1>
    </dataValidation>
    <dataValidation type="list" allowBlank="1" sqref="J8 J24" xr:uid="{00000000-0002-0000-0C00-000003000000}">
      <formula1>"A. Kokott,S. Schüler"</formula1>
    </dataValidation>
    <dataValidation type="list" allowBlank="1" sqref="J10" xr:uid="{00000000-0002-0000-0C00-000006000000}">
      <formula1>"T. Trautmann"</formula1>
    </dataValidation>
    <dataValidation type="list" allowBlank="1" sqref="J12:J13" xr:uid="{00000000-0002-0000-0C00-000009000000}">
      <formula1>"O. Haag BS-CAD"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U227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5615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61</v>
      </c>
      <c r="B6" s="4" t="s">
        <v>5480</v>
      </c>
      <c r="C6" s="4" t="str">
        <f>IFERROR(INDEX('Projekt-Budget-Übersicht'!$C:$C,MATCH(10,'Projekt-Budget-Übersicht'!$L:$L,0)),"")</f>
        <v/>
      </c>
      <c r="D6" s="4">
        <v>8</v>
      </c>
      <c r="E6" s="4">
        <v>5</v>
      </c>
      <c r="F6" s="4">
        <v>5</v>
      </c>
      <c r="G6" s="16">
        <v>62.5</v>
      </c>
      <c r="H6" s="5"/>
      <c r="I6" s="5">
        <f t="shared" ref="I6:I42" si="0">IF(H6=0,0,F6-H6)</f>
        <v>0</v>
      </c>
      <c r="J6" s="4"/>
      <c r="K6" s="5">
        <f>IF('A. Kokott'!J6="O. Haag BS-CAD",'A. Kokott'!I6,0)+IF('D. Brucker'!J6="O. Haag BS-CAD",'D. Brucker'!I6,0)+IF('E. Bieler'!J6="O. Haag BS-CAD",'E. Bieler'!I6,0)+IF('J. Dorchies'!J6="O. Haag BS-CAD",'J. Dorchies'!I6,0)+IF('S. Schüler'!J6="O. Haag BS-CAD",'S. Schüler'!I6,0)+IF('T. Trautmann'!J6="O. Haag BS-CAD",'T. Trautmann'!I6,0)+IF('U. Sutter ADM'!J6="O. Haag BS-CAD",'U.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42" si="1">IF($B$2="-",0,IF(C6="Pauschale",IF(OR(R6=0,N(D6)=0),0,MAX(0,MIN(R6*((N(F6)+N(K6))/N(D6)),R6-R6*(N(E6)/N(D6))))),L6*(N(F6)+N(K6))))</f>
        <v>0</v>
      </c>
      <c r="N6" s="10">
        <f t="shared" ref="N6:N42" si="2">IF($B$2="-",0,IF(C6="Pauschale",IF(OR(R6=0,N(D6)=0),0,R6*((N(F6)+N(K6))/N(D6))),L6*(N(F6)+N(K6))))</f>
        <v>0</v>
      </c>
      <c r="O6" s="10">
        <f t="shared" ref="O6:O42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4" t="s">
        <v>299</v>
      </c>
      <c r="B7" s="4" t="s">
        <v>5486</v>
      </c>
      <c r="C7" s="4" t="str">
        <f>IFERROR(INDEX('Projekt-Budget-Übersicht'!$C:$C,MATCH(250,'Projekt-Budget-Übersicht'!$L:$L,0)),"")</f>
        <v/>
      </c>
      <c r="D7" s="4">
        <v>6</v>
      </c>
      <c r="E7" s="4">
        <v>0.5</v>
      </c>
      <c r="F7" s="4">
        <v>0.5</v>
      </c>
      <c r="G7" s="16">
        <v>8.33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IF($B$2="-",0,IFERROR(INDEX(IF($B$2="SV",'Projekt-Budget-Übersicht'!$I:$I,IF($B$2="CAD",'Projekt-Budget-Übersicht'!$J:$J,IF($B$2="ADM",'Projekt-Budget-Übersicht'!$K:$K,'Projekt-Budget-Übersicht'!$I:$I))),MATCH(250,'Projekt-Budget-Übersicht'!$M:$M,0)),0))</f>
        <v>85.714285714285708</v>
      </c>
      <c r="M7" s="10">
        <f t="shared" si="1"/>
        <v>42.857142857142854</v>
      </c>
      <c r="N7" s="10">
        <f t="shared" si="2"/>
        <v>42.857142857142854</v>
      </c>
      <c r="O7" s="10">
        <f t="shared" si="3"/>
        <v>0</v>
      </c>
      <c r="P7" s="10">
        <f>'O. Haag BS-CAD'!M7</f>
        <v>42.857142857142854</v>
      </c>
      <c r="Q7" s="10">
        <v>7</v>
      </c>
      <c r="R7" s="10">
        <f>IFERROR(INDEX('Projekt-Budget-Übersicht'!$F:$F,MATCH(250,'Projekt-Budget-Übersicht'!$L:$L,0)),0)</f>
        <v>0</v>
      </c>
      <c r="S7" s="10">
        <v>42.5</v>
      </c>
      <c r="T7" s="4"/>
      <c r="U7" s="4"/>
    </row>
    <row r="8" spans="1:21" x14ac:dyDescent="0.25">
      <c r="A8" s="4" t="s">
        <v>603</v>
      </c>
      <c r="B8" s="4" t="s">
        <v>5502</v>
      </c>
      <c r="C8" s="4" t="str">
        <f>IFERROR(INDEX('Projekt-Budget-Übersicht'!$C:$C,MATCH(620,'Projekt-Budget-Übersicht'!$L:$L,0)),"")</f>
        <v/>
      </c>
      <c r="D8" s="4">
        <v>60</v>
      </c>
      <c r="E8" s="4">
        <v>35.25</v>
      </c>
      <c r="F8" s="4">
        <v>2.5</v>
      </c>
      <c r="G8" s="16">
        <v>58.75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IF($B$2="-",0,IFERROR(INDEX(IF($B$2="SV",'Projekt-Budget-Übersicht'!$I:$I,IF($B$2="CAD",'Projekt-Budget-Übersicht'!$J:$J,IF($B$2="ADM",'Projekt-Budget-Übersicht'!$K:$K,'Projekt-Budget-Übersicht'!$I:$I))),MATCH(620,'Projekt-Budget-Übersicht'!$M:$M,0)),0))</f>
        <v>107.8125</v>
      </c>
      <c r="M8" s="10">
        <f t="shared" si="1"/>
        <v>269.53125</v>
      </c>
      <c r="N8" s="10">
        <f t="shared" si="2"/>
        <v>269.53125</v>
      </c>
      <c r="O8" s="10">
        <f t="shared" si="3"/>
        <v>0</v>
      </c>
      <c r="P8" s="10">
        <f>'O. Haag BS-CAD'!M8</f>
        <v>269.53125</v>
      </c>
      <c r="Q8" s="10">
        <v>141</v>
      </c>
      <c r="R8" s="10">
        <f>IFERROR(INDEX('Projekt-Budget-Übersicht'!$F:$F,MATCH(620,'Projekt-Budget-Übersicht'!$L:$L,0)),0)</f>
        <v>0</v>
      </c>
      <c r="S8" s="10">
        <v>6353.75</v>
      </c>
      <c r="T8" s="4"/>
      <c r="U8" s="4"/>
    </row>
    <row r="9" spans="1:21" x14ac:dyDescent="0.25">
      <c r="A9" s="4" t="s">
        <v>636</v>
      </c>
      <c r="B9" s="4" t="s">
        <v>5486</v>
      </c>
      <c r="C9" s="4" t="str">
        <f>IFERROR(INDEX('Projekt-Budget-Übersicht'!$C:$C,MATCH(641,'Projekt-Budget-Übersicht'!$L:$L,0)),"")</f>
        <v/>
      </c>
      <c r="D9" s="4">
        <v>6</v>
      </c>
      <c r="E9" s="4">
        <v>4.75</v>
      </c>
      <c r="F9" s="4">
        <v>4.75</v>
      </c>
      <c r="G9" s="16">
        <v>79.17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124.0740740740741</v>
      </c>
      <c r="M9" s="10">
        <f t="shared" si="1"/>
        <v>589.35185185185196</v>
      </c>
      <c r="N9" s="10">
        <f t="shared" si="2"/>
        <v>589.35185185185196</v>
      </c>
      <c r="O9" s="10">
        <f t="shared" si="3"/>
        <v>0</v>
      </c>
      <c r="P9" s="10">
        <f>'O. Haag BS-CAD'!M9</f>
        <v>589.35185185185196</v>
      </c>
      <c r="Q9" s="10">
        <v>27</v>
      </c>
      <c r="R9" s="10">
        <f>IFERROR(INDEX('Projekt-Budget-Übersicht'!$F:$F,MATCH(641,'Projekt-Budget-Übersicht'!$L:$L,0)),0)</f>
        <v>0</v>
      </c>
      <c r="S9" s="10">
        <v>2546.65</v>
      </c>
      <c r="T9" s="4"/>
      <c r="U9" s="4"/>
    </row>
    <row r="10" spans="1:21" x14ac:dyDescent="0.25">
      <c r="A10" s="4" t="s">
        <v>653</v>
      </c>
      <c r="B10" s="4" t="s">
        <v>5486</v>
      </c>
      <c r="C10" s="4" t="str">
        <f>IFERROR(INDEX('Projekt-Budget-Übersicht'!$C:$C,MATCH(660,'Projekt-Budget-Übersicht'!$L:$L,0)),"")</f>
        <v/>
      </c>
      <c r="D10" s="4">
        <v>13</v>
      </c>
      <c r="E10" s="4">
        <v>5.5</v>
      </c>
      <c r="F10" s="4">
        <v>0.25</v>
      </c>
      <c r="G10" s="16">
        <v>42.31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IF($B$2="-",0,IFERROR(INDEX(IF($B$2="SV",'Projekt-Budget-Übersicht'!$I:$I,IF($B$2="CAD",'Projekt-Budget-Übersicht'!$J:$J,IF($B$2="ADM",'Projekt-Budget-Übersicht'!$K:$K,'Projekt-Budget-Übersicht'!$I:$I))),MATCH(660,'Projekt-Budget-Übersicht'!$M:$M,0)),0))</f>
        <v>83.333333333333329</v>
      </c>
      <c r="M10" s="10">
        <f t="shared" si="1"/>
        <v>20.833333333333332</v>
      </c>
      <c r="N10" s="10">
        <f t="shared" si="2"/>
        <v>20.833333333333332</v>
      </c>
      <c r="O10" s="10">
        <f t="shared" si="3"/>
        <v>0</v>
      </c>
      <c r="P10" s="10">
        <f>'O. Haag BS-CAD'!M10</f>
        <v>20.833333333333332</v>
      </c>
      <c r="Q10" s="10">
        <v>6</v>
      </c>
      <c r="R10" s="10">
        <f>IFERROR(INDEX('Projekt-Budget-Übersicht'!$F:$F,MATCH(660,'Projekt-Budget-Übersicht'!$L:$L,0)),0)</f>
        <v>0</v>
      </c>
      <c r="S10" s="10"/>
      <c r="T10" s="4"/>
      <c r="U10" s="4"/>
    </row>
    <row r="11" spans="1:21" x14ac:dyDescent="0.25">
      <c r="A11" s="4" t="s">
        <v>865</v>
      </c>
      <c r="B11" s="4" t="s">
        <v>5502</v>
      </c>
      <c r="C11" s="4" t="str">
        <f>IFERROR(INDEX('Projekt-Budget-Übersicht'!$C:$C,MATCH(890,'Projekt-Budget-Übersicht'!$L:$L,0)),"")</f>
        <v/>
      </c>
      <c r="D11" s="4">
        <v>26.5</v>
      </c>
      <c r="E11" s="4">
        <v>32.75</v>
      </c>
      <c r="F11" s="4">
        <v>0.5</v>
      </c>
      <c r="G11" s="15">
        <v>123.58</v>
      </c>
      <c r="H11" s="5"/>
      <c r="I11" s="5">
        <f t="shared" si="0"/>
        <v>0</v>
      </c>
      <c r="J11" s="4"/>
      <c r="K11" s="5">
        <f>IF('S. Schüler'!J12="O. Haag BS-CAD",'S. Schüler'!I12,0)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'O. Haag BS-CAD'!M11+'S. Schüler'!M12</f>
        <v>0</v>
      </c>
      <c r="Q11" s="10">
        <v>63</v>
      </c>
      <c r="R11" s="10">
        <f>IFERROR(INDEX('Projekt-Budget-Übersicht'!$F:$F,MATCH(890,'Projekt-Budget-Übersicht'!$L:$L,0)),0)</f>
        <v>0</v>
      </c>
      <c r="S11" s="10">
        <v>7717.86</v>
      </c>
      <c r="T11" s="4"/>
      <c r="U11" s="4"/>
    </row>
    <row r="12" spans="1:21" x14ac:dyDescent="0.25">
      <c r="A12" s="4" t="s">
        <v>5616</v>
      </c>
      <c r="B12" s="4" t="s">
        <v>5617</v>
      </c>
      <c r="C12" s="4" t="s">
        <v>50</v>
      </c>
      <c r="D12" s="4">
        <v>0</v>
      </c>
      <c r="E12" s="4">
        <v>-0.75</v>
      </c>
      <c r="F12" s="4">
        <v>0.5</v>
      </c>
      <c r="G12" s="4">
        <v>0</v>
      </c>
      <c r="H12" s="5"/>
      <c r="I12" s="5">
        <f t="shared" si="0"/>
        <v>0</v>
      </c>
      <c r="J12" s="4"/>
      <c r="K12" s="5">
        <v>0</v>
      </c>
      <c r="L12" s="10">
        <f>IF($B$2="-",0,0)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'O. Haag BS-CAD'!M12</f>
        <v>0</v>
      </c>
      <c r="Q12" s="10"/>
      <c r="R12" s="10">
        <f>0</f>
        <v>0</v>
      </c>
      <c r="S12" s="10"/>
      <c r="T12" s="4"/>
      <c r="U12" s="4"/>
    </row>
    <row r="13" spans="1:21" x14ac:dyDescent="0.25">
      <c r="A13" s="4" t="s">
        <v>1074</v>
      </c>
      <c r="B13" s="4" t="s">
        <v>5502</v>
      </c>
      <c r="C13" s="4" t="str">
        <f>IFERROR(INDEX('Projekt-Budget-Übersicht'!$C:$C,MATCH(1096,'Projekt-Budget-Übersicht'!$L:$L,0)),"")</f>
        <v/>
      </c>
      <c r="D13" s="4">
        <v>24</v>
      </c>
      <c r="E13" s="4">
        <v>46.5</v>
      </c>
      <c r="F13" s="4">
        <v>0.5</v>
      </c>
      <c r="G13" s="15">
        <v>193.75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IF($B$2="-",0,IFERROR(INDEX(IF($B$2="SV",'Projekt-Budget-Übersicht'!$I:$I,IF($B$2="CAD",'Projekt-Budget-Übersicht'!$J:$J,IF($B$2="ADM",'Projekt-Budget-Übersicht'!$K:$K,'Projekt-Budget-Übersicht'!$I:$I))),MATCH(1096,'Projekt-Budget-Übersicht'!$M:$M,0)),0))</f>
        <v>113.7719298245614</v>
      </c>
      <c r="M13" s="10">
        <f t="shared" si="1"/>
        <v>56.885964912280699</v>
      </c>
      <c r="N13" s="10">
        <f t="shared" si="2"/>
        <v>56.885964912280699</v>
      </c>
      <c r="O13" s="10">
        <f t="shared" si="3"/>
        <v>0</v>
      </c>
      <c r="P13" s="10">
        <f>'O. Haag BS-CAD'!M13</f>
        <v>56.885964912280699</v>
      </c>
      <c r="Q13" s="10">
        <v>114</v>
      </c>
      <c r="R13" s="10">
        <f>IFERROR(INDEX('Projekt-Budget-Übersicht'!$F:$F,MATCH(1096,'Projekt-Budget-Übersicht'!$L:$L,0)),0)</f>
        <v>0</v>
      </c>
      <c r="S13" s="10">
        <v>8402.5</v>
      </c>
      <c r="T13" s="4"/>
      <c r="U13" s="4"/>
    </row>
    <row r="14" spans="1:21" x14ac:dyDescent="0.25">
      <c r="A14" s="4" t="s">
        <v>1312</v>
      </c>
      <c r="B14" s="4" t="s">
        <v>5618</v>
      </c>
      <c r="C14" s="4" t="str">
        <f>IFERROR(INDEX('Projekt-Budget-Übersicht'!$C:$C,MATCH(1421,'Projekt-Budget-Übersicht'!$L:$L,0)),"")</f>
        <v/>
      </c>
      <c r="D14" s="4">
        <v>14</v>
      </c>
      <c r="E14" s="4">
        <v>11.25</v>
      </c>
      <c r="F14" s="4">
        <v>0.25</v>
      </c>
      <c r="G14" s="16">
        <v>80.36</v>
      </c>
      <c r="H14" s="5"/>
      <c r="I14" s="5">
        <f t="shared" si="0"/>
        <v>0</v>
      </c>
      <c r="J14" s="4"/>
      <c r="K14" s="5"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IF($B$2="-",0,IFERROR(INDEX(IF($B$2="SV",'Projekt-Budget-Übersicht'!$I:$I,IF($B$2="CAD",'Projekt-Budget-Übersicht'!$J:$J,IF($B$2="ADM",'Projekt-Budget-Übersicht'!$K:$K,'Projekt-Budget-Übersicht'!$I:$I))),MATCH(1421,'Projekt-Budget-Übersicht'!$M:$M,0)),0))</f>
        <v>82.142857142857139</v>
      </c>
      <c r="M14" s="10">
        <f t="shared" si="1"/>
        <v>20.535714285714285</v>
      </c>
      <c r="N14" s="10">
        <f t="shared" si="2"/>
        <v>20.535714285714285</v>
      </c>
      <c r="O14" s="10">
        <f t="shared" si="3"/>
        <v>0</v>
      </c>
      <c r="P14" s="10">
        <f>'O. Haag BS-CAD'!M14</f>
        <v>20.535714285714285</v>
      </c>
      <c r="Q14" s="10">
        <v>14</v>
      </c>
      <c r="R14" s="10">
        <f>IFERROR(INDEX('Projekt-Budget-Übersicht'!$F:$F,MATCH(1421,'Projekt-Budget-Übersicht'!$L:$L,0)),0)</f>
        <v>0</v>
      </c>
      <c r="S14" s="10">
        <v>562.5</v>
      </c>
      <c r="T14" s="4"/>
      <c r="U14" s="4"/>
    </row>
    <row r="15" spans="1:21" x14ac:dyDescent="0.25">
      <c r="A15" s="4" t="s">
        <v>1367</v>
      </c>
      <c r="B15" s="4" t="s">
        <v>5486</v>
      </c>
      <c r="C15" s="4" t="s">
        <v>50</v>
      </c>
      <c r="D15" s="4">
        <v>0</v>
      </c>
      <c r="E15" s="4">
        <v>-2</v>
      </c>
      <c r="F15" s="4">
        <v>5.25</v>
      </c>
      <c r="G15" s="4">
        <v>0</v>
      </c>
      <c r="H15" s="5"/>
      <c r="I15" s="5">
        <f t="shared" si="0"/>
        <v>0</v>
      </c>
      <c r="J15" s="4"/>
      <c r="K15" s="5">
        <v>0</v>
      </c>
      <c r="L15" s="10">
        <f>IF($B$2="-",0,0)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'O. Haag BS-CAD'!M15</f>
        <v>0</v>
      </c>
      <c r="Q15" s="10"/>
      <c r="R15" s="10">
        <f>0</f>
        <v>0</v>
      </c>
      <c r="S15" s="10"/>
      <c r="T15" s="4"/>
      <c r="U15" s="4"/>
    </row>
    <row r="16" spans="1:21" x14ac:dyDescent="0.25">
      <c r="A16" s="4" t="s">
        <v>1429</v>
      </c>
      <c r="B16" s="4" t="s">
        <v>5504</v>
      </c>
      <c r="C16" s="4" t="str">
        <f>IFERROR(INDEX('Projekt-Budget-Übersicht'!$C:$C,MATCH(1573,'Projekt-Budget-Übersicht'!$L:$L,0)),"")</f>
        <v/>
      </c>
      <c r="D16" s="4">
        <v>85</v>
      </c>
      <c r="E16" s="4">
        <v>47.25</v>
      </c>
      <c r="F16" s="4">
        <v>0.5</v>
      </c>
      <c r="G16" s="16">
        <v>55.59</v>
      </c>
      <c r="H16" s="5"/>
      <c r="I16" s="5">
        <f t="shared" si="0"/>
        <v>0</v>
      </c>
      <c r="J16" s="4"/>
      <c r="K16" s="5">
        <f>IF('T. Trautmann'!J14="O. Haag BS-CAD",'T. Trautmann'!I14,0)</f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'O. Haag BS-CAD'!M16+'T. Trautmann'!M14</f>
        <v>0</v>
      </c>
      <c r="Q16" s="10">
        <v>599.5</v>
      </c>
      <c r="R16" s="10">
        <f>IFERROR(INDEX('Projekt-Budget-Übersicht'!$F:$F,MATCH(1573,'Projekt-Budget-Übersicht'!$L:$L,0)),0)</f>
        <v>0</v>
      </c>
      <c r="S16" s="10">
        <v>26345</v>
      </c>
      <c r="T16" s="4"/>
      <c r="U16" s="4"/>
    </row>
    <row r="17" spans="1:21" x14ac:dyDescent="0.25">
      <c r="A17" s="4" t="s">
        <v>1497</v>
      </c>
      <c r="B17" s="4" t="s">
        <v>5619</v>
      </c>
      <c r="C17" s="4" t="str">
        <f>IFERROR(INDEX('Projekt-Budget-Übersicht'!$C:$C,MATCH(1685,'Projekt-Budget-Übersicht'!$L:$L,0)),"")</f>
        <v/>
      </c>
      <c r="D17" s="4">
        <v>40</v>
      </c>
      <c r="E17" s="4">
        <v>68.25</v>
      </c>
      <c r="F17" s="4">
        <v>1.5</v>
      </c>
      <c r="G17" s="15">
        <v>170.62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IF($B$2="-",0,IFERROR(INDEX(IF($B$2="SV",'Projekt-Budget-Übersicht'!$I:$I,IF($B$2="CAD",'Projekt-Budget-Übersicht'!$J:$J,IF($B$2="ADM",'Projekt-Budget-Übersicht'!$K:$K,'Projekt-Budget-Übersicht'!$I:$I))),MATCH(1685,'Projekt-Budget-Übersicht'!$M:$M,0)),0))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'O. Haag BS-CAD'!M17</f>
        <v>0</v>
      </c>
      <c r="Q17" s="10">
        <v>232</v>
      </c>
      <c r="R17" s="10">
        <f>IFERROR(INDEX('Projekt-Budget-Übersicht'!$F:$F,MATCH(1685,'Projekt-Budget-Übersicht'!$L:$L,0)),0)</f>
        <v>0</v>
      </c>
      <c r="S17" s="10">
        <v>4326.93</v>
      </c>
      <c r="T17" s="4"/>
      <c r="U17" s="4"/>
    </row>
    <row r="18" spans="1:21" x14ac:dyDescent="0.25">
      <c r="A18" s="4" t="s">
        <v>1504</v>
      </c>
      <c r="B18" s="4" t="s">
        <v>5502</v>
      </c>
      <c r="C18" s="4" t="str">
        <f>IFERROR(INDEX('Projekt-Budget-Übersicht'!$C:$C,MATCH(1691,'Projekt-Budget-Übersicht'!$L:$L,0)),"")</f>
        <v/>
      </c>
      <c r="D18" s="4">
        <v>30</v>
      </c>
      <c r="E18" s="4">
        <v>9.25</v>
      </c>
      <c r="F18" s="4">
        <v>1.5</v>
      </c>
      <c r="G18" s="16">
        <v>30.83</v>
      </c>
      <c r="H18" s="5"/>
      <c r="I18" s="5">
        <f t="shared" si="0"/>
        <v>0</v>
      </c>
      <c r="J18" s="4"/>
      <c r="K18" s="5">
        <f>IF('S. Schüler'!J23="O. Haag BS-CAD",'S. Schüler'!I23,0)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'O. Haag BS-CAD'!M18+'S. Schüler'!M23</f>
        <v>0</v>
      </c>
      <c r="Q18" s="10">
        <v>30</v>
      </c>
      <c r="R18" s="10">
        <f>IFERROR(INDEX('Projekt-Budget-Übersicht'!$F:$F,MATCH(1691,'Projekt-Budget-Übersicht'!$L:$L,0)),0)</f>
        <v>0</v>
      </c>
      <c r="S18" s="10">
        <v>885</v>
      </c>
      <c r="T18" s="4"/>
      <c r="U18" s="4"/>
    </row>
    <row r="19" spans="1:21" x14ac:dyDescent="0.25">
      <c r="A19" s="4" t="s">
        <v>1505</v>
      </c>
      <c r="B19" s="4" t="s">
        <v>5614</v>
      </c>
      <c r="C19" s="4" t="str">
        <f>IFERROR(INDEX('Projekt-Budget-Übersicht'!$C:$C,MATCH(1694,'Projekt-Budget-Übersicht'!$L:$L,0)),"")</f>
        <v/>
      </c>
      <c r="D19" s="4">
        <v>100</v>
      </c>
      <c r="E19" s="4">
        <v>45.75</v>
      </c>
      <c r="F19" s="4">
        <v>1</v>
      </c>
      <c r="G19" s="16">
        <v>45.75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IF($B$2="-",0,IFERROR(INDEX(IF($B$2="SV",'Projekt-Budget-Übersicht'!$I:$I,IF($B$2="CAD",'Projekt-Budget-Übersicht'!$J:$J,IF($B$2="ADM",'Projekt-Budget-Übersicht'!$K:$K,'Projekt-Budget-Übersicht'!$I:$I))),MATCH(1694,'Projekt-Budget-Übersicht'!$M:$M,0)),0))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'O. Haag BS-CAD'!M19</f>
        <v>0</v>
      </c>
      <c r="Q19" s="10">
        <v>108</v>
      </c>
      <c r="R19" s="10">
        <f>IFERROR(INDEX('Projekt-Budget-Übersicht'!$F:$F,MATCH(1694,'Projekt-Budget-Übersicht'!$L:$L,0)),0)</f>
        <v>0</v>
      </c>
      <c r="S19" s="10">
        <v>2337.5</v>
      </c>
      <c r="T19" s="4"/>
      <c r="U19" s="4"/>
    </row>
    <row r="20" spans="1:21" x14ac:dyDescent="0.25">
      <c r="A20" s="4" t="s">
        <v>1639</v>
      </c>
      <c r="B20" s="4" t="s">
        <v>5620</v>
      </c>
      <c r="C20" s="4" t="str">
        <f>IFERROR(INDEX('Projekt-Budget-Übersicht'!$C:$C,MATCH(1848,'Projekt-Budget-Übersicht'!$L:$L,0)),"")</f>
        <v/>
      </c>
      <c r="D20" s="4">
        <v>5</v>
      </c>
      <c r="E20" s="4">
        <v>16</v>
      </c>
      <c r="F20" s="4">
        <v>2.25</v>
      </c>
      <c r="G20" s="15">
        <v>320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IF($B$2="-",0,IFERROR(INDEX(IF($B$2="SV",'Projekt-Budget-Übersicht'!$I:$I,IF($B$2="CAD",'Projekt-Budget-Übersicht'!$J:$J,IF($B$2="ADM",'Projekt-Budget-Übersicht'!$K:$K,'Projekt-Budget-Übersicht'!$I:$I))),MATCH(1848,'Projekt-Budget-Übersicht'!$M:$M,0)),0))</f>
        <v>81.25</v>
      </c>
      <c r="M20" s="10">
        <f t="shared" si="1"/>
        <v>182.8125</v>
      </c>
      <c r="N20" s="10">
        <f t="shared" si="2"/>
        <v>182.8125</v>
      </c>
      <c r="O20" s="10">
        <f t="shared" si="3"/>
        <v>0</v>
      </c>
      <c r="P20" s="10">
        <f>'O. Haag BS-CAD'!M20</f>
        <v>182.8125</v>
      </c>
      <c r="Q20" s="10">
        <v>24</v>
      </c>
      <c r="R20" s="10">
        <f>IFERROR(INDEX('Projekt-Budget-Übersicht'!$F:$F,MATCH(1848,'Projekt-Budget-Übersicht'!$L:$L,0)),0)</f>
        <v>0</v>
      </c>
      <c r="S20" s="10">
        <v>1012.5</v>
      </c>
      <c r="T20" s="4"/>
      <c r="U20" s="4"/>
    </row>
    <row r="21" spans="1:21" x14ac:dyDescent="0.25">
      <c r="A21" s="4" t="s">
        <v>1958</v>
      </c>
      <c r="B21" s="4" t="s">
        <v>5486</v>
      </c>
      <c r="C21" s="4" t="str">
        <f>IFERROR(INDEX('Projekt-Budget-Übersicht'!$C:$C,MATCH(2331,'Projekt-Budget-Übersicht'!$L:$L,0)),"")</f>
        <v/>
      </c>
      <c r="D21" s="4">
        <v>13</v>
      </c>
      <c r="E21" s="4">
        <v>6.5</v>
      </c>
      <c r="F21" s="4">
        <v>3.5</v>
      </c>
      <c r="G21" s="16">
        <v>50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IF($B$2="-",0,IFERROR(INDEX(IF($B$2="SV",'Projekt-Budget-Übersicht'!$I:$I,IF($B$2="CAD",'Projekt-Budget-Übersicht'!$J:$J,IF($B$2="ADM",'Projekt-Budget-Übersicht'!$K:$K,'Projekt-Budget-Übersicht'!$I:$I))),MATCH(2331,'Projekt-Budget-Übersicht'!$M:$M,0)),0))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'O. Haag BS-CAD'!M21</f>
        <v>0</v>
      </c>
      <c r="Q21" s="10">
        <v>20</v>
      </c>
      <c r="R21" s="10">
        <f>IFERROR(INDEX('Projekt-Budget-Übersicht'!$F:$F,MATCH(2331,'Projekt-Budget-Übersicht'!$L:$L,0)),0)</f>
        <v>0</v>
      </c>
      <c r="S21" s="10"/>
      <c r="T21" s="4"/>
      <c r="U21" s="4"/>
    </row>
    <row r="22" spans="1:21" x14ac:dyDescent="0.25">
      <c r="A22" s="4" t="s">
        <v>2491</v>
      </c>
      <c r="B22" s="4" t="s">
        <v>5621</v>
      </c>
      <c r="C22" s="4" t="str">
        <f>IFERROR(INDEX('Projekt-Budget-Übersicht'!$C:$C,MATCH(2814,'Projekt-Budget-Übersicht'!$L:$L,0)),"")</f>
        <v/>
      </c>
      <c r="D22" s="4">
        <v>6</v>
      </c>
      <c r="E22" s="4">
        <v>7.25</v>
      </c>
      <c r="F22" s="4">
        <v>0.5</v>
      </c>
      <c r="G22" s="15">
        <v>120.83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26.056338028169019</v>
      </c>
      <c r="M22" s="10">
        <f t="shared" si="1"/>
        <v>13.02816901408451</v>
      </c>
      <c r="N22" s="10">
        <f t="shared" si="2"/>
        <v>13.02816901408451</v>
      </c>
      <c r="O22" s="10">
        <f t="shared" si="3"/>
        <v>0</v>
      </c>
      <c r="P22" s="10">
        <f>'O. Haag BS-CAD'!M22</f>
        <v>13.02816901408451</v>
      </c>
      <c r="Q22" s="10">
        <v>71</v>
      </c>
      <c r="R22" s="10">
        <f>IFERROR(INDEX('Projekt-Budget-Übersicht'!$F:$F,MATCH(2814,'Projekt-Budget-Übersicht'!$L:$L,0)),0)</f>
        <v>0</v>
      </c>
      <c r="S22" s="10">
        <v>1280</v>
      </c>
      <c r="T22" s="4"/>
      <c r="U22" s="4"/>
    </row>
    <row r="23" spans="1:21" x14ac:dyDescent="0.25">
      <c r="A23" s="21" t="s">
        <v>2495</v>
      </c>
      <c r="B23" s="4" t="s">
        <v>5498</v>
      </c>
      <c r="C23" s="4" t="str">
        <f>IFERROR(INDEX('Projekt-Budget-Übersicht'!$C:$C,MATCH(2820,'Projekt-Budget-Übersicht'!$L:$L,0)),"")</f>
        <v/>
      </c>
      <c r="D23" s="4">
        <v>4</v>
      </c>
      <c r="E23" s="4">
        <v>1.5</v>
      </c>
      <c r="F23" s="4">
        <v>0.25</v>
      </c>
      <c r="G23" s="16">
        <v>37.5</v>
      </c>
      <c r="H23" s="5"/>
      <c r="I23" s="5">
        <f t="shared" si="0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IF($B$2="-",0,IFERROR(INDEX(IF($B$2="SV",'Projekt-Budget-Übersicht'!$I:$I,IF($B$2="CAD",'Projekt-Budget-Übersicht'!$J:$J,IF($B$2="ADM",'Projekt-Budget-Übersicht'!$K:$K,'Projekt-Budget-Übersicht'!$I:$I))),MATCH(2820,'Projekt-Budget-Übersicht'!$M:$M,0)),0))</f>
        <v>87.5</v>
      </c>
      <c r="M23" s="10">
        <f t="shared" si="1"/>
        <v>21.875</v>
      </c>
      <c r="N23" s="10">
        <f t="shared" si="2"/>
        <v>21.875</v>
      </c>
      <c r="O23" s="10">
        <f t="shared" si="3"/>
        <v>0</v>
      </c>
      <c r="P23" s="10">
        <f>'O. Haag BS-CAD'!M23</f>
        <v>21.875</v>
      </c>
      <c r="Q23" s="10">
        <v>4</v>
      </c>
      <c r="R23" s="10">
        <f>IFERROR(INDEX('Projekt-Budget-Übersicht'!$F:$F,MATCH(2820,'Projekt-Budget-Übersicht'!$L:$L,0)),0)</f>
        <v>0</v>
      </c>
      <c r="S23" s="10">
        <v>100</v>
      </c>
      <c r="T23" s="4"/>
      <c r="U23" s="4"/>
    </row>
    <row r="24" spans="1:21" x14ac:dyDescent="0.25">
      <c r="A24" s="22"/>
      <c r="B24" s="4" t="s">
        <v>5620</v>
      </c>
      <c r="C24" s="4" t="str">
        <f>IFERROR(INDEX('Projekt-Budget-Übersicht'!$C:$C,MATCH(2819,'Projekt-Budget-Übersicht'!$L:$L,0)),"")</f>
        <v/>
      </c>
      <c r="D24" s="4">
        <v>6</v>
      </c>
      <c r="E24" s="4">
        <v>2.25</v>
      </c>
      <c r="F24" s="4">
        <v>1</v>
      </c>
      <c r="G24" s="16">
        <v>37.5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IF($B$2="-",0,IFERROR(INDEX(IF($B$2="SV",'Projekt-Budget-Übersicht'!$I:$I,IF($B$2="CAD",'Projekt-Budget-Übersicht'!$J:$J,IF($B$2="ADM",'Projekt-Budget-Übersicht'!$K:$K,'Projekt-Budget-Übersicht'!$I:$I))),MATCH(2819,'Projekt-Budget-Übersicht'!$M:$M,0)),0))</f>
        <v>83.333333333333329</v>
      </c>
      <c r="M24" s="10">
        <f t="shared" si="1"/>
        <v>83.333333333333329</v>
      </c>
      <c r="N24" s="10">
        <f t="shared" si="2"/>
        <v>83.333333333333329</v>
      </c>
      <c r="O24" s="10">
        <f t="shared" si="3"/>
        <v>0</v>
      </c>
      <c r="P24" s="10">
        <f>'O. Haag BS-CAD'!M24</f>
        <v>83.333333333333329</v>
      </c>
      <c r="Q24" s="10">
        <v>6</v>
      </c>
      <c r="R24" s="10">
        <f>IFERROR(INDEX('Projekt-Budget-Übersicht'!$F:$F,MATCH(2819,'Projekt-Budget-Übersicht'!$L:$L,0)),0)</f>
        <v>0</v>
      </c>
      <c r="S24" s="10">
        <v>125</v>
      </c>
      <c r="T24" s="4"/>
      <c r="U24" s="4"/>
    </row>
    <row r="25" spans="1:21" x14ac:dyDescent="0.25">
      <c r="A25" s="4" t="s">
        <v>2834</v>
      </c>
      <c r="B25" s="4" t="s">
        <v>5486</v>
      </c>
      <c r="C25" s="4" t="str">
        <f>IFERROR(INDEX('Projekt-Budget-Übersicht'!$C:$C,MATCH(3122,'Projekt-Budget-Übersicht'!$L:$L,0)),"")</f>
        <v/>
      </c>
      <c r="D25" s="4">
        <v>12</v>
      </c>
      <c r="E25" s="4">
        <v>4.5</v>
      </c>
      <c r="F25" s="4">
        <v>3.75</v>
      </c>
      <c r="G25" s="16">
        <v>37.5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25" s="10">
        <f t="shared" si="1"/>
        <v>218.75000000000003</v>
      </c>
      <c r="N25" s="10">
        <f t="shared" si="2"/>
        <v>218.75000000000003</v>
      </c>
      <c r="O25" s="10">
        <f t="shared" si="3"/>
        <v>0</v>
      </c>
      <c r="P25" s="10">
        <f>'O. Haag BS-CAD'!M25</f>
        <v>218.75000000000003</v>
      </c>
      <c r="Q25" s="10">
        <v>18</v>
      </c>
      <c r="R25" s="10">
        <f>IFERROR(INDEX('Projekt-Budget-Übersicht'!$F:$F,MATCH(3122,'Projekt-Budget-Übersicht'!$L:$L,0)),0)</f>
        <v>0</v>
      </c>
      <c r="S25" s="10">
        <v>2985.82</v>
      </c>
      <c r="T25" s="4"/>
      <c r="U25" s="4"/>
    </row>
    <row r="26" spans="1:21" x14ac:dyDescent="0.25">
      <c r="A26" s="4" t="s">
        <v>2917</v>
      </c>
      <c r="B26" s="4" t="s">
        <v>5504</v>
      </c>
      <c r="C26" s="4" t="str">
        <f>IFERROR(INDEX('Projekt-Budget-Übersicht'!$C:$C,MATCH(3189,'Projekt-Budget-Übersicht'!$L:$L,0)),"")</f>
        <v/>
      </c>
      <c r="D26" s="4">
        <v>1560</v>
      </c>
      <c r="E26" s="4">
        <v>452.75</v>
      </c>
      <c r="F26" s="4">
        <v>1</v>
      </c>
      <c r="G26" s="16">
        <v>29.02</v>
      </c>
      <c r="H26" s="5"/>
      <c r="I26" s="5">
        <f t="shared" si="0"/>
        <v>0</v>
      </c>
      <c r="J26" s="4"/>
      <c r="K26" s="5">
        <f>IF('P. Bergner'!J9="O. Haag BS-CAD",'P. Bergner'!I9,0)</f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26" s="10">
        <f t="shared" si="1"/>
        <v>0</v>
      </c>
      <c r="N26" s="10">
        <f t="shared" si="2"/>
        <v>0</v>
      </c>
      <c r="O26" s="10">
        <f t="shared" si="3"/>
        <v>0</v>
      </c>
      <c r="P26" s="10">
        <f>'O. Haag BS-CAD'!M26+'P. Bergner'!M9</f>
        <v>0</v>
      </c>
      <c r="Q26" s="10">
        <v>1560</v>
      </c>
      <c r="R26" s="10">
        <f>IFERROR(INDEX('Projekt-Budget-Übersicht'!$F:$F,MATCH(3189,'Projekt-Budget-Übersicht'!$L:$L,0)),0)</f>
        <v>0</v>
      </c>
      <c r="S26" s="10">
        <v>55003.040000000001</v>
      </c>
      <c r="T26" s="4"/>
      <c r="U26" s="4"/>
    </row>
    <row r="27" spans="1:21" x14ac:dyDescent="0.25">
      <c r="A27" s="4" t="s">
        <v>3070</v>
      </c>
      <c r="B27" s="4" t="s">
        <v>5498</v>
      </c>
      <c r="C27" s="4" t="str">
        <f>IFERROR(INDEX('Projekt-Budget-Übersicht'!$C:$C,MATCH(3325,'Projekt-Budget-Übersicht'!$L:$L,0)),"")</f>
        <v/>
      </c>
      <c r="D27" s="4">
        <v>70.5</v>
      </c>
      <c r="E27" s="4">
        <v>24</v>
      </c>
      <c r="F27" s="4">
        <v>0.5</v>
      </c>
      <c r="G27" s="16">
        <v>34.04</v>
      </c>
      <c r="H27" s="5"/>
      <c r="I27" s="5">
        <f t="shared" si="0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IF($B$2="-",0,IFERROR(INDEX(IF($B$2="SV",'Projekt-Budget-Übersicht'!$I:$I,IF($B$2="CAD",'Projekt-Budget-Übersicht'!$J:$J,IF($B$2="ADM",'Projekt-Budget-Übersicht'!$K:$K,'Projekt-Budget-Übersicht'!$I:$I))),MATCH(3325,'Projekt-Budget-Übersicht'!$M:$M,0)),0))</f>
        <v>0</v>
      </c>
      <c r="M27" s="10">
        <f t="shared" si="1"/>
        <v>0</v>
      </c>
      <c r="N27" s="10">
        <f t="shared" si="2"/>
        <v>0</v>
      </c>
      <c r="O27" s="10">
        <f t="shared" si="3"/>
        <v>0</v>
      </c>
      <c r="P27" s="10">
        <f>'O. Haag BS-CAD'!M27</f>
        <v>0</v>
      </c>
      <c r="Q27" s="10">
        <v>130.5</v>
      </c>
      <c r="R27" s="10">
        <f>IFERROR(INDEX('Projekt-Budget-Übersicht'!$F:$F,MATCH(3325,'Projekt-Budget-Übersicht'!$L:$L,0)),0)</f>
        <v>0</v>
      </c>
      <c r="S27" s="10">
        <v>2837.5</v>
      </c>
      <c r="T27" s="4"/>
      <c r="U27" s="4"/>
    </row>
    <row r="28" spans="1:21" x14ac:dyDescent="0.25">
      <c r="A28" s="4" t="s">
        <v>3146</v>
      </c>
      <c r="B28" s="4" t="s">
        <v>5486</v>
      </c>
      <c r="C28" s="4" t="str">
        <f>IFERROR(INDEX('Projekt-Budget-Übersicht'!$C:$C,MATCH(3387,'Projekt-Budget-Übersicht'!$L:$L,0)),"")</f>
        <v/>
      </c>
      <c r="D28" s="4">
        <v>20</v>
      </c>
      <c r="E28" s="4">
        <v>23.75</v>
      </c>
      <c r="F28" s="4">
        <v>6.5</v>
      </c>
      <c r="G28" s="15">
        <v>118.75</v>
      </c>
      <c r="H28" s="5"/>
      <c r="I28" s="5">
        <f t="shared" si="0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28" s="10">
        <f t="shared" si="1"/>
        <v>0</v>
      </c>
      <c r="N28" s="10">
        <f t="shared" si="2"/>
        <v>0</v>
      </c>
      <c r="O28" s="10">
        <f t="shared" si="3"/>
        <v>0</v>
      </c>
      <c r="P28" s="10">
        <f>'O. Haag BS-CAD'!M28</f>
        <v>0</v>
      </c>
      <c r="Q28" s="10">
        <v>74</v>
      </c>
      <c r="R28" s="10">
        <f>IFERROR(INDEX('Projekt-Budget-Übersicht'!$F:$F,MATCH(3387,'Projekt-Budget-Übersicht'!$L:$L,0)),0)</f>
        <v>0</v>
      </c>
      <c r="S28" s="10">
        <v>23081.52</v>
      </c>
      <c r="T28" s="4"/>
      <c r="U28" s="4"/>
    </row>
    <row r="29" spans="1:21" x14ac:dyDescent="0.25">
      <c r="A29" s="21" t="s">
        <v>3851</v>
      </c>
      <c r="B29" s="4" t="s">
        <v>5486</v>
      </c>
      <c r="C29" s="4" t="s">
        <v>50</v>
      </c>
      <c r="D29" s="4">
        <v>0</v>
      </c>
      <c r="E29" s="4">
        <v>-24.5</v>
      </c>
      <c r="F29" s="4">
        <v>0.25</v>
      </c>
      <c r="G29" s="4">
        <v>0</v>
      </c>
      <c r="H29" s="5"/>
      <c r="I29" s="5">
        <f t="shared" si="0"/>
        <v>0</v>
      </c>
      <c r="J29" s="4"/>
      <c r="K29" s="5">
        <v>0</v>
      </c>
      <c r="L29" s="10">
        <f>IF($B$2="-",0,0)</f>
        <v>0</v>
      </c>
      <c r="M29" s="10">
        <f t="shared" si="1"/>
        <v>0</v>
      </c>
      <c r="N29" s="10">
        <f t="shared" si="2"/>
        <v>0</v>
      </c>
      <c r="O29" s="10">
        <f t="shared" si="3"/>
        <v>0</v>
      </c>
      <c r="P29" s="10">
        <f>'O. Haag BS-CAD'!M29</f>
        <v>0</v>
      </c>
      <c r="Q29" s="10"/>
      <c r="R29" s="10">
        <f>0</f>
        <v>0</v>
      </c>
      <c r="S29" s="10"/>
      <c r="T29" s="4"/>
      <c r="U29" s="4"/>
    </row>
    <row r="30" spans="1:21" x14ac:dyDescent="0.25">
      <c r="A30" s="22"/>
      <c r="B30" s="4" t="s">
        <v>5622</v>
      </c>
      <c r="C30" s="4" t="s">
        <v>50</v>
      </c>
      <c r="D30" s="4">
        <v>0</v>
      </c>
      <c r="E30" s="4">
        <v>-0.5</v>
      </c>
      <c r="F30" s="4">
        <v>0.25</v>
      </c>
      <c r="G30" s="4">
        <v>0</v>
      </c>
      <c r="H30" s="5"/>
      <c r="I30" s="5">
        <f t="shared" si="0"/>
        <v>0</v>
      </c>
      <c r="J30" s="4"/>
      <c r="K30" s="5">
        <f>IF('R. Wagen CAD'!J15="O. Haag BS-CAD",'R. Wagen CAD'!I15,0)</f>
        <v>0</v>
      </c>
      <c r="L30" s="10">
        <f>IF($B$2="-",0,0)</f>
        <v>0</v>
      </c>
      <c r="M30" s="10">
        <f t="shared" si="1"/>
        <v>0</v>
      </c>
      <c r="N30" s="10">
        <f t="shared" si="2"/>
        <v>0</v>
      </c>
      <c r="O30" s="10">
        <f t="shared" si="3"/>
        <v>0</v>
      </c>
      <c r="P30" s="10">
        <f>'O. Haag BS-CAD'!M30+'R. Wagen CAD'!M15</f>
        <v>0</v>
      </c>
      <c r="Q30" s="10"/>
      <c r="R30" s="10">
        <f>0</f>
        <v>0</v>
      </c>
      <c r="S30" s="10"/>
      <c r="T30" s="4"/>
      <c r="U30" s="4"/>
    </row>
    <row r="31" spans="1:21" x14ac:dyDescent="0.25">
      <c r="A31" s="4" t="s">
        <v>3916</v>
      </c>
      <c r="B31" s="4" t="s">
        <v>5486</v>
      </c>
      <c r="C31" s="4" t="str">
        <f>IFERROR(INDEX('Projekt-Budget-Übersicht'!$C:$C,MATCH(4059,'Projekt-Budget-Übersicht'!$L:$L,0)),"")</f>
        <v/>
      </c>
      <c r="D31" s="4">
        <v>1</v>
      </c>
      <c r="E31" s="4">
        <v>1</v>
      </c>
      <c r="F31" s="4">
        <v>1</v>
      </c>
      <c r="G31" s="14">
        <v>100</v>
      </c>
      <c r="H31" s="5"/>
      <c r="I31" s="5">
        <f t="shared" si="0"/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IF($B$2="-",0,IFERROR(INDEX(IF($B$2="SV",'Projekt-Budget-Übersicht'!$I:$I,IF($B$2="CAD",'Projekt-Budget-Übersicht'!$J:$J,IF($B$2="ADM",'Projekt-Budget-Übersicht'!$K:$K,'Projekt-Budget-Übersicht'!$I:$I))),MATCH(4059,'Projekt-Budget-Übersicht'!$M:$M,0)),0))</f>
        <v>112.5</v>
      </c>
      <c r="M31" s="10">
        <f t="shared" si="1"/>
        <v>112.5</v>
      </c>
      <c r="N31" s="10">
        <f t="shared" si="2"/>
        <v>112.5</v>
      </c>
      <c r="O31" s="10">
        <f t="shared" si="3"/>
        <v>0</v>
      </c>
      <c r="P31" s="10">
        <f>'O. Haag BS-CAD'!M31</f>
        <v>112.5</v>
      </c>
      <c r="Q31" s="10">
        <v>199</v>
      </c>
      <c r="R31" s="10">
        <f>IFERROR(INDEX('Projekt-Budget-Übersicht'!$F:$F,MATCH(4059,'Projekt-Budget-Übersicht'!$L:$L,0)),0)</f>
        <v>0</v>
      </c>
      <c r="S31" s="10">
        <v>67.5</v>
      </c>
      <c r="T31" s="4"/>
      <c r="U31" s="4"/>
    </row>
    <row r="32" spans="1:21" x14ac:dyDescent="0.25">
      <c r="A32" s="4" t="s">
        <v>4041</v>
      </c>
      <c r="B32" s="4" t="s">
        <v>5498</v>
      </c>
      <c r="C32" s="4" t="str">
        <f>IFERROR(INDEX('Projekt-Budget-Übersicht'!$C:$C,MATCH(4163,'Projekt-Budget-Übersicht'!$L:$L,0)),"")</f>
        <v/>
      </c>
      <c r="D32" s="4">
        <v>8</v>
      </c>
      <c r="E32" s="4">
        <v>7.25</v>
      </c>
      <c r="F32" s="4">
        <v>5.75</v>
      </c>
      <c r="G32" s="14">
        <v>90.62</v>
      </c>
      <c r="H32" s="5"/>
      <c r="I32" s="5">
        <f t="shared" si="0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IF($B$2="-",0,IFERROR(INDEX(IF($B$2="SV",'Projekt-Budget-Übersicht'!$I:$I,IF($B$2="CAD",'Projekt-Budget-Übersicht'!$J:$J,IF($B$2="ADM",'Projekt-Budget-Übersicht'!$K:$K,'Projekt-Budget-Übersicht'!$I:$I))),MATCH(4163,'Projekt-Budget-Übersicht'!$M:$M,0)),0))</f>
        <v>100</v>
      </c>
      <c r="M32" s="10">
        <f t="shared" si="1"/>
        <v>575</v>
      </c>
      <c r="N32" s="10">
        <f t="shared" si="2"/>
        <v>575</v>
      </c>
      <c r="O32" s="10">
        <f t="shared" si="3"/>
        <v>0</v>
      </c>
      <c r="P32" s="10">
        <f>'O. Haag BS-CAD'!M32</f>
        <v>575</v>
      </c>
      <c r="Q32" s="10">
        <v>253</v>
      </c>
      <c r="R32" s="10">
        <f>IFERROR(INDEX('Projekt-Budget-Übersicht'!$F:$F,MATCH(4163,'Projekt-Budget-Übersicht'!$L:$L,0)),0)</f>
        <v>0</v>
      </c>
      <c r="S32" s="10">
        <v>522.5</v>
      </c>
      <c r="T32" s="4"/>
      <c r="U32" s="4"/>
    </row>
    <row r="33" spans="1:21" x14ac:dyDescent="0.25">
      <c r="A33" s="4" t="s">
        <v>4328</v>
      </c>
      <c r="B33" s="4" t="s">
        <v>5486</v>
      </c>
      <c r="C33" s="4" t="str">
        <f>IFERROR(INDEX('Projekt-Budget-Übersicht'!$C:$C,MATCH(4406,'Projekt-Budget-Übersicht'!$L:$L,0)),"")</f>
        <v/>
      </c>
      <c r="D33" s="4">
        <v>6</v>
      </c>
      <c r="E33" s="4">
        <v>5</v>
      </c>
      <c r="F33" s="4">
        <v>2</v>
      </c>
      <c r="G33" s="16">
        <v>83.33</v>
      </c>
      <c r="H33" s="5"/>
      <c r="I33" s="5">
        <f t="shared" si="0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IF($B$2="-",0,IFERROR(INDEX(IF($B$2="SV",'Projekt-Budget-Übersicht'!$I:$I,IF($B$2="CAD",'Projekt-Budget-Übersicht'!$J:$J,IF($B$2="ADM",'Projekt-Budget-Übersicht'!$K:$K,'Projekt-Budget-Übersicht'!$I:$I))),MATCH(4406,'Projekt-Budget-Übersicht'!$M:$M,0)),0))</f>
        <v>117.39130434782609</v>
      </c>
      <c r="M33" s="10">
        <f t="shared" si="1"/>
        <v>234.78260869565219</v>
      </c>
      <c r="N33" s="10">
        <f t="shared" si="2"/>
        <v>234.78260869565219</v>
      </c>
      <c r="O33" s="10">
        <f t="shared" si="3"/>
        <v>0</v>
      </c>
      <c r="P33" s="10">
        <f>'O. Haag BS-CAD'!M33</f>
        <v>234.78260869565219</v>
      </c>
      <c r="Q33" s="10">
        <v>43</v>
      </c>
      <c r="R33" s="10">
        <f>IFERROR(INDEX('Projekt-Budget-Übersicht'!$F:$F,MATCH(4406,'Projekt-Budget-Übersicht'!$L:$L,0)),0)</f>
        <v>0</v>
      </c>
      <c r="S33" s="10">
        <v>362.5</v>
      </c>
      <c r="T33" s="4"/>
      <c r="U33" s="4"/>
    </row>
    <row r="34" spans="1:21" x14ac:dyDescent="0.25">
      <c r="A34" s="4" t="s">
        <v>4475</v>
      </c>
      <c r="B34" s="4" t="s">
        <v>5623</v>
      </c>
      <c r="C34" s="4" t="str">
        <f>IFERROR(INDEX('Projekt-Budget-Übersicht'!$C:$C,MATCH(4548,'Projekt-Budget-Übersicht'!$L:$L,0)),"")</f>
        <v/>
      </c>
      <c r="D34" s="4">
        <v>8.5</v>
      </c>
      <c r="E34" s="4">
        <v>2.5</v>
      </c>
      <c r="F34" s="4">
        <v>1.5</v>
      </c>
      <c r="G34" s="16">
        <v>29.41</v>
      </c>
      <c r="H34" s="5"/>
      <c r="I34" s="5">
        <f t="shared" si="0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IF($B$2="-",0,IFERROR(INDEX(IF($B$2="SV",'Projekt-Budget-Übersicht'!$I:$I,IF($B$2="CAD",'Projekt-Budget-Übersicht'!$J:$J,IF($B$2="ADM",'Projekt-Budget-Übersicht'!$K:$K,'Projekt-Budget-Übersicht'!$I:$I))),MATCH(4548,'Projekt-Budget-Übersicht'!$M:$M,0)),0))</f>
        <v>0</v>
      </c>
      <c r="M34" s="10">
        <f t="shared" si="1"/>
        <v>0</v>
      </c>
      <c r="N34" s="10">
        <f t="shared" si="2"/>
        <v>0</v>
      </c>
      <c r="O34" s="10">
        <f t="shared" si="3"/>
        <v>0</v>
      </c>
      <c r="P34" s="10">
        <f>'O. Haag BS-CAD'!M34</f>
        <v>0</v>
      </c>
      <c r="Q34" s="10">
        <v>25</v>
      </c>
      <c r="R34" s="10">
        <f>IFERROR(INDEX('Projekt-Budget-Übersicht'!$F:$F,MATCH(4548,'Projekt-Budget-Übersicht'!$L:$L,0)),0)</f>
        <v>0</v>
      </c>
      <c r="S34" s="10">
        <v>745</v>
      </c>
      <c r="T34" s="4"/>
      <c r="U34" s="4"/>
    </row>
    <row r="35" spans="1:21" x14ac:dyDescent="0.25">
      <c r="A35" s="4" t="s">
        <v>4552</v>
      </c>
      <c r="B35" s="4" t="s">
        <v>5624</v>
      </c>
      <c r="C35" s="4" t="str">
        <f>IFERROR(INDEX('Projekt-Budget-Übersicht'!$C:$C,MATCH(4605,'Projekt-Budget-Übersicht'!$L:$L,0)),"")</f>
        <v/>
      </c>
      <c r="D35" s="4">
        <v>20</v>
      </c>
      <c r="E35" s="4">
        <v>11.75</v>
      </c>
      <c r="F35" s="4">
        <v>1</v>
      </c>
      <c r="G35" s="16">
        <v>58.75</v>
      </c>
      <c r="H35" s="5"/>
      <c r="I35" s="5">
        <f t="shared" si="0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IF($B$2="-",0,IFERROR(INDEX(IF($B$2="SV",'Projekt-Budget-Übersicht'!$I:$I,IF($B$2="CAD",'Projekt-Budget-Übersicht'!$J:$J,IF($B$2="ADM",'Projekt-Budget-Übersicht'!$K:$K,'Projekt-Budget-Übersicht'!$I:$I))),MATCH(4605,'Projekt-Budget-Übersicht'!$M:$M,0)),0))</f>
        <v>85</v>
      </c>
      <c r="M35" s="10">
        <f t="shared" si="1"/>
        <v>85</v>
      </c>
      <c r="N35" s="10">
        <f t="shared" si="2"/>
        <v>85</v>
      </c>
      <c r="O35" s="10">
        <f t="shared" si="3"/>
        <v>0</v>
      </c>
      <c r="P35" s="10">
        <f>'O. Haag BS-CAD'!M35</f>
        <v>85</v>
      </c>
      <c r="Q35" s="10">
        <v>34</v>
      </c>
      <c r="R35" s="10">
        <f>IFERROR(INDEX('Projekt-Budget-Übersicht'!$F:$F,MATCH(4605,'Projekt-Budget-Übersicht'!$L:$L,0)),0)</f>
        <v>0</v>
      </c>
      <c r="S35" s="10">
        <v>575</v>
      </c>
      <c r="T35" s="4"/>
      <c r="U35" s="4"/>
    </row>
    <row r="36" spans="1:21" x14ac:dyDescent="0.25">
      <c r="A36" s="4" t="s">
        <v>4669</v>
      </c>
      <c r="B36" s="4" t="s">
        <v>5486</v>
      </c>
      <c r="C36" s="4" t="str">
        <f>IFERROR(INDEX('Projekt-Budget-Übersicht'!$C:$C,MATCH(4697,'Projekt-Budget-Übersicht'!$L:$L,0)),"")</f>
        <v/>
      </c>
      <c r="D36" s="4">
        <v>6</v>
      </c>
      <c r="E36" s="4">
        <v>6.25</v>
      </c>
      <c r="F36" s="4">
        <v>0.5</v>
      </c>
      <c r="G36" s="15">
        <v>104.17</v>
      </c>
      <c r="H36" s="5"/>
      <c r="I36" s="5">
        <f t="shared" si="0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IF($B$2="-",0,IFERROR(INDEX(IF($B$2="SV",'Projekt-Budget-Übersicht'!$I:$I,IF($B$2="CAD",'Projekt-Budget-Übersicht'!$J:$J,IF($B$2="ADM",'Projekt-Budget-Übersicht'!$K:$K,'Projekt-Budget-Übersicht'!$I:$I))),MATCH(4697,'Projekt-Budget-Übersicht'!$M:$M,0)),0))</f>
        <v>117.39130434782609</v>
      </c>
      <c r="M36" s="10">
        <f t="shared" si="1"/>
        <v>58.695652173913047</v>
      </c>
      <c r="N36" s="10">
        <f t="shared" si="2"/>
        <v>58.695652173913047</v>
      </c>
      <c r="O36" s="10">
        <f t="shared" si="3"/>
        <v>0</v>
      </c>
      <c r="P36" s="10">
        <f>'O. Haag BS-CAD'!M36</f>
        <v>58.695652173913047</v>
      </c>
      <c r="Q36" s="10">
        <v>23</v>
      </c>
      <c r="R36" s="10">
        <f>IFERROR(INDEX('Projekt-Budget-Übersicht'!$F:$F,MATCH(4697,'Projekt-Budget-Übersicht'!$L:$L,0)),0)</f>
        <v>0</v>
      </c>
      <c r="S36" s="10">
        <v>360.82</v>
      </c>
      <c r="T36" s="4"/>
      <c r="U36" s="4"/>
    </row>
    <row r="37" spans="1:21" x14ac:dyDescent="0.25">
      <c r="A37" s="4" t="s">
        <v>5625</v>
      </c>
      <c r="B37" s="4" t="s">
        <v>5486</v>
      </c>
      <c r="C37" s="4" t="s">
        <v>50</v>
      </c>
      <c r="D37" s="4">
        <v>0</v>
      </c>
      <c r="E37" s="4">
        <v>0</v>
      </c>
      <c r="F37" s="4">
        <v>0.5</v>
      </c>
      <c r="G37" s="4">
        <v>0</v>
      </c>
      <c r="H37" s="5"/>
      <c r="I37" s="5">
        <f t="shared" si="0"/>
        <v>0</v>
      </c>
      <c r="J37" s="4"/>
      <c r="K37" s="5">
        <v>0</v>
      </c>
      <c r="L37" s="10">
        <f>IF($B$2="-",0,0)</f>
        <v>0</v>
      </c>
      <c r="M37" s="10">
        <f t="shared" si="1"/>
        <v>0</v>
      </c>
      <c r="N37" s="10">
        <f t="shared" si="2"/>
        <v>0</v>
      </c>
      <c r="O37" s="10">
        <f t="shared" si="3"/>
        <v>0</v>
      </c>
      <c r="P37" s="10">
        <f>'O. Haag BS-CAD'!M37</f>
        <v>0</v>
      </c>
      <c r="Q37" s="10"/>
      <c r="R37" s="10">
        <f>0</f>
        <v>0</v>
      </c>
      <c r="S37" s="10"/>
      <c r="T37" s="4"/>
      <c r="U37" s="4"/>
    </row>
    <row r="38" spans="1:21" x14ac:dyDescent="0.25">
      <c r="A38" s="4" t="s">
        <v>4809</v>
      </c>
      <c r="B38" s="4" t="s">
        <v>5502</v>
      </c>
      <c r="C38" s="4" t="str">
        <f>IFERROR(INDEX('Projekt-Budget-Übersicht'!$C:$C,MATCH(4813,'Projekt-Budget-Übersicht'!$L:$L,0)),"")</f>
        <v/>
      </c>
      <c r="D38" s="4">
        <v>6</v>
      </c>
      <c r="E38" s="4">
        <v>4</v>
      </c>
      <c r="F38" s="4">
        <v>4</v>
      </c>
      <c r="G38" s="16">
        <v>66.67</v>
      </c>
      <c r="H38" s="5"/>
      <c r="I38" s="5">
        <f t="shared" si="0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118.5185185185185</v>
      </c>
      <c r="M38" s="10">
        <f t="shared" si="1"/>
        <v>474.07407407407402</v>
      </c>
      <c r="N38" s="10">
        <f t="shared" si="2"/>
        <v>474.07407407407402</v>
      </c>
      <c r="O38" s="10">
        <f t="shared" si="3"/>
        <v>0</v>
      </c>
      <c r="P38" s="10">
        <f>'O. Haag BS-CAD'!M38</f>
        <v>474.07407407407402</v>
      </c>
      <c r="Q38" s="10">
        <v>62</v>
      </c>
      <c r="R38" s="10">
        <f>IFERROR(INDEX('Projekt-Budget-Übersicht'!$F:$F,MATCH(4813,'Projekt-Budget-Übersicht'!$L:$L,0)),0)</f>
        <v>0</v>
      </c>
      <c r="S38" s="10">
        <v>440</v>
      </c>
      <c r="T38" s="4"/>
      <c r="U38" s="4"/>
    </row>
    <row r="39" spans="1:21" x14ac:dyDescent="0.25">
      <c r="A39" s="4" t="s">
        <v>5626</v>
      </c>
      <c r="B39" s="4" t="s">
        <v>5627</v>
      </c>
      <c r="C39" s="4" t="s">
        <v>50</v>
      </c>
      <c r="D39" s="4">
        <v>0</v>
      </c>
      <c r="E39" s="4">
        <v>0</v>
      </c>
      <c r="F39" s="4">
        <v>0.25</v>
      </c>
      <c r="G39" s="4">
        <v>0</v>
      </c>
      <c r="H39" s="5"/>
      <c r="I39" s="5">
        <f t="shared" si="0"/>
        <v>0</v>
      </c>
      <c r="J39" s="4"/>
      <c r="K39" s="5">
        <v>0</v>
      </c>
      <c r="L39" s="10">
        <f>IF($B$2="-",0,0)</f>
        <v>0</v>
      </c>
      <c r="M39" s="10">
        <f t="shared" si="1"/>
        <v>0</v>
      </c>
      <c r="N39" s="10">
        <f t="shared" si="2"/>
        <v>0</v>
      </c>
      <c r="O39" s="10">
        <f t="shared" si="3"/>
        <v>0</v>
      </c>
      <c r="P39" s="10">
        <f>'O. Haag BS-CAD'!M39</f>
        <v>0</v>
      </c>
      <c r="Q39" s="10"/>
      <c r="R39" s="10">
        <f>0</f>
        <v>0</v>
      </c>
      <c r="S39" s="10"/>
      <c r="T39" s="4"/>
      <c r="U39" s="4"/>
    </row>
    <row r="40" spans="1:21" x14ac:dyDescent="0.25">
      <c r="A40" s="21" t="s">
        <v>4951</v>
      </c>
      <c r="B40" s="4" t="s">
        <v>5628</v>
      </c>
      <c r="C40" s="4" t="str">
        <f>IFERROR(INDEX('Projekt-Budget-Übersicht'!$C:$C,MATCH(4928,'Projekt-Budget-Übersicht'!$L:$L,0)),"")</f>
        <v/>
      </c>
      <c r="D40" s="4">
        <v>20</v>
      </c>
      <c r="E40" s="4">
        <v>10.25</v>
      </c>
      <c r="F40" s="4">
        <v>1</v>
      </c>
      <c r="G40" s="16">
        <v>51.25</v>
      </c>
      <c r="H40" s="5"/>
      <c r="I40" s="5">
        <f t="shared" si="0"/>
        <v>0</v>
      </c>
      <c r="J40" s="4"/>
      <c r="K40" s="5">
        <f>IF('R. Wagen CAD'!J19="O. Haag BS-CAD",'R. Wagen CAD'!I19,0)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IF($B$2="-",0,IFERROR(INDEX(IF($B$2="SV",'Projekt-Budget-Übersicht'!$I:$I,IF($B$2="CAD",'Projekt-Budget-Übersicht'!$J:$J,IF($B$2="ADM",'Projekt-Budget-Übersicht'!$K:$K,'Projekt-Budget-Übersicht'!$I:$I))),MATCH(4928,'Projekt-Budget-Übersicht'!$M:$M,0)),0))</f>
        <v>82.5</v>
      </c>
      <c r="M40" s="10">
        <f t="shared" si="1"/>
        <v>82.5</v>
      </c>
      <c r="N40" s="10">
        <f t="shared" si="2"/>
        <v>82.5</v>
      </c>
      <c r="O40" s="10">
        <f t="shared" si="3"/>
        <v>0</v>
      </c>
      <c r="P40" s="10">
        <f>'O. Haag BS-CAD'!M40+'R. Wagen CAD'!M19</f>
        <v>371.25</v>
      </c>
      <c r="Q40" s="10">
        <v>20</v>
      </c>
      <c r="R40" s="10">
        <f>IFERROR(INDEX('Projekt-Budget-Übersicht'!$F:$F,MATCH(4928,'Projekt-Budget-Übersicht'!$L:$L,0)),0)</f>
        <v>0</v>
      </c>
      <c r="S40" s="10">
        <v>512.5</v>
      </c>
      <c r="T40" s="4"/>
      <c r="U40" s="4"/>
    </row>
    <row r="41" spans="1:21" x14ac:dyDescent="0.25">
      <c r="A41" s="22"/>
      <c r="B41" s="4" t="s">
        <v>5486</v>
      </c>
      <c r="C41" s="4" t="str">
        <f>IFERROR(INDEX('Projekt-Budget-Übersicht'!$C:$C,MATCH(4927,'Projekt-Budget-Übersicht'!$L:$L,0)),"")</f>
        <v/>
      </c>
      <c r="D41" s="4">
        <v>26</v>
      </c>
      <c r="E41" s="4">
        <v>10.25</v>
      </c>
      <c r="F41" s="4">
        <v>0.75</v>
      </c>
      <c r="G41" s="16">
        <v>39.42</v>
      </c>
      <c r="H41" s="5"/>
      <c r="I41" s="5">
        <f t="shared" si="0"/>
        <v>0</v>
      </c>
      <c r="J41" s="4"/>
      <c r="K41" s="5">
        <f>IF('E. Bieler'!J32="O. Haag BS-CAD",'E. Bieler'!I32,0)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IF($B$2="-",0,IFERROR(INDEX(IF($B$2="SV",'Projekt-Budget-Übersicht'!$I:$I,IF($B$2="CAD",'Projekt-Budget-Übersicht'!$J:$J,IF($B$2="ADM",'Projekt-Budget-Übersicht'!$K:$K,'Projekt-Budget-Übersicht'!$I:$I))),MATCH(4927,'Projekt-Budget-Übersicht'!$M:$M,0)),0))</f>
        <v>81.481481481481481</v>
      </c>
      <c r="M41" s="10">
        <f t="shared" si="1"/>
        <v>61.111111111111114</v>
      </c>
      <c r="N41" s="10">
        <f t="shared" si="2"/>
        <v>61.111111111111114</v>
      </c>
      <c r="O41" s="10">
        <f t="shared" si="3"/>
        <v>0</v>
      </c>
      <c r="P41" s="10">
        <f>'E. Bieler'!M32+'O. Haag BS-CAD'!M41</f>
        <v>101.85185185185185</v>
      </c>
      <c r="Q41" s="10">
        <v>27</v>
      </c>
      <c r="R41" s="10">
        <f>IFERROR(INDEX('Projekt-Budget-Übersicht'!$F:$F,MATCH(4927,'Projekt-Budget-Übersicht'!$L:$L,0)),0)</f>
        <v>0</v>
      </c>
      <c r="S41" s="10">
        <v>776.65</v>
      </c>
      <c r="T41" s="4"/>
      <c r="U41" s="4"/>
    </row>
    <row r="42" spans="1:21" x14ac:dyDescent="0.25">
      <c r="A42" s="4" t="s">
        <v>5064</v>
      </c>
      <c r="B42" s="4" t="s">
        <v>5486</v>
      </c>
      <c r="C42" s="4" t="str">
        <f>IFERROR(INDEX('Projekt-Budget-Übersicht'!$C:$C,MATCH(5045,'Projekt-Budget-Übersicht'!$L:$L,0)),"")</f>
        <v/>
      </c>
      <c r="D42" s="4">
        <v>5</v>
      </c>
      <c r="E42" s="4">
        <v>3.75</v>
      </c>
      <c r="F42" s="4">
        <v>3.75</v>
      </c>
      <c r="G42" s="16">
        <v>75</v>
      </c>
      <c r="H42" s="5"/>
      <c r="I42" s="5">
        <f t="shared" si="0"/>
        <v>0</v>
      </c>
      <c r="J42" s="4"/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IF($B$2="-",0,IFERROR(INDEX(IF($B$2="SV",'Projekt-Budget-Übersicht'!$I:$I,IF($B$2="CAD",'Projekt-Budget-Übersicht'!$J:$J,IF($B$2="ADM",'Projekt-Budget-Übersicht'!$K:$K,'Projekt-Budget-Übersicht'!$I:$I))),MATCH(5045,'Projekt-Budget-Übersicht'!$M:$M,0)),0))</f>
        <v>127.27272727272729</v>
      </c>
      <c r="M42" s="10">
        <f t="shared" si="1"/>
        <v>477.27272727272737</v>
      </c>
      <c r="N42" s="10">
        <f t="shared" si="2"/>
        <v>477.27272727272737</v>
      </c>
      <c r="O42" s="10">
        <f t="shared" si="3"/>
        <v>0</v>
      </c>
      <c r="P42" s="10">
        <f>'O. Haag BS-CAD'!M42</f>
        <v>477.27272727272737</v>
      </c>
      <c r="Q42" s="10">
        <v>514</v>
      </c>
      <c r="R42" s="10">
        <f>IFERROR(INDEX('Projekt-Budget-Übersicht'!$F:$F,MATCH(5045,'Projekt-Budget-Übersicht'!$L:$L,0)),0)</f>
        <v>0</v>
      </c>
      <c r="S42" s="10">
        <v>222.5</v>
      </c>
      <c r="T42" s="4"/>
      <c r="U42" s="4"/>
    </row>
    <row r="43" spans="1:21" x14ac:dyDescent="0.25">
      <c r="A43" s="3"/>
      <c r="B43" s="3" t="s">
        <v>5492</v>
      </c>
      <c r="C43" s="3"/>
      <c r="D43" s="3"/>
      <c r="E43" s="3"/>
      <c r="F43" s="6">
        <v>66.25</v>
      </c>
      <c r="G43" s="3"/>
      <c r="H43" s="3"/>
      <c r="I43" s="3"/>
      <c r="J43" s="3"/>
      <c r="K43" s="3"/>
      <c r="L43" s="3"/>
      <c r="M43" s="17">
        <f>SUM(M6:M42)</f>
        <v>3680.7304329152189</v>
      </c>
      <c r="N43" s="17">
        <f>SUM(N6:N42)</f>
        <v>3680.7304329152189</v>
      </c>
      <c r="O43" s="17">
        <f>SUM(O6:O42)</f>
        <v>0</v>
      </c>
      <c r="P43" s="17">
        <f>SUM(P6:P42)</f>
        <v>4010.2211736559593</v>
      </c>
      <c r="Q43" s="3"/>
      <c r="R43" s="3"/>
      <c r="S43" s="3"/>
      <c r="T43" s="3"/>
      <c r="U43" s="3"/>
    </row>
    <row r="44" spans="1:21" x14ac:dyDescent="0.25">
      <c r="A44" s="3"/>
      <c r="B44" s="3" t="s">
        <v>4</v>
      </c>
      <c r="C44" s="3"/>
      <c r="D44" s="3"/>
      <c r="E44" s="3"/>
      <c r="F44" s="6">
        <f>G44+H44</f>
        <v>49</v>
      </c>
      <c r="G44" s="6">
        <v>49</v>
      </c>
      <c r="H44" s="6">
        <f>SUM(H7,H8,H9,H10,H11,H12,H13,H14,H15,H16,H17,H18,H19,H20,H21,H22,H23,H24,H25,H26,H27,H28,H29,H30,H31,H32,H33,H34,H35,H36,H37,H38,H39,H40,H41,H42)</f>
        <v>0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x14ac:dyDescent="0.25">
      <c r="A45" s="3"/>
      <c r="B45" s="3" t="s">
        <v>5</v>
      </c>
      <c r="C45" s="3"/>
      <c r="D45" s="3"/>
      <c r="E45" s="3"/>
      <c r="F45" s="6">
        <f>G45+H45</f>
        <v>5</v>
      </c>
      <c r="G45" s="6">
        <v>5</v>
      </c>
      <c r="H45" s="6">
        <f>SUM(H6)</f>
        <v>0</v>
      </c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3"/>
      <c r="B46" s="3" t="s">
        <v>5493</v>
      </c>
      <c r="C46" s="3"/>
      <c r="D46" s="3"/>
      <c r="E46" s="3"/>
      <c r="F46" s="6">
        <f>SUM(K6:K42)</f>
        <v>0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18"/>
      <c r="B47" s="18" t="s">
        <v>5494</v>
      </c>
      <c r="C47" s="18"/>
      <c r="D47" s="18"/>
      <c r="E47" s="18"/>
      <c r="F47" s="19">
        <f>F44+F45+F46</f>
        <v>54</v>
      </c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9" spans="1:21" ht="15.75" x14ac:dyDescent="0.25">
      <c r="A49" s="2" t="s">
        <v>5495</v>
      </c>
    </row>
    <row r="50" spans="1:21" x14ac:dyDescent="0.25">
      <c r="A50" s="3" t="s">
        <v>35</v>
      </c>
      <c r="B50" s="3" t="s">
        <v>5461</v>
      </c>
      <c r="C50" s="3" t="s">
        <v>37</v>
      </c>
      <c r="D50" s="3" t="s">
        <v>5462</v>
      </c>
      <c r="E50" s="3" t="s">
        <v>5463</v>
      </c>
      <c r="F50" s="3" t="s">
        <v>5496</v>
      </c>
      <c r="G50" s="3" t="s">
        <v>5465</v>
      </c>
      <c r="H50" s="3" t="s">
        <v>5466</v>
      </c>
      <c r="I50" s="3" t="s">
        <v>5467</v>
      </c>
      <c r="J50" s="3" t="s">
        <v>5468</v>
      </c>
      <c r="K50" s="3" t="s">
        <v>5469</v>
      </c>
      <c r="L50" s="3" t="s">
        <v>5470</v>
      </c>
      <c r="M50" s="3" t="s">
        <v>5471</v>
      </c>
      <c r="N50" s="3" t="s">
        <v>5472</v>
      </c>
      <c r="O50" s="3" t="s">
        <v>5473</v>
      </c>
      <c r="P50" s="3" t="s">
        <v>5474</v>
      </c>
      <c r="Q50" s="3" t="s">
        <v>5475</v>
      </c>
      <c r="R50" s="3" t="s">
        <v>5476</v>
      </c>
      <c r="S50" s="3" t="s">
        <v>5477</v>
      </c>
      <c r="T50" s="3" t="s">
        <v>5478</v>
      </c>
      <c r="U50" s="3" t="s">
        <v>5479</v>
      </c>
    </row>
    <row r="51" spans="1:21" x14ac:dyDescent="0.25">
      <c r="A51" s="21" t="s">
        <v>61</v>
      </c>
      <c r="B51" s="4" t="s">
        <v>5480</v>
      </c>
      <c r="C51" s="4" t="str">
        <f>IFERROR(INDEX('Projekt-Budget-Übersicht'!$C:$C,MATCH(10,'Projekt-Budget-Übersicht'!$L:$L,0)),"")</f>
        <v/>
      </c>
      <c r="D51" s="4">
        <v>8</v>
      </c>
      <c r="E51" s="4">
        <v>10.25</v>
      </c>
      <c r="F51" s="4">
        <v>10.25</v>
      </c>
      <c r="G51" s="15">
        <v>128.12</v>
      </c>
      <c r="H51" s="5"/>
      <c r="I51" s="5">
        <f t="shared" ref="I51:I83" si="4">IF(H51=0,0,F51-H51)</f>
        <v>0</v>
      </c>
      <c r="J51" s="4"/>
      <c r="K51" s="5">
        <f>IF('A. Kokott'!J39="O. Haag BS-CAD",'A. Kokott'!I39,0)+IF('J. Dorn'!J45="O. Haag BS-CAD",'J. Dorn'!I45,0)+IF('P. Bergner'!J21="O. Haag BS-CAD",'P. Bergner'!I21,0)+IF('R. Böttiger'!J31="O. Haag BS-CAD",'R. Böttiger'!I31,0)+IF('T. Trautmann'!J28="O. Haag BS-CAD",'T. Trautmann'!I28,0)+IF('U. Sutter ADM'!J28="O. Haag BS-CAD",'U. Sutter ADM'!I28,0)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1" s="10">
        <f t="shared" ref="M51:M83" si="5">IF($B$2="-",0,IF(C51="Pauschale",IF(OR(R51=0,N(D51)=0),0,MAX(0,MIN(R51*((N(F51)+N(K51))/N(D51)),R51-R51*(N(E51)/N(D51))))),L51*(N(F51)+N(K51))))</f>
        <v>0</v>
      </c>
      <c r="N51" s="10">
        <f t="shared" ref="N51:N83" si="6">IF($B$2="-",0,IF(C51="Pauschale",IF(OR(R51=0,N(D51)=0),0,R51*((N(F51)+N(K51))/N(D51))),L51*(N(F51)+N(K51))))</f>
        <v>0</v>
      </c>
      <c r="O51" s="10">
        <f t="shared" ref="O51:O83" si="7">N51-M51</f>
        <v>0</v>
      </c>
      <c r="P51" s="10">
        <f>'A. Kokott'!M39+'J. Dorn'!M45+'O. Haag BS-CAD'!M51+'P. Bergner'!M21+'R. Böttiger'!M31+'T. Trautmann'!M28+'U. Sutter ADM'!M28</f>
        <v>0</v>
      </c>
      <c r="Q51" s="10">
        <v>132</v>
      </c>
      <c r="R51" s="10">
        <f>IFERROR(INDEX('Projekt-Budget-Übersicht'!$F:$F,MATCH(10,'Projekt-Budget-Übersicht'!$L:$L,0)),0)</f>
        <v>0</v>
      </c>
      <c r="S51" s="10">
        <v>68628.19</v>
      </c>
      <c r="T51" s="4"/>
      <c r="U51" s="4"/>
    </row>
    <row r="52" spans="1:21" x14ac:dyDescent="0.25">
      <c r="A52" s="22"/>
      <c r="B52" s="4" t="s">
        <v>5481</v>
      </c>
      <c r="C52" s="4" t="str">
        <f>IFERROR(INDEX('Projekt-Budget-Übersicht'!$C:$C,MATCH(10,'Projekt-Budget-Übersicht'!$L:$L,0)),"")</f>
        <v/>
      </c>
      <c r="D52" s="4">
        <v>8</v>
      </c>
      <c r="E52" s="4">
        <v>6</v>
      </c>
      <c r="F52" s="4">
        <v>6</v>
      </c>
      <c r="G52" s="16">
        <v>75</v>
      </c>
      <c r="H52" s="5"/>
      <c r="I52" s="5">
        <f t="shared" si="4"/>
        <v>0</v>
      </c>
      <c r="J52" s="4"/>
      <c r="K52" s="5">
        <f>IF('A. Kokott'!J40="O. Haag BS-CAD",'A. Kokott'!I40,0)+IF('M. Bandlofsky'!J26="O. Haag BS-CAD",'M. Bandlofsky'!I26,0)+IF('P. Bergner'!J22="O. Haag BS-CAD",'P. Bergner'!I22,0)+IF('R. Wagen CAD'!J31="O. Haag BS-CAD",'R. Wagen CAD'!I31,0)+IF('T. Trautmann'!J29="O. Haag BS-CAD",'T. Trautmann'!I29,0)+IF('U. Sutter ADM'!J29="O. Haag BS-CAD",'U. Sutter ADM'!I29,0)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2" s="10">
        <f t="shared" si="5"/>
        <v>0</v>
      </c>
      <c r="N52" s="10">
        <f t="shared" si="6"/>
        <v>0</v>
      </c>
      <c r="O52" s="10">
        <f t="shared" si="7"/>
        <v>0</v>
      </c>
      <c r="P52" s="10">
        <f>'A. Kokott'!M40+'M. Bandlofsky'!M26+'O. Haag BS-CAD'!M52+'P. Bergner'!M22+'R. Wagen CAD'!M31+'T. Trautmann'!M29+'U. Sutter ADM'!M29</f>
        <v>0</v>
      </c>
      <c r="Q52" s="10">
        <v>132</v>
      </c>
      <c r="R52" s="10">
        <f>IFERROR(INDEX('Projekt-Budget-Übersicht'!$F:$F,MATCH(10,'Projekt-Budget-Übersicht'!$L:$L,0)),0)</f>
        <v>0</v>
      </c>
      <c r="S52" s="10">
        <v>68628.19</v>
      </c>
      <c r="T52" s="4"/>
      <c r="U52" s="4"/>
    </row>
    <row r="53" spans="1:21" x14ac:dyDescent="0.25">
      <c r="A53" s="4" t="s">
        <v>315</v>
      </c>
      <c r="B53" s="4" t="s">
        <v>5502</v>
      </c>
      <c r="C53" s="4" t="str">
        <f>IFERROR(INDEX('Projekt-Budget-Übersicht'!$C:$C,MATCH(269,'Projekt-Budget-Übersicht'!$L:$L,0)),"")</f>
        <v/>
      </c>
      <c r="D53" s="4">
        <v>24</v>
      </c>
      <c r="E53" s="4">
        <v>25</v>
      </c>
      <c r="F53" s="4">
        <v>0.25</v>
      </c>
      <c r="G53" s="15">
        <v>104.17</v>
      </c>
      <c r="H53" s="5"/>
      <c r="I53" s="5">
        <f t="shared" si="4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IF($B$2="-",0,IFERROR(INDEX(IF($B$2="SV",'Projekt-Budget-Übersicht'!$I:$I,IF($B$2="CAD",'Projekt-Budget-Übersicht'!$J:$J,IF($B$2="ADM",'Projekt-Budget-Übersicht'!$K:$K,'Projekt-Budget-Übersicht'!$I:$I))),MATCH(269,'Projekt-Budget-Übersicht'!$M:$M,0)),0))</f>
        <v>121.1267605633803</v>
      </c>
      <c r="M53" s="10">
        <f t="shared" si="5"/>
        <v>30.281690140845075</v>
      </c>
      <c r="N53" s="10">
        <f t="shared" si="6"/>
        <v>30.281690140845075</v>
      </c>
      <c r="O53" s="10">
        <f t="shared" si="7"/>
        <v>0</v>
      </c>
      <c r="P53" s="10">
        <f>'O. Haag BS-CAD'!M53</f>
        <v>30.281690140845075</v>
      </c>
      <c r="Q53" s="10">
        <v>115</v>
      </c>
      <c r="R53" s="10">
        <f>IFERROR(INDEX('Projekt-Budget-Übersicht'!$F:$F,MATCH(269,'Projekt-Budget-Übersicht'!$L:$L,0)),0)</f>
        <v>0</v>
      </c>
      <c r="S53" s="10">
        <v>6727.5</v>
      </c>
      <c r="T53" s="4"/>
      <c r="U53" s="4"/>
    </row>
    <row r="54" spans="1:21" x14ac:dyDescent="0.25">
      <c r="A54" s="4" t="s">
        <v>633</v>
      </c>
      <c r="B54" s="4" t="s">
        <v>5486</v>
      </c>
      <c r="C54" s="4" t="str">
        <f>IFERROR(INDEX('Projekt-Budget-Übersicht'!$C:$C,MATCH(639,'Projekt-Budget-Übersicht'!$L:$L,0)),"")</f>
        <v/>
      </c>
      <c r="D54" s="4">
        <v>50</v>
      </c>
      <c r="E54" s="4">
        <v>12.5</v>
      </c>
      <c r="F54" s="4">
        <v>12.5</v>
      </c>
      <c r="G54" s="16">
        <v>25</v>
      </c>
      <c r="H54" s="5"/>
      <c r="I54" s="5">
        <f t="shared" si="4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54" s="10">
        <f t="shared" si="5"/>
        <v>1162.706611570248</v>
      </c>
      <c r="N54" s="10">
        <f t="shared" si="6"/>
        <v>1162.706611570248</v>
      </c>
      <c r="O54" s="10">
        <f t="shared" si="7"/>
        <v>0</v>
      </c>
      <c r="P54" s="10">
        <f>'O. Haag BS-CAD'!M54</f>
        <v>1162.706611570248</v>
      </c>
      <c r="Q54" s="10">
        <v>121</v>
      </c>
      <c r="R54" s="10">
        <f>IFERROR(INDEX('Projekt-Budget-Übersicht'!$F:$F,MATCH(639,'Projekt-Budget-Übersicht'!$L:$L,0)),0)</f>
        <v>0</v>
      </c>
      <c r="S54" s="10">
        <v>6590</v>
      </c>
      <c r="T54" s="4"/>
      <c r="U54" s="4"/>
    </row>
    <row r="55" spans="1:21" x14ac:dyDescent="0.25">
      <c r="A55" s="4" t="s">
        <v>636</v>
      </c>
      <c r="B55" s="4" t="s">
        <v>5486</v>
      </c>
      <c r="C55" s="4" t="str">
        <f>IFERROR(INDEX('Projekt-Budget-Übersicht'!$C:$C,MATCH(641,'Projekt-Budget-Übersicht'!$L:$L,0)),"")</f>
        <v/>
      </c>
      <c r="D55" s="4">
        <v>6</v>
      </c>
      <c r="E55" s="4">
        <v>5.25</v>
      </c>
      <c r="F55" s="4">
        <v>0.5</v>
      </c>
      <c r="G55" s="16">
        <v>87.5</v>
      </c>
      <c r="H55" s="5"/>
      <c r="I55" s="5">
        <f t="shared" si="4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124.0740740740741</v>
      </c>
      <c r="M55" s="10">
        <f t="shared" si="5"/>
        <v>62.037037037037052</v>
      </c>
      <c r="N55" s="10">
        <f t="shared" si="6"/>
        <v>62.037037037037052</v>
      </c>
      <c r="O55" s="10">
        <f t="shared" si="7"/>
        <v>0</v>
      </c>
      <c r="P55" s="10">
        <f>'O. Haag BS-CAD'!M55</f>
        <v>62.037037037037052</v>
      </c>
      <c r="Q55" s="10">
        <v>27</v>
      </c>
      <c r="R55" s="10">
        <f>IFERROR(INDEX('Projekt-Budget-Übersicht'!$F:$F,MATCH(641,'Projekt-Budget-Übersicht'!$L:$L,0)),0)</f>
        <v>0</v>
      </c>
      <c r="S55" s="10">
        <v>2546.65</v>
      </c>
      <c r="T55" s="4"/>
      <c r="U55" s="4"/>
    </row>
    <row r="56" spans="1:21" x14ac:dyDescent="0.25">
      <c r="A56" s="21" t="s">
        <v>865</v>
      </c>
      <c r="B56" s="4" t="s">
        <v>5502</v>
      </c>
      <c r="C56" s="4" t="str">
        <f>IFERROR(INDEX('Projekt-Budget-Übersicht'!$C:$C,MATCH(890,'Projekt-Budget-Übersicht'!$L:$L,0)),"")</f>
        <v/>
      </c>
      <c r="D56" s="4">
        <v>26.5</v>
      </c>
      <c r="E56" s="4">
        <v>34.25</v>
      </c>
      <c r="F56" s="4">
        <v>0.5</v>
      </c>
      <c r="G56" s="15">
        <v>129.25</v>
      </c>
      <c r="H56" s="5"/>
      <c r="I56" s="5">
        <f t="shared" si="4"/>
        <v>0</v>
      </c>
      <c r="J56" s="4"/>
      <c r="K56" s="5">
        <f>IF('R. Wagen CAD'!J32="O. Haag BS-CAD",'R. Wagen CAD'!I32,0)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56" s="10">
        <f t="shared" si="5"/>
        <v>0</v>
      </c>
      <c r="N56" s="10">
        <f t="shared" si="6"/>
        <v>0</v>
      </c>
      <c r="O56" s="10">
        <f t="shared" si="7"/>
        <v>0</v>
      </c>
      <c r="P56" s="10">
        <f>'O. Haag BS-CAD'!M56+'R. Wagen CAD'!M32</f>
        <v>0</v>
      </c>
      <c r="Q56" s="10">
        <v>63</v>
      </c>
      <c r="R56" s="10">
        <f>IFERROR(INDEX('Projekt-Budget-Übersicht'!$F:$F,MATCH(890,'Projekt-Budget-Übersicht'!$L:$L,0)),0)</f>
        <v>0</v>
      </c>
      <c r="S56" s="10">
        <v>7717.86</v>
      </c>
      <c r="T56" s="4"/>
      <c r="U56" s="4"/>
    </row>
    <row r="57" spans="1:21" x14ac:dyDescent="0.25">
      <c r="A57" s="23"/>
      <c r="B57" s="4" t="s">
        <v>5629</v>
      </c>
      <c r="C57" s="4" t="str">
        <f>IFERROR(INDEX('Projekt-Budget-Übersicht'!$C:$C,MATCH(892,'Projekt-Budget-Übersicht'!$L:$L,0)),"")</f>
        <v/>
      </c>
      <c r="D57" s="4">
        <v>8.5</v>
      </c>
      <c r="E57" s="4">
        <v>13.25</v>
      </c>
      <c r="F57" s="4">
        <v>1</v>
      </c>
      <c r="G57" s="15">
        <v>155.88</v>
      </c>
      <c r="H57" s="5"/>
      <c r="I57" s="5">
        <f t="shared" si="4"/>
        <v>0</v>
      </c>
      <c r="J57" s="4"/>
      <c r="K57" s="5">
        <f>IF('S. Schüler'!J58="O. Haag BS-CAD",'S. Schüler'!I58,0)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'O. Haag BS-CAD'!M57+'S. Schüler'!M58</f>
        <v>0</v>
      </c>
      <c r="Q57" s="10">
        <v>107</v>
      </c>
      <c r="R57" s="10">
        <f>IFERROR(INDEX('Projekt-Budget-Übersicht'!$F:$F,MATCH(892,'Projekt-Budget-Übersicht'!$L:$L,0)),0)</f>
        <v>0</v>
      </c>
      <c r="S57" s="10">
        <v>12383.75</v>
      </c>
      <c r="T57" s="4"/>
      <c r="U57" s="4"/>
    </row>
    <row r="58" spans="1:21" x14ac:dyDescent="0.25">
      <c r="A58" s="22"/>
      <c r="B58" s="4" t="s">
        <v>5602</v>
      </c>
      <c r="C58" s="4" t="str">
        <f>IFERROR(INDEX('Projekt-Budget-Übersicht'!$C:$C,MATCH(893,'Projekt-Budget-Übersicht'!$L:$L,0)),"")</f>
        <v/>
      </c>
      <c r="D58" s="4">
        <v>28.5</v>
      </c>
      <c r="E58" s="4">
        <v>5.25</v>
      </c>
      <c r="F58" s="4">
        <v>0.25</v>
      </c>
      <c r="G58" s="16">
        <v>18.420000000000002</v>
      </c>
      <c r="H58" s="5"/>
      <c r="I58" s="5">
        <f t="shared" si="4"/>
        <v>0</v>
      </c>
      <c r="J58" s="4"/>
      <c r="K58" s="5">
        <f>IF('S. Schüler'!J60="O. Haag BS-CAD",'S. Schüler'!I60,0)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58" s="10">
        <f t="shared" si="5"/>
        <v>0</v>
      </c>
      <c r="N58" s="10">
        <f t="shared" si="6"/>
        <v>0</v>
      </c>
      <c r="O58" s="10">
        <f t="shared" si="7"/>
        <v>0</v>
      </c>
      <c r="P58" s="10">
        <f>'O. Haag BS-CAD'!M58+'S. Schüler'!M60</f>
        <v>0</v>
      </c>
      <c r="Q58" s="10">
        <v>81.5</v>
      </c>
      <c r="R58" s="10">
        <f>IFERROR(INDEX('Projekt-Budget-Übersicht'!$F:$F,MATCH(893,'Projekt-Budget-Übersicht'!$L:$L,0)),0)</f>
        <v>0</v>
      </c>
      <c r="S58" s="10">
        <v>988.75</v>
      </c>
      <c r="T58" s="4"/>
      <c r="U58" s="4"/>
    </row>
    <row r="59" spans="1:21" x14ac:dyDescent="0.25">
      <c r="A59" s="4" t="s">
        <v>1504</v>
      </c>
      <c r="B59" s="4" t="s">
        <v>5502</v>
      </c>
      <c r="C59" s="4" t="str">
        <f>IFERROR(INDEX('Projekt-Budget-Übersicht'!$C:$C,MATCH(1691,'Projekt-Budget-Übersicht'!$L:$L,0)),"")</f>
        <v/>
      </c>
      <c r="D59" s="4">
        <v>30</v>
      </c>
      <c r="E59" s="4">
        <v>17.5</v>
      </c>
      <c r="F59" s="4">
        <v>8.25</v>
      </c>
      <c r="G59" s="16">
        <v>58.33</v>
      </c>
      <c r="H59" s="5"/>
      <c r="I59" s="5">
        <f t="shared" si="4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59" s="10">
        <f t="shared" si="5"/>
        <v>0</v>
      </c>
      <c r="N59" s="10">
        <f t="shared" si="6"/>
        <v>0</v>
      </c>
      <c r="O59" s="10">
        <f t="shared" si="7"/>
        <v>0</v>
      </c>
      <c r="P59" s="10">
        <f>'O. Haag BS-CAD'!M59</f>
        <v>0</v>
      </c>
      <c r="Q59" s="10">
        <v>30</v>
      </c>
      <c r="R59" s="10">
        <f>IFERROR(INDEX('Projekt-Budget-Übersicht'!$F:$F,MATCH(1691,'Projekt-Budget-Übersicht'!$L:$L,0)),0)</f>
        <v>0</v>
      </c>
      <c r="S59" s="10">
        <v>885</v>
      </c>
      <c r="T59" s="4"/>
      <c r="U59" s="4"/>
    </row>
    <row r="60" spans="1:21" x14ac:dyDescent="0.25">
      <c r="A60" s="4" t="s">
        <v>1505</v>
      </c>
      <c r="B60" s="4" t="s">
        <v>5614</v>
      </c>
      <c r="C60" s="4" t="str">
        <f>IFERROR(INDEX('Projekt-Budget-Übersicht'!$C:$C,MATCH(1694,'Projekt-Budget-Übersicht'!$L:$L,0)),"")</f>
        <v/>
      </c>
      <c r="D60" s="4">
        <v>100</v>
      </c>
      <c r="E60" s="4">
        <v>46.75</v>
      </c>
      <c r="F60" s="4">
        <v>1</v>
      </c>
      <c r="G60" s="16">
        <v>46.75</v>
      </c>
      <c r="H60" s="5"/>
      <c r="I60" s="5">
        <f t="shared" si="4"/>
        <v>0</v>
      </c>
      <c r="J60" s="4"/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IF($B$2="-",0,IFERROR(INDEX(IF($B$2="SV",'Projekt-Budget-Übersicht'!$I:$I,IF($B$2="CAD",'Projekt-Budget-Übersicht'!$J:$J,IF($B$2="ADM",'Projekt-Budget-Übersicht'!$K:$K,'Projekt-Budget-Übersicht'!$I:$I))),MATCH(1694,'Projekt-Budget-Übersicht'!$M:$M,0)),0))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'O. Haag BS-CAD'!M60</f>
        <v>0</v>
      </c>
      <c r="Q60" s="10">
        <v>108</v>
      </c>
      <c r="R60" s="10">
        <f>IFERROR(INDEX('Projekt-Budget-Übersicht'!$F:$F,MATCH(1694,'Projekt-Budget-Übersicht'!$L:$L,0)),0)</f>
        <v>0</v>
      </c>
      <c r="S60" s="10">
        <v>2337.5</v>
      </c>
      <c r="T60" s="4"/>
      <c r="U60" s="4"/>
    </row>
    <row r="61" spans="1:21" x14ac:dyDescent="0.25">
      <c r="A61" s="4" t="s">
        <v>1642</v>
      </c>
      <c r="B61" s="4" t="s">
        <v>5630</v>
      </c>
      <c r="C61" s="4" t="str">
        <f>IFERROR(INDEX('Projekt-Budget-Übersicht'!$C:$C,MATCH(1850,'Projekt-Budget-Übersicht'!$L:$L,0)),"")</f>
        <v/>
      </c>
      <c r="D61" s="4">
        <v>8</v>
      </c>
      <c r="E61" s="4">
        <v>4.5</v>
      </c>
      <c r="F61" s="4">
        <v>0.5</v>
      </c>
      <c r="G61" s="16">
        <v>56.25</v>
      </c>
      <c r="H61" s="5"/>
      <c r="I61" s="5">
        <f t="shared" si="4"/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IF($B$2="-",0,IFERROR(INDEX(IF($B$2="SV",'Projekt-Budget-Übersicht'!$I:$I,IF($B$2="CAD",'Projekt-Budget-Übersicht'!$J:$J,IF($B$2="ADM",'Projekt-Budget-Übersicht'!$K:$K,'Projekt-Budget-Übersicht'!$I:$I))),MATCH(1850,'Projekt-Budget-Übersicht'!$M:$M,0)),0))</f>
        <v>97.058823529411768</v>
      </c>
      <c r="M61" s="10">
        <f t="shared" si="5"/>
        <v>48.529411764705884</v>
      </c>
      <c r="N61" s="10">
        <f t="shared" si="6"/>
        <v>48.529411764705884</v>
      </c>
      <c r="O61" s="10">
        <f t="shared" si="7"/>
        <v>0</v>
      </c>
      <c r="P61" s="10">
        <f>'O. Haag BS-CAD'!M61</f>
        <v>48.529411764705884</v>
      </c>
      <c r="Q61" s="10">
        <v>17</v>
      </c>
      <c r="R61" s="10">
        <f>IFERROR(INDEX('Projekt-Budget-Übersicht'!$F:$F,MATCH(1850,'Projekt-Budget-Übersicht'!$L:$L,0)),0)</f>
        <v>0</v>
      </c>
      <c r="S61" s="10">
        <v>990</v>
      </c>
      <c r="T61" s="4"/>
      <c r="U61" s="4"/>
    </row>
    <row r="62" spans="1:21" x14ac:dyDescent="0.25">
      <c r="A62" s="4" t="s">
        <v>1762</v>
      </c>
      <c r="B62" s="4" t="s">
        <v>5502</v>
      </c>
      <c r="C62" s="4" t="str">
        <f>IFERROR(INDEX('Projekt-Budget-Übersicht'!$C:$C,MATCH(1988,'Projekt-Budget-Übersicht'!$L:$L,0)),"")</f>
        <v/>
      </c>
      <c r="D62" s="4">
        <v>4</v>
      </c>
      <c r="E62" s="4">
        <v>2</v>
      </c>
      <c r="F62" s="4">
        <v>2</v>
      </c>
      <c r="G62" s="16">
        <v>50</v>
      </c>
      <c r="H62" s="5"/>
      <c r="I62" s="5">
        <f t="shared" si="4"/>
        <v>0</v>
      </c>
      <c r="J62" s="4"/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128</v>
      </c>
      <c r="M62" s="10">
        <f t="shared" si="5"/>
        <v>256</v>
      </c>
      <c r="N62" s="10">
        <f t="shared" si="6"/>
        <v>256</v>
      </c>
      <c r="O62" s="10">
        <f t="shared" si="7"/>
        <v>0</v>
      </c>
      <c r="P62" s="10">
        <f>'O. Haag BS-CAD'!M62</f>
        <v>256</v>
      </c>
      <c r="Q62" s="10">
        <v>25</v>
      </c>
      <c r="R62" s="10">
        <f>IFERROR(INDEX('Projekt-Budget-Übersicht'!$F:$F,MATCH(1988,'Projekt-Budget-Übersicht'!$L:$L,0)),0)</f>
        <v>0</v>
      </c>
      <c r="S62" s="10">
        <v>1892.5</v>
      </c>
      <c r="T62" s="4"/>
      <c r="U62" s="4"/>
    </row>
    <row r="63" spans="1:21" x14ac:dyDescent="0.25">
      <c r="A63" s="4" t="s">
        <v>2110</v>
      </c>
      <c r="B63" s="4" t="s">
        <v>5631</v>
      </c>
      <c r="C63" s="4" t="str">
        <f>IFERROR(INDEX('Projekt-Budget-Übersicht'!$C:$C,MATCH(2477,'Projekt-Budget-Übersicht'!$L:$L,0)),"")</f>
        <v/>
      </c>
      <c r="D63" s="4">
        <v>15</v>
      </c>
      <c r="E63" s="4">
        <v>9.25</v>
      </c>
      <c r="F63" s="4">
        <v>0.25</v>
      </c>
      <c r="G63" s="16">
        <v>61.67</v>
      </c>
      <c r="H63" s="5"/>
      <c r="I63" s="5">
        <f t="shared" si="4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IF($B$2="-",0,IFERROR(INDEX(IF($B$2="SV",'Projekt-Budget-Übersicht'!$I:$I,IF($B$2="CAD",'Projekt-Budget-Übersicht'!$J:$J,IF($B$2="ADM",'Projekt-Budget-Übersicht'!$K:$K,'Projekt-Budget-Übersicht'!$I:$I))),MATCH(2477,'Projekt-Budget-Übersicht'!$M:$M,0)),0))</f>
        <v>66.666666666666671</v>
      </c>
      <c r="M63" s="10">
        <f t="shared" si="5"/>
        <v>16.666666666666668</v>
      </c>
      <c r="N63" s="10">
        <f t="shared" si="6"/>
        <v>16.666666666666668</v>
      </c>
      <c r="O63" s="10">
        <f t="shared" si="7"/>
        <v>0</v>
      </c>
      <c r="P63" s="10">
        <f>'O. Haag BS-CAD'!M63</f>
        <v>16.666666666666668</v>
      </c>
      <c r="Q63" s="10">
        <v>15</v>
      </c>
      <c r="R63" s="10">
        <f>IFERROR(INDEX('Projekt-Budget-Übersicht'!$F:$F,MATCH(2477,'Projekt-Budget-Übersicht'!$L:$L,0)),0)</f>
        <v>0</v>
      </c>
      <c r="S63" s="10">
        <v>462.5</v>
      </c>
      <c r="T63" s="4"/>
      <c r="U63" s="4"/>
    </row>
    <row r="64" spans="1:21" x14ac:dyDescent="0.25">
      <c r="A64" s="4" t="s">
        <v>2442</v>
      </c>
      <c r="B64" s="4" t="s">
        <v>5498</v>
      </c>
      <c r="C64" s="4" t="str">
        <f>IFERROR(INDEX('Projekt-Budget-Übersicht'!$C:$C,MATCH(2771,'Projekt-Budget-Übersicht'!$L:$L,0)),"")</f>
        <v/>
      </c>
      <c r="D64" s="4">
        <v>30</v>
      </c>
      <c r="E64" s="4">
        <v>12</v>
      </c>
      <c r="F64" s="4">
        <v>3</v>
      </c>
      <c r="G64" s="16">
        <v>40</v>
      </c>
      <c r="H64" s="5"/>
      <c r="I64" s="5">
        <f t="shared" si="4"/>
        <v>0</v>
      </c>
      <c r="J64" s="4"/>
      <c r="K64" s="5">
        <f>IF('R. Wagen CAD'!J41="O. Haag BS-CAD",'R. Wagen CAD'!I41,0)</f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IF($B$2="-",0,IFERROR(INDEX(IF($B$2="SV",'Projekt-Budget-Übersicht'!$I:$I,IF($B$2="CAD",'Projekt-Budget-Übersicht'!$J:$J,IF($B$2="ADM",'Projekt-Budget-Übersicht'!$K:$K,'Projekt-Budget-Übersicht'!$I:$I))),MATCH(2771,'Projekt-Budget-Übersicht'!$M:$M,0)),0))</f>
        <v>0</v>
      </c>
      <c r="M64" s="10">
        <f t="shared" si="5"/>
        <v>0</v>
      </c>
      <c r="N64" s="10">
        <f t="shared" si="6"/>
        <v>0</v>
      </c>
      <c r="O64" s="10">
        <f t="shared" si="7"/>
        <v>0</v>
      </c>
      <c r="P64" s="10">
        <f>'O. Haag BS-CAD'!M64+'R. Wagen CAD'!M41</f>
        <v>0</v>
      </c>
      <c r="Q64" s="10">
        <v>80</v>
      </c>
      <c r="R64" s="10">
        <f>IFERROR(INDEX('Projekt-Budget-Übersicht'!$F:$F,MATCH(2771,'Projekt-Budget-Übersicht'!$L:$L,0)),0)</f>
        <v>0</v>
      </c>
      <c r="S64" s="10">
        <v>650</v>
      </c>
      <c r="T64" s="4"/>
      <c r="U64" s="4"/>
    </row>
    <row r="65" spans="1:21" x14ac:dyDescent="0.25">
      <c r="A65" s="4" t="s">
        <v>2472</v>
      </c>
      <c r="B65" s="4" t="s">
        <v>5486</v>
      </c>
      <c r="C65" s="4" t="str">
        <f>IFERROR(INDEX('Projekt-Budget-Übersicht'!$C:$C,MATCH(2795,'Projekt-Budget-Übersicht'!$L:$L,0)),"")</f>
        <v/>
      </c>
      <c r="D65" s="4">
        <v>3</v>
      </c>
      <c r="E65" s="4">
        <v>8</v>
      </c>
      <c r="F65" s="4">
        <v>1</v>
      </c>
      <c r="G65" s="15">
        <v>266.67</v>
      </c>
      <c r="H65" s="5"/>
      <c r="I65" s="5">
        <f t="shared" si="4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IF($B$2="-",0,IFERROR(INDEX(IF($B$2="SV",'Projekt-Budget-Übersicht'!$I:$I,IF($B$2="CAD",'Projekt-Budget-Übersicht'!$J:$J,IF($B$2="ADM",'Projekt-Budget-Übersicht'!$K:$K,'Projekt-Budget-Übersicht'!$I:$I))),MATCH(2795,'Projekt-Budget-Übersicht'!$M:$M,0)),0))</f>
        <v>91.666666666666671</v>
      </c>
      <c r="M65" s="10">
        <f t="shared" si="5"/>
        <v>91.666666666666671</v>
      </c>
      <c r="N65" s="10">
        <f t="shared" si="6"/>
        <v>91.666666666666671</v>
      </c>
      <c r="O65" s="10">
        <f t="shared" si="7"/>
        <v>0</v>
      </c>
      <c r="P65" s="10">
        <f>'O. Haag BS-CAD'!M65</f>
        <v>91.666666666666671</v>
      </c>
      <c r="Q65" s="10">
        <v>427</v>
      </c>
      <c r="R65" s="10">
        <f>IFERROR(INDEX('Projekt-Budget-Übersicht'!$F:$F,MATCH(2795,'Projekt-Budget-Übersicht'!$L:$L,0)),0)</f>
        <v>0</v>
      </c>
      <c r="S65" s="10">
        <v>1857</v>
      </c>
      <c r="T65" s="4"/>
      <c r="U65" s="4"/>
    </row>
    <row r="66" spans="1:21" x14ac:dyDescent="0.25">
      <c r="A66" s="4" t="s">
        <v>2491</v>
      </c>
      <c r="B66" s="4" t="s">
        <v>5621</v>
      </c>
      <c r="C66" s="4" t="str">
        <f>IFERROR(INDEX('Projekt-Budget-Übersicht'!$C:$C,MATCH(2814,'Projekt-Budget-Übersicht'!$L:$L,0)),"")</f>
        <v/>
      </c>
      <c r="D66" s="4">
        <v>6</v>
      </c>
      <c r="E66" s="4">
        <v>7.75</v>
      </c>
      <c r="F66" s="4">
        <v>0.5</v>
      </c>
      <c r="G66" s="15">
        <v>129.16999999999999</v>
      </c>
      <c r="H66" s="5"/>
      <c r="I66" s="5">
        <f t="shared" si="4"/>
        <v>0</v>
      </c>
      <c r="J66" s="4"/>
      <c r="K66" s="5"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26.056338028169019</v>
      </c>
      <c r="M66" s="10">
        <f t="shared" si="5"/>
        <v>13.02816901408451</v>
      </c>
      <c r="N66" s="10">
        <f t="shared" si="6"/>
        <v>13.02816901408451</v>
      </c>
      <c r="O66" s="10">
        <f t="shared" si="7"/>
        <v>0</v>
      </c>
      <c r="P66" s="10">
        <f>'O. Haag BS-CAD'!M66</f>
        <v>13.02816901408451</v>
      </c>
      <c r="Q66" s="10">
        <v>71</v>
      </c>
      <c r="R66" s="10">
        <f>IFERROR(INDEX('Projekt-Budget-Übersicht'!$F:$F,MATCH(2814,'Projekt-Budget-Übersicht'!$L:$L,0)),0)</f>
        <v>0</v>
      </c>
      <c r="S66" s="10">
        <v>1280</v>
      </c>
      <c r="T66" s="4"/>
      <c r="U66" s="4"/>
    </row>
    <row r="67" spans="1:21" x14ac:dyDescent="0.25">
      <c r="A67" s="4" t="s">
        <v>3214</v>
      </c>
      <c r="B67" s="4" t="s">
        <v>5632</v>
      </c>
      <c r="C67" s="4" t="str">
        <f>IFERROR(INDEX('Projekt-Budget-Übersicht'!$C:$C,MATCH(3447,'Projekt-Budget-Übersicht'!$L:$L,0)),"")</f>
        <v/>
      </c>
      <c r="D67" s="4">
        <v>154</v>
      </c>
      <c r="E67" s="4">
        <v>96.25</v>
      </c>
      <c r="F67" s="4">
        <v>0.25</v>
      </c>
      <c r="G67" s="16">
        <v>62.5</v>
      </c>
      <c r="H67" s="5"/>
      <c r="I67" s="5">
        <f t="shared" si="4"/>
        <v>0</v>
      </c>
      <c r="J67" s="4"/>
      <c r="K67" s="5">
        <f>IF('R. Wagen CAD'!J42="O. Haag BS-CAD",'R. Wagen CAD'!I42,0)</f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IF($B$2="-",0,IFERROR(INDEX(IF($B$2="SV",'Projekt-Budget-Übersicht'!$I:$I,IF($B$2="CAD",'Projekt-Budget-Übersicht'!$J:$J,IF($B$2="ADM",'Projekt-Budget-Übersicht'!$K:$K,'Projekt-Budget-Übersicht'!$I:$I))),MATCH(3447,'Projekt-Budget-Übersicht'!$M:$M,0)),0))</f>
        <v>60.714285714285722</v>
      </c>
      <c r="M67" s="10">
        <f t="shared" si="5"/>
        <v>15.178571428571431</v>
      </c>
      <c r="N67" s="10">
        <f t="shared" si="6"/>
        <v>15.178571428571431</v>
      </c>
      <c r="O67" s="10">
        <f t="shared" si="7"/>
        <v>0</v>
      </c>
      <c r="P67" s="10">
        <f>'O. Haag BS-CAD'!M67+'R. Wagen CAD'!M42</f>
        <v>45.535714285714292</v>
      </c>
      <c r="Q67" s="10">
        <v>154</v>
      </c>
      <c r="R67" s="10">
        <f>IFERROR(INDEX('Projekt-Budget-Übersicht'!$F:$F,MATCH(3447,'Projekt-Budget-Übersicht'!$L:$L,0)),0)</f>
        <v>0</v>
      </c>
      <c r="S67" s="10">
        <v>4812.5</v>
      </c>
      <c r="T67" s="4"/>
      <c r="U67" s="4"/>
    </row>
    <row r="68" spans="1:21" x14ac:dyDescent="0.25">
      <c r="A68" s="4" t="s">
        <v>3822</v>
      </c>
      <c r="B68" s="4" t="s">
        <v>5486</v>
      </c>
      <c r="C68" s="4" t="str">
        <f>IFERROR(INDEX('Projekt-Budget-Übersicht'!$C:$C,MATCH(3980,'Projekt-Budget-Übersicht'!$L:$L,0)),"")</f>
        <v/>
      </c>
      <c r="D68" s="4">
        <v>5</v>
      </c>
      <c r="E68" s="4">
        <v>5</v>
      </c>
      <c r="F68" s="4">
        <v>5</v>
      </c>
      <c r="G68" s="14">
        <v>100</v>
      </c>
      <c r="H68" s="5"/>
      <c r="I68" s="5">
        <f t="shared" si="4"/>
        <v>0</v>
      </c>
      <c r="J68" s="4"/>
      <c r="K68" s="5"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IF($B$2="-",0,IFERROR(INDEX(IF($B$2="SV",'Projekt-Budget-Übersicht'!$I:$I,IF($B$2="CAD",'Projekt-Budget-Übersicht'!$J:$J,IF($B$2="ADM",'Projekt-Budget-Übersicht'!$K:$K,'Projekt-Budget-Übersicht'!$I:$I))),MATCH(3980,'Projekt-Budget-Übersicht'!$M:$M,0)),0))</f>
        <v>118.1818181818182</v>
      </c>
      <c r="M68" s="10">
        <f t="shared" si="5"/>
        <v>590.90909090909099</v>
      </c>
      <c r="N68" s="10">
        <f t="shared" si="6"/>
        <v>590.90909090909099</v>
      </c>
      <c r="O68" s="10">
        <f t="shared" si="7"/>
        <v>0</v>
      </c>
      <c r="P68" s="10">
        <f>'O. Haag BS-CAD'!M68</f>
        <v>590.90909090909099</v>
      </c>
      <c r="Q68" s="10">
        <v>58</v>
      </c>
      <c r="R68" s="10">
        <f>IFERROR(INDEX('Projekt-Budget-Übersicht'!$F:$F,MATCH(3980,'Projekt-Budget-Übersicht'!$L:$L,0)),0)</f>
        <v>0</v>
      </c>
      <c r="S68" s="10">
        <v>267.5</v>
      </c>
      <c r="T68" s="4"/>
      <c r="U68" s="4"/>
    </row>
    <row r="69" spans="1:21" x14ac:dyDescent="0.25">
      <c r="A69" s="4" t="s">
        <v>3956</v>
      </c>
      <c r="B69" s="4" t="s">
        <v>5502</v>
      </c>
      <c r="C69" s="4" t="str">
        <f>IFERROR(INDEX('Projekt-Budget-Übersicht'!$C:$C,MATCH(4091,'Projekt-Budget-Übersicht'!$L:$L,0)),"")</f>
        <v/>
      </c>
      <c r="D69" s="4">
        <v>16</v>
      </c>
      <c r="E69" s="4">
        <v>16.25</v>
      </c>
      <c r="F69" s="4">
        <v>6.25</v>
      </c>
      <c r="G69" s="15">
        <v>101.56</v>
      </c>
      <c r="H69" s="5"/>
      <c r="I69" s="5">
        <f t="shared" si="4"/>
        <v>0</v>
      </c>
      <c r="J69" s="4"/>
      <c r="K69" s="5"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IF($B$2="-",0,IFERROR(INDEX(IF($B$2="SV",'Projekt-Budget-Übersicht'!$I:$I,IF($B$2="CAD",'Projekt-Budget-Übersicht'!$J:$J,IF($B$2="ADM",'Projekt-Budget-Übersicht'!$K:$K,'Projekt-Budget-Übersicht'!$I:$I))),MATCH(4091,'Projekt-Budget-Übersicht'!$M:$M,0)),0))</f>
        <v>0</v>
      </c>
      <c r="M69" s="10">
        <f t="shared" si="5"/>
        <v>0</v>
      </c>
      <c r="N69" s="10">
        <f t="shared" si="6"/>
        <v>0</v>
      </c>
      <c r="O69" s="10">
        <f t="shared" si="7"/>
        <v>0</v>
      </c>
      <c r="P69" s="10">
        <f>'O. Haag BS-CAD'!M69</f>
        <v>0</v>
      </c>
      <c r="Q69" s="10">
        <v>16</v>
      </c>
      <c r="R69" s="10">
        <f>IFERROR(INDEX('Projekt-Budget-Übersicht'!$F:$F,MATCH(4091,'Projekt-Budget-Übersicht'!$L:$L,0)),0)</f>
        <v>0</v>
      </c>
      <c r="S69" s="10">
        <v>412.5</v>
      </c>
      <c r="T69" s="4"/>
      <c r="U69" s="4"/>
    </row>
    <row r="70" spans="1:21" x14ac:dyDescent="0.25">
      <c r="A70" s="4" t="s">
        <v>3987</v>
      </c>
      <c r="B70" s="4" t="s">
        <v>5502</v>
      </c>
      <c r="C70" s="4" t="str">
        <f>IFERROR(INDEX('Projekt-Budget-Übersicht'!$C:$C,MATCH(4118,'Projekt-Budget-Übersicht'!$L:$L,0)),"")</f>
        <v/>
      </c>
      <c r="D70" s="4">
        <v>4</v>
      </c>
      <c r="E70" s="4">
        <v>4</v>
      </c>
      <c r="F70" s="4">
        <v>2</v>
      </c>
      <c r="G70" s="14">
        <v>100</v>
      </c>
      <c r="H70" s="5"/>
      <c r="I70" s="5">
        <f t="shared" si="4"/>
        <v>0</v>
      </c>
      <c r="J70" s="4"/>
      <c r="K70" s="5">
        <v>0</v>
      </c>
      <c r="L70" s="10">
        <f>IF($B$2="-",0,IFERROR(INDEX(IF($B$2="SV",'Projekt-Budget-Übersicht'!$I:$I,IF($B$2="CAD",'Projekt-Budget-Übersicht'!$J:$J,IF($B$2="ADM",'Projekt-Budget-Übersicht'!$K:$K,'Projekt-Budget-Übersicht'!$I:$I))),MATCH(4118,'Projekt-Budget-Übersicht'!$M:$M,0)),0))</f>
        <v>126.6666666666667</v>
      </c>
      <c r="M70" s="10">
        <f t="shared" si="5"/>
        <v>253.3333333333334</v>
      </c>
      <c r="N70" s="10">
        <f t="shared" si="6"/>
        <v>253.3333333333334</v>
      </c>
      <c r="O70" s="10">
        <f t="shared" si="7"/>
        <v>0</v>
      </c>
      <c r="P70" s="10">
        <f>'O. Haag BS-CAD'!M70</f>
        <v>253.3333333333334</v>
      </c>
      <c r="Q70" s="10">
        <v>30</v>
      </c>
      <c r="R70" s="10">
        <f>IFERROR(INDEX('Projekt-Budget-Übersicht'!$F:$F,MATCH(4118,'Projekt-Budget-Übersicht'!$L:$L,0)),0)</f>
        <v>0</v>
      </c>
      <c r="S70" s="10">
        <v>236.25</v>
      </c>
      <c r="T70" s="4"/>
      <c r="U70" s="4"/>
    </row>
    <row r="71" spans="1:21" x14ac:dyDescent="0.25">
      <c r="A71" s="4" t="s">
        <v>4109</v>
      </c>
      <c r="B71" s="4" t="s">
        <v>5596</v>
      </c>
      <c r="C71" s="4" t="str">
        <f>IFERROR(INDEX('Projekt-Budget-Übersicht'!$C:$C,MATCH(4225,'Projekt-Budget-Übersicht'!$L:$L,0)),"")</f>
        <v/>
      </c>
      <c r="D71" s="4">
        <v>46</v>
      </c>
      <c r="E71" s="4">
        <v>2.5</v>
      </c>
      <c r="F71" s="4">
        <v>2.5</v>
      </c>
      <c r="G71" s="16">
        <v>5.43</v>
      </c>
      <c r="H71" s="5"/>
      <c r="I71" s="5">
        <f t="shared" si="4"/>
        <v>0</v>
      </c>
      <c r="J71" s="4"/>
      <c r="K71" s="5">
        <f>IF('J. Dorn'!J71="O. Haag BS-CAD",'J. Dorn'!I71,0)</f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IF($B$2="-",0,IFERROR(INDEX(IF($B$2="SV",'Projekt-Budget-Übersicht'!$I:$I,IF($B$2="CAD",'Projekt-Budget-Übersicht'!$J:$J,IF($B$2="ADM",'Projekt-Budget-Übersicht'!$K:$K,'Projekt-Budget-Übersicht'!$I:$I))),MATCH(4225,'Projekt-Budget-Übersicht'!$M:$M,0)),0))</f>
        <v>0</v>
      </c>
      <c r="M71" s="10">
        <f t="shared" si="5"/>
        <v>0</v>
      </c>
      <c r="N71" s="10">
        <f t="shared" si="6"/>
        <v>0</v>
      </c>
      <c r="O71" s="10">
        <f t="shared" si="7"/>
        <v>0</v>
      </c>
      <c r="P71" s="10">
        <f>'J. Dorn'!M71+'O. Haag BS-CAD'!M71</f>
        <v>0</v>
      </c>
      <c r="Q71" s="10">
        <v>108</v>
      </c>
      <c r="R71" s="10">
        <f>IFERROR(INDEX('Projekt-Budget-Übersicht'!$F:$F,MATCH(4225,'Projekt-Budget-Übersicht'!$L:$L,0)),0)</f>
        <v>0</v>
      </c>
      <c r="S71" s="10">
        <v>210.79</v>
      </c>
      <c r="T71" s="4"/>
      <c r="U71" s="4"/>
    </row>
    <row r="72" spans="1:21" x14ac:dyDescent="0.25">
      <c r="A72" s="4" t="s">
        <v>4325</v>
      </c>
      <c r="B72" s="4" t="s">
        <v>5620</v>
      </c>
      <c r="C72" s="4" t="str">
        <f>IFERROR(INDEX('Projekt-Budget-Übersicht'!$C:$C,MATCH(4404,'Projekt-Budget-Übersicht'!$L:$L,0)),"")</f>
        <v/>
      </c>
      <c r="D72" s="4">
        <v>8</v>
      </c>
      <c r="E72" s="4">
        <v>4.5</v>
      </c>
      <c r="F72" s="4">
        <v>0.25</v>
      </c>
      <c r="G72" s="16">
        <v>56.25</v>
      </c>
      <c r="H72" s="5"/>
      <c r="I72" s="5">
        <f t="shared" si="4"/>
        <v>0</v>
      </c>
      <c r="J72" s="4"/>
      <c r="K72" s="5">
        <f>IF('R. Wagen CAD'!J44="O. Haag BS-CAD",'R. Wagen CAD'!I44,0)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IF($B$2="-",0,IFERROR(INDEX(IF($B$2="SV",'Projekt-Budget-Übersicht'!$I:$I,IF($B$2="CAD",'Projekt-Budget-Übersicht'!$J:$J,IF($B$2="ADM",'Projekt-Budget-Übersicht'!$K:$K,'Projekt-Budget-Übersicht'!$I:$I))),MATCH(4404,'Projekt-Budget-Übersicht'!$M:$M,0)),0))</f>
        <v>81.25</v>
      </c>
      <c r="M72" s="10">
        <f t="shared" si="5"/>
        <v>20.3125</v>
      </c>
      <c r="N72" s="10">
        <f t="shared" si="6"/>
        <v>20.3125</v>
      </c>
      <c r="O72" s="10">
        <f t="shared" si="7"/>
        <v>0</v>
      </c>
      <c r="P72" s="10">
        <f>'O. Haag BS-CAD'!M72+'R. Wagen CAD'!M44</f>
        <v>81.25</v>
      </c>
      <c r="Q72" s="10">
        <v>19</v>
      </c>
      <c r="R72" s="10">
        <f>IFERROR(INDEX('Projekt-Budget-Übersicht'!$F:$F,MATCH(4404,'Projekt-Budget-Übersicht'!$L:$L,0)),0)</f>
        <v>0</v>
      </c>
      <c r="S72" s="10">
        <v>225</v>
      </c>
      <c r="T72" s="4"/>
      <c r="U72" s="4"/>
    </row>
    <row r="73" spans="1:21" x14ac:dyDescent="0.25">
      <c r="A73" s="4" t="s">
        <v>4461</v>
      </c>
      <c r="B73" s="4" t="s">
        <v>5633</v>
      </c>
      <c r="C73" s="4" t="str">
        <f>IFERROR(INDEX('Projekt-Budget-Übersicht'!$C:$C,MATCH(4529,'Projekt-Budget-Übersicht'!$L:$L,0)),"")</f>
        <v/>
      </c>
      <c r="D73" s="4">
        <v>0</v>
      </c>
      <c r="E73" s="4">
        <v>7.75</v>
      </c>
      <c r="F73" s="4">
        <v>7.75</v>
      </c>
      <c r="G73" s="4">
        <v>0</v>
      </c>
      <c r="H73" s="5"/>
      <c r="I73" s="5">
        <f t="shared" si="4"/>
        <v>0</v>
      </c>
      <c r="J73" s="4"/>
      <c r="K73" s="5"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IF($B$2="-",0,IFERROR(INDEX(IF($B$2="SV",'Projekt-Budget-Übersicht'!$I:$I,IF($B$2="CAD",'Projekt-Budget-Übersicht'!$J:$J,IF($B$2="ADM",'Projekt-Budget-Übersicht'!$K:$K,'Projekt-Budget-Übersicht'!$I:$I))),MATCH(4529,'Projekt-Budget-Übersicht'!$M:$M,0)),0))</f>
        <v>0</v>
      </c>
      <c r="M73" s="10">
        <f t="shared" si="5"/>
        <v>0</v>
      </c>
      <c r="N73" s="10">
        <f t="shared" si="6"/>
        <v>0</v>
      </c>
      <c r="O73" s="10">
        <f t="shared" si="7"/>
        <v>0</v>
      </c>
      <c r="P73" s="10">
        <f>'O. Haag BS-CAD'!M73</f>
        <v>0</v>
      </c>
      <c r="Q73" s="10"/>
      <c r="R73" s="10">
        <f>IFERROR(INDEX('Projekt-Budget-Übersicht'!$F:$F,MATCH(4529,'Projekt-Budget-Übersicht'!$L:$L,0)),0)</f>
        <v>0</v>
      </c>
      <c r="S73" s="10">
        <v>387.5</v>
      </c>
      <c r="T73" s="4"/>
      <c r="U73" s="4"/>
    </row>
    <row r="74" spans="1:21" x14ac:dyDescent="0.25">
      <c r="A74" s="4" t="s">
        <v>4475</v>
      </c>
      <c r="B74" s="4" t="s">
        <v>5504</v>
      </c>
      <c r="C74" s="4" t="str">
        <f>IFERROR(INDEX('Projekt-Budget-Übersicht'!$C:$C,MATCH(4547,'Projekt-Budget-Übersicht'!$L:$L,0)),"")</f>
        <v/>
      </c>
      <c r="D74" s="4">
        <v>17</v>
      </c>
      <c r="E74" s="4">
        <v>12.75</v>
      </c>
      <c r="F74" s="4">
        <v>0.25</v>
      </c>
      <c r="G74" s="16">
        <v>75</v>
      </c>
      <c r="H74" s="5"/>
      <c r="I74" s="5">
        <f t="shared" si="4"/>
        <v>0</v>
      </c>
      <c r="J74" s="4"/>
      <c r="K74" s="5"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IF($B$2="-",0,IFERROR(INDEX(IF($B$2="SV",'Projekt-Budget-Übersicht'!$I:$I,IF($B$2="CAD",'Projekt-Budget-Übersicht'!$J:$J,IF($B$2="ADM",'Projekt-Budget-Übersicht'!$K:$K,'Projekt-Budget-Übersicht'!$I:$I))),MATCH(4547,'Projekt-Budget-Übersicht'!$M:$M,0)),0))</f>
        <v>0</v>
      </c>
      <c r="M74" s="10">
        <f t="shared" si="5"/>
        <v>0</v>
      </c>
      <c r="N74" s="10">
        <f t="shared" si="6"/>
        <v>0</v>
      </c>
      <c r="O74" s="10">
        <f t="shared" si="7"/>
        <v>0</v>
      </c>
      <c r="P74" s="10">
        <f>'O. Haag BS-CAD'!M74</f>
        <v>0</v>
      </c>
      <c r="Q74" s="10">
        <v>17</v>
      </c>
      <c r="R74" s="10">
        <f>IFERROR(INDEX('Projekt-Budget-Übersicht'!$F:$F,MATCH(4547,'Projekt-Budget-Übersicht'!$L:$L,0)),0)</f>
        <v>0</v>
      </c>
      <c r="S74" s="10">
        <v>1097.5</v>
      </c>
      <c r="T74" s="4"/>
      <c r="U74" s="4"/>
    </row>
    <row r="75" spans="1:21" x14ac:dyDescent="0.25">
      <c r="A75" s="4" t="s">
        <v>4552</v>
      </c>
      <c r="B75" s="4" t="s">
        <v>5624</v>
      </c>
      <c r="C75" s="4" t="str">
        <f>IFERROR(INDEX('Projekt-Budget-Übersicht'!$C:$C,MATCH(4605,'Projekt-Budget-Übersicht'!$L:$L,0)),"")</f>
        <v/>
      </c>
      <c r="D75" s="4">
        <v>20</v>
      </c>
      <c r="E75" s="4">
        <v>12.25</v>
      </c>
      <c r="F75" s="4">
        <v>0.5</v>
      </c>
      <c r="G75" s="16">
        <v>61.25</v>
      </c>
      <c r="H75" s="5"/>
      <c r="I75" s="5">
        <f t="shared" si="4"/>
        <v>0</v>
      </c>
      <c r="J75" s="4"/>
      <c r="K75" s="5"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IF($B$2="-",0,IFERROR(INDEX(IF($B$2="SV",'Projekt-Budget-Übersicht'!$I:$I,IF($B$2="CAD",'Projekt-Budget-Übersicht'!$J:$J,IF($B$2="ADM",'Projekt-Budget-Übersicht'!$K:$K,'Projekt-Budget-Übersicht'!$I:$I))),MATCH(4605,'Projekt-Budget-Übersicht'!$M:$M,0)),0))</f>
        <v>85</v>
      </c>
      <c r="M75" s="10">
        <f t="shared" si="5"/>
        <v>42.5</v>
      </c>
      <c r="N75" s="10">
        <f t="shared" si="6"/>
        <v>42.5</v>
      </c>
      <c r="O75" s="10">
        <f t="shared" si="7"/>
        <v>0</v>
      </c>
      <c r="P75" s="10">
        <f>'O. Haag BS-CAD'!M75</f>
        <v>42.5</v>
      </c>
      <c r="Q75" s="10">
        <v>34</v>
      </c>
      <c r="R75" s="10">
        <f>IFERROR(INDEX('Projekt-Budget-Übersicht'!$F:$F,MATCH(4605,'Projekt-Budget-Übersicht'!$L:$L,0)),0)</f>
        <v>0</v>
      </c>
      <c r="S75" s="10">
        <v>575</v>
      </c>
      <c r="T75" s="4"/>
      <c r="U75" s="4"/>
    </row>
    <row r="76" spans="1:21" x14ac:dyDescent="0.25">
      <c r="A76" s="4" t="s">
        <v>4671</v>
      </c>
      <c r="B76" s="4" t="s">
        <v>5634</v>
      </c>
      <c r="C76" s="4" t="str">
        <f>IFERROR(INDEX('Projekt-Budget-Übersicht'!$C:$C,MATCH(4703,'Projekt-Budget-Übersicht'!$L:$L,0)),"")</f>
        <v/>
      </c>
      <c r="D76" s="4">
        <v>7.5</v>
      </c>
      <c r="E76" s="4">
        <v>0.5</v>
      </c>
      <c r="F76" s="4">
        <v>0.5</v>
      </c>
      <c r="G76" s="16">
        <v>6.67</v>
      </c>
      <c r="H76" s="5"/>
      <c r="I76" s="5">
        <f t="shared" si="4"/>
        <v>0</v>
      </c>
      <c r="J76" s="4"/>
      <c r="K76" s="5"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76" s="10">
        <f t="shared" si="5"/>
        <v>47.385620915032682</v>
      </c>
      <c r="N76" s="10">
        <f t="shared" si="6"/>
        <v>47.385620915032682</v>
      </c>
      <c r="O76" s="10">
        <f t="shared" si="7"/>
        <v>0</v>
      </c>
      <c r="P76" s="10">
        <f>'O. Haag BS-CAD'!M76</f>
        <v>47.385620915032682</v>
      </c>
      <c r="Q76" s="10">
        <v>92.5</v>
      </c>
      <c r="R76" s="10">
        <f>IFERROR(INDEX('Projekt-Budget-Übersicht'!$F:$F,MATCH(4703,'Projekt-Budget-Übersicht'!$L:$L,0)),0)</f>
        <v>0</v>
      </c>
      <c r="S76" s="10">
        <v>2335</v>
      </c>
      <c r="T76" s="4"/>
      <c r="U76" s="4"/>
    </row>
    <row r="77" spans="1:21" x14ac:dyDescent="0.25">
      <c r="A77" s="4" t="s">
        <v>4809</v>
      </c>
      <c r="B77" s="4" t="s">
        <v>5502</v>
      </c>
      <c r="C77" s="4" t="str">
        <f>IFERROR(INDEX('Projekt-Budget-Übersicht'!$C:$C,MATCH(4813,'Projekt-Budget-Übersicht'!$L:$L,0)),"")</f>
        <v/>
      </c>
      <c r="D77" s="4">
        <v>6</v>
      </c>
      <c r="E77" s="4">
        <v>5</v>
      </c>
      <c r="F77" s="4">
        <v>1</v>
      </c>
      <c r="G77" s="16">
        <v>83.33</v>
      </c>
      <c r="H77" s="5"/>
      <c r="I77" s="5">
        <f t="shared" si="4"/>
        <v>0</v>
      </c>
      <c r="J77" s="4"/>
      <c r="K77" s="5"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IF($B$2="-",0,IFERROR(INDEX(IF($B$2="SV",'Projekt-Budget-Übersicht'!$I:$I,IF($B$2="CAD",'Projekt-Budget-Übersicht'!$J:$J,IF($B$2="ADM",'Projekt-Budget-Übersicht'!$K:$K,'Projekt-Budget-Übersicht'!$I:$I))),MATCH(4813,'Projekt-Budget-Übersicht'!$M:$M,0)),0))</f>
        <v>118.5185185185185</v>
      </c>
      <c r="M77" s="10">
        <f t="shared" si="5"/>
        <v>118.5185185185185</v>
      </c>
      <c r="N77" s="10">
        <f t="shared" si="6"/>
        <v>118.5185185185185</v>
      </c>
      <c r="O77" s="10">
        <f t="shared" si="7"/>
        <v>0</v>
      </c>
      <c r="P77" s="10">
        <f>'O. Haag BS-CAD'!M77</f>
        <v>118.5185185185185</v>
      </c>
      <c r="Q77" s="10">
        <v>62</v>
      </c>
      <c r="R77" s="10">
        <f>IFERROR(INDEX('Projekt-Budget-Übersicht'!$F:$F,MATCH(4813,'Projekt-Budget-Übersicht'!$L:$L,0)),0)</f>
        <v>0</v>
      </c>
      <c r="S77" s="10">
        <v>440</v>
      </c>
      <c r="T77" s="4"/>
      <c r="U77" s="4"/>
    </row>
    <row r="78" spans="1:21" x14ac:dyDescent="0.25">
      <c r="A78" s="4" t="s">
        <v>4818</v>
      </c>
      <c r="B78" s="4" t="s">
        <v>5486</v>
      </c>
      <c r="C78" s="4" t="str">
        <f>IFERROR(INDEX('Projekt-Budget-Übersicht'!$C:$C,MATCH(4820,'Projekt-Budget-Übersicht'!$L:$L,0)),"")</f>
        <v/>
      </c>
      <c r="D78" s="4">
        <v>800</v>
      </c>
      <c r="E78" s="4">
        <v>5.75</v>
      </c>
      <c r="F78" s="4">
        <v>5.75</v>
      </c>
      <c r="G78" s="16">
        <v>0.72</v>
      </c>
      <c r="H78" s="5"/>
      <c r="I78" s="5">
        <f t="shared" si="4"/>
        <v>0</v>
      </c>
      <c r="J78" s="4"/>
      <c r="K78" s="5"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IF($B$2="-",0,IFERROR(INDEX(IF($B$2="SV",'Projekt-Budget-Übersicht'!$I:$I,IF($B$2="CAD",'Projekt-Budget-Übersicht'!$J:$J,IF($B$2="ADM",'Projekt-Budget-Übersicht'!$K:$K,'Projekt-Budget-Übersicht'!$I:$I))),MATCH(4820,'Projekt-Budget-Übersicht'!$M:$M,0)),0))</f>
        <v>1.1503067484662579</v>
      </c>
      <c r="M78" s="10">
        <f t="shared" si="5"/>
        <v>6.6142638036809833</v>
      </c>
      <c r="N78" s="10">
        <f t="shared" si="6"/>
        <v>6.6142638036809833</v>
      </c>
      <c r="O78" s="10">
        <f t="shared" si="7"/>
        <v>0</v>
      </c>
      <c r="P78" s="10">
        <f>'O. Haag BS-CAD'!M78</f>
        <v>6.6142638036809833</v>
      </c>
      <c r="Q78" s="10">
        <v>3275</v>
      </c>
      <c r="R78" s="10">
        <f>IFERROR(INDEX('Projekt-Budget-Übersicht'!$F:$F,MATCH(4820,'Projekt-Budget-Übersicht'!$L:$L,0)),0)</f>
        <v>0</v>
      </c>
      <c r="S78" s="10">
        <v>335.82</v>
      </c>
      <c r="T78" s="4"/>
      <c r="U78" s="4"/>
    </row>
    <row r="79" spans="1:21" x14ac:dyDescent="0.25">
      <c r="A79" s="4" t="s">
        <v>4923</v>
      </c>
      <c r="B79" s="4" t="s">
        <v>5486</v>
      </c>
      <c r="C79" s="4" t="s">
        <v>50</v>
      </c>
      <c r="D79" s="4">
        <v>0</v>
      </c>
      <c r="E79" s="4">
        <v>0</v>
      </c>
      <c r="F79" s="4">
        <v>4.25</v>
      </c>
      <c r="G79" s="4">
        <v>0</v>
      </c>
      <c r="H79" s="5"/>
      <c r="I79" s="5">
        <f t="shared" si="4"/>
        <v>0</v>
      </c>
      <c r="J79" s="4"/>
      <c r="K79" s="5">
        <v>0</v>
      </c>
      <c r="L79" s="10">
        <f>IF($B$2="-",0,0)</f>
        <v>0</v>
      </c>
      <c r="M79" s="10">
        <f t="shared" si="5"/>
        <v>0</v>
      </c>
      <c r="N79" s="10">
        <f t="shared" si="6"/>
        <v>0</v>
      </c>
      <c r="O79" s="10">
        <f t="shared" si="7"/>
        <v>0</v>
      </c>
      <c r="P79" s="10">
        <f>'O. Haag BS-CAD'!M79</f>
        <v>0</v>
      </c>
      <c r="Q79" s="10"/>
      <c r="R79" s="10">
        <f>0</f>
        <v>0</v>
      </c>
      <c r="S79" s="10"/>
      <c r="T79" s="4"/>
      <c r="U79" s="4"/>
    </row>
    <row r="80" spans="1:21" x14ac:dyDescent="0.25">
      <c r="A80" s="4" t="s">
        <v>5063</v>
      </c>
      <c r="B80" s="4" t="s">
        <v>5486</v>
      </c>
      <c r="C80" s="4" t="str">
        <f>IFERROR(INDEX('Projekt-Budget-Übersicht'!$C:$C,MATCH(5044,'Projekt-Budget-Übersicht'!$L:$L,0)),"")</f>
        <v/>
      </c>
      <c r="D80" s="4">
        <v>5</v>
      </c>
      <c r="E80" s="4">
        <v>4</v>
      </c>
      <c r="F80" s="4">
        <v>4</v>
      </c>
      <c r="G80" s="16">
        <v>80</v>
      </c>
      <c r="H80" s="5"/>
      <c r="I80" s="5">
        <f t="shared" si="4"/>
        <v>0</v>
      </c>
      <c r="J80" s="4"/>
      <c r="K80" s="5"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IF($B$2="-",0,IFERROR(INDEX(IF($B$2="SV",'Projekt-Budget-Übersicht'!$I:$I,IF($B$2="CAD",'Projekt-Budget-Übersicht'!$J:$J,IF($B$2="ADM",'Projekt-Budget-Übersicht'!$K:$K,'Projekt-Budget-Übersicht'!$I:$I))),MATCH(5044,'Projekt-Budget-Übersicht'!$M:$M,0)),0))</f>
        <v>127.27272727272729</v>
      </c>
      <c r="M80" s="10">
        <f t="shared" si="5"/>
        <v>509.09090909090918</v>
      </c>
      <c r="N80" s="10">
        <f t="shared" si="6"/>
        <v>509.09090909090918</v>
      </c>
      <c r="O80" s="10">
        <f t="shared" si="7"/>
        <v>0</v>
      </c>
      <c r="P80" s="10">
        <f>'O. Haag BS-CAD'!M80</f>
        <v>509.09090909090918</v>
      </c>
      <c r="Q80" s="10">
        <v>44</v>
      </c>
      <c r="R80" s="10">
        <f>IFERROR(INDEX('Projekt-Budget-Übersicht'!$F:$F,MATCH(5044,'Projekt-Budget-Übersicht'!$L:$L,0)),0)</f>
        <v>0</v>
      </c>
      <c r="S80" s="10">
        <v>235</v>
      </c>
      <c r="T80" s="4"/>
      <c r="U80" s="4"/>
    </row>
    <row r="81" spans="1:21" x14ac:dyDescent="0.25">
      <c r="A81" s="4" t="s">
        <v>5171</v>
      </c>
      <c r="B81" s="4" t="s">
        <v>5486</v>
      </c>
      <c r="C81" s="4" t="str">
        <f>IFERROR(INDEX('Projekt-Budget-Übersicht'!$C:$C,MATCH(5129,'Projekt-Budget-Übersicht'!$L:$L,0)),"")</f>
        <v/>
      </c>
      <c r="D81" s="4">
        <v>35</v>
      </c>
      <c r="E81" s="4">
        <v>23.75</v>
      </c>
      <c r="F81" s="4">
        <v>7.5</v>
      </c>
      <c r="G81" s="16">
        <v>67.86</v>
      </c>
      <c r="H81" s="5"/>
      <c r="I81" s="5">
        <f t="shared" si="4"/>
        <v>0</v>
      </c>
      <c r="J81" s="4"/>
      <c r="K81" s="5">
        <f>IF('M. Warner'!J12="O. Haag BS-CAD",'M. Warner'!I12,0)</f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IF($B$2="-",0,IFERROR(INDEX(IF($B$2="SV",'Projekt-Budget-Übersicht'!$I:$I,IF($B$2="CAD",'Projekt-Budget-Übersicht'!$J:$J,IF($B$2="ADM",'Projekt-Budget-Übersicht'!$K:$K,'Projekt-Budget-Übersicht'!$I:$I))),MATCH(5129,'Projekt-Budget-Übersicht'!$M:$M,0)),0))</f>
        <v>91.666666666666671</v>
      </c>
      <c r="M81" s="10">
        <f t="shared" si="5"/>
        <v>687.5</v>
      </c>
      <c r="N81" s="10">
        <f t="shared" si="6"/>
        <v>687.5</v>
      </c>
      <c r="O81" s="10">
        <f t="shared" si="7"/>
        <v>0</v>
      </c>
      <c r="P81" s="10">
        <f>'M. Warner'!M12+'O. Haag BS-CAD'!M81</f>
        <v>2177.0833333333335</v>
      </c>
      <c r="Q81" s="10">
        <v>36</v>
      </c>
      <c r="R81" s="10">
        <f>IFERROR(INDEX('Projekt-Budget-Übersicht'!$F:$F,MATCH(5129,'Projekt-Budget-Übersicht'!$L:$L,0)),0)</f>
        <v>0</v>
      </c>
      <c r="S81" s="10">
        <v>375</v>
      </c>
      <c r="T81" s="4"/>
      <c r="U81" s="4"/>
    </row>
    <row r="82" spans="1:21" x14ac:dyDescent="0.25">
      <c r="A82" s="4" t="s">
        <v>5186</v>
      </c>
      <c r="B82" s="4" t="s">
        <v>5635</v>
      </c>
      <c r="C82" s="4" t="str">
        <f>IFERROR(INDEX('Projekt-Budget-Übersicht'!$C:$C,MATCH(5139,'Projekt-Budget-Übersicht'!$L:$L,0)),"")</f>
        <v/>
      </c>
      <c r="D82" s="4">
        <v>8</v>
      </c>
      <c r="E82" s="4">
        <v>6.25</v>
      </c>
      <c r="F82" s="4">
        <v>0.5</v>
      </c>
      <c r="G82" s="16">
        <v>78.12</v>
      </c>
      <c r="H82" s="5"/>
      <c r="I82" s="5">
        <f t="shared" si="4"/>
        <v>0</v>
      </c>
      <c r="J82" s="4"/>
      <c r="K82" s="5"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IF($B$2="-",0,IFERROR(INDEX(IF($B$2="SV",'Projekt-Budget-Übersicht'!$I:$I,IF($B$2="CAD",'Projekt-Budget-Übersicht'!$J:$J,IF($B$2="ADM",'Projekt-Budget-Übersicht'!$K:$K,'Projekt-Budget-Übersicht'!$I:$I))),MATCH(5139,'Projekt-Budget-Übersicht'!$M:$M,0)),0))</f>
        <v>0</v>
      </c>
      <c r="M82" s="10">
        <f t="shared" si="5"/>
        <v>0</v>
      </c>
      <c r="N82" s="10">
        <f t="shared" si="6"/>
        <v>0</v>
      </c>
      <c r="O82" s="10">
        <f t="shared" si="7"/>
        <v>0</v>
      </c>
      <c r="P82" s="10">
        <f>'O. Haag BS-CAD'!M82</f>
        <v>0</v>
      </c>
      <c r="Q82" s="10">
        <v>51</v>
      </c>
      <c r="R82" s="10">
        <f>IFERROR(INDEX('Projekt-Budget-Übersicht'!$F:$F,MATCH(5139,'Projekt-Budget-Übersicht'!$L:$L,0)),0)</f>
        <v>0</v>
      </c>
      <c r="S82" s="10">
        <v>312.5</v>
      </c>
      <c r="T82" s="4"/>
      <c r="U82" s="4"/>
    </row>
    <row r="83" spans="1:21" x14ac:dyDescent="0.25">
      <c r="A83" s="4" t="s">
        <v>5215</v>
      </c>
      <c r="B83" s="4" t="s">
        <v>5486</v>
      </c>
      <c r="C83" s="4" t="str">
        <f>IFERROR(INDEX('Projekt-Budget-Übersicht'!$C:$C,MATCH(5170,'Projekt-Budget-Übersicht'!$L:$L,0)),"")</f>
        <v/>
      </c>
      <c r="D83" s="4">
        <v>58</v>
      </c>
      <c r="E83" s="4">
        <v>17</v>
      </c>
      <c r="F83" s="4">
        <v>8.5</v>
      </c>
      <c r="G83" s="16">
        <v>29.31</v>
      </c>
      <c r="H83" s="5"/>
      <c r="I83" s="5">
        <f t="shared" si="4"/>
        <v>0</v>
      </c>
      <c r="J83" s="4"/>
      <c r="K83" s="5">
        <f>IF('M. Warner'!J13="O. Haag BS-CAD",'M. Warner'!I13,0)</f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IF($B$2="-",0,IFERROR(INDEX(IF($B$2="SV",'Projekt-Budget-Übersicht'!$I:$I,IF($B$2="CAD",'Projekt-Budget-Übersicht'!$J:$J,IF($B$2="ADM",'Projekt-Budget-Übersicht'!$K:$K,'Projekt-Budget-Übersicht'!$I:$I))),MATCH(5170,'Projekt-Budget-Übersicht'!$M:$M,0)),0))</f>
        <v>0</v>
      </c>
      <c r="M83" s="10">
        <f t="shared" si="5"/>
        <v>0</v>
      </c>
      <c r="N83" s="10">
        <f t="shared" si="6"/>
        <v>0</v>
      </c>
      <c r="O83" s="10">
        <f t="shared" si="7"/>
        <v>0</v>
      </c>
      <c r="P83" s="10">
        <f>'M. Warner'!M13+'O. Haag BS-CAD'!M83</f>
        <v>0</v>
      </c>
      <c r="Q83" s="10">
        <v>186</v>
      </c>
      <c r="R83" s="10">
        <f>IFERROR(INDEX('Projekt-Budget-Übersicht'!$F:$F,MATCH(5170,'Projekt-Budget-Übersicht'!$L:$L,0)),0)</f>
        <v>0</v>
      </c>
      <c r="S83" s="10"/>
      <c r="T83" s="4"/>
      <c r="U83" s="4"/>
    </row>
    <row r="84" spans="1:21" x14ac:dyDescent="0.25">
      <c r="A84" s="3"/>
      <c r="B84" s="3" t="s">
        <v>5492</v>
      </c>
      <c r="C84" s="3"/>
      <c r="D84" s="3"/>
      <c r="E84" s="3"/>
      <c r="F84" s="6">
        <v>104.5</v>
      </c>
      <c r="G84" s="3"/>
      <c r="H84" s="3"/>
      <c r="I84" s="3"/>
      <c r="J84" s="3"/>
      <c r="K84" s="3"/>
      <c r="L84" s="3"/>
      <c r="M84" s="17">
        <f>SUM(M51:M83)</f>
        <v>3972.259060859391</v>
      </c>
      <c r="N84" s="17">
        <f>SUM(N51:N83)</f>
        <v>3972.259060859391</v>
      </c>
      <c r="O84" s="17">
        <f>SUM(O51:O83)</f>
        <v>0</v>
      </c>
      <c r="P84" s="17">
        <f>SUM(P51:P83)</f>
        <v>5553.137037049868</v>
      </c>
      <c r="Q84" s="3"/>
      <c r="R84" s="3"/>
      <c r="S84" s="3"/>
      <c r="T84" s="3"/>
      <c r="U84" s="3"/>
    </row>
    <row r="85" spans="1:21" x14ac:dyDescent="0.25">
      <c r="A85" s="3"/>
      <c r="B85" s="3" t="s">
        <v>4</v>
      </c>
      <c r="C85" s="3"/>
      <c r="D85" s="3"/>
      <c r="E85" s="3"/>
      <c r="F85" s="6">
        <f>G85+H85</f>
        <v>78.75</v>
      </c>
      <c r="G85" s="6">
        <v>78.75</v>
      </c>
      <c r="H85" s="6">
        <f>SUM(H53,H54,H55,H56,H57,H58,H59,H60,H61,H62,H63,H64,H65,H66,H67,H68,H69,H70,H71,H72,H73,H74,H75,H76,H77,H78,H79,H80,H81,H82,H83)</f>
        <v>0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1:21" x14ac:dyDescent="0.25">
      <c r="A86" s="3"/>
      <c r="B86" s="3" t="s">
        <v>5</v>
      </c>
      <c r="C86" s="3"/>
      <c r="D86" s="3"/>
      <c r="E86" s="3"/>
      <c r="F86" s="6">
        <f>G86+H86</f>
        <v>6</v>
      </c>
      <c r="G86" s="6">
        <v>6</v>
      </c>
      <c r="H86" s="6">
        <f>SUM(H51,H52)</f>
        <v>0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1:21" x14ac:dyDescent="0.25">
      <c r="A87" s="3"/>
      <c r="B87" s="3" t="s">
        <v>5493</v>
      </c>
      <c r="C87" s="3"/>
      <c r="D87" s="3"/>
      <c r="E87" s="3"/>
      <c r="F87" s="6">
        <f>SUM(K51:K83)</f>
        <v>0</v>
      </c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1:21" x14ac:dyDescent="0.25">
      <c r="A88" s="18"/>
      <c r="B88" s="18" t="s">
        <v>5494</v>
      </c>
      <c r="C88" s="18"/>
      <c r="D88" s="18"/>
      <c r="E88" s="18"/>
      <c r="F88" s="19">
        <f>F85+F86+F87</f>
        <v>84.75</v>
      </c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</row>
    <row r="90" spans="1:21" ht="15.75" x14ac:dyDescent="0.25">
      <c r="A90" s="2" t="s">
        <v>5512</v>
      </c>
    </row>
    <row r="91" spans="1:21" x14ac:dyDescent="0.25">
      <c r="A91" s="3" t="s">
        <v>35</v>
      </c>
      <c r="B91" s="3" t="s">
        <v>5461</v>
      </c>
      <c r="C91" s="3" t="s">
        <v>37</v>
      </c>
      <c r="D91" s="3" t="s">
        <v>5462</v>
      </c>
      <c r="E91" s="3" t="s">
        <v>5463</v>
      </c>
      <c r="F91" s="3" t="s">
        <v>5513</v>
      </c>
      <c r="G91" s="3" t="s">
        <v>5465</v>
      </c>
      <c r="H91" s="3" t="s">
        <v>5466</v>
      </c>
      <c r="I91" s="3" t="s">
        <v>5467</v>
      </c>
      <c r="J91" s="3" t="s">
        <v>5468</v>
      </c>
      <c r="K91" s="3" t="s">
        <v>5469</v>
      </c>
      <c r="L91" s="3" t="s">
        <v>5470</v>
      </c>
      <c r="M91" s="3" t="s">
        <v>5471</v>
      </c>
      <c r="N91" s="3" t="s">
        <v>5472</v>
      </c>
      <c r="O91" s="3" t="s">
        <v>5473</v>
      </c>
      <c r="P91" s="3" t="s">
        <v>5474</v>
      </c>
      <c r="Q91" s="3" t="s">
        <v>5475</v>
      </c>
      <c r="R91" s="3" t="s">
        <v>5476</v>
      </c>
      <c r="S91" s="3" t="s">
        <v>5477</v>
      </c>
      <c r="T91" s="3" t="s">
        <v>5478</v>
      </c>
      <c r="U91" s="3" t="s">
        <v>5479</v>
      </c>
    </row>
    <row r="92" spans="1:21" x14ac:dyDescent="0.25">
      <c r="A92" s="21" t="s">
        <v>61</v>
      </c>
      <c r="B92" s="4" t="s">
        <v>5480</v>
      </c>
      <c r="C92" s="4" t="str">
        <f>IFERROR(INDEX('Projekt-Budget-Übersicht'!$C:$C,MATCH(10,'Projekt-Budget-Übersicht'!$L:$L,0)),"")</f>
        <v/>
      </c>
      <c r="D92" s="4">
        <v>8</v>
      </c>
      <c r="E92" s="4">
        <v>7</v>
      </c>
      <c r="F92" s="4">
        <v>7</v>
      </c>
      <c r="G92" s="16">
        <v>87.5</v>
      </c>
      <c r="H92" s="5"/>
      <c r="I92" s="5">
        <f t="shared" ref="I92:I126" si="8">IF(H92=0,0,F92-H92)</f>
        <v>0</v>
      </c>
      <c r="J92" s="4"/>
      <c r="K92" s="5">
        <f>IF('A. Kokott'!J85="O. Haag BS-CAD",'A. Kokott'!I85,0)+IF('C. Trapp SV'!J56="O. Haag BS-CAD",'C. Trapp SV'!I56,0)+IF('D. Brucker'!J33="O. Haag BS-CAD",'D. Brucker'!I33,0)+IF('J. Dorn'!J83="O. Haag BS-CAD",'J. Dorn'!I83,0)+IF('S. Schüler'!J93="O. Haag BS-CAD",'S. Schüler'!I93,0)+IF('U. Sutter ADM'!J51="O. Haag BS-CAD",'U. Sutter ADM'!I51,0)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92" s="10">
        <f t="shared" ref="M92:M126" si="9">IF($B$2="-",0,IF(C92="Pauschale",IF(OR(R92=0,N(D92)=0),0,MAX(0,MIN(R92*((N(F92)+N(K92))/N(D92)),R92-R92*(N(E92)/N(D92))))),L92*(N(F92)+N(K92))))</f>
        <v>0</v>
      </c>
      <c r="N92" s="10">
        <f t="shared" ref="N92:N126" si="10">IF($B$2="-",0,IF(C92="Pauschale",IF(OR(R92=0,N(D92)=0),0,R92*((N(F92)+N(K92))/N(D92))),L92*(N(F92)+N(K92))))</f>
        <v>0</v>
      </c>
      <c r="O92" s="10">
        <f t="shared" ref="O92:O126" si="11">N92-M92</f>
        <v>0</v>
      </c>
      <c r="P92" s="10">
        <f>'A. Kokott'!M85+'C. Trapp SV'!M56+'D. Brucker'!M33+'J. Dorn'!M83+'O. Haag BS-CAD'!M92+'S. Schüler'!M93+'U. Sutter ADM'!M51</f>
        <v>0</v>
      </c>
      <c r="Q92" s="10">
        <v>132</v>
      </c>
      <c r="R92" s="10">
        <f>IFERROR(INDEX('Projekt-Budget-Übersicht'!$F:$F,MATCH(10,'Projekt-Budget-Übersicht'!$L:$L,0)),0)</f>
        <v>0</v>
      </c>
      <c r="S92" s="10">
        <v>68628.19</v>
      </c>
      <c r="T92" s="4"/>
      <c r="U92" s="4"/>
    </row>
    <row r="93" spans="1:21" x14ac:dyDescent="0.25">
      <c r="A93" s="23"/>
      <c r="B93" s="4" t="s">
        <v>5481</v>
      </c>
      <c r="C93" s="4" t="str">
        <f>IFERROR(INDEX('Projekt-Budget-Übersicht'!$C:$C,MATCH(10,'Projekt-Budget-Übersicht'!$L:$L,0)),"")</f>
        <v/>
      </c>
      <c r="D93" s="4">
        <v>8</v>
      </c>
      <c r="E93" s="4">
        <v>2.75</v>
      </c>
      <c r="F93" s="4">
        <v>2.75</v>
      </c>
      <c r="G93" s="16">
        <v>34.380000000000003</v>
      </c>
      <c r="H93" s="5"/>
      <c r="I93" s="5">
        <f t="shared" si="8"/>
        <v>0</v>
      </c>
      <c r="J93" s="4"/>
      <c r="K93" s="5">
        <f>IF('A. Kokott'!J86="O. Haag BS-CAD",'A. Kokott'!I86,0)+IF('C. Trapp SV'!J57="O. Haag BS-CAD",'C. Trapp SV'!I57,0)+IF('J. Dorn'!J84="O. Haag BS-CAD",'J. Dorn'!I84,0)+IF('M. Bandlofsky'!J45="O. Haag BS-CAD",'M. Bandlofsky'!I45,0)+IF('R. Wagen CAD'!J57="O. Haag BS-CAD",'R. Wagen CAD'!I57,0)+IF('T. Trautmann'!J72="O. Haag BS-CAD",'T. Trautmann'!I72,0)+IF('U. Sutter ADM'!J52="O. Haag BS-CAD",'U. Sutter ADM'!I52,0)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93" s="10">
        <f t="shared" si="9"/>
        <v>0</v>
      </c>
      <c r="N93" s="10">
        <f t="shared" si="10"/>
        <v>0</v>
      </c>
      <c r="O93" s="10">
        <f t="shared" si="11"/>
        <v>0</v>
      </c>
      <c r="P93" s="10">
        <f>'A. Kokott'!M86+'C. Trapp SV'!M57+'J. Dorn'!M84+'M. Bandlofsky'!M45+'O. Haag BS-CAD'!M93+'R. Wagen CAD'!M57+'T. Trautmann'!M72+'U. Sutter ADM'!M52</f>
        <v>0</v>
      </c>
      <c r="Q93" s="10">
        <v>132</v>
      </c>
      <c r="R93" s="10">
        <f>IFERROR(INDEX('Projekt-Budget-Übersicht'!$F:$F,MATCH(10,'Projekt-Budget-Übersicht'!$L:$L,0)),0)</f>
        <v>0</v>
      </c>
      <c r="S93" s="10">
        <v>68628.19</v>
      </c>
      <c r="T93" s="4"/>
      <c r="U93" s="4"/>
    </row>
    <row r="94" spans="1:21" x14ac:dyDescent="0.25">
      <c r="A94" s="22"/>
      <c r="B94" s="4" t="s">
        <v>5547</v>
      </c>
      <c r="C94" s="4" t="str">
        <f>IFERROR(INDEX('Projekt-Budget-Übersicht'!$C:$C,MATCH(10,'Projekt-Budget-Übersicht'!$L:$L,0)),"")</f>
        <v/>
      </c>
      <c r="D94" s="4">
        <v>8</v>
      </c>
      <c r="E94" s="4">
        <v>1</v>
      </c>
      <c r="F94" s="4">
        <v>1</v>
      </c>
      <c r="G94" s="16">
        <v>12.5</v>
      </c>
      <c r="H94" s="5"/>
      <c r="I94" s="5">
        <f t="shared" si="8"/>
        <v>0</v>
      </c>
      <c r="J94" s="4"/>
      <c r="K94" s="5">
        <f>IF('C. Trapp SV'!J58="O. Haag BS-CAD",'C. Trapp SV'!I58,0)+IF('J. Dorn'!J85="O. Haag BS-CAD",'J. Dorn'!I85,0)+IF('P. Bergner'!J42="O. Haag BS-CAD",'P. Bergner'!I42,0)+IF('T. Trautmann'!J73="O. Haag BS-CAD",'T. Trautmann'!I73,0)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94" s="10">
        <f t="shared" si="9"/>
        <v>0</v>
      </c>
      <c r="N94" s="10">
        <f t="shared" si="10"/>
        <v>0</v>
      </c>
      <c r="O94" s="10">
        <f t="shared" si="11"/>
        <v>0</v>
      </c>
      <c r="P94" s="10">
        <f>'C. Trapp SV'!M58+'J. Dorn'!M85+'O. Haag BS-CAD'!M94+'P. Bergner'!M42+'T. Trautmann'!M73</f>
        <v>0</v>
      </c>
      <c r="Q94" s="10">
        <v>132</v>
      </c>
      <c r="R94" s="10">
        <f>IFERROR(INDEX('Projekt-Budget-Übersicht'!$F:$F,MATCH(10,'Projekt-Budget-Übersicht'!$L:$L,0)),0)</f>
        <v>0</v>
      </c>
      <c r="S94" s="10">
        <v>68628.19</v>
      </c>
      <c r="T94" s="4"/>
      <c r="U94" s="4"/>
    </row>
    <row r="95" spans="1:21" x14ac:dyDescent="0.25">
      <c r="A95" s="4" t="s">
        <v>315</v>
      </c>
      <c r="B95" s="4" t="s">
        <v>5502</v>
      </c>
      <c r="C95" s="4" t="str">
        <f>IFERROR(INDEX('Projekt-Budget-Übersicht'!$C:$C,MATCH(269,'Projekt-Budget-Übersicht'!$L:$L,0)),"")</f>
        <v/>
      </c>
      <c r="D95" s="4">
        <v>24</v>
      </c>
      <c r="E95" s="4">
        <v>25.25</v>
      </c>
      <c r="F95" s="4">
        <v>0.25</v>
      </c>
      <c r="G95" s="15">
        <v>105.21</v>
      </c>
      <c r="H95" s="5"/>
      <c r="I95" s="5">
        <f t="shared" si="8"/>
        <v>0</v>
      </c>
      <c r="J95" s="4"/>
      <c r="K95" s="5"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IF($B$2="-",0,IFERROR(INDEX(IF($B$2="SV",'Projekt-Budget-Übersicht'!$I:$I,IF($B$2="CAD",'Projekt-Budget-Übersicht'!$J:$J,IF($B$2="ADM",'Projekt-Budget-Übersicht'!$K:$K,'Projekt-Budget-Übersicht'!$I:$I))),MATCH(269,'Projekt-Budget-Übersicht'!$M:$M,0)),0))</f>
        <v>121.1267605633803</v>
      </c>
      <c r="M95" s="10">
        <f t="shared" si="9"/>
        <v>30.281690140845075</v>
      </c>
      <c r="N95" s="10">
        <f t="shared" si="10"/>
        <v>30.281690140845075</v>
      </c>
      <c r="O95" s="10">
        <f t="shared" si="11"/>
        <v>0</v>
      </c>
      <c r="P95" s="10">
        <f>'O. Haag BS-CAD'!M95</f>
        <v>30.281690140845075</v>
      </c>
      <c r="Q95" s="10">
        <v>115</v>
      </c>
      <c r="R95" s="10">
        <f>IFERROR(INDEX('Projekt-Budget-Übersicht'!$F:$F,MATCH(269,'Projekt-Budget-Übersicht'!$L:$L,0)),0)</f>
        <v>0</v>
      </c>
      <c r="S95" s="10">
        <v>6727.5</v>
      </c>
      <c r="T95" s="4"/>
      <c r="U95" s="4"/>
    </row>
    <row r="96" spans="1:21" x14ac:dyDescent="0.25">
      <c r="A96" s="4" t="s">
        <v>633</v>
      </c>
      <c r="B96" s="4" t="s">
        <v>5486</v>
      </c>
      <c r="C96" s="4" t="str">
        <f>IFERROR(INDEX('Projekt-Budget-Übersicht'!$C:$C,MATCH(639,'Projekt-Budget-Übersicht'!$L:$L,0)),"")</f>
        <v/>
      </c>
      <c r="D96" s="4">
        <v>50</v>
      </c>
      <c r="E96" s="4">
        <v>13</v>
      </c>
      <c r="F96" s="4">
        <v>0.5</v>
      </c>
      <c r="G96" s="16">
        <v>26</v>
      </c>
      <c r="H96" s="5"/>
      <c r="I96" s="5">
        <f t="shared" si="8"/>
        <v>0</v>
      </c>
      <c r="J96" s="4"/>
      <c r="K96" s="5"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96" s="10">
        <f t="shared" si="9"/>
        <v>46.508264462809919</v>
      </c>
      <c r="N96" s="10">
        <f t="shared" si="10"/>
        <v>46.508264462809919</v>
      </c>
      <c r="O96" s="10">
        <f t="shared" si="11"/>
        <v>0</v>
      </c>
      <c r="P96" s="10">
        <f>'O. Haag BS-CAD'!M96</f>
        <v>46.508264462809919</v>
      </c>
      <c r="Q96" s="10">
        <v>121</v>
      </c>
      <c r="R96" s="10">
        <f>IFERROR(INDEX('Projekt-Budget-Übersicht'!$F:$F,MATCH(639,'Projekt-Budget-Übersicht'!$L:$L,0)),0)</f>
        <v>0</v>
      </c>
      <c r="S96" s="10">
        <v>6590</v>
      </c>
      <c r="T96" s="4"/>
      <c r="U96" s="4"/>
    </row>
    <row r="97" spans="1:21" x14ac:dyDescent="0.25">
      <c r="A97" s="4" t="s">
        <v>636</v>
      </c>
      <c r="B97" s="4" t="s">
        <v>5486</v>
      </c>
      <c r="C97" s="4" t="str">
        <f>IFERROR(INDEX('Projekt-Budget-Übersicht'!$C:$C,MATCH(641,'Projekt-Budget-Übersicht'!$L:$L,0)),"")</f>
        <v/>
      </c>
      <c r="D97" s="4">
        <v>6</v>
      </c>
      <c r="E97" s="4">
        <v>5.5</v>
      </c>
      <c r="F97" s="4">
        <v>0.25</v>
      </c>
      <c r="G97" s="14">
        <v>91.67</v>
      </c>
      <c r="H97" s="5"/>
      <c r="I97" s="5">
        <f t="shared" si="8"/>
        <v>0</v>
      </c>
      <c r="J97" s="4"/>
      <c r="K97" s="5"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124.0740740740741</v>
      </c>
      <c r="M97" s="10">
        <f t="shared" si="9"/>
        <v>31.018518518518526</v>
      </c>
      <c r="N97" s="10">
        <f t="shared" si="10"/>
        <v>31.018518518518526</v>
      </c>
      <c r="O97" s="10">
        <f t="shared" si="11"/>
        <v>0</v>
      </c>
      <c r="P97" s="10">
        <f>'O. Haag BS-CAD'!M97</f>
        <v>31.018518518518526</v>
      </c>
      <c r="Q97" s="10">
        <v>27</v>
      </c>
      <c r="R97" s="10">
        <f>IFERROR(INDEX('Projekt-Budget-Übersicht'!$F:$F,MATCH(641,'Projekt-Budget-Übersicht'!$L:$L,0)),0)</f>
        <v>0</v>
      </c>
      <c r="S97" s="10">
        <v>2546.65</v>
      </c>
      <c r="T97" s="4"/>
      <c r="U97" s="4"/>
    </row>
    <row r="98" spans="1:21" x14ac:dyDescent="0.25">
      <c r="A98" s="4" t="s">
        <v>1367</v>
      </c>
      <c r="B98" s="4" t="s">
        <v>5486</v>
      </c>
      <c r="C98" s="4" t="s">
        <v>50</v>
      </c>
      <c r="D98" s="4">
        <v>0</v>
      </c>
      <c r="E98" s="4">
        <v>0</v>
      </c>
      <c r="F98" s="4">
        <v>2</v>
      </c>
      <c r="G98" s="4">
        <v>0</v>
      </c>
      <c r="H98" s="5"/>
      <c r="I98" s="5">
        <f t="shared" si="8"/>
        <v>0</v>
      </c>
      <c r="J98" s="4"/>
      <c r="K98" s="5">
        <v>0</v>
      </c>
      <c r="L98" s="10">
        <f>IF($B$2="-",0,0)</f>
        <v>0</v>
      </c>
      <c r="M98" s="10">
        <f t="shared" si="9"/>
        <v>0</v>
      </c>
      <c r="N98" s="10">
        <f t="shared" si="10"/>
        <v>0</v>
      </c>
      <c r="O98" s="10">
        <f t="shared" si="11"/>
        <v>0</v>
      </c>
      <c r="P98" s="10">
        <f>'O. Haag BS-CAD'!M98</f>
        <v>0</v>
      </c>
      <c r="Q98" s="10"/>
      <c r="R98" s="10">
        <f>0</f>
        <v>0</v>
      </c>
      <c r="S98" s="10"/>
      <c r="T98" s="4"/>
      <c r="U98" s="4"/>
    </row>
    <row r="99" spans="1:21" x14ac:dyDescent="0.25">
      <c r="A99" s="4" t="s">
        <v>1431</v>
      </c>
      <c r="B99" s="4" t="s">
        <v>5498</v>
      </c>
      <c r="C99" s="4" t="str">
        <f>IFERROR(INDEX('Projekt-Budget-Übersicht'!$C:$C,MATCH(1574,'Projekt-Budget-Übersicht'!$L:$L,0)),"")</f>
        <v/>
      </c>
      <c r="D99" s="4">
        <v>109</v>
      </c>
      <c r="E99" s="4">
        <v>24.5</v>
      </c>
      <c r="F99" s="4">
        <v>4.5</v>
      </c>
      <c r="G99" s="16">
        <v>22.48</v>
      </c>
      <c r="H99" s="5"/>
      <c r="I99" s="5">
        <f t="shared" si="8"/>
        <v>0</v>
      </c>
      <c r="J99" s="4"/>
      <c r="K99" s="5"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IF($B$2="-",0,IFERROR(INDEX(IF($B$2="SV",'Projekt-Budget-Übersicht'!$I:$I,IF($B$2="CAD",'Projekt-Budget-Übersicht'!$J:$J,IF($B$2="ADM",'Projekt-Budget-Übersicht'!$K:$K,'Projekt-Budget-Übersicht'!$I:$I))),MATCH(1574,'Projekt-Budget-Übersicht'!$M:$M,0)),0))</f>
        <v>80.555555555555557</v>
      </c>
      <c r="M99" s="10">
        <f t="shared" si="9"/>
        <v>362.5</v>
      </c>
      <c r="N99" s="10">
        <f t="shared" si="10"/>
        <v>362.5</v>
      </c>
      <c r="O99" s="10">
        <f t="shared" si="11"/>
        <v>0</v>
      </c>
      <c r="P99" s="10">
        <f>'O. Haag BS-CAD'!M99</f>
        <v>362.5</v>
      </c>
      <c r="Q99" s="10">
        <v>36</v>
      </c>
      <c r="R99" s="10">
        <f>IFERROR(INDEX('Projekt-Budget-Übersicht'!$F:$F,MATCH(1574,'Projekt-Budget-Übersicht'!$L:$L,0)),0)</f>
        <v>0</v>
      </c>
      <c r="S99" s="10"/>
      <c r="T99" s="4"/>
      <c r="U99" s="4"/>
    </row>
    <row r="100" spans="1:21" x14ac:dyDescent="0.25">
      <c r="A100" s="4" t="s">
        <v>1644</v>
      </c>
      <c r="B100" s="4" t="s">
        <v>5486</v>
      </c>
      <c r="C100" s="4" t="str">
        <f>IFERROR(INDEX('Projekt-Budget-Übersicht'!$C:$C,MATCH(1852,'Projekt-Budget-Übersicht'!$L:$L,0)),"")</f>
        <v/>
      </c>
      <c r="D100" s="4">
        <v>0</v>
      </c>
      <c r="E100" s="4">
        <v>36.25</v>
      </c>
      <c r="F100" s="4">
        <v>21.5</v>
      </c>
      <c r="G100" s="4">
        <v>0</v>
      </c>
      <c r="H100" s="5"/>
      <c r="I100" s="5">
        <f t="shared" si="8"/>
        <v>0</v>
      </c>
      <c r="J100" s="4"/>
      <c r="K100" s="5">
        <f>IF('M. Bandlofsky CAD'!J17="O. Haag BS-CAD",'M. Bandlofsky CAD'!I17,0)</f>
        <v>0</v>
      </c>
      <c r="L100" s="10">
        <f>IF($B$2="-",0,IFERROR(INDEX(IF($B$2="SV",'Projekt-Budget-Übersicht'!$I:$I,IF($B$2="CAD",'Projekt-Budget-Übersicht'!$J:$J,IF($B$2="ADM",'Projekt-Budget-Übersicht'!$K:$K,'Projekt-Budget-Übersicht'!$I:$I))),MATCH(1852,'Projekt-Budget-Übersicht'!$M:$M,0)),0))</f>
        <v>0</v>
      </c>
      <c r="M100" s="10">
        <f t="shared" si="9"/>
        <v>0</v>
      </c>
      <c r="N100" s="10">
        <f t="shared" si="10"/>
        <v>0</v>
      </c>
      <c r="O100" s="10">
        <f t="shared" si="11"/>
        <v>0</v>
      </c>
      <c r="P100" s="10">
        <f>'M. Bandlofsky CAD'!M17+'O. Haag BS-CAD'!M100</f>
        <v>0</v>
      </c>
      <c r="Q100" s="10">
        <v>87</v>
      </c>
      <c r="R100" s="10">
        <f>IFERROR(INDEX('Projekt-Budget-Übersicht'!$F:$F,MATCH(1852,'Projekt-Budget-Übersicht'!$L:$L,0)),0)</f>
        <v>0</v>
      </c>
      <c r="S100" s="10">
        <v>1092.5</v>
      </c>
      <c r="T100" s="4"/>
      <c r="U100" s="4"/>
    </row>
    <row r="101" spans="1:21" x14ac:dyDescent="0.25">
      <c r="A101" s="4" t="s">
        <v>1802</v>
      </c>
      <c r="B101" s="4" t="s">
        <v>5486</v>
      </c>
      <c r="C101" s="4" t="str">
        <f>IFERROR(INDEX('Projekt-Budget-Übersicht'!$C:$C,MATCH(2041,'Projekt-Budget-Übersicht'!$L:$L,0)),"")</f>
        <v/>
      </c>
      <c r="D101" s="4">
        <v>10</v>
      </c>
      <c r="E101" s="4">
        <v>4</v>
      </c>
      <c r="F101" s="4">
        <v>3</v>
      </c>
      <c r="G101" s="16">
        <v>40</v>
      </c>
      <c r="H101" s="5"/>
      <c r="I101" s="5">
        <f t="shared" si="8"/>
        <v>0</v>
      </c>
      <c r="J101" s="4"/>
      <c r="K101" s="5"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IF($B$2="-",0,IFERROR(INDEX(IF($B$2="SV",'Projekt-Budget-Übersicht'!$I:$I,IF($B$2="CAD",'Projekt-Budget-Übersicht'!$J:$J,IF($B$2="ADM",'Projekt-Budget-Übersicht'!$K:$K,'Projekt-Budget-Übersicht'!$I:$I))),MATCH(2041,'Projekt-Budget-Übersicht'!$M:$M,0)),0))</f>
        <v>131.9327731092437</v>
      </c>
      <c r="M101" s="10">
        <f t="shared" si="9"/>
        <v>395.79831932773106</v>
      </c>
      <c r="N101" s="10">
        <f t="shared" si="10"/>
        <v>395.79831932773106</v>
      </c>
      <c r="O101" s="10">
        <f t="shared" si="11"/>
        <v>0</v>
      </c>
      <c r="P101" s="10">
        <f>'O. Haag BS-CAD'!M101</f>
        <v>395.79831932773106</v>
      </c>
      <c r="Q101" s="10">
        <v>59.5</v>
      </c>
      <c r="R101" s="10">
        <f>IFERROR(INDEX('Projekt-Budget-Übersicht'!$F:$F,MATCH(2041,'Projekt-Budget-Übersicht'!$L:$L,0)),0)</f>
        <v>0</v>
      </c>
      <c r="S101" s="10">
        <v>2760</v>
      </c>
      <c r="T101" s="4"/>
      <c r="U101" s="4"/>
    </row>
    <row r="102" spans="1:21" x14ac:dyDescent="0.25">
      <c r="A102" s="4" t="s">
        <v>1952</v>
      </c>
      <c r="B102" s="4" t="s">
        <v>5486</v>
      </c>
      <c r="C102" s="4" t="str">
        <f>IFERROR(INDEX('Projekt-Budget-Übersicht'!$C:$C,MATCH(2323,'Projekt-Budget-Übersicht'!$L:$L,0)),"")</f>
        <v/>
      </c>
      <c r="D102" s="4">
        <v>27</v>
      </c>
      <c r="E102" s="4">
        <v>23.75</v>
      </c>
      <c r="F102" s="4">
        <v>3.5</v>
      </c>
      <c r="G102" s="16">
        <v>87.96</v>
      </c>
      <c r="H102" s="5"/>
      <c r="I102" s="5">
        <f t="shared" si="8"/>
        <v>0</v>
      </c>
      <c r="J102" s="4"/>
      <c r="K102" s="5">
        <v>0</v>
      </c>
      <c r="L102" s="10">
        <f>IF($B$2="-",0,IFERROR(INDEX(IF($B$2="SV",'Projekt-Budget-Übersicht'!$I:$I,IF($B$2="CAD",'Projekt-Budget-Übersicht'!$J:$J,IF($B$2="ADM",'Projekt-Budget-Übersicht'!$K:$K,'Projekt-Budget-Übersicht'!$I:$I))),MATCH(2323,'Projekt-Budget-Übersicht'!$M:$M,0)),0))</f>
        <v>80.357142857142861</v>
      </c>
      <c r="M102" s="10">
        <f t="shared" si="9"/>
        <v>281.25</v>
      </c>
      <c r="N102" s="10">
        <f t="shared" si="10"/>
        <v>281.25</v>
      </c>
      <c r="O102" s="10">
        <f t="shared" si="11"/>
        <v>0</v>
      </c>
      <c r="P102" s="10">
        <f>'O. Haag BS-CAD'!M102</f>
        <v>281.25</v>
      </c>
      <c r="Q102" s="10">
        <v>831.5</v>
      </c>
      <c r="R102" s="10">
        <f>IFERROR(INDEX('Projekt-Budget-Übersicht'!$F:$F,MATCH(2323,'Projekt-Budget-Übersicht'!$L:$L,0)),0)</f>
        <v>0</v>
      </c>
      <c r="S102" s="10">
        <v>1150</v>
      </c>
      <c r="T102" s="4"/>
      <c r="U102" s="4"/>
    </row>
    <row r="103" spans="1:21" x14ac:dyDescent="0.25">
      <c r="A103" s="4" t="s">
        <v>2104</v>
      </c>
      <c r="B103" s="4" t="s">
        <v>5486</v>
      </c>
      <c r="C103" s="4" t="str">
        <f>IFERROR(INDEX('Projekt-Budget-Übersicht'!$C:$C,MATCH(2473,'Projekt-Budget-Übersicht'!$L:$L,0)),"")</f>
        <v/>
      </c>
      <c r="D103" s="4">
        <v>2</v>
      </c>
      <c r="E103" s="4">
        <v>1.5</v>
      </c>
      <c r="F103" s="4">
        <v>1.5</v>
      </c>
      <c r="G103" s="16">
        <v>75</v>
      </c>
      <c r="H103" s="5"/>
      <c r="I103" s="5">
        <f t="shared" si="8"/>
        <v>0</v>
      </c>
      <c r="J103" s="4"/>
      <c r="K103" s="5">
        <v>0</v>
      </c>
      <c r="L103" s="10">
        <f>IF($B$2="-",0,IFERROR(INDEX(IF($B$2="SV",'Projekt-Budget-Übersicht'!$I:$I,IF($B$2="CAD",'Projekt-Budget-Übersicht'!$J:$J,IF($B$2="ADM",'Projekt-Budget-Übersicht'!$K:$K,'Projekt-Budget-Übersicht'!$I:$I))),MATCH(2473,'Projekt-Budget-Übersicht'!$M:$M,0)),0))</f>
        <v>118.1818181818182</v>
      </c>
      <c r="M103" s="10">
        <f t="shared" si="9"/>
        <v>177.27272727272731</v>
      </c>
      <c r="N103" s="10">
        <f t="shared" si="10"/>
        <v>177.27272727272731</v>
      </c>
      <c r="O103" s="10">
        <f t="shared" si="11"/>
        <v>0</v>
      </c>
      <c r="P103" s="10">
        <f>'O. Haag BS-CAD'!M103</f>
        <v>177.27272727272731</v>
      </c>
      <c r="Q103" s="10">
        <v>11</v>
      </c>
      <c r="R103" s="10">
        <f>IFERROR(INDEX('Projekt-Budget-Übersicht'!$F:$F,MATCH(2473,'Projekt-Budget-Übersicht'!$L:$L,0)),0)</f>
        <v>0</v>
      </c>
      <c r="S103" s="10">
        <v>92.5</v>
      </c>
      <c r="T103" s="4"/>
      <c r="U103" s="4"/>
    </row>
    <row r="104" spans="1:21" x14ac:dyDescent="0.25">
      <c r="A104" s="21" t="s">
        <v>2495</v>
      </c>
      <c r="B104" s="4" t="s">
        <v>5498</v>
      </c>
      <c r="C104" s="4" t="str">
        <f>IFERROR(INDEX('Projekt-Budget-Übersicht'!$C:$C,MATCH(2820,'Projekt-Budget-Übersicht'!$L:$L,0)),"")</f>
        <v/>
      </c>
      <c r="D104" s="4">
        <v>4</v>
      </c>
      <c r="E104" s="4">
        <v>2</v>
      </c>
      <c r="F104" s="4">
        <v>0.5</v>
      </c>
      <c r="G104" s="16">
        <v>50</v>
      </c>
      <c r="H104" s="5"/>
      <c r="I104" s="5">
        <f t="shared" si="8"/>
        <v>0</v>
      </c>
      <c r="J104" s="4"/>
      <c r="K104" s="5">
        <v>0</v>
      </c>
      <c r="L104" s="10">
        <f>IF($B$2="-",0,IFERROR(INDEX(IF($B$2="SV",'Projekt-Budget-Übersicht'!$I:$I,IF($B$2="CAD",'Projekt-Budget-Übersicht'!$J:$J,IF($B$2="ADM",'Projekt-Budget-Übersicht'!$K:$K,'Projekt-Budget-Übersicht'!$I:$I))),MATCH(2820,'Projekt-Budget-Übersicht'!$M:$M,0)),0))</f>
        <v>87.5</v>
      </c>
      <c r="M104" s="10">
        <f t="shared" si="9"/>
        <v>43.75</v>
      </c>
      <c r="N104" s="10">
        <f t="shared" si="10"/>
        <v>43.75</v>
      </c>
      <c r="O104" s="10">
        <f t="shared" si="11"/>
        <v>0</v>
      </c>
      <c r="P104" s="10">
        <f>'O. Haag BS-CAD'!M104</f>
        <v>43.75</v>
      </c>
      <c r="Q104" s="10">
        <v>4</v>
      </c>
      <c r="R104" s="10">
        <f>IFERROR(INDEX('Projekt-Budget-Übersicht'!$F:$F,MATCH(2820,'Projekt-Budget-Übersicht'!$L:$L,0)),0)</f>
        <v>0</v>
      </c>
      <c r="S104" s="10">
        <v>100</v>
      </c>
      <c r="T104" s="4"/>
      <c r="U104" s="4"/>
    </row>
    <row r="105" spans="1:21" x14ac:dyDescent="0.25">
      <c r="A105" s="22"/>
      <c r="B105" s="4" t="s">
        <v>5620</v>
      </c>
      <c r="C105" s="4" t="str">
        <f>IFERROR(INDEX('Projekt-Budget-Übersicht'!$C:$C,MATCH(2819,'Projekt-Budget-Übersicht'!$L:$L,0)),"")</f>
        <v/>
      </c>
      <c r="D105" s="4">
        <v>6</v>
      </c>
      <c r="E105" s="4">
        <v>2.5</v>
      </c>
      <c r="F105" s="4">
        <v>0.25</v>
      </c>
      <c r="G105" s="16">
        <v>41.67</v>
      </c>
      <c r="H105" s="5"/>
      <c r="I105" s="5">
        <f t="shared" si="8"/>
        <v>0</v>
      </c>
      <c r="J105" s="4"/>
      <c r="K105" s="5">
        <v>0</v>
      </c>
      <c r="L105" s="10">
        <f>IF($B$2="-",0,IFERROR(INDEX(IF($B$2="SV",'Projekt-Budget-Übersicht'!$I:$I,IF($B$2="CAD",'Projekt-Budget-Übersicht'!$J:$J,IF($B$2="ADM",'Projekt-Budget-Übersicht'!$K:$K,'Projekt-Budget-Übersicht'!$I:$I))),MATCH(2819,'Projekt-Budget-Übersicht'!$M:$M,0)),0))</f>
        <v>83.333333333333329</v>
      </c>
      <c r="M105" s="10">
        <f t="shared" si="9"/>
        <v>20.833333333333332</v>
      </c>
      <c r="N105" s="10">
        <f t="shared" si="10"/>
        <v>20.833333333333332</v>
      </c>
      <c r="O105" s="10">
        <f t="shared" si="11"/>
        <v>0</v>
      </c>
      <c r="P105" s="10">
        <f>'O. Haag BS-CAD'!M105</f>
        <v>20.833333333333332</v>
      </c>
      <c r="Q105" s="10">
        <v>6</v>
      </c>
      <c r="R105" s="10">
        <f>IFERROR(INDEX('Projekt-Budget-Übersicht'!$F:$F,MATCH(2819,'Projekt-Budget-Übersicht'!$L:$L,0)),0)</f>
        <v>0</v>
      </c>
      <c r="S105" s="10">
        <v>125</v>
      </c>
      <c r="T105" s="4"/>
      <c r="U105" s="4"/>
    </row>
    <row r="106" spans="1:21" x14ac:dyDescent="0.25">
      <c r="A106" s="4" t="s">
        <v>2578</v>
      </c>
      <c r="B106" s="4" t="s">
        <v>5516</v>
      </c>
      <c r="C106" s="4" t="str">
        <f>IFERROR(INDEX('Projekt-Budget-Übersicht'!$C:$C,MATCH(2893,'Projekt-Budget-Übersicht'!$L:$L,0)),"")</f>
        <v/>
      </c>
      <c r="D106" s="4">
        <v>37</v>
      </c>
      <c r="E106" s="4">
        <v>27.75</v>
      </c>
      <c r="F106" s="4">
        <v>3</v>
      </c>
      <c r="G106" s="16">
        <v>75</v>
      </c>
      <c r="H106" s="5"/>
      <c r="I106" s="5">
        <f t="shared" si="8"/>
        <v>0</v>
      </c>
      <c r="J106" s="4"/>
      <c r="K106" s="5">
        <f>IF('A. Kokott'!J97="O. Haag BS-CAD",'A. Kokott'!I97,0)+IF('J. Dorn'!J90="O. Haag BS-CAD",'J. Dorn'!I90,0)+IF('M. Bandlofsky'!J61="O. Haag BS-CAD",'M. Bandlofsky'!I61,0)+IF('T. Trautmann'!J88="O. Haag BS-CAD",'T. Trautmann'!I88,0)</f>
        <v>0</v>
      </c>
      <c r="L106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106" s="10">
        <f t="shared" si="9"/>
        <v>0</v>
      </c>
      <c r="N106" s="10">
        <f t="shared" si="10"/>
        <v>0</v>
      </c>
      <c r="O106" s="10">
        <f t="shared" si="11"/>
        <v>0</v>
      </c>
      <c r="P106" s="10">
        <f>'A. Kokott'!M97+'J. Dorn'!M90+'M. Bandlofsky'!M61+'O. Haag BS-CAD'!M106+'T. Trautmann'!M88</f>
        <v>0</v>
      </c>
      <c r="Q106" s="10">
        <v>37</v>
      </c>
      <c r="R106" s="10">
        <f>IFERROR(INDEX('Projekt-Budget-Übersicht'!$F:$F,MATCH(2893,'Projekt-Budget-Übersicht'!$L:$L,0)),0)</f>
        <v>0</v>
      </c>
      <c r="S106" s="10">
        <v>1736.25</v>
      </c>
      <c r="T106" s="4"/>
      <c r="U106" s="4"/>
    </row>
    <row r="107" spans="1:21" x14ac:dyDescent="0.25">
      <c r="A107" s="4" t="s">
        <v>2619</v>
      </c>
      <c r="B107" s="4" t="s">
        <v>5486</v>
      </c>
      <c r="C107" s="4" t="str">
        <f>IFERROR(INDEX('Projekt-Budget-Übersicht'!$C:$C,MATCH(2931,'Projekt-Budget-Übersicht'!$L:$L,0)),"")</f>
        <v/>
      </c>
      <c r="D107" s="4">
        <v>8</v>
      </c>
      <c r="E107" s="4">
        <v>6.25</v>
      </c>
      <c r="F107" s="4">
        <v>6</v>
      </c>
      <c r="G107" s="16">
        <v>78.12</v>
      </c>
      <c r="H107" s="5"/>
      <c r="I107" s="5">
        <f t="shared" si="8"/>
        <v>0</v>
      </c>
      <c r="J107" s="4"/>
      <c r="K107" s="5">
        <v>0</v>
      </c>
      <c r="L107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124.28571428571431</v>
      </c>
      <c r="M107" s="10">
        <f t="shared" si="9"/>
        <v>745.71428571428578</v>
      </c>
      <c r="N107" s="10">
        <f t="shared" si="10"/>
        <v>745.71428571428578</v>
      </c>
      <c r="O107" s="10">
        <f t="shared" si="11"/>
        <v>0</v>
      </c>
      <c r="P107" s="10">
        <f>'O. Haag BS-CAD'!M107</f>
        <v>745.71428571428578</v>
      </c>
      <c r="Q107" s="10">
        <v>35</v>
      </c>
      <c r="R107" s="10">
        <f>IFERROR(INDEX('Projekt-Budget-Übersicht'!$F:$F,MATCH(2931,'Projekt-Budget-Übersicht'!$L:$L,0)),0)</f>
        <v>0</v>
      </c>
      <c r="S107" s="10">
        <v>2519.94</v>
      </c>
      <c r="T107" s="4"/>
      <c r="U107" s="4"/>
    </row>
    <row r="108" spans="1:21" x14ac:dyDescent="0.25">
      <c r="A108" s="4" t="s">
        <v>2725</v>
      </c>
      <c r="B108" s="4" t="s">
        <v>5502</v>
      </c>
      <c r="C108" s="4" t="s">
        <v>50</v>
      </c>
      <c r="D108" s="4">
        <v>0</v>
      </c>
      <c r="E108" s="4">
        <v>0</v>
      </c>
      <c r="F108" s="4">
        <v>8</v>
      </c>
      <c r="G108" s="4">
        <v>0</v>
      </c>
      <c r="H108" s="5"/>
      <c r="I108" s="5">
        <f t="shared" si="8"/>
        <v>0</v>
      </c>
      <c r="J108" s="4"/>
      <c r="K108" s="5">
        <v>0</v>
      </c>
      <c r="L108" s="10">
        <f>IF($B$2="-",0,0)</f>
        <v>0</v>
      </c>
      <c r="M108" s="10">
        <f t="shared" si="9"/>
        <v>0</v>
      </c>
      <c r="N108" s="10">
        <f t="shared" si="10"/>
        <v>0</v>
      </c>
      <c r="O108" s="10">
        <f t="shared" si="11"/>
        <v>0</v>
      </c>
      <c r="P108" s="10">
        <f>'O. Haag BS-CAD'!M108</f>
        <v>0</v>
      </c>
      <c r="Q108" s="10"/>
      <c r="R108" s="10">
        <f>0</f>
        <v>0</v>
      </c>
      <c r="S108" s="10"/>
      <c r="T108" s="4"/>
      <c r="U108" s="4"/>
    </row>
    <row r="109" spans="1:21" x14ac:dyDescent="0.25">
      <c r="A109" s="4" t="s">
        <v>2834</v>
      </c>
      <c r="B109" s="4" t="s">
        <v>5459</v>
      </c>
      <c r="C109" s="4" t="str">
        <f>IFERROR(INDEX('Projekt-Budget-Übersicht'!$C:$C,MATCH(3122,'Projekt-Budget-Übersicht'!$L:$L,0)),"")</f>
        <v/>
      </c>
      <c r="D109" s="4">
        <v>6</v>
      </c>
      <c r="E109" s="4">
        <v>48</v>
      </c>
      <c r="F109" s="4">
        <v>1</v>
      </c>
      <c r="G109" s="15">
        <v>800</v>
      </c>
      <c r="H109" s="5"/>
      <c r="I109" s="5">
        <f t="shared" si="8"/>
        <v>0</v>
      </c>
      <c r="J109" s="4"/>
      <c r="K109" s="5">
        <f>IF('A. Kokott'!J101="O. Haag BS-CAD",'A. Kokott'!I101,0)+IF('J. Dorn'!J92="O. Haag BS-CAD",'J. Dorn'!I92,0)</f>
        <v>0</v>
      </c>
      <c r="L109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109" s="10">
        <f t="shared" si="9"/>
        <v>58.333333333333343</v>
      </c>
      <c r="N109" s="10">
        <f t="shared" si="10"/>
        <v>58.333333333333343</v>
      </c>
      <c r="O109" s="10">
        <f t="shared" si="11"/>
        <v>0</v>
      </c>
      <c r="P109" s="10">
        <f>'A. Kokott'!M101+'J. Dorn'!M92+'O. Haag BS-CAD'!M109</f>
        <v>393.75000000000011</v>
      </c>
      <c r="Q109" s="10">
        <v>18</v>
      </c>
      <c r="R109" s="10">
        <f>IFERROR(INDEX('Projekt-Budget-Übersicht'!$F:$F,MATCH(3122,'Projekt-Budget-Übersicht'!$L:$L,0)),0)</f>
        <v>0</v>
      </c>
      <c r="S109" s="10">
        <v>2985.82</v>
      </c>
      <c r="T109" s="4"/>
      <c r="U109" s="4"/>
    </row>
    <row r="110" spans="1:21" x14ac:dyDescent="0.25">
      <c r="A110" s="4" t="s">
        <v>2917</v>
      </c>
      <c r="B110" s="4" t="s">
        <v>5504</v>
      </c>
      <c r="C110" s="4" t="str">
        <f>IFERROR(INDEX('Projekt-Budget-Übersicht'!$C:$C,MATCH(3189,'Projekt-Budget-Übersicht'!$L:$L,0)),"")</f>
        <v/>
      </c>
      <c r="D110" s="4">
        <v>1560</v>
      </c>
      <c r="E110" s="4">
        <v>625</v>
      </c>
      <c r="F110" s="4">
        <v>1</v>
      </c>
      <c r="G110" s="16">
        <v>40.06</v>
      </c>
      <c r="H110" s="5"/>
      <c r="I110" s="5">
        <f t="shared" si="8"/>
        <v>0</v>
      </c>
      <c r="J110" s="4"/>
      <c r="K110" s="5">
        <f>IF('P. Bergner'!J48="O. Haag BS-CAD",'P. Bergner'!I48,0)</f>
        <v>0</v>
      </c>
      <c r="L110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110" s="10">
        <f t="shared" si="9"/>
        <v>0</v>
      </c>
      <c r="N110" s="10">
        <f t="shared" si="10"/>
        <v>0</v>
      </c>
      <c r="O110" s="10">
        <f t="shared" si="11"/>
        <v>0</v>
      </c>
      <c r="P110" s="10">
        <f>'O. Haag BS-CAD'!M110+'P. Bergner'!M48</f>
        <v>0</v>
      </c>
      <c r="Q110" s="10">
        <v>1560</v>
      </c>
      <c r="R110" s="10">
        <f>IFERROR(INDEX('Projekt-Budget-Übersicht'!$F:$F,MATCH(3189,'Projekt-Budget-Übersicht'!$L:$L,0)),0)</f>
        <v>0</v>
      </c>
      <c r="S110" s="10">
        <v>55003.040000000001</v>
      </c>
      <c r="T110" s="4"/>
      <c r="U110" s="4"/>
    </row>
    <row r="111" spans="1:21" x14ac:dyDescent="0.25">
      <c r="A111" s="4" t="s">
        <v>3025</v>
      </c>
      <c r="B111" s="4" t="s">
        <v>5502</v>
      </c>
      <c r="C111" s="4" t="str">
        <f>IFERROR(INDEX('Projekt-Budget-Übersicht'!$C:$C,MATCH(3281,'Projekt-Budget-Übersicht'!$L:$L,0)),"")</f>
        <v/>
      </c>
      <c r="D111" s="4">
        <v>16</v>
      </c>
      <c r="E111" s="4">
        <v>16.5</v>
      </c>
      <c r="F111" s="4">
        <v>3.5</v>
      </c>
      <c r="G111" s="15">
        <v>103.12</v>
      </c>
      <c r="H111" s="5"/>
      <c r="I111" s="5">
        <f t="shared" si="8"/>
        <v>0</v>
      </c>
      <c r="J111" s="4"/>
      <c r="K111" s="5">
        <v>0</v>
      </c>
      <c r="L111" s="10">
        <f>IF($B$2="-",0,IFERROR(INDEX(IF($B$2="SV",'Projekt-Budget-Übersicht'!$I:$I,IF($B$2="CAD",'Projekt-Budget-Übersicht'!$J:$J,IF($B$2="ADM",'Projekt-Budget-Übersicht'!$K:$K,'Projekt-Budget-Übersicht'!$I:$I))),MATCH(3281,'Projekt-Budget-Übersicht'!$M:$M,0)),0))</f>
        <v>110.11904761904761</v>
      </c>
      <c r="M111" s="10">
        <f t="shared" si="9"/>
        <v>385.41666666666663</v>
      </c>
      <c r="N111" s="10">
        <f t="shared" si="10"/>
        <v>385.41666666666663</v>
      </c>
      <c r="O111" s="10">
        <f t="shared" si="11"/>
        <v>0</v>
      </c>
      <c r="P111" s="10">
        <f>'O. Haag BS-CAD'!M111</f>
        <v>385.41666666666663</v>
      </c>
      <c r="Q111" s="10">
        <v>84</v>
      </c>
      <c r="R111" s="10">
        <f>IFERROR(INDEX('Projekt-Budget-Übersicht'!$F:$F,MATCH(3281,'Projekt-Budget-Übersicht'!$L:$L,0)),0)</f>
        <v>0</v>
      </c>
      <c r="S111" s="10">
        <v>1385</v>
      </c>
      <c r="T111" s="4"/>
      <c r="U111" s="4"/>
    </row>
    <row r="112" spans="1:21" x14ac:dyDescent="0.25">
      <c r="A112" s="21" t="s">
        <v>3070</v>
      </c>
      <c r="B112" s="4" t="s">
        <v>5498</v>
      </c>
      <c r="C112" s="4" t="str">
        <f>IFERROR(INDEX('Projekt-Budget-Übersicht'!$C:$C,MATCH(3325,'Projekt-Budget-Übersicht'!$L:$L,0)),"")</f>
        <v/>
      </c>
      <c r="D112" s="4">
        <v>70.5</v>
      </c>
      <c r="E112" s="4">
        <v>56.75</v>
      </c>
      <c r="F112" s="4">
        <v>32.75</v>
      </c>
      <c r="G112" s="16">
        <v>80.5</v>
      </c>
      <c r="H112" s="5"/>
      <c r="I112" s="5">
        <f t="shared" si="8"/>
        <v>0</v>
      </c>
      <c r="J112" s="4"/>
      <c r="K112" s="5">
        <v>0</v>
      </c>
      <c r="L112" s="10">
        <f>IF($B$2="-",0,IFERROR(INDEX(IF($B$2="SV",'Projekt-Budget-Übersicht'!$I:$I,IF($B$2="CAD",'Projekt-Budget-Übersicht'!$J:$J,IF($B$2="ADM",'Projekt-Budget-Übersicht'!$K:$K,'Projekt-Budget-Übersicht'!$I:$I))),MATCH(3325,'Projekt-Budget-Übersicht'!$M:$M,0)),0))</f>
        <v>0</v>
      </c>
      <c r="M112" s="10">
        <f t="shared" si="9"/>
        <v>0</v>
      </c>
      <c r="N112" s="10">
        <f t="shared" si="10"/>
        <v>0</v>
      </c>
      <c r="O112" s="10">
        <f t="shared" si="11"/>
        <v>0</v>
      </c>
      <c r="P112" s="10">
        <f>'O. Haag BS-CAD'!M112</f>
        <v>0</v>
      </c>
      <c r="Q112" s="10">
        <v>130.5</v>
      </c>
      <c r="R112" s="10">
        <f>IFERROR(INDEX('Projekt-Budget-Übersicht'!$F:$F,MATCH(3325,'Projekt-Budget-Übersicht'!$L:$L,0)),0)</f>
        <v>0</v>
      </c>
      <c r="S112" s="10">
        <v>2837.5</v>
      </c>
      <c r="T112" s="4"/>
      <c r="U112" s="4"/>
    </row>
    <row r="113" spans="1:21" x14ac:dyDescent="0.25">
      <c r="A113" s="22"/>
      <c r="B113" s="4" t="s">
        <v>5620</v>
      </c>
      <c r="C113" s="4" t="str">
        <f>IFERROR(INDEX('Projekt-Budget-Übersicht'!$C:$C,MATCH(3324,'Projekt-Budget-Übersicht'!$L:$L,0)),"")</f>
        <v/>
      </c>
      <c r="D113" s="4">
        <v>57.5</v>
      </c>
      <c r="E113" s="4">
        <v>29.25</v>
      </c>
      <c r="F113" s="4">
        <v>28.5</v>
      </c>
      <c r="G113" s="16">
        <v>50.87</v>
      </c>
      <c r="H113" s="5"/>
      <c r="I113" s="5">
        <f t="shared" si="8"/>
        <v>0</v>
      </c>
      <c r="J113" s="4"/>
      <c r="K113" s="5">
        <v>0</v>
      </c>
      <c r="L113" s="10">
        <f>IF($B$2="-",0,IFERROR(INDEX(IF($B$2="SV",'Projekt-Budget-Übersicht'!$I:$I,IF($B$2="CAD",'Projekt-Budget-Übersicht'!$J:$J,IF($B$2="ADM",'Projekt-Budget-Übersicht'!$K:$K,'Projekt-Budget-Übersicht'!$I:$I))),MATCH(3324,'Projekt-Budget-Übersicht'!$M:$M,0)),0))</f>
        <v>0</v>
      </c>
      <c r="M113" s="10">
        <f t="shared" si="9"/>
        <v>0</v>
      </c>
      <c r="N113" s="10">
        <f t="shared" si="10"/>
        <v>0</v>
      </c>
      <c r="O113" s="10">
        <f t="shared" si="11"/>
        <v>0</v>
      </c>
      <c r="P113" s="10">
        <f>'O. Haag BS-CAD'!M113</f>
        <v>0</v>
      </c>
      <c r="Q113" s="10">
        <v>57.5</v>
      </c>
      <c r="R113" s="10">
        <f>IFERROR(INDEX('Projekt-Budget-Übersicht'!$F:$F,MATCH(3324,'Projekt-Budget-Übersicht'!$L:$L,0)),0)</f>
        <v>0</v>
      </c>
      <c r="S113" s="10">
        <v>1462.5</v>
      </c>
      <c r="T113" s="4"/>
      <c r="U113" s="4"/>
    </row>
    <row r="114" spans="1:21" x14ac:dyDescent="0.25">
      <c r="A114" s="21" t="s">
        <v>3851</v>
      </c>
      <c r="B114" s="4" t="s">
        <v>5591</v>
      </c>
      <c r="C114" s="4" t="s">
        <v>50</v>
      </c>
      <c r="D114" s="4">
        <v>0</v>
      </c>
      <c r="E114" s="4">
        <v>0</v>
      </c>
      <c r="F114" s="4">
        <v>0.5</v>
      </c>
      <c r="G114" s="4">
        <v>0</v>
      </c>
      <c r="H114" s="5"/>
      <c r="I114" s="5">
        <f t="shared" si="8"/>
        <v>0</v>
      </c>
      <c r="J114" s="4"/>
      <c r="K114" s="5">
        <f>IF('J. Dorn'!J100="O. Haag BS-CAD",'J. Dorn'!I100,0)</f>
        <v>0</v>
      </c>
      <c r="L114" s="10">
        <f>IF($B$2="-",0,0)</f>
        <v>0</v>
      </c>
      <c r="M114" s="10">
        <f t="shared" si="9"/>
        <v>0</v>
      </c>
      <c r="N114" s="10">
        <f t="shared" si="10"/>
        <v>0</v>
      </c>
      <c r="O114" s="10">
        <f t="shared" si="11"/>
        <v>0</v>
      </c>
      <c r="P114" s="10">
        <f>'J. Dorn'!M100+'O. Haag BS-CAD'!M114</f>
        <v>0</v>
      </c>
      <c r="Q114" s="10"/>
      <c r="R114" s="10">
        <f>0</f>
        <v>0</v>
      </c>
      <c r="S114" s="10"/>
      <c r="T114" s="4"/>
      <c r="U114" s="4"/>
    </row>
    <row r="115" spans="1:21" x14ac:dyDescent="0.25">
      <c r="A115" s="22"/>
      <c r="B115" s="4" t="s">
        <v>5622</v>
      </c>
      <c r="C115" s="4" t="s">
        <v>50</v>
      </c>
      <c r="D115" s="4">
        <v>0</v>
      </c>
      <c r="E115" s="4">
        <v>0</v>
      </c>
      <c r="F115" s="4">
        <v>0.5</v>
      </c>
      <c r="G115" s="4">
        <v>0</v>
      </c>
      <c r="H115" s="5"/>
      <c r="I115" s="5">
        <f t="shared" si="8"/>
        <v>0</v>
      </c>
      <c r="J115" s="4"/>
      <c r="K115" s="5">
        <v>0</v>
      </c>
      <c r="L115" s="10">
        <f>IF($B$2="-",0,0)</f>
        <v>0</v>
      </c>
      <c r="M115" s="10">
        <f t="shared" si="9"/>
        <v>0</v>
      </c>
      <c r="N115" s="10">
        <f t="shared" si="10"/>
        <v>0</v>
      </c>
      <c r="O115" s="10">
        <f t="shared" si="11"/>
        <v>0</v>
      </c>
      <c r="P115" s="10">
        <f>'O. Haag BS-CAD'!M115</f>
        <v>0</v>
      </c>
      <c r="Q115" s="10"/>
      <c r="R115" s="10">
        <f>0</f>
        <v>0</v>
      </c>
      <c r="S115" s="10"/>
      <c r="T115" s="4"/>
      <c r="U115" s="4"/>
    </row>
    <row r="116" spans="1:21" x14ac:dyDescent="0.25">
      <c r="A116" s="4" t="s">
        <v>3956</v>
      </c>
      <c r="B116" s="4" t="s">
        <v>5502</v>
      </c>
      <c r="C116" s="4" t="str">
        <f>IFERROR(INDEX('Projekt-Budget-Übersicht'!$C:$C,MATCH(4091,'Projekt-Budget-Übersicht'!$L:$L,0)),"")</f>
        <v/>
      </c>
      <c r="D116" s="4">
        <v>16</v>
      </c>
      <c r="E116" s="4">
        <v>18.25</v>
      </c>
      <c r="F116" s="4">
        <v>2</v>
      </c>
      <c r="G116" s="15">
        <v>114.06</v>
      </c>
      <c r="H116" s="5"/>
      <c r="I116" s="5">
        <f t="shared" si="8"/>
        <v>0</v>
      </c>
      <c r="J116" s="4"/>
      <c r="K116" s="5">
        <v>0</v>
      </c>
      <c r="L116" s="10">
        <f>IF($B$2="-",0,IFERROR(INDEX(IF($B$2="SV",'Projekt-Budget-Übersicht'!$I:$I,IF($B$2="CAD",'Projekt-Budget-Übersicht'!$J:$J,IF($B$2="ADM",'Projekt-Budget-Übersicht'!$K:$K,'Projekt-Budget-Übersicht'!$I:$I))),MATCH(4091,'Projekt-Budget-Übersicht'!$M:$M,0)),0))</f>
        <v>0</v>
      </c>
      <c r="M116" s="10">
        <f t="shared" si="9"/>
        <v>0</v>
      </c>
      <c r="N116" s="10">
        <f t="shared" si="10"/>
        <v>0</v>
      </c>
      <c r="O116" s="10">
        <f t="shared" si="11"/>
        <v>0</v>
      </c>
      <c r="P116" s="10">
        <f>'O. Haag BS-CAD'!M116</f>
        <v>0</v>
      </c>
      <c r="Q116" s="10">
        <v>16</v>
      </c>
      <c r="R116" s="10">
        <f>IFERROR(INDEX('Projekt-Budget-Übersicht'!$F:$F,MATCH(4091,'Projekt-Budget-Übersicht'!$L:$L,0)),0)</f>
        <v>0</v>
      </c>
      <c r="S116" s="10">
        <v>412.5</v>
      </c>
      <c r="T116" s="4"/>
      <c r="U116" s="4"/>
    </row>
    <row r="117" spans="1:21" x14ac:dyDescent="0.25">
      <c r="A117" s="4" t="s">
        <v>4356</v>
      </c>
      <c r="B117" s="4" t="s">
        <v>5486</v>
      </c>
      <c r="C117" s="4" t="str">
        <f>IFERROR(INDEX('Projekt-Budget-Übersicht'!$C:$C,MATCH(4432,'Projekt-Budget-Übersicht'!$L:$L,0)),"")</f>
        <v/>
      </c>
      <c r="D117" s="4">
        <v>3</v>
      </c>
      <c r="E117" s="4">
        <v>2.5</v>
      </c>
      <c r="F117" s="4">
        <v>2</v>
      </c>
      <c r="G117" s="16">
        <v>83.33</v>
      </c>
      <c r="H117" s="5"/>
      <c r="I117" s="5">
        <f t="shared" si="8"/>
        <v>0</v>
      </c>
      <c r="J117" s="4"/>
      <c r="K117" s="5">
        <v>0</v>
      </c>
      <c r="L117" s="10">
        <f>IF($B$2="-",0,IFERROR(INDEX(IF($B$2="SV",'Projekt-Budget-Übersicht'!$I:$I,IF($B$2="CAD",'Projekt-Budget-Übersicht'!$J:$J,IF($B$2="ADM",'Projekt-Budget-Übersicht'!$K:$K,'Projekt-Budget-Übersicht'!$I:$I))),MATCH(4432,'Projekt-Budget-Übersicht'!$M:$M,0)),0))</f>
        <v>93.333333333333329</v>
      </c>
      <c r="M117" s="10">
        <f t="shared" si="9"/>
        <v>186.66666666666666</v>
      </c>
      <c r="N117" s="10">
        <f t="shared" si="10"/>
        <v>186.66666666666666</v>
      </c>
      <c r="O117" s="10">
        <f t="shared" si="11"/>
        <v>0</v>
      </c>
      <c r="P117" s="10">
        <f>'O. Haag BS-CAD'!M117</f>
        <v>186.66666666666666</v>
      </c>
      <c r="Q117" s="10">
        <v>36</v>
      </c>
      <c r="R117" s="10">
        <f>IFERROR(INDEX('Projekt-Budget-Übersicht'!$F:$F,MATCH(4432,'Projekt-Budget-Übersicht'!$L:$L,0)),0)</f>
        <v>0</v>
      </c>
      <c r="S117" s="10">
        <v>117.5</v>
      </c>
      <c r="T117" s="4"/>
      <c r="U117" s="4"/>
    </row>
    <row r="118" spans="1:21" x14ac:dyDescent="0.25">
      <c r="A118" s="4" t="s">
        <v>4373</v>
      </c>
      <c r="B118" s="4" t="s">
        <v>5486</v>
      </c>
      <c r="C118" s="4" t="str">
        <f>IFERROR(INDEX('Projekt-Budget-Übersicht'!$C:$C,MATCH(4448,'Projekt-Budget-Übersicht'!$L:$L,0)),"")</f>
        <v/>
      </c>
      <c r="D118" s="4">
        <v>4</v>
      </c>
      <c r="E118" s="4">
        <v>4</v>
      </c>
      <c r="F118" s="4">
        <v>1.25</v>
      </c>
      <c r="G118" s="14">
        <v>100</v>
      </c>
      <c r="H118" s="5"/>
      <c r="I118" s="5">
        <f t="shared" si="8"/>
        <v>0</v>
      </c>
      <c r="J118" s="4"/>
      <c r="K118" s="5">
        <v>0</v>
      </c>
      <c r="L118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120.8333333333333</v>
      </c>
      <c r="M118" s="10">
        <f t="shared" si="9"/>
        <v>151.04166666666663</v>
      </c>
      <c r="N118" s="10">
        <f t="shared" si="10"/>
        <v>151.04166666666663</v>
      </c>
      <c r="O118" s="10">
        <f t="shared" si="11"/>
        <v>0</v>
      </c>
      <c r="P118" s="10">
        <f>'O. Haag BS-CAD'!M118</f>
        <v>151.04166666666663</v>
      </c>
      <c r="Q118" s="10">
        <v>47</v>
      </c>
      <c r="R118" s="10">
        <f>IFERROR(INDEX('Projekt-Budget-Übersicht'!$F:$F,MATCH(4448,'Projekt-Budget-Übersicht'!$L:$L,0)),0)</f>
        <v>0</v>
      </c>
      <c r="S118" s="10">
        <v>2173.75</v>
      </c>
      <c r="T118" s="4"/>
      <c r="U118" s="4"/>
    </row>
    <row r="119" spans="1:21" x14ac:dyDescent="0.25">
      <c r="A119" s="4" t="s">
        <v>4671</v>
      </c>
      <c r="B119" s="4" t="s">
        <v>5636</v>
      </c>
      <c r="C119" s="4" t="str">
        <f>IFERROR(INDEX('Projekt-Budget-Übersicht'!$C:$C,MATCH(4703,'Projekt-Budget-Übersicht'!$L:$L,0)),"")</f>
        <v/>
      </c>
      <c r="D119" s="4">
        <v>10.5</v>
      </c>
      <c r="E119" s="4">
        <v>10</v>
      </c>
      <c r="F119" s="4">
        <v>0.5</v>
      </c>
      <c r="G119" s="14">
        <v>95.24</v>
      </c>
      <c r="H119" s="5"/>
      <c r="I119" s="5">
        <f t="shared" si="8"/>
        <v>0</v>
      </c>
      <c r="J119" s="4"/>
      <c r="K119" s="5">
        <v>0</v>
      </c>
      <c r="L119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119" s="10">
        <f t="shared" si="9"/>
        <v>47.385620915032682</v>
      </c>
      <c r="N119" s="10">
        <f t="shared" si="10"/>
        <v>47.385620915032682</v>
      </c>
      <c r="O119" s="10">
        <f t="shared" si="11"/>
        <v>0</v>
      </c>
      <c r="P119" s="10">
        <f>'O. Haag BS-CAD'!M119</f>
        <v>47.385620915032682</v>
      </c>
      <c r="Q119" s="10">
        <v>92.5</v>
      </c>
      <c r="R119" s="10">
        <f>IFERROR(INDEX('Projekt-Budget-Übersicht'!$F:$F,MATCH(4703,'Projekt-Budget-Übersicht'!$L:$L,0)),0)</f>
        <v>0</v>
      </c>
      <c r="S119" s="10">
        <v>2335</v>
      </c>
      <c r="T119" s="4"/>
      <c r="U119" s="4"/>
    </row>
    <row r="120" spans="1:21" x14ac:dyDescent="0.25">
      <c r="A120" s="4" t="s">
        <v>4739</v>
      </c>
      <c r="B120" s="4" t="s">
        <v>5502</v>
      </c>
      <c r="C120" s="4" t="str">
        <f>IFERROR(INDEX('Projekt-Budget-Übersicht'!$C:$C,MATCH(4763,'Projekt-Budget-Übersicht'!$L:$L,0)),"")</f>
        <v/>
      </c>
      <c r="D120" s="4">
        <v>4</v>
      </c>
      <c r="E120" s="4">
        <v>1.25</v>
      </c>
      <c r="F120" s="4">
        <v>0.25</v>
      </c>
      <c r="G120" s="16">
        <v>31.25</v>
      </c>
      <c r="H120" s="5"/>
      <c r="I120" s="5">
        <f t="shared" si="8"/>
        <v>0</v>
      </c>
      <c r="J120" s="4"/>
      <c r="K120" s="5">
        <v>0</v>
      </c>
      <c r="L120" s="10">
        <f>IF($B$2="-",0,IFERROR(INDEX(IF($B$2="SV",'Projekt-Budget-Übersicht'!$I:$I,IF($B$2="CAD",'Projekt-Budget-Übersicht'!$J:$J,IF($B$2="ADM",'Projekt-Budget-Übersicht'!$K:$K,'Projekt-Budget-Übersicht'!$I:$I))),MATCH(4763,'Projekt-Budget-Übersicht'!$M:$M,0)),0))</f>
        <v>139.13043478260869</v>
      </c>
      <c r="M120" s="10">
        <f t="shared" si="9"/>
        <v>34.782608695652172</v>
      </c>
      <c r="N120" s="10">
        <f t="shared" si="10"/>
        <v>34.782608695652172</v>
      </c>
      <c r="O120" s="10">
        <f t="shared" si="11"/>
        <v>0</v>
      </c>
      <c r="P120" s="10">
        <f>'O. Haag BS-CAD'!M120</f>
        <v>34.782608695652172</v>
      </c>
      <c r="Q120" s="10">
        <v>40</v>
      </c>
      <c r="R120" s="10">
        <f>IFERROR(INDEX('Projekt-Budget-Übersicht'!$F:$F,MATCH(4763,'Projekt-Budget-Übersicht'!$L:$L,0)),0)</f>
        <v>0</v>
      </c>
      <c r="S120" s="10">
        <v>496.25</v>
      </c>
      <c r="T120" s="4"/>
      <c r="U120" s="4"/>
    </row>
    <row r="121" spans="1:21" x14ac:dyDescent="0.25">
      <c r="A121" s="4" t="s">
        <v>4757</v>
      </c>
      <c r="B121" s="4" t="s">
        <v>5486</v>
      </c>
      <c r="C121" s="4" t="str">
        <f>IFERROR(INDEX('Projekt-Budget-Übersicht'!$C:$C,MATCH(4775,'Projekt-Budget-Übersicht'!$L:$L,0)),"")</f>
        <v/>
      </c>
      <c r="D121" s="4">
        <v>10</v>
      </c>
      <c r="E121" s="4">
        <v>8</v>
      </c>
      <c r="F121" s="4">
        <v>8</v>
      </c>
      <c r="G121" s="16">
        <v>80</v>
      </c>
      <c r="H121" s="5"/>
      <c r="I121" s="5">
        <f t="shared" si="8"/>
        <v>0</v>
      </c>
      <c r="J121" s="4"/>
      <c r="K121" s="5">
        <v>0</v>
      </c>
      <c r="L121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117.07317073170729</v>
      </c>
      <c r="M121" s="10">
        <f t="shared" si="9"/>
        <v>936.58536585365835</v>
      </c>
      <c r="N121" s="10">
        <f t="shared" si="10"/>
        <v>936.58536585365835</v>
      </c>
      <c r="O121" s="10">
        <f t="shared" si="11"/>
        <v>0</v>
      </c>
      <c r="P121" s="10">
        <f>'O. Haag BS-CAD'!M121</f>
        <v>936.58536585365835</v>
      </c>
      <c r="Q121" s="10">
        <v>64</v>
      </c>
      <c r="R121" s="10">
        <f>IFERROR(INDEX('Projekt-Budget-Übersicht'!$F:$F,MATCH(4775,'Projekt-Budget-Übersicht'!$L:$L,0)),0)</f>
        <v>0</v>
      </c>
      <c r="S121" s="10">
        <v>687.5</v>
      </c>
      <c r="T121" s="4"/>
      <c r="U121" s="4"/>
    </row>
    <row r="122" spans="1:21" x14ac:dyDescent="0.25">
      <c r="A122" s="4" t="s">
        <v>4951</v>
      </c>
      <c r="B122" s="4" t="s">
        <v>5486</v>
      </c>
      <c r="C122" s="4" t="str">
        <f>IFERROR(INDEX('Projekt-Budget-Übersicht'!$C:$C,MATCH(4927,'Projekt-Budget-Übersicht'!$L:$L,0)),"")</f>
        <v/>
      </c>
      <c r="D122" s="4">
        <v>26</v>
      </c>
      <c r="E122" s="4">
        <v>15.5</v>
      </c>
      <c r="F122" s="4">
        <v>5.25</v>
      </c>
      <c r="G122" s="16">
        <v>59.62</v>
      </c>
      <c r="H122" s="5"/>
      <c r="I122" s="5">
        <f t="shared" si="8"/>
        <v>0</v>
      </c>
      <c r="J122" s="4"/>
      <c r="K122" s="5">
        <v>0</v>
      </c>
      <c r="L122" s="10">
        <f>IF($B$2="-",0,IFERROR(INDEX(IF($B$2="SV",'Projekt-Budget-Übersicht'!$I:$I,IF($B$2="CAD",'Projekt-Budget-Übersicht'!$J:$J,IF($B$2="ADM",'Projekt-Budget-Übersicht'!$K:$K,'Projekt-Budget-Übersicht'!$I:$I))),MATCH(4927,'Projekt-Budget-Übersicht'!$M:$M,0)),0))</f>
        <v>81.481481481481481</v>
      </c>
      <c r="M122" s="10">
        <f t="shared" si="9"/>
        <v>427.77777777777777</v>
      </c>
      <c r="N122" s="10">
        <f t="shared" si="10"/>
        <v>427.77777777777777</v>
      </c>
      <c r="O122" s="10">
        <f t="shared" si="11"/>
        <v>0</v>
      </c>
      <c r="P122" s="10">
        <f>'O. Haag BS-CAD'!M122</f>
        <v>427.77777777777777</v>
      </c>
      <c r="Q122" s="10">
        <v>27</v>
      </c>
      <c r="R122" s="10">
        <f>IFERROR(INDEX('Projekt-Budget-Übersicht'!$F:$F,MATCH(4927,'Projekt-Budget-Übersicht'!$L:$L,0)),0)</f>
        <v>0</v>
      </c>
      <c r="S122" s="10">
        <v>776.65</v>
      </c>
      <c r="T122" s="4"/>
      <c r="U122" s="4"/>
    </row>
    <row r="123" spans="1:21" x14ac:dyDescent="0.25">
      <c r="A123" s="4" t="s">
        <v>5056</v>
      </c>
      <c r="B123" s="4" t="s">
        <v>5486</v>
      </c>
      <c r="C123" s="4" t="str">
        <f>IFERROR(INDEX('Projekt-Budget-Übersicht'!$C:$C,MATCH(5033,'Projekt-Budget-Übersicht'!$L:$L,0)),"")</f>
        <v/>
      </c>
      <c r="D123" s="4">
        <v>8</v>
      </c>
      <c r="E123" s="4">
        <v>11.25</v>
      </c>
      <c r="F123" s="4">
        <v>2.5</v>
      </c>
      <c r="G123" s="15">
        <v>140.62</v>
      </c>
      <c r="H123" s="5"/>
      <c r="I123" s="5">
        <f t="shared" si="8"/>
        <v>0</v>
      </c>
      <c r="J123" s="4"/>
      <c r="K123" s="5">
        <v>0</v>
      </c>
      <c r="L123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123" s="10">
        <f t="shared" si="9"/>
        <v>252.5</v>
      </c>
      <c r="N123" s="10">
        <f t="shared" si="10"/>
        <v>252.5</v>
      </c>
      <c r="O123" s="10">
        <f t="shared" si="11"/>
        <v>0</v>
      </c>
      <c r="P123" s="10">
        <f>'O. Haag BS-CAD'!M123</f>
        <v>252.5</v>
      </c>
      <c r="Q123" s="10">
        <v>20</v>
      </c>
      <c r="R123" s="10">
        <f>IFERROR(INDEX('Projekt-Budget-Übersicht'!$F:$F,MATCH(5033,'Projekt-Budget-Übersicht'!$L:$L,0)),0)</f>
        <v>0</v>
      </c>
      <c r="S123" s="10"/>
      <c r="T123" s="4"/>
      <c r="U123" s="4"/>
    </row>
    <row r="124" spans="1:21" x14ac:dyDescent="0.25">
      <c r="A124" s="4" t="s">
        <v>5142</v>
      </c>
      <c r="B124" s="4" t="s">
        <v>5486</v>
      </c>
      <c r="C124" s="4" t="str">
        <f>IFERROR(INDEX('Projekt-Budget-Übersicht'!$C:$C,MATCH(5106,'Projekt-Budget-Übersicht'!$L:$L,0)),"")</f>
        <v/>
      </c>
      <c r="D124" s="4">
        <v>8</v>
      </c>
      <c r="E124" s="4">
        <v>7</v>
      </c>
      <c r="F124" s="4">
        <v>7</v>
      </c>
      <c r="G124" s="16">
        <v>87.5</v>
      </c>
      <c r="H124" s="5"/>
      <c r="I124" s="5">
        <f t="shared" si="8"/>
        <v>0</v>
      </c>
      <c r="J124" s="4"/>
      <c r="K124" s="5">
        <v>0</v>
      </c>
      <c r="L124" s="10">
        <f>IF($B$2="-",0,IFERROR(INDEX(IF($B$2="SV",'Projekt-Budget-Übersicht'!$I:$I,IF($B$2="CAD",'Projekt-Budget-Übersicht'!$J:$J,IF($B$2="ADM",'Projekt-Budget-Übersicht'!$K:$K,'Projekt-Budget-Übersicht'!$I:$I))),MATCH(5106,'Projekt-Budget-Übersicht'!$M:$M,0)),0))</f>
        <v>114.8148148148148</v>
      </c>
      <c r="M124" s="10">
        <f t="shared" si="9"/>
        <v>803.70370370370358</v>
      </c>
      <c r="N124" s="10">
        <f t="shared" si="10"/>
        <v>803.70370370370358</v>
      </c>
      <c r="O124" s="10">
        <f t="shared" si="11"/>
        <v>0</v>
      </c>
      <c r="P124" s="10">
        <f>'O. Haag BS-CAD'!M124</f>
        <v>803.70370370370358</v>
      </c>
      <c r="Q124" s="10">
        <v>54</v>
      </c>
      <c r="R124" s="10">
        <f>IFERROR(INDEX('Projekt-Budget-Übersicht'!$F:$F,MATCH(5106,'Projekt-Budget-Übersicht'!$L:$L,0)),0)</f>
        <v>0</v>
      </c>
      <c r="S124" s="10">
        <v>385</v>
      </c>
      <c r="T124" s="4"/>
      <c r="U124" s="4"/>
    </row>
    <row r="125" spans="1:21" x14ac:dyDescent="0.25">
      <c r="A125" s="4" t="s">
        <v>5143</v>
      </c>
      <c r="B125" s="4" t="s">
        <v>5486</v>
      </c>
      <c r="C125" s="4" t="str">
        <f>IFERROR(INDEX('Projekt-Budget-Übersicht'!$C:$C,MATCH(5107,'Projekt-Budget-Übersicht'!$L:$L,0)),"")</f>
        <v/>
      </c>
      <c r="D125" s="4">
        <v>8</v>
      </c>
      <c r="E125" s="4">
        <v>6.25</v>
      </c>
      <c r="F125" s="4">
        <v>6</v>
      </c>
      <c r="G125" s="16">
        <v>78.12</v>
      </c>
      <c r="H125" s="5"/>
      <c r="I125" s="5">
        <f t="shared" si="8"/>
        <v>0</v>
      </c>
      <c r="J125" s="4"/>
      <c r="K125" s="5">
        <v>0</v>
      </c>
      <c r="L125" s="10">
        <f>IF($B$2="-",0,IFERROR(INDEX(IF($B$2="SV",'Projekt-Budget-Übersicht'!$I:$I,IF($B$2="CAD",'Projekt-Budget-Übersicht'!$J:$J,IF($B$2="ADM",'Projekt-Budget-Übersicht'!$K:$K,'Projekt-Budget-Übersicht'!$I:$I))),MATCH(5107,'Projekt-Budget-Übersicht'!$M:$M,0)),0))</f>
        <v>114.8148148148148</v>
      </c>
      <c r="M125" s="10">
        <f t="shared" si="9"/>
        <v>688.8888888888888</v>
      </c>
      <c r="N125" s="10">
        <f t="shared" si="10"/>
        <v>688.8888888888888</v>
      </c>
      <c r="O125" s="10">
        <f t="shared" si="11"/>
        <v>0</v>
      </c>
      <c r="P125" s="10">
        <f>'O. Haag BS-CAD'!M125</f>
        <v>688.8888888888888</v>
      </c>
      <c r="Q125" s="10">
        <v>59</v>
      </c>
      <c r="R125" s="10">
        <f>IFERROR(INDEX('Projekt-Budget-Übersicht'!$F:$F,MATCH(5107,'Projekt-Budget-Übersicht'!$L:$L,0)),0)</f>
        <v>0</v>
      </c>
      <c r="S125" s="10">
        <v>347.5</v>
      </c>
      <c r="T125" s="4"/>
      <c r="U125" s="4"/>
    </row>
    <row r="126" spans="1:21" x14ac:dyDescent="0.25">
      <c r="A126" s="4" t="s">
        <v>5161</v>
      </c>
      <c r="B126" s="4" t="s">
        <v>5486</v>
      </c>
      <c r="C126" s="4" t="str">
        <f>IFERROR(INDEX('Projekt-Budget-Übersicht'!$C:$C,MATCH(5123,'Projekt-Budget-Übersicht'!$L:$L,0)),"")</f>
        <v/>
      </c>
      <c r="D126" s="4">
        <v>5</v>
      </c>
      <c r="E126" s="4">
        <v>4</v>
      </c>
      <c r="F126" s="4">
        <v>4</v>
      </c>
      <c r="G126" s="16">
        <v>80</v>
      </c>
      <c r="H126" s="5"/>
      <c r="I126" s="5">
        <f t="shared" si="8"/>
        <v>0</v>
      </c>
      <c r="J126" s="4"/>
      <c r="K126" s="5">
        <v>0</v>
      </c>
      <c r="L126" s="10">
        <f>IF($B$2="-",0,IFERROR(INDEX(IF($B$2="SV",'Projekt-Budget-Übersicht'!$I:$I,IF($B$2="CAD",'Projekt-Budget-Übersicht'!$J:$J,IF($B$2="ADM",'Projekt-Budget-Übersicht'!$K:$K,'Projekt-Budget-Übersicht'!$I:$I))),MATCH(5123,'Projekt-Budget-Übersicht'!$M:$M,0)),0))</f>
        <v>116.6666666666667</v>
      </c>
      <c r="M126" s="10">
        <f t="shared" si="9"/>
        <v>466.6666666666668</v>
      </c>
      <c r="N126" s="10">
        <f t="shared" si="10"/>
        <v>466.6666666666668</v>
      </c>
      <c r="O126" s="10">
        <f t="shared" si="11"/>
        <v>0</v>
      </c>
      <c r="P126" s="10">
        <f>'O. Haag BS-CAD'!M126</f>
        <v>466.6666666666668</v>
      </c>
      <c r="Q126" s="10">
        <v>63</v>
      </c>
      <c r="R126" s="10">
        <f>IFERROR(INDEX('Projekt-Budget-Übersicht'!$F:$F,MATCH(5123,'Projekt-Budget-Übersicht'!$L:$L,0)),0)</f>
        <v>0</v>
      </c>
      <c r="S126" s="10">
        <v>217.5</v>
      </c>
      <c r="T126" s="4"/>
      <c r="U126" s="4"/>
    </row>
    <row r="127" spans="1:21" x14ac:dyDescent="0.25">
      <c r="A127" s="3"/>
      <c r="B127" s="3" t="s">
        <v>5492</v>
      </c>
      <c r="C127" s="3"/>
      <c r="D127" s="3"/>
      <c r="E127" s="3"/>
      <c r="F127" s="6">
        <v>172</v>
      </c>
      <c r="G127" s="3"/>
      <c r="H127" s="3"/>
      <c r="I127" s="3"/>
      <c r="J127" s="3"/>
      <c r="K127" s="3"/>
      <c r="L127" s="3"/>
      <c r="M127" s="17">
        <f>SUM(M92:M126)</f>
        <v>6574.6761046049642</v>
      </c>
      <c r="N127" s="17">
        <f>SUM(N92:N126)</f>
        <v>6574.6761046049642</v>
      </c>
      <c r="O127" s="17">
        <f>SUM(O92:O126)</f>
        <v>0</v>
      </c>
      <c r="P127" s="17">
        <f>SUM(P92:P126)</f>
        <v>6910.0927712716302</v>
      </c>
      <c r="Q127" s="3"/>
      <c r="R127" s="3"/>
      <c r="S127" s="3"/>
      <c r="T127" s="3"/>
      <c r="U127" s="3"/>
    </row>
    <row r="128" spans="1:21" x14ac:dyDescent="0.25">
      <c r="A128" s="3"/>
      <c r="B128" s="3" t="s">
        <v>4</v>
      </c>
      <c r="C128" s="3"/>
      <c r="D128" s="3"/>
      <c r="E128" s="3"/>
      <c r="F128" s="6">
        <f>G128+H128</f>
        <v>152</v>
      </c>
      <c r="G128" s="6">
        <v>152</v>
      </c>
      <c r="H128" s="6">
        <f>SUM(H95,H96,H97,H98,H99,H100,H101,H102,H103,H104,H105,H106,H107,H108,H109,H110,H111,H112,H113,H114,H115,H116,H117,H118,H119,H120,H121,H122,H123,H124,H125,H126)</f>
        <v>0</v>
      </c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1:21" x14ac:dyDescent="0.25">
      <c r="A129" s="3"/>
      <c r="B129" s="3" t="s">
        <v>5</v>
      </c>
      <c r="C129" s="3"/>
      <c r="D129" s="3"/>
      <c r="E129" s="3"/>
      <c r="F129" s="6">
        <f>G129+H129</f>
        <v>10.75</v>
      </c>
      <c r="G129" s="6">
        <v>10.75</v>
      </c>
      <c r="H129" s="6">
        <f>SUM(H92,H93,H94)</f>
        <v>0</v>
      </c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1:21" x14ac:dyDescent="0.25">
      <c r="A130" s="3"/>
      <c r="B130" s="3" t="s">
        <v>5493</v>
      </c>
      <c r="C130" s="3"/>
      <c r="D130" s="3"/>
      <c r="E130" s="3"/>
      <c r="F130" s="6">
        <f>SUM(K92:K126)</f>
        <v>0</v>
      </c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1:21" x14ac:dyDescent="0.25">
      <c r="A131" s="18"/>
      <c r="B131" s="18" t="s">
        <v>5494</v>
      </c>
      <c r="C131" s="18"/>
      <c r="D131" s="18"/>
      <c r="E131" s="18"/>
      <c r="F131" s="19">
        <f>F128+F129+F130</f>
        <v>162.75</v>
      </c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</row>
    <row r="133" spans="1:21" ht="15.75" x14ac:dyDescent="0.25">
      <c r="A133" s="2" t="s">
        <v>5524</v>
      </c>
    </row>
    <row r="134" spans="1:21" x14ac:dyDescent="0.25">
      <c r="A134" s="3" t="s">
        <v>2</v>
      </c>
      <c r="B134" s="3" t="s">
        <v>5525</v>
      </c>
      <c r="C134" s="3" t="s">
        <v>5526</v>
      </c>
      <c r="D134" s="3" t="s">
        <v>4</v>
      </c>
      <c r="E134" s="3" t="s">
        <v>5</v>
      </c>
      <c r="F134" s="3" t="s">
        <v>5527</v>
      </c>
      <c r="G134" s="3" t="s">
        <v>5528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1:21" x14ac:dyDescent="0.25">
      <c r="A135" s="4" t="s">
        <v>6</v>
      </c>
      <c r="B135" s="4" t="s">
        <v>25</v>
      </c>
      <c r="C135" s="4">
        <f>F43</f>
        <v>66.25</v>
      </c>
      <c r="D135" s="4">
        <f>F44</f>
        <v>49</v>
      </c>
      <c r="E135" s="4">
        <f>F45</f>
        <v>5</v>
      </c>
      <c r="F135" s="4">
        <f>F46</f>
        <v>0</v>
      </c>
      <c r="G135" s="4">
        <f>F47</f>
        <v>54</v>
      </c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</row>
    <row r="136" spans="1:21" x14ac:dyDescent="0.25">
      <c r="A136" s="4" t="s">
        <v>7</v>
      </c>
      <c r="B136" s="4" t="s">
        <v>25</v>
      </c>
      <c r="C136" s="4">
        <f>F84</f>
        <v>104.5</v>
      </c>
      <c r="D136" s="4">
        <f>F85</f>
        <v>78.75</v>
      </c>
      <c r="E136" s="4">
        <f>F86</f>
        <v>6</v>
      </c>
      <c r="F136" s="4">
        <f>F87</f>
        <v>0</v>
      </c>
      <c r="G136" s="4">
        <f>F88</f>
        <v>84.75</v>
      </c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</row>
    <row r="137" spans="1:21" x14ac:dyDescent="0.25">
      <c r="A137" s="4" t="s">
        <v>8</v>
      </c>
      <c r="B137" s="4" t="s">
        <v>25</v>
      </c>
      <c r="C137" s="4">
        <f>F127</f>
        <v>172</v>
      </c>
      <c r="D137" s="4">
        <f>F128</f>
        <v>152</v>
      </c>
      <c r="E137" s="4">
        <f>F129</f>
        <v>10.75</v>
      </c>
      <c r="F137" s="4">
        <f>F130</f>
        <v>0</v>
      </c>
      <c r="G137" s="4">
        <f>F131</f>
        <v>162.75</v>
      </c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</row>
    <row r="140" spans="1:21" ht="18.75" x14ac:dyDescent="0.3">
      <c r="A140" s="1" t="s">
        <v>5529</v>
      </c>
    </row>
    <row r="141" spans="1:21" x14ac:dyDescent="0.25">
      <c r="A141" s="3" t="s">
        <v>35</v>
      </c>
      <c r="B141" s="3" t="s">
        <v>5461</v>
      </c>
      <c r="C141" s="3" t="s">
        <v>37</v>
      </c>
      <c r="D141" s="3" t="s">
        <v>5462</v>
      </c>
      <c r="E141" s="3" t="s">
        <v>5463</v>
      </c>
      <c r="F141" s="3" t="s">
        <v>5530</v>
      </c>
      <c r="G141" s="3" t="s">
        <v>5465</v>
      </c>
      <c r="H141" s="3" t="s">
        <v>5466</v>
      </c>
      <c r="I141" s="3" t="s">
        <v>5467</v>
      </c>
      <c r="J141" s="3" t="s">
        <v>5468</v>
      </c>
      <c r="K141" s="3" t="s">
        <v>5469</v>
      </c>
      <c r="L141" s="3" t="s">
        <v>5470</v>
      </c>
      <c r="M141" s="3" t="s">
        <v>5471</v>
      </c>
      <c r="N141" s="3" t="s">
        <v>5472</v>
      </c>
      <c r="O141" s="3" t="s">
        <v>5473</v>
      </c>
      <c r="P141" s="3" t="s">
        <v>5474</v>
      </c>
      <c r="Q141" s="3" t="s">
        <v>5476</v>
      </c>
      <c r="R141" s="3" t="s">
        <v>5477</v>
      </c>
      <c r="S141" s="3"/>
      <c r="T141" s="3"/>
      <c r="U141" s="3"/>
    </row>
    <row r="142" spans="1:21" x14ac:dyDescent="0.25">
      <c r="A142" s="21" t="s">
        <v>61</v>
      </c>
      <c r="B142" s="4" t="s">
        <v>5480</v>
      </c>
      <c r="C142" s="4" t="str">
        <f>IFERROR(INDEX('Projekt-Budget-Übersicht'!$C:$C,MATCH(10,'Projekt-Budget-Übersicht'!$L:$L,0)),"")</f>
        <v/>
      </c>
      <c r="D142" s="4">
        <v>24</v>
      </c>
      <c r="E142" s="4">
        <v>22.25</v>
      </c>
      <c r="F142" s="5">
        <f>SUM(F6,F51,F92,I6,I51,I92,K6,K51,K92)</f>
        <v>22.25</v>
      </c>
      <c r="G142" s="14">
        <v>92.71</v>
      </c>
      <c r="H142" s="5">
        <f>SUM(H6,H51,H92)</f>
        <v>0</v>
      </c>
      <c r="I142" s="5">
        <f t="shared" ref="I142:I173" si="12">IF(H142=0,0,F142-H142)</f>
        <v>0</v>
      </c>
      <c r="J142" s="4" t="s">
        <v>5531</v>
      </c>
      <c r="K142" s="5">
        <f>SUM(K6,K51,K92)</f>
        <v>0</v>
      </c>
      <c r="L142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42" s="10">
        <f t="shared" ref="M142:M173" si="13">IF($B$2="-",0,IF(C142="Pauschale",IF(OR(Q142=0,N(D142)=0),0,MAX(0,MIN(Q142*((N(F142)+N(K142))/N(D142)),Q142-Q142*(N(E142)/N(D142))))),L142*(N(F142)+N(K142))))</f>
        <v>0</v>
      </c>
      <c r="N142" s="10">
        <f t="shared" ref="N142:N173" si="14">IF($B$2="-",0,IF(C142="Pauschale",IF(OR(Q142=0,N(D142)=0),0,Q142*((N(F142)+N(K142))/N(D142))),L142*(N(F142)+N(K142))))</f>
        <v>0</v>
      </c>
      <c r="O142" s="10">
        <f t="shared" ref="O142:O173" si="15">N142-M142</f>
        <v>0</v>
      </c>
      <c r="P142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142" s="10">
        <f>IFERROR(INDEX('Projekt-Budget-Übersicht'!$E:$E,MATCH(10,'Projekt-Budget-Übersicht'!$L:$L,0)),0)</f>
        <v>0</v>
      </c>
      <c r="R142" s="10">
        <v>68628.19</v>
      </c>
      <c r="S142" s="4"/>
      <c r="T142" s="4"/>
      <c r="U142" s="4"/>
    </row>
    <row r="143" spans="1:21" x14ac:dyDescent="0.25">
      <c r="A143" s="23"/>
      <c r="B143" s="4" t="s">
        <v>5481</v>
      </c>
      <c r="C143" s="4" t="str">
        <f>IFERROR(INDEX('Projekt-Budget-Übersicht'!$C:$C,MATCH(10,'Projekt-Budget-Übersicht'!$L:$L,0)),"")</f>
        <v/>
      </c>
      <c r="D143" s="4">
        <v>24</v>
      </c>
      <c r="E143" s="4">
        <v>8.75</v>
      </c>
      <c r="F143" s="5">
        <f>SUM(F52,F93,I52,I93,K52,K93)</f>
        <v>8.75</v>
      </c>
      <c r="G143" s="16">
        <v>36.46</v>
      </c>
      <c r="H143" s="5">
        <f>SUM(H52,H93)</f>
        <v>0</v>
      </c>
      <c r="I143" s="5">
        <f t="shared" si="12"/>
        <v>0</v>
      </c>
      <c r="J143" s="4" t="s">
        <v>5531</v>
      </c>
      <c r="K143" s="5">
        <f>SUM(K52,K93)</f>
        <v>0</v>
      </c>
      <c r="L143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43" s="10">
        <f t="shared" si="13"/>
        <v>0</v>
      </c>
      <c r="N143" s="10">
        <f t="shared" si="14"/>
        <v>0</v>
      </c>
      <c r="O143" s="10">
        <f t="shared" si="15"/>
        <v>0</v>
      </c>
      <c r="P143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143" s="10">
        <f>IFERROR(INDEX('Projekt-Budget-Übersicht'!$E:$E,MATCH(10,'Projekt-Budget-Übersicht'!$L:$L,0)),0)</f>
        <v>0</v>
      </c>
      <c r="R143" s="10">
        <v>68628.19</v>
      </c>
      <c r="S143" s="4"/>
      <c r="T143" s="4"/>
      <c r="U143" s="4"/>
    </row>
    <row r="144" spans="1:21" x14ac:dyDescent="0.25">
      <c r="A144" s="22"/>
      <c r="B144" s="4" t="s">
        <v>5547</v>
      </c>
      <c r="C144" s="4" t="str">
        <f>IFERROR(INDEX('Projekt-Budget-Übersicht'!$C:$C,MATCH(10,'Projekt-Budget-Übersicht'!$L:$L,0)),"")</f>
        <v/>
      </c>
      <c r="D144" s="4">
        <v>24</v>
      </c>
      <c r="E144" s="4">
        <v>1</v>
      </c>
      <c r="F144" s="5">
        <f>SUM(F94,I94,K94)</f>
        <v>1</v>
      </c>
      <c r="G144" s="16">
        <v>4.17</v>
      </c>
      <c r="H144" s="5">
        <f>SUM(H94)</f>
        <v>0</v>
      </c>
      <c r="I144" s="5">
        <f t="shared" si="12"/>
        <v>0</v>
      </c>
      <c r="J144" s="4" t="s">
        <v>5531</v>
      </c>
      <c r="K144" s="5">
        <f>SUM(K94)</f>
        <v>0</v>
      </c>
      <c r="L144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44" s="10">
        <f t="shared" si="13"/>
        <v>0</v>
      </c>
      <c r="N144" s="10">
        <f t="shared" si="14"/>
        <v>0</v>
      </c>
      <c r="O144" s="10">
        <f t="shared" si="15"/>
        <v>0</v>
      </c>
      <c r="P144" s="10">
        <f>'C. Trapp SV'!M86+'J. Dorn'!M120+'O. Haag BS-CAD'!M144+'P. Bergner'!M75+'T. Trautmann'!M114</f>
        <v>0</v>
      </c>
      <c r="Q144" s="10">
        <f>IFERROR(INDEX('Projekt-Budget-Übersicht'!$E:$E,MATCH(10,'Projekt-Budget-Übersicht'!$L:$L,0)),0)</f>
        <v>0</v>
      </c>
      <c r="R144" s="10">
        <v>68628.19</v>
      </c>
      <c r="S144" s="4"/>
      <c r="T144" s="4"/>
      <c r="U144" s="4"/>
    </row>
    <row r="145" spans="1:21" x14ac:dyDescent="0.25">
      <c r="A145" s="4" t="s">
        <v>299</v>
      </c>
      <c r="B145" s="4" t="s">
        <v>5486</v>
      </c>
      <c r="C145" s="4" t="str">
        <f>IFERROR(INDEX('Projekt-Budget-Übersicht'!$C:$C,MATCH(250,'Projekt-Budget-Übersicht'!$L:$L,0)),"")</f>
        <v/>
      </c>
      <c r="D145" s="4">
        <v>6</v>
      </c>
      <c r="E145" s="4">
        <v>8.75</v>
      </c>
      <c r="F145" s="5">
        <f>SUM(F7,I7,K7)</f>
        <v>0.5</v>
      </c>
      <c r="G145" s="15">
        <v>145.83000000000001</v>
      </c>
      <c r="H145" s="5">
        <f>SUM(H7)</f>
        <v>0</v>
      </c>
      <c r="I145" s="5">
        <f t="shared" si="12"/>
        <v>0</v>
      </c>
      <c r="J145" s="4" t="s">
        <v>5531</v>
      </c>
      <c r="K145" s="5">
        <f>SUM(K7)</f>
        <v>0</v>
      </c>
      <c r="L145" s="10">
        <f>IF($B$2="-",0,IFERROR(INDEX(IF($B$2="SV",'Projekt-Budget-Übersicht'!$H:$H,IF($B$2="CAD",'Projekt-Budget-Übersicht'!$I:$I,IF($B$2="ADM",'Projekt-Budget-Übersicht'!$J:$J,'Projekt-Budget-Übersicht'!$H:$H))),MATCH(250,'Projekt-Budget-Übersicht'!$L:$L,0)),0))</f>
        <v>0</v>
      </c>
      <c r="M145" s="10">
        <f t="shared" si="13"/>
        <v>0</v>
      </c>
      <c r="N145" s="10">
        <f t="shared" si="14"/>
        <v>0</v>
      </c>
      <c r="O145" s="10">
        <f t="shared" si="15"/>
        <v>0</v>
      </c>
      <c r="P145" s="10">
        <f>'M. Warner'!M44+'O. Haag BS-CAD'!M145</f>
        <v>0</v>
      </c>
      <c r="Q145" s="10">
        <f>IFERROR(INDEX('Projekt-Budget-Übersicht'!$E:$E,MATCH(250,'Projekt-Budget-Übersicht'!$L:$L,0)),0)</f>
        <v>0</v>
      </c>
      <c r="R145" s="10">
        <v>42.5</v>
      </c>
      <c r="S145" s="4"/>
      <c r="T145" s="4"/>
      <c r="U145" s="4"/>
    </row>
    <row r="146" spans="1:21" x14ac:dyDescent="0.25">
      <c r="A146" s="4" t="s">
        <v>315</v>
      </c>
      <c r="B146" s="4" t="s">
        <v>5502</v>
      </c>
      <c r="C146" s="4" t="str">
        <f>IFERROR(INDEX('Projekt-Budget-Übersicht'!$C:$C,MATCH(269,'Projekt-Budget-Übersicht'!$L:$L,0)),"")</f>
        <v/>
      </c>
      <c r="D146" s="4">
        <v>24</v>
      </c>
      <c r="E146" s="4">
        <v>25.25</v>
      </c>
      <c r="F146" s="5">
        <f>SUM(F53,F95,I53,I95,K53,K95)</f>
        <v>0.5</v>
      </c>
      <c r="G146" s="15">
        <v>105.21</v>
      </c>
      <c r="H146" s="5">
        <f>SUM(H53,H95)</f>
        <v>0</v>
      </c>
      <c r="I146" s="5">
        <f t="shared" si="12"/>
        <v>0</v>
      </c>
      <c r="J146" s="4" t="s">
        <v>5531</v>
      </c>
      <c r="K146" s="5">
        <f>SUM(K53,K95)</f>
        <v>0</v>
      </c>
      <c r="L146" s="10">
        <f>IF($B$2="-",0,IFERROR(INDEX(IF($B$2="SV",'Projekt-Budget-Übersicht'!$H:$H,IF($B$2="CAD",'Projekt-Budget-Übersicht'!$I:$I,IF($B$2="ADM",'Projekt-Budget-Übersicht'!$J:$J,'Projekt-Budget-Übersicht'!$H:$H))),MATCH(269,'Projekt-Budget-Übersicht'!$L:$L,0)),0))</f>
        <v>0</v>
      </c>
      <c r="M146" s="10">
        <f t="shared" si="13"/>
        <v>0</v>
      </c>
      <c r="N146" s="10">
        <f t="shared" si="14"/>
        <v>0</v>
      </c>
      <c r="O146" s="10">
        <f t="shared" si="15"/>
        <v>0</v>
      </c>
      <c r="P146" s="10">
        <f>'O. Haag BS-CAD'!M146</f>
        <v>0</v>
      </c>
      <c r="Q146" s="10">
        <f>IFERROR(INDEX('Projekt-Budget-Übersicht'!$E:$E,MATCH(269,'Projekt-Budget-Übersicht'!$L:$L,0)),0)</f>
        <v>0</v>
      </c>
      <c r="R146" s="10">
        <v>6727.5</v>
      </c>
      <c r="S146" s="4"/>
      <c r="T146" s="4"/>
      <c r="U146" s="4"/>
    </row>
    <row r="147" spans="1:21" x14ac:dyDescent="0.25">
      <c r="A147" s="4" t="s">
        <v>603</v>
      </c>
      <c r="B147" s="4" t="s">
        <v>5502</v>
      </c>
      <c r="C147" s="4" t="str">
        <f>IFERROR(INDEX('Projekt-Budget-Übersicht'!$C:$C,MATCH(620,'Projekt-Budget-Übersicht'!$L:$L,0)),"")</f>
        <v/>
      </c>
      <c r="D147" s="4">
        <v>60</v>
      </c>
      <c r="E147" s="4">
        <v>35.25</v>
      </c>
      <c r="F147" s="5">
        <f>SUM(F8,I8,K8)</f>
        <v>2.5</v>
      </c>
      <c r="G147" s="16">
        <v>58.75</v>
      </c>
      <c r="H147" s="5">
        <f>SUM(H8)</f>
        <v>0</v>
      </c>
      <c r="I147" s="5">
        <f t="shared" si="12"/>
        <v>0</v>
      </c>
      <c r="J147" s="4" t="s">
        <v>5531</v>
      </c>
      <c r="K147" s="5">
        <f>SUM(K8)</f>
        <v>0</v>
      </c>
      <c r="L147" s="10">
        <f>IF($B$2="-",0,IFERROR(INDEX(IF($B$2="SV",'Projekt-Budget-Übersicht'!$H:$H,IF($B$2="CAD",'Projekt-Budget-Übersicht'!$I:$I,IF($B$2="ADM",'Projekt-Budget-Übersicht'!$J:$J,'Projekt-Budget-Übersicht'!$H:$H))),MATCH(620,'Projekt-Budget-Übersicht'!$L:$L,0)),0))</f>
        <v>0</v>
      </c>
      <c r="M147" s="10">
        <f t="shared" si="13"/>
        <v>0</v>
      </c>
      <c r="N147" s="10">
        <f t="shared" si="14"/>
        <v>0</v>
      </c>
      <c r="O147" s="10">
        <f t="shared" si="15"/>
        <v>0</v>
      </c>
      <c r="P147" s="10">
        <f>'O. Haag BS-CAD'!M147</f>
        <v>0</v>
      </c>
      <c r="Q147" s="10">
        <f>IFERROR(INDEX('Projekt-Budget-Übersicht'!$E:$E,MATCH(620,'Projekt-Budget-Übersicht'!$L:$L,0)),0)</f>
        <v>0</v>
      </c>
      <c r="R147" s="10">
        <v>6353.75</v>
      </c>
      <c r="S147" s="4"/>
      <c r="T147" s="4"/>
      <c r="U147" s="4"/>
    </row>
    <row r="148" spans="1:21" x14ac:dyDescent="0.25">
      <c r="A148" s="4" t="s">
        <v>633</v>
      </c>
      <c r="B148" s="4" t="s">
        <v>5486</v>
      </c>
      <c r="C148" s="4" t="str">
        <f>IFERROR(INDEX('Projekt-Budget-Übersicht'!$C:$C,MATCH(639,'Projekt-Budget-Übersicht'!$L:$L,0)),"")</f>
        <v/>
      </c>
      <c r="D148" s="4">
        <v>50</v>
      </c>
      <c r="E148" s="4">
        <v>13</v>
      </c>
      <c r="F148" s="5">
        <f>SUM(F54,F96,I54,I96,K54,K96)</f>
        <v>13</v>
      </c>
      <c r="G148" s="16">
        <v>26</v>
      </c>
      <c r="H148" s="5">
        <f>SUM(H54,H96)</f>
        <v>0</v>
      </c>
      <c r="I148" s="5">
        <f t="shared" si="12"/>
        <v>0</v>
      </c>
      <c r="J148" s="4" t="s">
        <v>5531</v>
      </c>
      <c r="K148" s="5">
        <f>SUM(K54,K96)</f>
        <v>0</v>
      </c>
      <c r="L148" s="10">
        <f>IF($B$2="-",0,IFERROR(INDEX(IF($B$2="SV",'Projekt-Budget-Übersicht'!$H:$H,IF($B$2="CAD",'Projekt-Budget-Übersicht'!$I:$I,IF($B$2="ADM",'Projekt-Budget-Übersicht'!$J:$J,'Projekt-Budget-Übersicht'!$H:$H))),MATCH(639,'Projekt-Budget-Übersicht'!$L:$L,0)),0))</f>
        <v>0</v>
      </c>
      <c r="M148" s="10">
        <f t="shared" si="13"/>
        <v>0</v>
      </c>
      <c r="N148" s="10">
        <f t="shared" si="14"/>
        <v>0</v>
      </c>
      <c r="O148" s="10">
        <f t="shared" si="15"/>
        <v>0</v>
      </c>
      <c r="P148" s="10">
        <f>'O. Haag BS-CAD'!M148</f>
        <v>0</v>
      </c>
      <c r="Q148" s="10">
        <f>IFERROR(INDEX('Projekt-Budget-Übersicht'!$E:$E,MATCH(639,'Projekt-Budget-Übersicht'!$L:$L,0)),0)</f>
        <v>0</v>
      </c>
      <c r="R148" s="10">
        <v>6590</v>
      </c>
      <c r="S148" s="4"/>
      <c r="T148" s="4"/>
      <c r="U148" s="4"/>
    </row>
    <row r="149" spans="1:21" x14ac:dyDescent="0.25">
      <c r="A149" s="4" t="s">
        <v>636</v>
      </c>
      <c r="B149" s="4" t="s">
        <v>5486</v>
      </c>
      <c r="C149" s="4" t="str">
        <f>IFERROR(INDEX('Projekt-Budget-Übersicht'!$C:$C,MATCH(641,'Projekt-Budget-Übersicht'!$L:$L,0)),"")</f>
        <v/>
      </c>
      <c r="D149" s="4">
        <v>6</v>
      </c>
      <c r="E149" s="4">
        <v>5.5</v>
      </c>
      <c r="F149" s="5">
        <f>SUM(F9,F55,F97,I9,I55,I97,K9,K55,K97)</f>
        <v>5.5</v>
      </c>
      <c r="G149" s="14">
        <v>91.67</v>
      </c>
      <c r="H149" s="5">
        <f>SUM(H9,H55,H97)</f>
        <v>0</v>
      </c>
      <c r="I149" s="5">
        <f t="shared" si="12"/>
        <v>0</v>
      </c>
      <c r="J149" s="4" t="s">
        <v>5531</v>
      </c>
      <c r="K149" s="5">
        <f>SUM(K9,K55,K97)</f>
        <v>0</v>
      </c>
      <c r="L149" s="10">
        <f>IF($B$2="-",0,IFERROR(INDEX(IF($B$2="SV",'Projekt-Budget-Übersicht'!$H:$H,IF($B$2="CAD",'Projekt-Budget-Übersicht'!$I:$I,IF($B$2="ADM",'Projekt-Budget-Übersicht'!$J:$J,'Projekt-Budget-Übersicht'!$H:$H))),MATCH(641,'Projekt-Budget-Übersicht'!$L:$L,0)),0))</f>
        <v>0</v>
      </c>
      <c r="M149" s="10">
        <f t="shared" si="13"/>
        <v>0</v>
      </c>
      <c r="N149" s="10">
        <f t="shared" si="14"/>
        <v>0</v>
      </c>
      <c r="O149" s="10">
        <f t="shared" si="15"/>
        <v>0</v>
      </c>
      <c r="P149" s="10">
        <f>'O. Haag BS-CAD'!M149</f>
        <v>0</v>
      </c>
      <c r="Q149" s="10">
        <f>IFERROR(INDEX('Projekt-Budget-Übersicht'!$E:$E,MATCH(641,'Projekt-Budget-Übersicht'!$L:$L,0)),0)</f>
        <v>0</v>
      </c>
      <c r="R149" s="10">
        <v>2546.65</v>
      </c>
      <c r="S149" s="4"/>
      <c r="T149" s="4"/>
      <c r="U149" s="4"/>
    </row>
    <row r="150" spans="1:21" x14ac:dyDescent="0.25">
      <c r="A150" s="4" t="s">
        <v>653</v>
      </c>
      <c r="B150" s="4" t="s">
        <v>5486</v>
      </c>
      <c r="C150" s="4" t="str">
        <f>IFERROR(INDEX('Projekt-Budget-Übersicht'!$C:$C,MATCH(660,'Projekt-Budget-Übersicht'!$L:$L,0)),"")</f>
        <v/>
      </c>
      <c r="D150" s="4">
        <v>13</v>
      </c>
      <c r="E150" s="4">
        <v>5.5</v>
      </c>
      <c r="F150" s="5">
        <f>SUM(F10,I10,K10)</f>
        <v>0.25</v>
      </c>
      <c r="G150" s="16">
        <v>42.31</v>
      </c>
      <c r="H150" s="5">
        <f>SUM(H10)</f>
        <v>0</v>
      </c>
      <c r="I150" s="5">
        <f t="shared" si="12"/>
        <v>0</v>
      </c>
      <c r="J150" s="4" t="s">
        <v>5531</v>
      </c>
      <c r="K150" s="5">
        <f>SUM(K10)</f>
        <v>0</v>
      </c>
      <c r="L150" s="10">
        <f>IF($B$2="-",0,IFERROR(INDEX(IF($B$2="SV",'Projekt-Budget-Übersicht'!$H:$H,IF($B$2="CAD",'Projekt-Budget-Übersicht'!$I:$I,IF($B$2="ADM",'Projekt-Budget-Übersicht'!$J:$J,'Projekt-Budget-Übersicht'!$H:$H))),MATCH(660,'Projekt-Budget-Übersicht'!$L:$L,0)),0))</f>
        <v>0</v>
      </c>
      <c r="M150" s="10">
        <f t="shared" si="13"/>
        <v>0</v>
      </c>
      <c r="N150" s="10">
        <f t="shared" si="14"/>
        <v>0</v>
      </c>
      <c r="O150" s="10">
        <f t="shared" si="15"/>
        <v>0</v>
      </c>
      <c r="P150" s="10">
        <f>'O. Haag BS-CAD'!M150</f>
        <v>0</v>
      </c>
      <c r="Q150" s="10">
        <f>IFERROR(INDEX('Projekt-Budget-Übersicht'!$E:$E,MATCH(660,'Projekt-Budget-Übersicht'!$L:$L,0)),0)</f>
        <v>0</v>
      </c>
      <c r="R150" s="10"/>
      <c r="S150" s="4"/>
      <c r="T150" s="4"/>
      <c r="U150" s="4"/>
    </row>
    <row r="151" spans="1:21" x14ac:dyDescent="0.25">
      <c r="A151" s="21" t="s">
        <v>865</v>
      </c>
      <c r="B151" s="4" t="s">
        <v>5502</v>
      </c>
      <c r="C151" s="4" t="str">
        <f>IFERROR(INDEX('Projekt-Budget-Übersicht'!$C:$C,MATCH(890,'Projekt-Budget-Übersicht'!$L:$L,0)),"")</f>
        <v/>
      </c>
      <c r="D151" s="4">
        <v>26.5</v>
      </c>
      <c r="E151" s="4">
        <v>34.25</v>
      </c>
      <c r="F151" s="5">
        <f>SUM(F11,F56,I11,I56,K11,K56)</f>
        <v>1</v>
      </c>
      <c r="G151" s="15">
        <v>129.25</v>
      </c>
      <c r="H151" s="5">
        <f>SUM(H11,H56)</f>
        <v>0</v>
      </c>
      <c r="I151" s="5">
        <f t="shared" si="12"/>
        <v>0</v>
      </c>
      <c r="J151" s="4" t="s">
        <v>5531</v>
      </c>
      <c r="K151" s="5">
        <f>SUM(K11,K56)</f>
        <v>0</v>
      </c>
      <c r="L151" s="10">
        <f>IF($B$2="-",0,IFERROR(INDEX(IF($B$2="SV",'Projekt-Budget-Übersicht'!$H:$H,IF($B$2="CAD",'Projekt-Budget-Übersicht'!$I:$I,IF($B$2="ADM",'Projekt-Budget-Übersicht'!$J:$J,'Projekt-Budget-Übersicht'!$H:$H))),MATCH(890,'Projekt-Budget-Übersicht'!$L:$L,0)),0))</f>
        <v>0</v>
      </c>
      <c r="M151" s="10">
        <f t="shared" si="13"/>
        <v>0</v>
      </c>
      <c r="N151" s="10">
        <f t="shared" si="14"/>
        <v>0</v>
      </c>
      <c r="O151" s="10">
        <f t="shared" si="15"/>
        <v>0</v>
      </c>
      <c r="P151" s="10">
        <f>'O. Haag BS-CAD'!M151+'R. Wagen CAD'!M79+'S. Schüler'!M139</f>
        <v>0</v>
      </c>
      <c r="Q151" s="10">
        <f>IFERROR(INDEX('Projekt-Budget-Übersicht'!$E:$E,MATCH(890,'Projekt-Budget-Übersicht'!$L:$L,0)),0)</f>
        <v>0</v>
      </c>
      <c r="R151" s="10">
        <v>7717.86</v>
      </c>
      <c r="S151" s="4"/>
      <c r="T151" s="4"/>
      <c r="U151" s="4"/>
    </row>
    <row r="152" spans="1:21" x14ac:dyDescent="0.25">
      <c r="A152" s="23"/>
      <c r="B152" s="4" t="s">
        <v>5629</v>
      </c>
      <c r="C152" s="4" t="str">
        <f>IFERROR(INDEX('Projekt-Budget-Übersicht'!$C:$C,MATCH(892,'Projekt-Budget-Übersicht'!$L:$L,0)),"")</f>
        <v/>
      </c>
      <c r="D152" s="4">
        <v>8.5</v>
      </c>
      <c r="E152" s="4">
        <v>13.25</v>
      </c>
      <c r="F152" s="5">
        <f>SUM(F57,I57,K57)</f>
        <v>1</v>
      </c>
      <c r="G152" s="15">
        <v>155.88</v>
      </c>
      <c r="H152" s="5">
        <f>SUM(H57)</f>
        <v>0</v>
      </c>
      <c r="I152" s="5">
        <f t="shared" si="12"/>
        <v>0</v>
      </c>
      <c r="J152" s="4" t="s">
        <v>5531</v>
      </c>
      <c r="K152" s="5">
        <f>SUM(K57)</f>
        <v>0</v>
      </c>
      <c r="L152" s="10">
        <f>IF($B$2="-",0,IFERROR(INDEX(IF($B$2="SV",'Projekt-Budget-Übersicht'!$H:$H,IF($B$2="CAD",'Projekt-Budget-Übersicht'!$I:$I,IF($B$2="ADM",'Projekt-Budget-Übersicht'!$J:$J,'Projekt-Budget-Übersicht'!$H:$H))),MATCH(892,'Projekt-Budget-Übersicht'!$L:$L,0)),0))</f>
        <v>0</v>
      </c>
      <c r="M152" s="10">
        <f t="shared" si="13"/>
        <v>0</v>
      </c>
      <c r="N152" s="10">
        <f t="shared" si="14"/>
        <v>0</v>
      </c>
      <c r="O152" s="10">
        <f t="shared" si="15"/>
        <v>0</v>
      </c>
      <c r="P152" s="10">
        <f>'O. Haag BS-CAD'!M152+'S. Schüler'!M144</f>
        <v>0</v>
      </c>
      <c r="Q152" s="10">
        <f>IFERROR(INDEX('Projekt-Budget-Übersicht'!$E:$E,MATCH(892,'Projekt-Budget-Übersicht'!$L:$L,0)),0)</f>
        <v>0</v>
      </c>
      <c r="R152" s="10">
        <v>12383.75</v>
      </c>
      <c r="S152" s="4"/>
      <c r="T152" s="4"/>
      <c r="U152" s="4"/>
    </row>
    <row r="153" spans="1:21" x14ac:dyDescent="0.25">
      <c r="A153" s="22"/>
      <c r="B153" s="4" t="s">
        <v>5602</v>
      </c>
      <c r="C153" s="4" t="str">
        <f>IFERROR(INDEX('Projekt-Budget-Übersicht'!$C:$C,MATCH(893,'Projekt-Budget-Übersicht'!$L:$L,0)),"")</f>
        <v/>
      </c>
      <c r="D153" s="4">
        <v>28.5</v>
      </c>
      <c r="E153" s="4">
        <v>5.25</v>
      </c>
      <c r="F153" s="5">
        <f>SUM(F58,I58,K58)</f>
        <v>0.25</v>
      </c>
      <c r="G153" s="16">
        <v>18.420000000000002</v>
      </c>
      <c r="H153" s="5">
        <f>SUM(H58)</f>
        <v>0</v>
      </c>
      <c r="I153" s="5">
        <f t="shared" si="12"/>
        <v>0</v>
      </c>
      <c r="J153" s="4" t="s">
        <v>5531</v>
      </c>
      <c r="K153" s="5">
        <f>SUM(K58)</f>
        <v>0</v>
      </c>
      <c r="L153" s="10">
        <f>IF($B$2="-",0,IFERROR(INDEX(IF($B$2="SV",'Projekt-Budget-Übersicht'!$H:$H,IF($B$2="CAD",'Projekt-Budget-Übersicht'!$I:$I,IF($B$2="ADM",'Projekt-Budget-Übersicht'!$J:$J,'Projekt-Budget-Übersicht'!$H:$H))),MATCH(893,'Projekt-Budget-Übersicht'!$L:$L,0)),0))</f>
        <v>0</v>
      </c>
      <c r="M153" s="10">
        <f t="shared" si="13"/>
        <v>0</v>
      </c>
      <c r="N153" s="10">
        <f t="shared" si="14"/>
        <v>0</v>
      </c>
      <c r="O153" s="10">
        <f t="shared" si="15"/>
        <v>0</v>
      </c>
      <c r="P153" s="10">
        <f>'O. Haag BS-CAD'!M153+'S. Schüler'!M146</f>
        <v>0</v>
      </c>
      <c r="Q153" s="10">
        <f>IFERROR(INDEX('Projekt-Budget-Übersicht'!$E:$E,MATCH(893,'Projekt-Budget-Übersicht'!$L:$L,0)),0)</f>
        <v>0</v>
      </c>
      <c r="R153" s="10">
        <v>988.75</v>
      </c>
      <c r="S153" s="4"/>
      <c r="T153" s="4"/>
      <c r="U153" s="4"/>
    </row>
    <row r="154" spans="1:21" x14ac:dyDescent="0.25">
      <c r="A154" s="4" t="s">
        <v>1074</v>
      </c>
      <c r="B154" s="4" t="s">
        <v>5502</v>
      </c>
      <c r="C154" s="4" t="str">
        <f>IFERROR(INDEX('Projekt-Budget-Übersicht'!$C:$C,MATCH(1096,'Projekt-Budget-Übersicht'!$L:$L,0)),"")</f>
        <v/>
      </c>
      <c r="D154" s="4">
        <v>24</v>
      </c>
      <c r="E154" s="4">
        <v>46.5</v>
      </c>
      <c r="F154" s="5">
        <f>SUM(F13,I13,K13)</f>
        <v>0.5</v>
      </c>
      <c r="G154" s="15">
        <v>193.75</v>
      </c>
      <c r="H154" s="5">
        <f>SUM(H13)</f>
        <v>0</v>
      </c>
      <c r="I154" s="5">
        <f t="shared" si="12"/>
        <v>0</v>
      </c>
      <c r="J154" s="4" t="s">
        <v>5531</v>
      </c>
      <c r="K154" s="5">
        <f>SUM(K13)</f>
        <v>0</v>
      </c>
      <c r="L154" s="10">
        <f>IF($B$2="-",0,IFERROR(INDEX(IF($B$2="SV",'Projekt-Budget-Übersicht'!$H:$H,IF($B$2="CAD",'Projekt-Budget-Übersicht'!$I:$I,IF($B$2="ADM",'Projekt-Budget-Übersicht'!$J:$J,'Projekt-Budget-Übersicht'!$H:$H))),MATCH(1096,'Projekt-Budget-Übersicht'!$L:$L,0)),0))</f>
        <v>0</v>
      </c>
      <c r="M154" s="10">
        <f t="shared" si="13"/>
        <v>0</v>
      </c>
      <c r="N154" s="10">
        <f t="shared" si="14"/>
        <v>0</v>
      </c>
      <c r="O154" s="10">
        <f t="shared" si="15"/>
        <v>0</v>
      </c>
      <c r="P154" s="10">
        <f>'O. Haag BS-CAD'!M154</f>
        <v>0</v>
      </c>
      <c r="Q154" s="10">
        <f>IFERROR(INDEX('Projekt-Budget-Übersicht'!$E:$E,MATCH(1096,'Projekt-Budget-Übersicht'!$L:$L,0)),0)</f>
        <v>0</v>
      </c>
      <c r="R154" s="10">
        <v>8402.5</v>
      </c>
      <c r="S154" s="4"/>
      <c r="T154" s="4"/>
      <c r="U154" s="4"/>
    </row>
    <row r="155" spans="1:21" x14ac:dyDescent="0.25">
      <c r="A155" s="4" t="s">
        <v>1312</v>
      </c>
      <c r="B155" s="4" t="s">
        <v>5618</v>
      </c>
      <c r="C155" s="4" t="str">
        <f>IFERROR(INDEX('Projekt-Budget-Übersicht'!$C:$C,MATCH(1421,'Projekt-Budget-Übersicht'!$L:$L,0)),"")</f>
        <v/>
      </c>
      <c r="D155" s="4">
        <v>14</v>
      </c>
      <c r="E155" s="4">
        <v>11.25</v>
      </c>
      <c r="F155" s="5">
        <f>SUM(F14,I14,K14)</f>
        <v>0.25</v>
      </c>
      <c r="G155" s="16">
        <v>80.36</v>
      </c>
      <c r="H155" s="5">
        <f>SUM(H14)</f>
        <v>0</v>
      </c>
      <c r="I155" s="5">
        <f t="shared" si="12"/>
        <v>0</v>
      </c>
      <c r="J155" s="4" t="s">
        <v>5531</v>
      </c>
      <c r="K155" s="5">
        <f>SUM(K14)</f>
        <v>0</v>
      </c>
      <c r="L155" s="10">
        <f>IF($B$2="-",0,IFERROR(INDEX(IF($B$2="SV",'Projekt-Budget-Übersicht'!$H:$H,IF($B$2="CAD",'Projekt-Budget-Übersicht'!$I:$I,IF($B$2="ADM",'Projekt-Budget-Übersicht'!$J:$J,'Projekt-Budget-Übersicht'!$H:$H))),MATCH(1421,'Projekt-Budget-Übersicht'!$L:$L,0)),0))</f>
        <v>0</v>
      </c>
      <c r="M155" s="10">
        <f t="shared" si="13"/>
        <v>0</v>
      </c>
      <c r="N155" s="10">
        <f t="shared" si="14"/>
        <v>0</v>
      </c>
      <c r="O155" s="10">
        <f t="shared" si="15"/>
        <v>0</v>
      </c>
      <c r="P155" s="10">
        <f>'O. Haag BS-CAD'!M155</f>
        <v>0</v>
      </c>
      <c r="Q155" s="10">
        <f>IFERROR(INDEX('Projekt-Budget-Übersicht'!$E:$E,MATCH(1421,'Projekt-Budget-Übersicht'!$L:$L,0)),0)</f>
        <v>0</v>
      </c>
      <c r="R155" s="10">
        <v>562.5</v>
      </c>
      <c r="S155" s="4"/>
      <c r="T155" s="4"/>
      <c r="U155" s="4"/>
    </row>
    <row r="156" spans="1:21" x14ac:dyDescent="0.25">
      <c r="A156" s="4" t="s">
        <v>1429</v>
      </c>
      <c r="B156" s="4" t="s">
        <v>5504</v>
      </c>
      <c r="C156" s="4" t="str">
        <f>IFERROR(INDEX('Projekt-Budget-Übersicht'!$C:$C,MATCH(1573,'Projekt-Budget-Übersicht'!$L:$L,0)),"")</f>
        <v/>
      </c>
      <c r="D156" s="4">
        <v>85</v>
      </c>
      <c r="E156" s="4">
        <v>58</v>
      </c>
      <c r="F156" s="5">
        <f>SUM(F16,I16,K16)</f>
        <v>0.5</v>
      </c>
      <c r="G156" s="16">
        <v>68.239999999999995</v>
      </c>
      <c r="H156" s="5">
        <f>SUM(H16)</f>
        <v>0</v>
      </c>
      <c r="I156" s="5">
        <f t="shared" si="12"/>
        <v>0</v>
      </c>
      <c r="J156" s="4" t="s">
        <v>5531</v>
      </c>
      <c r="K156" s="5">
        <f>SUM(K16)</f>
        <v>0</v>
      </c>
      <c r="L156" s="10">
        <f>IF($B$2="-",0,IFERROR(INDEX(IF($B$2="SV",'Projekt-Budget-Übersicht'!$H:$H,IF($B$2="CAD",'Projekt-Budget-Übersicht'!$I:$I,IF($B$2="ADM",'Projekt-Budget-Übersicht'!$J:$J,'Projekt-Budget-Übersicht'!$H:$H))),MATCH(1573,'Projekt-Budget-Übersicht'!$L:$L,0)),0))</f>
        <v>0</v>
      </c>
      <c r="M156" s="10">
        <f t="shared" si="13"/>
        <v>0</v>
      </c>
      <c r="N156" s="10">
        <f t="shared" si="14"/>
        <v>0</v>
      </c>
      <c r="O156" s="10">
        <f t="shared" si="15"/>
        <v>0</v>
      </c>
      <c r="P156" s="10">
        <f>'O. Haag BS-CAD'!M156+'T. Trautmann'!M129</f>
        <v>0</v>
      </c>
      <c r="Q156" s="10">
        <f>IFERROR(INDEX('Projekt-Budget-Übersicht'!$E:$E,MATCH(1573,'Projekt-Budget-Übersicht'!$L:$L,0)),0)</f>
        <v>0</v>
      </c>
      <c r="R156" s="10">
        <v>26345</v>
      </c>
      <c r="S156" s="4"/>
      <c r="T156" s="4"/>
      <c r="U156" s="4"/>
    </row>
    <row r="157" spans="1:21" x14ac:dyDescent="0.25">
      <c r="A157" s="4" t="s">
        <v>1431</v>
      </c>
      <c r="B157" s="4" t="s">
        <v>5498</v>
      </c>
      <c r="C157" s="4" t="str">
        <f>IFERROR(INDEX('Projekt-Budget-Übersicht'!$C:$C,MATCH(1574,'Projekt-Budget-Übersicht'!$L:$L,0)),"")</f>
        <v/>
      </c>
      <c r="D157" s="4">
        <v>109</v>
      </c>
      <c r="E157" s="4">
        <v>24.5</v>
      </c>
      <c r="F157" s="5">
        <f>SUM(F99,I99,K99)</f>
        <v>4.5</v>
      </c>
      <c r="G157" s="16">
        <v>22.48</v>
      </c>
      <c r="H157" s="5">
        <f>SUM(H99)</f>
        <v>0</v>
      </c>
      <c r="I157" s="5">
        <f t="shared" si="12"/>
        <v>0</v>
      </c>
      <c r="J157" s="4" t="s">
        <v>5531</v>
      </c>
      <c r="K157" s="5">
        <f>SUM(K99)</f>
        <v>0</v>
      </c>
      <c r="L157" s="10">
        <f>IF($B$2="-",0,IFERROR(INDEX(IF($B$2="SV",'Projekt-Budget-Übersicht'!$H:$H,IF($B$2="CAD",'Projekt-Budget-Übersicht'!$I:$I,IF($B$2="ADM",'Projekt-Budget-Übersicht'!$J:$J,'Projekt-Budget-Übersicht'!$H:$H))),MATCH(1574,'Projekt-Budget-Übersicht'!$L:$L,0)),0))</f>
        <v>0</v>
      </c>
      <c r="M157" s="10">
        <f t="shared" si="13"/>
        <v>0</v>
      </c>
      <c r="N157" s="10">
        <f t="shared" si="14"/>
        <v>0</v>
      </c>
      <c r="O157" s="10">
        <f t="shared" si="15"/>
        <v>0</v>
      </c>
      <c r="P157" s="10">
        <f>'O. Haag BS-CAD'!M157</f>
        <v>0</v>
      </c>
      <c r="Q157" s="10">
        <f>IFERROR(INDEX('Projekt-Budget-Übersicht'!$E:$E,MATCH(1574,'Projekt-Budget-Übersicht'!$L:$L,0)),0)</f>
        <v>0</v>
      </c>
      <c r="R157" s="10"/>
      <c r="S157" s="4"/>
      <c r="T157" s="4"/>
      <c r="U157" s="4"/>
    </row>
    <row r="158" spans="1:21" x14ac:dyDescent="0.25">
      <c r="A158" s="4" t="s">
        <v>1497</v>
      </c>
      <c r="B158" s="4" t="s">
        <v>5619</v>
      </c>
      <c r="C158" s="4" t="str">
        <f>IFERROR(INDEX('Projekt-Budget-Übersicht'!$C:$C,MATCH(1685,'Projekt-Budget-Übersicht'!$L:$L,0)),"")</f>
        <v/>
      </c>
      <c r="D158" s="4">
        <v>40</v>
      </c>
      <c r="E158" s="4">
        <v>70</v>
      </c>
      <c r="F158" s="5">
        <f>SUM(F17,I17,K17)</f>
        <v>1.5</v>
      </c>
      <c r="G158" s="15">
        <v>175</v>
      </c>
      <c r="H158" s="5">
        <f>SUM(H17)</f>
        <v>0</v>
      </c>
      <c r="I158" s="5">
        <f t="shared" si="12"/>
        <v>0</v>
      </c>
      <c r="J158" s="4" t="s">
        <v>5531</v>
      </c>
      <c r="K158" s="5">
        <f>SUM(K17)</f>
        <v>0</v>
      </c>
      <c r="L158" s="10">
        <f>IF($B$2="-",0,IFERROR(INDEX(IF($B$2="SV",'Projekt-Budget-Übersicht'!$H:$H,IF($B$2="CAD",'Projekt-Budget-Übersicht'!$I:$I,IF($B$2="ADM",'Projekt-Budget-Übersicht'!$J:$J,'Projekt-Budget-Übersicht'!$H:$H))),MATCH(1685,'Projekt-Budget-Übersicht'!$L:$L,0)),0))</f>
        <v>0</v>
      </c>
      <c r="M158" s="10">
        <f t="shared" si="13"/>
        <v>0</v>
      </c>
      <c r="N158" s="10">
        <f t="shared" si="14"/>
        <v>0</v>
      </c>
      <c r="O158" s="10">
        <f t="shared" si="15"/>
        <v>0</v>
      </c>
      <c r="P158" s="10">
        <f>'O. Haag BS-CAD'!M158+'S. Schüler'!M153</f>
        <v>0</v>
      </c>
      <c r="Q158" s="10">
        <f>IFERROR(INDEX('Projekt-Budget-Übersicht'!$E:$E,MATCH(1685,'Projekt-Budget-Übersicht'!$L:$L,0)),0)</f>
        <v>0</v>
      </c>
      <c r="R158" s="10">
        <v>4326.93</v>
      </c>
      <c r="S158" s="4"/>
      <c r="T158" s="4"/>
      <c r="U158" s="4"/>
    </row>
    <row r="159" spans="1:21" x14ac:dyDescent="0.25">
      <c r="A159" s="4" t="s">
        <v>1504</v>
      </c>
      <c r="B159" s="4" t="s">
        <v>5502</v>
      </c>
      <c r="C159" s="4" t="str">
        <f>IFERROR(INDEX('Projekt-Budget-Übersicht'!$C:$C,MATCH(1691,'Projekt-Budget-Übersicht'!$L:$L,0)),"")</f>
        <v/>
      </c>
      <c r="D159" s="4">
        <v>30</v>
      </c>
      <c r="E159" s="4">
        <v>17.5</v>
      </c>
      <c r="F159" s="5">
        <f>SUM(F18,F59,I18,I59,K18,K59)</f>
        <v>9.75</v>
      </c>
      <c r="G159" s="16">
        <v>58.33</v>
      </c>
      <c r="H159" s="5">
        <f>SUM(H18,H59)</f>
        <v>0</v>
      </c>
      <c r="I159" s="5">
        <f t="shared" si="12"/>
        <v>0</v>
      </c>
      <c r="J159" s="4" t="s">
        <v>5531</v>
      </c>
      <c r="K159" s="5">
        <f>SUM(K18,K59)</f>
        <v>0</v>
      </c>
      <c r="L159" s="10">
        <f>IF($B$2="-",0,IFERROR(INDEX(IF($B$2="SV",'Projekt-Budget-Übersicht'!$H:$H,IF($B$2="CAD",'Projekt-Budget-Übersicht'!$I:$I,IF($B$2="ADM",'Projekt-Budget-Übersicht'!$J:$J,'Projekt-Budget-Übersicht'!$H:$H))),MATCH(1691,'Projekt-Budget-Übersicht'!$L:$L,0)),0))</f>
        <v>0</v>
      </c>
      <c r="M159" s="10">
        <f t="shared" si="13"/>
        <v>0</v>
      </c>
      <c r="N159" s="10">
        <f t="shared" si="14"/>
        <v>0</v>
      </c>
      <c r="O159" s="10">
        <f t="shared" si="15"/>
        <v>0</v>
      </c>
      <c r="P159" s="10">
        <f>'O. Haag BS-CAD'!M159+'S. Schüler'!M156</f>
        <v>0</v>
      </c>
      <c r="Q159" s="10">
        <f>IFERROR(INDEX('Projekt-Budget-Übersicht'!$E:$E,MATCH(1691,'Projekt-Budget-Übersicht'!$L:$L,0)),0)</f>
        <v>0</v>
      </c>
      <c r="R159" s="10">
        <v>885</v>
      </c>
      <c r="S159" s="4"/>
      <c r="T159" s="4"/>
      <c r="U159" s="4"/>
    </row>
    <row r="160" spans="1:21" x14ac:dyDescent="0.25">
      <c r="A160" s="4" t="s">
        <v>1505</v>
      </c>
      <c r="B160" s="4" t="s">
        <v>5614</v>
      </c>
      <c r="C160" s="4" t="str">
        <f>IFERROR(INDEX('Projekt-Budget-Übersicht'!$C:$C,MATCH(1694,'Projekt-Budget-Übersicht'!$L:$L,0)),"")</f>
        <v/>
      </c>
      <c r="D160" s="4">
        <v>100</v>
      </c>
      <c r="E160" s="4">
        <v>47.5</v>
      </c>
      <c r="F160" s="5">
        <f>SUM(F19,F60,I19,I60,K19,K60)</f>
        <v>2</v>
      </c>
      <c r="G160" s="16">
        <v>47.5</v>
      </c>
      <c r="H160" s="5">
        <f>SUM(H19,H60)</f>
        <v>0</v>
      </c>
      <c r="I160" s="5">
        <f t="shared" si="12"/>
        <v>0</v>
      </c>
      <c r="J160" s="4" t="s">
        <v>5531</v>
      </c>
      <c r="K160" s="5">
        <f>SUM(K19,K60)</f>
        <v>0</v>
      </c>
      <c r="L160" s="10">
        <f>IF($B$2="-",0,IFERROR(INDEX(IF($B$2="SV",'Projekt-Budget-Übersicht'!$H:$H,IF($B$2="CAD",'Projekt-Budget-Übersicht'!$I:$I,IF($B$2="ADM",'Projekt-Budget-Übersicht'!$J:$J,'Projekt-Budget-Übersicht'!$H:$H))),MATCH(1694,'Projekt-Budget-Übersicht'!$L:$L,0)),0))</f>
        <v>0</v>
      </c>
      <c r="M160" s="10">
        <f t="shared" si="13"/>
        <v>0</v>
      </c>
      <c r="N160" s="10">
        <f t="shared" si="14"/>
        <v>0</v>
      </c>
      <c r="O160" s="10">
        <f t="shared" si="15"/>
        <v>0</v>
      </c>
      <c r="P160" s="10">
        <f>'M. Warner'!M48+'O. Haag BS-CAD'!M160</f>
        <v>0</v>
      </c>
      <c r="Q160" s="10">
        <f>IFERROR(INDEX('Projekt-Budget-Übersicht'!$E:$E,MATCH(1694,'Projekt-Budget-Übersicht'!$L:$L,0)),0)</f>
        <v>0</v>
      </c>
      <c r="R160" s="10">
        <v>2337.5</v>
      </c>
      <c r="S160" s="4"/>
      <c r="T160" s="4"/>
      <c r="U160" s="4"/>
    </row>
    <row r="161" spans="1:21" x14ac:dyDescent="0.25">
      <c r="A161" s="4" t="s">
        <v>1639</v>
      </c>
      <c r="B161" s="4" t="s">
        <v>5620</v>
      </c>
      <c r="C161" s="4" t="str">
        <f>IFERROR(INDEX('Projekt-Budget-Übersicht'!$C:$C,MATCH(1848,'Projekt-Budget-Übersicht'!$L:$L,0)),"")</f>
        <v/>
      </c>
      <c r="D161" s="4">
        <v>5</v>
      </c>
      <c r="E161" s="4">
        <v>16</v>
      </c>
      <c r="F161" s="5">
        <f>SUM(F20,I20,K20)</f>
        <v>2.25</v>
      </c>
      <c r="G161" s="15">
        <v>320</v>
      </c>
      <c r="H161" s="5">
        <f>SUM(H20)</f>
        <v>0</v>
      </c>
      <c r="I161" s="5">
        <f t="shared" si="12"/>
        <v>0</v>
      </c>
      <c r="J161" s="4" t="s">
        <v>5531</v>
      </c>
      <c r="K161" s="5">
        <f>SUM(K20)</f>
        <v>0</v>
      </c>
      <c r="L161" s="10">
        <f>IF($B$2="-",0,IFERROR(INDEX(IF($B$2="SV",'Projekt-Budget-Übersicht'!$H:$H,IF($B$2="CAD",'Projekt-Budget-Übersicht'!$I:$I,IF($B$2="ADM",'Projekt-Budget-Übersicht'!$J:$J,'Projekt-Budget-Übersicht'!$H:$H))),MATCH(1848,'Projekt-Budget-Übersicht'!$L:$L,0)),0))</f>
        <v>0</v>
      </c>
      <c r="M161" s="10">
        <f t="shared" si="13"/>
        <v>0</v>
      </c>
      <c r="N161" s="10">
        <f t="shared" si="14"/>
        <v>0</v>
      </c>
      <c r="O161" s="10">
        <f t="shared" si="15"/>
        <v>0</v>
      </c>
      <c r="P161" s="10">
        <f>'O. Haag BS-CAD'!M161</f>
        <v>0</v>
      </c>
      <c r="Q161" s="10">
        <f>IFERROR(INDEX('Projekt-Budget-Übersicht'!$E:$E,MATCH(1848,'Projekt-Budget-Übersicht'!$L:$L,0)),0)</f>
        <v>0</v>
      </c>
      <c r="R161" s="10">
        <v>1012.5</v>
      </c>
      <c r="S161" s="4"/>
      <c r="T161" s="4"/>
      <c r="U161" s="4"/>
    </row>
    <row r="162" spans="1:21" x14ac:dyDescent="0.25">
      <c r="A162" s="4" t="s">
        <v>1642</v>
      </c>
      <c r="B162" s="4" t="s">
        <v>5630</v>
      </c>
      <c r="C162" s="4" t="str">
        <f>IFERROR(INDEX('Projekt-Budget-Übersicht'!$C:$C,MATCH(1850,'Projekt-Budget-Übersicht'!$L:$L,0)),"")</f>
        <v/>
      </c>
      <c r="D162" s="4">
        <v>8</v>
      </c>
      <c r="E162" s="4">
        <v>4.5</v>
      </c>
      <c r="F162" s="5">
        <f>SUM(F61,I61,K61)</f>
        <v>0.5</v>
      </c>
      <c r="G162" s="16">
        <v>56.25</v>
      </c>
      <c r="H162" s="5">
        <f>SUM(H61)</f>
        <v>0</v>
      </c>
      <c r="I162" s="5">
        <f t="shared" si="12"/>
        <v>0</v>
      </c>
      <c r="J162" s="4" t="s">
        <v>5531</v>
      </c>
      <c r="K162" s="5">
        <f>SUM(K61)</f>
        <v>0</v>
      </c>
      <c r="L162" s="10">
        <f>IF($B$2="-",0,IFERROR(INDEX(IF($B$2="SV",'Projekt-Budget-Übersicht'!$H:$H,IF($B$2="CAD",'Projekt-Budget-Übersicht'!$I:$I,IF($B$2="ADM",'Projekt-Budget-Übersicht'!$J:$J,'Projekt-Budget-Übersicht'!$H:$H))),MATCH(1850,'Projekt-Budget-Übersicht'!$L:$L,0)),0))</f>
        <v>0</v>
      </c>
      <c r="M162" s="10">
        <f t="shared" si="13"/>
        <v>0</v>
      </c>
      <c r="N162" s="10">
        <f t="shared" si="14"/>
        <v>0</v>
      </c>
      <c r="O162" s="10">
        <f t="shared" si="15"/>
        <v>0</v>
      </c>
      <c r="P162" s="10">
        <f>'O. Haag BS-CAD'!M162</f>
        <v>0</v>
      </c>
      <c r="Q162" s="10">
        <f>IFERROR(INDEX('Projekt-Budget-Übersicht'!$E:$E,MATCH(1850,'Projekt-Budget-Übersicht'!$L:$L,0)),0)</f>
        <v>0</v>
      </c>
      <c r="R162" s="10">
        <v>990</v>
      </c>
      <c r="S162" s="4"/>
      <c r="T162" s="4"/>
      <c r="U162" s="4"/>
    </row>
    <row r="163" spans="1:21" x14ac:dyDescent="0.25">
      <c r="A163" s="4" t="s">
        <v>1644</v>
      </c>
      <c r="B163" s="4" t="s">
        <v>5486</v>
      </c>
      <c r="C163" s="4" t="str">
        <f>IFERROR(INDEX('Projekt-Budget-Übersicht'!$C:$C,MATCH(1852,'Projekt-Budget-Übersicht'!$L:$L,0)),"")</f>
        <v/>
      </c>
      <c r="D163" s="4" t="s">
        <v>5531</v>
      </c>
      <c r="E163" s="4">
        <v>36.25</v>
      </c>
      <c r="F163" s="5">
        <f>SUM(F100,I100,K100)</f>
        <v>21.5</v>
      </c>
      <c r="G163" s="4" t="s">
        <v>5531</v>
      </c>
      <c r="H163" s="5">
        <f>SUM(H100)</f>
        <v>0</v>
      </c>
      <c r="I163" s="5">
        <f t="shared" si="12"/>
        <v>0</v>
      </c>
      <c r="J163" s="4" t="s">
        <v>5531</v>
      </c>
      <c r="K163" s="5">
        <f>SUM(K100)</f>
        <v>0</v>
      </c>
      <c r="L163" s="10">
        <f>IF($B$2="-",0,IFERROR(INDEX(IF($B$2="SV",'Projekt-Budget-Übersicht'!$H:$H,IF($B$2="CAD",'Projekt-Budget-Übersicht'!$I:$I,IF($B$2="ADM",'Projekt-Budget-Übersicht'!$J:$J,'Projekt-Budget-Übersicht'!$H:$H))),MATCH(1852,'Projekt-Budget-Übersicht'!$L:$L,0)),0))</f>
        <v>0</v>
      </c>
      <c r="M163" s="10">
        <f t="shared" si="13"/>
        <v>0</v>
      </c>
      <c r="N163" s="10">
        <f t="shared" si="14"/>
        <v>0</v>
      </c>
      <c r="O163" s="10">
        <f t="shared" si="15"/>
        <v>0</v>
      </c>
      <c r="P163" s="10">
        <f>'M. Bandlofsky CAD'!M34+'O. Haag BS-CAD'!M163</f>
        <v>0</v>
      </c>
      <c r="Q163" s="10">
        <f>IFERROR(INDEX('Projekt-Budget-Übersicht'!$E:$E,MATCH(1852,'Projekt-Budget-Übersicht'!$L:$L,0)),0)</f>
        <v>0</v>
      </c>
      <c r="R163" s="10">
        <v>1092.5</v>
      </c>
      <c r="S163" s="4"/>
      <c r="T163" s="4"/>
      <c r="U163" s="4"/>
    </row>
    <row r="164" spans="1:21" x14ac:dyDescent="0.25">
      <c r="A164" s="4" t="s">
        <v>1762</v>
      </c>
      <c r="B164" s="4" t="s">
        <v>5502</v>
      </c>
      <c r="C164" s="4" t="str">
        <f>IFERROR(INDEX('Projekt-Budget-Übersicht'!$C:$C,MATCH(1988,'Projekt-Budget-Übersicht'!$L:$L,0)),"")</f>
        <v/>
      </c>
      <c r="D164" s="4">
        <v>4</v>
      </c>
      <c r="E164" s="4">
        <v>2</v>
      </c>
      <c r="F164" s="5">
        <f>SUM(F62,I62,K62)</f>
        <v>2</v>
      </c>
      <c r="G164" s="16">
        <v>50</v>
      </c>
      <c r="H164" s="5">
        <f>SUM(H62)</f>
        <v>0</v>
      </c>
      <c r="I164" s="5">
        <f t="shared" si="12"/>
        <v>0</v>
      </c>
      <c r="J164" s="4" t="s">
        <v>5531</v>
      </c>
      <c r="K164" s="5">
        <f>SUM(K62)</f>
        <v>0</v>
      </c>
      <c r="L164" s="10">
        <f>IF($B$2="-",0,IFERROR(INDEX(IF($B$2="SV",'Projekt-Budget-Übersicht'!$H:$H,IF($B$2="CAD",'Projekt-Budget-Übersicht'!$I:$I,IF($B$2="ADM",'Projekt-Budget-Übersicht'!$J:$J,'Projekt-Budget-Übersicht'!$H:$H))),MATCH(1988,'Projekt-Budget-Übersicht'!$L:$L,0)),0))</f>
        <v>0</v>
      </c>
      <c r="M164" s="10">
        <f t="shared" si="13"/>
        <v>0</v>
      </c>
      <c r="N164" s="10">
        <f t="shared" si="14"/>
        <v>0</v>
      </c>
      <c r="O164" s="10">
        <f t="shared" si="15"/>
        <v>0</v>
      </c>
      <c r="P164" s="10">
        <f>'O. Haag BS-CAD'!M164</f>
        <v>0</v>
      </c>
      <c r="Q164" s="10">
        <f>IFERROR(INDEX('Projekt-Budget-Übersicht'!$E:$E,MATCH(1988,'Projekt-Budget-Übersicht'!$L:$L,0)),0)</f>
        <v>0</v>
      </c>
      <c r="R164" s="10">
        <v>1892.5</v>
      </c>
      <c r="S164" s="4"/>
      <c r="T164" s="4"/>
      <c r="U164" s="4"/>
    </row>
    <row r="165" spans="1:21" x14ac:dyDescent="0.25">
      <c r="A165" s="4" t="s">
        <v>1802</v>
      </c>
      <c r="B165" s="4" t="s">
        <v>5486</v>
      </c>
      <c r="C165" s="4" t="str">
        <f>IFERROR(INDEX('Projekt-Budget-Übersicht'!$C:$C,MATCH(2041,'Projekt-Budget-Übersicht'!$L:$L,0)),"")</f>
        <v/>
      </c>
      <c r="D165" s="4">
        <v>10</v>
      </c>
      <c r="E165" s="4">
        <v>4</v>
      </c>
      <c r="F165" s="5">
        <f>SUM(F101,I101,K101)</f>
        <v>3</v>
      </c>
      <c r="G165" s="16">
        <v>40</v>
      </c>
      <c r="H165" s="5">
        <f>SUM(H101)</f>
        <v>0</v>
      </c>
      <c r="I165" s="5">
        <f t="shared" si="12"/>
        <v>0</v>
      </c>
      <c r="J165" s="4" t="s">
        <v>5531</v>
      </c>
      <c r="K165" s="5">
        <f>SUM(K101)</f>
        <v>0</v>
      </c>
      <c r="L165" s="10">
        <f>IF($B$2="-",0,IFERROR(INDEX(IF($B$2="SV",'Projekt-Budget-Übersicht'!$H:$H,IF($B$2="CAD",'Projekt-Budget-Übersicht'!$I:$I,IF($B$2="ADM",'Projekt-Budget-Übersicht'!$J:$J,'Projekt-Budget-Übersicht'!$H:$H))),MATCH(2041,'Projekt-Budget-Übersicht'!$L:$L,0)),0))</f>
        <v>0</v>
      </c>
      <c r="M165" s="10">
        <f t="shared" si="13"/>
        <v>0</v>
      </c>
      <c r="N165" s="10">
        <f t="shared" si="14"/>
        <v>0</v>
      </c>
      <c r="O165" s="10">
        <f t="shared" si="15"/>
        <v>0</v>
      </c>
      <c r="P165" s="10">
        <f>'O. Haag BS-CAD'!M165</f>
        <v>0</v>
      </c>
      <c r="Q165" s="10">
        <f>IFERROR(INDEX('Projekt-Budget-Übersicht'!$E:$E,MATCH(2041,'Projekt-Budget-Übersicht'!$L:$L,0)),0)</f>
        <v>0</v>
      </c>
      <c r="R165" s="10">
        <v>2760</v>
      </c>
      <c r="S165" s="4"/>
      <c r="T165" s="4"/>
      <c r="U165" s="4"/>
    </row>
    <row r="166" spans="1:21" x14ac:dyDescent="0.25">
      <c r="A166" s="4" t="s">
        <v>1952</v>
      </c>
      <c r="B166" s="4" t="s">
        <v>5486</v>
      </c>
      <c r="C166" s="4" t="str">
        <f>IFERROR(INDEX('Projekt-Budget-Übersicht'!$C:$C,MATCH(2323,'Projekt-Budget-Übersicht'!$L:$L,0)),"")</f>
        <v/>
      </c>
      <c r="D166" s="4">
        <v>27</v>
      </c>
      <c r="E166" s="4">
        <v>23.75</v>
      </c>
      <c r="F166" s="5">
        <f>SUM(F102,I102,K102)</f>
        <v>3.5</v>
      </c>
      <c r="G166" s="16">
        <v>87.96</v>
      </c>
      <c r="H166" s="5">
        <f>SUM(H102)</f>
        <v>0</v>
      </c>
      <c r="I166" s="5">
        <f t="shared" si="12"/>
        <v>0</v>
      </c>
      <c r="J166" s="4" t="s">
        <v>5531</v>
      </c>
      <c r="K166" s="5">
        <f>SUM(K102)</f>
        <v>0</v>
      </c>
      <c r="L166" s="10">
        <f>IF($B$2="-",0,IFERROR(INDEX(IF($B$2="SV",'Projekt-Budget-Übersicht'!$H:$H,IF($B$2="CAD",'Projekt-Budget-Übersicht'!$I:$I,IF($B$2="ADM",'Projekt-Budget-Übersicht'!$J:$J,'Projekt-Budget-Übersicht'!$H:$H))),MATCH(2323,'Projekt-Budget-Übersicht'!$L:$L,0)),0))</f>
        <v>0</v>
      </c>
      <c r="M166" s="10">
        <f t="shared" si="13"/>
        <v>0</v>
      </c>
      <c r="N166" s="10">
        <f t="shared" si="14"/>
        <v>0</v>
      </c>
      <c r="O166" s="10">
        <f t="shared" si="15"/>
        <v>0</v>
      </c>
      <c r="P166" s="10">
        <f>'O. Haag BS-CAD'!M166</f>
        <v>0</v>
      </c>
      <c r="Q166" s="10">
        <f>IFERROR(INDEX('Projekt-Budget-Übersicht'!$E:$E,MATCH(2323,'Projekt-Budget-Übersicht'!$L:$L,0)),0)</f>
        <v>0</v>
      </c>
      <c r="R166" s="10">
        <v>1150</v>
      </c>
      <c r="S166" s="4"/>
      <c r="T166" s="4"/>
      <c r="U166" s="4"/>
    </row>
    <row r="167" spans="1:21" x14ac:dyDescent="0.25">
      <c r="A167" s="4" t="s">
        <v>1958</v>
      </c>
      <c r="B167" s="4" t="s">
        <v>5486</v>
      </c>
      <c r="C167" s="4" t="str">
        <f>IFERROR(INDEX('Projekt-Budget-Übersicht'!$C:$C,MATCH(2331,'Projekt-Budget-Übersicht'!$L:$L,0)),"")</f>
        <v/>
      </c>
      <c r="D167" s="4">
        <v>13</v>
      </c>
      <c r="E167" s="4">
        <v>6.5</v>
      </c>
      <c r="F167" s="5">
        <f>SUM(F21,I21,K21)</f>
        <v>3.5</v>
      </c>
      <c r="G167" s="16">
        <v>50</v>
      </c>
      <c r="H167" s="5">
        <f>SUM(H21)</f>
        <v>0</v>
      </c>
      <c r="I167" s="5">
        <f t="shared" si="12"/>
        <v>0</v>
      </c>
      <c r="J167" s="4" t="s">
        <v>5531</v>
      </c>
      <c r="K167" s="5">
        <f>SUM(K21)</f>
        <v>0</v>
      </c>
      <c r="L167" s="10">
        <f>IF($B$2="-",0,IFERROR(INDEX(IF($B$2="SV",'Projekt-Budget-Übersicht'!$H:$H,IF($B$2="CAD",'Projekt-Budget-Übersicht'!$I:$I,IF($B$2="ADM",'Projekt-Budget-Übersicht'!$J:$J,'Projekt-Budget-Übersicht'!$H:$H))),MATCH(2331,'Projekt-Budget-Übersicht'!$L:$L,0)),0))</f>
        <v>0</v>
      </c>
      <c r="M167" s="10">
        <f t="shared" si="13"/>
        <v>0</v>
      </c>
      <c r="N167" s="10">
        <f t="shared" si="14"/>
        <v>0</v>
      </c>
      <c r="O167" s="10">
        <f t="shared" si="15"/>
        <v>0</v>
      </c>
      <c r="P167" s="10">
        <f>'O. Haag BS-CAD'!M167</f>
        <v>0</v>
      </c>
      <c r="Q167" s="10">
        <f>IFERROR(INDEX('Projekt-Budget-Übersicht'!$E:$E,MATCH(2331,'Projekt-Budget-Übersicht'!$L:$L,0)),0)</f>
        <v>0</v>
      </c>
      <c r="R167" s="10"/>
      <c r="S167" s="4"/>
      <c r="T167" s="4"/>
      <c r="U167" s="4"/>
    </row>
    <row r="168" spans="1:21" x14ac:dyDescent="0.25">
      <c r="A168" s="4" t="s">
        <v>2104</v>
      </c>
      <c r="B168" s="4" t="s">
        <v>5486</v>
      </c>
      <c r="C168" s="4" t="str">
        <f>IFERROR(INDEX('Projekt-Budget-Übersicht'!$C:$C,MATCH(2473,'Projekt-Budget-Übersicht'!$L:$L,0)),"")</f>
        <v/>
      </c>
      <c r="D168" s="4">
        <v>2</v>
      </c>
      <c r="E168" s="4">
        <v>1.5</v>
      </c>
      <c r="F168" s="5">
        <f>SUM(F103,I103,K103)</f>
        <v>1.5</v>
      </c>
      <c r="G168" s="16">
        <v>75</v>
      </c>
      <c r="H168" s="5">
        <f>SUM(H103)</f>
        <v>0</v>
      </c>
      <c r="I168" s="5">
        <f t="shared" si="12"/>
        <v>0</v>
      </c>
      <c r="J168" s="4" t="s">
        <v>5531</v>
      </c>
      <c r="K168" s="5">
        <f>SUM(K103)</f>
        <v>0</v>
      </c>
      <c r="L168" s="10">
        <f>IF($B$2="-",0,IFERROR(INDEX(IF($B$2="SV",'Projekt-Budget-Übersicht'!$H:$H,IF($B$2="CAD",'Projekt-Budget-Übersicht'!$I:$I,IF($B$2="ADM",'Projekt-Budget-Übersicht'!$J:$J,'Projekt-Budget-Übersicht'!$H:$H))),MATCH(2473,'Projekt-Budget-Übersicht'!$L:$L,0)),0))</f>
        <v>0</v>
      </c>
      <c r="M168" s="10">
        <f t="shared" si="13"/>
        <v>0</v>
      </c>
      <c r="N168" s="10">
        <f t="shared" si="14"/>
        <v>0</v>
      </c>
      <c r="O168" s="10">
        <f t="shared" si="15"/>
        <v>0</v>
      </c>
      <c r="P168" s="10">
        <f>'O. Haag BS-CAD'!M168</f>
        <v>0</v>
      </c>
      <c r="Q168" s="10">
        <f>IFERROR(INDEX('Projekt-Budget-Übersicht'!$E:$E,MATCH(2473,'Projekt-Budget-Übersicht'!$L:$L,0)),0)</f>
        <v>0</v>
      </c>
      <c r="R168" s="10">
        <v>92.5</v>
      </c>
      <c r="S168" s="4"/>
      <c r="T168" s="4"/>
      <c r="U168" s="4"/>
    </row>
    <row r="169" spans="1:21" x14ac:dyDescent="0.25">
      <c r="A169" s="4" t="s">
        <v>2110</v>
      </c>
      <c r="B169" s="4" t="s">
        <v>5631</v>
      </c>
      <c r="C169" s="4" t="str">
        <f>IFERROR(INDEX('Projekt-Budget-Übersicht'!$C:$C,MATCH(2477,'Projekt-Budget-Übersicht'!$L:$L,0)),"")</f>
        <v/>
      </c>
      <c r="D169" s="4">
        <v>15</v>
      </c>
      <c r="E169" s="4">
        <v>9.25</v>
      </c>
      <c r="F169" s="5">
        <f>SUM(F63,I63,K63)</f>
        <v>0.25</v>
      </c>
      <c r="G169" s="16">
        <v>61.67</v>
      </c>
      <c r="H169" s="5">
        <f>SUM(H63)</f>
        <v>0</v>
      </c>
      <c r="I169" s="5">
        <f t="shared" si="12"/>
        <v>0</v>
      </c>
      <c r="J169" s="4" t="s">
        <v>5531</v>
      </c>
      <c r="K169" s="5">
        <f>SUM(K63)</f>
        <v>0</v>
      </c>
      <c r="L169" s="10">
        <f>IF($B$2="-",0,IFERROR(INDEX(IF($B$2="SV",'Projekt-Budget-Übersicht'!$H:$H,IF($B$2="CAD",'Projekt-Budget-Übersicht'!$I:$I,IF($B$2="ADM",'Projekt-Budget-Übersicht'!$J:$J,'Projekt-Budget-Übersicht'!$H:$H))),MATCH(2477,'Projekt-Budget-Übersicht'!$L:$L,0)),0))</f>
        <v>0</v>
      </c>
      <c r="M169" s="10">
        <f t="shared" si="13"/>
        <v>0</v>
      </c>
      <c r="N169" s="10">
        <f t="shared" si="14"/>
        <v>0</v>
      </c>
      <c r="O169" s="10">
        <f t="shared" si="15"/>
        <v>0</v>
      </c>
      <c r="P169" s="10">
        <f>'O. Haag BS-CAD'!M169</f>
        <v>0</v>
      </c>
      <c r="Q169" s="10">
        <f>IFERROR(INDEX('Projekt-Budget-Übersicht'!$E:$E,MATCH(2477,'Projekt-Budget-Übersicht'!$L:$L,0)),0)</f>
        <v>0</v>
      </c>
      <c r="R169" s="10">
        <v>462.5</v>
      </c>
      <c r="S169" s="4"/>
      <c r="T169" s="4"/>
      <c r="U169" s="4"/>
    </row>
    <row r="170" spans="1:21" x14ac:dyDescent="0.25">
      <c r="A170" s="4" t="s">
        <v>2442</v>
      </c>
      <c r="B170" s="4" t="s">
        <v>5498</v>
      </c>
      <c r="C170" s="4" t="str">
        <f>IFERROR(INDEX('Projekt-Budget-Übersicht'!$C:$C,MATCH(2771,'Projekt-Budget-Übersicht'!$L:$L,0)),"")</f>
        <v/>
      </c>
      <c r="D170" s="4">
        <v>30</v>
      </c>
      <c r="E170" s="4">
        <v>12</v>
      </c>
      <c r="F170" s="5">
        <f>SUM(F64,I64,K64)</f>
        <v>3</v>
      </c>
      <c r="G170" s="16">
        <v>40</v>
      </c>
      <c r="H170" s="5">
        <f>SUM(H64)</f>
        <v>0</v>
      </c>
      <c r="I170" s="5">
        <f t="shared" si="12"/>
        <v>0</v>
      </c>
      <c r="J170" s="4" t="s">
        <v>5531</v>
      </c>
      <c r="K170" s="5">
        <f>SUM(K64)</f>
        <v>0</v>
      </c>
      <c r="L170" s="10">
        <f>IF($B$2="-",0,IFERROR(INDEX(IF($B$2="SV",'Projekt-Budget-Übersicht'!$H:$H,IF($B$2="CAD",'Projekt-Budget-Übersicht'!$I:$I,IF($B$2="ADM",'Projekt-Budget-Übersicht'!$J:$J,'Projekt-Budget-Übersicht'!$H:$H))),MATCH(2771,'Projekt-Budget-Übersicht'!$L:$L,0)),0))</f>
        <v>0</v>
      </c>
      <c r="M170" s="10">
        <f t="shared" si="13"/>
        <v>0</v>
      </c>
      <c r="N170" s="10">
        <f t="shared" si="14"/>
        <v>0</v>
      </c>
      <c r="O170" s="10">
        <f t="shared" si="15"/>
        <v>0</v>
      </c>
      <c r="P170" s="10">
        <f>'O. Haag BS-CAD'!M170+'R. Wagen CAD'!M89</f>
        <v>0</v>
      </c>
      <c r="Q170" s="10">
        <f>IFERROR(INDEX('Projekt-Budget-Übersicht'!$E:$E,MATCH(2771,'Projekt-Budget-Übersicht'!$L:$L,0)),0)</f>
        <v>0</v>
      </c>
      <c r="R170" s="10">
        <v>650</v>
      </c>
      <c r="S170" s="4"/>
      <c r="T170" s="4"/>
      <c r="U170" s="4"/>
    </row>
    <row r="171" spans="1:21" x14ac:dyDescent="0.25">
      <c r="A171" s="4" t="s">
        <v>2472</v>
      </c>
      <c r="B171" s="4" t="s">
        <v>5486</v>
      </c>
      <c r="C171" s="4" t="str">
        <f>IFERROR(INDEX('Projekt-Budget-Übersicht'!$C:$C,MATCH(2795,'Projekt-Budget-Übersicht'!$L:$L,0)),"")</f>
        <v/>
      </c>
      <c r="D171" s="4">
        <v>3</v>
      </c>
      <c r="E171" s="4">
        <v>8</v>
      </c>
      <c r="F171" s="5">
        <f>SUM(F65,I65,K65)</f>
        <v>1</v>
      </c>
      <c r="G171" s="15">
        <v>266.67</v>
      </c>
      <c r="H171" s="5">
        <f>SUM(H65)</f>
        <v>0</v>
      </c>
      <c r="I171" s="5">
        <f t="shared" si="12"/>
        <v>0</v>
      </c>
      <c r="J171" s="4" t="s">
        <v>5531</v>
      </c>
      <c r="K171" s="5">
        <f>SUM(K65)</f>
        <v>0</v>
      </c>
      <c r="L171" s="10">
        <f>IF($B$2="-",0,IFERROR(INDEX(IF($B$2="SV",'Projekt-Budget-Übersicht'!$H:$H,IF($B$2="CAD",'Projekt-Budget-Übersicht'!$I:$I,IF($B$2="ADM",'Projekt-Budget-Übersicht'!$J:$J,'Projekt-Budget-Übersicht'!$H:$H))),MATCH(2795,'Projekt-Budget-Übersicht'!$L:$L,0)),0))</f>
        <v>0</v>
      </c>
      <c r="M171" s="10">
        <f t="shared" si="13"/>
        <v>0</v>
      </c>
      <c r="N171" s="10">
        <f t="shared" si="14"/>
        <v>0</v>
      </c>
      <c r="O171" s="10">
        <f t="shared" si="15"/>
        <v>0</v>
      </c>
      <c r="P171" s="10">
        <f>'O. Haag BS-CAD'!M171</f>
        <v>0</v>
      </c>
      <c r="Q171" s="10">
        <f>IFERROR(INDEX('Projekt-Budget-Übersicht'!$E:$E,MATCH(2795,'Projekt-Budget-Übersicht'!$L:$L,0)),0)</f>
        <v>0</v>
      </c>
      <c r="R171" s="10">
        <v>1857</v>
      </c>
      <c r="S171" s="4"/>
      <c r="T171" s="4"/>
      <c r="U171" s="4"/>
    </row>
    <row r="172" spans="1:21" x14ac:dyDescent="0.25">
      <c r="A172" s="4" t="s">
        <v>2491</v>
      </c>
      <c r="B172" s="4" t="s">
        <v>5621</v>
      </c>
      <c r="C172" s="4" t="str">
        <f>IFERROR(INDEX('Projekt-Budget-Übersicht'!$C:$C,MATCH(2814,'Projekt-Budget-Übersicht'!$L:$L,0)),"")</f>
        <v/>
      </c>
      <c r="D172" s="4">
        <v>6</v>
      </c>
      <c r="E172" s="4">
        <v>7.75</v>
      </c>
      <c r="F172" s="5">
        <f>SUM(F22,F66,I22,I66,K22,K66)</f>
        <v>1</v>
      </c>
      <c r="G172" s="15">
        <v>129.16999999999999</v>
      </c>
      <c r="H172" s="5">
        <f>SUM(H22,H66)</f>
        <v>0</v>
      </c>
      <c r="I172" s="5">
        <f t="shared" si="12"/>
        <v>0</v>
      </c>
      <c r="J172" s="4" t="s">
        <v>5531</v>
      </c>
      <c r="K172" s="5">
        <f>SUM(K22,K66)</f>
        <v>0</v>
      </c>
      <c r="L172" s="10">
        <f>IF($B$2="-",0,IFERROR(INDEX(IF($B$2="SV",'Projekt-Budget-Übersicht'!$H:$H,IF($B$2="CAD",'Projekt-Budget-Übersicht'!$I:$I,IF($B$2="ADM",'Projekt-Budget-Übersicht'!$J:$J,'Projekt-Budget-Übersicht'!$H:$H))),MATCH(2814,'Projekt-Budget-Übersicht'!$L:$L,0)),0))</f>
        <v>0</v>
      </c>
      <c r="M172" s="10">
        <f t="shared" si="13"/>
        <v>0</v>
      </c>
      <c r="N172" s="10">
        <f t="shared" si="14"/>
        <v>0</v>
      </c>
      <c r="O172" s="10">
        <f t="shared" si="15"/>
        <v>0</v>
      </c>
      <c r="P172" s="10">
        <f>'O. Haag BS-CAD'!M172</f>
        <v>0</v>
      </c>
      <c r="Q172" s="10">
        <f>IFERROR(INDEX('Projekt-Budget-Übersicht'!$E:$E,MATCH(2814,'Projekt-Budget-Übersicht'!$L:$L,0)),0)</f>
        <v>0</v>
      </c>
      <c r="R172" s="10">
        <v>1280</v>
      </c>
      <c r="S172" s="4"/>
      <c r="T172" s="4"/>
      <c r="U172" s="4"/>
    </row>
    <row r="173" spans="1:21" x14ac:dyDescent="0.25">
      <c r="A173" s="21" t="s">
        <v>2495</v>
      </c>
      <c r="B173" s="4" t="s">
        <v>5498</v>
      </c>
      <c r="C173" s="4" t="str">
        <f>IFERROR(INDEX('Projekt-Budget-Übersicht'!$C:$C,MATCH(2820,'Projekt-Budget-Übersicht'!$L:$L,0)),"")</f>
        <v/>
      </c>
      <c r="D173" s="4">
        <v>4</v>
      </c>
      <c r="E173" s="4">
        <v>2</v>
      </c>
      <c r="F173" s="5">
        <f>SUM(F23,F104,I23,I104,K23,K104)</f>
        <v>0.75</v>
      </c>
      <c r="G173" s="16">
        <v>50</v>
      </c>
      <c r="H173" s="5">
        <f>SUM(H23,H104)</f>
        <v>0</v>
      </c>
      <c r="I173" s="5">
        <f t="shared" si="12"/>
        <v>0</v>
      </c>
      <c r="J173" s="4" t="s">
        <v>5531</v>
      </c>
      <c r="K173" s="5">
        <f>SUM(K23,K104)</f>
        <v>0</v>
      </c>
      <c r="L173" s="10">
        <f>IF($B$2="-",0,IFERROR(INDEX(IF($B$2="SV",'Projekt-Budget-Übersicht'!$H:$H,IF($B$2="CAD",'Projekt-Budget-Übersicht'!$I:$I,IF($B$2="ADM",'Projekt-Budget-Übersicht'!$J:$J,'Projekt-Budget-Übersicht'!$H:$H))),MATCH(2820,'Projekt-Budget-Übersicht'!$L:$L,0)),0))</f>
        <v>0</v>
      </c>
      <c r="M173" s="10">
        <f t="shared" si="13"/>
        <v>0</v>
      </c>
      <c r="N173" s="10">
        <f t="shared" si="14"/>
        <v>0</v>
      </c>
      <c r="O173" s="10">
        <f t="shared" si="15"/>
        <v>0</v>
      </c>
      <c r="P173" s="10">
        <f>'O. Haag BS-CAD'!M173</f>
        <v>0</v>
      </c>
      <c r="Q173" s="10">
        <f>IFERROR(INDEX('Projekt-Budget-Übersicht'!$E:$E,MATCH(2820,'Projekt-Budget-Übersicht'!$L:$L,0)),0)</f>
        <v>0</v>
      </c>
      <c r="R173" s="10">
        <v>100</v>
      </c>
      <c r="S173" s="4"/>
      <c r="T173" s="4"/>
      <c r="U173" s="4"/>
    </row>
    <row r="174" spans="1:21" x14ac:dyDescent="0.25">
      <c r="A174" s="22"/>
      <c r="B174" s="4" t="s">
        <v>5620</v>
      </c>
      <c r="C174" s="4" t="str">
        <f>IFERROR(INDEX('Projekt-Budget-Übersicht'!$C:$C,MATCH(2819,'Projekt-Budget-Übersicht'!$L:$L,0)),"")</f>
        <v/>
      </c>
      <c r="D174" s="4">
        <v>6</v>
      </c>
      <c r="E174" s="4">
        <v>2.5</v>
      </c>
      <c r="F174" s="5">
        <f>SUM(F24,F105,I24,I105,K24,K105)</f>
        <v>1.25</v>
      </c>
      <c r="G174" s="16">
        <v>41.67</v>
      </c>
      <c r="H174" s="5">
        <f>SUM(H24,H105)</f>
        <v>0</v>
      </c>
      <c r="I174" s="5">
        <f t="shared" ref="I174:I205" si="16">IF(H174=0,0,F174-H174)</f>
        <v>0</v>
      </c>
      <c r="J174" s="4" t="s">
        <v>5531</v>
      </c>
      <c r="K174" s="5">
        <f>SUM(K24,K105)</f>
        <v>0</v>
      </c>
      <c r="L174" s="10">
        <f>IF($B$2="-",0,IFERROR(INDEX(IF($B$2="SV",'Projekt-Budget-Übersicht'!$H:$H,IF($B$2="CAD",'Projekt-Budget-Übersicht'!$I:$I,IF($B$2="ADM",'Projekt-Budget-Übersicht'!$J:$J,'Projekt-Budget-Übersicht'!$H:$H))),MATCH(2819,'Projekt-Budget-Übersicht'!$L:$L,0)),0))</f>
        <v>0</v>
      </c>
      <c r="M174" s="10">
        <f t="shared" ref="M174:M205" si="17">IF($B$2="-",0,IF(C174="Pauschale",IF(OR(Q174=0,N(D174)=0),0,MAX(0,MIN(Q174*((N(F174)+N(K174))/N(D174)),Q174-Q174*(N(E174)/N(D174))))),L174*(N(F174)+N(K174))))</f>
        <v>0</v>
      </c>
      <c r="N174" s="10">
        <f t="shared" ref="N174:N205" si="18">IF($B$2="-",0,IF(C174="Pauschale",IF(OR(Q174=0,N(D174)=0),0,Q174*((N(F174)+N(K174))/N(D174))),L174*(N(F174)+N(K174))))</f>
        <v>0</v>
      </c>
      <c r="O174" s="10">
        <f t="shared" ref="O174:O205" si="19">N174-M174</f>
        <v>0</v>
      </c>
      <c r="P174" s="10">
        <f>'O. Haag BS-CAD'!M174</f>
        <v>0</v>
      </c>
      <c r="Q174" s="10">
        <f>IFERROR(INDEX('Projekt-Budget-Übersicht'!$E:$E,MATCH(2819,'Projekt-Budget-Übersicht'!$L:$L,0)),0)</f>
        <v>0</v>
      </c>
      <c r="R174" s="10">
        <v>125</v>
      </c>
      <c r="S174" s="4"/>
      <c r="T174" s="4"/>
      <c r="U174" s="4"/>
    </row>
    <row r="175" spans="1:21" x14ac:dyDescent="0.25">
      <c r="A175" s="4" t="s">
        <v>2578</v>
      </c>
      <c r="B175" s="4" t="s">
        <v>5516</v>
      </c>
      <c r="C175" s="4" t="str">
        <f>IFERROR(INDEX('Projekt-Budget-Übersicht'!$C:$C,MATCH(2893,'Projekt-Budget-Übersicht'!$L:$L,0)),"")</f>
        <v/>
      </c>
      <c r="D175" s="4">
        <v>37</v>
      </c>
      <c r="E175" s="4">
        <v>27.75</v>
      </c>
      <c r="F175" s="5">
        <f>SUM(F106,I106,K106)</f>
        <v>3</v>
      </c>
      <c r="G175" s="16">
        <v>75</v>
      </c>
      <c r="H175" s="5">
        <f>SUM(H106)</f>
        <v>0</v>
      </c>
      <c r="I175" s="5">
        <f t="shared" si="16"/>
        <v>0</v>
      </c>
      <c r="J175" s="4" t="s">
        <v>5531</v>
      </c>
      <c r="K175" s="5">
        <f>SUM(K106)</f>
        <v>0</v>
      </c>
      <c r="L175" s="10">
        <f>IF($B$2="-",0,IFERROR(INDEX(IF($B$2="SV",'Projekt-Budget-Übersicht'!$H:$H,IF($B$2="CAD",'Projekt-Budget-Übersicht'!$I:$I,IF($B$2="ADM",'Projekt-Budget-Übersicht'!$J:$J,'Projekt-Budget-Übersicht'!$H:$H))),MATCH(2893,'Projekt-Budget-Übersicht'!$L:$L,0)),0))</f>
        <v>0</v>
      </c>
      <c r="M175" s="10">
        <f t="shared" si="17"/>
        <v>0</v>
      </c>
      <c r="N175" s="10">
        <f t="shared" si="18"/>
        <v>0</v>
      </c>
      <c r="O175" s="10">
        <f t="shared" si="19"/>
        <v>0</v>
      </c>
      <c r="P175" s="10">
        <f>'A. Kokott'!M162+'J. Dorn'!M141+'M. Bandlofsky'!M101+'O. Haag BS-CAD'!M175+'T. Trautmann'!M139</f>
        <v>0</v>
      </c>
      <c r="Q175" s="10">
        <f>IFERROR(INDEX('Projekt-Budget-Übersicht'!$E:$E,MATCH(2893,'Projekt-Budget-Übersicht'!$L:$L,0)),0)</f>
        <v>0</v>
      </c>
      <c r="R175" s="10">
        <v>1736.25</v>
      </c>
      <c r="S175" s="4"/>
      <c r="T175" s="4"/>
      <c r="U175" s="4"/>
    </row>
    <row r="176" spans="1:21" x14ac:dyDescent="0.25">
      <c r="A176" s="4" t="s">
        <v>2619</v>
      </c>
      <c r="B176" s="4" t="s">
        <v>5486</v>
      </c>
      <c r="C176" s="4" t="str">
        <f>IFERROR(INDEX('Projekt-Budget-Übersicht'!$C:$C,MATCH(2931,'Projekt-Budget-Übersicht'!$L:$L,0)),"")</f>
        <v/>
      </c>
      <c r="D176" s="4">
        <v>8</v>
      </c>
      <c r="E176" s="4">
        <v>6.25</v>
      </c>
      <c r="F176" s="5">
        <f>SUM(F107,I107,K107)</f>
        <v>6</v>
      </c>
      <c r="G176" s="16">
        <v>78.12</v>
      </c>
      <c r="H176" s="5">
        <f>SUM(H107)</f>
        <v>0</v>
      </c>
      <c r="I176" s="5">
        <f t="shared" si="16"/>
        <v>0</v>
      </c>
      <c r="J176" s="4" t="s">
        <v>5531</v>
      </c>
      <c r="K176" s="5">
        <f>SUM(K107)</f>
        <v>0</v>
      </c>
      <c r="L176" s="10">
        <f>IF($B$2="-",0,IFERROR(INDEX(IF($B$2="SV",'Projekt-Budget-Übersicht'!$H:$H,IF($B$2="CAD",'Projekt-Budget-Übersicht'!$I:$I,IF($B$2="ADM",'Projekt-Budget-Übersicht'!$J:$J,'Projekt-Budget-Übersicht'!$H:$H))),MATCH(2931,'Projekt-Budget-Übersicht'!$L:$L,0)),0))</f>
        <v>0</v>
      </c>
      <c r="M176" s="10">
        <f t="shared" si="17"/>
        <v>0</v>
      </c>
      <c r="N176" s="10">
        <f t="shared" si="18"/>
        <v>0</v>
      </c>
      <c r="O176" s="10">
        <f t="shared" si="19"/>
        <v>0</v>
      </c>
      <c r="P176" s="10">
        <f>'O. Haag BS-CAD'!M176</f>
        <v>0</v>
      </c>
      <c r="Q176" s="10">
        <f>IFERROR(INDEX('Projekt-Budget-Übersicht'!$E:$E,MATCH(2931,'Projekt-Budget-Übersicht'!$L:$L,0)),0)</f>
        <v>0</v>
      </c>
      <c r="R176" s="10">
        <v>2519.94</v>
      </c>
      <c r="S176" s="4"/>
      <c r="T176" s="4"/>
      <c r="U176" s="4"/>
    </row>
    <row r="177" spans="1:21" x14ac:dyDescent="0.25">
      <c r="A177" s="21" t="s">
        <v>2834</v>
      </c>
      <c r="B177" s="4" t="s">
        <v>5486</v>
      </c>
      <c r="C177" s="4" t="str">
        <f>IFERROR(INDEX('Projekt-Budget-Übersicht'!$C:$C,MATCH(3122,'Projekt-Budget-Übersicht'!$L:$L,0)),"")</f>
        <v/>
      </c>
      <c r="D177" s="4">
        <v>12</v>
      </c>
      <c r="E177" s="4">
        <v>4.5</v>
      </c>
      <c r="F177" s="5">
        <f>SUM(F25,I25,K25)</f>
        <v>3.75</v>
      </c>
      <c r="G177" s="16">
        <v>37.5</v>
      </c>
      <c r="H177" s="5">
        <f>SUM(H25)</f>
        <v>0</v>
      </c>
      <c r="I177" s="5">
        <f t="shared" si="16"/>
        <v>0</v>
      </c>
      <c r="J177" s="4" t="s">
        <v>5531</v>
      </c>
      <c r="K177" s="5">
        <f>SUM(K25)</f>
        <v>0</v>
      </c>
      <c r="L177" s="10">
        <f>IF($B$2="-",0,IFERROR(INDEX(IF($B$2="SV",'Projekt-Budget-Übersicht'!$H:$H,IF($B$2="CAD",'Projekt-Budget-Übersicht'!$I:$I,IF($B$2="ADM",'Projekt-Budget-Übersicht'!$J:$J,'Projekt-Budget-Übersicht'!$H:$H))),MATCH(3122,'Projekt-Budget-Übersicht'!$L:$L,0)),0))</f>
        <v>0</v>
      </c>
      <c r="M177" s="10">
        <f t="shared" si="17"/>
        <v>0</v>
      </c>
      <c r="N177" s="10">
        <f t="shared" si="18"/>
        <v>0</v>
      </c>
      <c r="O177" s="10">
        <f t="shared" si="19"/>
        <v>0</v>
      </c>
      <c r="P177" s="10">
        <f>'O. Haag BS-CAD'!M177</f>
        <v>0</v>
      </c>
      <c r="Q177" s="10">
        <f>IFERROR(INDEX('Projekt-Budget-Übersicht'!$E:$E,MATCH(3122,'Projekt-Budget-Übersicht'!$L:$L,0)),0)</f>
        <v>0</v>
      </c>
      <c r="R177" s="10">
        <v>2985.82</v>
      </c>
      <c r="S177" s="4"/>
      <c r="T177" s="4"/>
      <c r="U177" s="4"/>
    </row>
    <row r="178" spans="1:21" x14ac:dyDescent="0.25">
      <c r="A178" s="22"/>
      <c r="B178" s="4" t="s">
        <v>5459</v>
      </c>
      <c r="C178" s="4" t="str">
        <f>IFERROR(INDEX('Projekt-Budget-Übersicht'!$C:$C,MATCH(3122,'Projekt-Budget-Übersicht'!$L:$L,0)),"")</f>
        <v/>
      </c>
      <c r="D178" s="4">
        <v>6</v>
      </c>
      <c r="E178" s="4">
        <v>48</v>
      </c>
      <c r="F178" s="5">
        <f>SUM(F109,I109,K109)</f>
        <v>1</v>
      </c>
      <c r="G178" s="15">
        <v>800</v>
      </c>
      <c r="H178" s="5">
        <f>SUM(H109)</f>
        <v>0</v>
      </c>
      <c r="I178" s="5">
        <f t="shared" si="16"/>
        <v>0</v>
      </c>
      <c r="J178" s="4" t="s">
        <v>5531</v>
      </c>
      <c r="K178" s="5">
        <f>SUM(K109)</f>
        <v>0</v>
      </c>
      <c r="L178" s="10">
        <f>IF($B$2="-",0,IFERROR(INDEX(IF($B$2="SV",'Projekt-Budget-Übersicht'!$H:$H,IF($B$2="CAD",'Projekt-Budget-Übersicht'!$I:$I,IF($B$2="ADM",'Projekt-Budget-Übersicht'!$J:$J,'Projekt-Budget-Übersicht'!$H:$H))),MATCH(3122,'Projekt-Budget-Übersicht'!$L:$L,0)),0))</f>
        <v>0</v>
      </c>
      <c r="M178" s="10">
        <f t="shared" si="17"/>
        <v>0</v>
      </c>
      <c r="N178" s="10">
        <f t="shared" si="18"/>
        <v>0</v>
      </c>
      <c r="O178" s="10">
        <f t="shared" si="19"/>
        <v>0</v>
      </c>
      <c r="P178" s="10">
        <f>'A. Kokott'!M165+'E. Bieler'!M94+'J. Dorchies'!M41+'J. Dorn'!M142+'O. Haag BS-CAD'!M178+'P. Bergner'!M88+'R. Böttiger'!M95</f>
        <v>0</v>
      </c>
      <c r="Q178" s="10">
        <f>IFERROR(INDEX('Projekt-Budget-Übersicht'!$E:$E,MATCH(3122,'Projekt-Budget-Übersicht'!$L:$L,0)),0)</f>
        <v>0</v>
      </c>
      <c r="R178" s="10">
        <v>2985.82</v>
      </c>
      <c r="S178" s="4"/>
      <c r="T178" s="4"/>
      <c r="U178" s="4"/>
    </row>
    <row r="179" spans="1:21" x14ac:dyDescent="0.25">
      <c r="A179" s="4" t="s">
        <v>2917</v>
      </c>
      <c r="B179" s="4" t="s">
        <v>5504</v>
      </c>
      <c r="C179" s="4" t="str">
        <f>IFERROR(INDEX('Projekt-Budget-Übersicht'!$C:$C,MATCH(3189,'Projekt-Budget-Übersicht'!$L:$L,0)),"")</f>
        <v/>
      </c>
      <c r="D179" s="4">
        <v>1560</v>
      </c>
      <c r="E179" s="4">
        <v>625</v>
      </c>
      <c r="F179" s="5">
        <f>SUM(F26,F110,I26,I110,K26,K110)</f>
        <v>2</v>
      </c>
      <c r="G179" s="16">
        <v>40.06</v>
      </c>
      <c r="H179" s="5">
        <f>SUM(H26,H110)</f>
        <v>0</v>
      </c>
      <c r="I179" s="5">
        <f t="shared" si="16"/>
        <v>0</v>
      </c>
      <c r="J179" s="4" t="s">
        <v>5531</v>
      </c>
      <c r="K179" s="5">
        <f>SUM(K26,K110)</f>
        <v>0</v>
      </c>
      <c r="L179" s="10">
        <f>IF($B$2="-",0,IFERROR(INDEX(IF($B$2="SV",'Projekt-Budget-Übersicht'!$H:$H,IF($B$2="CAD",'Projekt-Budget-Übersicht'!$I:$I,IF($B$2="ADM",'Projekt-Budget-Übersicht'!$J:$J,'Projekt-Budget-Übersicht'!$H:$H))),MATCH(3189,'Projekt-Budget-Übersicht'!$L:$L,0)),0))</f>
        <v>0</v>
      </c>
      <c r="M179" s="10">
        <f t="shared" si="17"/>
        <v>0</v>
      </c>
      <c r="N179" s="10">
        <f t="shared" si="18"/>
        <v>0</v>
      </c>
      <c r="O179" s="10">
        <f t="shared" si="19"/>
        <v>0</v>
      </c>
      <c r="P179" s="10">
        <f>'O. Haag BS-CAD'!M179+'P. Bergner'!M90</f>
        <v>0</v>
      </c>
      <c r="Q179" s="10">
        <f>IFERROR(INDEX('Projekt-Budget-Übersicht'!$E:$E,MATCH(3189,'Projekt-Budget-Übersicht'!$L:$L,0)),0)</f>
        <v>0</v>
      </c>
      <c r="R179" s="10">
        <v>55003.040000000001</v>
      </c>
      <c r="S179" s="4"/>
      <c r="T179" s="4"/>
      <c r="U179" s="4"/>
    </row>
    <row r="180" spans="1:21" x14ac:dyDescent="0.25">
      <c r="A180" s="4" t="s">
        <v>3025</v>
      </c>
      <c r="B180" s="4" t="s">
        <v>5502</v>
      </c>
      <c r="C180" s="4" t="str">
        <f>IFERROR(INDEX('Projekt-Budget-Übersicht'!$C:$C,MATCH(3281,'Projekt-Budget-Übersicht'!$L:$L,0)),"")</f>
        <v/>
      </c>
      <c r="D180" s="4">
        <v>16</v>
      </c>
      <c r="E180" s="4">
        <v>16.5</v>
      </c>
      <c r="F180" s="5">
        <f>SUM(F111,I111,K111)</f>
        <v>3.5</v>
      </c>
      <c r="G180" s="15">
        <v>103.12</v>
      </c>
      <c r="H180" s="5">
        <f>SUM(H111)</f>
        <v>0</v>
      </c>
      <c r="I180" s="5">
        <f t="shared" si="16"/>
        <v>0</v>
      </c>
      <c r="J180" s="4" t="s">
        <v>5531</v>
      </c>
      <c r="K180" s="5">
        <f>SUM(K111)</f>
        <v>0</v>
      </c>
      <c r="L180" s="10">
        <f>IF($B$2="-",0,IFERROR(INDEX(IF($B$2="SV",'Projekt-Budget-Übersicht'!$H:$H,IF($B$2="CAD",'Projekt-Budget-Übersicht'!$I:$I,IF($B$2="ADM",'Projekt-Budget-Übersicht'!$J:$J,'Projekt-Budget-Übersicht'!$H:$H))),MATCH(3281,'Projekt-Budget-Übersicht'!$L:$L,0)),0))</f>
        <v>0</v>
      </c>
      <c r="M180" s="10">
        <f t="shared" si="17"/>
        <v>0</v>
      </c>
      <c r="N180" s="10">
        <f t="shared" si="18"/>
        <v>0</v>
      </c>
      <c r="O180" s="10">
        <f t="shared" si="19"/>
        <v>0</v>
      </c>
      <c r="P180" s="10">
        <f>'O. Haag BS-CAD'!M180</f>
        <v>0</v>
      </c>
      <c r="Q180" s="10">
        <f>IFERROR(INDEX('Projekt-Budget-Übersicht'!$E:$E,MATCH(3281,'Projekt-Budget-Übersicht'!$L:$L,0)),0)</f>
        <v>0</v>
      </c>
      <c r="R180" s="10">
        <v>1385</v>
      </c>
      <c r="S180" s="4"/>
      <c r="T180" s="4"/>
      <c r="U180" s="4"/>
    </row>
    <row r="181" spans="1:21" x14ac:dyDescent="0.25">
      <c r="A181" s="21" t="s">
        <v>3070</v>
      </c>
      <c r="B181" s="4" t="s">
        <v>5498</v>
      </c>
      <c r="C181" s="4" t="str">
        <f>IFERROR(INDEX('Projekt-Budget-Übersicht'!$C:$C,MATCH(3325,'Projekt-Budget-Übersicht'!$L:$L,0)),"")</f>
        <v/>
      </c>
      <c r="D181" s="4">
        <v>70.5</v>
      </c>
      <c r="E181" s="4">
        <v>56.75</v>
      </c>
      <c r="F181" s="5">
        <f>SUM(F27,F112,I27,I112,K27,K112)</f>
        <v>33.25</v>
      </c>
      <c r="G181" s="16">
        <v>80.5</v>
      </c>
      <c r="H181" s="5">
        <f>SUM(H27,H112)</f>
        <v>0</v>
      </c>
      <c r="I181" s="5">
        <f t="shared" si="16"/>
        <v>0</v>
      </c>
      <c r="J181" s="4" t="s">
        <v>5531</v>
      </c>
      <c r="K181" s="5">
        <f>SUM(K27,K112)</f>
        <v>0</v>
      </c>
      <c r="L181" s="10">
        <f>IF($B$2="-",0,IFERROR(INDEX(IF($B$2="SV",'Projekt-Budget-Übersicht'!$H:$H,IF($B$2="CAD",'Projekt-Budget-Übersicht'!$I:$I,IF($B$2="ADM",'Projekt-Budget-Übersicht'!$J:$J,'Projekt-Budget-Übersicht'!$H:$H))),MATCH(3325,'Projekt-Budget-Übersicht'!$L:$L,0)),0))</f>
        <v>0</v>
      </c>
      <c r="M181" s="10">
        <f t="shared" si="17"/>
        <v>0</v>
      </c>
      <c r="N181" s="10">
        <f t="shared" si="18"/>
        <v>0</v>
      </c>
      <c r="O181" s="10">
        <f t="shared" si="19"/>
        <v>0</v>
      </c>
      <c r="P181" s="10">
        <f>'O. Haag BS-CAD'!M181</f>
        <v>0</v>
      </c>
      <c r="Q181" s="10">
        <f>IFERROR(INDEX('Projekt-Budget-Übersicht'!$E:$E,MATCH(3325,'Projekt-Budget-Übersicht'!$L:$L,0)),0)</f>
        <v>0</v>
      </c>
      <c r="R181" s="10">
        <v>2837.5</v>
      </c>
      <c r="S181" s="4"/>
      <c r="T181" s="4"/>
      <c r="U181" s="4"/>
    </row>
    <row r="182" spans="1:21" x14ac:dyDescent="0.25">
      <c r="A182" s="22"/>
      <c r="B182" s="4" t="s">
        <v>5620</v>
      </c>
      <c r="C182" s="4" t="str">
        <f>IFERROR(INDEX('Projekt-Budget-Übersicht'!$C:$C,MATCH(3324,'Projekt-Budget-Übersicht'!$L:$L,0)),"")</f>
        <v/>
      </c>
      <c r="D182" s="4">
        <v>57.5</v>
      </c>
      <c r="E182" s="4">
        <v>29.25</v>
      </c>
      <c r="F182" s="5">
        <f>SUM(F113,I113,K113)</f>
        <v>28.5</v>
      </c>
      <c r="G182" s="16">
        <v>50.87</v>
      </c>
      <c r="H182" s="5">
        <f>SUM(H113)</f>
        <v>0</v>
      </c>
      <c r="I182" s="5">
        <f t="shared" si="16"/>
        <v>0</v>
      </c>
      <c r="J182" s="4" t="s">
        <v>5531</v>
      </c>
      <c r="K182" s="5">
        <f>SUM(K113)</f>
        <v>0</v>
      </c>
      <c r="L182" s="10">
        <f>IF($B$2="-",0,IFERROR(INDEX(IF($B$2="SV",'Projekt-Budget-Übersicht'!$H:$H,IF($B$2="CAD",'Projekt-Budget-Übersicht'!$I:$I,IF($B$2="ADM",'Projekt-Budget-Übersicht'!$J:$J,'Projekt-Budget-Übersicht'!$H:$H))),MATCH(3324,'Projekt-Budget-Übersicht'!$L:$L,0)),0))</f>
        <v>0</v>
      </c>
      <c r="M182" s="10">
        <f t="shared" si="17"/>
        <v>0</v>
      </c>
      <c r="N182" s="10">
        <f t="shared" si="18"/>
        <v>0</v>
      </c>
      <c r="O182" s="10">
        <f t="shared" si="19"/>
        <v>0</v>
      </c>
      <c r="P182" s="10">
        <f>'O. Haag BS-CAD'!M182</f>
        <v>0</v>
      </c>
      <c r="Q182" s="10">
        <f>IFERROR(INDEX('Projekt-Budget-Übersicht'!$E:$E,MATCH(3324,'Projekt-Budget-Übersicht'!$L:$L,0)),0)</f>
        <v>0</v>
      </c>
      <c r="R182" s="10">
        <v>1462.5</v>
      </c>
      <c r="S182" s="4"/>
      <c r="T182" s="4"/>
      <c r="U182" s="4"/>
    </row>
    <row r="183" spans="1:21" x14ac:dyDescent="0.25">
      <c r="A183" s="4" t="s">
        <v>3146</v>
      </c>
      <c r="B183" s="4" t="s">
        <v>5486</v>
      </c>
      <c r="C183" s="4" t="str">
        <f>IFERROR(INDEX('Projekt-Budget-Übersicht'!$C:$C,MATCH(3387,'Projekt-Budget-Übersicht'!$L:$L,0)),"")</f>
        <v/>
      </c>
      <c r="D183" s="4">
        <v>20</v>
      </c>
      <c r="E183" s="4">
        <v>23.75</v>
      </c>
      <c r="F183" s="5">
        <f>SUM(F28,I28,K28)</f>
        <v>6.5</v>
      </c>
      <c r="G183" s="15">
        <v>118.75</v>
      </c>
      <c r="H183" s="5">
        <f>SUM(H28)</f>
        <v>0</v>
      </c>
      <c r="I183" s="5">
        <f t="shared" si="16"/>
        <v>0</v>
      </c>
      <c r="J183" s="4" t="s">
        <v>5531</v>
      </c>
      <c r="K183" s="5">
        <f>SUM(K28)</f>
        <v>0</v>
      </c>
      <c r="L183" s="10">
        <f>IF($B$2="-",0,IFERROR(INDEX(IF($B$2="SV",'Projekt-Budget-Übersicht'!$H:$H,IF($B$2="CAD",'Projekt-Budget-Übersicht'!$I:$I,IF($B$2="ADM",'Projekt-Budget-Übersicht'!$J:$J,'Projekt-Budget-Übersicht'!$H:$H))),MATCH(3387,'Projekt-Budget-Übersicht'!$L:$L,0)),0))</f>
        <v>0</v>
      </c>
      <c r="M183" s="10">
        <f t="shared" si="17"/>
        <v>0</v>
      </c>
      <c r="N183" s="10">
        <f t="shared" si="18"/>
        <v>0</v>
      </c>
      <c r="O183" s="10">
        <f t="shared" si="19"/>
        <v>0</v>
      </c>
      <c r="P183" s="10">
        <f>'O. Haag BS-CAD'!M183</f>
        <v>0</v>
      </c>
      <c r="Q183" s="10">
        <f>IFERROR(INDEX('Projekt-Budget-Übersicht'!$E:$E,MATCH(3387,'Projekt-Budget-Übersicht'!$L:$L,0)),0)</f>
        <v>0</v>
      </c>
      <c r="R183" s="10">
        <v>23081.52</v>
      </c>
      <c r="S183" s="4"/>
      <c r="T183" s="4"/>
      <c r="U183" s="4"/>
    </row>
    <row r="184" spans="1:21" x14ac:dyDescent="0.25">
      <c r="A184" s="4" t="s">
        <v>3214</v>
      </c>
      <c r="B184" s="4" t="s">
        <v>5632</v>
      </c>
      <c r="C184" s="4" t="str">
        <f>IFERROR(INDEX('Projekt-Budget-Übersicht'!$C:$C,MATCH(3447,'Projekt-Budget-Übersicht'!$L:$L,0)),"")</f>
        <v/>
      </c>
      <c r="D184" s="4">
        <v>154</v>
      </c>
      <c r="E184" s="4">
        <v>96.25</v>
      </c>
      <c r="F184" s="5">
        <f>SUM(F67,I67,K67)</f>
        <v>0.25</v>
      </c>
      <c r="G184" s="16">
        <v>62.5</v>
      </c>
      <c r="H184" s="5">
        <f>SUM(H67)</f>
        <v>0</v>
      </c>
      <c r="I184" s="5">
        <f t="shared" si="16"/>
        <v>0</v>
      </c>
      <c r="J184" s="4" t="s">
        <v>5531</v>
      </c>
      <c r="K184" s="5">
        <f>SUM(K67)</f>
        <v>0</v>
      </c>
      <c r="L184" s="10">
        <f>IF($B$2="-",0,IFERROR(INDEX(IF($B$2="SV",'Projekt-Budget-Übersicht'!$H:$H,IF($B$2="CAD",'Projekt-Budget-Übersicht'!$I:$I,IF($B$2="ADM",'Projekt-Budget-Übersicht'!$J:$J,'Projekt-Budget-Übersicht'!$H:$H))),MATCH(3447,'Projekt-Budget-Übersicht'!$L:$L,0)),0))</f>
        <v>0</v>
      </c>
      <c r="M184" s="10">
        <f t="shared" si="17"/>
        <v>0</v>
      </c>
      <c r="N184" s="10">
        <f t="shared" si="18"/>
        <v>0</v>
      </c>
      <c r="O184" s="10">
        <f t="shared" si="19"/>
        <v>0</v>
      </c>
      <c r="P184" s="10">
        <f>'O. Haag BS-CAD'!M184+'R. Wagen CAD'!M90</f>
        <v>0</v>
      </c>
      <c r="Q184" s="10">
        <f>IFERROR(INDEX('Projekt-Budget-Übersicht'!$E:$E,MATCH(3447,'Projekt-Budget-Übersicht'!$L:$L,0)),0)</f>
        <v>0</v>
      </c>
      <c r="R184" s="10">
        <v>4812.5</v>
      </c>
      <c r="S184" s="4"/>
      <c r="T184" s="4"/>
      <c r="U184" s="4"/>
    </row>
    <row r="185" spans="1:21" x14ac:dyDescent="0.25">
      <c r="A185" s="4" t="s">
        <v>3822</v>
      </c>
      <c r="B185" s="4" t="s">
        <v>5486</v>
      </c>
      <c r="C185" s="4" t="str">
        <f>IFERROR(INDEX('Projekt-Budget-Übersicht'!$C:$C,MATCH(3980,'Projekt-Budget-Übersicht'!$L:$L,0)),"")</f>
        <v/>
      </c>
      <c r="D185" s="4">
        <v>5</v>
      </c>
      <c r="E185" s="4">
        <v>5</v>
      </c>
      <c r="F185" s="5">
        <f>SUM(F68,I68,K68)</f>
        <v>5</v>
      </c>
      <c r="G185" s="14">
        <v>100</v>
      </c>
      <c r="H185" s="5">
        <f>SUM(H68)</f>
        <v>0</v>
      </c>
      <c r="I185" s="5">
        <f t="shared" si="16"/>
        <v>0</v>
      </c>
      <c r="J185" s="4" t="s">
        <v>5531</v>
      </c>
      <c r="K185" s="5">
        <f>SUM(K68)</f>
        <v>0</v>
      </c>
      <c r="L185" s="10">
        <f>IF($B$2="-",0,IFERROR(INDEX(IF($B$2="SV",'Projekt-Budget-Übersicht'!$H:$H,IF($B$2="CAD",'Projekt-Budget-Übersicht'!$I:$I,IF($B$2="ADM",'Projekt-Budget-Übersicht'!$J:$J,'Projekt-Budget-Übersicht'!$H:$H))),MATCH(3980,'Projekt-Budget-Übersicht'!$L:$L,0)),0))</f>
        <v>0</v>
      </c>
      <c r="M185" s="10">
        <f t="shared" si="17"/>
        <v>0</v>
      </c>
      <c r="N185" s="10">
        <f t="shared" si="18"/>
        <v>0</v>
      </c>
      <c r="O185" s="10">
        <f t="shared" si="19"/>
        <v>0</v>
      </c>
      <c r="P185" s="10">
        <f>'O. Haag BS-CAD'!M185</f>
        <v>0</v>
      </c>
      <c r="Q185" s="10">
        <f>IFERROR(INDEX('Projekt-Budget-Übersicht'!$E:$E,MATCH(3980,'Projekt-Budget-Übersicht'!$L:$L,0)),0)</f>
        <v>0</v>
      </c>
      <c r="R185" s="10">
        <v>267.5</v>
      </c>
      <c r="S185" s="4"/>
      <c r="T185" s="4"/>
      <c r="U185" s="4"/>
    </row>
    <row r="186" spans="1:21" x14ac:dyDescent="0.25">
      <c r="A186" s="4" t="s">
        <v>3916</v>
      </c>
      <c r="B186" s="4" t="s">
        <v>5486</v>
      </c>
      <c r="C186" s="4" t="str">
        <f>IFERROR(INDEX('Projekt-Budget-Übersicht'!$C:$C,MATCH(4059,'Projekt-Budget-Übersicht'!$L:$L,0)),"")</f>
        <v/>
      </c>
      <c r="D186" s="4">
        <v>1</v>
      </c>
      <c r="E186" s="4">
        <v>1</v>
      </c>
      <c r="F186" s="5">
        <f>SUM(F31,I31,K31)</f>
        <v>1</v>
      </c>
      <c r="G186" s="14">
        <v>100</v>
      </c>
      <c r="H186" s="5">
        <f>SUM(H31)</f>
        <v>0</v>
      </c>
      <c r="I186" s="5">
        <f t="shared" si="16"/>
        <v>0</v>
      </c>
      <c r="J186" s="4" t="s">
        <v>5531</v>
      </c>
      <c r="K186" s="5">
        <f>SUM(K31)</f>
        <v>0</v>
      </c>
      <c r="L186" s="10">
        <f>IF($B$2="-",0,IFERROR(INDEX(IF($B$2="SV",'Projekt-Budget-Übersicht'!$H:$H,IF($B$2="CAD",'Projekt-Budget-Übersicht'!$I:$I,IF($B$2="ADM",'Projekt-Budget-Übersicht'!$J:$J,'Projekt-Budget-Übersicht'!$H:$H))),MATCH(4059,'Projekt-Budget-Übersicht'!$L:$L,0)),0))</f>
        <v>0</v>
      </c>
      <c r="M186" s="10">
        <f t="shared" si="17"/>
        <v>0</v>
      </c>
      <c r="N186" s="10">
        <f t="shared" si="18"/>
        <v>0</v>
      </c>
      <c r="O186" s="10">
        <f t="shared" si="19"/>
        <v>0</v>
      </c>
      <c r="P186" s="10">
        <f>'O. Haag BS-CAD'!M186</f>
        <v>0</v>
      </c>
      <c r="Q186" s="10">
        <f>IFERROR(INDEX('Projekt-Budget-Übersicht'!$E:$E,MATCH(4059,'Projekt-Budget-Übersicht'!$L:$L,0)),0)</f>
        <v>0</v>
      </c>
      <c r="R186" s="10">
        <v>67.5</v>
      </c>
      <c r="S186" s="4"/>
      <c r="T186" s="4"/>
      <c r="U186" s="4"/>
    </row>
    <row r="187" spans="1:21" x14ac:dyDescent="0.25">
      <c r="A187" s="4" t="s">
        <v>3956</v>
      </c>
      <c r="B187" s="4" t="s">
        <v>5502</v>
      </c>
      <c r="C187" s="4" t="str">
        <f>IFERROR(INDEX('Projekt-Budget-Übersicht'!$C:$C,MATCH(4091,'Projekt-Budget-Übersicht'!$L:$L,0)),"")</f>
        <v/>
      </c>
      <c r="D187" s="4">
        <v>16</v>
      </c>
      <c r="E187" s="4">
        <v>18.25</v>
      </c>
      <c r="F187" s="5">
        <f>SUM(F69,F116,I69,I116,K69,K116)</f>
        <v>8.25</v>
      </c>
      <c r="G187" s="15">
        <v>114.06</v>
      </c>
      <c r="H187" s="5">
        <f>SUM(H69,H116)</f>
        <v>0</v>
      </c>
      <c r="I187" s="5">
        <f t="shared" si="16"/>
        <v>0</v>
      </c>
      <c r="J187" s="4" t="s">
        <v>5531</v>
      </c>
      <c r="K187" s="5">
        <f>SUM(K69,K116)</f>
        <v>0</v>
      </c>
      <c r="L187" s="10">
        <f>IF($B$2="-",0,IFERROR(INDEX(IF($B$2="SV",'Projekt-Budget-Übersicht'!$H:$H,IF($B$2="CAD",'Projekt-Budget-Übersicht'!$I:$I,IF($B$2="ADM",'Projekt-Budget-Übersicht'!$J:$J,'Projekt-Budget-Übersicht'!$H:$H))),MATCH(4091,'Projekt-Budget-Übersicht'!$L:$L,0)),0))</f>
        <v>0</v>
      </c>
      <c r="M187" s="10">
        <f t="shared" si="17"/>
        <v>0</v>
      </c>
      <c r="N187" s="10">
        <f t="shared" si="18"/>
        <v>0</v>
      </c>
      <c r="O187" s="10">
        <f t="shared" si="19"/>
        <v>0</v>
      </c>
      <c r="P187" s="10">
        <f>'O. Haag BS-CAD'!M187</f>
        <v>0</v>
      </c>
      <c r="Q187" s="10">
        <f>IFERROR(INDEX('Projekt-Budget-Übersicht'!$E:$E,MATCH(4091,'Projekt-Budget-Übersicht'!$L:$L,0)),0)</f>
        <v>0</v>
      </c>
      <c r="R187" s="10">
        <v>412.5</v>
      </c>
      <c r="S187" s="4"/>
      <c r="T187" s="4"/>
      <c r="U187" s="4"/>
    </row>
    <row r="188" spans="1:21" x14ac:dyDescent="0.25">
      <c r="A188" s="4" t="s">
        <v>3987</v>
      </c>
      <c r="B188" s="4" t="s">
        <v>5502</v>
      </c>
      <c r="C188" s="4" t="str">
        <f>IFERROR(INDEX('Projekt-Budget-Übersicht'!$C:$C,MATCH(4118,'Projekt-Budget-Übersicht'!$L:$L,0)),"")</f>
        <v/>
      </c>
      <c r="D188" s="4">
        <v>4</v>
      </c>
      <c r="E188" s="4">
        <v>4</v>
      </c>
      <c r="F188" s="5">
        <f>SUM(F70,I70,K70)</f>
        <v>2</v>
      </c>
      <c r="G188" s="14">
        <v>100</v>
      </c>
      <c r="H188" s="5">
        <f>SUM(H70)</f>
        <v>0</v>
      </c>
      <c r="I188" s="5">
        <f t="shared" si="16"/>
        <v>0</v>
      </c>
      <c r="J188" s="4" t="s">
        <v>5531</v>
      </c>
      <c r="K188" s="5">
        <f>SUM(K70)</f>
        <v>0</v>
      </c>
      <c r="L188" s="10">
        <f>IF($B$2="-",0,IFERROR(INDEX(IF($B$2="SV",'Projekt-Budget-Übersicht'!$H:$H,IF($B$2="CAD",'Projekt-Budget-Übersicht'!$I:$I,IF($B$2="ADM",'Projekt-Budget-Übersicht'!$J:$J,'Projekt-Budget-Übersicht'!$H:$H))),MATCH(4118,'Projekt-Budget-Übersicht'!$L:$L,0)),0))</f>
        <v>0</v>
      </c>
      <c r="M188" s="10">
        <f t="shared" si="17"/>
        <v>0</v>
      </c>
      <c r="N188" s="10">
        <f t="shared" si="18"/>
        <v>0</v>
      </c>
      <c r="O188" s="10">
        <f t="shared" si="19"/>
        <v>0</v>
      </c>
      <c r="P188" s="10">
        <f>'O. Haag BS-CAD'!M188</f>
        <v>0</v>
      </c>
      <c r="Q188" s="10">
        <f>IFERROR(INDEX('Projekt-Budget-Übersicht'!$E:$E,MATCH(4118,'Projekt-Budget-Übersicht'!$L:$L,0)),0)</f>
        <v>0</v>
      </c>
      <c r="R188" s="10">
        <v>236.25</v>
      </c>
      <c r="S188" s="4"/>
      <c r="T188" s="4"/>
      <c r="U188" s="4"/>
    </row>
    <row r="189" spans="1:21" x14ac:dyDescent="0.25">
      <c r="A189" s="4" t="s">
        <v>4041</v>
      </c>
      <c r="B189" s="4" t="s">
        <v>5498</v>
      </c>
      <c r="C189" s="4" t="str">
        <f>IFERROR(INDEX('Projekt-Budget-Übersicht'!$C:$C,MATCH(4163,'Projekt-Budget-Übersicht'!$L:$L,0)),"")</f>
        <v/>
      </c>
      <c r="D189" s="4">
        <v>8</v>
      </c>
      <c r="E189" s="4">
        <v>7.25</v>
      </c>
      <c r="F189" s="5">
        <f>SUM(F32,I32,K32)</f>
        <v>5.75</v>
      </c>
      <c r="G189" s="14">
        <v>90.62</v>
      </c>
      <c r="H189" s="5">
        <f>SUM(H32)</f>
        <v>0</v>
      </c>
      <c r="I189" s="5">
        <f t="shared" si="16"/>
        <v>0</v>
      </c>
      <c r="J189" s="4" t="s">
        <v>5531</v>
      </c>
      <c r="K189" s="5">
        <f>SUM(K32)</f>
        <v>0</v>
      </c>
      <c r="L189" s="10">
        <f>IF($B$2="-",0,IFERROR(INDEX(IF($B$2="SV",'Projekt-Budget-Übersicht'!$H:$H,IF($B$2="CAD",'Projekt-Budget-Übersicht'!$I:$I,IF($B$2="ADM",'Projekt-Budget-Übersicht'!$J:$J,'Projekt-Budget-Übersicht'!$H:$H))),MATCH(4163,'Projekt-Budget-Übersicht'!$L:$L,0)),0))</f>
        <v>0</v>
      </c>
      <c r="M189" s="10">
        <f t="shared" si="17"/>
        <v>0</v>
      </c>
      <c r="N189" s="10">
        <f t="shared" si="18"/>
        <v>0</v>
      </c>
      <c r="O189" s="10">
        <f t="shared" si="19"/>
        <v>0</v>
      </c>
      <c r="P189" s="10">
        <f>'O. Haag BS-CAD'!M189</f>
        <v>0</v>
      </c>
      <c r="Q189" s="10">
        <f>IFERROR(INDEX('Projekt-Budget-Übersicht'!$E:$E,MATCH(4163,'Projekt-Budget-Übersicht'!$L:$L,0)),0)</f>
        <v>0</v>
      </c>
      <c r="R189" s="10">
        <v>522.5</v>
      </c>
      <c r="S189" s="4"/>
      <c r="T189" s="4"/>
      <c r="U189" s="4"/>
    </row>
    <row r="190" spans="1:21" x14ac:dyDescent="0.25">
      <c r="A190" s="4" t="s">
        <v>4109</v>
      </c>
      <c r="B190" s="4" t="s">
        <v>5596</v>
      </c>
      <c r="C190" s="4" t="str">
        <f>IFERROR(INDEX('Projekt-Budget-Übersicht'!$C:$C,MATCH(4225,'Projekt-Budget-Übersicht'!$L:$L,0)),"")</f>
        <v/>
      </c>
      <c r="D190" s="4">
        <v>46</v>
      </c>
      <c r="E190" s="4">
        <v>2.5</v>
      </c>
      <c r="F190" s="5">
        <f>SUM(F71,I71,K71)</f>
        <v>2.5</v>
      </c>
      <c r="G190" s="16">
        <v>5.43</v>
      </c>
      <c r="H190" s="5">
        <f>SUM(H71)</f>
        <v>0</v>
      </c>
      <c r="I190" s="5">
        <f t="shared" si="16"/>
        <v>0</v>
      </c>
      <c r="J190" s="4" t="s">
        <v>5531</v>
      </c>
      <c r="K190" s="5">
        <f>SUM(K71)</f>
        <v>0</v>
      </c>
      <c r="L190" s="10">
        <f>IF($B$2="-",0,IFERROR(INDEX(IF($B$2="SV",'Projekt-Budget-Übersicht'!$H:$H,IF($B$2="CAD",'Projekt-Budget-Übersicht'!$I:$I,IF($B$2="ADM",'Projekt-Budget-Übersicht'!$J:$J,'Projekt-Budget-Übersicht'!$H:$H))),MATCH(4225,'Projekt-Budget-Übersicht'!$L:$L,0)),0))</f>
        <v>0</v>
      </c>
      <c r="M190" s="10">
        <f t="shared" si="17"/>
        <v>0</v>
      </c>
      <c r="N190" s="10">
        <f t="shared" si="18"/>
        <v>0</v>
      </c>
      <c r="O190" s="10">
        <f t="shared" si="19"/>
        <v>0</v>
      </c>
      <c r="P190" s="10">
        <f>'J. Dorn'!M151+'O. Haag BS-CAD'!M190</f>
        <v>0</v>
      </c>
      <c r="Q190" s="10">
        <f>IFERROR(INDEX('Projekt-Budget-Übersicht'!$E:$E,MATCH(4225,'Projekt-Budget-Übersicht'!$L:$L,0)),0)</f>
        <v>0</v>
      </c>
      <c r="R190" s="10">
        <v>210.79</v>
      </c>
      <c r="S190" s="4"/>
      <c r="T190" s="4"/>
      <c r="U190" s="4"/>
    </row>
    <row r="191" spans="1:21" x14ac:dyDescent="0.25">
      <c r="A191" s="4" t="s">
        <v>4325</v>
      </c>
      <c r="B191" s="4" t="s">
        <v>5620</v>
      </c>
      <c r="C191" s="4" t="str">
        <f>IFERROR(INDEX('Projekt-Budget-Übersicht'!$C:$C,MATCH(4404,'Projekt-Budget-Übersicht'!$L:$L,0)),"")</f>
        <v/>
      </c>
      <c r="D191" s="4">
        <v>8</v>
      </c>
      <c r="E191" s="4">
        <v>4.5</v>
      </c>
      <c r="F191" s="5">
        <f>SUM(F72,I72,K72)</f>
        <v>0.25</v>
      </c>
      <c r="G191" s="16">
        <v>56.25</v>
      </c>
      <c r="H191" s="5">
        <f>SUM(H72)</f>
        <v>0</v>
      </c>
      <c r="I191" s="5">
        <f t="shared" si="16"/>
        <v>0</v>
      </c>
      <c r="J191" s="4" t="s">
        <v>5531</v>
      </c>
      <c r="K191" s="5">
        <f>SUM(K72)</f>
        <v>0</v>
      </c>
      <c r="L191" s="10">
        <f>IF($B$2="-",0,IFERROR(INDEX(IF($B$2="SV",'Projekt-Budget-Übersicht'!$H:$H,IF($B$2="CAD",'Projekt-Budget-Übersicht'!$I:$I,IF($B$2="ADM",'Projekt-Budget-Übersicht'!$J:$J,'Projekt-Budget-Übersicht'!$H:$H))),MATCH(4404,'Projekt-Budget-Übersicht'!$L:$L,0)),0))</f>
        <v>0</v>
      </c>
      <c r="M191" s="10">
        <f t="shared" si="17"/>
        <v>0</v>
      </c>
      <c r="N191" s="10">
        <f t="shared" si="18"/>
        <v>0</v>
      </c>
      <c r="O191" s="10">
        <f t="shared" si="19"/>
        <v>0</v>
      </c>
      <c r="P191" s="10">
        <f>'O. Haag BS-CAD'!M191+'R. Wagen CAD'!M91</f>
        <v>0</v>
      </c>
      <c r="Q191" s="10">
        <f>IFERROR(INDEX('Projekt-Budget-Übersicht'!$E:$E,MATCH(4404,'Projekt-Budget-Übersicht'!$L:$L,0)),0)</f>
        <v>0</v>
      </c>
      <c r="R191" s="10">
        <v>225</v>
      </c>
      <c r="S191" s="4"/>
      <c r="T191" s="4"/>
      <c r="U191" s="4"/>
    </row>
    <row r="192" spans="1:21" x14ac:dyDescent="0.25">
      <c r="A192" s="4" t="s">
        <v>4328</v>
      </c>
      <c r="B192" s="4" t="s">
        <v>5486</v>
      </c>
      <c r="C192" s="4" t="str">
        <f>IFERROR(INDEX('Projekt-Budget-Übersicht'!$C:$C,MATCH(4406,'Projekt-Budget-Übersicht'!$L:$L,0)),"")</f>
        <v/>
      </c>
      <c r="D192" s="4">
        <v>6</v>
      </c>
      <c r="E192" s="4">
        <v>5</v>
      </c>
      <c r="F192" s="5">
        <f>SUM(F33,I33,K33)</f>
        <v>2</v>
      </c>
      <c r="G192" s="16">
        <v>83.33</v>
      </c>
      <c r="H192" s="5">
        <f>SUM(H33)</f>
        <v>0</v>
      </c>
      <c r="I192" s="5">
        <f t="shared" si="16"/>
        <v>0</v>
      </c>
      <c r="J192" s="4" t="s">
        <v>5531</v>
      </c>
      <c r="K192" s="5">
        <f>SUM(K33)</f>
        <v>0</v>
      </c>
      <c r="L192" s="10">
        <f>IF($B$2="-",0,IFERROR(INDEX(IF($B$2="SV",'Projekt-Budget-Übersicht'!$H:$H,IF($B$2="CAD",'Projekt-Budget-Übersicht'!$I:$I,IF($B$2="ADM",'Projekt-Budget-Übersicht'!$J:$J,'Projekt-Budget-Übersicht'!$H:$H))),MATCH(4406,'Projekt-Budget-Übersicht'!$L:$L,0)),0))</f>
        <v>0</v>
      </c>
      <c r="M192" s="10">
        <f t="shared" si="17"/>
        <v>0</v>
      </c>
      <c r="N192" s="10">
        <f t="shared" si="18"/>
        <v>0</v>
      </c>
      <c r="O192" s="10">
        <f t="shared" si="19"/>
        <v>0</v>
      </c>
      <c r="P192" s="10">
        <f>'O. Haag BS-CAD'!M192</f>
        <v>0</v>
      </c>
      <c r="Q192" s="10">
        <f>IFERROR(INDEX('Projekt-Budget-Übersicht'!$E:$E,MATCH(4406,'Projekt-Budget-Übersicht'!$L:$L,0)),0)</f>
        <v>0</v>
      </c>
      <c r="R192" s="10">
        <v>362.5</v>
      </c>
      <c r="S192" s="4"/>
      <c r="T192" s="4"/>
      <c r="U192" s="4"/>
    </row>
    <row r="193" spans="1:21" x14ac:dyDescent="0.25">
      <c r="A193" s="4" t="s">
        <v>4356</v>
      </c>
      <c r="B193" s="4" t="s">
        <v>5486</v>
      </c>
      <c r="C193" s="4" t="str">
        <f>IFERROR(INDEX('Projekt-Budget-Übersicht'!$C:$C,MATCH(4432,'Projekt-Budget-Übersicht'!$L:$L,0)),"")</f>
        <v/>
      </c>
      <c r="D193" s="4">
        <v>3</v>
      </c>
      <c r="E193" s="4">
        <v>2.5</v>
      </c>
      <c r="F193" s="5">
        <f>SUM(F117,I117,K117)</f>
        <v>2</v>
      </c>
      <c r="G193" s="16">
        <v>83.33</v>
      </c>
      <c r="H193" s="5">
        <f>SUM(H117)</f>
        <v>0</v>
      </c>
      <c r="I193" s="5">
        <f t="shared" si="16"/>
        <v>0</v>
      </c>
      <c r="J193" s="4" t="s">
        <v>5531</v>
      </c>
      <c r="K193" s="5">
        <f>SUM(K117)</f>
        <v>0</v>
      </c>
      <c r="L193" s="10">
        <f>IF($B$2="-",0,IFERROR(INDEX(IF($B$2="SV",'Projekt-Budget-Übersicht'!$H:$H,IF($B$2="CAD",'Projekt-Budget-Übersicht'!$I:$I,IF($B$2="ADM",'Projekt-Budget-Übersicht'!$J:$J,'Projekt-Budget-Übersicht'!$H:$H))),MATCH(4432,'Projekt-Budget-Übersicht'!$L:$L,0)),0))</f>
        <v>0</v>
      </c>
      <c r="M193" s="10">
        <f t="shared" si="17"/>
        <v>0</v>
      </c>
      <c r="N193" s="10">
        <f t="shared" si="18"/>
        <v>0</v>
      </c>
      <c r="O193" s="10">
        <f t="shared" si="19"/>
        <v>0</v>
      </c>
      <c r="P193" s="10">
        <f>'O. Haag BS-CAD'!M193</f>
        <v>0</v>
      </c>
      <c r="Q193" s="10">
        <f>IFERROR(INDEX('Projekt-Budget-Übersicht'!$E:$E,MATCH(4432,'Projekt-Budget-Übersicht'!$L:$L,0)),0)</f>
        <v>0</v>
      </c>
      <c r="R193" s="10">
        <v>117.5</v>
      </c>
      <c r="S193" s="4"/>
      <c r="T193" s="4"/>
      <c r="U193" s="4"/>
    </row>
    <row r="194" spans="1:21" x14ac:dyDescent="0.25">
      <c r="A194" s="4" t="s">
        <v>4373</v>
      </c>
      <c r="B194" s="4" t="s">
        <v>5486</v>
      </c>
      <c r="C194" s="4" t="str">
        <f>IFERROR(INDEX('Projekt-Budget-Übersicht'!$C:$C,MATCH(4448,'Projekt-Budget-Übersicht'!$L:$L,0)),"")</f>
        <v/>
      </c>
      <c r="D194" s="4">
        <v>4</v>
      </c>
      <c r="E194" s="4">
        <v>4</v>
      </c>
      <c r="F194" s="5">
        <f>SUM(F118,I118,K118)</f>
        <v>1.25</v>
      </c>
      <c r="G194" s="14">
        <v>100</v>
      </c>
      <c r="H194" s="5">
        <f>SUM(H118)</f>
        <v>0</v>
      </c>
      <c r="I194" s="5">
        <f t="shared" si="16"/>
        <v>0</v>
      </c>
      <c r="J194" s="4" t="s">
        <v>5531</v>
      </c>
      <c r="K194" s="5">
        <f>SUM(K118)</f>
        <v>0</v>
      </c>
      <c r="L194" s="10">
        <f>IF($B$2="-",0,IFERROR(INDEX(IF($B$2="SV",'Projekt-Budget-Übersicht'!$H:$H,IF($B$2="CAD",'Projekt-Budget-Übersicht'!$I:$I,IF($B$2="ADM",'Projekt-Budget-Übersicht'!$J:$J,'Projekt-Budget-Übersicht'!$H:$H))),MATCH(4448,'Projekt-Budget-Übersicht'!$L:$L,0)),0))</f>
        <v>0</v>
      </c>
      <c r="M194" s="10">
        <f t="shared" si="17"/>
        <v>0</v>
      </c>
      <c r="N194" s="10">
        <f t="shared" si="18"/>
        <v>0</v>
      </c>
      <c r="O194" s="10">
        <f t="shared" si="19"/>
        <v>0</v>
      </c>
      <c r="P194" s="10">
        <f>'O. Haag BS-CAD'!M194</f>
        <v>0</v>
      </c>
      <c r="Q194" s="10">
        <f>IFERROR(INDEX('Projekt-Budget-Übersicht'!$E:$E,MATCH(4448,'Projekt-Budget-Übersicht'!$L:$L,0)),0)</f>
        <v>0</v>
      </c>
      <c r="R194" s="10">
        <v>2173.75</v>
      </c>
      <c r="S194" s="4"/>
      <c r="T194" s="4"/>
      <c r="U194" s="4"/>
    </row>
    <row r="195" spans="1:21" x14ac:dyDescent="0.25">
      <c r="A195" s="4" t="s">
        <v>4461</v>
      </c>
      <c r="B195" s="4" t="s">
        <v>5633</v>
      </c>
      <c r="C195" s="4" t="str">
        <f>IFERROR(INDEX('Projekt-Budget-Übersicht'!$C:$C,MATCH(4529,'Projekt-Budget-Übersicht'!$L:$L,0)),"")</f>
        <v/>
      </c>
      <c r="D195" s="4" t="s">
        <v>5531</v>
      </c>
      <c r="E195" s="4">
        <v>7.75</v>
      </c>
      <c r="F195" s="5">
        <f>SUM(F73,I73,K73)</f>
        <v>7.75</v>
      </c>
      <c r="G195" s="4" t="s">
        <v>5531</v>
      </c>
      <c r="H195" s="5">
        <f>SUM(H73)</f>
        <v>0</v>
      </c>
      <c r="I195" s="5">
        <f t="shared" si="16"/>
        <v>0</v>
      </c>
      <c r="J195" s="4" t="s">
        <v>5531</v>
      </c>
      <c r="K195" s="5">
        <f>SUM(K73)</f>
        <v>0</v>
      </c>
      <c r="L195" s="10">
        <f>IF($B$2="-",0,IFERROR(INDEX(IF($B$2="SV",'Projekt-Budget-Übersicht'!$H:$H,IF($B$2="CAD",'Projekt-Budget-Übersicht'!$I:$I,IF($B$2="ADM",'Projekt-Budget-Übersicht'!$J:$J,'Projekt-Budget-Übersicht'!$H:$H))),MATCH(4529,'Projekt-Budget-Übersicht'!$L:$L,0)),0))</f>
        <v>0</v>
      </c>
      <c r="M195" s="10">
        <f t="shared" si="17"/>
        <v>0</v>
      </c>
      <c r="N195" s="10">
        <f t="shared" si="18"/>
        <v>0</v>
      </c>
      <c r="O195" s="10">
        <f t="shared" si="19"/>
        <v>0</v>
      </c>
      <c r="P195" s="10">
        <f>'O. Haag BS-CAD'!M195</f>
        <v>0</v>
      </c>
      <c r="Q195" s="10">
        <f>IFERROR(INDEX('Projekt-Budget-Übersicht'!$E:$E,MATCH(4529,'Projekt-Budget-Übersicht'!$L:$L,0)),0)</f>
        <v>0</v>
      </c>
      <c r="R195" s="10">
        <v>387.5</v>
      </c>
      <c r="S195" s="4"/>
      <c r="T195" s="4"/>
      <c r="U195" s="4"/>
    </row>
    <row r="196" spans="1:21" x14ac:dyDescent="0.25">
      <c r="A196" s="21" t="s">
        <v>4475</v>
      </c>
      <c r="B196" s="4" t="s">
        <v>5504</v>
      </c>
      <c r="C196" s="4" t="str">
        <f>IFERROR(INDEX('Projekt-Budget-Übersicht'!$C:$C,MATCH(4547,'Projekt-Budget-Übersicht'!$L:$L,0)),"")</f>
        <v/>
      </c>
      <c r="D196" s="4">
        <v>17</v>
      </c>
      <c r="E196" s="4">
        <v>12.75</v>
      </c>
      <c r="F196" s="5">
        <f>SUM(F74,I74,K74)</f>
        <v>0.25</v>
      </c>
      <c r="G196" s="16">
        <v>75</v>
      </c>
      <c r="H196" s="5">
        <f>SUM(H74)</f>
        <v>0</v>
      </c>
      <c r="I196" s="5">
        <f t="shared" si="16"/>
        <v>0</v>
      </c>
      <c r="J196" s="4" t="s">
        <v>5531</v>
      </c>
      <c r="K196" s="5">
        <f>SUM(K74)</f>
        <v>0</v>
      </c>
      <c r="L196" s="10">
        <f>IF($B$2="-",0,IFERROR(INDEX(IF($B$2="SV",'Projekt-Budget-Übersicht'!$H:$H,IF($B$2="CAD",'Projekt-Budget-Übersicht'!$I:$I,IF($B$2="ADM",'Projekt-Budget-Übersicht'!$J:$J,'Projekt-Budget-Übersicht'!$H:$H))),MATCH(4547,'Projekt-Budget-Übersicht'!$L:$L,0)),0))</f>
        <v>0</v>
      </c>
      <c r="M196" s="10">
        <f t="shared" si="17"/>
        <v>0</v>
      </c>
      <c r="N196" s="10">
        <f t="shared" si="18"/>
        <v>0</v>
      </c>
      <c r="O196" s="10">
        <f t="shared" si="19"/>
        <v>0</v>
      </c>
      <c r="P196" s="10">
        <f>'O. Haag BS-CAD'!M196+'P. Bergner'!M98</f>
        <v>0</v>
      </c>
      <c r="Q196" s="10">
        <f>IFERROR(INDEX('Projekt-Budget-Übersicht'!$E:$E,MATCH(4547,'Projekt-Budget-Übersicht'!$L:$L,0)),0)</f>
        <v>0</v>
      </c>
      <c r="R196" s="10">
        <v>1097.5</v>
      </c>
      <c r="S196" s="4"/>
      <c r="T196" s="4"/>
      <c r="U196" s="4"/>
    </row>
    <row r="197" spans="1:21" x14ac:dyDescent="0.25">
      <c r="A197" s="22"/>
      <c r="B197" s="4" t="s">
        <v>5623</v>
      </c>
      <c r="C197" s="4" t="str">
        <f>IFERROR(INDEX('Projekt-Budget-Übersicht'!$C:$C,MATCH(4548,'Projekt-Budget-Übersicht'!$L:$L,0)),"")</f>
        <v/>
      </c>
      <c r="D197" s="4">
        <v>8.5</v>
      </c>
      <c r="E197" s="4">
        <v>6</v>
      </c>
      <c r="F197" s="5">
        <f>SUM(F34,I34,K34)</f>
        <v>1.5</v>
      </c>
      <c r="G197" s="16">
        <v>70.59</v>
      </c>
      <c r="H197" s="5">
        <f>SUM(H34)</f>
        <v>0</v>
      </c>
      <c r="I197" s="5">
        <f t="shared" si="16"/>
        <v>0</v>
      </c>
      <c r="J197" s="4" t="s">
        <v>5531</v>
      </c>
      <c r="K197" s="5">
        <f>SUM(K34)</f>
        <v>0</v>
      </c>
      <c r="L197" s="10">
        <f>IF($B$2="-",0,IFERROR(INDEX(IF($B$2="SV",'Projekt-Budget-Übersicht'!$H:$H,IF($B$2="CAD",'Projekt-Budget-Übersicht'!$I:$I,IF($B$2="ADM",'Projekt-Budget-Übersicht'!$J:$J,'Projekt-Budget-Übersicht'!$H:$H))),MATCH(4548,'Projekt-Budget-Übersicht'!$L:$L,0)),0))</f>
        <v>0</v>
      </c>
      <c r="M197" s="10">
        <f t="shared" si="17"/>
        <v>0</v>
      </c>
      <c r="N197" s="10">
        <f t="shared" si="18"/>
        <v>0</v>
      </c>
      <c r="O197" s="10">
        <f t="shared" si="19"/>
        <v>0</v>
      </c>
      <c r="P197" s="10">
        <f>'O. Haag BS-CAD'!M197+'P. Bergner'!M100</f>
        <v>0</v>
      </c>
      <c r="Q197" s="10">
        <f>IFERROR(INDEX('Projekt-Budget-Übersicht'!$E:$E,MATCH(4548,'Projekt-Budget-Übersicht'!$L:$L,0)),0)</f>
        <v>0</v>
      </c>
      <c r="R197" s="10">
        <v>745</v>
      </c>
      <c r="S197" s="4"/>
      <c r="T197" s="4"/>
      <c r="U197" s="4"/>
    </row>
    <row r="198" spans="1:21" x14ac:dyDescent="0.25">
      <c r="A198" s="4" t="s">
        <v>4552</v>
      </c>
      <c r="B198" s="4" t="s">
        <v>5624</v>
      </c>
      <c r="C198" s="4" t="str">
        <f>IFERROR(INDEX('Projekt-Budget-Übersicht'!$C:$C,MATCH(4605,'Projekt-Budget-Übersicht'!$L:$L,0)),"")</f>
        <v/>
      </c>
      <c r="D198" s="4">
        <v>20</v>
      </c>
      <c r="E198" s="4">
        <v>12.25</v>
      </c>
      <c r="F198" s="5">
        <f>SUM(F35,F75,I35,I75,K35,K75)</f>
        <v>1.5</v>
      </c>
      <c r="G198" s="16">
        <v>61.25</v>
      </c>
      <c r="H198" s="5">
        <f>SUM(H35,H75)</f>
        <v>0</v>
      </c>
      <c r="I198" s="5">
        <f t="shared" si="16"/>
        <v>0</v>
      </c>
      <c r="J198" s="4" t="s">
        <v>5531</v>
      </c>
      <c r="K198" s="5">
        <f>SUM(K35,K75)</f>
        <v>0</v>
      </c>
      <c r="L198" s="10">
        <f>IF($B$2="-",0,IFERROR(INDEX(IF($B$2="SV",'Projekt-Budget-Übersicht'!$H:$H,IF($B$2="CAD",'Projekt-Budget-Übersicht'!$I:$I,IF($B$2="ADM",'Projekt-Budget-Übersicht'!$J:$J,'Projekt-Budget-Übersicht'!$H:$H))),MATCH(4605,'Projekt-Budget-Übersicht'!$L:$L,0)),0))</f>
        <v>0</v>
      </c>
      <c r="M198" s="10">
        <f t="shared" si="17"/>
        <v>0</v>
      </c>
      <c r="N198" s="10">
        <f t="shared" si="18"/>
        <v>0</v>
      </c>
      <c r="O198" s="10">
        <f t="shared" si="19"/>
        <v>0</v>
      </c>
      <c r="P198" s="10">
        <f>'O. Haag BS-CAD'!M198</f>
        <v>0</v>
      </c>
      <c r="Q198" s="10">
        <f>IFERROR(INDEX('Projekt-Budget-Übersicht'!$E:$E,MATCH(4605,'Projekt-Budget-Übersicht'!$L:$L,0)),0)</f>
        <v>0</v>
      </c>
      <c r="R198" s="10">
        <v>575</v>
      </c>
      <c r="S198" s="4"/>
      <c r="T198" s="4"/>
      <c r="U198" s="4"/>
    </row>
    <row r="199" spans="1:21" x14ac:dyDescent="0.25">
      <c r="A199" s="4" t="s">
        <v>4669</v>
      </c>
      <c r="B199" s="4" t="s">
        <v>5486</v>
      </c>
      <c r="C199" s="4" t="str">
        <f>IFERROR(INDEX('Projekt-Budget-Übersicht'!$C:$C,MATCH(4697,'Projekt-Budget-Übersicht'!$L:$L,0)),"")</f>
        <v/>
      </c>
      <c r="D199" s="4">
        <v>6</v>
      </c>
      <c r="E199" s="4">
        <v>6.25</v>
      </c>
      <c r="F199" s="5">
        <f>SUM(F36,I36,K36)</f>
        <v>0.5</v>
      </c>
      <c r="G199" s="15">
        <v>104.17</v>
      </c>
      <c r="H199" s="5">
        <f>SUM(H36)</f>
        <v>0</v>
      </c>
      <c r="I199" s="5">
        <f t="shared" si="16"/>
        <v>0</v>
      </c>
      <c r="J199" s="4" t="s">
        <v>5531</v>
      </c>
      <c r="K199" s="5">
        <f>SUM(K36)</f>
        <v>0</v>
      </c>
      <c r="L199" s="10">
        <f>IF($B$2="-",0,IFERROR(INDEX(IF($B$2="SV",'Projekt-Budget-Übersicht'!$H:$H,IF($B$2="CAD",'Projekt-Budget-Übersicht'!$I:$I,IF($B$2="ADM",'Projekt-Budget-Übersicht'!$J:$J,'Projekt-Budget-Übersicht'!$H:$H))),MATCH(4697,'Projekt-Budget-Übersicht'!$L:$L,0)),0))</f>
        <v>0</v>
      </c>
      <c r="M199" s="10">
        <f t="shared" si="17"/>
        <v>0</v>
      </c>
      <c r="N199" s="10">
        <f t="shared" si="18"/>
        <v>0</v>
      </c>
      <c r="O199" s="10">
        <f t="shared" si="19"/>
        <v>0</v>
      </c>
      <c r="P199" s="10">
        <f>'O. Haag BS-CAD'!M199</f>
        <v>0</v>
      </c>
      <c r="Q199" s="10">
        <f>IFERROR(INDEX('Projekt-Budget-Übersicht'!$E:$E,MATCH(4697,'Projekt-Budget-Übersicht'!$L:$L,0)),0)</f>
        <v>0</v>
      </c>
      <c r="R199" s="10">
        <v>360.82</v>
      </c>
      <c r="S199" s="4"/>
      <c r="T199" s="4"/>
      <c r="U199" s="4"/>
    </row>
    <row r="200" spans="1:21" x14ac:dyDescent="0.25">
      <c r="A200" s="21" t="s">
        <v>4671</v>
      </c>
      <c r="B200" s="4" t="s">
        <v>5636</v>
      </c>
      <c r="C200" s="4" t="str">
        <f>IFERROR(INDEX('Projekt-Budget-Übersicht'!$C:$C,MATCH(4703,'Projekt-Budget-Übersicht'!$L:$L,0)),"")</f>
        <v/>
      </c>
      <c r="D200" s="4">
        <v>10.5</v>
      </c>
      <c r="E200" s="4">
        <v>10</v>
      </c>
      <c r="F200" s="5">
        <f>SUM(F119,I119,K119)</f>
        <v>0.5</v>
      </c>
      <c r="G200" s="14">
        <v>95.24</v>
      </c>
      <c r="H200" s="5">
        <f>SUM(H119)</f>
        <v>0</v>
      </c>
      <c r="I200" s="5">
        <f t="shared" si="16"/>
        <v>0</v>
      </c>
      <c r="J200" s="4" t="s">
        <v>5531</v>
      </c>
      <c r="K200" s="5">
        <f>SUM(K119)</f>
        <v>0</v>
      </c>
      <c r="L200" s="10">
        <f>IF($B$2="-",0,IFERROR(INDEX(IF($B$2="SV",'Projekt-Budget-Übersicht'!$H:$H,IF($B$2="CAD",'Projekt-Budget-Übersicht'!$I:$I,IF($B$2="ADM",'Projekt-Budget-Übersicht'!$J:$J,'Projekt-Budget-Übersicht'!$H:$H))),MATCH(4703,'Projekt-Budget-Übersicht'!$L:$L,0)),0))</f>
        <v>0</v>
      </c>
      <c r="M200" s="10">
        <f t="shared" si="17"/>
        <v>0</v>
      </c>
      <c r="N200" s="10">
        <f t="shared" si="18"/>
        <v>0</v>
      </c>
      <c r="O200" s="10">
        <f t="shared" si="19"/>
        <v>0</v>
      </c>
      <c r="P200" s="10">
        <f>'O. Haag BS-CAD'!M200+'S. Schüler'!M172</f>
        <v>0</v>
      </c>
      <c r="Q200" s="10">
        <f>IFERROR(INDEX('Projekt-Budget-Übersicht'!$E:$E,MATCH(4703,'Projekt-Budget-Übersicht'!$L:$L,0)),0)</f>
        <v>0</v>
      </c>
      <c r="R200" s="10">
        <v>2335</v>
      </c>
      <c r="S200" s="4"/>
      <c r="T200" s="4"/>
      <c r="U200" s="4"/>
    </row>
    <row r="201" spans="1:21" x14ac:dyDescent="0.25">
      <c r="A201" s="22"/>
      <c r="B201" s="4" t="s">
        <v>5634</v>
      </c>
      <c r="C201" s="4" t="str">
        <f>IFERROR(INDEX('Projekt-Budget-Übersicht'!$C:$C,MATCH(4703,'Projekt-Budget-Übersicht'!$L:$L,0)),"")</f>
        <v/>
      </c>
      <c r="D201" s="4">
        <v>7.5</v>
      </c>
      <c r="E201" s="4">
        <v>0.5</v>
      </c>
      <c r="F201" s="5">
        <f>SUM(F76,I76,K76)</f>
        <v>0.5</v>
      </c>
      <c r="G201" s="16">
        <v>6.67</v>
      </c>
      <c r="H201" s="5">
        <f>SUM(H76)</f>
        <v>0</v>
      </c>
      <c r="I201" s="5">
        <f t="shared" si="16"/>
        <v>0</v>
      </c>
      <c r="J201" s="4" t="s">
        <v>5531</v>
      </c>
      <c r="K201" s="5">
        <f>SUM(K76)</f>
        <v>0</v>
      </c>
      <c r="L201" s="10">
        <f>IF($B$2="-",0,IFERROR(INDEX(IF($B$2="SV",'Projekt-Budget-Übersicht'!$H:$H,IF($B$2="CAD",'Projekt-Budget-Übersicht'!$I:$I,IF($B$2="ADM",'Projekt-Budget-Übersicht'!$J:$J,'Projekt-Budget-Übersicht'!$H:$H))),MATCH(4703,'Projekt-Budget-Übersicht'!$L:$L,0)),0))</f>
        <v>0</v>
      </c>
      <c r="M201" s="10">
        <f t="shared" si="17"/>
        <v>0</v>
      </c>
      <c r="N201" s="10">
        <f t="shared" si="18"/>
        <v>0</v>
      </c>
      <c r="O201" s="10">
        <f t="shared" si="19"/>
        <v>0</v>
      </c>
      <c r="P201" s="10">
        <f>'O. Haag BS-CAD'!M201</f>
        <v>0</v>
      </c>
      <c r="Q201" s="10">
        <f>IFERROR(INDEX('Projekt-Budget-Übersicht'!$E:$E,MATCH(4703,'Projekt-Budget-Übersicht'!$L:$L,0)),0)</f>
        <v>0</v>
      </c>
      <c r="R201" s="10">
        <v>2335</v>
      </c>
      <c r="S201" s="4"/>
      <c r="T201" s="4"/>
      <c r="U201" s="4"/>
    </row>
    <row r="202" spans="1:21" x14ac:dyDescent="0.25">
      <c r="A202" s="4" t="s">
        <v>4739</v>
      </c>
      <c r="B202" s="4" t="s">
        <v>5502</v>
      </c>
      <c r="C202" s="4" t="str">
        <f>IFERROR(INDEX('Projekt-Budget-Übersicht'!$C:$C,MATCH(4763,'Projekt-Budget-Übersicht'!$L:$L,0)),"")</f>
        <v/>
      </c>
      <c r="D202" s="4">
        <v>4</v>
      </c>
      <c r="E202" s="4">
        <v>1.25</v>
      </c>
      <c r="F202" s="5">
        <f>SUM(F120,I120,K120)</f>
        <v>0.25</v>
      </c>
      <c r="G202" s="16">
        <v>31.25</v>
      </c>
      <c r="H202" s="5">
        <f>SUM(H120)</f>
        <v>0</v>
      </c>
      <c r="I202" s="5">
        <f t="shared" si="16"/>
        <v>0</v>
      </c>
      <c r="J202" s="4" t="s">
        <v>5531</v>
      </c>
      <c r="K202" s="5">
        <f>SUM(K120)</f>
        <v>0</v>
      </c>
      <c r="L202" s="10">
        <f>IF($B$2="-",0,IFERROR(INDEX(IF($B$2="SV",'Projekt-Budget-Übersicht'!$H:$H,IF($B$2="CAD",'Projekt-Budget-Übersicht'!$I:$I,IF($B$2="ADM",'Projekt-Budget-Übersicht'!$J:$J,'Projekt-Budget-Übersicht'!$H:$H))),MATCH(4763,'Projekt-Budget-Übersicht'!$L:$L,0)),0))</f>
        <v>0</v>
      </c>
      <c r="M202" s="10">
        <f t="shared" si="17"/>
        <v>0</v>
      </c>
      <c r="N202" s="10">
        <f t="shared" si="18"/>
        <v>0</v>
      </c>
      <c r="O202" s="10">
        <f t="shared" si="19"/>
        <v>0</v>
      </c>
      <c r="P202" s="10">
        <f>'O. Haag BS-CAD'!M202</f>
        <v>0</v>
      </c>
      <c r="Q202" s="10">
        <f>IFERROR(INDEX('Projekt-Budget-Übersicht'!$E:$E,MATCH(4763,'Projekt-Budget-Übersicht'!$L:$L,0)),0)</f>
        <v>0</v>
      </c>
      <c r="R202" s="10">
        <v>496.25</v>
      </c>
      <c r="S202" s="4"/>
      <c r="T202" s="4"/>
      <c r="U202" s="4"/>
    </row>
    <row r="203" spans="1:21" x14ac:dyDescent="0.25">
      <c r="A203" s="4" t="s">
        <v>4757</v>
      </c>
      <c r="B203" s="4" t="s">
        <v>5486</v>
      </c>
      <c r="C203" s="4" t="str">
        <f>IFERROR(INDEX('Projekt-Budget-Übersicht'!$C:$C,MATCH(4775,'Projekt-Budget-Übersicht'!$L:$L,0)),"")</f>
        <v/>
      </c>
      <c r="D203" s="4">
        <v>10</v>
      </c>
      <c r="E203" s="4">
        <v>8</v>
      </c>
      <c r="F203" s="5">
        <f>SUM(F121,I121,K121)</f>
        <v>8</v>
      </c>
      <c r="G203" s="16">
        <v>80</v>
      </c>
      <c r="H203" s="5">
        <f>SUM(H121)</f>
        <v>0</v>
      </c>
      <c r="I203" s="5">
        <f t="shared" si="16"/>
        <v>0</v>
      </c>
      <c r="J203" s="4" t="s">
        <v>5531</v>
      </c>
      <c r="K203" s="5">
        <f>SUM(K121)</f>
        <v>0</v>
      </c>
      <c r="L203" s="10">
        <f>IF($B$2="-",0,IFERROR(INDEX(IF($B$2="SV",'Projekt-Budget-Übersicht'!$H:$H,IF($B$2="CAD",'Projekt-Budget-Übersicht'!$I:$I,IF($B$2="ADM",'Projekt-Budget-Übersicht'!$J:$J,'Projekt-Budget-Übersicht'!$H:$H))),MATCH(4775,'Projekt-Budget-Übersicht'!$L:$L,0)),0))</f>
        <v>0</v>
      </c>
      <c r="M203" s="10">
        <f t="shared" si="17"/>
        <v>0</v>
      </c>
      <c r="N203" s="10">
        <f t="shared" si="18"/>
        <v>0</v>
      </c>
      <c r="O203" s="10">
        <f t="shared" si="19"/>
        <v>0</v>
      </c>
      <c r="P203" s="10">
        <f>'O. Haag BS-CAD'!M203</f>
        <v>0</v>
      </c>
      <c r="Q203" s="10">
        <f>IFERROR(INDEX('Projekt-Budget-Übersicht'!$E:$E,MATCH(4775,'Projekt-Budget-Übersicht'!$L:$L,0)),0)</f>
        <v>0</v>
      </c>
      <c r="R203" s="10">
        <v>687.5</v>
      </c>
      <c r="S203" s="4"/>
      <c r="T203" s="4"/>
      <c r="U203" s="4"/>
    </row>
    <row r="204" spans="1:21" x14ac:dyDescent="0.25">
      <c r="A204" s="4" t="s">
        <v>4809</v>
      </c>
      <c r="B204" s="4" t="s">
        <v>5502</v>
      </c>
      <c r="C204" s="4" t="str">
        <f>IFERROR(INDEX('Projekt-Budget-Übersicht'!$C:$C,MATCH(4813,'Projekt-Budget-Übersicht'!$L:$L,0)),"")</f>
        <v/>
      </c>
      <c r="D204" s="4">
        <v>6</v>
      </c>
      <c r="E204" s="4">
        <v>5</v>
      </c>
      <c r="F204" s="5">
        <f>SUM(F38,F77,I38,I77,K38,K77)</f>
        <v>5</v>
      </c>
      <c r="G204" s="16">
        <v>83.33</v>
      </c>
      <c r="H204" s="5">
        <f>SUM(H38,H77)</f>
        <v>0</v>
      </c>
      <c r="I204" s="5">
        <f t="shared" si="16"/>
        <v>0</v>
      </c>
      <c r="J204" s="4" t="s">
        <v>5531</v>
      </c>
      <c r="K204" s="5">
        <f>SUM(K38,K77)</f>
        <v>0</v>
      </c>
      <c r="L204" s="10">
        <f>IF($B$2="-",0,IFERROR(INDEX(IF($B$2="SV",'Projekt-Budget-Übersicht'!$H:$H,IF($B$2="CAD",'Projekt-Budget-Übersicht'!$I:$I,IF($B$2="ADM",'Projekt-Budget-Übersicht'!$J:$J,'Projekt-Budget-Übersicht'!$H:$H))),MATCH(4813,'Projekt-Budget-Übersicht'!$L:$L,0)),0))</f>
        <v>0</v>
      </c>
      <c r="M204" s="10">
        <f t="shared" si="17"/>
        <v>0</v>
      </c>
      <c r="N204" s="10">
        <f t="shared" si="18"/>
        <v>0</v>
      </c>
      <c r="O204" s="10">
        <f t="shared" si="19"/>
        <v>0</v>
      </c>
      <c r="P204" s="10">
        <f>'O. Haag BS-CAD'!M204</f>
        <v>0</v>
      </c>
      <c r="Q204" s="10">
        <f>IFERROR(INDEX('Projekt-Budget-Übersicht'!$E:$E,MATCH(4813,'Projekt-Budget-Übersicht'!$L:$L,0)),0)</f>
        <v>0</v>
      </c>
      <c r="R204" s="10">
        <v>440</v>
      </c>
      <c r="S204" s="4"/>
      <c r="T204" s="4"/>
      <c r="U204" s="4"/>
    </row>
    <row r="205" spans="1:21" x14ac:dyDescent="0.25">
      <c r="A205" s="4" t="s">
        <v>4818</v>
      </c>
      <c r="B205" s="4" t="s">
        <v>5486</v>
      </c>
      <c r="C205" s="4" t="str">
        <f>IFERROR(INDEX('Projekt-Budget-Übersicht'!$C:$C,MATCH(4820,'Projekt-Budget-Übersicht'!$L:$L,0)),"")</f>
        <v/>
      </c>
      <c r="D205" s="4">
        <v>800</v>
      </c>
      <c r="E205" s="4">
        <v>5.75</v>
      </c>
      <c r="F205" s="5">
        <f>SUM(F78,I78,K78)</f>
        <v>5.75</v>
      </c>
      <c r="G205" s="16">
        <v>0.72</v>
      </c>
      <c r="H205" s="5">
        <f>SUM(H78)</f>
        <v>0</v>
      </c>
      <c r="I205" s="5">
        <f t="shared" si="16"/>
        <v>0</v>
      </c>
      <c r="J205" s="4" t="s">
        <v>5531</v>
      </c>
      <c r="K205" s="5">
        <f>SUM(K78)</f>
        <v>0</v>
      </c>
      <c r="L205" s="10">
        <f>IF($B$2="-",0,IFERROR(INDEX(IF($B$2="SV",'Projekt-Budget-Übersicht'!$H:$H,IF($B$2="CAD",'Projekt-Budget-Übersicht'!$I:$I,IF($B$2="ADM",'Projekt-Budget-Übersicht'!$J:$J,'Projekt-Budget-Übersicht'!$H:$H))),MATCH(4820,'Projekt-Budget-Übersicht'!$L:$L,0)),0))</f>
        <v>0</v>
      </c>
      <c r="M205" s="10">
        <f t="shared" si="17"/>
        <v>0</v>
      </c>
      <c r="N205" s="10">
        <f t="shared" si="18"/>
        <v>0</v>
      </c>
      <c r="O205" s="10">
        <f t="shared" si="19"/>
        <v>0</v>
      </c>
      <c r="P205" s="10">
        <f>'O. Haag BS-CAD'!M205</f>
        <v>0</v>
      </c>
      <c r="Q205" s="10">
        <f>IFERROR(INDEX('Projekt-Budget-Übersicht'!$E:$E,MATCH(4820,'Projekt-Budget-Übersicht'!$L:$L,0)),0)</f>
        <v>0</v>
      </c>
      <c r="R205" s="10">
        <v>335.82</v>
      </c>
      <c r="S205" s="4"/>
      <c r="T205" s="4"/>
      <c r="U205" s="4"/>
    </row>
    <row r="206" spans="1:21" x14ac:dyDescent="0.25">
      <c r="A206" s="21" t="s">
        <v>4951</v>
      </c>
      <c r="B206" s="4" t="s">
        <v>5628</v>
      </c>
      <c r="C206" s="4" t="str">
        <f>IFERROR(INDEX('Projekt-Budget-Übersicht'!$C:$C,MATCH(4928,'Projekt-Budget-Übersicht'!$L:$L,0)),"")</f>
        <v/>
      </c>
      <c r="D206" s="4">
        <v>20</v>
      </c>
      <c r="E206" s="4">
        <v>10.25</v>
      </c>
      <c r="F206" s="5">
        <f>SUM(F40,I40,K40)</f>
        <v>1</v>
      </c>
      <c r="G206" s="16">
        <v>51.25</v>
      </c>
      <c r="H206" s="5">
        <f>SUM(H40)</f>
        <v>0</v>
      </c>
      <c r="I206" s="5">
        <f t="shared" ref="I206:I237" si="20">IF(H206=0,0,F206-H206)</f>
        <v>0</v>
      </c>
      <c r="J206" s="4" t="s">
        <v>5531</v>
      </c>
      <c r="K206" s="5">
        <f>SUM(K40)</f>
        <v>0</v>
      </c>
      <c r="L206" s="10">
        <f>IF($B$2="-",0,IFERROR(INDEX(IF($B$2="SV",'Projekt-Budget-Übersicht'!$H:$H,IF($B$2="CAD",'Projekt-Budget-Übersicht'!$I:$I,IF($B$2="ADM",'Projekt-Budget-Übersicht'!$J:$J,'Projekt-Budget-Übersicht'!$H:$H))),MATCH(4928,'Projekt-Budget-Übersicht'!$L:$L,0)),0))</f>
        <v>0</v>
      </c>
      <c r="M206" s="10">
        <f t="shared" ref="M206:M237" si="21">IF($B$2="-",0,IF(C206="Pauschale",IF(OR(Q206=0,N(D206)=0),0,MAX(0,MIN(Q206*((N(F206)+N(K206))/N(D206)),Q206-Q206*(N(E206)/N(D206))))),L206*(N(F206)+N(K206))))</f>
        <v>0</v>
      </c>
      <c r="N206" s="10">
        <f t="shared" ref="N206:N216" si="22">IF($B$2="-",0,IF(C206="Pauschale",IF(OR(Q206=0,N(D206)=0),0,Q206*((N(F206)+N(K206))/N(D206))),L206*(N(F206)+N(K206))))</f>
        <v>0</v>
      </c>
      <c r="O206" s="10">
        <f t="shared" ref="O206:O237" si="23">N206-M206</f>
        <v>0</v>
      </c>
      <c r="P206" s="10">
        <f>'O. Haag BS-CAD'!M206+'R. Wagen CAD'!M96</f>
        <v>0</v>
      </c>
      <c r="Q206" s="10">
        <f>IFERROR(INDEX('Projekt-Budget-Übersicht'!$E:$E,MATCH(4928,'Projekt-Budget-Übersicht'!$L:$L,0)),0)</f>
        <v>0</v>
      </c>
      <c r="R206" s="10">
        <v>512.5</v>
      </c>
      <c r="S206" s="4"/>
      <c r="T206" s="4"/>
      <c r="U206" s="4"/>
    </row>
    <row r="207" spans="1:21" x14ac:dyDescent="0.25">
      <c r="A207" s="22"/>
      <c r="B207" s="4" t="s">
        <v>5486</v>
      </c>
      <c r="C207" s="4" t="str">
        <f>IFERROR(INDEX('Projekt-Budget-Übersicht'!$C:$C,MATCH(4927,'Projekt-Budget-Übersicht'!$L:$L,0)),"")</f>
        <v/>
      </c>
      <c r="D207" s="4">
        <v>26</v>
      </c>
      <c r="E207" s="4">
        <v>15.5</v>
      </c>
      <c r="F207" s="5">
        <f>SUM(F41,F122,I41,I122,K41,K122)</f>
        <v>6</v>
      </c>
      <c r="G207" s="16">
        <v>59.62</v>
      </c>
      <c r="H207" s="5">
        <f>SUM(H41,H122)</f>
        <v>0</v>
      </c>
      <c r="I207" s="5">
        <f t="shared" si="20"/>
        <v>0</v>
      </c>
      <c r="J207" s="4" t="s">
        <v>5531</v>
      </c>
      <c r="K207" s="5">
        <f>SUM(K41,K122)</f>
        <v>0</v>
      </c>
      <c r="L207" s="10">
        <f>IF($B$2="-",0,IFERROR(INDEX(IF($B$2="SV",'Projekt-Budget-Übersicht'!$H:$H,IF($B$2="CAD",'Projekt-Budget-Übersicht'!$I:$I,IF($B$2="ADM",'Projekt-Budget-Übersicht'!$J:$J,'Projekt-Budget-Übersicht'!$H:$H))),MATCH(4927,'Projekt-Budget-Übersicht'!$L:$L,0)),0))</f>
        <v>0</v>
      </c>
      <c r="M207" s="10">
        <f t="shared" si="21"/>
        <v>0</v>
      </c>
      <c r="N207" s="10">
        <f t="shared" si="22"/>
        <v>0</v>
      </c>
      <c r="O207" s="10">
        <f t="shared" si="23"/>
        <v>0</v>
      </c>
      <c r="P207" s="10">
        <f>'E. Bieler'!M107+'O. Haag BS-CAD'!M207</f>
        <v>0</v>
      </c>
      <c r="Q207" s="10">
        <f>IFERROR(INDEX('Projekt-Budget-Übersicht'!$E:$E,MATCH(4927,'Projekt-Budget-Übersicht'!$L:$L,0)),0)</f>
        <v>0</v>
      </c>
      <c r="R207" s="10">
        <v>776.65</v>
      </c>
      <c r="S207" s="4"/>
      <c r="T207" s="4"/>
      <c r="U207" s="4"/>
    </row>
    <row r="208" spans="1:21" x14ac:dyDescent="0.25">
      <c r="A208" s="4" t="s">
        <v>5056</v>
      </c>
      <c r="B208" s="4" t="s">
        <v>5486</v>
      </c>
      <c r="C208" s="4" t="str">
        <f>IFERROR(INDEX('Projekt-Budget-Übersicht'!$C:$C,MATCH(5033,'Projekt-Budget-Übersicht'!$L:$L,0)),"")</f>
        <v/>
      </c>
      <c r="D208" s="4">
        <v>8</v>
      </c>
      <c r="E208" s="4">
        <v>11.25</v>
      </c>
      <c r="F208" s="5">
        <f>SUM(F123,I123,K123)</f>
        <v>2.5</v>
      </c>
      <c r="G208" s="15">
        <v>140.62</v>
      </c>
      <c r="H208" s="5">
        <f>SUM(H123)</f>
        <v>0</v>
      </c>
      <c r="I208" s="5">
        <f t="shared" si="20"/>
        <v>0</v>
      </c>
      <c r="J208" s="4" t="s">
        <v>5531</v>
      </c>
      <c r="K208" s="5">
        <f>SUM(K123)</f>
        <v>0</v>
      </c>
      <c r="L208" s="10">
        <f>IF($B$2="-",0,IFERROR(INDEX(IF($B$2="SV",'Projekt-Budget-Übersicht'!$H:$H,IF($B$2="CAD",'Projekt-Budget-Übersicht'!$I:$I,IF($B$2="ADM",'Projekt-Budget-Übersicht'!$J:$J,'Projekt-Budget-Übersicht'!$H:$H))),MATCH(5033,'Projekt-Budget-Übersicht'!$L:$L,0)),0))</f>
        <v>0</v>
      </c>
      <c r="M208" s="10">
        <f t="shared" si="21"/>
        <v>0</v>
      </c>
      <c r="N208" s="10">
        <f t="shared" si="22"/>
        <v>0</v>
      </c>
      <c r="O208" s="10">
        <f t="shared" si="23"/>
        <v>0</v>
      </c>
      <c r="P208" s="10">
        <f>'O. Haag BS-CAD'!M208+'R. Wagen CAD'!M100</f>
        <v>0</v>
      </c>
      <c r="Q208" s="10">
        <f>IFERROR(INDEX('Projekt-Budget-Übersicht'!$E:$E,MATCH(5033,'Projekt-Budget-Übersicht'!$L:$L,0)),0)</f>
        <v>0</v>
      </c>
      <c r="R208" s="10"/>
      <c r="S208" s="4"/>
      <c r="T208" s="4"/>
      <c r="U208" s="4"/>
    </row>
    <row r="209" spans="1:21" x14ac:dyDescent="0.25">
      <c r="A209" s="4" t="s">
        <v>5063</v>
      </c>
      <c r="B209" s="4" t="s">
        <v>5486</v>
      </c>
      <c r="C209" s="4" t="str">
        <f>IFERROR(INDEX('Projekt-Budget-Übersicht'!$C:$C,MATCH(5044,'Projekt-Budget-Übersicht'!$L:$L,0)),"")</f>
        <v/>
      </c>
      <c r="D209" s="4">
        <v>5</v>
      </c>
      <c r="E209" s="4">
        <v>4</v>
      </c>
      <c r="F209" s="5">
        <f>SUM(F80,I80,K80)</f>
        <v>4</v>
      </c>
      <c r="G209" s="16">
        <v>80</v>
      </c>
      <c r="H209" s="5">
        <f>SUM(H80)</f>
        <v>0</v>
      </c>
      <c r="I209" s="5">
        <f t="shared" si="20"/>
        <v>0</v>
      </c>
      <c r="J209" s="4" t="s">
        <v>5531</v>
      </c>
      <c r="K209" s="5">
        <f>SUM(K80)</f>
        <v>0</v>
      </c>
      <c r="L209" s="10">
        <f>IF($B$2="-",0,IFERROR(INDEX(IF($B$2="SV",'Projekt-Budget-Übersicht'!$H:$H,IF($B$2="CAD",'Projekt-Budget-Übersicht'!$I:$I,IF($B$2="ADM",'Projekt-Budget-Übersicht'!$J:$J,'Projekt-Budget-Übersicht'!$H:$H))),MATCH(5044,'Projekt-Budget-Übersicht'!$L:$L,0)),0))</f>
        <v>0</v>
      </c>
      <c r="M209" s="10">
        <f t="shared" si="21"/>
        <v>0</v>
      </c>
      <c r="N209" s="10">
        <f t="shared" si="22"/>
        <v>0</v>
      </c>
      <c r="O209" s="10">
        <f t="shared" si="23"/>
        <v>0</v>
      </c>
      <c r="P209" s="10">
        <f>'O. Haag BS-CAD'!M209</f>
        <v>0</v>
      </c>
      <c r="Q209" s="10">
        <f>IFERROR(INDEX('Projekt-Budget-Übersicht'!$E:$E,MATCH(5044,'Projekt-Budget-Übersicht'!$L:$L,0)),0)</f>
        <v>0</v>
      </c>
      <c r="R209" s="10">
        <v>235</v>
      </c>
      <c r="S209" s="4"/>
      <c r="T209" s="4"/>
      <c r="U209" s="4"/>
    </row>
    <row r="210" spans="1:21" x14ac:dyDescent="0.25">
      <c r="A210" s="4" t="s">
        <v>5064</v>
      </c>
      <c r="B210" s="4" t="s">
        <v>5486</v>
      </c>
      <c r="C210" s="4" t="str">
        <f>IFERROR(INDEX('Projekt-Budget-Übersicht'!$C:$C,MATCH(5045,'Projekt-Budget-Übersicht'!$L:$L,0)),"")</f>
        <v/>
      </c>
      <c r="D210" s="4">
        <v>5</v>
      </c>
      <c r="E210" s="4">
        <v>3.75</v>
      </c>
      <c r="F210" s="5">
        <f>SUM(F42,I42,K42)</f>
        <v>3.75</v>
      </c>
      <c r="G210" s="16">
        <v>75</v>
      </c>
      <c r="H210" s="5">
        <f>SUM(H42)</f>
        <v>0</v>
      </c>
      <c r="I210" s="5">
        <f t="shared" si="20"/>
        <v>0</v>
      </c>
      <c r="J210" s="4" t="s">
        <v>5531</v>
      </c>
      <c r="K210" s="5">
        <f>SUM(K42)</f>
        <v>0</v>
      </c>
      <c r="L210" s="10">
        <f>IF($B$2="-",0,IFERROR(INDEX(IF($B$2="SV",'Projekt-Budget-Übersicht'!$H:$H,IF($B$2="CAD",'Projekt-Budget-Übersicht'!$I:$I,IF($B$2="ADM",'Projekt-Budget-Übersicht'!$J:$J,'Projekt-Budget-Übersicht'!$H:$H))),MATCH(5045,'Projekt-Budget-Übersicht'!$L:$L,0)),0))</f>
        <v>0</v>
      </c>
      <c r="M210" s="10">
        <f t="shared" si="21"/>
        <v>0</v>
      </c>
      <c r="N210" s="10">
        <f t="shared" si="22"/>
        <v>0</v>
      </c>
      <c r="O210" s="10">
        <f t="shared" si="23"/>
        <v>0</v>
      </c>
      <c r="P210" s="10">
        <f>'O. Haag BS-CAD'!M210</f>
        <v>0</v>
      </c>
      <c r="Q210" s="10">
        <f>IFERROR(INDEX('Projekt-Budget-Übersicht'!$E:$E,MATCH(5045,'Projekt-Budget-Übersicht'!$L:$L,0)),0)</f>
        <v>0</v>
      </c>
      <c r="R210" s="10">
        <v>222.5</v>
      </c>
      <c r="S210" s="4"/>
      <c r="T210" s="4"/>
      <c r="U210" s="4"/>
    </row>
    <row r="211" spans="1:21" x14ac:dyDescent="0.25">
      <c r="A211" s="4" t="s">
        <v>5142</v>
      </c>
      <c r="B211" s="4" t="s">
        <v>5486</v>
      </c>
      <c r="C211" s="4" t="str">
        <f>IFERROR(INDEX('Projekt-Budget-Übersicht'!$C:$C,MATCH(5106,'Projekt-Budget-Übersicht'!$L:$L,0)),"")</f>
        <v/>
      </c>
      <c r="D211" s="4">
        <v>8</v>
      </c>
      <c r="E211" s="4">
        <v>7</v>
      </c>
      <c r="F211" s="5">
        <f>SUM(F124,I124,K124)</f>
        <v>7</v>
      </c>
      <c r="G211" s="16">
        <v>87.5</v>
      </c>
      <c r="H211" s="5">
        <f>SUM(H124)</f>
        <v>0</v>
      </c>
      <c r="I211" s="5">
        <f t="shared" si="20"/>
        <v>0</v>
      </c>
      <c r="J211" s="4" t="s">
        <v>5531</v>
      </c>
      <c r="K211" s="5">
        <f>SUM(K124)</f>
        <v>0</v>
      </c>
      <c r="L211" s="10">
        <f>IF($B$2="-",0,IFERROR(INDEX(IF($B$2="SV",'Projekt-Budget-Übersicht'!$H:$H,IF($B$2="CAD",'Projekt-Budget-Übersicht'!$I:$I,IF($B$2="ADM",'Projekt-Budget-Übersicht'!$J:$J,'Projekt-Budget-Übersicht'!$H:$H))),MATCH(5106,'Projekt-Budget-Übersicht'!$L:$L,0)),0))</f>
        <v>0</v>
      </c>
      <c r="M211" s="10">
        <f t="shared" si="21"/>
        <v>0</v>
      </c>
      <c r="N211" s="10">
        <f t="shared" si="22"/>
        <v>0</v>
      </c>
      <c r="O211" s="10">
        <f t="shared" si="23"/>
        <v>0</v>
      </c>
      <c r="P211" s="10">
        <f>'O. Haag BS-CAD'!M211</f>
        <v>0</v>
      </c>
      <c r="Q211" s="10">
        <f>IFERROR(INDEX('Projekt-Budget-Übersicht'!$E:$E,MATCH(5106,'Projekt-Budget-Übersicht'!$L:$L,0)),0)</f>
        <v>0</v>
      </c>
      <c r="R211" s="10">
        <v>385</v>
      </c>
      <c r="S211" s="4"/>
      <c r="T211" s="4"/>
      <c r="U211" s="4"/>
    </row>
    <row r="212" spans="1:21" x14ac:dyDescent="0.25">
      <c r="A212" s="4" t="s">
        <v>5143</v>
      </c>
      <c r="B212" s="4" t="s">
        <v>5486</v>
      </c>
      <c r="C212" s="4" t="str">
        <f>IFERROR(INDEX('Projekt-Budget-Übersicht'!$C:$C,MATCH(5107,'Projekt-Budget-Übersicht'!$L:$L,0)),"")</f>
        <v/>
      </c>
      <c r="D212" s="4">
        <v>8</v>
      </c>
      <c r="E212" s="4">
        <v>6.25</v>
      </c>
      <c r="F212" s="5">
        <f>SUM(F125,I125,K125)</f>
        <v>6</v>
      </c>
      <c r="G212" s="16">
        <v>78.12</v>
      </c>
      <c r="H212" s="5">
        <f>SUM(H125)</f>
        <v>0</v>
      </c>
      <c r="I212" s="5">
        <f t="shared" si="20"/>
        <v>0</v>
      </c>
      <c r="J212" s="4" t="s">
        <v>5531</v>
      </c>
      <c r="K212" s="5">
        <f>SUM(K125)</f>
        <v>0</v>
      </c>
      <c r="L212" s="10">
        <f>IF($B$2="-",0,IFERROR(INDEX(IF($B$2="SV",'Projekt-Budget-Übersicht'!$H:$H,IF($B$2="CAD",'Projekt-Budget-Übersicht'!$I:$I,IF($B$2="ADM",'Projekt-Budget-Übersicht'!$J:$J,'Projekt-Budget-Übersicht'!$H:$H))),MATCH(5107,'Projekt-Budget-Übersicht'!$L:$L,0)),0))</f>
        <v>0</v>
      </c>
      <c r="M212" s="10">
        <f t="shared" si="21"/>
        <v>0</v>
      </c>
      <c r="N212" s="10">
        <f t="shared" si="22"/>
        <v>0</v>
      </c>
      <c r="O212" s="10">
        <f t="shared" si="23"/>
        <v>0</v>
      </c>
      <c r="P212" s="10">
        <f>'O. Haag BS-CAD'!M212</f>
        <v>0</v>
      </c>
      <c r="Q212" s="10">
        <f>IFERROR(INDEX('Projekt-Budget-Übersicht'!$E:$E,MATCH(5107,'Projekt-Budget-Übersicht'!$L:$L,0)),0)</f>
        <v>0</v>
      </c>
      <c r="R212" s="10">
        <v>347.5</v>
      </c>
      <c r="S212" s="4"/>
      <c r="T212" s="4"/>
      <c r="U212" s="4"/>
    </row>
    <row r="213" spans="1:21" x14ac:dyDescent="0.25">
      <c r="A213" s="4" t="s">
        <v>5161</v>
      </c>
      <c r="B213" s="4" t="s">
        <v>5486</v>
      </c>
      <c r="C213" s="4" t="str">
        <f>IFERROR(INDEX('Projekt-Budget-Übersicht'!$C:$C,MATCH(5123,'Projekt-Budget-Übersicht'!$L:$L,0)),"")</f>
        <v/>
      </c>
      <c r="D213" s="4">
        <v>5</v>
      </c>
      <c r="E213" s="4">
        <v>4</v>
      </c>
      <c r="F213" s="5">
        <f>SUM(F126,I126,K126)</f>
        <v>4</v>
      </c>
      <c r="G213" s="16">
        <v>80</v>
      </c>
      <c r="H213" s="5">
        <f>SUM(H126)</f>
        <v>0</v>
      </c>
      <c r="I213" s="5">
        <f t="shared" si="20"/>
        <v>0</v>
      </c>
      <c r="J213" s="4" t="s">
        <v>5531</v>
      </c>
      <c r="K213" s="5">
        <f>SUM(K126)</f>
        <v>0</v>
      </c>
      <c r="L213" s="10">
        <f>IF($B$2="-",0,IFERROR(INDEX(IF($B$2="SV",'Projekt-Budget-Übersicht'!$H:$H,IF($B$2="CAD",'Projekt-Budget-Übersicht'!$I:$I,IF($B$2="ADM",'Projekt-Budget-Übersicht'!$J:$J,'Projekt-Budget-Übersicht'!$H:$H))),MATCH(5123,'Projekt-Budget-Übersicht'!$L:$L,0)),0))</f>
        <v>0</v>
      </c>
      <c r="M213" s="10">
        <f t="shared" si="21"/>
        <v>0</v>
      </c>
      <c r="N213" s="10">
        <f t="shared" si="22"/>
        <v>0</v>
      </c>
      <c r="O213" s="10">
        <f t="shared" si="23"/>
        <v>0</v>
      </c>
      <c r="P213" s="10">
        <f>'O. Haag BS-CAD'!M213</f>
        <v>0</v>
      </c>
      <c r="Q213" s="10">
        <f>IFERROR(INDEX('Projekt-Budget-Übersicht'!$E:$E,MATCH(5123,'Projekt-Budget-Übersicht'!$L:$L,0)),0)</f>
        <v>0</v>
      </c>
      <c r="R213" s="10">
        <v>217.5</v>
      </c>
      <c r="S213" s="4"/>
      <c r="T213" s="4"/>
      <c r="U213" s="4"/>
    </row>
    <row r="214" spans="1:21" x14ac:dyDescent="0.25">
      <c r="A214" s="4" t="s">
        <v>5171</v>
      </c>
      <c r="B214" s="4" t="s">
        <v>5486</v>
      </c>
      <c r="C214" s="4" t="str">
        <f>IFERROR(INDEX('Projekt-Budget-Übersicht'!$C:$C,MATCH(5129,'Projekt-Budget-Übersicht'!$L:$L,0)),"")</f>
        <v/>
      </c>
      <c r="D214" s="4">
        <v>35</v>
      </c>
      <c r="E214" s="4">
        <v>26</v>
      </c>
      <c r="F214" s="5">
        <f>SUM(F81,I81,K81)</f>
        <v>7.5</v>
      </c>
      <c r="G214" s="16">
        <v>74.290000000000006</v>
      </c>
      <c r="H214" s="5">
        <f>SUM(H81)</f>
        <v>0</v>
      </c>
      <c r="I214" s="5">
        <f t="shared" si="20"/>
        <v>0</v>
      </c>
      <c r="J214" s="4" t="s">
        <v>5531</v>
      </c>
      <c r="K214" s="5">
        <f>SUM(K81)</f>
        <v>0</v>
      </c>
      <c r="L214" s="10">
        <f>IF($B$2="-",0,IFERROR(INDEX(IF($B$2="SV",'Projekt-Budget-Übersicht'!$H:$H,IF($B$2="CAD",'Projekt-Budget-Übersicht'!$I:$I,IF($B$2="ADM",'Projekt-Budget-Übersicht'!$J:$J,'Projekt-Budget-Übersicht'!$H:$H))),MATCH(5129,'Projekt-Budget-Übersicht'!$L:$L,0)),0))</f>
        <v>0</v>
      </c>
      <c r="M214" s="10">
        <f t="shared" si="21"/>
        <v>0</v>
      </c>
      <c r="N214" s="10">
        <f t="shared" si="22"/>
        <v>0</v>
      </c>
      <c r="O214" s="10">
        <f t="shared" si="23"/>
        <v>0</v>
      </c>
      <c r="P214" s="10">
        <f>'M. Warner'!M51+'O. Haag BS-CAD'!M214</f>
        <v>0</v>
      </c>
      <c r="Q214" s="10">
        <f>IFERROR(INDEX('Projekt-Budget-Übersicht'!$E:$E,MATCH(5129,'Projekt-Budget-Übersicht'!$L:$L,0)),0)</f>
        <v>0</v>
      </c>
      <c r="R214" s="10">
        <v>375</v>
      </c>
      <c r="S214" s="4"/>
      <c r="T214" s="4"/>
      <c r="U214" s="4"/>
    </row>
    <row r="215" spans="1:21" x14ac:dyDescent="0.25">
      <c r="A215" s="4" t="s">
        <v>5186</v>
      </c>
      <c r="B215" s="4" t="s">
        <v>5635</v>
      </c>
      <c r="C215" s="4" t="str">
        <f>IFERROR(INDEX('Projekt-Budget-Übersicht'!$C:$C,MATCH(5139,'Projekt-Budget-Übersicht'!$L:$L,0)),"")</f>
        <v/>
      </c>
      <c r="D215" s="4">
        <v>8</v>
      </c>
      <c r="E215" s="4">
        <v>6.25</v>
      </c>
      <c r="F215" s="5">
        <f>SUM(F82,I82,K82)</f>
        <v>0.5</v>
      </c>
      <c r="G215" s="16">
        <v>78.12</v>
      </c>
      <c r="H215" s="5">
        <f>SUM(H82)</f>
        <v>0</v>
      </c>
      <c r="I215" s="5">
        <f t="shared" si="20"/>
        <v>0</v>
      </c>
      <c r="J215" s="4" t="s">
        <v>5531</v>
      </c>
      <c r="K215" s="5">
        <f>SUM(K82)</f>
        <v>0</v>
      </c>
      <c r="L215" s="10">
        <f>IF($B$2="-",0,IFERROR(INDEX(IF($B$2="SV",'Projekt-Budget-Übersicht'!$H:$H,IF($B$2="CAD",'Projekt-Budget-Übersicht'!$I:$I,IF($B$2="ADM",'Projekt-Budget-Übersicht'!$J:$J,'Projekt-Budget-Übersicht'!$H:$H))),MATCH(5139,'Projekt-Budget-Übersicht'!$L:$L,0)),0))</f>
        <v>0</v>
      </c>
      <c r="M215" s="10">
        <f t="shared" si="21"/>
        <v>0</v>
      </c>
      <c r="N215" s="10">
        <f t="shared" si="22"/>
        <v>0</v>
      </c>
      <c r="O215" s="10">
        <f t="shared" si="23"/>
        <v>0</v>
      </c>
      <c r="P215" s="10">
        <f>'O. Haag BS-CAD'!M215</f>
        <v>0</v>
      </c>
      <c r="Q215" s="10">
        <f>IFERROR(INDEX('Projekt-Budget-Übersicht'!$E:$E,MATCH(5139,'Projekt-Budget-Übersicht'!$L:$L,0)),0)</f>
        <v>0</v>
      </c>
      <c r="R215" s="10">
        <v>312.5</v>
      </c>
      <c r="S215" s="4"/>
      <c r="T215" s="4"/>
      <c r="U215" s="4"/>
    </row>
    <row r="216" spans="1:21" x14ac:dyDescent="0.25">
      <c r="A216" s="4" t="s">
        <v>5215</v>
      </c>
      <c r="B216" s="4" t="s">
        <v>5486</v>
      </c>
      <c r="C216" s="4" t="str">
        <f>IFERROR(INDEX('Projekt-Budget-Übersicht'!$C:$C,MATCH(5170,'Projekt-Budget-Übersicht'!$L:$L,0)),"")</f>
        <v/>
      </c>
      <c r="D216" s="4">
        <v>58</v>
      </c>
      <c r="E216" s="4">
        <v>27.25</v>
      </c>
      <c r="F216" s="5">
        <f>SUM(F83,I83,K83)</f>
        <v>8.5</v>
      </c>
      <c r="G216" s="16">
        <v>46.98</v>
      </c>
      <c r="H216" s="5">
        <f>SUM(H83)</f>
        <v>0</v>
      </c>
      <c r="I216" s="5">
        <f t="shared" si="20"/>
        <v>0</v>
      </c>
      <c r="J216" s="4" t="s">
        <v>5531</v>
      </c>
      <c r="K216" s="5">
        <f>SUM(K83)</f>
        <v>0</v>
      </c>
      <c r="L216" s="10">
        <f>IF($B$2="-",0,IFERROR(INDEX(IF($B$2="SV",'Projekt-Budget-Übersicht'!$H:$H,IF($B$2="CAD",'Projekt-Budget-Übersicht'!$I:$I,IF($B$2="ADM",'Projekt-Budget-Übersicht'!$J:$J,'Projekt-Budget-Übersicht'!$H:$H))),MATCH(5170,'Projekt-Budget-Übersicht'!$L:$L,0)),0))</f>
        <v>0</v>
      </c>
      <c r="M216" s="10">
        <f t="shared" si="21"/>
        <v>0</v>
      </c>
      <c r="N216" s="10">
        <f t="shared" si="22"/>
        <v>0</v>
      </c>
      <c r="O216" s="10">
        <f t="shared" si="23"/>
        <v>0</v>
      </c>
      <c r="P216" s="10">
        <f>'M. Warner'!M52+'O. Haag BS-CAD'!M216</f>
        <v>0</v>
      </c>
      <c r="Q216" s="10">
        <f>IFERROR(INDEX('Projekt-Budget-Übersicht'!$E:$E,MATCH(5170,'Projekt-Budget-Übersicht'!$L:$L,0)),0)</f>
        <v>0</v>
      </c>
      <c r="R216" s="10"/>
      <c r="S216" s="4"/>
      <c r="T216" s="4"/>
      <c r="U216" s="4"/>
    </row>
    <row r="218" spans="1:21" x14ac:dyDescent="0.25">
      <c r="A218" s="3"/>
      <c r="B218" s="3" t="s">
        <v>5492</v>
      </c>
      <c r="C218" s="3"/>
      <c r="D218" s="3"/>
      <c r="E218" s="3"/>
      <c r="F218" s="6">
        <f>SUM(F43,F84,F127)</f>
        <v>342.75</v>
      </c>
      <c r="G218" s="3"/>
      <c r="H218" s="3"/>
      <c r="I218" s="3"/>
      <c r="J218" s="3"/>
      <c r="K218" s="3"/>
      <c r="L218" s="3"/>
      <c r="M218" s="17">
        <f>SUM(M142:M216)</f>
        <v>0</v>
      </c>
      <c r="N218" s="17">
        <f>SUM(N142:N216)</f>
        <v>0</v>
      </c>
      <c r="O218" s="17">
        <f>SUM(O142:O216)</f>
        <v>0</v>
      </c>
      <c r="P218" s="17">
        <f>SUM(P142:P216)</f>
        <v>0</v>
      </c>
      <c r="Q218" s="3"/>
      <c r="R218" s="3"/>
      <c r="S218" s="3"/>
      <c r="T218" s="3"/>
      <c r="U218" s="3"/>
    </row>
    <row r="219" spans="1:21" x14ac:dyDescent="0.25">
      <c r="A219" s="3"/>
      <c r="B219" s="3" t="s">
        <v>4</v>
      </c>
      <c r="C219" s="3"/>
      <c r="D219" s="3"/>
      <c r="E219" s="3"/>
      <c r="F219" s="6">
        <f>G219+H219</f>
        <v>279.75</v>
      </c>
      <c r="G219" s="6">
        <f>SUM(G44,G85,G128)</f>
        <v>279.75</v>
      </c>
      <c r="H219" s="6">
        <v>0</v>
      </c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1:21" x14ac:dyDescent="0.25">
      <c r="A220" s="3"/>
      <c r="B220" s="3" t="s">
        <v>5</v>
      </c>
      <c r="C220" s="3"/>
      <c r="D220" s="3"/>
      <c r="E220" s="3"/>
      <c r="F220" s="6">
        <f>G220+H220</f>
        <v>21.75</v>
      </c>
      <c r="G220" s="6">
        <f>SUM(G45,G86,G129)</f>
        <v>21.75</v>
      </c>
      <c r="H220" s="6">
        <v>0</v>
      </c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1:21" x14ac:dyDescent="0.25">
      <c r="A221" s="3"/>
      <c r="B221" s="3" t="s">
        <v>5493</v>
      </c>
      <c r="C221" s="3"/>
      <c r="D221" s="3"/>
      <c r="E221" s="3"/>
      <c r="F221" s="6">
        <f>SUM(F46,F87,F130)</f>
        <v>0</v>
      </c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1:21" x14ac:dyDescent="0.25">
      <c r="A222" s="18"/>
      <c r="B222" s="18" t="s">
        <v>5494</v>
      </c>
      <c r="C222" s="18"/>
      <c r="D222" s="18"/>
      <c r="E222" s="18"/>
      <c r="F222" s="19">
        <f>F219+F220+F221</f>
        <v>301.5</v>
      </c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</row>
    <row r="224" spans="1:21" ht="15.75" x14ac:dyDescent="0.25">
      <c r="A224" s="2" t="s">
        <v>5532</v>
      </c>
    </row>
    <row r="225" spans="1:21" x14ac:dyDescent="0.25">
      <c r="A225" s="13" t="s">
        <v>10</v>
      </c>
      <c r="B225" s="13">
        <v>342.75</v>
      </c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</row>
    <row r="226" spans="1:21" x14ac:dyDescent="0.25">
      <c r="A226" s="13" t="s">
        <v>11</v>
      </c>
      <c r="B226" s="20">
        <f>SUM(F44,F85,F128)</f>
        <v>279.75</v>
      </c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</row>
    <row r="227" spans="1:21" x14ac:dyDescent="0.25">
      <c r="A227" s="13" t="s">
        <v>12</v>
      </c>
      <c r="B227" s="20">
        <f>SUM(F45,F86,F129)</f>
        <v>21.75</v>
      </c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</row>
  </sheetData>
  <mergeCells count="17">
    <mergeCell ref="A51:A52"/>
    <mergeCell ref="A92:A94"/>
    <mergeCell ref="A29:A30"/>
    <mergeCell ref="A200:A201"/>
    <mergeCell ref="A23:A24"/>
    <mergeCell ref="A196:A197"/>
    <mergeCell ref="A142:A144"/>
    <mergeCell ref="A181:A182"/>
    <mergeCell ref="A40:A41"/>
    <mergeCell ref="A177:A178"/>
    <mergeCell ref="A56:A58"/>
    <mergeCell ref="A114:A115"/>
    <mergeCell ref="A151:A153"/>
    <mergeCell ref="A173:A174"/>
    <mergeCell ref="A104:A105"/>
    <mergeCell ref="A112:A113"/>
    <mergeCell ref="A206:A207"/>
  </mergeCells>
  <conditionalFormatting sqref="I6:I42">
    <cfRule type="cellIs" dxfId="30" priority="1" stopIfTrue="1" operator="lessThan">
      <formula>0</formula>
    </cfRule>
  </conditionalFormatting>
  <conditionalFormatting sqref="I51:I83">
    <cfRule type="cellIs" dxfId="29" priority="38" stopIfTrue="1" operator="lessThan">
      <formula>0</formula>
    </cfRule>
  </conditionalFormatting>
  <conditionalFormatting sqref="I92:I126">
    <cfRule type="cellIs" dxfId="28" priority="71" stopIfTrue="1" operator="lessThan">
      <formula>0</formula>
    </cfRule>
  </conditionalFormatting>
  <conditionalFormatting sqref="I142:I216">
    <cfRule type="cellIs" dxfId="27" priority="106" stopIfTrue="1" operator="lessThan">
      <formula>0</formula>
    </cfRule>
  </conditionalFormatting>
  <dataValidations count="18">
    <dataValidation type="list" sqref="B2" xr:uid="{00000000-0002-0000-0D00-000000000000}">
      <formula1>"SV,CAD,ADM,Pauschale,-"</formula1>
    </dataValidation>
    <dataValidation type="list" allowBlank="1" sqref="J6" xr:uid="{00000000-0002-0000-0D00-000001000000}">
      <formula1>"A. Kokott,D. Brucker,E. Bieler,J. Dorchies,S. Schüler,T. Trautmann,U. Sutter ADM"</formula1>
    </dataValidation>
    <dataValidation type="list" allowBlank="1" sqref="T92:T126 T51:T83 T6:T42" xr:uid="{00000000-0002-0000-0D00-000002000000}">
      <formula1>"SR,AZ"</formula1>
    </dataValidation>
    <dataValidation type="list" allowBlank="1" sqref="J11 J57:J58 J18" xr:uid="{00000000-0002-0000-0D00-000007000000}">
      <formula1>"S. Schüler"</formula1>
    </dataValidation>
    <dataValidation type="list" allowBlank="1" sqref="J16" xr:uid="{00000000-0002-0000-0D00-00000D000000}">
      <formula1>"T. Trautmann"</formula1>
    </dataValidation>
    <dataValidation type="list" allowBlank="1" sqref="J26 J110" xr:uid="{00000000-0002-0000-0D00-000019000000}">
      <formula1>"P. Bergner"</formula1>
    </dataValidation>
    <dataValidation type="list" allowBlank="1" sqref="J30 J72 J67 J64 J56 J40" xr:uid="{00000000-0002-0000-0D00-00001E000000}">
      <formula1>"R. Wagen CAD"</formula1>
    </dataValidation>
    <dataValidation type="list" allowBlank="1" sqref="J41" xr:uid="{00000000-0002-0000-0D00-00002B000000}">
      <formula1>"E. Bieler"</formula1>
    </dataValidation>
    <dataValidation type="list" allowBlank="1" sqref="J51" xr:uid="{00000000-0002-0000-0D00-00002E000000}">
      <formula1>"A. Kokott,J. Dorn,P. Bergner,R. Böttiger,T. Trautmann,U. Sutter ADM"</formula1>
    </dataValidation>
    <dataValidation type="list" allowBlank="1" sqref="J52" xr:uid="{00000000-0002-0000-0D00-000030000000}">
      <formula1>"A. Kokott,M. Bandlofsky,P. Bergner,R. Wagen CAD,T. Trautmann,U. Sutter ADM"</formula1>
    </dataValidation>
    <dataValidation type="list" allowBlank="1" sqref="J71 J114" xr:uid="{00000000-0002-0000-0D00-000049000000}">
      <formula1>"J. Dorn"</formula1>
    </dataValidation>
    <dataValidation type="list" allowBlank="1" sqref="J81 J83" xr:uid="{00000000-0002-0000-0D00-000055000000}">
      <formula1>"M. Warner"</formula1>
    </dataValidation>
    <dataValidation type="list" allowBlank="1" sqref="J92" xr:uid="{00000000-0002-0000-0D00-00005A000000}">
      <formula1>"A. Kokott,C. Trapp SV,D. Brucker,J. Dorn,S. Schüler,U. Sutter ADM"</formula1>
    </dataValidation>
    <dataValidation type="list" allowBlank="1" sqref="J93" xr:uid="{00000000-0002-0000-0D00-00005C000000}">
      <formula1>"A. Kokott,C. Trapp SV,J. Dorn,M. Bandlofsky,R. Wagen CAD,T. Trautmann,U. Sutter ADM"</formula1>
    </dataValidation>
    <dataValidation type="list" allowBlank="1" sqref="J94" xr:uid="{00000000-0002-0000-0D00-00005E000000}">
      <formula1>"C. Trapp SV,J. Dorn,P. Bergner,T. Trautmann"</formula1>
    </dataValidation>
    <dataValidation type="list" allowBlank="1" sqref="J100" xr:uid="{00000000-0002-0000-0D00-000065000000}">
      <formula1>"M. Bandlofsky CAD"</formula1>
    </dataValidation>
    <dataValidation type="list" allowBlank="1" sqref="J106" xr:uid="{00000000-0002-0000-0D00-00006C000000}">
      <formula1>"A. Kokott,J. Dorn,M. Bandlofsky,T. Trautmann"</formula1>
    </dataValidation>
    <dataValidation type="list" allowBlank="1" sqref="J109" xr:uid="{00000000-0002-0000-0D00-000070000000}">
      <formula1>"A. Kokott,J. Dorn"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5"/>
  <dimension ref="A1:U112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5637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1302</v>
      </c>
      <c r="B6" s="4" t="s">
        <v>5563</v>
      </c>
      <c r="C6" s="4" t="str">
        <f>IFERROR(INDEX('Projekt-Budget-Übersicht'!$C:$C,MATCH(1412,'Projekt-Budget-Übersicht'!$L:$L,0)),"")</f>
        <v/>
      </c>
      <c r="D6" s="4">
        <v>295.5</v>
      </c>
      <c r="E6" s="4">
        <v>108.25</v>
      </c>
      <c r="F6" s="4">
        <v>8</v>
      </c>
      <c r="G6" s="16">
        <v>36.630000000000003</v>
      </c>
      <c r="H6" s="5"/>
      <c r="I6" s="5">
        <f t="shared" ref="I6:I12" si="0">IF(H6=0,0,F6-H6)</f>
        <v>0</v>
      </c>
      <c r="J6" s="4"/>
      <c r="K6" s="5">
        <f>IF('E. Bieler'!J10="P. Bergner",'E. Bieler'!I10,0)+IF('J. Dorn'!J9="P. Bergner",'J. Dorn'!I9,0)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IF($B$2="-",0,IFERROR(INDEX(IF($B$2="SV",'Projekt-Budget-Übersicht'!$I:$I,IF($B$2="CAD",'Projekt-Budget-Übersicht'!$J:$J,IF($B$2="ADM",'Projekt-Budget-Übersicht'!$K:$K,'Projekt-Budget-Übersicht'!$I:$I))),MATCH(1412,'Projekt-Budget-Übersicht'!$M:$M,0)),0))</f>
        <v>77.834179357021995</v>
      </c>
      <c r="M6" s="10">
        <f t="shared" ref="M6:M12" si="1">IF($B$2="-",0,IF(C6="Pauschale",IF(OR(R6=0,N(D6)=0),0,MAX(0,MIN(R6*((N(F6)+N(K6))/N(D6)),R6-R6*(N(E6)/N(D6))))),L6*(N(F6)+N(K6))))</f>
        <v>622.67343485617596</v>
      </c>
      <c r="N6" s="10">
        <f t="shared" ref="N6:N12" si="2">IF($B$2="-",0,IF(C6="Pauschale",IF(OR(R6=0,N(D6)=0),0,R6*((N(F6)+N(K6))/N(D6))),L6*(N(F6)+N(K6))))</f>
        <v>622.67343485617596</v>
      </c>
      <c r="O6" s="10">
        <f t="shared" ref="O6:O12" si="3">N6-M6</f>
        <v>0</v>
      </c>
      <c r="P6" s="10">
        <f>'E. Bieler'!M10+'J. Dorn'!M9+'P. Bergner'!M6</f>
        <v>2529.6108291032147</v>
      </c>
      <c r="Q6" s="10">
        <v>76</v>
      </c>
      <c r="R6" s="10">
        <f>IFERROR(INDEX('Projekt-Budget-Übersicht'!$F:$F,MATCH(1412,'Projekt-Budget-Übersicht'!$L:$L,0)),0)</f>
        <v>0</v>
      </c>
      <c r="S6" s="10">
        <v>9580.17</v>
      </c>
      <c r="T6" s="4"/>
      <c r="U6" s="4"/>
    </row>
    <row r="7" spans="1:21" x14ac:dyDescent="0.25">
      <c r="A7" s="4" t="s">
        <v>2834</v>
      </c>
      <c r="B7" s="4" t="s">
        <v>5459</v>
      </c>
      <c r="C7" s="4" t="str">
        <f>IFERROR(INDEX('Projekt-Budget-Übersicht'!$C:$C,MATCH(3122,'Projekt-Budget-Übersicht'!$L:$L,0)),"")</f>
        <v/>
      </c>
      <c r="D7" s="4">
        <v>6</v>
      </c>
      <c r="E7" s="4">
        <v>33.75</v>
      </c>
      <c r="F7" s="4">
        <v>3.5</v>
      </c>
      <c r="G7" s="15">
        <v>562.5</v>
      </c>
      <c r="H7" s="5"/>
      <c r="I7" s="5">
        <f t="shared" si="0"/>
        <v>0</v>
      </c>
      <c r="J7" s="4"/>
      <c r="K7" s="5">
        <f>IF('A. Kokott'!J14="P. Bergner",'A. Kokott'!I14,0)+IF('E. Bieler'!J20="P. Bergner",'E. Bieler'!I20,0)+IF('J. Dorchies'!J9="P. Bergner",'J. Dorchies'!I9,0)+IF('J. Dorn'!J23="P. Bergner",'J. Dorn'!I23,0)+IF('R. Böttiger'!J13="P. Bergner",'R. Böttiger'!I13,0)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7" s="10">
        <f t="shared" si="1"/>
        <v>204.16666666666669</v>
      </c>
      <c r="N7" s="10">
        <f t="shared" si="2"/>
        <v>204.16666666666669</v>
      </c>
      <c r="O7" s="10">
        <f t="shared" si="3"/>
        <v>0</v>
      </c>
      <c r="P7" s="10">
        <f>'A. Kokott'!M14+'E. Bieler'!M20+'J. Dorchies'!M9+'J. Dorn'!M23+'P. Bergner'!M7+'R. Böttiger'!M13</f>
        <v>1195.8333333333335</v>
      </c>
      <c r="Q7" s="10">
        <v>18</v>
      </c>
      <c r="R7" s="10">
        <f>IFERROR(INDEX('Projekt-Budget-Übersicht'!$F:$F,MATCH(3122,'Projekt-Budget-Übersicht'!$L:$L,0)),0)</f>
        <v>0</v>
      </c>
      <c r="S7" s="10">
        <v>2985.82</v>
      </c>
      <c r="T7" s="4"/>
      <c r="U7" s="4"/>
    </row>
    <row r="8" spans="1:21" x14ac:dyDescent="0.25">
      <c r="A8" s="4" t="s">
        <v>2913</v>
      </c>
      <c r="B8" s="4" t="s">
        <v>5544</v>
      </c>
      <c r="C8" s="4" t="str">
        <f>IFERROR(INDEX('Projekt-Budget-Übersicht'!$C:$C,MATCH(3188,'Projekt-Budget-Übersicht'!$L:$L,0)),"")</f>
        <v/>
      </c>
      <c r="D8" s="4">
        <v>3640</v>
      </c>
      <c r="E8" s="4">
        <v>175.5</v>
      </c>
      <c r="F8" s="4">
        <v>15</v>
      </c>
      <c r="G8" s="16">
        <v>4.82</v>
      </c>
      <c r="H8" s="5"/>
      <c r="I8" s="5">
        <f t="shared" si="0"/>
        <v>0</v>
      </c>
      <c r="J8" s="4"/>
      <c r="K8" s="5">
        <f>IF('C. Trapp SV'!J19="P. Bergner",'C. Trapp SV'!I19,0)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'C. Trapp SV'!M19+'P. Bergner'!M8</f>
        <v>0</v>
      </c>
      <c r="Q8" s="10">
        <v>8840</v>
      </c>
      <c r="R8" s="10">
        <f>IFERROR(INDEX('Projekt-Budget-Übersicht'!$F:$F,MATCH(3188,'Projekt-Budget-Übersicht'!$L:$L,0)),0)</f>
        <v>0</v>
      </c>
      <c r="S8" s="10">
        <v>12198.75</v>
      </c>
      <c r="T8" s="4"/>
      <c r="U8" s="4"/>
    </row>
    <row r="9" spans="1:21" x14ac:dyDescent="0.25">
      <c r="A9" s="4" t="s">
        <v>2917</v>
      </c>
      <c r="B9" s="4" t="s">
        <v>5504</v>
      </c>
      <c r="C9" s="4" t="str">
        <f>IFERROR(INDEX('Projekt-Budget-Übersicht'!$C:$C,MATCH(3189,'Projekt-Budget-Übersicht'!$L:$L,0)),"")</f>
        <v/>
      </c>
      <c r="D9" s="4">
        <v>1560</v>
      </c>
      <c r="E9" s="4">
        <v>452.75</v>
      </c>
      <c r="F9" s="4">
        <v>42</v>
      </c>
      <c r="G9" s="16">
        <v>29.02</v>
      </c>
      <c r="H9" s="5"/>
      <c r="I9" s="5">
        <f t="shared" si="0"/>
        <v>0</v>
      </c>
      <c r="J9" s="4"/>
      <c r="K9" s="5">
        <f>IF('O. Haag BS-CAD'!J26="P. Bergner",'O. Haag BS-CAD'!I26,0)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'O. Haag BS-CAD'!M26+'P. Bergner'!M9</f>
        <v>0</v>
      </c>
      <c r="Q9" s="10">
        <v>1560</v>
      </c>
      <c r="R9" s="10">
        <f>IFERROR(INDEX('Projekt-Budget-Übersicht'!$F:$F,MATCH(3189,'Projekt-Budget-Übersicht'!$L:$L,0)),0)</f>
        <v>0</v>
      </c>
      <c r="S9" s="10">
        <v>55003.040000000001</v>
      </c>
      <c r="T9" s="4"/>
      <c r="U9" s="4"/>
    </row>
    <row r="10" spans="1:21" x14ac:dyDescent="0.25">
      <c r="A10" s="4" t="s">
        <v>4006</v>
      </c>
      <c r="B10" s="4" t="s">
        <v>5638</v>
      </c>
      <c r="C10" s="4" t="str">
        <f>IFERROR(INDEX('Projekt-Budget-Übersicht'!$C:$C,MATCH(4135,'Projekt-Budget-Übersicht'!$L:$L,0)),"")</f>
        <v/>
      </c>
      <c r="D10" s="4">
        <v>25</v>
      </c>
      <c r="E10" s="4">
        <v>5.5</v>
      </c>
      <c r="F10" s="4">
        <v>2</v>
      </c>
      <c r="G10" s="16">
        <v>22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IF($B$2="-",0,IFERROR(INDEX(IF($B$2="SV",'Projekt-Budget-Übersicht'!$I:$I,IF($B$2="CAD",'Projekt-Budget-Übersicht'!$J:$J,IF($B$2="ADM",'Projekt-Budget-Übersicht'!$K:$K,'Projekt-Budget-Übersicht'!$I:$I))),MATCH(4135,'Projekt-Budget-Übersicht'!$M:$M,0)),0))</f>
        <v>107.8212290502793</v>
      </c>
      <c r="M10" s="10">
        <f t="shared" si="1"/>
        <v>215.6424581005586</v>
      </c>
      <c r="N10" s="10">
        <f t="shared" si="2"/>
        <v>215.6424581005586</v>
      </c>
      <c r="O10" s="10">
        <f t="shared" si="3"/>
        <v>0</v>
      </c>
      <c r="P10" s="10">
        <f>'P. Bergner'!M10</f>
        <v>215.6424581005586</v>
      </c>
      <c r="Q10" s="10">
        <v>89.5</v>
      </c>
      <c r="R10" s="10">
        <f>IFERROR(INDEX('Projekt-Budget-Übersicht'!$F:$F,MATCH(4135,'Projekt-Budget-Übersicht'!$L:$L,0)),0)</f>
        <v>0</v>
      </c>
      <c r="S10" s="10">
        <v>2885</v>
      </c>
      <c r="T10" s="4"/>
      <c r="U10" s="4"/>
    </row>
    <row r="11" spans="1:21" x14ac:dyDescent="0.25">
      <c r="A11" s="21" t="s">
        <v>4475</v>
      </c>
      <c r="B11" s="4" t="s">
        <v>5504</v>
      </c>
      <c r="C11" s="4" t="str">
        <f>IFERROR(INDEX('Projekt-Budget-Übersicht'!$C:$C,MATCH(4547,'Projekt-Budget-Übersicht'!$L:$L,0)),"")</f>
        <v/>
      </c>
      <c r="D11" s="4">
        <v>17</v>
      </c>
      <c r="E11" s="4">
        <v>12.5</v>
      </c>
      <c r="F11" s="4">
        <v>2</v>
      </c>
      <c r="G11" s="16">
        <v>73.53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IF($B$2="-",0,IFERROR(INDEX(IF($B$2="SV",'Projekt-Budget-Übersicht'!$I:$I,IF($B$2="CAD",'Projekt-Budget-Übersicht'!$J:$J,IF($B$2="ADM",'Projekt-Budget-Übersicht'!$K:$K,'Projekt-Budget-Übersicht'!$I:$I))),MATCH(4547,'Projekt-Budget-Übersicht'!$M:$M,0)),0))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'P. Bergner'!M11</f>
        <v>0</v>
      </c>
      <c r="Q11" s="10">
        <v>17</v>
      </c>
      <c r="R11" s="10">
        <f>IFERROR(INDEX('Projekt-Budget-Übersicht'!$F:$F,MATCH(4547,'Projekt-Budget-Übersicht'!$L:$L,0)),0)</f>
        <v>0</v>
      </c>
      <c r="S11" s="10">
        <v>1097.5</v>
      </c>
      <c r="T11" s="4"/>
      <c r="U11" s="4"/>
    </row>
    <row r="12" spans="1:21" x14ac:dyDescent="0.25">
      <c r="A12" s="22"/>
      <c r="B12" s="4" t="s">
        <v>5639</v>
      </c>
      <c r="C12" s="4" t="str">
        <f>IFERROR(INDEX('Projekt-Budget-Übersicht'!$C:$C,MATCH(4548,'Projekt-Budget-Übersicht'!$L:$L,0)),"")</f>
        <v/>
      </c>
      <c r="D12" s="4">
        <v>10</v>
      </c>
      <c r="E12" s="4">
        <v>3.5</v>
      </c>
      <c r="F12" s="4">
        <v>2</v>
      </c>
      <c r="G12" s="16">
        <v>35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IF($B$2="-",0,IFERROR(INDEX(IF($B$2="SV",'Projekt-Budget-Übersicht'!$I:$I,IF($B$2="CAD",'Projekt-Budget-Übersicht'!$J:$J,IF($B$2="ADM",'Projekt-Budget-Übersicht'!$K:$K,'Projekt-Budget-Übersicht'!$I:$I))),MATCH(4548,'Projekt-Budget-Übersicht'!$M:$M,0)),0))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'P. Bergner'!M12</f>
        <v>0</v>
      </c>
      <c r="Q12" s="10">
        <v>25</v>
      </c>
      <c r="R12" s="10">
        <f>IFERROR(INDEX('Projekt-Budget-Übersicht'!$F:$F,MATCH(4548,'Projekt-Budget-Übersicht'!$L:$L,0)),0)</f>
        <v>0</v>
      </c>
      <c r="S12" s="10">
        <v>745</v>
      </c>
      <c r="T12" s="4"/>
      <c r="U12" s="4"/>
    </row>
    <row r="13" spans="1:21" x14ac:dyDescent="0.25">
      <c r="A13" s="3"/>
      <c r="B13" s="3" t="s">
        <v>5492</v>
      </c>
      <c r="C13" s="3"/>
      <c r="D13" s="3"/>
      <c r="E13" s="3"/>
      <c r="F13" s="6">
        <v>74.5</v>
      </c>
      <c r="G13" s="3"/>
      <c r="H13" s="3"/>
      <c r="I13" s="3"/>
      <c r="J13" s="3"/>
      <c r="K13" s="3"/>
      <c r="L13" s="3"/>
      <c r="M13" s="17">
        <f>SUM(M6:M12)</f>
        <v>1042.4825596234011</v>
      </c>
      <c r="N13" s="17">
        <f>SUM(N6:N12)</f>
        <v>1042.4825596234011</v>
      </c>
      <c r="O13" s="17">
        <f>SUM(O6:O12)</f>
        <v>0</v>
      </c>
      <c r="P13" s="17">
        <f>SUM(P6:P12)</f>
        <v>3941.0866205371067</v>
      </c>
      <c r="Q13" s="3"/>
      <c r="R13" s="3"/>
      <c r="S13" s="3"/>
      <c r="T13" s="3"/>
      <c r="U13" s="3"/>
    </row>
    <row r="14" spans="1:21" x14ac:dyDescent="0.25">
      <c r="A14" s="3"/>
      <c r="B14" s="3" t="s">
        <v>4</v>
      </c>
      <c r="C14" s="3"/>
      <c r="D14" s="3"/>
      <c r="E14" s="3"/>
      <c r="F14" s="6">
        <f>G14+H14</f>
        <v>71</v>
      </c>
      <c r="G14" s="6">
        <v>71</v>
      </c>
      <c r="H14" s="6">
        <f>SUM(H6,H7,H8,H9,H10,H11,H12)</f>
        <v>0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x14ac:dyDescent="0.25">
      <c r="A15" s="3"/>
      <c r="B15" s="3" t="s">
        <v>5</v>
      </c>
      <c r="C15" s="3"/>
      <c r="D15" s="3"/>
      <c r="E15" s="3"/>
      <c r="F15" s="6">
        <v>0</v>
      </c>
      <c r="G15" s="6">
        <v>0</v>
      </c>
      <c r="H15" s="6">
        <v>0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x14ac:dyDescent="0.25">
      <c r="A16" s="3"/>
      <c r="B16" s="3" t="s">
        <v>5493</v>
      </c>
      <c r="C16" s="3"/>
      <c r="D16" s="3"/>
      <c r="E16" s="3"/>
      <c r="F16" s="6">
        <f>SUM(K6:K12)</f>
        <v>0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x14ac:dyDescent="0.25">
      <c r="A17" s="18"/>
      <c r="B17" s="18" t="s">
        <v>5494</v>
      </c>
      <c r="C17" s="18"/>
      <c r="D17" s="18"/>
      <c r="E17" s="18"/>
      <c r="F17" s="19">
        <f>F14+F15+F16</f>
        <v>71</v>
      </c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9" spans="1:21" ht="15.75" x14ac:dyDescent="0.25">
      <c r="A19" s="2" t="s">
        <v>5495</v>
      </c>
    </row>
    <row r="20" spans="1:21" x14ac:dyDescent="0.25">
      <c r="A20" s="3" t="s">
        <v>35</v>
      </c>
      <c r="B20" s="3" t="s">
        <v>5461</v>
      </c>
      <c r="C20" s="3" t="s">
        <v>37</v>
      </c>
      <c r="D20" s="3" t="s">
        <v>5462</v>
      </c>
      <c r="E20" s="3" t="s">
        <v>5463</v>
      </c>
      <c r="F20" s="3" t="s">
        <v>5496</v>
      </c>
      <c r="G20" s="3" t="s">
        <v>5465</v>
      </c>
      <c r="H20" s="3" t="s">
        <v>5466</v>
      </c>
      <c r="I20" s="3" t="s">
        <v>5467</v>
      </c>
      <c r="J20" s="3" t="s">
        <v>5468</v>
      </c>
      <c r="K20" s="3" t="s">
        <v>5469</v>
      </c>
      <c r="L20" s="3" t="s">
        <v>5470</v>
      </c>
      <c r="M20" s="3" t="s">
        <v>5471</v>
      </c>
      <c r="N20" s="3" t="s">
        <v>5472</v>
      </c>
      <c r="O20" s="3" t="s">
        <v>5473</v>
      </c>
      <c r="P20" s="3" t="s">
        <v>5474</v>
      </c>
      <c r="Q20" s="3" t="s">
        <v>5475</v>
      </c>
      <c r="R20" s="3" t="s">
        <v>5476</v>
      </c>
      <c r="S20" s="3" t="s">
        <v>5477</v>
      </c>
      <c r="T20" s="3" t="s">
        <v>5478</v>
      </c>
      <c r="U20" s="3" t="s">
        <v>5479</v>
      </c>
    </row>
    <row r="21" spans="1:21" x14ac:dyDescent="0.25">
      <c r="A21" s="21" t="s">
        <v>61</v>
      </c>
      <c r="B21" s="4" t="s">
        <v>5480</v>
      </c>
      <c r="C21" s="4" t="str">
        <f>IFERROR(INDEX('Projekt-Budget-Übersicht'!$C:$C,MATCH(10,'Projekt-Budget-Übersicht'!$L:$L,0)),"")</f>
        <v/>
      </c>
      <c r="D21" s="4">
        <v>8</v>
      </c>
      <c r="E21" s="4">
        <v>0.5</v>
      </c>
      <c r="F21" s="4">
        <v>0.5</v>
      </c>
      <c r="G21" s="16">
        <v>6.25</v>
      </c>
      <c r="H21" s="5"/>
      <c r="I21" s="5">
        <f t="shared" ref="I21:I33" si="4">IF(H21=0,0,F21-H21)</f>
        <v>0</v>
      </c>
      <c r="J21" s="4"/>
      <c r="K21" s="5">
        <f>IF('A. Kokott'!J39="P. Bergner",'A. Kokott'!I39,0)+IF('J. Dorn'!J45="P. Bergner",'J. Dorn'!I45,0)+IF('O. Haag BS-CAD'!J51="P. Bergner",'O. Haag BS-CAD'!I51,0)+IF('R. Böttiger'!J31="P. Bergner",'R. Böttiger'!I31,0)+IF('T. Trautmann'!J28="P. Bergner",'T. Trautmann'!I28,0)+IF('U. Sutter ADM'!J28="P. Bergner",'U. Sutter ADM'!I28,0)</f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1" s="10">
        <f t="shared" ref="M21:M33" si="5">IF($B$2="-",0,IF(C21="Pauschale",IF(OR(R21=0,N(D21)=0),0,MAX(0,MIN(R21*((N(F21)+N(K21))/N(D21)),R21-R21*(N(E21)/N(D21))))),L21*(N(F21)+N(K21))))</f>
        <v>0</v>
      </c>
      <c r="N21" s="10">
        <f t="shared" ref="N21:N33" si="6">IF($B$2="-",0,IF(C21="Pauschale",IF(OR(R21=0,N(D21)=0),0,R21*((N(F21)+N(K21))/N(D21))),L21*(N(F21)+N(K21))))</f>
        <v>0</v>
      </c>
      <c r="O21" s="10">
        <f t="shared" ref="O21:O33" si="7">N21-M21</f>
        <v>0</v>
      </c>
      <c r="P21" s="10">
        <f>'A. Kokott'!M39+'J. Dorn'!M45+'O. Haag BS-CAD'!M51+'P. Bergner'!M21+'R. Böttiger'!M31+'T. Trautmann'!M28+'U. Sutter ADM'!M28</f>
        <v>0</v>
      </c>
      <c r="Q21" s="10">
        <v>132</v>
      </c>
      <c r="R21" s="10">
        <f>IFERROR(INDEX('Projekt-Budget-Übersicht'!$F:$F,MATCH(10,'Projekt-Budget-Übersicht'!$L:$L,0)),0)</f>
        <v>0</v>
      </c>
      <c r="S21" s="10">
        <v>68628.19</v>
      </c>
      <c r="T21" s="4"/>
      <c r="U21" s="4"/>
    </row>
    <row r="22" spans="1:21" x14ac:dyDescent="0.25">
      <c r="A22" s="22"/>
      <c r="B22" s="4" t="s">
        <v>5481</v>
      </c>
      <c r="C22" s="4" t="str">
        <f>IFERROR(INDEX('Projekt-Budget-Übersicht'!$C:$C,MATCH(10,'Projekt-Budget-Übersicht'!$L:$L,0)),"")</f>
        <v/>
      </c>
      <c r="D22" s="4">
        <v>8</v>
      </c>
      <c r="E22" s="4">
        <v>5</v>
      </c>
      <c r="F22" s="4">
        <v>5</v>
      </c>
      <c r="G22" s="16">
        <v>62.5</v>
      </c>
      <c r="H22" s="5"/>
      <c r="I22" s="5">
        <f t="shared" si="4"/>
        <v>0</v>
      </c>
      <c r="J22" s="4"/>
      <c r="K22" s="5">
        <f>IF('A. Kokott'!J40="P. Bergner",'A. Kokott'!I40,0)+IF('M. Bandlofsky'!J26="P. Bergner",'M. Bandlofsky'!I26,0)+IF('O. Haag BS-CAD'!J52="P. Bergner",'O. Haag BS-CAD'!I52,0)+IF('R. Wagen CAD'!J31="P. Bergner",'R. Wagen CAD'!I31,0)+IF('T. Trautmann'!J29="P. Bergner",'T. Trautmann'!I29,0)+IF('U. Sutter ADM'!J29="P. Bergner",'U. Sutter ADM'!I29,0)</f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2" s="10">
        <f t="shared" si="5"/>
        <v>0</v>
      </c>
      <c r="N22" s="10">
        <f t="shared" si="6"/>
        <v>0</v>
      </c>
      <c r="O22" s="10">
        <f t="shared" si="7"/>
        <v>0</v>
      </c>
      <c r="P22" s="10">
        <f>'A. Kokott'!M40+'M. Bandlofsky'!M26+'O. Haag BS-CAD'!M52+'P. Bergner'!M22+'R. Wagen CAD'!M31+'T. Trautmann'!M29+'U. Sutter ADM'!M29</f>
        <v>0</v>
      </c>
      <c r="Q22" s="10">
        <v>132</v>
      </c>
      <c r="R22" s="10">
        <f>IFERROR(INDEX('Projekt-Budget-Übersicht'!$F:$F,MATCH(10,'Projekt-Budget-Übersicht'!$L:$L,0)),0)</f>
        <v>0</v>
      </c>
      <c r="S22" s="10">
        <v>68628.19</v>
      </c>
      <c r="T22" s="4"/>
      <c r="U22" s="4"/>
    </row>
    <row r="23" spans="1:21" x14ac:dyDescent="0.25">
      <c r="A23" s="4" t="s">
        <v>196</v>
      </c>
      <c r="B23" s="4" t="s">
        <v>5640</v>
      </c>
      <c r="C23" s="4" t="str">
        <f>IFERROR(INDEX('Projekt-Budget-Übersicht'!$C:$C,MATCH(126,'Projekt-Budget-Übersicht'!$L:$L,0)),"")</f>
        <v/>
      </c>
      <c r="D23" s="4">
        <v>192</v>
      </c>
      <c r="E23" s="4">
        <v>64</v>
      </c>
      <c r="F23" s="4">
        <v>6.5</v>
      </c>
      <c r="G23" s="16">
        <v>33.33</v>
      </c>
      <c r="H23" s="5"/>
      <c r="I23" s="5">
        <f t="shared" si="4"/>
        <v>0</v>
      </c>
      <c r="J23" s="4"/>
      <c r="K23" s="5"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IF($B$2="-",0,IFERROR(INDEX(IF($B$2="SV",'Projekt-Budget-Übersicht'!$I:$I,IF($B$2="CAD",'Projekt-Budget-Übersicht'!$J:$J,IF($B$2="ADM",'Projekt-Budget-Übersicht'!$K:$K,'Projekt-Budget-Übersicht'!$I:$I))),MATCH(126,'Projekt-Budget-Übersicht'!$M:$M,0)),0))</f>
        <v>0</v>
      </c>
      <c r="M23" s="10">
        <f t="shared" si="5"/>
        <v>0</v>
      </c>
      <c r="N23" s="10">
        <f t="shared" si="6"/>
        <v>0</v>
      </c>
      <c r="O23" s="10">
        <f t="shared" si="7"/>
        <v>0</v>
      </c>
      <c r="P23" s="10">
        <f>'P. Bergner'!M23</f>
        <v>0</v>
      </c>
      <c r="Q23" s="10">
        <v>192</v>
      </c>
      <c r="R23" s="10">
        <f>IFERROR(INDEX('Projekt-Budget-Übersicht'!$F:$F,MATCH(126,'Projekt-Budget-Übersicht'!$L:$L,0)),0)</f>
        <v>0</v>
      </c>
      <c r="S23" s="10">
        <v>7880</v>
      </c>
      <c r="T23" s="4"/>
      <c r="U23" s="4"/>
    </row>
    <row r="24" spans="1:21" x14ac:dyDescent="0.25">
      <c r="A24" s="4" t="s">
        <v>377</v>
      </c>
      <c r="B24" s="4" t="s">
        <v>5641</v>
      </c>
      <c r="C24" s="4" t="str">
        <f>IFERROR(INDEX('Projekt-Budget-Übersicht'!$C:$C,MATCH(350,'Projekt-Budget-Übersicht'!$L:$L,0)),"")</f>
        <v/>
      </c>
      <c r="D24" s="4">
        <v>120</v>
      </c>
      <c r="E24" s="4">
        <v>26.5</v>
      </c>
      <c r="F24" s="4">
        <v>5</v>
      </c>
      <c r="G24" s="16">
        <v>22.08</v>
      </c>
      <c r="H24" s="5"/>
      <c r="I24" s="5">
        <f t="shared" si="4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IF($B$2="-",0,IFERROR(INDEX(IF($B$2="SV",'Projekt-Budget-Übersicht'!$I:$I,IF($B$2="CAD",'Projekt-Budget-Übersicht'!$J:$J,IF($B$2="ADM",'Projekt-Budget-Übersicht'!$K:$K,'Projekt-Budget-Übersicht'!$I:$I))),MATCH(350,'Projekt-Budget-Übersicht'!$M:$M,0)),0))</f>
        <v>0</v>
      </c>
      <c r="M24" s="10">
        <f t="shared" si="5"/>
        <v>0</v>
      </c>
      <c r="N24" s="10">
        <f t="shared" si="6"/>
        <v>0</v>
      </c>
      <c r="O24" s="10">
        <f t="shared" si="7"/>
        <v>0</v>
      </c>
      <c r="P24" s="10">
        <f>'P. Bergner'!M24</f>
        <v>0</v>
      </c>
      <c r="Q24" s="10">
        <v>120</v>
      </c>
      <c r="R24" s="10">
        <f>IFERROR(INDEX('Projekt-Budget-Übersicht'!$F:$F,MATCH(350,'Projekt-Budget-Übersicht'!$L:$L,0)),0)</f>
        <v>0</v>
      </c>
      <c r="S24" s="10">
        <v>2385</v>
      </c>
      <c r="T24" s="4"/>
      <c r="U24" s="4"/>
    </row>
    <row r="25" spans="1:21" x14ac:dyDescent="0.25">
      <c r="A25" s="4" t="s">
        <v>1403</v>
      </c>
      <c r="B25" s="4" t="s">
        <v>5459</v>
      </c>
      <c r="C25" s="4" t="str">
        <f>IFERROR(INDEX('Projekt-Budget-Übersicht'!$C:$C,MATCH(1544,'Projekt-Budget-Übersicht'!$L:$L,0)),"")</f>
        <v/>
      </c>
      <c r="D25" s="4">
        <v>30</v>
      </c>
      <c r="E25" s="4">
        <v>29</v>
      </c>
      <c r="F25" s="4">
        <v>2</v>
      </c>
      <c r="G25" s="14">
        <v>96.67</v>
      </c>
      <c r="H25" s="5"/>
      <c r="I25" s="5">
        <f t="shared" si="4"/>
        <v>0</v>
      </c>
      <c r="J25" s="4"/>
      <c r="K25" s="5">
        <f>IF('M. Bandlofsky'!J34="P. Bergner",'M. Bandlofsky'!I34,0)</f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IF($B$2="-",0,IFERROR(INDEX(IF($B$2="SV",'Projekt-Budget-Übersicht'!$I:$I,IF($B$2="CAD",'Projekt-Budget-Übersicht'!$J:$J,IF($B$2="ADM",'Projekt-Budget-Übersicht'!$K:$K,'Projekt-Budget-Übersicht'!$I:$I))),MATCH(1544,'Projekt-Budget-Übersicht'!$M:$M,0)),0))</f>
        <v>124.32432432432429</v>
      </c>
      <c r="M25" s="10">
        <f t="shared" si="5"/>
        <v>248.64864864864859</v>
      </c>
      <c r="N25" s="10">
        <f t="shared" si="6"/>
        <v>248.64864864864859</v>
      </c>
      <c r="O25" s="10">
        <f t="shared" si="7"/>
        <v>0</v>
      </c>
      <c r="P25" s="10">
        <f>'M. Bandlofsky'!M34+'P. Bergner'!M25</f>
        <v>3605.4054054054045</v>
      </c>
      <c r="Q25" s="10">
        <v>161</v>
      </c>
      <c r="R25" s="10">
        <f>IFERROR(INDEX('Projekt-Budget-Übersicht'!$F:$F,MATCH(1544,'Projekt-Budget-Übersicht'!$L:$L,0)),0)</f>
        <v>0</v>
      </c>
      <c r="S25" s="10">
        <v>215</v>
      </c>
      <c r="T25" s="4"/>
      <c r="U25" s="4"/>
    </row>
    <row r="26" spans="1:21" x14ac:dyDescent="0.25">
      <c r="A26" s="4" t="s">
        <v>1406</v>
      </c>
      <c r="B26" s="4" t="s">
        <v>5545</v>
      </c>
      <c r="C26" s="4" t="str">
        <f>IFERROR(INDEX('Projekt-Budget-Übersicht'!$C:$C,MATCH(1546,'Projekt-Budget-Übersicht'!$L:$L,0)),"")</f>
        <v/>
      </c>
      <c r="D26" s="4">
        <v>8</v>
      </c>
      <c r="E26" s="4">
        <v>8</v>
      </c>
      <c r="F26" s="4">
        <v>1</v>
      </c>
      <c r="G26" s="14">
        <v>100</v>
      </c>
      <c r="H26" s="5"/>
      <c r="I26" s="5">
        <f t="shared" si="4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IF($B$2="-",0,IFERROR(INDEX(IF($B$2="SV",'Projekt-Budget-Übersicht'!$I:$I,IF($B$2="CAD",'Projekt-Budget-Übersicht'!$J:$J,IF($B$2="ADM",'Projekt-Budget-Übersicht'!$K:$K,'Projekt-Budget-Übersicht'!$I:$I))),MATCH(1546,'Projekt-Budget-Übersicht'!$M:$M,0)),0))</f>
        <v>0</v>
      </c>
      <c r="M26" s="10">
        <f t="shared" si="5"/>
        <v>0</v>
      </c>
      <c r="N26" s="10">
        <f t="shared" si="6"/>
        <v>0</v>
      </c>
      <c r="O26" s="10">
        <f t="shared" si="7"/>
        <v>0</v>
      </c>
      <c r="P26" s="10">
        <f>'P. Bergner'!M26</f>
        <v>0</v>
      </c>
      <c r="Q26" s="10">
        <v>8</v>
      </c>
      <c r="R26" s="10">
        <f>IFERROR(INDEX('Projekt-Budget-Übersicht'!$F:$F,MATCH(1546,'Projekt-Budget-Übersicht'!$L:$L,0)),0)</f>
        <v>0</v>
      </c>
      <c r="S26" s="10">
        <v>720</v>
      </c>
      <c r="T26" s="4"/>
      <c r="U26" s="4"/>
    </row>
    <row r="27" spans="1:21" x14ac:dyDescent="0.25">
      <c r="A27" s="4" t="s">
        <v>2090</v>
      </c>
      <c r="B27" s="4" t="s">
        <v>5459</v>
      </c>
      <c r="C27" s="4" t="str">
        <f>IFERROR(INDEX('Projekt-Budget-Übersicht'!$C:$C,MATCH(2456,'Projekt-Budget-Übersicht'!$L:$L,0)),"")</f>
        <v/>
      </c>
      <c r="D27" s="4">
        <v>55</v>
      </c>
      <c r="E27" s="4">
        <v>41.5</v>
      </c>
      <c r="F27" s="4">
        <v>9</v>
      </c>
      <c r="G27" s="16">
        <v>75.45</v>
      </c>
      <c r="H27" s="5"/>
      <c r="I27" s="5">
        <f t="shared" si="4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IF($B$2="-",0,IFERROR(INDEX(IF($B$2="SV",'Projekt-Budget-Übersicht'!$I:$I,IF($B$2="CAD",'Projekt-Budget-Übersicht'!$J:$J,IF($B$2="ADM",'Projekt-Budget-Übersicht'!$K:$K,'Projekt-Budget-Übersicht'!$I:$I))),MATCH(2456,'Projekt-Budget-Übersicht'!$M:$M,0)),0))</f>
        <v>0</v>
      </c>
      <c r="M27" s="10">
        <f t="shared" si="5"/>
        <v>0</v>
      </c>
      <c r="N27" s="10">
        <f t="shared" si="6"/>
        <v>0</v>
      </c>
      <c r="O27" s="10">
        <f t="shared" si="7"/>
        <v>0</v>
      </c>
      <c r="P27" s="10">
        <f>'P. Bergner'!M27</f>
        <v>0</v>
      </c>
      <c r="Q27" s="10">
        <v>55</v>
      </c>
      <c r="R27" s="10">
        <f>IFERROR(INDEX('Projekt-Budget-Übersicht'!$F:$F,MATCH(2456,'Projekt-Budget-Übersicht'!$L:$L,0)),0)</f>
        <v>0</v>
      </c>
      <c r="S27" s="10"/>
      <c r="T27" s="4"/>
      <c r="U27" s="4"/>
    </row>
    <row r="28" spans="1:21" x14ac:dyDescent="0.25">
      <c r="A28" s="4" t="s">
        <v>2572</v>
      </c>
      <c r="B28" s="4" t="s">
        <v>5540</v>
      </c>
      <c r="C28" s="4" t="str">
        <f>IFERROR(INDEX('Projekt-Budget-Übersicht'!$C:$C,MATCH(2885,'Projekt-Budget-Übersicht'!$L:$L,0)),"")</f>
        <v/>
      </c>
      <c r="D28" s="4">
        <v>80</v>
      </c>
      <c r="E28" s="4">
        <v>78.75</v>
      </c>
      <c r="F28" s="4">
        <v>2.5</v>
      </c>
      <c r="G28" s="14">
        <v>98.44</v>
      </c>
      <c r="H28" s="5"/>
      <c r="I28" s="5">
        <f t="shared" si="4"/>
        <v>0</v>
      </c>
      <c r="J28" s="4"/>
      <c r="K28" s="5"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IF($B$2="-",0,IFERROR(INDEX(IF($B$2="SV",'Projekt-Budget-Übersicht'!$I:$I,IF($B$2="CAD",'Projekt-Budget-Übersicht'!$J:$J,IF($B$2="ADM",'Projekt-Budget-Übersicht'!$K:$K,'Projekt-Budget-Übersicht'!$I:$I))),MATCH(2885,'Projekt-Budget-Übersicht'!$M:$M,0)),0))</f>
        <v>0</v>
      </c>
      <c r="M28" s="10">
        <f t="shared" si="5"/>
        <v>0</v>
      </c>
      <c r="N28" s="10">
        <f t="shared" si="6"/>
        <v>0</v>
      </c>
      <c r="O28" s="10">
        <f t="shared" si="7"/>
        <v>0</v>
      </c>
      <c r="P28" s="10">
        <f>'P. Bergner'!M28</f>
        <v>0</v>
      </c>
      <c r="Q28" s="10">
        <v>298</v>
      </c>
      <c r="R28" s="10">
        <f>IFERROR(INDEX('Projekt-Budget-Übersicht'!$F:$F,MATCH(2885,'Projekt-Budget-Übersicht'!$L:$L,0)),0)</f>
        <v>0</v>
      </c>
      <c r="S28" s="10">
        <v>8112.5</v>
      </c>
      <c r="T28" s="4"/>
      <c r="U28" s="4"/>
    </row>
    <row r="29" spans="1:21" x14ac:dyDescent="0.25">
      <c r="A29" s="4" t="s">
        <v>2574</v>
      </c>
      <c r="B29" s="4" t="s">
        <v>5541</v>
      </c>
      <c r="C29" s="4" t="str">
        <f>IFERROR(INDEX('Projekt-Budget-Übersicht'!$C:$C,MATCH(2886,'Projekt-Budget-Übersicht'!$L:$L,0)),"")</f>
        <v/>
      </c>
      <c r="D29" s="4">
        <v>100</v>
      </c>
      <c r="E29" s="4">
        <v>67.25</v>
      </c>
      <c r="F29" s="4">
        <v>4.5</v>
      </c>
      <c r="G29" s="16">
        <v>67.25</v>
      </c>
      <c r="H29" s="5"/>
      <c r="I29" s="5">
        <f t="shared" si="4"/>
        <v>0</v>
      </c>
      <c r="J29" s="4"/>
      <c r="K29" s="5"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IF($B$2="-",0,IFERROR(INDEX(IF($B$2="SV",'Projekt-Budget-Übersicht'!$I:$I,IF($B$2="CAD",'Projekt-Budget-Übersicht'!$J:$J,IF($B$2="ADM",'Projekt-Budget-Übersicht'!$K:$K,'Projekt-Budget-Übersicht'!$I:$I))),MATCH(2886,'Projekt-Budget-Übersicht'!$M:$M,0)),0))</f>
        <v>0</v>
      </c>
      <c r="M29" s="10">
        <f t="shared" si="5"/>
        <v>0</v>
      </c>
      <c r="N29" s="10">
        <f t="shared" si="6"/>
        <v>0</v>
      </c>
      <c r="O29" s="10">
        <f t="shared" si="7"/>
        <v>0</v>
      </c>
      <c r="P29" s="10">
        <f>'P. Bergner'!M29</f>
        <v>0</v>
      </c>
      <c r="Q29" s="10">
        <v>450</v>
      </c>
      <c r="R29" s="10">
        <f>IFERROR(INDEX('Projekt-Budget-Übersicht'!$F:$F,MATCH(2886,'Projekt-Budget-Übersicht'!$L:$L,0)),0)</f>
        <v>0</v>
      </c>
      <c r="S29" s="10">
        <v>6011.25</v>
      </c>
      <c r="T29" s="4"/>
      <c r="U29" s="4"/>
    </row>
    <row r="30" spans="1:21" x14ac:dyDescent="0.25">
      <c r="A30" s="4" t="s">
        <v>2917</v>
      </c>
      <c r="B30" s="4" t="s">
        <v>5504</v>
      </c>
      <c r="C30" s="4" t="str">
        <f>IFERROR(INDEX('Projekt-Budget-Übersicht'!$C:$C,MATCH(3189,'Projekt-Budget-Übersicht'!$L:$L,0)),"")</f>
        <v/>
      </c>
      <c r="D30" s="4">
        <v>1560</v>
      </c>
      <c r="E30" s="4">
        <v>536</v>
      </c>
      <c r="F30" s="4">
        <v>83.25</v>
      </c>
      <c r="G30" s="16">
        <v>34.36</v>
      </c>
      <c r="H30" s="5"/>
      <c r="I30" s="5">
        <f t="shared" si="4"/>
        <v>0</v>
      </c>
      <c r="J30" s="4"/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30" s="10">
        <f t="shared" si="5"/>
        <v>0</v>
      </c>
      <c r="N30" s="10">
        <f t="shared" si="6"/>
        <v>0</v>
      </c>
      <c r="O30" s="10">
        <f t="shared" si="7"/>
        <v>0</v>
      </c>
      <c r="P30" s="10">
        <f>'P. Bergner'!M30</f>
        <v>0</v>
      </c>
      <c r="Q30" s="10">
        <v>1560</v>
      </c>
      <c r="R30" s="10">
        <f>IFERROR(INDEX('Projekt-Budget-Übersicht'!$F:$F,MATCH(3189,'Projekt-Budget-Übersicht'!$L:$L,0)),0)</f>
        <v>0</v>
      </c>
      <c r="S30" s="10">
        <v>55003.040000000001</v>
      </c>
      <c r="T30" s="4"/>
      <c r="U30" s="4"/>
    </row>
    <row r="31" spans="1:21" x14ac:dyDescent="0.25">
      <c r="A31" s="4" t="s">
        <v>2918</v>
      </c>
      <c r="B31" s="4" t="s">
        <v>5504</v>
      </c>
      <c r="C31" s="4" t="str">
        <f>IFERROR(INDEX('Projekt-Budget-Übersicht'!$C:$C,MATCH(3191,'Projekt-Budget-Übersicht'!$L:$L,0)),"")</f>
        <v/>
      </c>
      <c r="D31" s="4">
        <v>780</v>
      </c>
      <c r="E31" s="4">
        <v>351.75</v>
      </c>
      <c r="F31" s="4">
        <v>14.25</v>
      </c>
      <c r="G31" s="16">
        <v>45.1</v>
      </c>
      <c r="H31" s="5"/>
      <c r="I31" s="5">
        <f t="shared" si="4"/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IF($B$2="-",0,IFERROR(INDEX(IF($B$2="SV",'Projekt-Budget-Übersicht'!$I:$I,IF($B$2="CAD",'Projekt-Budget-Übersicht'!$J:$J,IF($B$2="ADM",'Projekt-Budget-Übersicht'!$K:$K,'Projekt-Budget-Übersicht'!$I:$I))),MATCH(3191,'Projekt-Budget-Übersicht'!$M:$M,0)),0))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'P. Bergner'!M31</f>
        <v>0</v>
      </c>
      <c r="Q31" s="10">
        <v>780</v>
      </c>
      <c r="R31" s="10">
        <f>IFERROR(INDEX('Projekt-Budget-Übersicht'!$F:$F,MATCH(3191,'Projekt-Budget-Übersicht'!$L:$L,0)),0)</f>
        <v>0</v>
      </c>
      <c r="S31" s="10">
        <v>30236.71</v>
      </c>
      <c r="T31" s="4"/>
      <c r="U31" s="4"/>
    </row>
    <row r="32" spans="1:21" x14ac:dyDescent="0.25">
      <c r="A32" s="4" t="s">
        <v>3244</v>
      </c>
      <c r="B32" s="4" t="s">
        <v>5504</v>
      </c>
      <c r="C32" s="4" t="str">
        <f>IFERROR(INDEX('Projekt-Budget-Übersicht'!$C:$C,MATCH(3472,'Projekt-Budget-Übersicht'!$L:$L,0)),"")</f>
        <v/>
      </c>
      <c r="D32" s="4">
        <v>25</v>
      </c>
      <c r="E32" s="4">
        <v>3.25</v>
      </c>
      <c r="F32" s="4">
        <v>2</v>
      </c>
      <c r="G32" s="16">
        <v>13</v>
      </c>
      <c r="H32" s="5"/>
      <c r="I32" s="5">
        <f t="shared" si="4"/>
        <v>0</v>
      </c>
      <c r="J32" s="4"/>
      <c r="K32" s="5">
        <f>IF('A. Kokott'!J52="P. Bergner",'A. Kokott'!I52,0)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IF($B$2="-",0,IFERROR(INDEX(IF($B$2="SV",'Projekt-Budget-Übersicht'!$I:$I,IF($B$2="CAD",'Projekt-Budget-Übersicht'!$J:$J,IF($B$2="ADM",'Projekt-Budget-Übersicht'!$K:$K,'Projekt-Budget-Übersicht'!$I:$I))),MATCH(3472,'Projekt-Budget-Übersicht'!$M:$M,0)),0))</f>
        <v>134</v>
      </c>
      <c r="M32" s="10">
        <f t="shared" si="5"/>
        <v>268</v>
      </c>
      <c r="N32" s="10">
        <f t="shared" si="6"/>
        <v>268</v>
      </c>
      <c r="O32" s="10">
        <f t="shared" si="7"/>
        <v>0</v>
      </c>
      <c r="P32" s="10">
        <f>'A. Kokott'!M52+'P. Bergner'!M32</f>
        <v>335</v>
      </c>
      <c r="Q32" s="10">
        <v>63</v>
      </c>
      <c r="R32" s="10">
        <f>IFERROR(INDEX('Projekt-Budget-Übersicht'!$F:$F,MATCH(3472,'Projekt-Budget-Übersicht'!$L:$L,0)),0)</f>
        <v>0</v>
      </c>
      <c r="S32" s="10">
        <v>235</v>
      </c>
      <c r="T32" s="4"/>
      <c r="U32" s="4"/>
    </row>
    <row r="33" spans="1:21" x14ac:dyDescent="0.25">
      <c r="A33" s="4" t="s">
        <v>4475</v>
      </c>
      <c r="B33" s="4" t="s">
        <v>5623</v>
      </c>
      <c r="C33" s="4" t="str">
        <f>IFERROR(INDEX('Projekt-Budget-Übersicht'!$C:$C,MATCH(4548,'Projekt-Budget-Übersicht'!$L:$L,0)),"")</f>
        <v/>
      </c>
      <c r="D33" s="4">
        <v>8.5</v>
      </c>
      <c r="E33" s="4">
        <v>6</v>
      </c>
      <c r="F33" s="4">
        <v>3.5</v>
      </c>
      <c r="G33" s="16">
        <v>70.59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IF($B$2="-",0,IFERROR(INDEX(IF($B$2="SV",'Projekt-Budget-Übersicht'!$I:$I,IF($B$2="CAD",'Projekt-Budget-Übersicht'!$J:$J,IF($B$2="ADM",'Projekt-Budget-Übersicht'!$K:$K,'Projekt-Budget-Übersicht'!$I:$I))),MATCH(4548,'Projekt-Budget-Übersicht'!$M:$M,0)),0))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'P. Bergner'!M33</f>
        <v>0</v>
      </c>
      <c r="Q33" s="10">
        <v>25</v>
      </c>
      <c r="R33" s="10">
        <f>IFERROR(INDEX('Projekt-Budget-Übersicht'!$F:$F,MATCH(4548,'Projekt-Budget-Übersicht'!$L:$L,0)),0)</f>
        <v>0</v>
      </c>
      <c r="S33" s="10">
        <v>745</v>
      </c>
      <c r="T33" s="4"/>
      <c r="U33" s="4"/>
    </row>
    <row r="34" spans="1:21" x14ac:dyDescent="0.25">
      <c r="A34" s="3"/>
      <c r="B34" s="3" t="s">
        <v>5492</v>
      </c>
      <c r="C34" s="3"/>
      <c r="D34" s="3"/>
      <c r="E34" s="3"/>
      <c r="F34" s="6">
        <v>139</v>
      </c>
      <c r="G34" s="3"/>
      <c r="H34" s="3"/>
      <c r="I34" s="3"/>
      <c r="J34" s="3"/>
      <c r="K34" s="3"/>
      <c r="L34" s="3"/>
      <c r="M34" s="17">
        <f>SUM(M21:M33)</f>
        <v>516.64864864864853</v>
      </c>
      <c r="N34" s="17">
        <f>SUM(N21:N33)</f>
        <v>516.64864864864853</v>
      </c>
      <c r="O34" s="17">
        <f>SUM(O21:O33)</f>
        <v>0</v>
      </c>
      <c r="P34" s="17">
        <f>SUM(P21:P33)</f>
        <v>3940.4054054054045</v>
      </c>
      <c r="Q34" s="3"/>
      <c r="R34" s="3"/>
      <c r="S34" s="3"/>
      <c r="T34" s="3"/>
      <c r="U34" s="3"/>
    </row>
    <row r="35" spans="1:21" x14ac:dyDescent="0.25">
      <c r="A35" s="3"/>
      <c r="B35" s="3" t="s">
        <v>4</v>
      </c>
      <c r="C35" s="3"/>
      <c r="D35" s="3"/>
      <c r="E35" s="3"/>
      <c r="F35" s="6">
        <f>G35+H35</f>
        <v>133.5</v>
      </c>
      <c r="G35" s="6">
        <v>133.5</v>
      </c>
      <c r="H35" s="6">
        <f>SUM(H23,H24,H25,H26,H27,H28,H29,H30,H31,H32,H33)</f>
        <v>0</v>
      </c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1:21" x14ac:dyDescent="0.25">
      <c r="A36" s="3"/>
      <c r="B36" s="3" t="s">
        <v>5</v>
      </c>
      <c r="C36" s="3"/>
      <c r="D36" s="3"/>
      <c r="E36" s="3"/>
      <c r="F36" s="6">
        <f>G36+H36</f>
        <v>5.5</v>
      </c>
      <c r="G36" s="6">
        <v>5.5</v>
      </c>
      <c r="H36" s="6">
        <f>SUM(H21,H22)</f>
        <v>0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1:21" x14ac:dyDescent="0.25">
      <c r="A37" s="3"/>
      <c r="B37" s="3" t="s">
        <v>5493</v>
      </c>
      <c r="C37" s="3"/>
      <c r="D37" s="3"/>
      <c r="E37" s="3"/>
      <c r="F37" s="6">
        <f>SUM(K21:K33)</f>
        <v>0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1:21" x14ac:dyDescent="0.25">
      <c r="A38" s="18"/>
      <c r="B38" s="18" t="s">
        <v>5494</v>
      </c>
      <c r="C38" s="18"/>
      <c r="D38" s="18"/>
      <c r="E38" s="18"/>
      <c r="F38" s="19">
        <f>F35+F36+F37</f>
        <v>139</v>
      </c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40" spans="1:21" ht="15.75" x14ac:dyDescent="0.25">
      <c r="A40" s="2" t="s">
        <v>5512</v>
      </c>
    </row>
    <row r="41" spans="1:21" x14ac:dyDescent="0.25">
      <c r="A41" s="3" t="s">
        <v>35</v>
      </c>
      <c r="B41" s="3" t="s">
        <v>5461</v>
      </c>
      <c r="C41" s="3" t="s">
        <v>37</v>
      </c>
      <c r="D41" s="3" t="s">
        <v>5462</v>
      </c>
      <c r="E41" s="3" t="s">
        <v>5463</v>
      </c>
      <c r="F41" s="3" t="s">
        <v>5513</v>
      </c>
      <c r="G41" s="3" t="s">
        <v>5465</v>
      </c>
      <c r="H41" s="3" t="s">
        <v>5466</v>
      </c>
      <c r="I41" s="3" t="s">
        <v>5467</v>
      </c>
      <c r="J41" s="3" t="s">
        <v>5468</v>
      </c>
      <c r="K41" s="3" t="s">
        <v>5469</v>
      </c>
      <c r="L41" s="3" t="s">
        <v>5470</v>
      </c>
      <c r="M41" s="3" t="s">
        <v>5471</v>
      </c>
      <c r="N41" s="3" t="s">
        <v>5472</v>
      </c>
      <c r="O41" s="3" t="s">
        <v>5473</v>
      </c>
      <c r="P41" s="3" t="s">
        <v>5474</v>
      </c>
      <c r="Q41" s="3" t="s">
        <v>5475</v>
      </c>
      <c r="R41" s="3" t="s">
        <v>5476</v>
      </c>
      <c r="S41" s="3" t="s">
        <v>5477</v>
      </c>
      <c r="T41" s="3" t="s">
        <v>5478</v>
      </c>
      <c r="U41" s="3" t="s">
        <v>5479</v>
      </c>
    </row>
    <row r="42" spans="1:21" x14ac:dyDescent="0.25">
      <c r="A42" s="21" t="s">
        <v>61</v>
      </c>
      <c r="B42" s="4" t="s">
        <v>5547</v>
      </c>
      <c r="C42" s="4" t="str">
        <f>IFERROR(INDEX('Projekt-Budget-Übersicht'!$C:$C,MATCH(10,'Projekt-Budget-Übersicht'!$L:$L,0)),"")</f>
        <v/>
      </c>
      <c r="D42" s="4">
        <v>8</v>
      </c>
      <c r="E42" s="4">
        <v>6</v>
      </c>
      <c r="F42" s="4">
        <v>6</v>
      </c>
      <c r="G42" s="16">
        <v>75</v>
      </c>
      <c r="H42" s="5"/>
      <c r="I42" s="5">
        <f t="shared" ref="I42:I54" si="8">IF(H42=0,0,F42-H42)</f>
        <v>0</v>
      </c>
      <c r="J42" s="4"/>
      <c r="K42" s="5">
        <f>IF('C. Trapp SV'!J58="P. Bergner",'C. Trapp SV'!I58,0)+IF('J. Dorn'!J85="P. Bergner",'J. Dorn'!I85,0)+IF('O. Haag BS-CAD'!J94="P. Bergner",'O. Haag BS-CAD'!I94,0)+IF('T. Trautmann'!J73="P. Bergner",'T. Trautmann'!I73,0)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2" s="10">
        <f t="shared" ref="M42:M54" si="9">IF($B$2="-",0,IF(C42="Pauschale",IF(OR(R42=0,N(D42)=0),0,MAX(0,MIN(R42*((N(F42)+N(K42))/N(D42)),R42-R42*(N(E42)/N(D42))))),L42*(N(F42)+N(K42))))</f>
        <v>0</v>
      </c>
      <c r="N42" s="10">
        <f t="shared" ref="N42:N54" si="10">IF($B$2="-",0,IF(C42="Pauschale",IF(OR(R42=0,N(D42)=0),0,R42*((N(F42)+N(K42))/N(D42))),L42*(N(F42)+N(K42))))</f>
        <v>0</v>
      </c>
      <c r="O42" s="10">
        <f t="shared" ref="O42:O54" si="11">N42-M42</f>
        <v>0</v>
      </c>
      <c r="P42" s="10">
        <f>'C. Trapp SV'!M58+'J. Dorn'!M85+'O. Haag BS-CAD'!M94+'P. Bergner'!M42+'T. Trautmann'!M73</f>
        <v>0</v>
      </c>
      <c r="Q42" s="10">
        <v>132</v>
      </c>
      <c r="R42" s="10">
        <f>IFERROR(INDEX('Projekt-Budget-Übersicht'!$F:$F,MATCH(10,'Projekt-Budget-Übersicht'!$L:$L,0)),0)</f>
        <v>0</v>
      </c>
      <c r="S42" s="10">
        <v>68628.19</v>
      </c>
      <c r="T42" s="4"/>
      <c r="U42" s="4"/>
    </row>
    <row r="43" spans="1:21" x14ac:dyDescent="0.25">
      <c r="A43" s="22"/>
      <c r="B43" s="4" t="s">
        <v>5642</v>
      </c>
      <c r="C43" s="4" t="str">
        <f>IFERROR(INDEX('Projekt-Budget-Übersicht'!$C:$C,MATCH(10,'Projekt-Budget-Übersicht'!$L:$L,0)),"")</f>
        <v/>
      </c>
      <c r="D43" s="4">
        <v>4</v>
      </c>
      <c r="E43" s="4">
        <v>4</v>
      </c>
      <c r="F43" s="4">
        <v>4</v>
      </c>
      <c r="G43" s="14">
        <v>100</v>
      </c>
      <c r="H43" s="5"/>
      <c r="I43" s="5">
        <f t="shared" si="8"/>
        <v>0</v>
      </c>
      <c r="J43" s="4"/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43" s="10">
        <f t="shared" si="9"/>
        <v>0</v>
      </c>
      <c r="N43" s="10">
        <f t="shared" si="10"/>
        <v>0</v>
      </c>
      <c r="O43" s="10">
        <f t="shared" si="11"/>
        <v>0</v>
      </c>
      <c r="P43" s="10">
        <f>'P. Bergner'!M43</f>
        <v>0</v>
      </c>
      <c r="Q43" s="10">
        <v>132</v>
      </c>
      <c r="R43" s="10">
        <f>IFERROR(INDEX('Projekt-Budget-Übersicht'!$F:$F,MATCH(10,'Projekt-Budget-Übersicht'!$L:$L,0)),0)</f>
        <v>0</v>
      </c>
      <c r="S43" s="10">
        <v>68628.19</v>
      </c>
      <c r="T43" s="4"/>
      <c r="U43" s="4"/>
    </row>
    <row r="44" spans="1:21" x14ac:dyDescent="0.25">
      <c r="A44" s="4" t="s">
        <v>1032</v>
      </c>
      <c r="B44" s="4" t="s">
        <v>5643</v>
      </c>
      <c r="C44" s="4" t="str">
        <f>IFERROR(INDEX('Projekt-Budget-Übersicht'!$C:$C,MATCH(1056,'Projekt-Budget-Übersicht'!$L:$L,0)),"")</f>
        <v/>
      </c>
      <c r="D44" s="4">
        <v>24</v>
      </c>
      <c r="E44" s="4">
        <v>34</v>
      </c>
      <c r="F44" s="4">
        <v>1.5</v>
      </c>
      <c r="G44" s="15">
        <v>141.66999999999999</v>
      </c>
      <c r="H44" s="5"/>
      <c r="I44" s="5">
        <f t="shared" si="8"/>
        <v>0</v>
      </c>
      <c r="J44" s="4"/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IF($B$2="-",0,IFERROR(INDEX(IF($B$2="SV",'Projekt-Budget-Übersicht'!$I:$I,IF($B$2="CAD",'Projekt-Budget-Übersicht'!$J:$J,IF($B$2="ADM",'Projekt-Budget-Übersicht'!$K:$K,'Projekt-Budget-Übersicht'!$I:$I))),MATCH(1056,'Projekt-Budget-Übersicht'!$M:$M,0)),0))</f>
        <v>138</v>
      </c>
      <c r="M44" s="10">
        <f t="shared" si="9"/>
        <v>207</v>
      </c>
      <c r="N44" s="10">
        <f t="shared" si="10"/>
        <v>207</v>
      </c>
      <c r="O44" s="10">
        <f t="shared" si="11"/>
        <v>0</v>
      </c>
      <c r="P44" s="10">
        <f>'P. Bergner'!M44</f>
        <v>207</v>
      </c>
      <c r="Q44" s="10">
        <v>85</v>
      </c>
      <c r="R44" s="10">
        <f>IFERROR(INDEX('Projekt-Budget-Übersicht'!$F:$F,MATCH(1056,'Projekt-Budget-Übersicht'!$L:$L,0)),0)</f>
        <v>0</v>
      </c>
      <c r="S44" s="10">
        <v>3020</v>
      </c>
      <c r="T44" s="4"/>
      <c r="U44" s="4"/>
    </row>
    <row r="45" spans="1:21" x14ac:dyDescent="0.25">
      <c r="A45" s="4" t="s">
        <v>1152</v>
      </c>
      <c r="B45" s="4" t="s">
        <v>5558</v>
      </c>
      <c r="C45" s="4" t="str">
        <f>IFERROR(INDEX('Projekt-Budget-Übersicht'!$C:$C,MATCH(1197,'Projekt-Budget-Übersicht'!$L:$L,0)),"")</f>
        <v/>
      </c>
      <c r="D45" s="4">
        <v>4</v>
      </c>
      <c r="E45" s="4">
        <v>2</v>
      </c>
      <c r="F45" s="4">
        <v>2</v>
      </c>
      <c r="G45" s="16">
        <v>50</v>
      </c>
      <c r="H45" s="5"/>
      <c r="I45" s="5">
        <f t="shared" si="8"/>
        <v>0</v>
      </c>
      <c r="J45" s="4"/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IF($B$2="-",0,IFERROR(INDEX(IF($B$2="SV",'Projekt-Budget-Übersicht'!$I:$I,IF($B$2="CAD",'Projekt-Budget-Übersicht'!$J:$J,IF($B$2="ADM",'Projekt-Budget-Übersicht'!$K:$K,'Projekt-Budget-Übersicht'!$I:$I))),MATCH(1197,'Projekt-Budget-Übersicht'!$M:$M,0)),0))</f>
        <v>0</v>
      </c>
      <c r="M45" s="10">
        <f t="shared" si="9"/>
        <v>0</v>
      </c>
      <c r="N45" s="10">
        <f t="shared" si="10"/>
        <v>0</v>
      </c>
      <c r="O45" s="10">
        <f t="shared" si="11"/>
        <v>0</v>
      </c>
      <c r="P45" s="10">
        <f>'P. Bergner'!M45</f>
        <v>0</v>
      </c>
      <c r="Q45" s="10">
        <v>80</v>
      </c>
      <c r="R45" s="10">
        <f>IFERROR(INDEX('Projekt-Budget-Übersicht'!$F:$F,MATCH(1197,'Projekt-Budget-Übersicht'!$L:$L,0)),0)</f>
        <v>0</v>
      </c>
      <c r="S45" s="10"/>
      <c r="T45" s="4"/>
      <c r="U45" s="4"/>
    </row>
    <row r="46" spans="1:21" x14ac:dyDescent="0.25">
      <c r="A46" s="4" t="s">
        <v>2090</v>
      </c>
      <c r="B46" s="4" t="s">
        <v>5459</v>
      </c>
      <c r="C46" s="4" t="str">
        <f>IFERROR(INDEX('Projekt-Budget-Übersicht'!$C:$C,MATCH(2456,'Projekt-Budget-Übersicht'!$L:$L,0)),"")</f>
        <v/>
      </c>
      <c r="D46" s="4">
        <v>55</v>
      </c>
      <c r="E46" s="4">
        <v>50.5</v>
      </c>
      <c r="F46" s="4">
        <v>9</v>
      </c>
      <c r="G46" s="14">
        <v>91.82</v>
      </c>
      <c r="H46" s="5"/>
      <c r="I46" s="5">
        <f t="shared" si="8"/>
        <v>0</v>
      </c>
      <c r="J46" s="4"/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IF($B$2="-",0,IFERROR(INDEX(IF($B$2="SV",'Projekt-Budget-Übersicht'!$I:$I,IF($B$2="CAD",'Projekt-Budget-Übersicht'!$J:$J,IF($B$2="ADM",'Projekt-Budget-Übersicht'!$K:$K,'Projekt-Budget-Übersicht'!$I:$I))),MATCH(2456,'Projekt-Budget-Übersicht'!$M:$M,0)),0))</f>
        <v>0</v>
      </c>
      <c r="M46" s="10">
        <f t="shared" si="9"/>
        <v>0</v>
      </c>
      <c r="N46" s="10">
        <f t="shared" si="10"/>
        <v>0</v>
      </c>
      <c r="O46" s="10">
        <f t="shared" si="11"/>
        <v>0</v>
      </c>
      <c r="P46" s="10">
        <f>'P. Bergner'!M46</f>
        <v>0</v>
      </c>
      <c r="Q46" s="10">
        <v>55</v>
      </c>
      <c r="R46" s="10">
        <f>IFERROR(INDEX('Projekt-Budget-Übersicht'!$F:$F,MATCH(2456,'Projekt-Budget-Übersicht'!$L:$L,0)),0)</f>
        <v>0</v>
      </c>
      <c r="S46" s="10"/>
      <c r="T46" s="4"/>
      <c r="U46" s="4"/>
    </row>
    <row r="47" spans="1:21" x14ac:dyDescent="0.25">
      <c r="A47" s="4" t="s">
        <v>2718</v>
      </c>
      <c r="B47" s="4" t="s">
        <v>5558</v>
      </c>
      <c r="C47" s="4" t="str">
        <f>IFERROR(INDEX('Projekt-Budget-Übersicht'!$C:$C,MATCH(3022,'Projekt-Budget-Übersicht'!$L:$L,0)),"")</f>
        <v/>
      </c>
      <c r="D47" s="4">
        <v>2</v>
      </c>
      <c r="E47" s="4">
        <v>2</v>
      </c>
      <c r="F47" s="4">
        <v>2</v>
      </c>
      <c r="G47" s="14">
        <v>100</v>
      </c>
      <c r="H47" s="5"/>
      <c r="I47" s="5">
        <f t="shared" si="8"/>
        <v>0</v>
      </c>
      <c r="J47" s="4"/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IF($B$2="-",0,IFERROR(INDEX(IF($B$2="SV",'Projekt-Budget-Übersicht'!$I:$I,IF($B$2="CAD",'Projekt-Budget-Übersicht'!$J:$J,IF($B$2="ADM",'Projekt-Budget-Übersicht'!$K:$K,'Projekt-Budget-Übersicht'!$I:$I))),MATCH(3022,'Projekt-Budget-Übersicht'!$M:$M,0)),0))</f>
        <v>132.5</v>
      </c>
      <c r="M47" s="10">
        <f t="shared" si="9"/>
        <v>265</v>
      </c>
      <c r="N47" s="10">
        <f t="shared" si="10"/>
        <v>265</v>
      </c>
      <c r="O47" s="10">
        <f t="shared" si="11"/>
        <v>0</v>
      </c>
      <c r="P47" s="10">
        <f>'P. Bergner'!M47</f>
        <v>265</v>
      </c>
      <c r="Q47" s="10">
        <v>243</v>
      </c>
      <c r="R47" s="10">
        <f>IFERROR(INDEX('Projekt-Budget-Übersicht'!$F:$F,MATCH(3022,'Projekt-Budget-Übersicht'!$L:$L,0)),0)</f>
        <v>0</v>
      </c>
      <c r="S47" s="10">
        <v>1853.75</v>
      </c>
      <c r="T47" s="4"/>
      <c r="U47" s="4"/>
    </row>
    <row r="48" spans="1:21" x14ac:dyDescent="0.25">
      <c r="A48" s="4" t="s">
        <v>2917</v>
      </c>
      <c r="B48" s="4" t="s">
        <v>5504</v>
      </c>
      <c r="C48" s="4" t="str">
        <f>IFERROR(INDEX('Projekt-Budget-Übersicht'!$C:$C,MATCH(3189,'Projekt-Budget-Übersicht'!$L:$L,0)),"")</f>
        <v/>
      </c>
      <c r="D48" s="4">
        <v>1560</v>
      </c>
      <c r="E48" s="4">
        <v>625</v>
      </c>
      <c r="F48" s="4">
        <v>88</v>
      </c>
      <c r="G48" s="16">
        <v>40.06</v>
      </c>
      <c r="H48" s="5"/>
      <c r="I48" s="5">
        <f t="shared" si="8"/>
        <v>0</v>
      </c>
      <c r="J48" s="4"/>
      <c r="K48" s="5">
        <f>IF('O. Haag BS-CAD'!J110="P. Bergner",'O. Haag BS-CAD'!I110,0)</f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IF($B$2="-",0,IFERROR(INDEX(IF($B$2="SV",'Projekt-Budget-Übersicht'!$I:$I,IF($B$2="CAD",'Projekt-Budget-Übersicht'!$J:$J,IF($B$2="ADM",'Projekt-Budget-Übersicht'!$K:$K,'Projekt-Budget-Übersicht'!$I:$I))),MATCH(3189,'Projekt-Budget-Übersicht'!$M:$M,0)),0))</f>
        <v>0</v>
      </c>
      <c r="M48" s="10">
        <f t="shared" si="9"/>
        <v>0</v>
      </c>
      <c r="N48" s="10">
        <f t="shared" si="10"/>
        <v>0</v>
      </c>
      <c r="O48" s="10">
        <f t="shared" si="11"/>
        <v>0</v>
      </c>
      <c r="P48" s="10">
        <f>'O. Haag BS-CAD'!M110+'P. Bergner'!M48</f>
        <v>0</v>
      </c>
      <c r="Q48" s="10">
        <v>1560</v>
      </c>
      <c r="R48" s="10">
        <f>IFERROR(INDEX('Projekt-Budget-Übersicht'!$F:$F,MATCH(3189,'Projekt-Budget-Übersicht'!$L:$L,0)),0)</f>
        <v>0</v>
      </c>
      <c r="S48" s="10">
        <v>55003.040000000001</v>
      </c>
      <c r="T48" s="4"/>
      <c r="U48" s="4"/>
    </row>
    <row r="49" spans="1:21" x14ac:dyDescent="0.25">
      <c r="A49" s="4" t="s">
        <v>3375</v>
      </c>
      <c r="B49" s="4" t="s">
        <v>5644</v>
      </c>
      <c r="C49" s="4" t="str">
        <f>IFERROR(INDEX('Projekt-Budget-Übersicht'!$C:$C,MATCH(3592,'Projekt-Budget-Übersicht'!$L:$L,0)),"")</f>
        <v/>
      </c>
      <c r="D49" s="4">
        <v>12</v>
      </c>
      <c r="E49" s="4">
        <v>34</v>
      </c>
      <c r="F49" s="4">
        <v>2</v>
      </c>
      <c r="G49" s="15">
        <v>283.33</v>
      </c>
      <c r="H49" s="5"/>
      <c r="I49" s="5">
        <f t="shared" si="8"/>
        <v>0</v>
      </c>
      <c r="J49" s="4"/>
      <c r="K49" s="5"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IF($B$2="-",0,IFERROR(INDEX(IF($B$2="SV",'Projekt-Budget-Übersicht'!$I:$I,IF($B$2="CAD",'Projekt-Budget-Übersicht'!$J:$J,IF($B$2="ADM",'Projekt-Budget-Übersicht'!$K:$K,'Projekt-Budget-Übersicht'!$I:$I))),MATCH(3592,'Projekt-Budget-Übersicht'!$M:$M,0)),0))</f>
        <v>147.0588235294118</v>
      </c>
      <c r="M49" s="10">
        <f t="shared" si="9"/>
        <v>294.11764705882359</v>
      </c>
      <c r="N49" s="10">
        <f t="shared" si="10"/>
        <v>294.11764705882359</v>
      </c>
      <c r="O49" s="10">
        <f t="shared" si="11"/>
        <v>0</v>
      </c>
      <c r="P49" s="10">
        <f>'P. Bergner'!M49</f>
        <v>294.11764705882359</v>
      </c>
      <c r="Q49" s="10">
        <v>61</v>
      </c>
      <c r="R49" s="10">
        <f>IFERROR(INDEX('Projekt-Budget-Übersicht'!$F:$F,MATCH(3592,'Projekt-Budget-Übersicht'!$L:$L,0)),0)</f>
        <v>0</v>
      </c>
      <c r="S49" s="10">
        <v>3195</v>
      </c>
      <c r="T49" s="4"/>
      <c r="U49" s="4"/>
    </row>
    <row r="50" spans="1:21" x14ac:dyDescent="0.25">
      <c r="A50" s="4" t="s">
        <v>4006</v>
      </c>
      <c r="B50" s="4" t="s">
        <v>5645</v>
      </c>
      <c r="C50" s="4" t="str">
        <f>IFERROR(INDEX('Projekt-Budget-Übersicht'!$C:$C,MATCH(4135,'Projekt-Budget-Übersicht'!$L:$L,0)),"")</f>
        <v/>
      </c>
      <c r="D50" s="4">
        <v>8.5</v>
      </c>
      <c r="E50" s="4">
        <v>5.5</v>
      </c>
      <c r="F50" s="4">
        <v>4</v>
      </c>
      <c r="G50" s="16">
        <v>64.709999999999994</v>
      </c>
      <c r="H50" s="5"/>
      <c r="I50" s="5">
        <f t="shared" si="8"/>
        <v>0</v>
      </c>
      <c r="J50" s="4"/>
      <c r="K50" s="5">
        <v>0</v>
      </c>
      <c r="L50" s="10">
        <f>IF($B$2="-",0,IFERROR(INDEX(IF($B$2="SV",'Projekt-Budget-Übersicht'!$I:$I,IF($B$2="CAD",'Projekt-Budget-Übersicht'!$J:$J,IF($B$2="ADM",'Projekt-Budget-Übersicht'!$K:$K,'Projekt-Budget-Übersicht'!$I:$I))),MATCH(4135,'Projekt-Budget-Übersicht'!$M:$M,0)),0))</f>
        <v>107.8212290502793</v>
      </c>
      <c r="M50" s="10">
        <f t="shared" si="9"/>
        <v>431.2849162011172</v>
      </c>
      <c r="N50" s="10">
        <f t="shared" si="10"/>
        <v>431.2849162011172</v>
      </c>
      <c r="O50" s="10">
        <f t="shared" si="11"/>
        <v>0</v>
      </c>
      <c r="P50" s="10">
        <f>'P. Bergner'!M50</f>
        <v>431.2849162011172</v>
      </c>
      <c r="Q50" s="10">
        <v>89.5</v>
      </c>
      <c r="R50" s="10">
        <f>IFERROR(INDEX('Projekt-Budget-Übersicht'!$F:$F,MATCH(4135,'Projekt-Budget-Übersicht'!$L:$L,0)),0)</f>
        <v>0</v>
      </c>
      <c r="S50" s="10">
        <v>2885</v>
      </c>
      <c r="T50" s="4"/>
      <c r="U50" s="4"/>
    </row>
    <row r="51" spans="1:21" x14ac:dyDescent="0.25">
      <c r="A51" s="4" t="s">
        <v>4186</v>
      </c>
      <c r="B51" s="4" t="s">
        <v>5646</v>
      </c>
      <c r="C51" s="4" t="str">
        <f>IFERROR(INDEX('Projekt-Budget-Übersicht'!$C:$C,MATCH(4298,'Projekt-Budget-Übersicht'!$L:$L,0)),"")</f>
        <v/>
      </c>
      <c r="D51" s="4">
        <v>30</v>
      </c>
      <c r="E51" s="4">
        <v>25</v>
      </c>
      <c r="F51" s="4">
        <v>25</v>
      </c>
      <c r="G51" s="16">
        <v>83.33</v>
      </c>
      <c r="H51" s="5"/>
      <c r="I51" s="5">
        <f t="shared" si="8"/>
        <v>0</v>
      </c>
      <c r="J51" s="4"/>
      <c r="K51" s="5"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IF($B$2="-",0,IFERROR(INDEX(IF($B$2="SV",'Projekt-Budget-Übersicht'!$I:$I,IF($B$2="CAD",'Projekt-Budget-Übersicht'!$J:$J,IF($B$2="ADM",'Projekt-Budget-Übersicht'!$K:$K,'Projekt-Budget-Übersicht'!$I:$I))),MATCH(4298,'Projekt-Budget-Übersicht'!$M:$M,0)),0))</f>
        <v>0</v>
      </c>
      <c r="M51" s="10">
        <f t="shared" si="9"/>
        <v>0</v>
      </c>
      <c r="N51" s="10">
        <f t="shared" si="10"/>
        <v>0</v>
      </c>
      <c r="O51" s="10">
        <f t="shared" si="11"/>
        <v>0</v>
      </c>
      <c r="P51" s="10">
        <f>'P. Bergner'!M51</f>
        <v>0</v>
      </c>
      <c r="Q51" s="10">
        <v>90</v>
      </c>
      <c r="R51" s="10">
        <f>IFERROR(INDEX('Projekt-Budget-Übersicht'!$F:$F,MATCH(4298,'Projekt-Budget-Übersicht'!$L:$L,0)),0)</f>
        <v>0</v>
      </c>
      <c r="S51" s="10">
        <v>2250</v>
      </c>
      <c r="T51" s="4"/>
      <c r="U51" s="4"/>
    </row>
    <row r="52" spans="1:21" x14ac:dyDescent="0.25">
      <c r="A52" s="4" t="s">
        <v>4398</v>
      </c>
      <c r="B52" s="4" t="s">
        <v>5558</v>
      </c>
      <c r="C52" s="4" t="str">
        <f>IFERROR(INDEX('Projekt-Budget-Übersicht'!$C:$C,MATCH(4476,'Projekt-Budget-Übersicht'!$L:$L,0)),"")</f>
        <v/>
      </c>
      <c r="D52" s="4">
        <v>2</v>
      </c>
      <c r="E52" s="4">
        <v>2.75</v>
      </c>
      <c r="F52" s="4">
        <v>1.5</v>
      </c>
      <c r="G52" s="15">
        <v>137.5</v>
      </c>
      <c r="H52" s="5"/>
      <c r="I52" s="5">
        <f t="shared" si="8"/>
        <v>0</v>
      </c>
      <c r="J52" s="4"/>
      <c r="K52" s="5"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IF($B$2="-",0,IFERROR(INDEX(IF($B$2="SV",'Projekt-Budget-Übersicht'!$I:$I,IF($B$2="CAD",'Projekt-Budget-Übersicht'!$J:$J,IF($B$2="ADM",'Projekt-Budget-Übersicht'!$K:$K,'Projekt-Budget-Übersicht'!$I:$I))),MATCH(4476,'Projekt-Budget-Übersicht'!$M:$M,0)),0))</f>
        <v>123.2704402515723</v>
      </c>
      <c r="M52" s="10">
        <f t="shared" si="9"/>
        <v>184.90566037735846</v>
      </c>
      <c r="N52" s="10">
        <f t="shared" si="10"/>
        <v>184.90566037735846</v>
      </c>
      <c r="O52" s="10">
        <f t="shared" si="11"/>
        <v>0</v>
      </c>
      <c r="P52" s="10">
        <f>'P. Bergner'!M52</f>
        <v>184.90566037735846</v>
      </c>
      <c r="Q52" s="10">
        <v>159</v>
      </c>
      <c r="R52" s="10">
        <f>IFERROR(INDEX('Projekt-Budget-Übersicht'!$F:$F,MATCH(4476,'Projekt-Budget-Übersicht'!$L:$L,0)),0)</f>
        <v>0</v>
      </c>
      <c r="S52" s="10">
        <v>7710</v>
      </c>
      <c r="T52" s="4"/>
      <c r="U52" s="4"/>
    </row>
    <row r="53" spans="1:21" x14ac:dyDescent="0.25">
      <c r="A53" s="4" t="s">
        <v>4757</v>
      </c>
      <c r="B53" s="4" t="s">
        <v>5459</v>
      </c>
      <c r="C53" s="4" t="str">
        <f>IFERROR(INDEX('Projekt-Budget-Übersicht'!$C:$C,MATCH(4775,'Projekt-Budget-Übersicht'!$L:$L,0)),"")</f>
        <v/>
      </c>
      <c r="D53" s="4">
        <v>30</v>
      </c>
      <c r="E53" s="4">
        <v>73.75</v>
      </c>
      <c r="F53" s="4">
        <v>2</v>
      </c>
      <c r="G53" s="15">
        <v>245.83</v>
      </c>
      <c r="H53" s="5"/>
      <c r="I53" s="5">
        <f t="shared" si="8"/>
        <v>0</v>
      </c>
      <c r="J53" s="4"/>
      <c r="K53" s="5">
        <f>IF('R. Böttiger'!J61="P. Bergner",'R. Böttiger'!I61,0)</f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117.07317073170729</v>
      </c>
      <c r="M53" s="10">
        <f t="shared" si="9"/>
        <v>234.14634146341459</v>
      </c>
      <c r="N53" s="10">
        <f t="shared" si="10"/>
        <v>234.14634146341459</v>
      </c>
      <c r="O53" s="10">
        <f t="shared" si="11"/>
        <v>0</v>
      </c>
      <c r="P53" s="10">
        <f>'P. Bergner'!M53+'R. Böttiger'!M61</f>
        <v>2604.878048780487</v>
      </c>
      <c r="Q53" s="10">
        <v>64</v>
      </c>
      <c r="R53" s="10">
        <f>IFERROR(INDEX('Projekt-Budget-Übersicht'!$F:$F,MATCH(4775,'Projekt-Budget-Übersicht'!$L:$L,0)),0)</f>
        <v>0</v>
      </c>
      <c r="S53" s="10">
        <v>687.5</v>
      </c>
      <c r="T53" s="4"/>
      <c r="U53" s="4"/>
    </row>
    <row r="54" spans="1:21" x14ac:dyDescent="0.25">
      <c r="A54" s="4" t="s">
        <v>5304</v>
      </c>
      <c r="B54" s="4" t="s">
        <v>5459</v>
      </c>
      <c r="C54" s="4" t="s">
        <v>50</v>
      </c>
      <c r="D54" s="4">
        <v>0</v>
      </c>
      <c r="E54" s="4">
        <v>0</v>
      </c>
      <c r="F54" s="4">
        <v>2</v>
      </c>
      <c r="G54" s="4">
        <v>0</v>
      </c>
      <c r="H54" s="5"/>
      <c r="I54" s="5">
        <f t="shared" si="8"/>
        <v>0</v>
      </c>
      <c r="J54" s="4"/>
      <c r="K54" s="5">
        <v>0</v>
      </c>
      <c r="L54" s="10">
        <f>IF($B$2="-",0,0)</f>
        <v>0</v>
      </c>
      <c r="M54" s="10">
        <f t="shared" si="9"/>
        <v>0</v>
      </c>
      <c r="N54" s="10">
        <f t="shared" si="10"/>
        <v>0</v>
      </c>
      <c r="O54" s="10">
        <f t="shared" si="11"/>
        <v>0</v>
      </c>
      <c r="P54" s="10">
        <f>'P. Bergner'!M54</f>
        <v>0</v>
      </c>
      <c r="Q54" s="10"/>
      <c r="R54" s="10">
        <f>0</f>
        <v>0</v>
      </c>
      <c r="S54" s="10"/>
      <c r="T54" s="4"/>
      <c r="U54" s="4"/>
    </row>
    <row r="55" spans="1:21" x14ac:dyDescent="0.25">
      <c r="A55" s="3"/>
      <c r="B55" s="3" t="s">
        <v>5492</v>
      </c>
      <c r="C55" s="3"/>
      <c r="D55" s="3"/>
      <c r="E55" s="3"/>
      <c r="F55" s="6">
        <v>149</v>
      </c>
      <c r="G55" s="3"/>
      <c r="H55" s="3"/>
      <c r="I55" s="3"/>
      <c r="J55" s="3"/>
      <c r="K55" s="3"/>
      <c r="L55" s="3"/>
      <c r="M55" s="17">
        <f>SUM(M42:M54)</f>
        <v>1616.4545651007138</v>
      </c>
      <c r="N55" s="17">
        <f>SUM(N42:N54)</f>
        <v>1616.4545651007138</v>
      </c>
      <c r="O55" s="17">
        <f>SUM(O42:O54)</f>
        <v>0</v>
      </c>
      <c r="P55" s="17">
        <f>SUM(P42:P54)</f>
        <v>3987.1862724177863</v>
      </c>
      <c r="Q55" s="3"/>
      <c r="R55" s="3"/>
      <c r="S55" s="3"/>
      <c r="T55" s="3"/>
      <c r="U55" s="3"/>
    </row>
    <row r="56" spans="1:21" x14ac:dyDescent="0.25">
      <c r="A56" s="3"/>
      <c r="B56" s="3" t="s">
        <v>4</v>
      </c>
      <c r="C56" s="3"/>
      <c r="D56" s="3"/>
      <c r="E56" s="3"/>
      <c r="F56" s="6">
        <f>G56+H56</f>
        <v>132</v>
      </c>
      <c r="G56" s="6">
        <v>132</v>
      </c>
      <c r="H56" s="6">
        <f>SUM(H44,H45,H46,H47,H48,H49,H50,H51,H52,H53,H54)</f>
        <v>0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1:21" x14ac:dyDescent="0.25">
      <c r="A57" s="3"/>
      <c r="B57" s="3" t="s">
        <v>5</v>
      </c>
      <c r="C57" s="3"/>
      <c r="D57" s="3"/>
      <c r="E57" s="3"/>
      <c r="F57" s="6">
        <f>G57+H57</f>
        <v>10</v>
      </c>
      <c r="G57" s="6">
        <v>10</v>
      </c>
      <c r="H57" s="6">
        <f>SUM(H42,H43)</f>
        <v>0</v>
      </c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1:21" x14ac:dyDescent="0.25">
      <c r="A58" s="3"/>
      <c r="B58" s="3" t="s">
        <v>5493</v>
      </c>
      <c r="C58" s="3"/>
      <c r="D58" s="3"/>
      <c r="E58" s="3"/>
      <c r="F58" s="6">
        <f>SUM(K42:K54)</f>
        <v>0</v>
      </c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1:21" x14ac:dyDescent="0.25">
      <c r="A59" s="18"/>
      <c r="B59" s="18" t="s">
        <v>5494</v>
      </c>
      <c r="C59" s="18"/>
      <c r="D59" s="18"/>
      <c r="E59" s="18"/>
      <c r="F59" s="19">
        <f>F56+F57+F58</f>
        <v>142</v>
      </c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1" spans="1:21" ht="15.75" x14ac:dyDescent="0.25">
      <c r="A61" s="2" t="s">
        <v>5524</v>
      </c>
    </row>
    <row r="62" spans="1:21" x14ac:dyDescent="0.25">
      <c r="A62" s="3" t="s">
        <v>2</v>
      </c>
      <c r="B62" s="3" t="s">
        <v>5525</v>
      </c>
      <c r="C62" s="3" t="s">
        <v>5526</v>
      </c>
      <c r="D62" s="3" t="s">
        <v>4</v>
      </c>
      <c r="E62" s="3" t="s">
        <v>5</v>
      </c>
      <c r="F62" s="3" t="s">
        <v>5527</v>
      </c>
      <c r="G62" s="3" t="s">
        <v>5528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1:21" x14ac:dyDescent="0.25">
      <c r="A63" s="4" t="s">
        <v>6</v>
      </c>
      <c r="B63" s="4" t="s">
        <v>26</v>
      </c>
      <c r="C63" s="4">
        <f>F13</f>
        <v>74.5</v>
      </c>
      <c r="D63" s="4">
        <f>F14</f>
        <v>71</v>
      </c>
      <c r="E63" s="4">
        <f>F15</f>
        <v>0</v>
      </c>
      <c r="F63" s="4">
        <f>F16</f>
        <v>0</v>
      </c>
      <c r="G63" s="4">
        <f>F17</f>
        <v>71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</row>
    <row r="64" spans="1:21" x14ac:dyDescent="0.25">
      <c r="A64" s="4" t="s">
        <v>7</v>
      </c>
      <c r="B64" s="4" t="s">
        <v>26</v>
      </c>
      <c r="C64" s="4">
        <f>F34</f>
        <v>139</v>
      </c>
      <c r="D64" s="4">
        <f>F35</f>
        <v>133.5</v>
      </c>
      <c r="E64" s="4">
        <f>F36</f>
        <v>5.5</v>
      </c>
      <c r="F64" s="4">
        <f>F37</f>
        <v>0</v>
      </c>
      <c r="G64" s="4">
        <f>F38</f>
        <v>139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</row>
    <row r="65" spans="1:21" x14ac:dyDescent="0.25">
      <c r="A65" s="4" t="s">
        <v>8</v>
      </c>
      <c r="B65" s="4" t="s">
        <v>26</v>
      </c>
      <c r="C65" s="4">
        <f>F55</f>
        <v>149</v>
      </c>
      <c r="D65" s="4">
        <f>F56</f>
        <v>132</v>
      </c>
      <c r="E65" s="4">
        <f>F57</f>
        <v>10</v>
      </c>
      <c r="F65" s="4">
        <f>F58</f>
        <v>0</v>
      </c>
      <c r="G65" s="4">
        <f>F59</f>
        <v>142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</row>
    <row r="67" spans="1:21" ht="15.75" x14ac:dyDescent="0.25">
      <c r="A67" s="2" t="s">
        <v>5550</v>
      </c>
    </row>
    <row r="68" spans="1:21" x14ac:dyDescent="0.25">
      <c r="A68" s="3" t="s">
        <v>35</v>
      </c>
      <c r="B68" s="3" t="s">
        <v>5461</v>
      </c>
      <c r="C68" s="3" t="s">
        <v>5551</v>
      </c>
      <c r="D68" s="3" t="s">
        <v>5552</v>
      </c>
      <c r="E68" s="3" t="s">
        <v>5465</v>
      </c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1:21" x14ac:dyDescent="0.25">
      <c r="A69" s="4" t="s">
        <v>61</v>
      </c>
      <c r="B69" s="4" t="s">
        <v>5642</v>
      </c>
      <c r="C69" s="4">
        <v>4</v>
      </c>
      <c r="D69" s="4">
        <v>4</v>
      </c>
      <c r="E69" s="14">
        <v>100</v>
      </c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</row>
    <row r="71" spans="1:21" ht="18.75" x14ac:dyDescent="0.3">
      <c r="A71" s="1" t="s">
        <v>5529</v>
      </c>
    </row>
    <row r="72" spans="1:21" x14ac:dyDescent="0.25">
      <c r="A72" s="3" t="s">
        <v>35</v>
      </c>
      <c r="B72" s="3" t="s">
        <v>5461</v>
      </c>
      <c r="C72" s="3" t="s">
        <v>37</v>
      </c>
      <c r="D72" s="3" t="s">
        <v>5462</v>
      </c>
      <c r="E72" s="3" t="s">
        <v>5463</v>
      </c>
      <c r="F72" s="3" t="s">
        <v>5530</v>
      </c>
      <c r="G72" s="3" t="s">
        <v>5465</v>
      </c>
      <c r="H72" s="3" t="s">
        <v>5466</v>
      </c>
      <c r="I72" s="3" t="s">
        <v>5467</v>
      </c>
      <c r="J72" s="3" t="s">
        <v>5468</v>
      </c>
      <c r="K72" s="3" t="s">
        <v>5469</v>
      </c>
      <c r="L72" s="3" t="s">
        <v>5470</v>
      </c>
      <c r="M72" s="3" t="s">
        <v>5471</v>
      </c>
      <c r="N72" s="3" t="s">
        <v>5472</v>
      </c>
      <c r="O72" s="3" t="s">
        <v>5473</v>
      </c>
      <c r="P72" s="3" t="s">
        <v>5474</v>
      </c>
      <c r="Q72" s="3" t="s">
        <v>5476</v>
      </c>
      <c r="R72" s="3" t="s">
        <v>5477</v>
      </c>
      <c r="S72" s="3"/>
      <c r="T72" s="3"/>
      <c r="U72" s="3"/>
    </row>
    <row r="73" spans="1:21" x14ac:dyDescent="0.25">
      <c r="A73" s="21" t="s">
        <v>61</v>
      </c>
      <c r="B73" s="4" t="s">
        <v>5480</v>
      </c>
      <c r="C73" s="4" t="str">
        <f>IFERROR(INDEX('Projekt-Budget-Übersicht'!$C:$C,MATCH(10,'Projekt-Budget-Übersicht'!$L:$L,0)),"")</f>
        <v/>
      </c>
      <c r="D73" s="4">
        <v>24</v>
      </c>
      <c r="E73" s="4">
        <v>0.5</v>
      </c>
      <c r="F73" s="5">
        <f>SUM(F21,I21,K21)</f>
        <v>0.5</v>
      </c>
      <c r="G73" s="16">
        <v>2.08</v>
      </c>
      <c r="H73" s="5">
        <f>SUM(H21)</f>
        <v>0</v>
      </c>
      <c r="I73" s="5">
        <f t="shared" ref="I73:I101" si="12">IF(H73=0,0,F73-H73)</f>
        <v>0</v>
      </c>
      <c r="J73" s="4" t="s">
        <v>5531</v>
      </c>
      <c r="K73" s="5">
        <f>SUM(K21)</f>
        <v>0</v>
      </c>
      <c r="L73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73" s="10">
        <f t="shared" ref="M73:M101" si="13">IF($B$2="-",0,IF(C73="Pauschale",IF(OR(Q73=0,N(D73)=0),0,MAX(0,MIN(Q73*((N(F73)+N(K73))/N(D73)),Q73-Q73*(N(E73)/N(D73))))),L73*(N(F73)+N(K73))))</f>
        <v>0</v>
      </c>
      <c r="N73" s="10">
        <f t="shared" ref="N73:N101" si="14">IF($B$2="-",0,IF(C73="Pauschale",IF(OR(Q73=0,N(D73)=0),0,Q73*((N(F73)+N(K73))/N(D73))),L73*(N(F73)+N(K73))))</f>
        <v>0</v>
      </c>
      <c r="O73" s="10">
        <f t="shared" ref="O73:O101" si="15">N73-M73</f>
        <v>0</v>
      </c>
      <c r="P73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73" s="10">
        <f>IFERROR(INDEX('Projekt-Budget-Übersicht'!$E:$E,MATCH(10,'Projekt-Budget-Übersicht'!$L:$L,0)),0)</f>
        <v>0</v>
      </c>
      <c r="R73" s="10">
        <v>68628.19</v>
      </c>
      <c r="S73" s="4"/>
      <c r="T73" s="4"/>
      <c r="U73" s="4"/>
    </row>
    <row r="74" spans="1:21" x14ac:dyDescent="0.25">
      <c r="A74" s="23"/>
      <c r="B74" s="4" t="s">
        <v>5481</v>
      </c>
      <c r="C74" s="4" t="str">
        <f>IFERROR(INDEX('Projekt-Budget-Übersicht'!$C:$C,MATCH(10,'Projekt-Budget-Übersicht'!$L:$L,0)),"")</f>
        <v/>
      </c>
      <c r="D74" s="4">
        <v>24</v>
      </c>
      <c r="E74" s="4">
        <v>5</v>
      </c>
      <c r="F74" s="5">
        <f>SUM(F22,I22,K22)</f>
        <v>5</v>
      </c>
      <c r="G74" s="16">
        <v>20.83</v>
      </c>
      <c r="H74" s="5">
        <f>SUM(H22)</f>
        <v>0</v>
      </c>
      <c r="I74" s="5">
        <f t="shared" si="12"/>
        <v>0</v>
      </c>
      <c r="J74" s="4" t="s">
        <v>5531</v>
      </c>
      <c r="K74" s="5">
        <f>SUM(K22)</f>
        <v>0</v>
      </c>
      <c r="L74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74" s="10">
        <f t="shared" si="13"/>
        <v>0</v>
      </c>
      <c r="N74" s="10">
        <f t="shared" si="14"/>
        <v>0</v>
      </c>
      <c r="O74" s="10">
        <f t="shared" si="15"/>
        <v>0</v>
      </c>
      <c r="P74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74" s="10">
        <f>IFERROR(INDEX('Projekt-Budget-Übersicht'!$E:$E,MATCH(10,'Projekt-Budget-Übersicht'!$L:$L,0)),0)</f>
        <v>0</v>
      </c>
      <c r="R74" s="10">
        <v>68628.19</v>
      </c>
      <c r="S74" s="4"/>
      <c r="T74" s="4"/>
      <c r="U74" s="4"/>
    </row>
    <row r="75" spans="1:21" x14ac:dyDescent="0.25">
      <c r="A75" s="23"/>
      <c r="B75" s="4" t="s">
        <v>5547</v>
      </c>
      <c r="C75" s="4" t="str">
        <f>IFERROR(INDEX('Projekt-Budget-Übersicht'!$C:$C,MATCH(10,'Projekt-Budget-Übersicht'!$L:$L,0)),"")</f>
        <v/>
      </c>
      <c r="D75" s="4">
        <v>24</v>
      </c>
      <c r="E75" s="4">
        <v>6</v>
      </c>
      <c r="F75" s="5">
        <f>SUM(F42,I42,K42)</f>
        <v>6</v>
      </c>
      <c r="G75" s="16">
        <v>25</v>
      </c>
      <c r="H75" s="5">
        <f>SUM(H42)</f>
        <v>0</v>
      </c>
      <c r="I75" s="5">
        <f t="shared" si="12"/>
        <v>0</v>
      </c>
      <c r="J75" s="4" t="s">
        <v>5531</v>
      </c>
      <c r="K75" s="5">
        <f>SUM(K42)</f>
        <v>0</v>
      </c>
      <c r="L75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75" s="10">
        <f t="shared" si="13"/>
        <v>0</v>
      </c>
      <c r="N75" s="10">
        <f t="shared" si="14"/>
        <v>0</v>
      </c>
      <c r="O75" s="10">
        <f t="shared" si="15"/>
        <v>0</v>
      </c>
      <c r="P75" s="10">
        <f>'C. Trapp SV'!M86+'J. Dorn'!M120+'O. Haag BS-CAD'!M144+'P. Bergner'!M75+'T. Trautmann'!M114</f>
        <v>0</v>
      </c>
      <c r="Q75" s="10">
        <f>IFERROR(INDEX('Projekt-Budget-Übersicht'!$E:$E,MATCH(10,'Projekt-Budget-Übersicht'!$L:$L,0)),0)</f>
        <v>0</v>
      </c>
      <c r="R75" s="10">
        <v>68628.19</v>
      </c>
      <c r="S75" s="4"/>
      <c r="T75" s="4"/>
      <c r="U75" s="4"/>
    </row>
    <row r="76" spans="1:21" x14ac:dyDescent="0.25">
      <c r="A76" s="22"/>
      <c r="B76" s="4" t="s">
        <v>5642</v>
      </c>
      <c r="C76" s="4" t="str">
        <f>IFERROR(INDEX('Projekt-Budget-Übersicht'!$C:$C,MATCH(10,'Projekt-Budget-Übersicht'!$L:$L,0)),"")</f>
        <v/>
      </c>
      <c r="D76" s="4">
        <v>4</v>
      </c>
      <c r="E76" s="4">
        <v>4</v>
      </c>
      <c r="F76" s="5">
        <f>SUM(F43,I43,K43)</f>
        <v>4</v>
      </c>
      <c r="G76" s="14">
        <v>100</v>
      </c>
      <c r="H76" s="5">
        <f>SUM(H43)</f>
        <v>0</v>
      </c>
      <c r="I76" s="5">
        <f t="shared" si="12"/>
        <v>0</v>
      </c>
      <c r="J76" s="4" t="s">
        <v>5531</v>
      </c>
      <c r="K76" s="5">
        <f>SUM(K43)</f>
        <v>0</v>
      </c>
      <c r="L76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76" s="10">
        <f t="shared" si="13"/>
        <v>0</v>
      </c>
      <c r="N76" s="10">
        <f t="shared" si="14"/>
        <v>0</v>
      </c>
      <c r="O76" s="10">
        <f t="shared" si="15"/>
        <v>0</v>
      </c>
      <c r="P76" s="10">
        <f>'P. Bergner'!M76</f>
        <v>0</v>
      </c>
      <c r="Q76" s="10">
        <f>IFERROR(INDEX('Projekt-Budget-Übersicht'!$E:$E,MATCH(10,'Projekt-Budget-Übersicht'!$L:$L,0)),0)</f>
        <v>0</v>
      </c>
      <c r="R76" s="10">
        <v>68628.19</v>
      </c>
      <c r="S76" s="4"/>
      <c r="T76" s="4"/>
      <c r="U76" s="4"/>
    </row>
    <row r="77" spans="1:21" x14ac:dyDescent="0.25">
      <c r="A77" s="4" t="s">
        <v>196</v>
      </c>
      <c r="B77" s="4" t="s">
        <v>5640</v>
      </c>
      <c r="C77" s="4" t="str">
        <f>IFERROR(INDEX('Projekt-Budget-Übersicht'!$C:$C,MATCH(126,'Projekt-Budget-Übersicht'!$L:$L,0)),"")</f>
        <v/>
      </c>
      <c r="D77" s="4">
        <v>192</v>
      </c>
      <c r="E77" s="4">
        <v>64</v>
      </c>
      <c r="F77" s="5">
        <f>SUM(F23,I23,K23)</f>
        <v>6.5</v>
      </c>
      <c r="G77" s="16">
        <v>33.33</v>
      </c>
      <c r="H77" s="5">
        <f>SUM(H23)</f>
        <v>0</v>
      </c>
      <c r="I77" s="5">
        <f t="shared" si="12"/>
        <v>0</v>
      </c>
      <c r="J77" s="4" t="s">
        <v>5531</v>
      </c>
      <c r="K77" s="5">
        <f>SUM(K23)</f>
        <v>0</v>
      </c>
      <c r="L77" s="10">
        <f>IF($B$2="-",0,IFERROR(INDEX(IF($B$2="SV",'Projekt-Budget-Übersicht'!$H:$H,IF($B$2="CAD",'Projekt-Budget-Übersicht'!$I:$I,IF($B$2="ADM",'Projekt-Budget-Übersicht'!$J:$J,'Projekt-Budget-Übersicht'!$H:$H))),MATCH(126,'Projekt-Budget-Übersicht'!$L:$L,0)),0))</f>
        <v>0</v>
      </c>
      <c r="M77" s="10">
        <f t="shared" si="13"/>
        <v>0</v>
      </c>
      <c r="N77" s="10">
        <f t="shared" si="14"/>
        <v>0</v>
      </c>
      <c r="O77" s="10">
        <f t="shared" si="15"/>
        <v>0</v>
      </c>
      <c r="P77" s="10">
        <f>'P. Bergner'!M77</f>
        <v>0</v>
      </c>
      <c r="Q77" s="10">
        <f>IFERROR(INDEX('Projekt-Budget-Übersicht'!$E:$E,MATCH(126,'Projekt-Budget-Übersicht'!$L:$L,0)),0)</f>
        <v>0</v>
      </c>
      <c r="R77" s="10">
        <v>7880</v>
      </c>
      <c r="S77" s="4"/>
      <c r="T77" s="4"/>
      <c r="U77" s="4"/>
    </row>
    <row r="78" spans="1:21" x14ac:dyDescent="0.25">
      <c r="A78" s="4" t="s">
        <v>377</v>
      </c>
      <c r="B78" s="4" t="s">
        <v>5641</v>
      </c>
      <c r="C78" s="4" t="str">
        <f>IFERROR(INDEX('Projekt-Budget-Übersicht'!$C:$C,MATCH(350,'Projekt-Budget-Übersicht'!$L:$L,0)),"")</f>
        <v/>
      </c>
      <c r="D78" s="4">
        <v>120</v>
      </c>
      <c r="E78" s="4">
        <v>26.5</v>
      </c>
      <c r="F78" s="5">
        <f>SUM(F24,I24,K24)</f>
        <v>5</v>
      </c>
      <c r="G78" s="16">
        <v>22.08</v>
      </c>
      <c r="H78" s="5">
        <f>SUM(H24)</f>
        <v>0</v>
      </c>
      <c r="I78" s="5">
        <f t="shared" si="12"/>
        <v>0</v>
      </c>
      <c r="J78" s="4" t="s">
        <v>5531</v>
      </c>
      <c r="K78" s="5">
        <f>SUM(K24)</f>
        <v>0</v>
      </c>
      <c r="L78" s="10">
        <f>IF($B$2="-",0,IFERROR(INDEX(IF($B$2="SV",'Projekt-Budget-Übersicht'!$H:$H,IF($B$2="CAD",'Projekt-Budget-Übersicht'!$I:$I,IF($B$2="ADM",'Projekt-Budget-Übersicht'!$J:$J,'Projekt-Budget-Übersicht'!$H:$H))),MATCH(350,'Projekt-Budget-Übersicht'!$L:$L,0)),0))</f>
        <v>0</v>
      </c>
      <c r="M78" s="10">
        <f t="shared" si="13"/>
        <v>0</v>
      </c>
      <c r="N78" s="10">
        <f t="shared" si="14"/>
        <v>0</v>
      </c>
      <c r="O78" s="10">
        <f t="shared" si="15"/>
        <v>0</v>
      </c>
      <c r="P78" s="10">
        <f>'P. Bergner'!M78</f>
        <v>0</v>
      </c>
      <c r="Q78" s="10">
        <f>IFERROR(INDEX('Projekt-Budget-Übersicht'!$E:$E,MATCH(350,'Projekt-Budget-Übersicht'!$L:$L,0)),0)</f>
        <v>0</v>
      </c>
      <c r="R78" s="10">
        <v>2385</v>
      </c>
      <c r="S78" s="4"/>
      <c r="T78" s="4"/>
      <c r="U78" s="4"/>
    </row>
    <row r="79" spans="1:21" x14ac:dyDescent="0.25">
      <c r="A79" s="4" t="s">
        <v>1032</v>
      </c>
      <c r="B79" s="4" t="s">
        <v>5643</v>
      </c>
      <c r="C79" s="4" t="str">
        <f>IFERROR(INDEX('Projekt-Budget-Übersicht'!$C:$C,MATCH(1056,'Projekt-Budget-Übersicht'!$L:$L,0)),"")</f>
        <v/>
      </c>
      <c r="D79" s="4">
        <v>24</v>
      </c>
      <c r="E79" s="4">
        <v>34</v>
      </c>
      <c r="F79" s="5">
        <f>SUM(F44,I44,K44)</f>
        <v>1.5</v>
      </c>
      <c r="G79" s="15">
        <v>141.66999999999999</v>
      </c>
      <c r="H79" s="5">
        <f>SUM(H44)</f>
        <v>0</v>
      </c>
      <c r="I79" s="5">
        <f t="shared" si="12"/>
        <v>0</v>
      </c>
      <c r="J79" s="4" t="s">
        <v>5531</v>
      </c>
      <c r="K79" s="5">
        <f>SUM(K44)</f>
        <v>0</v>
      </c>
      <c r="L79" s="10">
        <f>IF($B$2="-",0,IFERROR(INDEX(IF($B$2="SV",'Projekt-Budget-Übersicht'!$H:$H,IF($B$2="CAD",'Projekt-Budget-Übersicht'!$I:$I,IF($B$2="ADM",'Projekt-Budget-Übersicht'!$J:$J,'Projekt-Budget-Übersicht'!$H:$H))),MATCH(1056,'Projekt-Budget-Übersicht'!$L:$L,0)),0))</f>
        <v>0</v>
      </c>
      <c r="M79" s="10">
        <f t="shared" si="13"/>
        <v>0</v>
      </c>
      <c r="N79" s="10">
        <f t="shared" si="14"/>
        <v>0</v>
      </c>
      <c r="O79" s="10">
        <f t="shared" si="15"/>
        <v>0</v>
      </c>
      <c r="P79" s="10">
        <f>'P. Bergner'!M79</f>
        <v>0</v>
      </c>
      <c r="Q79" s="10">
        <f>IFERROR(INDEX('Projekt-Budget-Übersicht'!$E:$E,MATCH(1056,'Projekt-Budget-Übersicht'!$L:$L,0)),0)</f>
        <v>0</v>
      </c>
      <c r="R79" s="10">
        <v>3020</v>
      </c>
      <c r="S79" s="4"/>
      <c r="T79" s="4"/>
      <c r="U79" s="4"/>
    </row>
    <row r="80" spans="1:21" x14ac:dyDescent="0.25">
      <c r="A80" s="4" t="s">
        <v>1152</v>
      </c>
      <c r="B80" s="4" t="s">
        <v>5558</v>
      </c>
      <c r="C80" s="4" t="str">
        <f>IFERROR(INDEX('Projekt-Budget-Übersicht'!$C:$C,MATCH(1197,'Projekt-Budget-Übersicht'!$L:$L,0)),"")</f>
        <v/>
      </c>
      <c r="D80" s="4">
        <v>4</v>
      </c>
      <c r="E80" s="4">
        <v>2</v>
      </c>
      <c r="F80" s="5">
        <f>SUM(F45,I45,K45)</f>
        <v>2</v>
      </c>
      <c r="G80" s="16">
        <v>50</v>
      </c>
      <c r="H80" s="5">
        <f>SUM(H45)</f>
        <v>0</v>
      </c>
      <c r="I80" s="5">
        <f t="shared" si="12"/>
        <v>0</v>
      </c>
      <c r="J80" s="4" t="s">
        <v>5531</v>
      </c>
      <c r="K80" s="5">
        <f>SUM(K45)</f>
        <v>0</v>
      </c>
      <c r="L80" s="10">
        <f>IF($B$2="-",0,IFERROR(INDEX(IF($B$2="SV",'Projekt-Budget-Übersicht'!$H:$H,IF($B$2="CAD",'Projekt-Budget-Übersicht'!$I:$I,IF($B$2="ADM",'Projekt-Budget-Übersicht'!$J:$J,'Projekt-Budget-Übersicht'!$H:$H))),MATCH(1197,'Projekt-Budget-Übersicht'!$L:$L,0)),0))</f>
        <v>0</v>
      </c>
      <c r="M80" s="10">
        <f t="shared" si="13"/>
        <v>0</v>
      </c>
      <c r="N80" s="10">
        <f t="shared" si="14"/>
        <v>0</v>
      </c>
      <c r="O80" s="10">
        <f t="shared" si="15"/>
        <v>0</v>
      </c>
      <c r="P80" s="10">
        <f>'P. Bergner'!M80</f>
        <v>0</v>
      </c>
      <c r="Q80" s="10">
        <f>IFERROR(INDEX('Projekt-Budget-Übersicht'!$E:$E,MATCH(1197,'Projekt-Budget-Übersicht'!$L:$L,0)),0)</f>
        <v>0</v>
      </c>
      <c r="R80" s="10"/>
      <c r="S80" s="4"/>
      <c r="T80" s="4"/>
      <c r="U80" s="4"/>
    </row>
    <row r="81" spans="1:21" x14ac:dyDescent="0.25">
      <c r="A81" s="4" t="s">
        <v>1302</v>
      </c>
      <c r="B81" s="4" t="s">
        <v>5563</v>
      </c>
      <c r="C81" s="4" t="str">
        <f>IFERROR(INDEX('Projekt-Budget-Übersicht'!$C:$C,MATCH(1412,'Projekt-Budget-Übersicht'!$L:$L,0)),"")</f>
        <v/>
      </c>
      <c r="D81" s="4">
        <v>295.5</v>
      </c>
      <c r="E81" s="4">
        <v>113</v>
      </c>
      <c r="F81" s="5">
        <f>SUM(F6,I6,K6)</f>
        <v>8</v>
      </c>
      <c r="G81" s="16">
        <v>38.24</v>
      </c>
      <c r="H81" s="5">
        <f>SUM(H6)</f>
        <v>0</v>
      </c>
      <c r="I81" s="5">
        <f t="shared" si="12"/>
        <v>0</v>
      </c>
      <c r="J81" s="4" t="s">
        <v>5531</v>
      </c>
      <c r="K81" s="5">
        <f>SUM(K6)</f>
        <v>0</v>
      </c>
      <c r="L81" s="10">
        <f>IF($B$2="-",0,IFERROR(INDEX(IF($B$2="SV",'Projekt-Budget-Übersicht'!$H:$H,IF($B$2="CAD",'Projekt-Budget-Übersicht'!$I:$I,IF($B$2="ADM",'Projekt-Budget-Übersicht'!$J:$J,'Projekt-Budget-Übersicht'!$H:$H))),MATCH(1412,'Projekt-Budget-Übersicht'!$L:$L,0)),0))</f>
        <v>0</v>
      </c>
      <c r="M81" s="10">
        <f t="shared" si="13"/>
        <v>0</v>
      </c>
      <c r="N81" s="10">
        <f t="shared" si="14"/>
        <v>0</v>
      </c>
      <c r="O81" s="10">
        <f t="shared" si="15"/>
        <v>0</v>
      </c>
      <c r="P81" s="10">
        <f>'E. Bieler'!M82+'J. Dorn'!M122+'P. Bergner'!M81</f>
        <v>0</v>
      </c>
      <c r="Q81" s="10">
        <f>IFERROR(INDEX('Projekt-Budget-Übersicht'!$E:$E,MATCH(1412,'Projekt-Budget-Übersicht'!$L:$L,0)),0)</f>
        <v>0</v>
      </c>
      <c r="R81" s="10">
        <v>9580.17</v>
      </c>
      <c r="S81" s="4"/>
      <c r="T81" s="4"/>
      <c r="U81" s="4"/>
    </row>
    <row r="82" spans="1:21" x14ac:dyDescent="0.25">
      <c r="A82" s="4" t="s">
        <v>1403</v>
      </c>
      <c r="B82" s="4" t="s">
        <v>5459</v>
      </c>
      <c r="C82" s="4" t="str">
        <f>IFERROR(INDEX('Projekt-Budget-Übersicht'!$C:$C,MATCH(1544,'Projekt-Budget-Übersicht'!$L:$L,0)),"")</f>
        <v/>
      </c>
      <c r="D82" s="4">
        <v>30</v>
      </c>
      <c r="E82" s="4">
        <v>29</v>
      </c>
      <c r="F82" s="5">
        <f>SUM(F25,I25,K25)</f>
        <v>2</v>
      </c>
      <c r="G82" s="14">
        <v>96.67</v>
      </c>
      <c r="H82" s="5">
        <f>SUM(H25)</f>
        <v>0</v>
      </c>
      <c r="I82" s="5">
        <f t="shared" si="12"/>
        <v>0</v>
      </c>
      <c r="J82" s="4" t="s">
        <v>5531</v>
      </c>
      <c r="K82" s="5">
        <f>SUM(K25)</f>
        <v>0</v>
      </c>
      <c r="L82" s="10">
        <f>IF($B$2="-",0,IFERROR(INDEX(IF($B$2="SV",'Projekt-Budget-Übersicht'!$H:$H,IF($B$2="CAD",'Projekt-Budget-Übersicht'!$I:$I,IF($B$2="ADM",'Projekt-Budget-Übersicht'!$J:$J,'Projekt-Budget-Übersicht'!$H:$H))),MATCH(1544,'Projekt-Budget-Übersicht'!$L:$L,0)),0))</f>
        <v>0</v>
      </c>
      <c r="M82" s="10">
        <f t="shared" si="13"/>
        <v>0</v>
      </c>
      <c r="N82" s="10">
        <f t="shared" si="14"/>
        <v>0</v>
      </c>
      <c r="O82" s="10">
        <f t="shared" si="15"/>
        <v>0</v>
      </c>
      <c r="P82" s="10">
        <f>'M. Bandlofsky'!M98+'P. Bergner'!M82</f>
        <v>0</v>
      </c>
      <c r="Q82" s="10">
        <f>IFERROR(INDEX('Projekt-Budget-Übersicht'!$E:$E,MATCH(1544,'Projekt-Budget-Übersicht'!$L:$L,0)),0)</f>
        <v>0</v>
      </c>
      <c r="R82" s="10">
        <v>215</v>
      </c>
      <c r="S82" s="4"/>
      <c r="T82" s="4"/>
      <c r="U82" s="4"/>
    </row>
    <row r="83" spans="1:21" x14ac:dyDescent="0.25">
      <c r="A83" s="4" t="s">
        <v>1406</v>
      </c>
      <c r="B83" s="4" t="s">
        <v>5545</v>
      </c>
      <c r="C83" s="4" t="str">
        <f>IFERROR(INDEX('Projekt-Budget-Übersicht'!$C:$C,MATCH(1546,'Projekt-Budget-Übersicht'!$L:$L,0)),"")</f>
        <v/>
      </c>
      <c r="D83" s="4">
        <v>8</v>
      </c>
      <c r="E83" s="4">
        <v>8</v>
      </c>
      <c r="F83" s="5">
        <f>SUM(F26,I26,K26)</f>
        <v>1</v>
      </c>
      <c r="G83" s="14">
        <v>100</v>
      </c>
      <c r="H83" s="5">
        <f>SUM(H26)</f>
        <v>0</v>
      </c>
      <c r="I83" s="5">
        <f t="shared" si="12"/>
        <v>0</v>
      </c>
      <c r="J83" s="4" t="s">
        <v>5531</v>
      </c>
      <c r="K83" s="5">
        <f>SUM(K26)</f>
        <v>0</v>
      </c>
      <c r="L83" s="10">
        <f>IF($B$2="-",0,IFERROR(INDEX(IF($B$2="SV",'Projekt-Budget-Übersicht'!$H:$H,IF($B$2="CAD",'Projekt-Budget-Übersicht'!$I:$I,IF($B$2="ADM",'Projekt-Budget-Übersicht'!$J:$J,'Projekt-Budget-Übersicht'!$H:$H))),MATCH(1546,'Projekt-Budget-Übersicht'!$L:$L,0)),0))</f>
        <v>0</v>
      </c>
      <c r="M83" s="10">
        <f t="shared" si="13"/>
        <v>0</v>
      </c>
      <c r="N83" s="10">
        <f t="shared" si="14"/>
        <v>0</v>
      </c>
      <c r="O83" s="10">
        <f t="shared" si="15"/>
        <v>0</v>
      </c>
      <c r="P83" s="10">
        <f>'P. Bergner'!M83</f>
        <v>0</v>
      </c>
      <c r="Q83" s="10">
        <f>IFERROR(INDEX('Projekt-Budget-Übersicht'!$E:$E,MATCH(1546,'Projekt-Budget-Übersicht'!$L:$L,0)),0)</f>
        <v>0</v>
      </c>
      <c r="R83" s="10">
        <v>720</v>
      </c>
      <c r="S83" s="4"/>
      <c r="T83" s="4"/>
      <c r="U83" s="4"/>
    </row>
    <row r="84" spans="1:21" x14ac:dyDescent="0.25">
      <c r="A84" s="4" t="s">
        <v>2090</v>
      </c>
      <c r="B84" s="4" t="s">
        <v>5459</v>
      </c>
      <c r="C84" s="4" t="str">
        <f>IFERROR(INDEX('Projekt-Budget-Übersicht'!$C:$C,MATCH(2456,'Projekt-Budget-Übersicht'!$L:$L,0)),"")</f>
        <v/>
      </c>
      <c r="D84" s="4">
        <v>55</v>
      </c>
      <c r="E84" s="4">
        <v>50.5</v>
      </c>
      <c r="F84" s="5">
        <f>SUM(F27,F46,I27,I46,K27,K46)</f>
        <v>18</v>
      </c>
      <c r="G84" s="14">
        <v>91.82</v>
      </c>
      <c r="H84" s="5">
        <f>SUM(H27,H46)</f>
        <v>0</v>
      </c>
      <c r="I84" s="5">
        <f t="shared" si="12"/>
        <v>0</v>
      </c>
      <c r="J84" s="4" t="s">
        <v>5531</v>
      </c>
      <c r="K84" s="5">
        <f>SUM(K27,K46)</f>
        <v>0</v>
      </c>
      <c r="L84" s="10">
        <f>IF($B$2="-",0,IFERROR(INDEX(IF($B$2="SV",'Projekt-Budget-Übersicht'!$H:$H,IF($B$2="CAD",'Projekt-Budget-Übersicht'!$I:$I,IF($B$2="ADM",'Projekt-Budget-Übersicht'!$J:$J,'Projekt-Budget-Übersicht'!$H:$H))),MATCH(2456,'Projekt-Budget-Übersicht'!$L:$L,0)),0))</f>
        <v>0</v>
      </c>
      <c r="M84" s="10">
        <f t="shared" si="13"/>
        <v>0</v>
      </c>
      <c r="N84" s="10">
        <f t="shared" si="14"/>
        <v>0</v>
      </c>
      <c r="O84" s="10">
        <f t="shared" si="15"/>
        <v>0</v>
      </c>
      <c r="P84" s="10">
        <f>'P. Bergner'!M84</f>
        <v>0</v>
      </c>
      <c r="Q84" s="10">
        <f>IFERROR(INDEX('Projekt-Budget-Übersicht'!$E:$E,MATCH(2456,'Projekt-Budget-Übersicht'!$L:$L,0)),0)</f>
        <v>0</v>
      </c>
      <c r="R84" s="10"/>
      <c r="S84" s="4"/>
      <c r="T84" s="4"/>
      <c r="U84" s="4"/>
    </row>
    <row r="85" spans="1:21" x14ac:dyDescent="0.25">
      <c r="A85" s="4" t="s">
        <v>2572</v>
      </c>
      <c r="B85" s="4" t="s">
        <v>5540</v>
      </c>
      <c r="C85" s="4" t="str">
        <f>IFERROR(INDEX('Projekt-Budget-Übersicht'!$C:$C,MATCH(2885,'Projekt-Budget-Übersicht'!$L:$L,0)),"")</f>
        <v/>
      </c>
      <c r="D85" s="4">
        <v>80</v>
      </c>
      <c r="E85" s="4">
        <v>78.75</v>
      </c>
      <c r="F85" s="5">
        <f>SUM(F28,I28,K28)</f>
        <v>2.5</v>
      </c>
      <c r="G85" s="14">
        <v>98.44</v>
      </c>
      <c r="H85" s="5">
        <f>SUM(H28)</f>
        <v>0</v>
      </c>
      <c r="I85" s="5">
        <f t="shared" si="12"/>
        <v>0</v>
      </c>
      <c r="J85" s="4" t="s">
        <v>5531</v>
      </c>
      <c r="K85" s="5">
        <f>SUM(K28)</f>
        <v>0</v>
      </c>
      <c r="L85" s="10">
        <f>IF($B$2="-",0,IFERROR(INDEX(IF($B$2="SV",'Projekt-Budget-Übersicht'!$H:$H,IF($B$2="CAD",'Projekt-Budget-Übersicht'!$I:$I,IF($B$2="ADM",'Projekt-Budget-Übersicht'!$J:$J,'Projekt-Budget-Übersicht'!$H:$H))),MATCH(2885,'Projekt-Budget-Übersicht'!$L:$L,0)),0))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'P. Bergner'!M85</f>
        <v>0</v>
      </c>
      <c r="Q85" s="10">
        <f>IFERROR(INDEX('Projekt-Budget-Übersicht'!$E:$E,MATCH(2885,'Projekt-Budget-Übersicht'!$L:$L,0)),0)</f>
        <v>0</v>
      </c>
      <c r="R85" s="10">
        <v>8112.5</v>
      </c>
      <c r="S85" s="4"/>
      <c r="T85" s="4"/>
      <c r="U85" s="4"/>
    </row>
    <row r="86" spans="1:21" x14ac:dyDescent="0.25">
      <c r="A86" s="4" t="s">
        <v>2574</v>
      </c>
      <c r="B86" s="4" t="s">
        <v>5541</v>
      </c>
      <c r="C86" s="4" t="str">
        <f>IFERROR(INDEX('Projekt-Budget-Übersicht'!$C:$C,MATCH(2886,'Projekt-Budget-Übersicht'!$L:$L,0)),"")</f>
        <v/>
      </c>
      <c r="D86" s="4">
        <v>100</v>
      </c>
      <c r="E86" s="4">
        <v>67.25</v>
      </c>
      <c r="F86" s="5">
        <f>SUM(F29,I29,K29)</f>
        <v>4.5</v>
      </c>
      <c r="G86" s="16">
        <v>67.25</v>
      </c>
      <c r="H86" s="5">
        <f>SUM(H29)</f>
        <v>0</v>
      </c>
      <c r="I86" s="5">
        <f t="shared" si="12"/>
        <v>0</v>
      </c>
      <c r="J86" s="4" t="s">
        <v>5531</v>
      </c>
      <c r="K86" s="5">
        <f>SUM(K29)</f>
        <v>0</v>
      </c>
      <c r="L86" s="10">
        <f>IF($B$2="-",0,IFERROR(INDEX(IF($B$2="SV",'Projekt-Budget-Übersicht'!$H:$H,IF($B$2="CAD",'Projekt-Budget-Übersicht'!$I:$I,IF($B$2="ADM",'Projekt-Budget-Übersicht'!$J:$J,'Projekt-Budget-Übersicht'!$H:$H))),MATCH(2886,'Projekt-Budget-Übersicht'!$L:$L,0)),0))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'P. Bergner'!M86</f>
        <v>0</v>
      </c>
      <c r="Q86" s="10">
        <f>IFERROR(INDEX('Projekt-Budget-Übersicht'!$E:$E,MATCH(2886,'Projekt-Budget-Übersicht'!$L:$L,0)),0)</f>
        <v>0</v>
      </c>
      <c r="R86" s="10">
        <v>6011.25</v>
      </c>
      <c r="S86" s="4"/>
      <c r="T86" s="4"/>
      <c r="U86" s="4"/>
    </row>
    <row r="87" spans="1:21" x14ac:dyDescent="0.25">
      <c r="A87" s="4" t="s">
        <v>2718</v>
      </c>
      <c r="B87" s="4" t="s">
        <v>5558</v>
      </c>
      <c r="C87" s="4" t="str">
        <f>IFERROR(INDEX('Projekt-Budget-Übersicht'!$C:$C,MATCH(3022,'Projekt-Budget-Übersicht'!$L:$L,0)),"")</f>
        <v/>
      </c>
      <c r="D87" s="4">
        <v>2</v>
      </c>
      <c r="E87" s="4">
        <v>2</v>
      </c>
      <c r="F87" s="5">
        <f>SUM(F47,I47,K47)</f>
        <v>2</v>
      </c>
      <c r="G87" s="14">
        <v>100</v>
      </c>
      <c r="H87" s="5">
        <f>SUM(H47)</f>
        <v>0</v>
      </c>
      <c r="I87" s="5">
        <f t="shared" si="12"/>
        <v>0</v>
      </c>
      <c r="J87" s="4" t="s">
        <v>5531</v>
      </c>
      <c r="K87" s="5">
        <f>SUM(K47)</f>
        <v>0</v>
      </c>
      <c r="L87" s="10">
        <f>IF($B$2="-",0,IFERROR(INDEX(IF($B$2="SV",'Projekt-Budget-Übersicht'!$H:$H,IF($B$2="CAD",'Projekt-Budget-Übersicht'!$I:$I,IF($B$2="ADM",'Projekt-Budget-Übersicht'!$J:$J,'Projekt-Budget-Übersicht'!$H:$H))),MATCH(3022,'Projekt-Budget-Übersicht'!$L:$L,0)),0))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'P. Bergner'!M87</f>
        <v>0</v>
      </c>
      <c r="Q87" s="10">
        <f>IFERROR(INDEX('Projekt-Budget-Übersicht'!$E:$E,MATCH(3022,'Projekt-Budget-Übersicht'!$L:$L,0)),0)</f>
        <v>0</v>
      </c>
      <c r="R87" s="10">
        <v>1853.75</v>
      </c>
      <c r="S87" s="4"/>
      <c r="T87" s="4"/>
      <c r="U87" s="4"/>
    </row>
    <row r="88" spans="1:21" x14ac:dyDescent="0.25">
      <c r="A88" s="4" t="s">
        <v>2834</v>
      </c>
      <c r="B88" s="4" t="s">
        <v>5459</v>
      </c>
      <c r="C88" s="4" t="str">
        <f>IFERROR(INDEX('Projekt-Budget-Übersicht'!$C:$C,MATCH(3122,'Projekt-Budget-Übersicht'!$L:$L,0)),"")</f>
        <v/>
      </c>
      <c r="D88" s="4">
        <v>6</v>
      </c>
      <c r="E88" s="4">
        <v>48</v>
      </c>
      <c r="F88" s="5">
        <f>SUM(F7,I7,K7)</f>
        <v>3.5</v>
      </c>
      <c r="G88" s="15">
        <v>800</v>
      </c>
      <c r="H88" s="5">
        <f>SUM(H7)</f>
        <v>0</v>
      </c>
      <c r="I88" s="5">
        <f t="shared" si="12"/>
        <v>0</v>
      </c>
      <c r="J88" s="4" t="s">
        <v>5531</v>
      </c>
      <c r="K88" s="5">
        <f>SUM(K7)</f>
        <v>0</v>
      </c>
      <c r="L88" s="10">
        <f>IF($B$2="-",0,IFERROR(INDEX(IF($B$2="SV",'Projekt-Budget-Übersicht'!$H:$H,IF($B$2="CAD",'Projekt-Budget-Übersicht'!$I:$I,IF($B$2="ADM",'Projekt-Budget-Übersicht'!$J:$J,'Projekt-Budget-Übersicht'!$H:$H))),MATCH(3122,'Projekt-Budget-Übersicht'!$L:$L,0)),0))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'A. Kokott'!M165+'E. Bieler'!M94+'J. Dorchies'!M41+'J. Dorn'!M142+'O. Haag BS-CAD'!M178+'P. Bergner'!M88+'R. Böttiger'!M95</f>
        <v>0</v>
      </c>
      <c r="Q88" s="10">
        <f>IFERROR(INDEX('Projekt-Budget-Übersicht'!$E:$E,MATCH(3122,'Projekt-Budget-Übersicht'!$L:$L,0)),0)</f>
        <v>0</v>
      </c>
      <c r="R88" s="10">
        <v>2985.82</v>
      </c>
      <c r="S88" s="4"/>
      <c r="T88" s="4"/>
      <c r="U88" s="4"/>
    </row>
    <row r="89" spans="1:21" x14ac:dyDescent="0.25">
      <c r="A89" s="4" t="s">
        <v>2913</v>
      </c>
      <c r="B89" s="4" t="s">
        <v>5544</v>
      </c>
      <c r="C89" s="4" t="str">
        <f>IFERROR(INDEX('Projekt-Budget-Übersicht'!$C:$C,MATCH(3188,'Projekt-Budget-Übersicht'!$L:$L,0)),"")</f>
        <v/>
      </c>
      <c r="D89" s="4">
        <v>3640</v>
      </c>
      <c r="E89" s="4">
        <v>230</v>
      </c>
      <c r="F89" s="5">
        <f>SUM(F8,I8,K8)</f>
        <v>15</v>
      </c>
      <c r="G89" s="16">
        <v>6.32</v>
      </c>
      <c r="H89" s="5">
        <f>SUM(H8)</f>
        <v>0</v>
      </c>
      <c r="I89" s="5">
        <f t="shared" si="12"/>
        <v>0</v>
      </c>
      <c r="J89" s="4" t="s">
        <v>5531</v>
      </c>
      <c r="K89" s="5">
        <f>SUM(K8)</f>
        <v>0</v>
      </c>
      <c r="L89" s="10">
        <f>IF($B$2="-",0,IFERROR(INDEX(IF($B$2="SV",'Projekt-Budget-Übersicht'!$H:$H,IF($B$2="CAD",'Projekt-Budget-Übersicht'!$I:$I,IF($B$2="ADM",'Projekt-Budget-Übersicht'!$J:$J,'Projekt-Budget-Übersicht'!$H:$H))),MATCH(3188,'Projekt-Budget-Übersicht'!$L:$L,0)),0))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'C. Trapp SV'!M103+'P. Bergner'!M89+'S. Roßkopf'!M39</f>
        <v>0</v>
      </c>
      <c r="Q89" s="10">
        <f>IFERROR(INDEX('Projekt-Budget-Übersicht'!$E:$E,MATCH(3188,'Projekt-Budget-Übersicht'!$L:$L,0)),0)</f>
        <v>0</v>
      </c>
      <c r="R89" s="10">
        <v>12198.75</v>
      </c>
      <c r="S89" s="4"/>
      <c r="T89" s="4"/>
      <c r="U89" s="4"/>
    </row>
    <row r="90" spans="1:21" x14ac:dyDescent="0.25">
      <c r="A90" s="4" t="s">
        <v>2917</v>
      </c>
      <c r="B90" s="4" t="s">
        <v>5504</v>
      </c>
      <c r="C90" s="4" t="str">
        <f>IFERROR(INDEX('Projekt-Budget-Übersicht'!$C:$C,MATCH(3189,'Projekt-Budget-Übersicht'!$L:$L,0)),"")</f>
        <v/>
      </c>
      <c r="D90" s="4">
        <v>1560</v>
      </c>
      <c r="E90" s="4">
        <v>625</v>
      </c>
      <c r="F90" s="5">
        <f>SUM(F9,F30,F48,I9,I30,I48,K9,K30,K48)</f>
        <v>213.25</v>
      </c>
      <c r="G90" s="16">
        <v>40.06</v>
      </c>
      <c r="H90" s="5">
        <f>SUM(H9,H30,H48)</f>
        <v>0</v>
      </c>
      <c r="I90" s="5">
        <f t="shared" si="12"/>
        <v>0</v>
      </c>
      <c r="J90" s="4" t="s">
        <v>5531</v>
      </c>
      <c r="K90" s="5">
        <f>SUM(K9,K30,K48)</f>
        <v>0</v>
      </c>
      <c r="L90" s="10">
        <f>IF($B$2="-",0,IFERROR(INDEX(IF($B$2="SV",'Projekt-Budget-Übersicht'!$H:$H,IF($B$2="CAD",'Projekt-Budget-Übersicht'!$I:$I,IF($B$2="ADM",'Projekt-Budget-Übersicht'!$J:$J,'Projekt-Budget-Übersicht'!$H:$H))),MATCH(3189,'Projekt-Budget-Übersicht'!$L:$L,0)),0))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'O. Haag BS-CAD'!M179+'P. Bergner'!M90</f>
        <v>0</v>
      </c>
      <c r="Q90" s="10">
        <f>IFERROR(INDEX('Projekt-Budget-Übersicht'!$E:$E,MATCH(3189,'Projekt-Budget-Übersicht'!$L:$L,0)),0)</f>
        <v>0</v>
      </c>
      <c r="R90" s="10">
        <v>55003.040000000001</v>
      </c>
      <c r="S90" s="4"/>
      <c r="T90" s="4"/>
      <c r="U90" s="4"/>
    </row>
    <row r="91" spans="1:21" x14ac:dyDescent="0.25">
      <c r="A91" s="4" t="s">
        <v>2918</v>
      </c>
      <c r="B91" s="4" t="s">
        <v>5504</v>
      </c>
      <c r="C91" s="4" t="str">
        <f>IFERROR(INDEX('Projekt-Budget-Übersicht'!$C:$C,MATCH(3191,'Projekt-Budget-Übersicht'!$L:$L,0)),"")</f>
        <v/>
      </c>
      <c r="D91" s="4">
        <v>780</v>
      </c>
      <c r="E91" s="4">
        <v>351.75</v>
      </c>
      <c r="F91" s="5">
        <f>SUM(F31,I31,K31)</f>
        <v>14.25</v>
      </c>
      <c r="G91" s="16">
        <v>45.1</v>
      </c>
      <c r="H91" s="5">
        <f>SUM(H31)</f>
        <v>0</v>
      </c>
      <c r="I91" s="5">
        <f t="shared" si="12"/>
        <v>0</v>
      </c>
      <c r="J91" s="4" t="s">
        <v>5531</v>
      </c>
      <c r="K91" s="5">
        <f>SUM(K31)</f>
        <v>0</v>
      </c>
      <c r="L91" s="10">
        <f>IF($B$2="-",0,IFERROR(INDEX(IF($B$2="SV",'Projekt-Budget-Übersicht'!$H:$H,IF($B$2="CAD",'Projekt-Budget-Übersicht'!$I:$I,IF($B$2="ADM",'Projekt-Budget-Übersicht'!$J:$J,'Projekt-Budget-Übersicht'!$H:$H))),MATCH(3191,'Projekt-Budget-Übersicht'!$L:$L,0)),0))</f>
        <v>0</v>
      </c>
      <c r="M91" s="10">
        <f t="shared" si="13"/>
        <v>0</v>
      </c>
      <c r="N91" s="10">
        <f t="shared" si="14"/>
        <v>0</v>
      </c>
      <c r="O91" s="10">
        <f t="shared" si="15"/>
        <v>0</v>
      </c>
      <c r="P91" s="10">
        <f>'P. Bergner'!M91</f>
        <v>0</v>
      </c>
      <c r="Q91" s="10">
        <f>IFERROR(INDEX('Projekt-Budget-Übersicht'!$E:$E,MATCH(3191,'Projekt-Budget-Übersicht'!$L:$L,0)),0)</f>
        <v>0</v>
      </c>
      <c r="R91" s="10">
        <v>30236.71</v>
      </c>
      <c r="S91" s="4"/>
      <c r="T91" s="4"/>
      <c r="U91" s="4"/>
    </row>
    <row r="92" spans="1:21" x14ac:dyDescent="0.25">
      <c r="A92" s="4" t="s">
        <v>3244</v>
      </c>
      <c r="B92" s="4" t="s">
        <v>5504</v>
      </c>
      <c r="C92" s="4" t="str">
        <f>IFERROR(INDEX('Projekt-Budget-Übersicht'!$C:$C,MATCH(3472,'Projekt-Budget-Übersicht'!$L:$L,0)),"")</f>
        <v/>
      </c>
      <c r="D92" s="4">
        <v>25</v>
      </c>
      <c r="E92" s="4">
        <v>3.25</v>
      </c>
      <c r="F92" s="5">
        <f>SUM(F32,I32,K32)</f>
        <v>2</v>
      </c>
      <c r="G92" s="16">
        <v>13</v>
      </c>
      <c r="H92" s="5">
        <f>SUM(H32)</f>
        <v>0</v>
      </c>
      <c r="I92" s="5">
        <f t="shared" si="12"/>
        <v>0</v>
      </c>
      <c r="J92" s="4" t="s">
        <v>5531</v>
      </c>
      <c r="K92" s="5">
        <f>SUM(K32)</f>
        <v>0</v>
      </c>
      <c r="L92" s="10">
        <f>IF($B$2="-",0,IFERROR(INDEX(IF($B$2="SV",'Projekt-Budget-Übersicht'!$H:$H,IF($B$2="CAD",'Projekt-Budget-Übersicht'!$I:$I,IF($B$2="ADM",'Projekt-Budget-Übersicht'!$J:$J,'Projekt-Budget-Übersicht'!$H:$H))),MATCH(3472,'Projekt-Budget-Übersicht'!$L:$L,0)),0))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'A. Kokott'!M167+'P. Bergner'!M92</f>
        <v>0</v>
      </c>
      <c r="Q92" s="10">
        <f>IFERROR(INDEX('Projekt-Budget-Übersicht'!$E:$E,MATCH(3472,'Projekt-Budget-Übersicht'!$L:$L,0)),0)</f>
        <v>0</v>
      </c>
      <c r="R92" s="10">
        <v>235</v>
      </c>
      <c r="S92" s="4"/>
      <c r="T92" s="4"/>
      <c r="U92" s="4"/>
    </row>
    <row r="93" spans="1:21" x14ac:dyDescent="0.25">
      <c r="A93" s="4" t="s">
        <v>3375</v>
      </c>
      <c r="B93" s="4" t="s">
        <v>5644</v>
      </c>
      <c r="C93" s="4" t="str">
        <f>IFERROR(INDEX('Projekt-Budget-Übersicht'!$C:$C,MATCH(3592,'Projekt-Budget-Übersicht'!$L:$L,0)),"")</f>
        <v/>
      </c>
      <c r="D93" s="4">
        <v>12</v>
      </c>
      <c r="E93" s="4">
        <v>34</v>
      </c>
      <c r="F93" s="5">
        <f>SUM(F49,I49,K49)</f>
        <v>2</v>
      </c>
      <c r="G93" s="15">
        <v>283.33</v>
      </c>
      <c r="H93" s="5">
        <f>SUM(H49)</f>
        <v>0</v>
      </c>
      <c r="I93" s="5">
        <f t="shared" si="12"/>
        <v>0</v>
      </c>
      <c r="J93" s="4" t="s">
        <v>5531</v>
      </c>
      <c r="K93" s="5">
        <f>SUM(K49)</f>
        <v>0</v>
      </c>
      <c r="L93" s="10">
        <f>IF($B$2="-",0,IFERROR(INDEX(IF($B$2="SV",'Projekt-Budget-Übersicht'!$H:$H,IF($B$2="CAD",'Projekt-Budget-Übersicht'!$I:$I,IF($B$2="ADM",'Projekt-Budget-Übersicht'!$J:$J,'Projekt-Budget-Übersicht'!$H:$H))),MATCH(3592,'Projekt-Budget-Übersicht'!$L:$L,0)),0))</f>
        <v>0</v>
      </c>
      <c r="M93" s="10">
        <f t="shared" si="13"/>
        <v>0</v>
      </c>
      <c r="N93" s="10">
        <f t="shared" si="14"/>
        <v>0</v>
      </c>
      <c r="O93" s="10">
        <f t="shared" si="15"/>
        <v>0</v>
      </c>
      <c r="P93" s="10">
        <f>'P. Bergner'!M93</f>
        <v>0</v>
      </c>
      <c r="Q93" s="10">
        <f>IFERROR(INDEX('Projekt-Budget-Übersicht'!$E:$E,MATCH(3592,'Projekt-Budget-Übersicht'!$L:$L,0)),0)</f>
        <v>0</v>
      </c>
      <c r="R93" s="10">
        <v>3195</v>
      </c>
      <c r="S93" s="4"/>
      <c r="T93" s="4"/>
      <c r="U93" s="4"/>
    </row>
    <row r="94" spans="1:21" x14ac:dyDescent="0.25">
      <c r="A94" s="21" t="s">
        <v>4006</v>
      </c>
      <c r="B94" s="4" t="s">
        <v>5638</v>
      </c>
      <c r="C94" s="4" t="str">
        <f>IFERROR(INDEX('Projekt-Budget-Übersicht'!$C:$C,MATCH(4135,'Projekt-Budget-Übersicht'!$L:$L,0)),"")</f>
        <v/>
      </c>
      <c r="D94" s="4">
        <v>25</v>
      </c>
      <c r="E94" s="4">
        <v>5.5</v>
      </c>
      <c r="F94" s="5">
        <f>SUM(F10,I10,K10)</f>
        <v>2</v>
      </c>
      <c r="G94" s="16">
        <v>22</v>
      </c>
      <c r="H94" s="5">
        <f>SUM(H10)</f>
        <v>0</v>
      </c>
      <c r="I94" s="5">
        <f t="shared" si="12"/>
        <v>0</v>
      </c>
      <c r="J94" s="4" t="s">
        <v>5531</v>
      </c>
      <c r="K94" s="5">
        <f>SUM(K10)</f>
        <v>0</v>
      </c>
      <c r="L94" s="10">
        <f>IF($B$2="-",0,IFERROR(INDEX(IF($B$2="SV",'Projekt-Budget-Übersicht'!$H:$H,IF($B$2="CAD",'Projekt-Budget-Übersicht'!$I:$I,IF($B$2="ADM",'Projekt-Budget-Übersicht'!$J:$J,'Projekt-Budget-Übersicht'!$H:$H))),MATCH(4135,'Projekt-Budget-Übersicht'!$L:$L,0)),0))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'P. Bergner'!M94</f>
        <v>0</v>
      </c>
      <c r="Q94" s="10">
        <f>IFERROR(INDEX('Projekt-Budget-Übersicht'!$E:$E,MATCH(4135,'Projekt-Budget-Übersicht'!$L:$L,0)),0)</f>
        <v>0</v>
      </c>
      <c r="R94" s="10">
        <v>2885</v>
      </c>
      <c r="S94" s="4"/>
      <c r="T94" s="4"/>
      <c r="U94" s="4"/>
    </row>
    <row r="95" spans="1:21" x14ac:dyDescent="0.25">
      <c r="A95" s="22"/>
      <c r="B95" s="4" t="s">
        <v>5645</v>
      </c>
      <c r="C95" s="4" t="str">
        <f>IFERROR(INDEX('Projekt-Budget-Übersicht'!$C:$C,MATCH(4135,'Projekt-Budget-Übersicht'!$L:$L,0)),"")</f>
        <v/>
      </c>
      <c r="D95" s="4">
        <v>8.5</v>
      </c>
      <c r="E95" s="4">
        <v>5.5</v>
      </c>
      <c r="F95" s="5">
        <f>SUM(F50,I50,K50)</f>
        <v>4</v>
      </c>
      <c r="G95" s="16">
        <v>64.709999999999994</v>
      </c>
      <c r="H95" s="5">
        <f>SUM(H50)</f>
        <v>0</v>
      </c>
      <c r="I95" s="5">
        <f t="shared" si="12"/>
        <v>0</v>
      </c>
      <c r="J95" s="4" t="s">
        <v>5531</v>
      </c>
      <c r="K95" s="5">
        <f>SUM(K50)</f>
        <v>0</v>
      </c>
      <c r="L95" s="10">
        <f>IF($B$2="-",0,IFERROR(INDEX(IF($B$2="SV",'Projekt-Budget-Übersicht'!$H:$H,IF($B$2="CAD",'Projekt-Budget-Übersicht'!$I:$I,IF($B$2="ADM",'Projekt-Budget-Übersicht'!$J:$J,'Projekt-Budget-Übersicht'!$H:$H))),MATCH(4135,'Projekt-Budget-Übersicht'!$L:$L,0)),0))</f>
        <v>0</v>
      </c>
      <c r="M95" s="10">
        <f t="shared" si="13"/>
        <v>0</v>
      </c>
      <c r="N95" s="10">
        <f t="shared" si="14"/>
        <v>0</v>
      </c>
      <c r="O95" s="10">
        <f t="shared" si="15"/>
        <v>0</v>
      </c>
      <c r="P95" s="10">
        <f>'P. Bergner'!M95</f>
        <v>0</v>
      </c>
      <c r="Q95" s="10">
        <f>IFERROR(INDEX('Projekt-Budget-Übersicht'!$E:$E,MATCH(4135,'Projekt-Budget-Übersicht'!$L:$L,0)),0)</f>
        <v>0</v>
      </c>
      <c r="R95" s="10">
        <v>2885</v>
      </c>
      <c r="S95" s="4"/>
      <c r="T95" s="4"/>
      <c r="U95" s="4"/>
    </row>
    <row r="96" spans="1:21" x14ac:dyDescent="0.25">
      <c r="A96" s="4" t="s">
        <v>4186</v>
      </c>
      <c r="B96" s="4" t="s">
        <v>5646</v>
      </c>
      <c r="C96" s="4" t="str">
        <f>IFERROR(INDEX('Projekt-Budget-Übersicht'!$C:$C,MATCH(4298,'Projekt-Budget-Übersicht'!$L:$L,0)),"")</f>
        <v/>
      </c>
      <c r="D96" s="4">
        <v>30</v>
      </c>
      <c r="E96" s="4">
        <v>25</v>
      </c>
      <c r="F96" s="5">
        <f>SUM(F51,I51,K51)</f>
        <v>25</v>
      </c>
      <c r="G96" s="16">
        <v>83.33</v>
      </c>
      <c r="H96" s="5">
        <f>SUM(H51)</f>
        <v>0</v>
      </c>
      <c r="I96" s="5">
        <f t="shared" si="12"/>
        <v>0</v>
      </c>
      <c r="J96" s="4" t="s">
        <v>5531</v>
      </c>
      <c r="K96" s="5">
        <f>SUM(K51)</f>
        <v>0</v>
      </c>
      <c r="L96" s="10">
        <f>IF($B$2="-",0,IFERROR(INDEX(IF($B$2="SV",'Projekt-Budget-Übersicht'!$H:$H,IF($B$2="CAD",'Projekt-Budget-Übersicht'!$I:$I,IF($B$2="ADM",'Projekt-Budget-Übersicht'!$J:$J,'Projekt-Budget-Übersicht'!$H:$H))),MATCH(4298,'Projekt-Budget-Übersicht'!$L:$L,0)),0))</f>
        <v>0</v>
      </c>
      <c r="M96" s="10">
        <f t="shared" si="13"/>
        <v>0</v>
      </c>
      <c r="N96" s="10">
        <f t="shared" si="14"/>
        <v>0</v>
      </c>
      <c r="O96" s="10">
        <f t="shared" si="15"/>
        <v>0</v>
      </c>
      <c r="P96" s="10">
        <f>'P. Bergner'!M96</f>
        <v>0</v>
      </c>
      <c r="Q96" s="10">
        <f>IFERROR(INDEX('Projekt-Budget-Übersicht'!$E:$E,MATCH(4298,'Projekt-Budget-Übersicht'!$L:$L,0)),0)</f>
        <v>0</v>
      </c>
      <c r="R96" s="10">
        <v>2250</v>
      </c>
      <c r="S96" s="4"/>
      <c r="T96" s="4"/>
      <c r="U96" s="4"/>
    </row>
    <row r="97" spans="1:21" x14ac:dyDescent="0.25">
      <c r="A97" s="4" t="s">
        <v>4398</v>
      </c>
      <c r="B97" s="4" t="s">
        <v>5558</v>
      </c>
      <c r="C97" s="4" t="str">
        <f>IFERROR(INDEX('Projekt-Budget-Übersicht'!$C:$C,MATCH(4476,'Projekt-Budget-Übersicht'!$L:$L,0)),"")</f>
        <v/>
      </c>
      <c r="D97" s="4">
        <v>2</v>
      </c>
      <c r="E97" s="4">
        <v>2.75</v>
      </c>
      <c r="F97" s="5">
        <f>SUM(F52,I52,K52)</f>
        <v>1.5</v>
      </c>
      <c r="G97" s="15">
        <v>137.5</v>
      </c>
      <c r="H97" s="5">
        <f>SUM(H52)</f>
        <v>0</v>
      </c>
      <c r="I97" s="5">
        <f t="shared" si="12"/>
        <v>0</v>
      </c>
      <c r="J97" s="4" t="s">
        <v>5531</v>
      </c>
      <c r="K97" s="5">
        <f>SUM(K52)</f>
        <v>0</v>
      </c>
      <c r="L97" s="10">
        <f>IF($B$2="-",0,IFERROR(INDEX(IF($B$2="SV",'Projekt-Budget-Übersicht'!$H:$H,IF($B$2="CAD",'Projekt-Budget-Übersicht'!$I:$I,IF($B$2="ADM",'Projekt-Budget-Übersicht'!$J:$J,'Projekt-Budget-Übersicht'!$H:$H))),MATCH(4476,'Projekt-Budget-Übersicht'!$L:$L,0)),0))</f>
        <v>0</v>
      </c>
      <c r="M97" s="10">
        <f t="shared" si="13"/>
        <v>0</v>
      </c>
      <c r="N97" s="10">
        <f t="shared" si="14"/>
        <v>0</v>
      </c>
      <c r="O97" s="10">
        <f t="shared" si="15"/>
        <v>0</v>
      </c>
      <c r="P97" s="10">
        <f>'P. Bergner'!M97</f>
        <v>0</v>
      </c>
      <c r="Q97" s="10">
        <f>IFERROR(INDEX('Projekt-Budget-Übersicht'!$E:$E,MATCH(4476,'Projekt-Budget-Übersicht'!$L:$L,0)),0)</f>
        <v>0</v>
      </c>
      <c r="R97" s="10">
        <v>7710</v>
      </c>
      <c r="S97" s="4"/>
      <c r="T97" s="4"/>
      <c r="U97" s="4"/>
    </row>
    <row r="98" spans="1:21" x14ac:dyDescent="0.25">
      <c r="A98" s="21" t="s">
        <v>4475</v>
      </c>
      <c r="B98" s="4" t="s">
        <v>5504</v>
      </c>
      <c r="C98" s="4" t="str">
        <f>IFERROR(INDEX('Projekt-Budget-Übersicht'!$C:$C,MATCH(4547,'Projekt-Budget-Übersicht'!$L:$L,0)),"")</f>
        <v/>
      </c>
      <c r="D98" s="4">
        <v>17</v>
      </c>
      <c r="E98" s="4">
        <v>12.75</v>
      </c>
      <c r="F98" s="5">
        <f>SUM(F11,I11,K11)</f>
        <v>2</v>
      </c>
      <c r="G98" s="16">
        <v>75</v>
      </c>
      <c r="H98" s="5">
        <f>SUM(H11)</f>
        <v>0</v>
      </c>
      <c r="I98" s="5">
        <f t="shared" si="12"/>
        <v>0</v>
      </c>
      <c r="J98" s="4" t="s">
        <v>5531</v>
      </c>
      <c r="K98" s="5">
        <f>SUM(K11)</f>
        <v>0</v>
      </c>
      <c r="L98" s="10">
        <f>IF($B$2="-",0,IFERROR(INDEX(IF($B$2="SV",'Projekt-Budget-Übersicht'!$H:$H,IF($B$2="CAD",'Projekt-Budget-Übersicht'!$I:$I,IF($B$2="ADM",'Projekt-Budget-Übersicht'!$J:$J,'Projekt-Budget-Übersicht'!$H:$H))),MATCH(4547,'Projekt-Budget-Übersicht'!$L:$L,0)),0))</f>
        <v>0</v>
      </c>
      <c r="M98" s="10">
        <f t="shared" si="13"/>
        <v>0</v>
      </c>
      <c r="N98" s="10">
        <f t="shared" si="14"/>
        <v>0</v>
      </c>
      <c r="O98" s="10">
        <f t="shared" si="15"/>
        <v>0</v>
      </c>
      <c r="P98" s="10">
        <f>'O. Haag BS-CAD'!M196+'P. Bergner'!M98</f>
        <v>0</v>
      </c>
      <c r="Q98" s="10">
        <f>IFERROR(INDEX('Projekt-Budget-Übersicht'!$E:$E,MATCH(4547,'Projekt-Budget-Übersicht'!$L:$L,0)),0)</f>
        <v>0</v>
      </c>
      <c r="R98" s="10">
        <v>1097.5</v>
      </c>
      <c r="S98" s="4"/>
      <c r="T98" s="4"/>
      <c r="U98" s="4"/>
    </row>
    <row r="99" spans="1:21" x14ac:dyDescent="0.25">
      <c r="A99" s="23"/>
      <c r="B99" s="4" t="s">
        <v>5639</v>
      </c>
      <c r="C99" s="4" t="str">
        <f>IFERROR(INDEX('Projekt-Budget-Übersicht'!$C:$C,MATCH(4548,'Projekt-Budget-Übersicht'!$L:$L,0)),"")</f>
        <v/>
      </c>
      <c r="D99" s="4">
        <v>10</v>
      </c>
      <c r="E99" s="4">
        <v>3.5</v>
      </c>
      <c r="F99" s="5">
        <f>SUM(F12,I12,K12)</f>
        <v>2</v>
      </c>
      <c r="G99" s="16">
        <v>35</v>
      </c>
      <c r="H99" s="5">
        <f>SUM(H12)</f>
        <v>0</v>
      </c>
      <c r="I99" s="5">
        <f t="shared" si="12"/>
        <v>0</v>
      </c>
      <c r="J99" s="4" t="s">
        <v>5531</v>
      </c>
      <c r="K99" s="5">
        <f>SUM(K12)</f>
        <v>0</v>
      </c>
      <c r="L99" s="10">
        <f>IF($B$2="-",0,IFERROR(INDEX(IF($B$2="SV",'Projekt-Budget-Übersicht'!$H:$H,IF($B$2="CAD",'Projekt-Budget-Übersicht'!$I:$I,IF($B$2="ADM",'Projekt-Budget-Übersicht'!$J:$J,'Projekt-Budget-Übersicht'!$H:$H))),MATCH(4548,'Projekt-Budget-Übersicht'!$L:$L,0)),0))</f>
        <v>0</v>
      </c>
      <c r="M99" s="10">
        <f t="shared" si="13"/>
        <v>0</v>
      </c>
      <c r="N99" s="10">
        <f t="shared" si="14"/>
        <v>0</v>
      </c>
      <c r="O99" s="10">
        <f t="shared" si="15"/>
        <v>0</v>
      </c>
      <c r="P99" s="10">
        <f>'P. Bergner'!M99</f>
        <v>0</v>
      </c>
      <c r="Q99" s="10">
        <f>IFERROR(INDEX('Projekt-Budget-Übersicht'!$E:$E,MATCH(4548,'Projekt-Budget-Übersicht'!$L:$L,0)),0)</f>
        <v>0</v>
      </c>
      <c r="R99" s="10">
        <v>745</v>
      </c>
      <c r="S99" s="4"/>
      <c r="T99" s="4"/>
      <c r="U99" s="4"/>
    </row>
    <row r="100" spans="1:21" x14ac:dyDescent="0.25">
      <c r="A100" s="22"/>
      <c r="B100" s="4" t="s">
        <v>5623</v>
      </c>
      <c r="C100" s="4" t="str">
        <f>IFERROR(INDEX('Projekt-Budget-Übersicht'!$C:$C,MATCH(4548,'Projekt-Budget-Übersicht'!$L:$L,0)),"")</f>
        <v/>
      </c>
      <c r="D100" s="4">
        <v>8.5</v>
      </c>
      <c r="E100" s="4">
        <v>6</v>
      </c>
      <c r="F100" s="5">
        <f>SUM(F33,I33,K33)</f>
        <v>3.5</v>
      </c>
      <c r="G100" s="16">
        <v>70.59</v>
      </c>
      <c r="H100" s="5">
        <f>SUM(H33)</f>
        <v>0</v>
      </c>
      <c r="I100" s="5">
        <f t="shared" si="12"/>
        <v>0</v>
      </c>
      <c r="J100" s="4" t="s">
        <v>5531</v>
      </c>
      <c r="K100" s="5">
        <f>SUM(K33)</f>
        <v>0</v>
      </c>
      <c r="L100" s="10">
        <f>IF($B$2="-",0,IFERROR(INDEX(IF($B$2="SV",'Projekt-Budget-Übersicht'!$H:$H,IF($B$2="CAD",'Projekt-Budget-Übersicht'!$I:$I,IF($B$2="ADM",'Projekt-Budget-Übersicht'!$J:$J,'Projekt-Budget-Übersicht'!$H:$H))),MATCH(4548,'Projekt-Budget-Übersicht'!$L:$L,0)),0))</f>
        <v>0</v>
      </c>
      <c r="M100" s="10">
        <f t="shared" si="13"/>
        <v>0</v>
      </c>
      <c r="N100" s="10">
        <f t="shared" si="14"/>
        <v>0</v>
      </c>
      <c r="O100" s="10">
        <f t="shared" si="15"/>
        <v>0</v>
      </c>
      <c r="P100" s="10">
        <f>'O. Haag BS-CAD'!M197+'P. Bergner'!M100</f>
        <v>0</v>
      </c>
      <c r="Q100" s="10">
        <f>IFERROR(INDEX('Projekt-Budget-Übersicht'!$E:$E,MATCH(4548,'Projekt-Budget-Übersicht'!$L:$L,0)),0)</f>
        <v>0</v>
      </c>
      <c r="R100" s="10">
        <v>745</v>
      </c>
      <c r="S100" s="4"/>
      <c r="T100" s="4"/>
      <c r="U100" s="4"/>
    </row>
    <row r="101" spans="1:21" x14ac:dyDescent="0.25">
      <c r="A101" s="4" t="s">
        <v>4757</v>
      </c>
      <c r="B101" s="4" t="s">
        <v>5459</v>
      </c>
      <c r="C101" s="4" t="str">
        <f>IFERROR(INDEX('Projekt-Budget-Übersicht'!$C:$C,MATCH(4775,'Projekt-Budget-Übersicht'!$L:$L,0)),"")</f>
        <v/>
      </c>
      <c r="D101" s="4">
        <v>30</v>
      </c>
      <c r="E101" s="4">
        <v>73.75</v>
      </c>
      <c r="F101" s="5">
        <f>SUM(F53,I53,K53)</f>
        <v>2</v>
      </c>
      <c r="G101" s="15">
        <v>245.83</v>
      </c>
      <c r="H101" s="5">
        <f>SUM(H53)</f>
        <v>0</v>
      </c>
      <c r="I101" s="5">
        <f t="shared" si="12"/>
        <v>0</v>
      </c>
      <c r="J101" s="4" t="s">
        <v>5531</v>
      </c>
      <c r="K101" s="5">
        <f>SUM(K53)</f>
        <v>0</v>
      </c>
      <c r="L101" s="10">
        <f>IF($B$2="-",0,IFERROR(INDEX(IF($B$2="SV",'Projekt-Budget-Übersicht'!$H:$H,IF($B$2="CAD",'Projekt-Budget-Übersicht'!$I:$I,IF($B$2="ADM",'Projekt-Budget-Übersicht'!$J:$J,'Projekt-Budget-Übersicht'!$H:$H))),MATCH(4775,'Projekt-Budget-Übersicht'!$L:$L,0)),0))</f>
        <v>0</v>
      </c>
      <c r="M101" s="10">
        <f t="shared" si="13"/>
        <v>0</v>
      </c>
      <c r="N101" s="10">
        <f t="shared" si="14"/>
        <v>0</v>
      </c>
      <c r="O101" s="10">
        <f t="shared" si="15"/>
        <v>0</v>
      </c>
      <c r="P101" s="10">
        <f>'P. Bergner'!M101+'R. Böttiger'!M100</f>
        <v>0</v>
      </c>
      <c r="Q101" s="10">
        <f>IFERROR(INDEX('Projekt-Budget-Übersicht'!$E:$E,MATCH(4775,'Projekt-Budget-Übersicht'!$L:$L,0)),0)</f>
        <v>0</v>
      </c>
      <c r="R101" s="10">
        <v>687.5</v>
      </c>
      <c r="S101" s="4"/>
      <c r="T101" s="4"/>
      <c r="U101" s="4"/>
    </row>
    <row r="103" spans="1:21" x14ac:dyDescent="0.25">
      <c r="A103" s="3"/>
      <c r="B103" s="3" t="s">
        <v>5492</v>
      </c>
      <c r="C103" s="3"/>
      <c r="D103" s="3"/>
      <c r="E103" s="3"/>
      <c r="F103" s="6">
        <f>SUM(F13,F34,F55)</f>
        <v>362.5</v>
      </c>
      <c r="G103" s="3"/>
      <c r="H103" s="3"/>
      <c r="I103" s="3"/>
      <c r="J103" s="3"/>
      <c r="K103" s="3"/>
      <c r="L103" s="3"/>
      <c r="M103" s="17">
        <f>SUM(M73:M101)</f>
        <v>0</v>
      </c>
      <c r="N103" s="17">
        <f>SUM(N73:N101)</f>
        <v>0</v>
      </c>
      <c r="O103" s="17">
        <f>SUM(O73:O101)</f>
        <v>0</v>
      </c>
      <c r="P103" s="17">
        <f>SUM(P73:P101)</f>
        <v>0</v>
      </c>
      <c r="Q103" s="3"/>
      <c r="R103" s="3"/>
      <c r="S103" s="3"/>
      <c r="T103" s="3"/>
      <c r="U103" s="3"/>
    </row>
    <row r="104" spans="1:21" x14ac:dyDescent="0.25">
      <c r="A104" s="3"/>
      <c r="B104" s="3" t="s">
        <v>4</v>
      </c>
      <c r="C104" s="3"/>
      <c r="D104" s="3"/>
      <c r="E104" s="3"/>
      <c r="F104" s="6">
        <f>G104+H104</f>
        <v>336.5</v>
      </c>
      <c r="G104" s="6">
        <f>SUM(G14,G35,G56)</f>
        <v>336.5</v>
      </c>
      <c r="H104" s="6">
        <v>0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1:21" x14ac:dyDescent="0.25">
      <c r="A105" s="3"/>
      <c r="B105" s="3" t="s">
        <v>5</v>
      </c>
      <c r="C105" s="3"/>
      <c r="D105" s="3"/>
      <c r="E105" s="3"/>
      <c r="F105" s="6">
        <f>G105+H105</f>
        <v>15.5</v>
      </c>
      <c r="G105" s="6">
        <f>SUM(G15,G36,G57)</f>
        <v>15.5</v>
      </c>
      <c r="H105" s="6">
        <v>0</v>
      </c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1:21" x14ac:dyDescent="0.25">
      <c r="A106" s="3"/>
      <c r="B106" s="3" t="s">
        <v>5493</v>
      </c>
      <c r="C106" s="3"/>
      <c r="D106" s="3"/>
      <c r="E106" s="3"/>
      <c r="F106" s="6">
        <f>SUM(F16,F37,F58)</f>
        <v>0</v>
      </c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1:21" x14ac:dyDescent="0.25">
      <c r="A107" s="18"/>
      <c r="B107" s="18" t="s">
        <v>5494</v>
      </c>
      <c r="C107" s="18"/>
      <c r="D107" s="18"/>
      <c r="E107" s="18"/>
      <c r="F107" s="19">
        <f>F104+F105+F106</f>
        <v>352</v>
      </c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9" spans="1:21" ht="15.75" x14ac:dyDescent="0.25">
      <c r="A109" s="2" t="s">
        <v>5532</v>
      </c>
    </row>
    <row r="110" spans="1:21" x14ac:dyDescent="0.25">
      <c r="A110" s="13" t="s">
        <v>10</v>
      </c>
      <c r="B110" s="13">
        <v>362.5</v>
      </c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</row>
    <row r="111" spans="1:21" x14ac:dyDescent="0.25">
      <c r="A111" s="13" t="s">
        <v>11</v>
      </c>
      <c r="B111" s="20">
        <f>SUM(F14,F35,F56)</f>
        <v>336.5</v>
      </c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</row>
    <row r="112" spans="1:21" x14ac:dyDescent="0.25">
      <c r="A112" s="13" t="s">
        <v>12</v>
      </c>
      <c r="B112" s="20">
        <f>SUM(F15,F36,F57)</f>
        <v>15.5</v>
      </c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</row>
  </sheetData>
  <mergeCells count="6">
    <mergeCell ref="A94:A95"/>
    <mergeCell ref="A42:A43"/>
    <mergeCell ref="A73:A76"/>
    <mergeCell ref="A98:A100"/>
    <mergeCell ref="A11:A12"/>
    <mergeCell ref="A21:A22"/>
  </mergeCells>
  <conditionalFormatting sqref="I6:I12">
    <cfRule type="cellIs" dxfId="26" priority="1" stopIfTrue="1" operator="lessThan">
      <formula>0</formula>
    </cfRule>
  </conditionalFormatting>
  <conditionalFormatting sqref="I21:I33">
    <cfRule type="cellIs" dxfId="25" priority="8" stopIfTrue="1" operator="lessThan">
      <formula>0</formula>
    </cfRule>
  </conditionalFormatting>
  <conditionalFormatting sqref="I42:I54">
    <cfRule type="cellIs" dxfId="24" priority="21" stopIfTrue="1" operator="lessThan">
      <formula>0</formula>
    </cfRule>
  </conditionalFormatting>
  <conditionalFormatting sqref="I73:I101">
    <cfRule type="cellIs" dxfId="23" priority="34" stopIfTrue="1" operator="lessThan">
      <formula>0</formula>
    </cfRule>
  </conditionalFormatting>
  <dataValidations count="12">
    <dataValidation type="list" sqref="B2" xr:uid="{00000000-0002-0000-0E00-000000000000}">
      <formula1>"SV,CAD,ADM,Pauschale,-"</formula1>
    </dataValidation>
    <dataValidation type="list" allowBlank="1" sqref="J6" xr:uid="{00000000-0002-0000-0E00-000001000000}">
      <formula1>"E. Bieler,J. Dorn"</formula1>
    </dataValidation>
    <dataValidation type="list" allowBlank="1" sqref="T42:T54 T21:T33 T6:T12" xr:uid="{00000000-0002-0000-0E00-000002000000}">
      <formula1>"SR,AZ"</formula1>
    </dataValidation>
    <dataValidation type="list" allowBlank="1" sqref="J7" xr:uid="{00000000-0002-0000-0E00-000003000000}">
      <formula1>"A. Kokott,E. Bieler,J. Dorchies,J. Dorn,R. Böttiger"</formula1>
    </dataValidation>
    <dataValidation type="list" allowBlank="1" sqref="J8" xr:uid="{00000000-0002-0000-0E00-000005000000}">
      <formula1>"C. Trapp SV"</formula1>
    </dataValidation>
    <dataValidation type="list" allowBlank="1" sqref="J9 J48" xr:uid="{00000000-0002-0000-0E00-000007000000}">
      <formula1>"O. Haag BS-CAD"</formula1>
    </dataValidation>
    <dataValidation type="list" allowBlank="1" sqref="J21" xr:uid="{00000000-0002-0000-0E00-00000C000000}">
      <formula1>"A. Kokott,J. Dorn,O. Haag BS-CAD,R. Böttiger,T. Trautmann,U. Sutter ADM"</formula1>
    </dataValidation>
    <dataValidation type="list" allowBlank="1" sqref="J22" xr:uid="{00000000-0002-0000-0E00-00000E000000}">
      <formula1>"A. Kokott,M. Bandlofsky,O. Haag BS-CAD,R. Wagen CAD,T. Trautmann,U. Sutter ADM"</formula1>
    </dataValidation>
    <dataValidation type="list" allowBlank="1" sqref="J25" xr:uid="{00000000-0002-0000-0E00-000012000000}">
      <formula1>"M. Bandlofsky"</formula1>
    </dataValidation>
    <dataValidation type="list" allowBlank="1" sqref="J32" xr:uid="{00000000-0002-0000-0E00-00001A000000}">
      <formula1>"A. Kokott"</formula1>
    </dataValidation>
    <dataValidation type="list" allowBlank="1" sqref="J42" xr:uid="{00000000-0002-0000-0E00-00001D000000}">
      <formula1>"C. Trapp SV,J. Dorn,O. Haag BS-CAD,T. Trautmann"</formula1>
    </dataValidation>
    <dataValidation type="list" allowBlank="1" sqref="J53" xr:uid="{00000000-0002-0000-0E00-00002A000000}">
      <formula1>"R. Böttiger"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6"/>
  <dimension ref="A1:U122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5647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563</v>
      </c>
      <c r="B6" s="4" t="s">
        <v>5459</v>
      </c>
      <c r="C6" s="4" t="str">
        <f>IFERROR(INDEX('Projekt-Budget-Übersicht'!$C:$C,MATCH(576,'Projekt-Budget-Übersicht'!$L:$L,0)),"")</f>
        <v/>
      </c>
      <c r="D6" s="4">
        <v>0</v>
      </c>
      <c r="E6" s="4">
        <v>15</v>
      </c>
      <c r="F6" s="4">
        <v>10.5</v>
      </c>
      <c r="G6" s="4">
        <v>0</v>
      </c>
      <c r="H6" s="5"/>
      <c r="I6" s="5">
        <f t="shared" ref="I6:I22" si="0">IF(H6=0,0,F6-H6)</f>
        <v>0</v>
      </c>
      <c r="J6" s="4"/>
      <c r="K6" s="5">
        <v>0</v>
      </c>
      <c r="L6" s="10">
        <f>IF($B$2="-",0,IFERROR(INDEX(IF($B$2="SV",'Projekt-Budget-Übersicht'!$I:$I,IF($B$2="CAD",'Projekt-Budget-Übersicht'!$J:$J,IF($B$2="ADM",'Projekt-Budget-Übersicht'!$K:$K,'Projekt-Budget-Übersicht'!$I:$I))),MATCH(576,'Projekt-Budget-Übersicht'!$M:$M,0)),0))</f>
        <v>0</v>
      </c>
      <c r="M6" s="10">
        <f t="shared" ref="M6:M22" si="1">IF($B$2="-",0,IF(C6="Pauschale",IF(OR(R6=0,N(D6)=0),0,MAX(0,MIN(R6*((N(F6)+N(K6))/N(D6)),R6-R6*(N(E6)/N(D6))))),L6*(N(F6)+N(K6))))</f>
        <v>0</v>
      </c>
      <c r="N6" s="10">
        <f t="shared" ref="N6:N22" si="2">IF($B$2="-",0,IF(C6="Pauschale",IF(OR(R6=0,N(D6)=0),0,R6*((N(F6)+N(K6))/N(D6))),L6*(N(F6)+N(K6))))</f>
        <v>0</v>
      </c>
      <c r="O6" s="10">
        <f t="shared" ref="O6:O22" si="3">N6-M6</f>
        <v>0</v>
      </c>
      <c r="P6" s="10">
        <f>'R. Böttiger'!M6</f>
        <v>0</v>
      </c>
      <c r="Q6" s="10">
        <v>144</v>
      </c>
      <c r="R6" s="10">
        <f>IFERROR(INDEX('Projekt-Budget-Übersicht'!$F:$F,MATCH(576,'Projekt-Budget-Übersicht'!$L:$L,0)),0)</f>
        <v>0</v>
      </c>
      <c r="S6" s="10"/>
      <c r="T6" s="4"/>
      <c r="U6" s="4"/>
    </row>
    <row r="7" spans="1:21" x14ac:dyDescent="0.25">
      <c r="A7" s="21" t="s">
        <v>2491</v>
      </c>
      <c r="B7" s="4" t="s">
        <v>5565</v>
      </c>
      <c r="C7" s="4" t="str">
        <f>IFERROR(INDEX('Projekt-Budget-Übersicht'!$C:$C,MATCH(2813,'Projekt-Budget-Übersicht'!$L:$L,0)),"")</f>
        <v/>
      </c>
      <c r="D7" s="4">
        <v>24</v>
      </c>
      <c r="E7" s="4">
        <v>18.25</v>
      </c>
      <c r="F7" s="4">
        <v>10.5</v>
      </c>
      <c r="G7" s="16">
        <v>76.040000000000006</v>
      </c>
      <c r="H7" s="5"/>
      <c r="I7" s="5">
        <f t="shared" si="0"/>
        <v>0</v>
      </c>
      <c r="J7" s="4"/>
      <c r="K7" s="5">
        <f>IF('E. Bieler'!J17="R. Böttiger",'E. Bieler'!I17,0)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IF($B$2="-",0,IFERROR(INDEX(IF($B$2="SV",'Projekt-Budget-Übersicht'!$I:$I,IF($B$2="CAD",'Projekt-Budget-Übersicht'!$J:$J,IF($B$2="ADM",'Projekt-Budget-Übersicht'!$K:$K,'Projekt-Budget-Übersicht'!$I:$I))),MATCH(2813,'Projekt-Budget-Übersicht'!$M:$M,0)),0))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'E. Bieler'!M17+'R. Böttiger'!M7</f>
        <v>0</v>
      </c>
      <c r="Q7" s="10">
        <v>24</v>
      </c>
      <c r="R7" s="10">
        <f>IFERROR(INDEX('Projekt-Budget-Übersicht'!$F:$F,MATCH(2813,'Projekt-Budget-Übersicht'!$L:$L,0)),0)</f>
        <v>0</v>
      </c>
      <c r="S7" s="10">
        <v>479.02</v>
      </c>
      <c r="T7" s="4"/>
      <c r="U7" s="4"/>
    </row>
    <row r="8" spans="1:21" x14ac:dyDescent="0.25">
      <c r="A8" s="22"/>
      <c r="B8" s="4" t="s">
        <v>5566</v>
      </c>
      <c r="C8" s="4" t="str">
        <f>IFERROR(INDEX('Projekt-Budget-Übersicht'!$C:$C,MATCH(2815,'Projekt-Budget-Übersicht'!$L:$L,0)),"")</f>
        <v/>
      </c>
      <c r="D8" s="4">
        <v>16</v>
      </c>
      <c r="E8" s="4">
        <v>22.25</v>
      </c>
      <c r="F8" s="4">
        <v>7.5</v>
      </c>
      <c r="G8" s="15">
        <v>139.06</v>
      </c>
      <c r="H8" s="5"/>
      <c r="I8" s="5">
        <f t="shared" si="0"/>
        <v>0</v>
      </c>
      <c r="J8" s="4"/>
      <c r="K8" s="5">
        <f>IF('E. Bieler'!J18="R. Böttiger",'E. Bieler'!I18,0)+IF('J. Dorn'!J20="R. Böttiger",'J. Dorn'!I20,0)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128.125</v>
      </c>
      <c r="M8" s="10">
        <f t="shared" si="1"/>
        <v>960.9375</v>
      </c>
      <c r="N8" s="10">
        <f t="shared" si="2"/>
        <v>960.9375</v>
      </c>
      <c r="O8" s="10">
        <f t="shared" si="3"/>
        <v>0</v>
      </c>
      <c r="P8" s="10">
        <f>'E. Bieler'!M18+'J. Dorn'!M20+'R. Böttiger'!M8</f>
        <v>1153.125</v>
      </c>
      <c r="Q8" s="10">
        <v>82</v>
      </c>
      <c r="R8" s="10">
        <f>IFERROR(INDEX('Projekt-Budget-Übersicht'!$F:$F,MATCH(2815,'Projekt-Budget-Übersicht'!$L:$L,0)),0)</f>
        <v>0</v>
      </c>
      <c r="S8" s="10">
        <v>1013.98</v>
      </c>
      <c r="T8" s="4"/>
      <c r="U8" s="4"/>
    </row>
    <row r="9" spans="1:21" x14ac:dyDescent="0.25">
      <c r="A9" s="21" t="s">
        <v>2495</v>
      </c>
      <c r="B9" s="4" t="s">
        <v>5485</v>
      </c>
      <c r="C9" s="4" t="str">
        <f>IFERROR(INDEX('Projekt-Budget-Übersicht'!$C:$C,MATCH(2817,'Projekt-Budget-Übersicht'!$L:$L,0)),"")</f>
        <v/>
      </c>
      <c r="D9" s="4">
        <v>10</v>
      </c>
      <c r="E9" s="4">
        <v>47</v>
      </c>
      <c r="F9" s="4">
        <v>2</v>
      </c>
      <c r="G9" s="15">
        <v>470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IF($B$2="-",0,IFERROR(INDEX(IF($B$2="SV",'Projekt-Budget-Übersicht'!$I:$I,IF($B$2="CAD",'Projekt-Budget-Übersicht'!$J:$J,IF($B$2="ADM",'Projekt-Budget-Übersicht'!$K:$K,'Projekt-Budget-Übersicht'!$I:$I))),MATCH(2817,'Projekt-Budget-Übersicht'!$M:$M,0)),0))</f>
        <v>111.7647058823529</v>
      </c>
      <c r="M9" s="10">
        <f t="shared" si="1"/>
        <v>223.5294117647058</v>
      </c>
      <c r="N9" s="10">
        <f t="shared" si="2"/>
        <v>223.5294117647058</v>
      </c>
      <c r="O9" s="10">
        <f t="shared" si="3"/>
        <v>0</v>
      </c>
      <c r="P9" s="10">
        <f>'R. Böttiger'!M9</f>
        <v>223.5294117647058</v>
      </c>
      <c r="Q9" s="10">
        <v>17</v>
      </c>
      <c r="R9" s="10">
        <f>IFERROR(INDEX('Projekt-Budget-Übersicht'!$F:$F,MATCH(2817,'Projekt-Budget-Übersicht'!$L:$L,0)),0)</f>
        <v>0</v>
      </c>
      <c r="S9" s="10">
        <v>436.25</v>
      </c>
      <c r="T9" s="4"/>
      <c r="U9" s="4"/>
    </row>
    <row r="10" spans="1:21" x14ac:dyDescent="0.25">
      <c r="A10" s="23"/>
      <c r="B10" s="4" t="s">
        <v>5544</v>
      </c>
      <c r="C10" s="4" t="str">
        <f>IFERROR(INDEX('Projekt-Budget-Übersicht'!$C:$C,MATCH(2818,'Projekt-Budget-Übersicht'!$L:$L,0)),"")</f>
        <v/>
      </c>
      <c r="D10" s="4">
        <v>16</v>
      </c>
      <c r="E10" s="4">
        <v>25.25</v>
      </c>
      <c r="F10" s="4">
        <v>4.5</v>
      </c>
      <c r="G10" s="15">
        <v>157.81</v>
      </c>
      <c r="H10" s="5"/>
      <c r="I10" s="5">
        <f t="shared" si="0"/>
        <v>0</v>
      </c>
      <c r="J10" s="4"/>
      <c r="K10" s="5">
        <f>IF('E. Bieler'!J19="R. Böttiger",'E. Bieler'!I19,0)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134.375</v>
      </c>
      <c r="M10" s="10">
        <f t="shared" si="1"/>
        <v>604.6875</v>
      </c>
      <c r="N10" s="10">
        <f t="shared" si="2"/>
        <v>604.6875</v>
      </c>
      <c r="O10" s="10">
        <f t="shared" si="3"/>
        <v>0</v>
      </c>
      <c r="P10" s="10">
        <f>'E. Bieler'!M19+'R. Böttiger'!M10</f>
        <v>671.875</v>
      </c>
      <c r="Q10" s="10">
        <v>16</v>
      </c>
      <c r="R10" s="10">
        <f>IFERROR(INDEX('Projekt-Budget-Übersicht'!$F:$F,MATCH(2818,'Projekt-Budget-Übersicht'!$L:$L,0)),0)</f>
        <v>0</v>
      </c>
      <c r="S10" s="10">
        <v>71.650000000000006</v>
      </c>
      <c r="T10" s="4"/>
      <c r="U10" s="4"/>
    </row>
    <row r="11" spans="1:21" x14ac:dyDescent="0.25">
      <c r="A11" s="22"/>
      <c r="B11" s="4" t="s">
        <v>5459</v>
      </c>
      <c r="C11" s="4" t="str">
        <f>IFERROR(INDEX('Projekt-Budget-Übersicht'!$C:$C,MATCH(2822,'Projekt-Budget-Übersicht'!$L:$L,0)),"")</f>
        <v/>
      </c>
      <c r="D11" s="4">
        <v>3</v>
      </c>
      <c r="E11" s="4">
        <v>2.25</v>
      </c>
      <c r="F11" s="4">
        <v>0.25</v>
      </c>
      <c r="G11" s="16">
        <v>75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IF($B$2="-",0,IFERROR(INDEX(IF($B$2="SV",'Projekt-Budget-Übersicht'!$I:$I,IF($B$2="CAD",'Projekt-Budget-Übersicht'!$J:$J,IF($B$2="ADM",'Projekt-Budget-Übersicht'!$K:$K,'Projekt-Budget-Übersicht'!$I:$I))),MATCH(2822,'Projekt-Budget-Übersicht'!$M:$M,0)),0))</f>
        <v>101.25</v>
      </c>
      <c r="M11" s="10">
        <f t="shared" si="1"/>
        <v>25.3125</v>
      </c>
      <c r="N11" s="10">
        <f t="shared" si="2"/>
        <v>25.3125</v>
      </c>
      <c r="O11" s="10">
        <f t="shared" si="3"/>
        <v>0</v>
      </c>
      <c r="P11" s="10">
        <f>'R. Böttiger'!M11</f>
        <v>25.3125</v>
      </c>
      <c r="Q11" s="10">
        <v>15</v>
      </c>
      <c r="R11" s="10">
        <f>IFERROR(INDEX('Projekt-Budget-Übersicht'!$F:$F,MATCH(2822,'Projekt-Budget-Übersicht'!$L:$L,0)),0)</f>
        <v>0</v>
      </c>
      <c r="S11" s="10">
        <v>50</v>
      </c>
      <c r="T11" s="4"/>
      <c r="U11" s="4"/>
    </row>
    <row r="12" spans="1:21" x14ac:dyDescent="0.25">
      <c r="A12" s="4" t="s">
        <v>2668</v>
      </c>
      <c r="B12" s="4" t="s">
        <v>5648</v>
      </c>
      <c r="C12" s="4" t="str">
        <f>IFERROR(INDEX('Projekt-Budget-Übersicht'!$C:$C,MATCH(2977,'Projekt-Budget-Übersicht'!$L:$L,0)),"")</f>
        <v/>
      </c>
      <c r="D12" s="4">
        <v>80</v>
      </c>
      <c r="E12" s="4">
        <v>39</v>
      </c>
      <c r="F12" s="4">
        <v>4</v>
      </c>
      <c r="G12" s="16">
        <v>48.75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IF($B$2="-",0,IFERROR(INDEX(IF($B$2="SV",'Projekt-Budget-Übersicht'!$I:$I,IF($B$2="CAD",'Projekt-Budget-Übersicht'!$J:$J,IF($B$2="ADM",'Projekt-Budget-Übersicht'!$K:$K,'Projekt-Budget-Übersicht'!$I:$I))),MATCH(2977,'Projekt-Budget-Übersicht'!$M:$M,0)),0))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'R. Böttiger'!M12</f>
        <v>0</v>
      </c>
      <c r="Q12" s="10">
        <v>60</v>
      </c>
      <c r="R12" s="10">
        <f>IFERROR(INDEX('Projekt-Budget-Übersicht'!$F:$F,MATCH(2977,'Projekt-Budget-Übersicht'!$L:$L,0)),0)</f>
        <v>0</v>
      </c>
      <c r="S12" s="10">
        <v>71.650000000000006</v>
      </c>
      <c r="T12" s="4"/>
      <c r="U12" s="4"/>
    </row>
    <row r="13" spans="1:21" x14ac:dyDescent="0.25">
      <c r="A13" s="4" t="s">
        <v>2834</v>
      </c>
      <c r="B13" s="4" t="s">
        <v>5459</v>
      </c>
      <c r="C13" s="4" t="str">
        <f>IFERROR(INDEX('Projekt-Budget-Übersicht'!$C:$C,MATCH(3122,'Projekt-Budget-Übersicht'!$L:$L,0)),"")</f>
        <v/>
      </c>
      <c r="D13" s="4">
        <v>6</v>
      </c>
      <c r="E13" s="4">
        <v>33.75</v>
      </c>
      <c r="F13" s="4">
        <v>15</v>
      </c>
      <c r="G13" s="15">
        <v>562.5</v>
      </c>
      <c r="H13" s="5"/>
      <c r="I13" s="5">
        <f t="shared" si="0"/>
        <v>0</v>
      </c>
      <c r="J13" s="4"/>
      <c r="K13" s="5">
        <f>IF('A. Kokott'!J14="R. Böttiger",'A. Kokott'!I14,0)+IF('E. Bieler'!J20="R. Böttiger",'E. Bieler'!I20,0)+IF('J. Dorchies'!J9="R. Böttiger",'J. Dorchies'!I9,0)+IF('J. Dorn'!J23="R. Böttiger",'J. Dorn'!I23,0)+IF('P. Bergner'!J7="R. Böttiger",'P. Bergner'!I7,0)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IF($B$2="-",0,IFERROR(INDEX(IF($B$2="SV",'Projekt-Budget-Übersicht'!$I:$I,IF($B$2="CAD",'Projekt-Budget-Übersicht'!$J:$J,IF($B$2="ADM",'Projekt-Budget-Übersicht'!$K:$K,'Projekt-Budget-Übersicht'!$I:$I))),MATCH(3122,'Projekt-Budget-Übersicht'!$M:$M,0)),0))</f>
        <v>58.333333333333343</v>
      </c>
      <c r="M13" s="10">
        <f t="shared" si="1"/>
        <v>875.00000000000011</v>
      </c>
      <c r="N13" s="10">
        <f t="shared" si="2"/>
        <v>875.00000000000011</v>
      </c>
      <c r="O13" s="10">
        <f t="shared" si="3"/>
        <v>0</v>
      </c>
      <c r="P13" s="10">
        <f>'A. Kokott'!M14+'E. Bieler'!M20+'J. Dorchies'!M9+'J. Dorn'!M23+'P. Bergner'!M7+'R. Böttiger'!M13</f>
        <v>1195.8333333333335</v>
      </c>
      <c r="Q13" s="10">
        <v>18</v>
      </c>
      <c r="R13" s="10">
        <f>IFERROR(INDEX('Projekt-Budget-Übersicht'!$F:$F,MATCH(3122,'Projekt-Budget-Übersicht'!$L:$L,0)),0)</f>
        <v>0</v>
      </c>
      <c r="S13" s="10">
        <v>2985.82</v>
      </c>
      <c r="T13" s="4"/>
      <c r="U13" s="4"/>
    </row>
    <row r="14" spans="1:21" x14ac:dyDescent="0.25">
      <c r="A14" s="4" t="s">
        <v>4278</v>
      </c>
      <c r="B14" s="4" t="s">
        <v>5459</v>
      </c>
      <c r="C14" s="4" t="str">
        <f>IFERROR(INDEX('Projekt-Budget-Übersicht'!$C:$C,MATCH(4368,'Projekt-Budget-Übersicht'!$L:$L,0)),"")</f>
        <v/>
      </c>
      <c r="D14" s="4">
        <v>13</v>
      </c>
      <c r="E14" s="4">
        <v>146.75</v>
      </c>
      <c r="F14" s="4">
        <v>10.25</v>
      </c>
      <c r="G14" s="15">
        <v>1128.8499999999999</v>
      </c>
      <c r="H14" s="5"/>
      <c r="I14" s="5">
        <f t="shared" si="0"/>
        <v>0</v>
      </c>
      <c r="J14" s="4"/>
      <c r="K14" s="5">
        <f>IF('E. Bieler'!J22="R. Böttiger",'E. Bieler'!I22,0)+IF('J. Dorchies'!J11="R. Böttiger",'J. Dorchies'!I11,0)+IF('J. Dorn'!J33="R. Böttiger",'J. Dorn'!I33,0)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IF($B$2="-",0,IFERROR(INDEX(IF($B$2="SV",'Projekt-Budget-Übersicht'!$I:$I,IF($B$2="CAD",'Projekt-Budget-Übersicht'!$J:$J,IF($B$2="ADM",'Projekt-Budget-Übersicht'!$K:$K,'Projekt-Budget-Übersicht'!$I:$I))),MATCH(4368,'Projekt-Budget-Übersicht'!$M:$M,0)),0))</f>
        <v>90.166956521739138</v>
      </c>
      <c r="M14" s="10">
        <f t="shared" si="1"/>
        <v>924.21130434782617</v>
      </c>
      <c r="N14" s="10">
        <f t="shared" si="2"/>
        <v>924.21130434782617</v>
      </c>
      <c r="O14" s="10">
        <f t="shared" si="3"/>
        <v>0</v>
      </c>
      <c r="P14" s="10">
        <f>'E. Bieler'!M22+'J. Dorchies'!M11+'J. Dorn'!M33+'R. Böttiger'!M14</f>
        <v>1532.8382608695654</v>
      </c>
      <c r="Q14" s="10">
        <v>57.5</v>
      </c>
      <c r="R14" s="10">
        <f>IFERROR(INDEX('Projekt-Budget-Übersicht'!$F:$F,MATCH(4368,'Projekt-Budget-Übersicht'!$L:$L,0)),0)</f>
        <v>0</v>
      </c>
      <c r="S14" s="10">
        <v>1720.79</v>
      </c>
      <c r="T14" s="4"/>
      <c r="U14" s="4"/>
    </row>
    <row r="15" spans="1:21" x14ac:dyDescent="0.25">
      <c r="A15" s="4" t="s">
        <v>4453</v>
      </c>
      <c r="B15" s="4" t="s">
        <v>5649</v>
      </c>
      <c r="C15" s="4" t="str">
        <f>IFERROR(INDEX('Projekt-Budget-Übersicht'!$C:$C,MATCH(4522,'Projekt-Budget-Übersicht'!$L:$L,0)),"")</f>
        <v/>
      </c>
      <c r="D15" s="4">
        <v>26</v>
      </c>
      <c r="E15" s="4">
        <v>37.75</v>
      </c>
      <c r="F15" s="4">
        <v>0.25</v>
      </c>
      <c r="G15" s="15">
        <v>145.19</v>
      </c>
      <c r="H15" s="5"/>
      <c r="I15" s="5">
        <f t="shared" si="0"/>
        <v>0</v>
      </c>
      <c r="J15" s="4"/>
      <c r="K15" s="5">
        <f>IF('S. Schüler'!J29="R. Böttiger",'S. Schüler'!I29,0)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'R. Böttiger'!M15+'S. Schüler'!M29</f>
        <v>0</v>
      </c>
      <c r="Q15" s="10">
        <v>72</v>
      </c>
      <c r="R15" s="10">
        <f>IFERROR(INDEX('Projekt-Budget-Übersicht'!$F:$F,MATCH(4522,'Projekt-Budget-Übersicht'!$L:$L,0)),0)</f>
        <v>0</v>
      </c>
      <c r="S15" s="10">
        <v>2168.29</v>
      </c>
      <c r="T15" s="4"/>
      <c r="U15" s="4"/>
    </row>
    <row r="16" spans="1:21" x14ac:dyDescent="0.25">
      <c r="A16" s="4" t="s">
        <v>4757</v>
      </c>
      <c r="B16" s="4" t="s">
        <v>5459</v>
      </c>
      <c r="C16" s="4" t="str">
        <f>IFERROR(INDEX('Projekt-Budget-Übersicht'!$C:$C,MATCH(4775,'Projekt-Budget-Übersicht'!$L:$L,0)),"")</f>
        <v/>
      </c>
      <c r="D16" s="4">
        <v>30</v>
      </c>
      <c r="E16" s="4">
        <v>48</v>
      </c>
      <c r="F16" s="4">
        <v>27</v>
      </c>
      <c r="G16" s="15">
        <v>160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117.07317073170729</v>
      </c>
      <c r="M16" s="10">
        <f t="shared" si="1"/>
        <v>3160.9756097560971</v>
      </c>
      <c r="N16" s="10">
        <f t="shared" si="2"/>
        <v>3160.9756097560971</v>
      </c>
      <c r="O16" s="10">
        <f t="shared" si="3"/>
        <v>0</v>
      </c>
      <c r="P16" s="10">
        <f>'R. Böttiger'!M16</f>
        <v>3160.9756097560971</v>
      </c>
      <c r="Q16" s="10">
        <v>64</v>
      </c>
      <c r="R16" s="10">
        <f>IFERROR(INDEX('Projekt-Budget-Übersicht'!$F:$F,MATCH(4775,'Projekt-Budget-Übersicht'!$L:$L,0)),0)</f>
        <v>0</v>
      </c>
      <c r="S16" s="10">
        <v>687.5</v>
      </c>
      <c r="T16" s="4"/>
      <c r="U16" s="4"/>
    </row>
    <row r="17" spans="1:21" x14ac:dyDescent="0.25">
      <c r="A17" s="4" t="s">
        <v>4798</v>
      </c>
      <c r="B17" s="4" t="s">
        <v>5650</v>
      </c>
      <c r="C17" s="4" t="str">
        <f>IFERROR(INDEX('Projekt-Budget-Übersicht'!$C:$C,MATCH(4804,'Projekt-Budget-Übersicht'!$L:$L,0)),"")</f>
        <v/>
      </c>
      <c r="D17" s="4">
        <v>100</v>
      </c>
      <c r="E17" s="4">
        <v>81.75</v>
      </c>
      <c r="F17" s="4">
        <v>11</v>
      </c>
      <c r="G17" s="16">
        <v>81.75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'R. Böttiger'!M17</f>
        <v>0</v>
      </c>
      <c r="Q17" s="10">
        <v>46</v>
      </c>
      <c r="R17" s="10">
        <f>IFERROR(INDEX('Projekt-Budget-Übersicht'!$F:$F,MATCH(4804,'Projekt-Budget-Übersicht'!$L:$L,0)),0)</f>
        <v>0</v>
      </c>
      <c r="S17" s="10">
        <v>1130.82</v>
      </c>
      <c r="T17" s="4"/>
      <c r="U17" s="4"/>
    </row>
    <row r="18" spans="1:21" x14ac:dyDescent="0.25">
      <c r="A18" s="4" t="s">
        <v>4949</v>
      </c>
      <c r="B18" s="4" t="s">
        <v>5522</v>
      </c>
      <c r="C18" s="4" t="str">
        <f>IFERROR(INDEX('Projekt-Budget-Übersicht'!$C:$C,MATCH(4926,'Projekt-Budget-Übersicht'!$L:$L,0)),"")</f>
        <v/>
      </c>
      <c r="D18" s="4">
        <v>70</v>
      </c>
      <c r="E18" s="4">
        <v>23.25</v>
      </c>
      <c r="F18" s="4">
        <v>10.75</v>
      </c>
      <c r="G18" s="16">
        <v>33.21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IF($B$2="-",0,IFERROR(INDEX(IF($B$2="SV",'Projekt-Budget-Übersicht'!$I:$I,IF($B$2="CAD",'Projekt-Budget-Übersicht'!$J:$J,IF($B$2="ADM",'Projekt-Budget-Übersicht'!$K:$K,'Projekt-Budget-Übersicht'!$I:$I))),MATCH(4926,'Projekt-Budget-Übersicht'!$M:$M,0)),0))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'R. Böttiger'!M18</f>
        <v>0</v>
      </c>
      <c r="Q18" s="10">
        <v>57</v>
      </c>
      <c r="R18" s="10">
        <f>IFERROR(INDEX('Projekt-Budget-Übersicht'!$F:$F,MATCH(4926,'Projekt-Budget-Übersicht'!$L:$L,0)),0)</f>
        <v>0</v>
      </c>
      <c r="S18" s="10">
        <v>17.5</v>
      </c>
      <c r="T18" s="4"/>
      <c r="U18" s="4"/>
    </row>
    <row r="19" spans="1:21" x14ac:dyDescent="0.25">
      <c r="A19" s="21" t="s">
        <v>5414</v>
      </c>
      <c r="B19" s="4" t="s">
        <v>5651</v>
      </c>
      <c r="C19" s="4" t="str">
        <f>IFERROR(INDEX('Projekt-Budget-Übersicht'!$C:$C,MATCH(5362,'Projekt-Budget-Übersicht'!$L:$L,0)),"")</f>
        <v/>
      </c>
      <c r="D19" s="4">
        <v>0</v>
      </c>
      <c r="E19" s="4">
        <v>2.75</v>
      </c>
      <c r="F19" s="4">
        <v>2.75</v>
      </c>
      <c r="G19" s="4">
        <v>0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'R. Böttiger'!M19</f>
        <v>0</v>
      </c>
      <c r="Q19" s="10">
        <v>67</v>
      </c>
      <c r="R19" s="10">
        <f>IFERROR(INDEX('Projekt-Budget-Übersicht'!$F:$F,MATCH(5362,'Projekt-Budget-Übersicht'!$L:$L,0)),0)</f>
        <v>0</v>
      </c>
      <c r="S19" s="10"/>
      <c r="T19" s="4"/>
      <c r="U19" s="4"/>
    </row>
    <row r="20" spans="1:21" x14ac:dyDescent="0.25">
      <c r="A20" s="22"/>
      <c r="B20" s="4" t="s">
        <v>5593</v>
      </c>
      <c r="C20" s="4" t="str">
        <f>IFERROR(INDEX('Projekt-Budget-Übersicht'!$C:$C,MATCH(5362,'Projekt-Budget-Übersicht'!$L:$L,0)),"")</f>
        <v/>
      </c>
      <c r="D20" s="4">
        <v>47</v>
      </c>
      <c r="E20" s="4">
        <v>59.5</v>
      </c>
      <c r="F20" s="4">
        <v>21.5</v>
      </c>
      <c r="G20" s="15">
        <v>126.6</v>
      </c>
      <c r="H20" s="5"/>
      <c r="I20" s="5">
        <f t="shared" si="0"/>
        <v>0</v>
      </c>
      <c r="J20" s="4"/>
      <c r="K20" s="5">
        <f>IF('J. Dorn'!J36="R. Böttiger",'J. Dorn'!I36,0)</f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20" s="10">
        <f t="shared" si="1"/>
        <v>0</v>
      </c>
      <c r="N20" s="10">
        <f t="shared" si="2"/>
        <v>0</v>
      </c>
      <c r="O20" s="10">
        <f t="shared" si="3"/>
        <v>0</v>
      </c>
      <c r="P20" s="10">
        <f>'J. Dorn'!M36+'R. Böttiger'!M20</f>
        <v>0</v>
      </c>
      <c r="Q20" s="10">
        <v>67</v>
      </c>
      <c r="R20" s="10">
        <f>IFERROR(INDEX('Projekt-Budget-Übersicht'!$F:$F,MATCH(5362,'Projekt-Budget-Übersicht'!$L:$L,0)),0)</f>
        <v>0</v>
      </c>
      <c r="S20" s="10">
        <v>2749.15</v>
      </c>
      <c r="T20" s="4"/>
      <c r="U20" s="4"/>
    </row>
    <row r="21" spans="1:21" x14ac:dyDescent="0.25">
      <c r="A21" s="21" t="s">
        <v>5420</v>
      </c>
      <c r="B21" s="4" t="s">
        <v>5651</v>
      </c>
      <c r="C21" s="4" t="str">
        <f>IFERROR(INDEX('Projekt-Budget-Übersicht'!$C:$C,MATCH(5367,'Projekt-Budget-Übersicht'!$L:$L,0)),"")</f>
        <v/>
      </c>
      <c r="D21" s="4">
        <v>0</v>
      </c>
      <c r="E21" s="4">
        <v>3</v>
      </c>
      <c r="F21" s="4">
        <v>3</v>
      </c>
      <c r="G21" s="4">
        <v>0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'R. Böttiger'!M21</f>
        <v>0</v>
      </c>
      <c r="Q21" s="10">
        <v>23</v>
      </c>
      <c r="R21" s="10">
        <f>IFERROR(INDEX('Projekt-Budget-Übersicht'!$F:$F,MATCH(5367,'Projekt-Budget-Übersicht'!$L:$L,0)),0)</f>
        <v>0</v>
      </c>
      <c r="S21" s="10"/>
      <c r="T21" s="4"/>
      <c r="U21" s="4"/>
    </row>
    <row r="22" spans="1:21" x14ac:dyDescent="0.25">
      <c r="A22" s="22"/>
      <c r="B22" s="4" t="s">
        <v>5593</v>
      </c>
      <c r="C22" s="4" t="str">
        <f>IFERROR(INDEX('Projekt-Budget-Übersicht'!$C:$C,MATCH(5367,'Projekt-Budget-Übersicht'!$L:$L,0)),"")</f>
        <v/>
      </c>
      <c r="D22" s="4">
        <v>3</v>
      </c>
      <c r="E22" s="4">
        <v>43.25</v>
      </c>
      <c r="F22" s="4">
        <v>14.25</v>
      </c>
      <c r="G22" s="15">
        <v>1441.67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'R. Böttiger'!M22</f>
        <v>0</v>
      </c>
      <c r="Q22" s="10">
        <v>23</v>
      </c>
      <c r="R22" s="10">
        <f>IFERROR(INDEX('Projekt-Budget-Übersicht'!$F:$F,MATCH(5367,'Projekt-Budget-Übersicht'!$L:$L,0)),0)</f>
        <v>0</v>
      </c>
      <c r="S22" s="10">
        <v>2164.15</v>
      </c>
      <c r="T22" s="4"/>
      <c r="U22" s="4"/>
    </row>
    <row r="23" spans="1:21" x14ac:dyDescent="0.25">
      <c r="A23" s="3"/>
      <c r="B23" s="3" t="s">
        <v>5492</v>
      </c>
      <c r="C23" s="3"/>
      <c r="D23" s="3"/>
      <c r="E23" s="3"/>
      <c r="F23" s="6">
        <v>155</v>
      </c>
      <c r="G23" s="3"/>
      <c r="H23" s="3"/>
      <c r="I23" s="3"/>
      <c r="J23" s="3"/>
      <c r="K23" s="3"/>
      <c r="L23" s="3"/>
      <c r="M23" s="17">
        <f>SUM(M6:M22)</f>
        <v>6774.6538258686287</v>
      </c>
      <c r="N23" s="17">
        <f>SUM(N6:N22)</f>
        <v>6774.6538258686287</v>
      </c>
      <c r="O23" s="17">
        <f>SUM(O6:O22)</f>
        <v>0</v>
      </c>
      <c r="P23" s="17">
        <f>SUM(P6:P22)</f>
        <v>7963.4891157237016</v>
      </c>
      <c r="Q23" s="3"/>
      <c r="R23" s="3"/>
      <c r="S23" s="3"/>
      <c r="T23" s="3"/>
      <c r="U23" s="3"/>
    </row>
    <row r="24" spans="1:21" x14ac:dyDescent="0.25">
      <c r="A24" s="3"/>
      <c r="B24" s="3" t="s">
        <v>4</v>
      </c>
      <c r="C24" s="3"/>
      <c r="D24" s="3"/>
      <c r="E24" s="3"/>
      <c r="F24" s="6">
        <f>G24+H24</f>
        <v>52.75</v>
      </c>
      <c r="G24" s="6">
        <v>52.75</v>
      </c>
      <c r="H24" s="6">
        <f>SUM(H6,H7,H8,H9,H10,H11,H12,H13,H14,H15,H16,H17,H18,H19,H20,H21,H22)</f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/>
      <c r="B25" s="3" t="s">
        <v>5</v>
      </c>
      <c r="C25" s="3"/>
      <c r="D25" s="3"/>
      <c r="E25" s="3"/>
      <c r="F25" s="6">
        <v>0</v>
      </c>
      <c r="G25" s="6">
        <v>0</v>
      </c>
      <c r="H25" s="6"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5493</v>
      </c>
      <c r="C26" s="3"/>
      <c r="D26" s="3"/>
      <c r="E26" s="3"/>
      <c r="F26" s="6">
        <f>SUM(K6:K22)</f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18"/>
      <c r="B27" s="18" t="s">
        <v>5494</v>
      </c>
      <c r="C27" s="18"/>
      <c r="D27" s="18"/>
      <c r="E27" s="18"/>
      <c r="F27" s="19">
        <f>F24+F25+F26</f>
        <v>52.75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9" spans="1:21" ht="15.75" x14ac:dyDescent="0.25">
      <c r="A29" s="2" t="s">
        <v>5495</v>
      </c>
    </row>
    <row r="30" spans="1:21" x14ac:dyDescent="0.25">
      <c r="A30" s="3" t="s">
        <v>35</v>
      </c>
      <c r="B30" s="3" t="s">
        <v>5461</v>
      </c>
      <c r="C30" s="3" t="s">
        <v>37</v>
      </c>
      <c r="D30" s="3" t="s">
        <v>5462</v>
      </c>
      <c r="E30" s="3" t="s">
        <v>5463</v>
      </c>
      <c r="F30" s="3" t="s">
        <v>5496</v>
      </c>
      <c r="G30" s="3" t="s">
        <v>5465</v>
      </c>
      <c r="H30" s="3" t="s">
        <v>5466</v>
      </c>
      <c r="I30" s="3" t="s">
        <v>5467</v>
      </c>
      <c r="J30" s="3" t="s">
        <v>5468</v>
      </c>
      <c r="K30" s="3" t="s">
        <v>5469</v>
      </c>
      <c r="L30" s="3" t="s">
        <v>5470</v>
      </c>
      <c r="M30" s="3" t="s">
        <v>5471</v>
      </c>
      <c r="N30" s="3" t="s">
        <v>5472</v>
      </c>
      <c r="O30" s="3" t="s">
        <v>5473</v>
      </c>
      <c r="P30" s="3" t="s">
        <v>5474</v>
      </c>
      <c r="Q30" s="3" t="s">
        <v>5475</v>
      </c>
      <c r="R30" s="3" t="s">
        <v>5476</v>
      </c>
      <c r="S30" s="3" t="s">
        <v>5477</v>
      </c>
      <c r="T30" s="3" t="s">
        <v>5478</v>
      </c>
      <c r="U30" s="3" t="s">
        <v>5479</v>
      </c>
    </row>
    <row r="31" spans="1:21" x14ac:dyDescent="0.25">
      <c r="A31" s="4" t="s">
        <v>61</v>
      </c>
      <c r="B31" s="4" t="s">
        <v>5480</v>
      </c>
      <c r="C31" s="4" t="str">
        <f>IFERROR(INDEX('Projekt-Budget-Übersicht'!$C:$C,MATCH(10,'Projekt-Budget-Übersicht'!$L:$L,0)),"")</f>
        <v/>
      </c>
      <c r="D31" s="4">
        <v>8</v>
      </c>
      <c r="E31" s="4">
        <v>1</v>
      </c>
      <c r="F31" s="4">
        <v>1</v>
      </c>
      <c r="G31" s="16">
        <v>12.5</v>
      </c>
      <c r="H31" s="5"/>
      <c r="I31" s="5">
        <f t="shared" ref="I31:I46" si="4">IF(H31=0,0,F31-H31)</f>
        <v>0</v>
      </c>
      <c r="J31" s="4"/>
      <c r="K31" s="5">
        <f>IF('A. Kokott'!J39="R. Böttiger",'A. Kokott'!I39,0)+IF('J. Dorn'!J45="R. Böttiger",'J. Dorn'!I45,0)+IF('O. Haag BS-CAD'!J51="R. Böttiger",'O. Haag BS-CAD'!I51,0)+IF('P. Bergner'!J21="R. Böttiger",'P. Bergner'!I21,0)+IF('T. Trautmann'!J28="R. Böttiger",'T. Trautmann'!I28,0)+IF('U. Sutter ADM'!J28="R. Böttiger",'U. Sutter ADM'!I28,0)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1" s="10">
        <f t="shared" ref="M31:M46" si="5">IF($B$2="-",0,IF(C31="Pauschale",IF(OR(R31=0,N(D31)=0),0,MAX(0,MIN(R31*((N(F31)+N(K31))/N(D31)),R31-R31*(N(E31)/N(D31))))),L31*(N(F31)+N(K31))))</f>
        <v>0</v>
      </c>
      <c r="N31" s="10">
        <f t="shared" ref="N31:N46" si="6">IF($B$2="-",0,IF(C31="Pauschale",IF(OR(R31=0,N(D31)=0),0,R31*((N(F31)+N(K31))/N(D31))),L31*(N(F31)+N(K31))))</f>
        <v>0</v>
      </c>
      <c r="O31" s="10">
        <f t="shared" ref="O31:O46" si="7">N31-M31</f>
        <v>0</v>
      </c>
      <c r="P31" s="10">
        <f>'A. Kokott'!M39+'J. Dorn'!M45+'O. Haag BS-CAD'!M51+'P. Bergner'!M21+'R. Böttiger'!M31+'T. Trautmann'!M28+'U. Sutter ADM'!M28</f>
        <v>0</v>
      </c>
      <c r="Q31" s="10">
        <v>132</v>
      </c>
      <c r="R31" s="10">
        <f>IFERROR(INDEX('Projekt-Budget-Übersicht'!$F:$F,MATCH(10,'Projekt-Budget-Übersicht'!$L:$L,0)),0)</f>
        <v>0</v>
      </c>
      <c r="S31" s="10">
        <v>68628.19</v>
      </c>
      <c r="T31" s="4"/>
      <c r="U31" s="4"/>
    </row>
    <row r="32" spans="1:21" x14ac:dyDescent="0.25">
      <c r="A32" s="4" t="s">
        <v>93</v>
      </c>
      <c r="B32" s="4" t="s">
        <v>5459</v>
      </c>
      <c r="C32" s="4" t="str">
        <f>IFERROR(INDEX('Projekt-Budget-Übersicht'!$C:$C,MATCH(29,'Projekt-Budget-Übersicht'!$L:$L,0)),"")</f>
        <v/>
      </c>
      <c r="D32" s="4">
        <v>15</v>
      </c>
      <c r="E32" s="4">
        <v>-0.25</v>
      </c>
      <c r="F32" s="4">
        <v>0.75</v>
      </c>
      <c r="G32" s="16">
        <v>-1.67</v>
      </c>
      <c r="H32" s="5"/>
      <c r="I32" s="5">
        <f t="shared" si="4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IF($B$2="-",0,IFERROR(INDEX(IF($B$2="SV",'Projekt-Budget-Übersicht'!$I:$I,IF($B$2="CAD",'Projekt-Budget-Übersicht'!$J:$J,IF($B$2="ADM",'Projekt-Budget-Übersicht'!$K:$K,'Projekt-Budget-Übersicht'!$I:$I))),MATCH(29,'Projekt-Budget-Übersicht'!$M:$M,0)),0))</f>
        <v>120</v>
      </c>
      <c r="M32" s="10">
        <f t="shared" si="5"/>
        <v>90</v>
      </c>
      <c r="N32" s="10">
        <f t="shared" si="6"/>
        <v>90</v>
      </c>
      <c r="O32" s="10">
        <f t="shared" si="7"/>
        <v>0</v>
      </c>
      <c r="P32" s="10">
        <f>'R. Böttiger'!M32</f>
        <v>90</v>
      </c>
      <c r="Q32" s="10">
        <v>25</v>
      </c>
      <c r="R32" s="10">
        <f>IFERROR(INDEX('Projekt-Budget-Übersicht'!$F:$F,MATCH(29,'Projekt-Budget-Übersicht'!$L:$L,0)),0)</f>
        <v>0</v>
      </c>
      <c r="S32" s="10"/>
      <c r="T32" s="4"/>
      <c r="U32" s="4"/>
    </row>
    <row r="33" spans="1:21" x14ac:dyDescent="0.25">
      <c r="A33" s="21" t="s">
        <v>2491</v>
      </c>
      <c r="B33" s="4" t="s">
        <v>5566</v>
      </c>
      <c r="C33" s="4" t="str">
        <f>IFERROR(INDEX('Projekt-Budget-Übersicht'!$C:$C,MATCH(2815,'Projekt-Budget-Übersicht'!$L:$L,0)),"")</f>
        <v/>
      </c>
      <c r="D33" s="4">
        <v>16</v>
      </c>
      <c r="E33" s="4">
        <v>22.75</v>
      </c>
      <c r="F33" s="4">
        <v>0.5</v>
      </c>
      <c r="G33" s="15">
        <v>142.19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IF($B$2="-",0,IFERROR(INDEX(IF($B$2="SV",'Projekt-Budget-Übersicht'!$I:$I,IF($B$2="CAD",'Projekt-Budget-Übersicht'!$J:$J,IF($B$2="ADM",'Projekt-Budget-Übersicht'!$K:$K,'Projekt-Budget-Übersicht'!$I:$I))),MATCH(2815,'Projekt-Budget-Übersicht'!$M:$M,0)),0))</f>
        <v>128.125</v>
      </c>
      <c r="M33" s="10">
        <f t="shared" si="5"/>
        <v>64.0625</v>
      </c>
      <c r="N33" s="10">
        <f t="shared" si="6"/>
        <v>64.0625</v>
      </c>
      <c r="O33" s="10">
        <f t="shared" si="7"/>
        <v>0</v>
      </c>
      <c r="P33" s="10">
        <f>'R. Böttiger'!M33</f>
        <v>64.0625</v>
      </c>
      <c r="Q33" s="10">
        <v>82</v>
      </c>
      <c r="R33" s="10">
        <f>IFERROR(INDEX('Projekt-Budget-Übersicht'!$F:$F,MATCH(2815,'Projekt-Budget-Übersicht'!$L:$L,0)),0)</f>
        <v>0</v>
      </c>
      <c r="S33" s="10">
        <v>1013.98</v>
      </c>
      <c r="T33" s="4"/>
      <c r="U33" s="4"/>
    </row>
    <row r="34" spans="1:21" x14ac:dyDescent="0.25">
      <c r="A34" s="22"/>
      <c r="B34" s="4" t="s">
        <v>5501</v>
      </c>
      <c r="C34" s="4" t="str">
        <f>IFERROR(INDEX('Projekt-Budget-Übersicht'!$C:$C,MATCH(2814,'Projekt-Budget-Übersicht'!$L:$L,0)),"")</f>
        <v/>
      </c>
      <c r="D34" s="4">
        <v>10</v>
      </c>
      <c r="E34" s="4">
        <v>19.75</v>
      </c>
      <c r="F34" s="4">
        <v>3.75</v>
      </c>
      <c r="G34" s="15">
        <v>197.5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26.056338028169019</v>
      </c>
      <c r="M34" s="10">
        <f t="shared" si="5"/>
        <v>97.711267605633822</v>
      </c>
      <c r="N34" s="10">
        <f t="shared" si="6"/>
        <v>97.711267605633822</v>
      </c>
      <c r="O34" s="10">
        <f t="shared" si="7"/>
        <v>0</v>
      </c>
      <c r="P34" s="10">
        <f>'R. Böttiger'!M34</f>
        <v>97.711267605633822</v>
      </c>
      <c r="Q34" s="10">
        <v>71</v>
      </c>
      <c r="R34" s="10">
        <f>IFERROR(INDEX('Projekt-Budget-Übersicht'!$F:$F,MATCH(2814,'Projekt-Budget-Übersicht'!$L:$L,0)),0)</f>
        <v>0</v>
      </c>
      <c r="S34" s="10">
        <v>1280</v>
      </c>
      <c r="T34" s="4"/>
      <c r="U34" s="4"/>
    </row>
    <row r="35" spans="1:21" x14ac:dyDescent="0.25">
      <c r="A35" s="4" t="s">
        <v>2495</v>
      </c>
      <c r="B35" s="4" t="s">
        <v>5544</v>
      </c>
      <c r="C35" s="4" t="str">
        <f>IFERROR(INDEX('Projekt-Budget-Übersicht'!$C:$C,MATCH(2818,'Projekt-Budget-Übersicht'!$L:$L,0)),"")</f>
        <v/>
      </c>
      <c r="D35" s="4">
        <v>16</v>
      </c>
      <c r="E35" s="4">
        <v>36.75</v>
      </c>
      <c r="F35" s="4">
        <v>11</v>
      </c>
      <c r="G35" s="15">
        <v>229.69</v>
      </c>
      <c r="H35" s="5"/>
      <c r="I35" s="5">
        <f t="shared" si="4"/>
        <v>0</v>
      </c>
      <c r="J35" s="4"/>
      <c r="K35" s="5">
        <f>IF('J. Dorn'!J58="R. Böttiger",'J. Dorn'!I58,0)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IF($B$2="-",0,IFERROR(INDEX(IF($B$2="SV",'Projekt-Budget-Übersicht'!$I:$I,IF($B$2="CAD",'Projekt-Budget-Übersicht'!$J:$J,IF($B$2="ADM",'Projekt-Budget-Übersicht'!$K:$K,'Projekt-Budget-Übersicht'!$I:$I))),MATCH(2818,'Projekt-Budget-Übersicht'!$M:$M,0)),0))</f>
        <v>134.375</v>
      </c>
      <c r="M35" s="10">
        <f t="shared" si="5"/>
        <v>1478.125</v>
      </c>
      <c r="N35" s="10">
        <f t="shared" si="6"/>
        <v>1478.125</v>
      </c>
      <c r="O35" s="10">
        <f t="shared" si="7"/>
        <v>0</v>
      </c>
      <c r="P35" s="10">
        <f>'J. Dorn'!M58+'R. Böttiger'!M35</f>
        <v>1545.3125</v>
      </c>
      <c r="Q35" s="10">
        <v>16</v>
      </c>
      <c r="R35" s="10">
        <f>IFERROR(INDEX('Projekt-Budget-Übersicht'!$F:$F,MATCH(2818,'Projekt-Budget-Übersicht'!$L:$L,0)),0)</f>
        <v>0</v>
      </c>
      <c r="S35" s="10">
        <v>71.650000000000006</v>
      </c>
      <c r="T35" s="4"/>
      <c r="U35" s="4"/>
    </row>
    <row r="36" spans="1:21" x14ac:dyDescent="0.25">
      <c r="A36" s="4" t="s">
        <v>2668</v>
      </c>
      <c r="B36" s="4" t="s">
        <v>5648</v>
      </c>
      <c r="C36" s="4" t="str">
        <f>IFERROR(INDEX('Projekt-Budget-Übersicht'!$C:$C,MATCH(2977,'Projekt-Budget-Übersicht'!$L:$L,0)),"")</f>
        <v/>
      </c>
      <c r="D36" s="4">
        <v>80</v>
      </c>
      <c r="E36" s="4">
        <v>43</v>
      </c>
      <c r="F36" s="4">
        <v>4</v>
      </c>
      <c r="G36" s="16">
        <v>53.75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IF($B$2="-",0,IFERROR(INDEX(IF($B$2="SV",'Projekt-Budget-Übersicht'!$I:$I,IF($B$2="CAD",'Projekt-Budget-Übersicht'!$J:$J,IF($B$2="ADM",'Projekt-Budget-Übersicht'!$K:$K,'Projekt-Budget-Übersicht'!$I:$I))),MATCH(2977,'Projekt-Budget-Übersicht'!$M:$M,0)),0))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'R. Böttiger'!M36</f>
        <v>0</v>
      </c>
      <c r="Q36" s="10">
        <v>60</v>
      </c>
      <c r="R36" s="10">
        <f>IFERROR(INDEX('Projekt-Budget-Übersicht'!$F:$F,MATCH(2977,'Projekt-Budget-Übersicht'!$L:$L,0)),0)</f>
        <v>0</v>
      </c>
      <c r="S36" s="10">
        <v>71.650000000000006</v>
      </c>
      <c r="T36" s="4"/>
      <c r="U36" s="4"/>
    </row>
    <row r="37" spans="1:21" x14ac:dyDescent="0.25">
      <c r="A37" s="4" t="s">
        <v>4278</v>
      </c>
      <c r="B37" s="4" t="s">
        <v>5652</v>
      </c>
      <c r="C37" s="4" t="str">
        <f>IFERROR(INDEX('Projekt-Budget-Übersicht'!$C:$C,MATCH(4369,'Projekt-Budget-Übersicht'!$L:$L,0)),"")</f>
        <v/>
      </c>
      <c r="D37" s="4">
        <v>46.5</v>
      </c>
      <c r="E37" s="4">
        <v>2.5</v>
      </c>
      <c r="F37" s="4">
        <v>0.5</v>
      </c>
      <c r="G37" s="16">
        <v>5.38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IF($B$2="-",0,IFERROR(INDEX(IF($B$2="SV",'Projekt-Budget-Übersicht'!$I:$I,IF($B$2="CAD",'Projekt-Budget-Übersicht'!$J:$J,IF($B$2="ADM",'Projekt-Budget-Übersicht'!$K:$K,'Projekt-Budget-Übersicht'!$I:$I))),MATCH(4369,'Projekt-Budget-Übersicht'!$M:$M,0)),0))</f>
        <v>133.79354838709679</v>
      </c>
      <c r="M37" s="10">
        <f t="shared" si="5"/>
        <v>66.896774193548396</v>
      </c>
      <c r="N37" s="10">
        <f t="shared" si="6"/>
        <v>66.896774193548396</v>
      </c>
      <c r="O37" s="10">
        <f t="shared" si="7"/>
        <v>0</v>
      </c>
      <c r="P37" s="10">
        <f>'R. Böttiger'!M37</f>
        <v>66.896774193548396</v>
      </c>
      <c r="Q37" s="10">
        <v>46.5</v>
      </c>
      <c r="R37" s="10">
        <f>IFERROR(INDEX('Projekt-Budget-Übersicht'!$F:$F,MATCH(4369,'Projekt-Budget-Übersicht'!$L:$L,0)),0)</f>
        <v>0</v>
      </c>
      <c r="S37" s="10"/>
      <c r="T37" s="4"/>
      <c r="U37" s="4"/>
    </row>
    <row r="38" spans="1:21" x14ac:dyDescent="0.25">
      <c r="A38" s="4" t="s">
        <v>4757</v>
      </c>
      <c r="B38" s="4" t="s">
        <v>5459</v>
      </c>
      <c r="C38" s="4" t="str">
        <f>IFERROR(INDEX('Projekt-Budget-Übersicht'!$C:$C,MATCH(4775,'Projekt-Budget-Übersicht'!$L:$L,0)),"")</f>
        <v/>
      </c>
      <c r="D38" s="4">
        <v>30</v>
      </c>
      <c r="E38" s="4">
        <v>51.5</v>
      </c>
      <c r="F38" s="4">
        <v>3.5</v>
      </c>
      <c r="G38" s="15">
        <v>171.67</v>
      </c>
      <c r="H38" s="5"/>
      <c r="I38" s="5">
        <f t="shared" si="4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117.07317073170729</v>
      </c>
      <c r="M38" s="10">
        <f t="shared" si="5"/>
        <v>409.75609756097555</v>
      </c>
      <c r="N38" s="10">
        <f t="shared" si="6"/>
        <v>409.75609756097555</v>
      </c>
      <c r="O38" s="10">
        <f t="shared" si="7"/>
        <v>0</v>
      </c>
      <c r="P38" s="10">
        <f>'R. Böttiger'!M38</f>
        <v>409.75609756097555</v>
      </c>
      <c r="Q38" s="10">
        <v>64</v>
      </c>
      <c r="R38" s="10">
        <f>IFERROR(INDEX('Projekt-Budget-Übersicht'!$F:$F,MATCH(4775,'Projekt-Budget-Übersicht'!$L:$L,0)),0)</f>
        <v>0</v>
      </c>
      <c r="S38" s="10">
        <v>687.5</v>
      </c>
      <c r="T38" s="4"/>
      <c r="U38" s="4"/>
    </row>
    <row r="39" spans="1:21" x14ac:dyDescent="0.25">
      <c r="A39" s="4" t="s">
        <v>4798</v>
      </c>
      <c r="B39" s="4" t="s">
        <v>5650</v>
      </c>
      <c r="C39" s="4" t="str">
        <f>IFERROR(INDEX('Projekt-Budget-Übersicht'!$C:$C,MATCH(4804,'Projekt-Budget-Übersicht'!$L:$L,0)),"")</f>
        <v/>
      </c>
      <c r="D39" s="4">
        <v>100</v>
      </c>
      <c r="E39" s="4">
        <v>88.5</v>
      </c>
      <c r="F39" s="4">
        <v>6</v>
      </c>
      <c r="G39" s="16">
        <v>88.5</v>
      </c>
      <c r="H39" s="5"/>
      <c r="I39" s="5">
        <f t="shared" si="4"/>
        <v>0</v>
      </c>
      <c r="J39" s="4"/>
      <c r="K39" s="5">
        <f>IF('T. Trautmann'!J57="R. Böttiger",'T. Trautmann'!I57,0)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39" s="10">
        <f t="shared" si="5"/>
        <v>0</v>
      </c>
      <c r="N39" s="10">
        <f t="shared" si="6"/>
        <v>0</v>
      </c>
      <c r="O39" s="10">
        <f t="shared" si="7"/>
        <v>0</v>
      </c>
      <c r="P39" s="10">
        <f>'R. Böttiger'!M39+'T. Trautmann'!M57</f>
        <v>0</v>
      </c>
      <c r="Q39" s="10">
        <v>46</v>
      </c>
      <c r="R39" s="10">
        <f>IFERROR(INDEX('Projekt-Budget-Übersicht'!$F:$F,MATCH(4804,'Projekt-Budget-Übersicht'!$L:$L,0)),0)</f>
        <v>0</v>
      </c>
      <c r="S39" s="10">
        <v>1130.82</v>
      </c>
      <c r="T39" s="4"/>
      <c r="U39" s="4"/>
    </row>
    <row r="40" spans="1:21" x14ac:dyDescent="0.25">
      <c r="A40" s="4" t="s">
        <v>4799</v>
      </c>
      <c r="B40" s="4" t="s">
        <v>5485</v>
      </c>
      <c r="C40" s="4" t="str">
        <f>IFERROR(INDEX('Projekt-Budget-Übersicht'!$C:$C,MATCH(4805,'Projekt-Budget-Übersicht'!$L:$L,0)),"")</f>
        <v/>
      </c>
      <c r="D40" s="4">
        <v>20</v>
      </c>
      <c r="E40" s="4">
        <v>19.25</v>
      </c>
      <c r="F40" s="4">
        <v>10.25</v>
      </c>
      <c r="G40" s="14">
        <v>96.25</v>
      </c>
      <c r="H40" s="5"/>
      <c r="I40" s="5">
        <f t="shared" si="4"/>
        <v>0</v>
      </c>
      <c r="J40" s="4"/>
      <c r="K40" s="5">
        <f>IF('A. Kokott'!J58="R. Böttiger",'A. Kokott'!I58,0)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IF($B$2="-",0,IFERROR(INDEX(IF($B$2="SV",'Projekt-Budget-Übersicht'!$I:$I,IF($B$2="CAD",'Projekt-Budget-Übersicht'!$J:$J,IF($B$2="ADM",'Projekt-Budget-Übersicht'!$K:$K,'Projekt-Budget-Übersicht'!$I:$I))),MATCH(4805,'Projekt-Budget-Übersicht'!$M:$M,0)),0))</f>
        <v>123.8095238095238</v>
      </c>
      <c r="M40" s="10">
        <f t="shared" si="5"/>
        <v>1269.0476190476188</v>
      </c>
      <c r="N40" s="10">
        <f t="shared" si="6"/>
        <v>1269.0476190476188</v>
      </c>
      <c r="O40" s="10">
        <f t="shared" si="7"/>
        <v>0</v>
      </c>
      <c r="P40" s="10">
        <f>'A. Kokott'!M58+'R. Böttiger'!M40</f>
        <v>1330.9523809523807</v>
      </c>
      <c r="Q40" s="10">
        <v>21</v>
      </c>
      <c r="R40" s="10">
        <f>IFERROR(INDEX('Projekt-Budget-Übersicht'!$F:$F,MATCH(4805,'Projekt-Budget-Übersicht'!$L:$L,0)),0)</f>
        <v>0</v>
      </c>
      <c r="S40" s="10">
        <v>55</v>
      </c>
      <c r="T40" s="4"/>
      <c r="U40" s="4"/>
    </row>
    <row r="41" spans="1:21" x14ac:dyDescent="0.25">
      <c r="A41" s="4" t="s">
        <v>4949</v>
      </c>
      <c r="B41" s="4" t="s">
        <v>5522</v>
      </c>
      <c r="C41" s="4" t="str">
        <f>IFERROR(INDEX('Projekt-Budget-Übersicht'!$C:$C,MATCH(4926,'Projekt-Budget-Übersicht'!$L:$L,0)),"")</f>
        <v/>
      </c>
      <c r="D41" s="4">
        <v>70</v>
      </c>
      <c r="E41" s="4">
        <v>36.75</v>
      </c>
      <c r="F41" s="4">
        <v>13.5</v>
      </c>
      <c r="G41" s="16">
        <v>52.5</v>
      </c>
      <c r="H41" s="5"/>
      <c r="I41" s="5">
        <f t="shared" si="4"/>
        <v>0</v>
      </c>
      <c r="J41" s="4"/>
      <c r="K41" s="5"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IF($B$2="-",0,IFERROR(INDEX(IF($B$2="SV",'Projekt-Budget-Übersicht'!$I:$I,IF($B$2="CAD",'Projekt-Budget-Übersicht'!$J:$J,IF($B$2="ADM",'Projekt-Budget-Übersicht'!$K:$K,'Projekt-Budget-Übersicht'!$I:$I))),MATCH(4926,'Projekt-Budget-Übersicht'!$M:$M,0)),0))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'R. Böttiger'!M41</f>
        <v>0</v>
      </c>
      <c r="Q41" s="10">
        <v>57</v>
      </c>
      <c r="R41" s="10">
        <f>IFERROR(INDEX('Projekt-Budget-Übersicht'!$F:$F,MATCH(4926,'Projekt-Budget-Übersicht'!$L:$L,0)),0)</f>
        <v>0</v>
      </c>
      <c r="S41" s="10">
        <v>17.5</v>
      </c>
      <c r="T41" s="4"/>
      <c r="U41" s="4"/>
    </row>
    <row r="42" spans="1:21" x14ac:dyDescent="0.25">
      <c r="A42" s="4" t="s">
        <v>4954</v>
      </c>
      <c r="B42" s="4" t="s">
        <v>5459</v>
      </c>
      <c r="C42" s="4" t="str">
        <f>IFERROR(INDEX('Projekt-Budget-Übersicht'!$C:$C,MATCH(4930,'Projekt-Budget-Übersicht'!$L:$L,0)),"")</f>
        <v/>
      </c>
      <c r="D42" s="4">
        <v>8</v>
      </c>
      <c r="E42" s="4">
        <v>7.75</v>
      </c>
      <c r="F42" s="4">
        <v>1</v>
      </c>
      <c r="G42" s="14">
        <v>96.88</v>
      </c>
      <c r="H42" s="5"/>
      <c r="I42" s="5">
        <f t="shared" si="4"/>
        <v>0</v>
      </c>
      <c r="J42" s="4"/>
      <c r="K42" s="5">
        <f>IF('H. Bektas'!J35="R. Böttiger",'H. Bektas'!I35,0)+IF('T. Trautmann'!J59="R. Böttiger",'T. Trautmann'!I59,0)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127.7777777777778</v>
      </c>
      <c r="M42" s="10">
        <f t="shared" si="5"/>
        <v>127.7777777777778</v>
      </c>
      <c r="N42" s="10">
        <f t="shared" si="6"/>
        <v>127.7777777777778</v>
      </c>
      <c r="O42" s="10">
        <f t="shared" si="7"/>
        <v>0</v>
      </c>
      <c r="P42" s="10">
        <f>'H. Bektas'!M35+'R. Böttiger'!M42+'T. Trautmann'!M59</f>
        <v>990.27777777777794</v>
      </c>
      <c r="Q42" s="10">
        <v>17</v>
      </c>
      <c r="R42" s="10">
        <f>IFERROR(INDEX('Projekt-Budget-Übersicht'!$F:$F,MATCH(4930,'Projekt-Budget-Übersicht'!$L:$L,0)),0)</f>
        <v>0</v>
      </c>
      <c r="S42" s="10">
        <v>85</v>
      </c>
      <c r="T42" s="4"/>
      <c r="U42" s="4"/>
    </row>
    <row r="43" spans="1:21" x14ac:dyDescent="0.25">
      <c r="A43" s="21" t="s">
        <v>5414</v>
      </c>
      <c r="B43" s="4" t="s">
        <v>5653</v>
      </c>
      <c r="C43" s="4" t="str">
        <f>IFERROR(INDEX('Projekt-Budget-Übersicht'!$C:$C,MATCH(5362,'Projekt-Budget-Übersicht'!$L:$L,0)),"")</f>
        <v/>
      </c>
      <c r="D43" s="4">
        <v>40</v>
      </c>
      <c r="E43" s="4">
        <v>37</v>
      </c>
      <c r="F43" s="4">
        <v>11</v>
      </c>
      <c r="G43" s="14">
        <v>92.5</v>
      </c>
      <c r="H43" s="5"/>
      <c r="I43" s="5">
        <f t="shared" si="4"/>
        <v>0</v>
      </c>
      <c r="J43" s="4"/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'R. Böttiger'!M43</f>
        <v>0</v>
      </c>
      <c r="Q43" s="10">
        <v>67</v>
      </c>
      <c r="R43" s="10">
        <f>IFERROR(INDEX('Projekt-Budget-Übersicht'!$F:$F,MATCH(5362,'Projekt-Budget-Übersicht'!$L:$L,0)),0)</f>
        <v>0</v>
      </c>
      <c r="S43" s="10"/>
      <c r="T43" s="4"/>
      <c r="U43" s="4"/>
    </row>
    <row r="44" spans="1:21" x14ac:dyDescent="0.25">
      <c r="A44" s="22"/>
      <c r="B44" s="4" t="s">
        <v>5593</v>
      </c>
      <c r="C44" s="4" t="str">
        <f>IFERROR(INDEX('Projekt-Budget-Übersicht'!$C:$C,MATCH(5362,'Projekt-Budget-Übersicht'!$L:$L,0)),"")</f>
        <v/>
      </c>
      <c r="D44" s="4">
        <v>47</v>
      </c>
      <c r="E44" s="4">
        <v>88</v>
      </c>
      <c r="F44" s="4">
        <v>27</v>
      </c>
      <c r="G44" s="15">
        <v>187.23</v>
      </c>
      <c r="H44" s="5"/>
      <c r="I44" s="5">
        <f t="shared" si="4"/>
        <v>0</v>
      </c>
      <c r="J44" s="4"/>
      <c r="K44" s="5">
        <f>IF('J. Dorn'!J73="R. Böttiger",'J. Dorn'!I73,0)</f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44" s="10">
        <f t="shared" si="5"/>
        <v>0</v>
      </c>
      <c r="N44" s="10">
        <f t="shared" si="6"/>
        <v>0</v>
      </c>
      <c r="O44" s="10">
        <f t="shared" si="7"/>
        <v>0</v>
      </c>
      <c r="P44" s="10">
        <f>'J. Dorn'!M73+'R. Böttiger'!M44</f>
        <v>0</v>
      </c>
      <c r="Q44" s="10">
        <v>67</v>
      </c>
      <c r="R44" s="10">
        <f>IFERROR(INDEX('Projekt-Budget-Übersicht'!$F:$F,MATCH(5362,'Projekt-Budget-Übersicht'!$L:$L,0)),0)</f>
        <v>0</v>
      </c>
      <c r="S44" s="10">
        <v>2749.15</v>
      </c>
      <c r="T44" s="4"/>
      <c r="U44" s="4"/>
    </row>
    <row r="45" spans="1:21" x14ac:dyDescent="0.25">
      <c r="A45" s="21" t="s">
        <v>5420</v>
      </c>
      <c r="B45" s="4" t="s">
        <v>5653</v>
      </c>
      <c r="C45" s="4" t="str">
        <f>IFERROR(INDEX('Projekt-Budget-Übersicht'!$C:$C,MATCH(5367,'Projekt-Budget-Übersicht'!$L:$L,0)),"")</f>
        <v/>
      </c>
      <c r="D45" s="4">
        <v>20</v>
      </c>
      <c r="E45" s="4">
        <v>35.25</v>
      </c>
      <c r="F45" s="4">
        <v>7</v>
      </c>
      <c r="G45" s="15">
        <v>176.25</v>
      </c>
      <c r="H45" s="5"/>
      <c r="I45" s="5">
        <f t="shared" si="4"/>
        <v>0</v>
      </c>
      <c r="J45" s="4"/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45" s="10">
        <f t="shared" si="5"/>
        <v>0</v>
      </c>
      <c r="N45" s="10">
        <f t="shared" si="6"/>
        <v>0</v>
      </c>
      <c r="O45" s="10">
        <f t="shared" si="7"/>
        <v>0</v>
      </c>
      <c r="P45" s="10">
        <f>'R. Böttiger'!M45</f>
        <v>0</v>
      </c>
      <c r="Q45" s="10">
        <v>23</v>
      </c>
      <c r="R45" s="10">
        <f>IFERROR(INDEX('Projekt-Budget-Übersicht'!$F:$F,MATCH(5367,'Projekt-Budget-Übersicht'!$L:$L,0)),0)</f>
        <v>0</v>
      </c>
      <c r="S45" s="10"/>
      <c r="T45" s="4"/>
      <c r="U45" s="4"/>
    </row>
    <row r="46" spans="1:21" x14ac:dyDescent="0.25">
      <c r="A46" s="22"/>
      <c r="B46" s="4" t="s">
        <v>5593</v>
      </c>
      <c r="C46" s="4" t="str">
        <f>IFERROR(INDEX('Projekt-Budget-Übersicht'!$C:$C,MATCH(5367,'Projekt-Budget-Übersicht'!$L:$L,0)),"")</f>
        <v/>
      </c>
      <c r="D46" s="4">
        <v>3</v>
      </c>
      <c r="E46" s="4">
        <v>64.25</v>
      </c>
      <c r="F46" s="4">
        <v>19.25</v>
      </c>
      <c r="G46" s="15">
        <v>2141.67</v>
      </c>
      <c r="H46" s="5"/>
      <c r="I46" s="5">
        <f t="shared" si="4"/>
        <v>0</v>
      </c>
      <c r="J46" s="4"/>
      <c r="K46" s="5">
        <f>IF('J. Dorn'!J74="R. Böttiger",'J. Dorn'!I74,0)</f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46" s="10">
        <f t="shared" si="5"/>
        <v>0</v>
      </c>
      <c r="N46" s="10">
        <f t="shared" si="6"/>
        <v>0</v>
      </c>
      <c r="O46" s="10">
        <f t="shared" si="7"/>
        <v>0</v>
      </c>
      <c r="P46" s="10">
        <f>'J. Dorn'!M74+'R. Böttiger'!M46</f>
        <v>0</v>
      </c>
      <c r="Q46" s="10">
        <v>23</v>
      </c>
      <c r="R46" s="10">
        <f>IFERROR(INDEX('Projekt-Budget-Übersicht'!$F:$F,MATCH(5367,'Projekt-Budget-Übersicht'!$L:$L,0)),0)</f>
        <v>0</v>
      </c>
      <c r="S46" s="10">
        <v>2164.15</v>
      </c>
      <c r="T46" s="4"/>
      <c r="U46" s="4"/>
    </row>
    <row r="47" spans="1:21" x14ac:dyDescent="0.25">
      <c r="A47" s="3"/>
      <c r="B47" s="3" t="s">
        <v>5492</v>
      </c>
      <c r="C47" s="3"/>
      <c r="D47" s="3"/>
      <c r="E47" s="3"/>
      <c r="F47" s="6">
        <v>120</v>
      </c>
      <c r="G47" s="3"/>
      <c r="H47" s="3"/>
      <c r="I47" s="3"/>
      <c r="J47" s="3"/>
      <c r="K47" s="3"/>
      <c r="L47" s="3"/>
      <c r="M47" s="17">
        <f>SUM(M31:M46)</f>
        <v>3603.3770361855545</v>
      </c>
      <c r="N47" s="17">
        <f>SUM(N31:N46)</f>
        <v>3603.3770361855545</v>
      </c>
      <c r="O47" s="17">
        <f>SUM(O31:O46)</f>
        <v>0</v>
      </c>
      <c r="P47" s="17">
        <f>SUM(P31:P46)</f>
        <v>4594.9692980903164</v>
      </c>
      <c r="Q47" s="3"/>
      <c r="R47" s="3"/>
      <c r="S47" s="3"/>
      <c r="T47" s="3"/>
      <c r="U47" s="3"/>
    </row>
    <row r="48" spans="1:21" x14ac:dyDescent="0.25">
      <c r="A48" s="3"/>
      <c r="B48" s="3" t="s">
        <v>4</v>
      </c>
      <c r="C48" s="3"/>
      <c r="D48" s="3"/>
      <c r="E48" s="3"/>
      <c r="F48" s="6">
        <f>G48+H48</f>
        <v>47</v>
      </c>
      <c r="G48" s="6">
        <v>47</v>
      </c>
      <c r="H48" s="6">
        <f>SUM(H32,H33,H34,H35,H36,H37,H38,H39,H40,H41,H42,H43,H44,H45,H46)</f>
        <v>0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3"/>
      <c r="B49" s="3" t="s">
        <v>5</v>
      </c>
      <c r="C49" s="3"/>
      <c r="D49" s="3"/>
      <c r="E49" s="3"/>
      <c r="F49" s="6">
        <f>G49+H49</f>
        <v>1</v>
      </c>
      <c r="G49" s="6">
        <v>1</v>
      </c>
      <c r="H49" s="6">
        <f>SUM(H31)</f>
        <v>0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 x14ac:dyDescent="0.25">
      <c r="A50" s="3"/>
      <c r="B50" s="3" t="s">
        <v>5493</v>
      </c>
      <c r="C50" s="3"/>
      <c r="D50" s="3"/>
      <c r="E50" s="3"/>
      <c r="F50" s="6">
        <f>SUM(K31:K46)</f>
        <v>0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18"/>
      <c r="B51" s="18" t="s">
        <v>5494</v>
      </c>
      <c r="C51" s="18"/>
      <c r="D51" s="18"/>
      <c r="E51" s="18"/>
      <c r="F51" s="19">
        <f>F48+F49+F50</f>
        <v>48</v>
      </c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3" spans="1:21" ht="15.75" x14ac:dyDescent="0.25">
      <c r="A53" s="2" t="s">
        <v>5512</v>
      </c>
    </row>
    <row r="54" spans="1:21" x14ac:dyDescent="0.25">
      <c r="A54" s="3" t="s">
        <v>35</v>
      </c>
      <c r="B54" s="3" t="s">
        <v>5461</v>
      </c>
      <c r="C54" s="3" t="s">
        <v>37</v>
      </c>
      <c r="D54" s="3" t="s">
        <v>5462</v>
      </c>
      <c r="E54" s="3" t="s">
        <v>5463</v>
      </c>
      <c r="F54" s="3" t="s">
        <v>5513</v>
      </c>
      <c r="G54" s="3" t="s">
        <v>5465</v>
      </c>
      <c r="H54" s="3" t="s">
        <v>5466</v>
      </c>
      <c r="I54" s="3" t="s">
        <v>5467</v>
      </c>
      <c r="J54" s="3" t="s">
        <v>5468</v>
      </c>
      <c r="K54" s="3" t="s">
        <v>5469</v>
      </c>
      <c r="L54" s="3" t="s">
        <v>5470</v>
      </c>
      <c r="M54" s="3" t="s">
        <v>5471</v>
      </c>
      <c r="N54" s="3" t="s">
        <v>5472</v>
      </c>
      <c r="O54" s="3" t="s">
        <v>5473</v>
      </c>
      <c r="P54" s="3" t="s">
        <v>5474</v>
      </c>
      <c r="Q54" s="3" t="s">
        <v>5475</v>
      </c>
      <c r="R54" s="3" t="s">
        <v>5476</v>
      </c>
      <c r="S54" s="3" t="s">
        <v>5477</v>
      </c>
      <c r="T54" s="3" t="s">
        <v>5478</v>
      </c>
      <c r="U54" s="3" t="s">
        <v>5479</v>
      </c>
    </row>
    <row r="55" spans="1:21" x14ac:dyDescent="0.25">
      <c r="A55" s="4" t="s">
        <v>93</v>
      </c>
      <c r="B55" s="4" t="s">
        <v>5459</v>
      </c>
      <c r="C55" s="4" t="str">
        <f>IFERROR(INDEX('Projekt-Budget-Übersicht'!$C:$C,MATCH(29,'Projekt-Budget-Übersicht'!$L:$L,0)),"")</f>
        <v/>
      </c>
      <c r="D55" s="4">
        <v>15</v>
      </c>
      <c r="E55" s="4">
        <v>0</v>
      </c>
      <c r="F55" s="4">
        <v>0.25</v>
      </c>
      <c r="G55" s="16">
        <v>0</v>
      </c>
      <c r="H55" s="5"/>
      <c r="I55" s="5">
        <f t="shared" ref="I55:I69" si="8">IF(H55=0,0,F55-H55)</f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IF($B$2="-",0,IFERROR(INDEX(IF($B$2="SV",'Projekt-Budget-Übersicht'!$I:$I,IF($B$2="CAD",'Projekt-Budget-Übersicht'!$J:$J,IF($B$2="ADM",'Projekt-Budget-Übersicht'!$K:$K,'Projekt-Budget-Übersicht'!$I:$I))),MATCH(29,'Projekt-Budget-Übersicht'!$M:$M,0)),0))</f>
        <v>120</v>
      </c>
      <c r="M55" s="10">
        <f t="shared" ref="M55:M69" si="9">IF($B$2="-",0,IF(C55="Pauschale",IF(OR(R55=0,N(D55)=0),0,MAX(0,MIN(R55*((N(F55)+N(K55))/N(D55)),R55-R55*(N(E55)/N(D55))))),L55*(N(F55)+N(K55))))</f>
        <v>30</v>
      </c>
      <c r="N55" s="10">
        <f t="shared" ref="N55:N69" si="10">IF($B$2="-",0,IF(C55="Pauschale",IF(OR(R55=0,N(D55)=0),0,R55*((N(F55)+N(K55))/N(D55))),L55*(N(F55)+N(K55))))</f>
        <v>30</v>
      </c>
      <c r="O55" s="10">
        <f t="shared" ref="O55:O69" si="11">N55-M55</f>
        <v>0</v>
      </c>
      <c r="P55" s="10">
        <f>'R. Böttiger'!M55</f>
        <v>30</v>
      </c>
      <c r="Q55" s="10">
        <v>25</v>
      </c>
      <c r="R55" s="10">
        <f>IFERROR(INDEX('Projekt-Budget-Übersicht'!$F:$F,MATCH(29,'Projekt-Budget-Übersicht'!$L:$L,0)),0)</f>
        <v>0</v>
      </c>
      <c r="S55" s="10"/>
      <c r="T55" s="4"/>
      <c r="U55" s="4"/>
    </row>
    <row r="56" spans="1:21" x14ac:dyDescent="0.25">
      <c r="A56" s="4" t="s">
        <v>2491</v>
      </c>
      <c r="B56" s="4" t="s">
        <v>5501</v>
      </c>
      <c r="C56" s="4" t="str">
        <f>IFERROR(INDEX('Projekt-Budget-Übersicht'!$C:$C,MATCH(2814,'Projekt-Budget-Übersicht'!$L:$L,0)),"")</f>
        <v/>
      </c>
      <c r="D56" s="4">
        <v>10</v>
      </c>
      <c r="E56" s="4">
        <v>20.5</v>
      </c>
      <c r="F56" s="4">
        <v>0.75</v>
      </c>
      <c r="G56" s="15">
        <v>205</v>
      </c>
      <c r="H56" s="5"/>
      <c r="I56" s="5">
        <f t="shared" si="8"/>
        <v>0</v>
      </c>
      <c r="J56" s="4"/>
      <c r="K56" s="5"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IF($B$2="-",0,IFERROR(INDEX(IF($B$2="SV",'Projekt-Budget-Übersicht'!$I:$I,IF($B$2="CAD",'Projekt-Budget-Übersicht'!$J:$J,IF($B$2="ADM",'Projekt-Budget-Übersicht'!$K:$K,'Projekt-Budget-Übersicht'!$I:$I))),MATCH(2814,'Projekt-Budget-Übersicht'!$M:$M,0)),0))</f>
        <v>26.056338028169019</v>
      </c>
      <c r="M56" s="10">
        <f t="shared" si="9"/>
        <v>19.542253521126764</v>
      </c>
      <c r="N56" s="10">
        <f t="shared" si="10"/>
        <v>19.542253521126764</v>
      </c>
      <c r="O56" s="10">
        <f t="shared" si="11"/>
        <v>0</v>
      </c>
      <c r="P56" s="10">
        <f>'R. Böttiger'!M56</f>
        <v>19.542253521126764</v>
      </c>
      <c r="Q56" s="10">
        <v>71</v>
      </c>
      <c r="R56" s="10">
        <f>IFERROR(INDEX('Projekt-Budget-Übersicht'!$F:$F,MATCH(2814,'Projekt-Budget-Übersicht'!$L:$L,0)),0)</f>
        <v>0</v>
      </c>
      <c r="S56" s="10">
        <v>1280</v>
      </c>
      <c r="T56" s="4"/>
      <c r="U56" s="4"/>
    </row>
    <row r="57" spans="1:21" x14ac:dyDescent="0.25">
      <c r="A57" s="4" t="s">
        <v>2504</v>
      </c>
      <c r="B57" s="4" t="s">
        <v>5459</v>
      </c>
      <c r="C57" s="4" t="s">
        <v>50</v>
      </c>
      <c r="D57" s="4">
        <v>0</v>
      </c>
      <c r="E57" s="4">
        <v>0</v>
      </c>
      <c r="F57" s="4">
        <v>6.25</v>
      </c>
      <c r="G57" s="4">
        <v>0</v>
      </c>
      <c r="H57" s="5"/>
      <c r="I57" s="5">
        <f t="shared" si="8"/>
        <v>0</v>
      </c>
      <c r="J57" s="4"/>
      <c r="K57" s="5">
        <v>0</v>
      </c>
      <c r="L57" s="10">
        <f>IF($B$2="-",0,0)</f>
        <v>0</v>
      </c>
      <c r="M57" s="10">
        <f t="shared" si="9"/>
        <v>0</v>
      </c>
      <c r="N57" s="10">
        <f t="shared" si="10"/>
        <v>0</v>
      </c>
      <c r="O57" s="10">
        <f t="shared" si="11"/>
        <v>0</v>
      </c>
      <c r="P57" s="10">
        <f>'R. Böttiger'!M57</f>
        <v>0</v>
      </c>
      <c r="Q57" s="10"/>
      <c r="R57" s="10">
        <f>0</f>
        <v>0</v>
      </c>
      <c r="S57" s="10"/>
      <c r="T57" s="4"/>
      <c r="U57" s="4"/>
    </row>
    <row r="58" spans="1:21" x14ac:dyDescent="0.25">
      <c r="A58" s="4" t="s">
        <v>2509</v>
      </c>
      <c r="B58" s="4" t="s">
        <v>5654</v>
      </c>
      <c r="C58" s="4" t="s">
        <v>50</v>
      </c>
      <c r="D58" s="4">
        <v>0</v>
      </c>
      <c r="E58" s="4">
        <v>0</v>
      </c>
      <c r="F58" s="4">
        <v>1</v>
      </c>
      <c r="G58" s="4">
        <v>0</v>
      </c>
      <c r="H58" s="5"/>
      <c r="I58" s="5">
        <f t="shared" si="8"/>
        <v>0</v>
      </c>
      <c r="J58" s="4"/>
      <c r="K58" s="5">
        <v>0</v>
      </c>
      <c r="L58" s="10">
        <f>IF($B$2="-",0,0)</f>
        <v>0</v>
      </c>
      <c r="M58" s="10">
        <f t="shared" si="9"/>
        <v>0</v>
      </c>
      <c r="N58" s="10">
        <f t="shared" si="10"/>
        <v>0</v>
      </c>
      <c r="O58" s="10">
        <f t="shared" si="11"/>
        <v>0</v>
      </c>
      <c r="P58" s="10">
        <f>'R. Böttiger'!M58</f>
        <v>0</v>
      </c>
      <c r="Q58" s="10"/>
      <c r="R58" s="10">
        <f>0</f>
        <v>0</v>
      </c>
      <c r="S58" s="10"/>
      <c r="T58" s="4"/>
      <c r="U58" s="4"/>
    </row>
    <row r="59" spans="1:21" x14ac:dyDescent="0.25">
      <c r="A59" s="4" t="s">
        <v>2668</v>
      </c>
      <c r="B59" s="4" t="s">
        <v>5648</v>
      </c>
      <c r="C59" s="4" t="str">
        <f>IFERROR(INDEX('Projekt-Budget-Übersicht'!$C:$C,MATCH(2977,'Projekt-Budget-Übersicht'!$L:$L,0)),"")</f>
        <v/>
      </c>
      <c r="D59" s="4">
        <v>80</v>
      </c>
      <c r="E59" s="4">
        <v>46.5</v>
      </c>
      <c r="F59" s="4">
        <v>3.5</v>
      </c>
      <c r="G59" s="16">
        <v>58.13</v>
      </c>
      <c r="H59" s="5"/>
      <c r="I59" s="5">
        <f t="shared" si="8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IF($B$2="-",0,IFERROR(INDEX(IF($B$2="SV",'Projekt-Budget-Übersicht'!$I:$I,IF($B$2="CAD",'Projekt-Budget-Übersicht'!$J:$J,IF($B$2="ADM",'Projekt-Budget-Übersicht'!$K:$K,'Projekt-Budget-Übersicht'!$I:$I))),MATCH(2977,'Projekt-Budget-Übersicht'!$M:$M,0)),0))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'R. Böttiger'!M59</f>
        <v>0</v>
      </c>
      <c r="Q59" s="10">
        <v>60</v>
      </c>
      <c r="R59" s="10">
        <f>IFERROR(INDEX('Projekt-Budget-Übersicht'!$F:$F,MATCH(2977,'Projekt-Budget-Übersicht'!$L:$L,0)),0)</f>
        <v>0</v>
      </c>
      <c r="S59" s="10">
        <v>71.650000000000006</v>
      </c>
      <c r="T59" s="4"/>
      <c r="U59" s="4"/>
    </row>
    <row r="60" spans="1:21" x14ac:dyDescent="0.25">
      <c r="A60" s="4" t="s">
        <v>4373</v>
      </c>
      <c r="B60" s="4" t="s">
        <v>5459</v>
      </c>
      <c r="C60" s="4" t="str">
        <f>IFERROR(INDEX('Projekt-Budget-Übersicht'!$C:$C,MATCH(4448,'Projekt-Budget-Übersicht'!$L:$L,0)),"")</f>
        <v/>
      </c>
      <c r="D60" s="4">
        <v>19</v>
      </c>
      <c r="E60" s="4">
        <v>22</v>
      </c>
      <c r="F60" s="4">
        <v>0.75</v>
      </c>
      <c r="G60" s="15">
        <v>115.79</v>
      </c>
      <c r="H60" s="5"/>
      <c r="I60" s="5">
        <f t="shared" si="8"/>
        <v>0</v>
      </c>
      <c r="J60" s="4"/>
      <c r="K60" s="5">
        <f>IF('J. Dorn'!J102="R. Böttiger",'J. Dorn'!I102,0)+IF('T. Trautmann'!J94="R. Böttiger",'T. Trautmann'!I94,0)</f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120.8333333333333</v>
      </c>
      <c r="M60" s="10">
        <f t="shared" si="9"/>
        <v>90.624999999999972</v>
      </c>
      <c r="N60" s="10">
        <f t="shared" si="10"/>
        <v>90.624999999999972</v>
      </c>
      <c r="O60" s="10">
        <f t="shared" si="11"/>
        <v>0</v>
      </c>
      <c r="P60" s="10">
        <f>'J. Dorn'!M102+'R. Böttiger'!M60+'T. Trautmann'!M94</f>
        <v>483.3333333333332</v>
      </c>
      <c r="Q60" s="10">
        <v>47</v>
      </c>
      <c r="R60" s="10">
        <f>IFERROR(INDEX('Projekt-Budget-Übersicht'!$F:$F,MATCH(4448,'Projekt-Budget-Übersicht'!$L:$L,0)),0)</f>
        <v>0</v>
      </c>
      <c r="S60" s="10">
        <v>2173.75</v>
      </c>
      <c r="T60" s="4"/>
      <c r="U60" s="4"/>
    </row>
    <row r="61" spans="1:21" x14ac:dyDescent="0.25">
      <c r="A61" s="4" t="s">
        <v>4757</v>
      </c>
      <c r="B61" s="4" t="s">
        <v>5459</v>
      </c>
      <c r="C61" s="4" t="str">
        <f>IFERROR(INDEX('Projekt-Budget-Übersicht'!$C:$C,MATCH(4775,'Projekt-Budget-Übersicht'!$L:$L,0)),"")</f>
        <v/>
      </c>
      <c r="D61" s="4">
        <v>30</v>
      </c>
      <c r="E61" s="4">
        <v>73.75</v>
      </c>
      <c r="F61" s="4">
        <v>20.25</v>
      </c>
      <c r="G61" s="15">
        <v>245.83</v>
      </c>
      <c r="H61" s="5"/>
      <c r="I61" s="5">
        <f t="shared" si="8"/>
        <v>0</v>
      </c>
      <c r="J61" s="4"/>
      <c r="K61" s="5">
        <f>IF('P. Bergner'!J53="R. Böttiger",'P. Bergner'!I53,0)</f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IF($B$2="-",0,IFERROR(INDEX(IF($B$2="SV",'Projekt-Budget-Übersicht'!$I:$I,IF($B$2="CAD",'Projekt-Budget-Übersicht'!$J:$J,IF($B$2="ADM",'Projekt-Budget-Übersicht'!$K:$K,'Projekt-Budget-Übersicht'!$I:$I))),MATCH(4775,'Projekt-Budget-Übersicht'!$M:$M,0)),0))</f>
        <v>117.07317073170729</v>
      </c>
      <c r="M61" s="10">
        <f t="shared" si="9"/>
        <v>2370.7317073170725</v>
      </c>
      <c r="N61" s="10">
        <f t="shared" si="10"/>
        <v>2370.7317073170725</v>
      </c>
      <c r="O61" s="10">
        <f t="shared" si="11"/>
        <v>0</v>
      </c>
      <c r="P61" s="10">
        <f>'P. Bergner'!M53+'R. Böttiger'!M61</f>
        <v>2604.878048780487</v>
      </c>
      <c r="Q61" s="10">
        <v>64</v>
      </c>
      <c r="R61" s="10">
        <f>IFERROR(INDEX('Projekt-Budget-Übersicht'!$F:$F,MATCH(4775,'Projekt-Budget-Übersicht'!$L:$L,0)),0)</f>
        <v>0</v>
      </c>
      <c r="S61" s="10">
        <v>687.5</v>
      </c>
      <c r="T61" s="4"/>
      <c r="U61" s="4"/>
    </row>
    <row r="62" spans="1:21" x14ac:dyDescent="0.25">
      <c r="A62" s="4" t="s">
        <v>4758</v>
      </c>
      <c r="B62" s="4" t="s">
        <v>5459</v>
      </c>
      <c r="C62" s="4" t="str">
        <f>IFERROR(INDEX('Projekt-Budget-Übersicht'!$C:$C,MATCH(4776,'Projekt-Budget-Übersicht'!$L:$L,0)),"")</f>
        <v/>
      </c>
      <c r="D62" s="4">
        <v>20</v>
      </c>
      <c r="E62" s="4">
        <v>23.5</v>
      </c>
      <c r="F62" s="4">
        <v>3.75</v>
      </c>
      <c r="G62" s="15">
        <v>117.5</v>
      </c>
      <c r="H62" s="5"/>
      <c r="I62" s="5">
        <f t="shared" si="8"/>
        <v>0</v>
      </c>
      <c r="J62" s="4"/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IF($B$2="-",0,IFERROR(INDEX(IF($B$2="SV",'Projekt-Budget-Übersicht'!$I:$I,IF($B$2="CAD",'Projekt-Budget-Übersicht'!$J:$J,IF($B$2="ADM",'Projekt-Budget-Übersicht'!$K:$K,'Projekt-Budget-Übersicht'!$I:$I))),MATCH(4776,'Projekt-Budget-Übersicht'!$M:$M,0)),0))</f>
        <v>0</v>
      </c>
      <c r="M62" s="10">
        <f t="shared" si="9"/>
        <v>0</v>
      </c>
      <c r="N62" s="10">
        <f t="shared" si="10"/>
        <v>0</v>
      </c>
      <c r="O62" s="10">
        <f t="shared" si="11"/>
        <v>0</v>
      </c>
      <c r="P62" s="10">
        <f>'R. Böttiger'!M62</f>
        <v>0</v>
      </c>
      <c r="Q62" s="10">
        <v>23</v>
      </c>
      <c r="R62" s="10">
        <f>IFERROR(INDEX('Projekt-Budget-Übersicht'!$F:$F,MATCH(4776,'Projekt-Budget-Übersicht'!$L:$L,0)),0)</f>
        <v>0</v>
      </c>
      <c r="S62" s="10">
        <v>35</v>
      </c>
      <c r="T62" s="4"/>
      <c r="U62" s="4"/>
    </row>
    <row r="63" spans="1:21" x14ac:dyDescent="0.25">
      <c r="A63" s="4" t="s">
        <v>4798</v>
      </c>
      <c r="B63" s="4" t="s">
        <v>5650</v>
      </c>
      <c r="C63" s="4" t="str">
        <f>IFERROR(INDEX('Projekt-Budget-Übersicht'!$C:$C,MATCH(4804,'Projekt-Budget-Übersicht'!$L:$L,0)),"")</f>
        <v/>
      </c>
      <c r="D63" s="4">
        <v>100</v>
      </c>
      <c r="E63" s="4">
        <v>88.75</v>
      </c>
      <c r="F63" s="4">
        <v>0.25</v>
      </c>
      <c r="G63" s="16">
        <v>88.75</v>
      </c>
      <c r="H63" s="5"/>
      <c r="I63" s="5">
        <f t="shared" si="8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63" s="10">
        <f t="shared" si="9"/>
        <v>0</v>
      </c>
      <c r="N63" s="10">
        <f t="shared" si="10"/>
        <v>0</v>
      </c>
      <c r="O63" s="10">
        <f t="shared" si="11"/>
        <v>0</v>
      </c>
      <c r="P63" s="10">
        <f>'R. Böttiger'!M63</f>
        <v>0</v>
      </c>
      <c r="Q63" s="10">
        <v>46</v>
      </c>
      <c r="R63" s="10">
        <f>IFERROR(INDEX('Projekt-Budget-Übersicht'!$F:$F,MATCH(4804,'Projekt-Budget-Übersicht'!$L:$L,0)),0)</f>
        <v>0</v>
      </c>
      <c r="S63" s="10">
        <v>1130.82</v>
      </c>
      <c r="T63" s="4"/>
      <c r="U63" s="4"/>
    </row>
    <row r="64" spans="1:21" x14ac:dyDescent="0.25">
      <c r="A64" s="21" t="s">
        <v>5414</v>
      </c>
      <c r="B64" s="4" t="s">
        <v>5653</v>
      </c>
      <c r="C64" s="4" t="str">
        <f>IFERROR(INDEX('Projekt-Budget-Übersicht'!$C:$C,MATCH(5362,'Projekt-Budget-Übersicht'!$L:$L,0)),"")</f>
        <v/>
      </c>
      <c r="D64" s="4">
        <v>40</v>
      </c>
      <c r="E64" s="4">
        <v>39</v>
      </c>
      <c r="F64" s="4">
        <v>2</v>
      </c>
      <c r="G64" s="14">
        <v>97.5</v>
      </c>
      <c r="H64" s="5"/>
      <c r="I64" s="5">
        <f t="shared" si="8"/>
        <v>0</v>
      </c>
      <c r="J64" s="4"/>
      <c r="K64" s="5"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64" s="10">
        <f t="shared" si="9"/>
        <v>0</v>
      </c>
      <c r="N64" s="10">
        <f t="shared" si="10"/>
        <v>0</v>
      </c>
      <c r="O64" s="10">
        <f t="shared" si="11"/>
        <v>0</v>
      </c>
      <c r="P64" s="10">
        <f>'R. Böttiger'!M64</f>
        <v>0</v>
      </c>
      <c r="Q64" s="10">
        <v>67</v>
      </c>
      <c r="R64" s="10">
        <f>IFERROR(INDEX('Projekt-Budget-Übersicht'!$F:$F,MATCH(5362,'Projekt-Budget-Übersicht'!$L:$L,0)),0)</f>
        <v>0</v>
      </c>
      <c r="S64" s="10"/>
      <c r="T64" s="4"/>
      <c r="U64" s="4"/>
    </row>
    <row r="65" spans="1:21" x14ac:dyDescent="0.25">
      <c r="A65" s="23"/>
      <c r="B65" s="4" t="s">
        <v>5651</v>
      </c>
      <c r="C65" s="4" t="str">
        <f>IFERROR(INDEX('Projekt-Budget-Übersicht'!$C:$C,MATCH(5362,'Projekt-Budget-Übersicht'!$L:$L,0)),"")</f>
        <v/>
      </c>
      <c r="D65" s="4">
        <v>0</v>
      </c>
      <c r="E65" s="4">
        <v>4</v>
      </c>
      <c r="F65" s="4">
        <v>1.25</v>
      </c>
      <c r="G65" s="4">
        <v>0</v>
      </c>
      <c r="H65" s="5"/>
      <c r="I65" s="5">
        <f t="shared" si="8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65" s="10">
        <f t="shared" si="9"/>
        <v>0</v>
      </c>
      <c r="N65" s="10">
        <f t="shared" si="10"/>
        <v>0</v>
      </c>
      <c r="O65" s="10">
        <f t="shared" si="11"/>
        <v>0</v>
      </c>
      <c r="P65" s="10">
        <f>'R. Böttiger'!M65</f>
        <v>0</v>
      </c>
      <c r="Q65" s="10">
        <v>67</v>
      </c>
      <c r="R65" s="10">
        <f>IFERROR(INDEX('Projekt-Budget-Übersicht'!$F:$F,MATCH(5362,'Projekt-Budget-Übersicht'!$L:$L,0)),0)</f>
        <v>0</v>
      </c>
      <c r="S65" s="10"/>
      <c r="T65" s="4"/>
      <c r="U65" s="4"/>
    </row>
    <row r="66" spans="1:21" x14ac:dyDescent="0.25">
      <c r="A66" s="22"/>
      <c r="B66" s="4" t="s">
        <v>5593</v>
      </c>
      <c r="C66" s="4" t="str">
        <f>IFERROR(INDEX('Projekt-Budget-Übersicht'!$C:$C,MATCH(5362,'Projekt-Budget-Übersicht'!$L:$L,0)),"")</f>
        <v/>
      </c>
      <c r="D66" s="4">
        <v>47</v>
      </c>
      <c r="E66" s="4">
        <v>92.25</v>
      </c>
      <c r="F66" s="4">
        <v>4.25</v>
      </c>
      <c r="G66" s="15">
        <v>196.28</v>
      </c>
      <c r="H66" s="5"/>
      <c r="I66" s="5">
        <f t="shared" si="8"/>
        <v>0</v>
      </c>
      <c r="J66" s="4"/>
      <c r="K66" s="5"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IF($B$2="-",0,IFERROR(INDEX(IF($B$2="SV",'Projekt-Budget-Übersicht'!$I:$I,IF($B$2="CAD",'Projekt-Budget-Übersicht'!$J:$J,IF($B$2="ADM",'Projekt-Budget-Übersicht'!$K:$K,'Projekt-Budget-Übersicht'!$I:$I))),MATCH(5362,'Projekt-Budget-Übersicht'!$M:$M,0)),0))</f>
        <v>0</v>
      </c>
      <c r="M66" s="10">
        <f t="shared" si="9"/>
        <v>0</v>
      </c>
      <c r="N66" s="10">
        <f t="shared" si="10"/>
        <v>0</v>
      </c>
      <c r="O66" s="10">
        <f t="shared" si="11"/>
        <v>0</v>
      </c>
      <c r="P66" s="10">
        <f>'R. Böttiger'!M66</f>
        <v>0</v>
      </c>
      <c r="Q66" s="10">
        <v>67</v>
      </c>
      <c r="R66" s="10">
        <f>IFERROR(INDEX('Projekt-Budget-Übersicht'!$F:$F,MATCH(5362,'Projekt-Budget-Übersicht'!$L:$L,0)),0)</f>
        <v>0</v>
      </c>
      <c r="S66" s="10">
        <v>2749.15</v>
      </c>
      <c r="T66" s="4"/>
      <c r="U66" s="4"/>
    </row>
    <row r="67" spans="1:21" x14ac:dyDescent="0.25">
      <c r="A67" s="21" t="s">
        <v>5420</v>
      </c>
      <c r="B67" s="4" t="s">
        <v>5653</v>
      </c>
      <c r="C67" s="4" t="str">
        <f>IFERROR(INDEX('Projekt-Budget-Übersicht'!$C:$C,MATCH(5367,'Projekt-Budget-Übersicht'!$L:$L,0)),"")</f>
        <v/>
      </c>
      <c r="D67" s="4">
        <v>20</v>
      </c>
      <c r="E67" s="4">
        <v>38</v>
      </c>
      <c r="F67" s="4">
        <v>2.75</v>
      </c>
      <c r="G67" s="15">
        <v>190</v>
      </c>
      <c r="H67" s="5"/>
      <c r="I67" s="5">
        <f t="shared" si="8"/>
        <v>0</v>
      </c>
      <c r="J67" s="4"/>
      <c r="K67" s="5"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67" s="10">
        <f t="shared" si="9"/>
        <v>0</v>
      </c>
      <c r="N67" s="10">
        <f t="shared" si="10"/>
        <v>0</v>
      </c>
      <c r="O67" s="10">
        <f t="shared" si="11"/>
        <v>0</v>
      </c>
      <c r="P67" s="10">
        <f>'R. Böttiger'!M67</f>
        <v>0</v>
      </c>
      <c r="Q67" s="10">
        <v>23</v>
      </c>
      <c r="R67" s="10">
        <f>IFERROR(INDEX('Projekt-Budget-Übersicht'!$F:$F,MATCH(5367,'Projekt-Budget-Übersicht'!$L:$L,0)),0)</f>
        <v>0</v>
      </c>
      <c r="S67" s="10"/>
      <c r="T67" s="4"/>
      <c r="U67" s="4"/>
    </row>
    <row r="68" spans="1:21" x14ac:dyDescent="0.25">
      <c r="A68" s="23"/>
      <c r="B68" s="4" t="s">
        <v>5651</v>
      </c>
      <c r="C68" s="4" t="str">
        <f>IFERROR(INDEX('Projekt-Budget-Übersicht'!$C:$C,MATCH(5367,'Projekt-Budget-Übersicht'!$L:$L,0)),"")</f>
        <v/>
      </c>
      <c r="D68" s="4">
        <v>0</v>
      </c>
      <c r="E68" s="4">
        <v>4.25</v>
      </c>
      <c r="F68" s="4">
        <v>1.25</v>
      </c>
      <c r="G68" s="4">
        <v>0</v>
      </c>
      <c r="H68" s="5"/>
      <c r="I68" s="5">
        <f t="shared" si="8"/>
        <v>0</v>
      </c>
      <c r="J68" s="4"/>
      <c r="K68" s="5"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68" s="10">
        <f t="shared" si="9"/>
        <v>0</v>
      </c>
      <c r="N68" s="10">
        <f t="shared" si="10"/>
        <v>0</v>
      </c>
      <c r="O68" s="10">
        <f t="shared" si="11"/>
        <v>0</v>
      </c>
      <c r="P68" s="10">
        <f>'R. Böttiger'!M68</f>
        <v>0</v>
      </c>
      <c r="Q68" s="10">
        <v>23</v>
      </c>
      <c r="R68" s="10">
        <f>IFERROR(INDEX('Projekt-Budget-Übersicht'!$F:$F,MATCH(5367,'Projekt-Budget-Übersicht'!$L:$L,0)),0)</f>
        <v>0</v>
      </c>
      <c r="S68" s="10"/>
      <c r="T68" s="4"/>
      <c r="U68" s="4"/>
    </row>
    <row r="69" spans="1:21" x14ac:dyDescent="0.25">
      <c r="A69" s="22"/>
      <c r="B69" s="4" t="s">
        <v>5593</v>
      </c>
      <c r="C69" s="4" t="str">
        <f>IFERROR(INDEX('Projekt-Budget-Übersicht'!$C:$C,MATCH(5367,'Projekt-Budget-Übersicht'!$L:$L,0)),"")</f>
        <v/>
      </c>
      <c r="D69" s="4">
        <v>3</v>
      </c>
      <c r="E69" s="4">
        <v>66.5</v>
      </c>
      <c r="F69" s="4">
        <v>2.25</v>
      </c>
      <c r="G69" s="15">
        <v>2216.67</v>
      </c>
      <c r="H69" s="5"/>
      <c r="I69" s="5">
        <f t="shared" si="8"/>
        <v>0</v>
      </c>
      <c r="J69" s="4"/>
      <c r="K69" s="5"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IF($B$2="-",0,IFERROR(INDEX(IF($B$2="SV",'Projekt-Budget-Übersicht'!$I:$I,IF($B$2="CAD",'Projekt-Budget-Übersicht'!$J:$J,IF($B$2="ADM",'Projekt-Budget-Übersicht'!$K:$K,'Projekt-Budget-Übersicht'!$I:$I))),MATCH(5367,'Projekt-Budget-Übersicht'!$M:$M,0)),0))</f>
        <v>0</v>
      </c>
      <c r="M69" s="10">
        <f t="shared" si="9"/>
        <v>0</v>
      </c>
      <c r="N69" s="10">
        <f t="shared" si="10"/>
        <v>0</v>
      </c>
      <c r="O69" s="10">
        <f t="shared" si="11"/>
        <v>0</v>
      </c>
      <c r="P69" s="10">
        <f>'R. Böttiger'!M69</f>
        <v>0</v>
      </c>
      <c r="Q69" s="10">
        <v>23</v>
      </c>
      <c r="R69" s="10">
        <f>IFERROR(INDEX('Projekt-Budget-Übersicht'!$F:$F,MATCH(5367,'Projekt-Budget-Übersicht'!$L:$L,0)),0)</f>
        <v>0</v>
      </c>
      <c r="S69" s="10">
        <v>2164.15</v>
      </c>
      <c r="T69" s="4"/>
      <c r="U69" s="4"/>
    </row>
    <row r="70" spans="1:21" x14ac:dyDescent="0.25">
      <c r="A70" s="3"/>
      <c r="B70" s="3" t="s">
        <v>5492</v>
      </c>
      <c r="C70" s="3"/>
      <c r="D70" s="3"/>
      <c r="E70" s="3"/>
      <c r="F70" s="6">
        <v>50.5</v>
      </c>
      <c r="G70" s="3"/>
      <c r="H70" s="3"/>
      <c r="I70" s="3"/>
      <c r="J70" s="3"/>
      <c r="K70" s="3"/>
      <c r="L70" s="3"/>
      <c r="M70" s="17">
        <f>SUM(M55:M69)</f>
        <v>2510.8989608381994</v>
      </c>
      <c r="N70" s="17">
        <f>SUM(N55:N69)</f>
        <v>2510.8989608381994</v>
      </c>
      <c r="O70" s="17">
        <f>SUM(O55:O69)</f>
        <v>0</v>
      </c>
      <c r="P70" s="17">
        <f>SUM(P55:P69)</f>
        <v>3137.7536356349469</v>
      </c>
      <c r="Q70" s="3"/>
      <c r="R70" s="3"/>
      <c r="S70" s="3"/>
      <c r="T70" s="3"/>
      <c r="U70" s="3"/>
    </row>
    <row r="71" spans="1:21" x14ac:dyDescent="0.25">
      <c r="A71" s="3"/>
      <c r="B71" s="3" t="s">
        <v>4</v>
      </c>
      <c r="C71" s="3"/>
      <c r="D71" s="3"/>
      <c r="E71" s="3"/>
      <c r="F71" s="6">
        <f>G71+H71</f>
        <v>15.75</v>
      </c>
      <c r="G71" s="6">
        <v>15.75</v>
      </c>
      <c r="H71" s="6">
        <f>SUM(H55,H56,H57,H58,H59,H60,H61,H62,H63,H64,H65,H66,H67,H68,H69)</f>
        <v>0</v>
      </c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1:21" x14ac:dyDescent="0.25">
      <c r="A72" s="3"/>
      <c r="B72" s="3" t="s">
        <v>5</v>
      </c>
      <c r="C72" s="3"/>
      <c r="D72" s="3"/>
      <c r="E72" s="3"/>
      <c r="F72" s="6">
        <v>0</v>
      </c>
      <c r="G72" s="6">
        <v>0</v>
      </c>
      <c r="H72" s="6">
        <v>0</v>
      </c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1:21" x14ac:dyDescent="0.25">
      <c r="A73" s="3"/>
      <c r="B73" s="3" t="s">
        <v>5493</v>
      </c>
      <c r="C73" s="3"/>
      <c r="D73" s="3"/>
      <c r="E73" s="3"/>
      <c r="F73" s="6">
        <f>SUM(K55:K69)</f>
        <v>0</v>
      </c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1:21" x14ac:dyDescent="0.25">
      <c r="A74" s="18"/>
      <c r="B74" s="18" t="s">
        <v>5494</v>
      </c>
      <c r="C74" s="18"/>
      <c r="D74" s="18"/>
      <c r="E74" s="18"/>
      <c r="F74" s="19">
        <f>F71+F72+F73</f>
        <v>15.75</v>
      </c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6" spans="1:21" ht="15.75" x14ac:dyDescent="0.25">
      <c r="A76" s="2" t="s">
        <v>5524</v>
      </c>
    </row>
    <row r="77" spans="1:21" x14ac:dyDescent="0.25">
      <c r="A77" s="3" t="s">
        <v>2</v>
      </c>
      <c r="B77" s="3" t="s">
        <v>5525</v>
      </c>
      <c r="C77" s="3" t="s">
        <v>5526</v>
      </c>
      <c r="D77" s="3" t="s">
        <v>4</v>
      </c>
      <c r="E77" s="3" t="s">
        <v>5</v>
      </c>
      <c r="F77" s="3" t="s">
        <v>5527</v>
      </c>
      <c r="G77" s="3" t="s">
        <v>5528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1:21" x14ac:dyDescent="0.25">
      <c r="A78" s="4" t="s">
        <v>6</v>
      </c>
      <c r="B78" s="4" t="s">
        <v>27</v>
      </c>
      <c r="C78" s="4">
        <f>F23</f>
        <v>155</v>
      </c>
      <c r="D78" s="4">
        <f>F24</f>
        <v>52.75</v>
      </c>
      <c r="E78" s="4">
        <f>F25</f>
        <v>0</v>
      </c>
      <c r="F78" s="4">
        <f>F26</f>
        <v>0</v>
      </c>
      <c r="G78" s="4">
        <f>F27</f>
        <v>52.75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</row>
    <row r="79" spans="1:21" x14ac:dyDescent="0.25">
      <c r="A79" s="4" t="s">
        <v>7</v>
      </c>
      <c r="B79" s="4" t="s">
        <v>27</v>
      </c>
      <c r="C79" s="4">
        <f>F47</f>
        <v>120</v>
      </c>
      <c r="D79" s="4">
        <f>F48</f>
        <v>47</v>
      </c>
      <c r="E79" s="4">
        <f>F49</f>
        <v>1</v>
      </c>
      <c r="F79" s="4">
        <f>F50</f>
        <v>0</v>
      </c>
      <c r="G79" s="4">
        <f>F51</f>
        <v>48</v>
      </c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</row>
    <row r="80" spans="1:21" x14ac:dyDescent="0.25">
      <c r="A80" s="4" t="s">
        <v>8</v>
      </c>
      <c r="B80" s="4" t="s">
        <v>27</v>
      </c>
      <c r="C80" s="4">
        <f>F70</f>
        <v>50.5</v>
      </c>
      <c r="D80" s="4">
        <f>F71</f>
        <v>15.75</v>
      </c>
      <c r="E80" s="4">
        <f>F72</f>
        <v>0</v>
      </c>
      <c r="F80" s="4">
        <f>F73</f>
        <v>0</v>
      </c>
      <c r="G80" s="4">
        <f>F74</f>
        <v>15.75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</row>
    <row r="83" spans="1:21" ht="18.75" x14ac:dyDescent="0.3">
      <c r="A83" s="1" t="s">
        <v>5529</v>
      </c>
    </row>
    <row r="84" spans="1:21" x14ac:dyDescent="0.25">
      <c r="A84" s="3" t="s">
        <v>35</v>
      </c>
      <c r="B84" s="3" t="s">
        <v>5461</v>
      </c>
      <c r="C84" s="3" t="s">
        <v>37</v>
      </c>
      <c r="D84" s="3" t="s">
        <v>5462</v>
      </c>
      <c r="E84" s="3" t="s">
        <v>5463</v>
      </c>
      <c r="F84" s="3" t="s">
        <v>5530</v>
      </c>
      <c r="G84" s="3" t="s">
        <v>5465</v>
      </c>
      <c r="H84" s="3" t="s">
        <v>5466</v>
      </c>
      <c r="I84" s="3" t="s">
        <v>5467</v>
      </c>
      <c r="J84" s="3" t="s">
        <v>5468</v>
      </c>
      <c r="K84" s="3" t="s">
        <v>5469</v>
      </c>
      <c r="L84" s="3" t="s">
        <v>5470</v>
      </c>
      <c r="M84" s="3" t="s">
        <v>5471</v>
      </c>
      <c r="N84" s="3" t="s">
        <v>5472</v>
      </c>
      <c r="O84" s="3" t="s">
        <v>5473</v>
      </c>
      <c r="P84" s="3" t="s">
        <v>5474</v>
      </c>
      <c r="Q84" s="3" t="s">
        <v>5476</v>
      </c>
      <c r="R84" s="3" t="s">
        <v>5477</v>
      </c>
      <c r="S84" s="3"/>
      <c r="T84" s="3"/>
      <c r="U84" s="3"/>
    </row>
    <row r="85" spans="1:21" x14ac:dyDescent="0.25">
      <c r="A85" s="4" t="s">
        <v>61</v>
      </c>
      <c r="B85" s="4" t="s">
        <v>5480</v>
      </c>
      <c r="C85" s="4" t="str">
        <f>IFERROR(INDEX('Projekt-Budget-Übersicht'!$C:$C,MATCH(10,'Projekt-Budget-Übersicht'!$L:$L,0)),"")</f>
        <v/>
      </c>
      <c r="D85" s="4">
        <v>24</v>
      </c>
      <c r="E85" s="4">
        <v>1</v>
      </c>
      <c r="F85" s="5">
        <f>SUM(F31,I31,K31)</f>
        <v>1</v>
      </c>
      <c r="G85" s="16">
        <v>4.17</v>
      </c>
      <c r="H85" s="5">
        <f>SUM(H31)</f>
        <v>0</v>
      </c>
      <c r="I85" s="5">
        <f t="shared" ref="I85:I111" si="12">IF(H85=0,0,F85-H85)</f>
        <v>0</v>
      </c>
      <c r="J85" s="4" t="s">
        <v>5531</v>
      </c>
      <c r="K85" s="5">
        <f>SUM(K31)</f>
        <v>0</v>
      </c>
      <c r="L85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85" s="10">
        <f t="shared" ref="M85:M111" si="13">IF($B$2="-",0,IF(C85="Pauschale",IF(OR(Q85=0,N(D85)=0),0,MAX(0,MIN(Q85*((N(F85)+N(K85))/N(D85)),Q85-Q85*(N(E85)/N(D85))))),L85*(N(F85)+N(K85))))</f>
        <v>0</v>
      </c>
      <c r="N85" s="10">
        <f t="shared" ref="N85:N111" si="14">IF($B$2="-",0,IF(C85="Pauschale",IF(OR(Q85=0,N(D85)=0),0,Q85*((N(F85)+N(K85))/N(D85))),L85*(N(F85)+N(K85))))</f>
        <v>0</v>
      </c>
      <c r="O85" s="10">
        <f t="shared" ref="O85:O111" si="15">N85-M85</f>
        <v>0</v>
      </c>
      <c r="P85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85" s="10">
        <f>IFERROR(INDEX('Projekt-Budget-Übersicht'!$E:$E,MATCH(10,'Projekt-Budget-Übersicht'!$L:$L,0)),0)</f>
        <v>0</v>
      </c>
      <c r="R85" s="10">
        <v>68628.19</v>
      </c>
      <c r="S85" s="4"/>
      <c r="T85" s="4"/>
      <c r="U85" s="4"/>
    </row>
    <row r="86" spans="1:21" x14ac:dyDescent="0.25">
      <c r="A86" s="4" t="s">
        <v>93</v>
      </c>
      <c r="B86" s="4" t="s">
        <v>5459</v>
      </c>
      <c r="C86" s="4" t="str">
        <f>IFERROR(INDEX('Projekt-Budget-Übersicht'!$C:$C,MATCH(29,'Projekt-Budget-Übersicht'!$L:$L,0)),"")</f>
        <v/>
      </c>
      <c r="D86" s="4">
        <v>15</v>
      </c>
      <c r="E86" s="4">
        <v>0</v>
      </c>
      <c r="F86" s="5">
        <f>SUM(F32,F55,I32,I55,K32,K55)</f>
        <v>1</v>
      </c>
      <c r="G86" s="16">
        <v>0</v>
      </c>
      <c r="H86" s="5">
        <f>SUM(H32,H55)</f>
        <v>0</v>
      </c>
      <c r="I86" s="5">
        <f t="shared" si="12"/>
        <v>0</v>
      </c>
      <c r="J86" s="4" t="s">
        <v>5531</v>
      </c>
      <c r="K86" s="5">
        <f>SUM(K32,K55)</f>
        <v>0</v>
      </c>
      <c r="L86" s="10">
        <f>IF($B$2="-",0,IFERROR(INDEX(IF($B$2="SV",'Projekt-Budget-Übersicht'!$H:$H,IF($B$2="CAD",'Projekt-Budget-Übersicht'!$I:$I,IF($B$2="ADM",'Projekt-Budget-Übersicht'!$J:$J,'Projekt-Budget-Übersicht'!$H:$H))),MATCH(29,'Projekt-Budget-Übersicht'!$L:$L,0)),0))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'R. Böttiger'!M86</f>
        <v>0</v>
      </c>
      <c r="Q86" s="10">
        <f>IFERROR(INDEX('Projekt-Budget-Übersicht'!$E:$E,MATCH(29,'Projekt-Budget-Übersicht'!$L:$L,0)),0)</f>
        <v>0</v>
      </c>
      <c r="R86" s="10"/>
      <c r="S86" s="4"/>
      <c r="T86" s="4"/>
      <c r="U86" s="4"/>
    </row>
    <row r="87" spans="1:21" x14ac:dyDescent="0.25">
      <c r="A87" s="4" t="s">
        <v>563</v>
      </c>
      <c r="B87" s="4" t="s">
        <v>5459</v>
      </c>
      <c r="C87" s="4" t="str">
        <f>IFERROR(INDEX('Projekt-Budget-Übersicht'!$C:$C,MATCH(576,'Projekt-Budget-Übersicht'!$L:$L,0)),"")</f>
        <v/>
      </c>
      <c r="D87" s="4" t="s">
        <v>5531</v>
      </c>
      <c r="E87" s="4">
        <v>15</v>
      </c>
      <c r="F87" s="5">
        <f>SUM(F6,I6,K6)</f>
        <v>10.5</v>
      </c>
      <c r="G87" s="4" t="s">
        <v>5531</v>
      </c>
      <c r="H87" s="5">
        <f>SUM(H6)</f>
        <v>0</v>
      </c>
      <c r="I87" s="5">
        <f t="shared" si="12"/>
        <v>0</v>
      </c>
      <c r="J87" s="4" t="s">
        <v>5531</v>
      </c>
      <c r="K87" s="5">
        <f>SUM(K6)</f>
        <v>0</v>
      </c>
      <c r="L87" s="10">
        <f>IF($B$2="-",0,IFERROR(INDEX(IF($B$2="SV",'Projekt-Budget-Übersicht'!$H:$H,IF($B$2="CAD",'Projekt-Budget-Übersicht'!$I:$I,IF($B$2="ADM",'Projekt-Budget-Übersicht'!$J:$J,'Projekt-Budget-Übersicht'!$H:$H))),MATCH(576,'Projekt-Budget-Übersicht'!$L:$L,0)),0))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'R. Böttiger'!M87</f>
        <v>0</v>
      </c>
      <c r="Q87" s="10">
        <f>IFERROR(INDEX('Projekt-Budget-Übersicht'!$E:$E,MATCH(576,'Projekt-Budget-Übersicht'!$L:$L,0)),0)</f>
        <v>0</v>
      </c>
      <c r="R87" s="10"/>
      <c r="S87" s="4"/>
      <c r="T87" s="4"/>
      <c r="U87" s="4"/>
    </row>
    <row r="88" spans="1:21" x14ac:dyDescent="0.25">
      <c r="A88" s="21" t="s">
        <v>2491</v>
      </c>
      <c r="B88" s="4" t="s">
        <v>5565</v>
      </c>
      <c r="C88" s="4" t="str">
        <f>IFERROR(INDEX('Projekt-Budget-Übersicht'!$C:$C,MATCH(2813,'Projekt-Budget-Übersicht'!$L:$L,0)),"")</f>
        <v/>
      </c>
      <c r="D88" s="4">
        <v>24</v>
      </c>
      <c r="E88" s="4">
        <v>18.25</v>
      </c>
      <c r="F88" s="5">
        <f>SUM(F7,I7,K7)</f>
        <v>10.5</v>
      </c>
      <c r="G88" s="16">
        <v>76.040000000000006</v>
      </c>
      <c r="H88" s="5">
        <f>SUM(H7)</f>
        <v>0</v>
      </c>
      <c r="I88" s="5">
        <f t="shared" si="12"/>
        <v>0</v>
      </c>
      <c r="J88" s="4" t="s">
        <v>5531</v>
      </c>
      <c r="K88" s="5">
        <f>SUM(K7)</f>
        <v>0</v>
      </c>
      <c r="L88" s="10">
        <f>IF($B$2="-",0,IFERROR(INDEX(IF($B$2="SV",'Projekt-Budget-Übersicht'!$H:$H,IF($B$2="CAD",'Projekt-Budget-Übersicht'!$I:$I,IF($B$2="ADM",'Projekt-Budget-Übersicht'!$J:$J,'Projekt-Budget-Übersicht'!$H:$H))),MATCH(2813,'Projekt-Budget-Übersicht'!$L:$L,0)),0))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'E. Bieler'!M91+'R. Böttiger'!M88</f>
        <v>0</v>
      </c>
      <c r="Q88" s="10">
        <f>IFERROR(INDEX('Projekt-Budget-Übersicht'!$E:$E,MATCH(2813,'Projekt-Budget-Übersicht'!$L:$L,0)),0)</f>
        <v>0</v>
      </c>
      <c r="R88" s="10">
        <v>479.02</v>
      </c>
      <c r="S88" s="4"/>
      <c r="T88" s="4"/>
      <c r="U88" s="4"/>
    </row>
    <row r="89" spans="1:21" x14ac:dyDescent="0.25">
      <c r="A89" s="23"/>
      <c r="B89" s="4" t="s">
        <v>5566</v>
      </c>
      <c r="C89" s="4" t="str">
        <f>IFERROR(INDEX('Projekt-Budget-Übersicht'!$C:$C,MATCH(2815,'Projekt-Budget-Übersicht'!$L:$L,0)),"")</f>
        <v/>
      </c>
      <c r="D89" s="4">
        <v>16</v>
      </c>
      <c r="E89" s="4">
        <v>22.75</v>
      </c>
      <c r="F89" s="5">
        <f>SUM(F8,F33,I8,I33,K8,K33)</f>
        <v>8</v>
      </c>
      <c r="G89" s="15">
        <v>142.19</v>
      </c>
      <c r="H89" s="5">
        <f>SUM(H8,H33)</f>
        <v>0</v>
      </c>
      <c r="I89" s="5">
        <f t="shared" si="12"/>
        <v>0</v>
      </c>
      <c r="J89" s="4" t="s">
        <v>5531</v>
      </c>
      <c r="K89" s="5">
        <f>SUM(K8,K33)</f>
        <v>0</v>
      </c>
      <c r="L89" s="10">
        <f>IF($B$2="-",0,IFERROR(INDEX(IF($B$2="SV",'Projekt-Budget-Übersicht'!$H:$H,IF($B$2="CAD",'Projekt-Budget-Übersicht'!$I:$I,IF($B$2="ADM",'Projekt-Budget-Übersicht'!$J:$J,'Projekt-Budget-Übersicht'!$H:$H))),MATCH(2815,'Projekt-Budget-Übersicht'!$L:$L,0)),0))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'E. Bieler'!M92+'J. Dorn'!M138+'R. Böttiger'!M89</f>
        <v>0</v>
      </c>
      <c r="Q89" s="10">
        <f>IFERROR(INDEX('Projekt-Budget-Übersicht'!$E:$E,MATCH(2815,'Projekt-Budget-Übersicht'!$L:$L,0)),0)</f>
        <v>0</v>
      </c>
      <c r="R89" s="10">
        <v>1013.98</v>
      </c>
      <c r="S89" s="4"/>
      <c r="T89" s="4"/>
      <c r="U89" s="4"/>
    </row>
    <row r="90" spans="1:21" x14ac:dyDescent="0.25">
      <c r="A90" s="22"/>
      <c r="B90" s="4" t="s">
        <v>5501</v>
      </c>
      <c r="C90" s="4" t="str">
        <f>IFERROR(INDEX('Projekt-Budget-Übersicht'!$C:$C,MATCH(2814,'Projekt-Budget-Übersicht'!$L:$L,0)),"")</f>
        <v/>
      </c>
      <c r="D90" s="4">
        <v>10</v>
      </c>
      <c r="E90" s="4">
        <v>20.5</v>
      </c>
      <c r="F90" s="5">
        <f>SUM(F34,F56,I34,I56,K34,K56)</f>
        <v>4.5</v>
      </c>
      <c r="G90" s="15">
        <v>205</v>
      </c>
      <c r="H90" s="5">
        <f>SUM(H34,H56)</f>
        <v>0</v>
      </c>
      <c r="I90" s="5">
        <f t="shared" si="12"/>
        <v>0</v>
      </c>
      <c r="J90" s="4" t="s">
        <v>5531</v>
      </c>
      <c r="K90" s="5">
        <f>SUM(K34,K56)</f>
        <v>0</v>
      </c>
      <c r="L90" s="10">
        <f>IF($B$2="-",0,IFERROR(INDEX(IF($B$2="SV",'Projekt-Budget-Übersicht'!$H:$H,IF($B$2="CAD",'Projekt-Budget-Übersicht'!$I:$I,IF($B$2="ADM",'Projekt-Budget-Übersicht'!$J:$J,'Projekt-Budget-Übersicht'!$H:$H))),MATCH(2814,'Projekt-Budget-Übersicht'!$L:$L,0)),0))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'R. Böttiger'!M90</f>
        <v>0</v>
      </c>
      <c r="Q90" s="10">
        <f>IFERROR(INDEX('Projekt-Budget-Übersicht'!$E:$E,MATCH(2814,'Projekt-Budget-Übersicht'!$L:$L,0)),0)</f>
        <v>0</v>
      </c>
      <c r="R90" s="10">
        <v>1280</v>
      </c>
      <c r="S90" s="4"/>
      <c r="T90" s="4"/>
      <c r="U90" s="4"/>
    </row>
    <row r="91" spans="1:21" x14ac:dyDescent="0.25">
      <c r="A91" s="21" t="s">
        <v>2495</v>
      </c>
      <c r="B91" s="4" t="s">
        <v>5485</v>
      </c>
      <c r="C91" s="4" t="str">
        <f>IFERROR(INDEX('Projekt-Budget-Übersicht'!$C:$C,MATCH(2817,'Projekt-Budget-Übersicht'!$L:$L,0)),"")</f>
        <v/>
      </c>
      <c r="D91" s="4">
        <v>10</v>
      </c>
      <c r="E91" s="4">
        <v>47</v>
      </c>
      <c r="F91" s="5">
        <f>SUM(F9,I9,K9)</f>
        <v>2</v>
      </c>
      <c r="G91" s="15">
        <v>470</v>
      </c>
      <c r="H91" s="5">
        <f>SUM(H9)</f>
        <v>0</v>
      </c>
      <c r="I91" s="5">
        <f t="shared" si="12"/>
        <v>0</v>
      </c>
      <c r="J91" s="4" t="s">
        <v>5531</v>
      </c>
      <c r="K91" s="5">
        <f>SUM(K9)</f>
        <v>0</v>
      </c>
      <c r="L91" s="10">
        <f>IF($B$2="-",0,IFERROR(INDEX(IF($B$2="SV",'Projekt-Budget-Übersicht'!$H:$H,IF($B$2="CAD",'Projekt-Budget-Übersicht'!$I:$I,IF($B$2="ADM",'Projekt-Budget-Übersicht'!$J:$J,'Projekt-Budget-Übersicht'!$H:$H))),MATCH(2817,'Projekt-Budget-Übersicht'!$L:$L,0)),0))</f>
        <v>0</v>
      </c>
      <c r="M91" s="10">
        <f t="shared" si="13"/>
        <v>0</v>
      </c>
      <c r="N91" s="10">
        <f t="shared" si="14"/>
        <v>0</v>
      </c>
      <c r="O91" s="10">
        <f t="shared" si="15"/>
        <v>0</v>
      </c>
      <c r="P91" s="10">
        <f>'R. Böttiger'!M91</f>
        <v>0</v>
      </c>
      <c r="Q91" s="10">
        <f>IFERROR(INDEX('Projekt-Budget-Übersicht'!$E:$E,MATCH(2817,'Projekt-Budget-Übersicht'!$L:$L,0)),0)</f>
        <v>0</v>
      </c>
      <c r="R91" s="10">
        <v>436.25</v>
      </c>
      <c r="S91" s="4"/>
      <c r="T91" s="4"/>
      <c r="U91" s="4"/>
    </row>
    <row r="92" spans="1:21" x14ac:dyDescent="0.25">
      <c r="A92" s="23"/>
      <c r="B92" s="4" t="s">
        <v>5544</v>
      </c>
      <c r="C92" s="4" t="str">
        <f>IFERROR(INDEX('Projekt-Budget-Übersicht'!$C:$C,MATCH(2818,'Projekt-Budget-Übersicht'!$L:$L,0)),"")</f>
        <v/>
      </c>
      <c r="D92" s="4">
        <v>16</v>
      </c>
      <c r="E92" s="4">
        <v>36.75</v>
      </c>
      <c r="F92" s="5">
        <f>SUM(F10,F35,I10,I35,K10,K35)</f>
        <v>15.5</v>
      </c>
      <c r="G92" s="15">
        <v>229.69</v>
      </c>
      <c r="H92" s="5">
        <f>SUM(H10,H35)</f>
        <v>0</v>
      </c>
      <c r="I92" s="5">
        <f t="shared" si="12"/>
        <v>0</v>
      </c>
      <c r="J92" s="4" t="s">
        <v>5531</v>
      </c>
      <c r="K92" s="5">
        <f>SUM(K10,K35)</f>
        <v>0</v>
      </c>
      <c r="L92" s="10">
        <f>IF($B$2="-",0,IFERROR(INDEX(IF($B$2="SV",'Projekt-Budget-Übersicht'!$H:$H,IF($B$2="CAD",'Projekt-Budget-Übersicht'!$I:$I,IF($B$2="ADM",'Projekt-Budget-Übersicht'!$J:$J,'Projekt-Budget-Übersicht'!$H:$H))),MATCH(2818,'Projekt-Budget-Übersicht'!$L:$L,0)),0))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'E. Bieler'!M93+'J. Dorn'!M139+'R. Böttiger'!M92</f>
        <v>0</v>
      </c>
      <c r="Q92" s="10">
        <f>IFERROR(INDEX('Projekt-Budget-Übersicht'!$E:$E,MATCH(2818,'Projekt-Budget-Übersicht'!$L:$L,0)),0)</f>
        <v>0</v>
      </c>
      <c r="R92" s="10">
        <v>71.650000000000006</v>
      </c>
      <c r="S92" s="4"/>
      <c r="T92" s="4"/>
      <c r="U92" s="4"/>
    </row>
    <row r="93" spans="1:21" x14ac:dyDescent="0.25">
      <c r="A93" s="22"/>
      <c r="B93" s="4" t="s">
        <v>5459</v>
      </c>
      <c r="C93" s="4" t="str">
        <f>IFERROR(INDEX('Projekt-Budget-Übersicht'!$C:$C,MATCH(2822,'Projekt-Budget-Übersicht'!$L:$L,0)),"")</f>
        <v/>
      </c>
      <c r="D93" s="4">
        <v>3</v>
      </c>
      <c r="E93" s="4">
        <v>2.25</v>
      </c>
      <c r="F93" s="5">
        <f>SUM(F11,I11,K11)</f>
        <v>0.25</v>
      </c>
      <c r="G93" s="16">
        <v>75</v>
      </c>
      <c r="H93" s="5">
        <f>SUM(H11)</f>
        <v>0</v>
      </c>
      <c r="I93" s="5">
        <f t="shared" si="12"/>
        <v>0</v>
      </c>
      <c r="J93" s="4" t="s">
        <v>5531</v>
      </c>
      <c r="K93" s="5">
        <f>SUM(K11)</f>
        <v>0</v>
      </c>
      <c r="L93" s="10">
        <f>IF($B$2="-",0,IFERROR(INDEX(IF($B$2="SV",'Projekt-Budget-Übersicht'!$H:$H,IF($B$2="CAD",'Projekt-Budget-Übersicht'!$I:$I,IF($B$2="ADM",'Projekt-Budget-Übersicht'!$J:$J,'Projekt-Budget-Übersicht'!$H:$H))),MATCH(2822,'Projekt-Budget-Übersicht'!$L:$L,0)),0))</f>
        <v>0</v>
      </c>
      <c r="M93" s="10">
        <f t="shared" si="13"/>
        <v>0</v>
      </c>
      <c r="N93" s="10">
        <f t="shared" si="14"/>
        <v>0</v>
      </c>
      <c r="O93" s="10">
        <f t="shared" si="15"/>
        <v>0</v>
      </c>
      <c r="P93" s="10">
        <f>'R. Böttiger'!M93</f>
        <v>0</v>
      </c>
      <c r="Q93" s="10">
        <f>IFERROR(INDEX('Projekt-Budget-Übersicht'!$E:$E,MATCH(2822,'Projekt-Budget-Übersicht'!$L:$L,0)),0)</f>
        <v>0</v>
      </c>
      <c r="R93" s="10">
        <v>50</v>
      </c>
      <c r="S93" s="4"/>
      <c r="T93" s="4"/>
      <c r="U93" s="4"/>
    </row>
    <row r="94" spans="1:21" x14ac:dyDescent="0.25">
      <c r="A94" s="4" t="s">
        <v>2668</v>
      </c>
      <c r="B94" s="4" t="s">
        <v>5648</v>
      </c>
      <c r="C94" s="4" t="str">
        <f>IFERROR(INDEX('Projekt-Budget-Übersicht'!$C:$C,MATCH(2977,'Projekt-Budget-Übersicht'!$L:$L,0)),"")</f>
        <v/>
      </c>
      <c r="D94" s="4">
        <v>80</v>
      </c>
      <c r="E94" s="4">
        <v>46.5</v>
      </c>
      <c r="F94" s="5">
        <f>SUM(F12,F36,F59,I12,I36,I59,K12,K36,K59)</f>
        <v>11.5</v>
      </c>
      <c r="G94" s="16">
        <v>58.13</v>
      </c>
      <c r="H94" s="5">
        <f>SUM(H12,H36,H59)</f>
        <v>0</v>
      </c>
      <c r="I94" s="5">
        <f t="shared" si="12"/>
        <v>0</v>
      </c>
      <c r="J94" s="4" t="s">
        <v>5531</v>
      </c>
      <c r="K94" s="5">
        <f>SUM(K12,K36,K59)</f>
        <v>0</v>
      </c>
      <c r="L94" s="10">
        <f>IF($B$2="-",0,IFERROR(INDEX(IF($B$2="SV",'Projekt-Budget-Übersicht'!$H:$H,IF($B$2="CAD",'Projekt-Budget-Übersicht'!$I:$I,IF($B$2="ADM",'Projekt-Budget-Übersicht'!$J:$J,'Projekt-Budget-Übersicht'!$H:$H))),MATCH(2977,'Projekt-Budget-Übersicht'!$L:$L,0)),0))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'R. Böttiger'!M94</f>
        <v>0</v>
      </c>
      <c r="Q94" s="10">
        <f>IFERROR(INDEX('Projekt-Budget-Übersicht'!$E:$E,MATCH(2977,'Projekt-Budget-Übersicht'!$L:$L,0)),0)</f>
        <v>0</v>
      </c>
      <c r="R94" s="10">
        <v>71.650000000000006</v>
      </c>
      <c r="S94" s="4"/>
      <c r="T94" s="4"/>
      <c r="U94" s="4"/>
    </row>
    <row r="95" spans="1:21" x14ac:dyDescent="0.25">
      <c r="A95" s="4" t="s">
        <v>2834</v>
      </c>
      <c r="B95" s="4" t="s">
        <v>5459</v>
      </c>
      <c r="C95" s="4" t="str">
        <f>IFERROR(INDEX('Projekt-Budget-Übersicht'!$C:$C,MATCH(3122,'Projekt-Budget-Übersicht'!$L:$L,0)),"")</f>
        <v/>
      </c>
      <c r="D95" s="4">
        <v>6</v>
      </c>
      <c r="E95" s="4">
        <v>48</v>
      </c>
      <c r="F95" s="5">
        <f>SUM(F13,I13,K13)</f>
        <v>15</v>
      </c>
      <c r="G95" s="15">
        <v>800</v>
      </c>
      <c r="H95" s="5">
        <f>SUM(H13)</f>
        <v>0</v>
      </c>
      <c r="I95" s="5">
        <f t="shared" si="12"/>
        <v>0</v>
      </c>
      <c r="J95" s="4" t="s">
        <v>5531</v>
      </c>
      <c r="K95" s="5">
        <f>SUM(K13)</f>
        <v>0</v>
      </c>
      <c r="L95" s="10">
        <f>IF($B$2="-",0,IFERROR(INDEX(IF($B$2="SV",'Projekt-Budget-Übersicht'!$H:$H,IF($B$2="CAD",'Projekt-Budget-Übersicht'!$I:$I,IF($B$2="ADM",'Projekt-Budget-Übersicht'!$J:$J,'Projekt-Budget-Übersicht'!$H:$H))),MATCH(3122,'Projekt-Budget-Übersicht'!$L:$L,0)),0))</f>
        <v>0</v>
      </c>
      <c r="M95" s="10">
        <f t="shared" si="13"/>
        <v>0</v>
      </c>
      <c r="N95" s="10">
        <f t="shared" si="14"/>
        <v>0</v>
      </c>
      <c r="O95" s="10">
        <f t="shared" si="15"/>
        <v>0</v>
      </c>
      <c r="P95" s="10">
        <f>'A. Kokott'!M165+'E. Bieler'!M94+'J. Dorchies'!M41+'J. Dorn'!M142+'O. Haag BS-CAD'!M178+'P. Bergner'!M88+'R. Böttiger'!M95</f>
        <v>0</v>
      </c>
      <c r="Q95" s="10">
        <f>IFERROR(INDEX('Projekt-Budget-Übersicht'!$E:$E,MATCH(3122,'Projekt-Budget-Übersicht'!$L:$L,0)),0)</f>
        <v>0</v>
      </c>
      <c r="R95" s="10">
        <v>2985.82</v>
      </c>
      <c r="S95" s="4"/>
      <c r="T95" s="4"/>
      <c r="U95" s="4"/>
    </row>
    <row r="96" spans="1:21" x14ac:dyDescent="0.25">
      <c r="A96" s="21" t="s">
        <v>4278</v>
      </c>
      <c r="B96" s="4" t="s">
        <v>5652</v>
      </c>
      <c r="C96" s="4" t="str">
        <f>IFERROR(INDEX('Projekt-Budget-Übersicht'!$C:$C,MATCH(4369,'Projekt-Budget-Übersicht'!$L:$L,0)),"")</f>
        <v/>
      </c>
      <c r="D96" s="4">
        <v>46.5</v>
      </c>
      <c r="E96" s="4">
        <v>2.5</v>
      </c>
      <c r="F96" s="5">
        <f>SUM(F37,I37,K37)</f>
        <v>0.5</v>
      </c>
      <c r="G96" s="16">
        <v>5.38</v>
      </c>
      <c r="H96" s="5">
        <f>SUM(H37)</f>
        <v>0</v>
      </c>
      <c r="I96" s="5">
        <f t="shared" si="12"/>
        <v>0</v>
      </c>
      <c r="J96" s="4" t="s">
        <v>5531</v>
      </c>
      <c r="K96" s="5">
        <f>SUM(K37)</f>
        <v>0</v>
      </c>
      <c r="L96" s="10">
        <f>IF($B$2="-",0,IFERROR(INDEX(IF($B$2="SV",'Projekt-Budget-Übersicht'!$H:$H,IF($B$2="CAD",'Projekt-Budget-Übersicht'!$I:$I,IF($B$2="ADM",'Projekt-Budget-Übersicht'!$J:$J,'Projekt-Budget-Übersicht'!$H:$H))),MATCH(4369,'Projekt-Budget-Übersicht'!$L:$L,0)),0))</f>
        <v>0</v>
      </c>
      <c r="M96" s="10">
        <f t="shared" si="13"/>
        <v>0</v>
      </c>
      <c r="N96" s="10">
        <f t="shared" si="14"/>
        <v>0</v>
      </c>
      <c r="O96" s="10">
        <f t="shared" si="15"/>
        <v>0</v>
      </c>
      <c r="P96" s="10">
        <f>'R. Böttiger'!M96</f>
        <v>0</v>
      </c>
      <c r="Q96" s="10">
        <f>IFERROR(INDEX('Projekt-Budget-Übersicht'!$E:$E,MATCH(4369,'Projekt-Budget-Übersicht'!$L:$L,0)),0)</f>
        <v>0</v>
      </c>
      <c r="R96" s="10"/>
      <c r="S96" s="4"/>
      <c r="T96" s="4"/>
      <c r="U96" s="4"/>
    </row>
    <row r="97" spans="1:21" x14ac:dyDescent="0.25">
      <c r="A97" s="22"/>
      <c r="B97" s="4" t="s">
        <v>5459</v>
      </c>
      <c r="C97" s="4" t="str">
        <f>IFERROR(INDEX('Projekt-Budget-Übersicht'!$C:$C,MATCH(4368,'Projekt-Budget-Übersicht'!$L:$L,0)),"")</f>
        <v/>
      </c>
      <c r="D97" s="4">
        <v>13</v>
      </c>
      <c r="E97" s="4">
        <v>146.75</v>
      </c>
      <c r="F97" s="5">
        <f>SUM(F14,I14,K14)</f>
        <v>10.25</v>
      </c>
      <c r="G97" s="15">
        <v>1128.8499999999999</v>
      </c>
      <c r="H97" s="5">
        <f>SUM(H14)</f>
        <v>0</v>
      </c>
      <c r="I97" s="5">
        <f t="shared" si="12"/>
        <v>0</v>
      </c>
      <c r="J97" s="4" t="s">
        <v>5531</v>
      </c>
      <c r="K97" s="5">
        <f>SUM(K14)</f>
        <v>0</v>
      </c>
      <c r="L97" s="10">
        <f>IF($B$2="-",0,IFERROR(INDEX(IF($B$2="SV",'Projekt-Budget-Übersicht'!$H:$H,IF($B$2="CAD",'Projekt-Budget-Übersicht'!$I:$I,IF($B$2="ADM",'Projekt-Budget-Übersicht'!$J:$J,'Projekt-Budget-Übersicht'!$H:$H))),MATCH(4368,'Projekt-Budget-Übersicht'!$L:$L,0)),0))</f>
        <v>0</v>
      </c>
      <c r="M97" s="10">
        <f t="shared" si="13"/>
        <v>0</v>
      </c>
      <c r="N97" s="10">
        <f t="shared" si="14"/>
        <v>0</v>
      </c>
      <c r="O97" s="10">
        <f t="shared" si="15"/>
        <v>0</v>
      </c>
      <c r="P97" s="10">
        <f>'E. Bieler'!M97+'J. Dorchies'!M43+'J. Dorn'!M152+'R. Böttiger'!M97</f>
        <v>0</v>
      </c>
      <c r="Q97" s="10">
        <f>IFERROR(INDEX('Projekt-Budget-Übersicht'!$E:$E,MATCH(4368,'Projekt-Budget-Übersicht'!$L:$L,0)),0)</f>
        <v>0</v>
      </c>
      <c r="R97" s="10">
        <v>1720.79</v>
      </c>
      <c r="S97" s="4"/>
      <c r="T97" s="4"/>
      <c r="U97" s="4"/>
    </row>
    <row r="98" spans="1:21" x14ac:dyDescent="0.25">
      <c r="A98" s="4" t="s">
        <v>4373</v>
      </c>
      <c r="B98" s="4" t="s">
        <v>5459</v>
      </c>
      <c r="C98" s="4" t="str">
        <f>IFERROR(INDEX('Projekt-Budget-Übersicht'!$C:$C,MATCH(4448,'Projekt-Budget-Übersicht'!$L:$L,0)),"")</f>
        <v/>
      </c>
      <c r="D98" s="4">
        <v>19</v>
      </c>
      <c r="E98" s="4">
        <v>22</v>
      </c>
      <c r="F98" s="5">
        <f>SUM(F60,I60,K60)</f>
        <v>0.75</v>
      </c>
      <c r="G98" s="15">
        <v>115.79</v>
      </c>
      <c r="H98" s="5">
        <f>SUM(H60)</f>
        <v>0</v>
      </c>
      <c r="I98" s="5">
        <f t="shared" si="12"/>
        <v>0</v>
      </c>
      <c r="J98" s="4" t="s">
        <v>5531</v>
      </c>
      <c r="K98" s="5">
        <f>SUM(K60)</f>
        <v>0</v>
      </c>
      <c r="L98" s="10">
        <f>IF($B$2="-",0,IFERROR(INDEX(IF($B$2="SV",'Projekt-Budget-Übersicht'!$H:$H,IF($B$2="CAD",'Projekt-Budget-Übersicht'!$I:$I,IF($B$2="ADM",'Projekt-Budget-Übersicht'!$J:$J,'Projekt-Budget-Übersicht'!$H:$H))),MATCH(4448,'Projekt-Budget-Übersicht'!$L:$L,0)),0))</f>
        <v>0</v>
      </c>
      <c r="M98" s="10">
        <f t="shared" si="13"/>
        <v>0</v>
      </c>
      <c r="N98" s="10">
        <f t="shared" si="14"/>
        <v>0</v>
      </c>
      <c r="O98" s="10">
        <f t="shared" si="15"/>
        <v>0</v>
      </c>
      <c r="P98" s="10">
        <f>'J. Dorn'!M154+'R. Böttiger'!M98+'T. Trautmann'!M148</f>
        <v>0</v>
      </c>
      <c r="Q98" s="10">
        <f>IFERROR(INDEX('Projekt-Budget-Übersicht'!$E:$E,MATCH(4448,'Projekt-Budget-Übersicht'!$L:$L,0)),0)</f>
        <v>0</v>
      </c>
      <c r="R98" s="10">
        <v>2173.75</v>
      </c>
      <c r="S98" s="4"/>
      <c r="T98" s="4"/>
      <c r="U98" s="4"/>
    </row>
    <row r="99" spans="1:21" x14ac:dyDescent="0.25">
      <c r="A99" s="4" t="s">
        <v>4453</v>
      </c>
      <c r="B99" s="4" t="s">
        <v>5649</v>
      </c>
      <c r="C99" s="4" t="str">
        <f>IFERROR(INDEX('Projekt-Budget-Übersicht'!$C:$C,MATCH(4522,'Projekt-Budget-Übersicht'!$L:$L,0)),"")</f>
        <v/>
      </c>
      <c r="D99" s="4">
        <v>26</v>
      </c>
      <c r="E99" s="4">
        <v>38.5</v>
      </c>
      <c r="F99" s="5">
        <f>SUM(F15,I15,K15)</f>
        <v>0.25</v>
      </c>
      <c r="G99" s="15">
        <v>148.08000000000001</v>
      </c>
      <c r="H99" s="5">
        <f>SUM(H15)</f>
        <v>0</v>
      </c>
      <c r="I99" s="5">
        <f t="shared" si="12"/>
        <v>0</v>
      </c>
      <c r="J99" s="4" t="s">
        <v>5531</v>
      </c>
      <c r="K99" s="5">
        <f>SUM(K15)</f>
        <v>0</v>
      </c>
      <c r="L99" s="10">
        <f>IF($B$2="-",0,IFERROR(INDEX(IF($B$2="SV",'Projekt-Budget-Übersicht'!$H:$H,IF($B$2="CAD",'Projekt-Budget-Übersicht'!$I:$I,IF($B$2="ADM",'Projekt-Budget-Übersicht'!$J:$J,'Projekt-Budget-Übersicht'!$H:$H))),MATCH(4522,'Projekt-Budget-Übersicht'!$L:$L,0)),0))</f>
        <v>0</v>
      </c>
      <c r="M99" s="10">
        <f t="shared" si="13"/>
        <v>0</v>
      </c>
      <c r="N99" s="10">
        <f t="shared" si="14"/>
        <v>0</v>
      </c>
      <c r="O99" s="10">
        <f t="shared" si="15"/>
        <v>0</v>
      </c>
      <c r="P99" s="10">
        <f>'R. Böttiger'!M99+'S. Schüler'!M167</f>
        <v>0</v>
      </c>
      <c r="Q99" s="10">
        <f>IFERROR(INDEX('Projekt-Budget-Übersicht'!$E:$E,MATCH(4522,'Projekt-Budget-Übersicht'!$L:$L,0)),0)</f>
        <v>0</v>
      </c>
      <c r="R99" s="10">
        <v>2168.29</v>
      </c>
      <c r="S99" s="4"/>
      <c r="T99" s="4"/>
      <c r="U99" s="4"/>
    </row>
    <row r="100" spans="1:21" x14ac:dyDescent="0.25">
      <c r="A100" s="4" t="s">
        <v>4757</v>
      </c>
      <c r="B100" s="4" t="s">
        <v>5459</v>
      </c>
      <c r="C100" s="4" t="str">
        <f>IFERROR(INDEX('Projekt-Budget-Übersicht'!$C:$C,MATCH(4775,'Projekt-Budget-Übersicht'!$L:$L,0)),"")</f>
        <v/>
      </c>
      <c r="D100" s="4">
        <v>30</v>
      </c>
      <c r="E100" s="4">
        <v>73.75</v>
      </c>
      <c r="F100" s="5">
        <f>SUM(F16,F38,F61,I16,I38,I61,K16,K38,K61)</f>
        <v>50.75</v>
      </c>
      <c r="G100" s="15">
        <v>245.83</v>
      </c>
      <c r="H100" s="5">
        <f>SUM(H16,H38,H61)</f>
        <v>0</v>
      </c>
      <c r="I100" s="5">
        <f t="shared" si="12"/>
        <v>0</v>
      </c>
      <c r="J100" s="4" t="s">
        <v>5531</v>
      </c>
      <c r="K100" s="5">
        <f>SUM(K16,K38,K61)</f>
        <v>0</v>
      </c>
      <c r="L100" s="10">
        <f>IF($B$2="-",0,IFERROR(INDEX(IF($B$2="SV",'Projekt-Budget-Übersicht'!$H:$H,IF($B$2="CAD",'Projekt-Budget-Übersicht'!$I:$I,IF($B$2="ADM",'Projekt-Budget-Übersicht'!$J:$J,'Projekt-Budget-Übersicht'!$H:$H))),MATCH(4775,'Projekt-Budget-Übersicht'!$L:$L,0)),0))</f>
        <v>0</v>
      </c>
      <c r="M100" s="10">
        <f t="shared" si="13"/>
        <v>0</v>
      </c>
      <c r="N100" s="10">
        <f t="shared" si="14"/>
        <v>0</v>
      </c>
      <c r="O100" s="10">
        <f t="shared" si="15"/>
        <v>0</v>
      </c>
      <c r="P100" s="10">
        <f>'P. Bergner'!M101+'R. Böttiger'!M100</f>
        <v>0</v>
      </c>
      <c r="Q100" s="10">
        <f>IFERROR(INDEX('Projekt-Budget-Übersicht'!$E:$E,MATCH(4775,'Projekt-Budget-Übersicht'!$L:$L,0)),0)</f>
        <v>0</v>
      </c>
      <c r="R100" s="10">
        <v>687.5</v>
      </c>
      <c r="S100" s="4"/>
      <c r="T100" s="4"/>
      <c r="U100" s="4"/>
    </row>
    <row r="101" spans="1:21" x14ac:dyDescent="0.25">
      <c r="A101" s="4" t="s">
        <v>4758</v>
      </c>
      <c r="B101" s="4" t="s">
        <v>5459</v>
      </c>
      <c r="C101" s="4" t="str">
        <f>IFERROR(INDEX('Projekt-Budget-Übersicht'!$C:$C,MATCH(4776,'Projekt-Budget-Übersicht'!$L:$L,0)),"")</f>
        <v/>
      </c>
      <c r="D101" s="4">
        <v>20</v>
      </c>
      <c r="E101" s="4">
        <v>23.5</v>
      </c>
      <c r="F101" s="5">
        <f>SUM(F62,I62,K62)</f>
        <v>3.75</v>
      </c>
      <c r="G101" s="15">
        <v>117.5</v>
      </c>
      <c r="H101" s="5">
        <f>SUM(H62)</f>
        <v>0</v>
      </c>
      <c r="I101" s="5">
        <f t="shared" si="12"/>
        <v>0</v>
      </c>
      <c r="J101" s="4" t="s">
        <v>5531</v>
      </c>
      <c r="K101" s="5">
        <f>SUM(K62)</f>
        <v>0</v>
      </c>
      <c r="L101" s="10">
        <f>IF($B$2="-",0,IFERROR(INDEX(IF($B$2="SV",'Projekt-Budget-Übersicht'!$H:$H,IF($B$2="CAD",'Projekt-Budget-Übersicht'!$I:$I,IF($B$2="ADM",'Projekt-Budget-Übersicht'!$J:$J,'Projekt-Budget-Übersicht'!$H:$H))),MATCH(4776,'Projekt-Budget-Übersicht'!$L:$L,0)),0))</f>
        <v>0</v>
      </c>
      <c r="M101" s="10">
        <f t="shared" si="13"/>
        <v>0</v>
      </c>
      <c r="N101" s="10">
        <f t="shared" si="14"/>
        <v>0</v>
      </c>
      <c r="O101" s="10">
        <f t="shared" si="15"/>
        <v>0</v>
      </c>
      <c r="P101" s="10">
        <f>'R. Böttiger'!M101</f>
        <v>0</v>
      </c>
      <c r="Q101" s="10">
        <f>IFERROR(INDEX('Projekt-Budget-Übersicht'!$E:$E,MATCH(4776,'Projekt-Budget-Übersicht'!$L:$L,0)),0)</f>
        <v>0</v>
      </c>
      <c r="R101" s="10">
        <v>35</v>
      </c>
      <c r="S101" s="4"/>
      <c r="T101" s="4"/>
      <c r="U101" s="4"/>
    </row>
    <row r="102" spans="1:21" x14ac:dyDescent="0.25">
      <c r="A102" s="4" t="s">
        <v>4798</v>
      </c>
      <c r="B102" s="4" t="s">
        <v>5650</v>
      </c>
      <c r="C102" s="4" t="str">
        <f>IFERROR(INDEX('Projekt-Budget-Übersicht'!$C:$C,MATCH(4804,'Projekt-Budget-Übersicht'!$L:$L,0)),"")</f>
        <v/>
      </c>
      <c r="D102" s="4">
        <v>100</v>
      </c>
      <c r="E102" s="4">
        <v>88.75</v>
      </c>
      <c r="F102" s="5">
        <f>SUM(F17,F39,F63,I17,I39,I63,K17,K39,K63)</f>
        <v>17.25</v>
      </c>
      <c r="G102" s="16">
        <v>88.75</v>
      </c>
      <c r="H102" s="5">
        <f>SUM(H17,H39,H63)</f>
        <v>0</v>
      </c>
      <c r="I102" s="5">
        <f t="shared" si="12"/>
        <v>0</v>
      </c>
      <c r="J102" s="4" t="s">
        <v>5531</v>
      </c>
      <c r="K102" s="5">
        <f>SUM(K17,K39,K63)</f>
        <v>0</v>
      </c>
      <c r="L102" s="10">
        <f>IF($B$2="-",0,IFERROR(INDEX(IF($B$2="SV",'Projekt-Budget-Übersicht'!$H:$H,IF($B$2="CAD",'Projekt-Budget-Übersicht'!$I:$I,IF($B$2="ADM",'Projekt-Budget-Übersicht'!$J:$J,'Projekt-Budget-Übersicht'!$H:$H))),MATCH(4804,'Projekt-Budget-Übersicht'!$L:$L,0)),0))</f>
        <v>0</v>
      </c>
      <c r="M102" s="10">
        <f t="shared" si="13"/>
        <v>0</v>
      </c>
      <c r="N102" s="10">
        <f t="shared" si="14"/>
        <v>0</v>
      </c>
      <c r="O102" s="10">
        <f t="shared" si="15"/>
        <v>0</v>
      </c>
      <c r="P102" s="10">
        <f>'R. Böttiger'!M102+'T. Trautmann'!M149</f>
        <v>0</v>
      </c>
      <c r="Q102" s="10">
        <f>IFERROR(INDEX('Projekt-Budget-Übersicht'!$E:$E,MATCH(4804,'Projekt-Budget-Übersicht'!$L:$L,0)),0)</f>
        <v>0</v>
      </c>
      <c r="R102" s="10">
        <v>1130.82</v>
      </c>
      <c r="S102" s="4"/>
      <c r="T102" s="4"/>
      <c r="U102" s="4"/>
    </row>
    <row r="103" spans="1:21" x14ac:dyDescent="0.25">
      <c r="A103" s="4" t="s">
        <v>4799</v>
      </c>
      <c r="B103" s="4" t="s">
        <v>5485</v>
      </c>
      <c r="C103" s="4" t="str">
        <f>IFERROR(INDEX('Projekt-Budget-Übersicht'!$C:$C,MATCH(4805,'Projekt-Budget-Übersicht'!$L:$L,0)),"")</f>
        <v/>
      </c>
      <c r="D103" s="4">
        <v>20</v>
      </c>
      <c r="E103" s="4">
        <v>19.25</v>
      </c>
      <c r="F103" s="5">
        <f>SUM(F40,I40,K40)</f>
        <v>10.25</v>
      </c>
      <c r="G103" s="14">
        <v>96.25</v>
      </c>
      <c r="H103" s="5">
        <f>SUM(H40)</f>
        <v>0</v>
      </c>
      <c r="I103" s="5">
        <f t="shared" si="12"/>
        <v>0</v>
      </c>
      <c r="J103" s="4" t="s">
        <v>5531</v>
      </c>
      <c r="K103" s="5">
        <f>SUM(K40)</f>
        <v>0</v>
      </c>
      <c r="L103" s="10">
        <f>IF($B$2="-",0,IFERROR(INDEX(IF($B$2="SV",'Projekt-Budget-Übersicht'!$H:$H,IF($B$2="CAD",'Projekt-Budget-Übersicht'!$I:$I,IF($B$2="ADM",'Projekt-Budget-Übersicht'!$J:$J,'Projekt-Budget-Übersicht'!$H:$H))),MATCH(4805,'Projekt-Budget-Übersicht'!$L:$L,0)),0))</f>
        <v>0</v>
      </c>
      <c r="M103" s="10">
        <f t="shared" si="13"/>
        <v>0</v>
      </c>
      <c r="N103" s="10">
        <f t="shared" si="14"/>
        <v>0</v>
      </c>
      <c r="O103" s="10">
        <f t="shared" si="15"/>
        <v>0</v>
      </c>
      <c r="P103" s="10">
        <f>'A. Kokott'!M187+'R. Böttiger'!M103</f>
        <v>0</v>
      </c>
      <c r="Q103" s="10">
        <f>IFERROR(INDEX('Projekt-Budget-Übersicht'!$E:$E,MATCH(4805,'Projekt-Budget-Übersicht'!$L:$L,0)),0)</f>
        <v>0</v>
      </c>
      <c r="R103" s="10">
        <v>55</v>
      </c>
      <c r="S103" s="4"/>
      <c r="T103" s="4"/>
      <c r="U103" s="4"/>
    </row>
    <row r="104" spans="1:21" x14ac:dyDescent="0.25">
      <c r="A104" s="4" t="s">
        <v>4949</v>
      </c>
      <c r="B104" s="4" t="s">
        <v>5522</v>
      </c>
      <c r="C104" s="4" t="str">
        <f>IFERROR(INDEX('Projekt-Budget-Übersicht'!$C:$C,MATCH(4926,'Projekt-Budget-Übersicht'!$L:$L,0)),"")</f>
        <v/>
      </c>
      <c r="D104" s="4">
        <v>70</v>
      </c>
      <c r="E104" s="4">
        <v>37.25</v>
      </c>
      <c r="F104" s="5">
        <f>SUM(F18,F41,I18,I41,K18,K41)</f>
        <v>24.25</v>
      </c>
      <c r="G104" s="16">
        <v>53.21</v>
      </c>
      <c r="H104" s="5">
        <f>SUM(H18,H41)</f>
        <v>0</v>
      </c>
      <c r="I104" s="5">
        <f t="shared" si="12"/>
        <v>0</v>
      </c>
      <c r="J104" s="4" t="s">
        <v>5531</v>
      </c>
      <c r="K104" s="5">
        <f>SUM(K18,K41)</f>
        <v>0</v>
      </c>
      <c r="L104" s="10">
        <f>IF($B$2="-",0,IFERROR(INDEX(IF($B$2="SV",'Projekt-Budget-Übersicht'!$H:$H,IF($B$2="CAD",'Projekt-Budget-Übersicht'!$I:$I,IF($B$2="ADM",'Projekt-Budget-Übersicht'!$J:$J,'Projekt-Budget-Übersicht'!$H:$H))),MATCH(4926,'Projekt-Budget-Übersicht'!$L:$L,0)),0))</f>
        <v>0</v>
      </c>
      <c r="M104" s="10">
        <f t="shared" si="13"/>
        <v>0</v>
      </c>
      <c r="N104" s="10">
        <f t="shared" si="14"/>
        <v>0</v>
      </c>
      <c r="O104" s="10">
        <f t="shared" si="15"/>
        <v>0</v>
      </c>
      <c r="P104" s="10">
        <f>'A. Kokott'!M195+'R. Böttiger'!M104</f>
        <v>0</v>
      </c>
      <c r="Q104" s="10">
        <f>IFERROR(INDEX('Projekt-Budget-Übersicht'!$E:$E,MATCH(4926,'Projekt-Budget-Übersicht'!$L:$L,0)),0)</f>
        <v>0</v>
      </c>
      <c r="R104" s="10">
        <v>17.5</v>
      </c>
      <c r="S104" s="4"/>
      <c r="T104" s="4"/>
      <c r="U104" s="4"/>
    </row>
    <row r="105" spans="1:21" x14ac:dyDescent="0.25">
      <c r="A105" s="4" t="s">
        <v>4954</v>
      </c>
      <c r="B105" s="4" t="s">
        <v>5459</v>
      </c>
      <c r="C105" s="4" t="str">
        <f>IFERROR(INDEX('Projekt-Budget-Übersicht'!$C:$C,MATCH(4930,'Projekt-Budget-Übersicht'!$L:$L,0)),"")</f>
        <v/>
      </c>
      <c r="D105" s="4">
        <v>8</v>
      </c>
      <c r="E105" s="4">
        <v>7.75</v>
      </c>
      <c r="F105" s="5">
        <f>SUM(F42,I42,K42)</f>
        <v>1</v>
      </c>
      <c r="G105" s="14">
        <v>96.88</v>
      </c>
      <c r="H105" s="5">
        <f>SUM(H42)</f>
        <v>0</v>
      </c>
      <c r="I105" s="5">
        <f t="shared" si="12"/>
        <v>0</v>
      </c>
      <c r="J105" s="4" t="s">
        <v>5531</v>
      </c>
      <c r="K105" s="5">
        <f>SUM(K42)</f>
        <v>0</v>
      </c>
      <c r="L105" s="10">
        <f>IF($B$2="-",0,IFERROR(INDEX(IF($B$2="SV",'Projekt-Budget-Übersicht'!$H:$H,IF($B$2="CAD",'Projekt-Budget-Übersicht'!$I:$I,IF($B$2="ADM",'Projekt-Budget-Übersicht'!$J:$J,'Projekt-Budget-Übersicht'!$H:$H))),MATCH(4930,'Projekt-Budget-Übersicht'!$L:$L,0)),0))</f>
        <v>0</v>
      </c>
      <c r="M105" s="10">
        <f t="shared" si="13"/>
        <v>0</v>
      </c>
      <c r="N105" s="10">
        <f t="shared" si="14"/>
        <v>0</v>
      </c>
      <c r="O105" s="10">
        <f t="shared" si="15"/>
        <v>0</v>
      </c>
      <c r="P105" s="10">
        <f>'H. Bektas'!M88+'R. Böttiger'!M105+'T. Trautmann'!M151</f>
        <v>0</v>
      </c>
      <c r="Q105" s="10">
        <f>IFERROR(INDEX('Projekt-Budget-Übersicht'!$E:$E,MATCH(4930,'Projekt-Budget-Übersicht'!$L:$L,0)),0)</f>
        <v>0</v>
      </c>
      <c r="R105" s="10">
        <v>85</v>
      </c>
      <c r="S105" s="4"/>
      <c r="T105" s="4"/>
      <c r="U105" s="4"/>
    </row>
    <row r="106" spans="1:21" x14ac:dyDescent="0.25">
      <c r="A106" s="21" t="s">
        <v>5414</v>
      </c>
      <c r="B106" s="4" t="s">
        <v>5653</v>
      </c>
      <c r="C106" s="4" t="str">
        <f>IFERROR(INDEX('Projekt-Budget-Übersicht'!$C:$C,MATCH(5362,'Projekt-Budget-Übersicht'!$L:$L,0)),"")</f>
        <v/>
      </c>
      <c r="D106" s="4">
        <v>40</v>
      </c>
      <c r="E106" s="4">
        <v>39</v>
      </c>
      <c r="F106" s="5">
        <f>SUM(F43,F64,I43,I64,K43,K64)</f>
        <v>13</v>
      </c>
      <c r="G106" s="14">
        <v>97.5</v>
      </c>
      <c r="H106" s="5">
        <f>SUM(H43,H64)</f>
        <v>0</v>
      </c>
      <c r="I106" s="5">
        <f t="shared" si="12"/>
        <v>0</v>
      </c>
      <c r="J106" s="4" t="s">
        <v>5531</v>
      </c>
      <c r="K106" s="5">
        <f>SUM(K43,K64)</f>
        <v>0</v>
      </c>
      <c r="L106" s="10">
        <f>IF($B$2="-",0,IFERROR(INDEX(IF($B$2="SV",'Projekt-Budget-Übersicht'!$H:$H,IF($B$2="CAD",'Projekt-Budget-Übersicht'!$I:$I,IF($B$2="ADM",'Projekt-Budget-Übersicht'!$J:$J,'Projekt-Budget-Übersicht'!$H:$H))),MATCH(5362,'Projekt-Budget-Übersicht'!$L:$L,0)),0))</f>
        <v>0</v>
      </c>
      <c r="M106" s="10">
        <f t="shared" si="13"/>
        <v>0</v>
      </c>
      <c r="N106" s="10">
        <f t="shared" si="14"/>
        <v>0</v>
      </c>
      <c r="O106" s="10">
        <f t="shared" si="15"/>
        <v>0</v>
      </c>
      <c r="P106" s="10">
        <f>'R. Böttiger'!M106</f>
        <v>0</v>
      </c>
      <c r="Q106" s="10">
        <f>IFERROR(INDEX('Projekt-Budget-Übersicht'!$E:$E,MATCH(5362,'Projekt-Budget-Übersicht'!$L:$L,0)),0)</f>
        <v>0</v>
      </c>
      <c r="R106" s="10"/>
      <c r="S106" s="4"/>
      <c r="T106" s="4"/>
      <c r="U106" s="4"/>
    </row>
    <row r="107" spans="1:21" x14ac:dyDescent="0.25">
      <c r="A107" s="23"/>
      <c r="B107" s="4" t="s">
        <v>5651</v>
      </c>
      <c r="C107" s="4" t="str">
        <f>IFERROR(INDEX('Projekt-Budget-Übersicht'!$C:$C,MATCH(5362,'Projekt-Budget-Übersicht'!$L:$L,0)),"")</f>
        <v/>
      </c>
      <c r="D107" s="4" t="s">
        <v>5531</v>
      </c>
      <c r="E107" s="4">
        <v>4</v>
      </c>
      <c r="F107" s="5">
        <f>SUM(F19,F65,I19,I65,K19,K65)</f>
        <v>4</v>
      </c>
      <c r="G107" s="4" t="s">
        <v>5531</v>
      </c>
      <c r="H107" s="5">
        <f>SUM(H19,H65)</f>
        <v>0</v>
      </c>
      <c r="I107" s="5">
        <f t="shared" si="12"/>
        <v>0</v>
      </c>
      <c r="J107" s="4" t="s">
        <v>5531</v>
      </c>
      <c r="K107" s="5">
        <f>SUM(K19,K65)</f>
        <v>0</v>
      </c>
      <c r="L107" s="10">
        <f>IF($B$2="-",0,IFERROR(INDEX(IF($B$2="SV",'Projekt-Budget-Übersicht'!$H:$H,IF($B$2="CAD",'Projekt-Budget-Übersicht'!$I:$I,IF($B$2="ADM",'Projekt-Budget-Übersicht'!$J:$J,'Projekt-Budget-Übersicht'!$H:$H))),MATCH(5362,'Projekt-Budget-Übersicht'!$L:$L,0)),0))</f>
        <v>0</v>
      </c>
      <c r="M107" s="10">
        <f t="shared" si="13"/>
        <v>0</v>
      </c>
      <c r="N107" s="10">
        <f t="shared" si="14"/>
        <v>0</v>
      </c>
      <c r="O107" s="10">
        <f t="shared" si="15"/>
        <v>0</v>
      </c>
      <c r="P107" s="10">
        <f>'R. Böttiger'!M107</f>
        <v>0</v>
      </c>
      <c r="Q107" s="10">
        <f>IFERROR(INDEX('Projekt-Budget-Übersicht'!$E:$E,MATCH(5362,'Projekt-Budget-Übersicht'!$L:$L,0)),0)</f>
        <v>0</v>
      </c>
      <c r="R107" s="10"/>
      <c r="S107" s="4"/>
      <c r="T107" s="4"/>
      <c r="U107" s="4"/>
    </row>
    <row r="108" spans="1:21" x14ac:dyDescent="0.25">
      <c r="A108" s="22"/>
      <c r="B108" s="4" t="s">
        <v>5593</v>
      </c>
      <c r="C108" s="4" t="str">
        <f>IFERROR(INDEX('Projekt-Budget-Übersicht'!$C:$C,MATCH(5362,'Projekt-Budget-Übersicht'!$L:$L,0)),"")</f>
        <v/>
      </c>
      <c r="D108" s="4">
        <v>47</v>
      </c>
      <c r="E108" s="4">
        <v>92.25</v>
      </c>
      <c r="F108" s="5">
        <f>SUM(F20,F44,F66,I20,I44,I66,K20,K44,K66)</f>
        <v>52.75</v>
      </c>
      <c r="G108" s="15">
        <v>196.28</v>
      </c>
      <c r="H108" s="5">
        <f>SUM(H20,H44,H66)</f>
        <v>0</v>
      </c>
      <c r="I108" s="5">
        <f t="shared" si="12"/>
        <v>0</v>
      </c>
      <c r="J108" s="4" t="s">
        <v>5531</v>
      </c>
      <c r="K108" s="5">
        <f>SUM(K20,K44,K66)</f>
        <v>0</v>
      </c>
      <c r="L108" s="10">
        <f>IF($B$2="-",0,IFERROR(INDEX(IF($B$2="SV",'Projekt-Budget-Übersicht'!$H:$H,IF($B$2="CAD",'Projekt-Budget-Übersicht'!$I:$I,IF($B$2="ADM",'Projekt-Budget-Übersicht'!$J:$J,'Projekt-Budget-Übersicht'!$H:$H))),MATCH(5362,'Projekt-Budget-Übersicht'!$L:$L,0)),0))</f>
        <v>0</v>
      </c>
      <c r="M108" s="10">
        <f t="shared" si="13"/>
        <v>0</v>
      </c>
      <c r="N108" s="10">
        <f t="shared" si="14"/>
        <v>0</v>
      </c>
      <c r="O108" s="10">
        <f t="shared" si="15"/>
        <v>0</v>
      </c>
      <c r="P108" s="10">
        <f>'J. Dorn'!M157+'R. Böttiger'!M108</f>
        <v>0</v>
      </c>
      <c r="Q108" s="10">
        <f>IFERROR(INDEX('Projekt-Budget-Übersicht'!$E:$E,MATCH(5362,'Projekt-Budget-Übersicht'!$L:$L,0)),0)</f>
        <v>0</v>
      </c>
      <c r="R108" s="10">
        <v>2749.15</v>
      </c>
      <c r="S108" s="4"/>
      <c r="T108" s="4"/>
      <c r="U108" s="4"/>
    </row>
    <row r="109" spans="1:21" x14ac:dyDescent="0.25">
      <c r="A109" s="21" t="s">
        <v>5420</v>
      </c>
      <c r="B109" s="4" t="s">
        <v>5653</v>
      </c>
      <c r="C109" s="4" t="str">
        <f>IFERROR(INDEX('Projekt-Budget-Übersicht'!$C:$C,MATCH(5367,'Projekt-Budget-Übersicht'!$L:$L,0)),"")</f>
        <v/>
      </c>
      <c r="D109" s="4">
        <v>20</v>
      </c>
      <c r="E109" s="4">
        <v>38</v>
      </c>
      <c r="F109" s="5">
        <f>SUM(F45,F67,I45,I67,K45,K67)</f>
        <v>9.75</v>
      </c>
      <c r="G109" s="15">
        <v>190</v>
      </c>
      <c r="H109" s="5">
        <f>SUM(H45,H67)</f>
        <v>0</v>
      </c>
      <c r="I109" s="5">
        <f t="shared" si="12"/>
        <v>0</v>
      </c>
      <c r="J109" s="4" t="s">
        <v>5531</v>
      </c>
      <c r="K109" s="5">
        <f>SUM(K45,K67)</f>
        <v>0</v>
      </c>
      <c r="L109" s="10">
        <f>IF($B$2="-",0,IFERROR(INDEX(IF($B$2="SV",'Projekt-Budget-Übersicht'!$H:$H,IF($B$2="CAD",'Projekt-Budget-Übersicht'!$I:$I,IF($B$2="ADM",'Projekt-Budget-Übersicht'!$J:$J,'Projekt-Budget-Übersicht'!$H:$H))),MATCH(5367,'Projekt-Budget-Übersicht'!$L:$L,0)),0))</f>
        <v>0</v>
      </c>
      <c r="M109" s="10">
        <f t="shared" si="13"/>
        <v>0</v>
      </c>
      <c r="N109" s="10">
        <f t="shared" si="14"/>
        <v>0</v>
      </c>
      <c r="O109" s="10">
        <f t="shared" si="15"/>
        <v>0</v>
      </c>
      <c r="P109" s="10">
        <f>'R. Böttiger'!M109</f>
        <v>0</v>
      </c>
      <c r="Q109" s="10">
        <f>IFERROR(INDEX('Projekt-Budget-Übersicht'!$E:$E,MATCH(5367,'Projekt-Budget-Übersicht'!$L:$L,0)),0)</f>
        <v>0</v>
      </c>
      <c r="R109" s="10"/>
      <c r="S109" s="4"/>
      <c r="T109" s="4"/>
      <c r="U109" s="4"/>
    </row>
    <row r="110" spans="1:21" x14ac:dyDescent="0.25">
      <c r="A110" s="23"/>
      <c r="B110" s="4" t="s">
        <v>5651</v>
      </c>
      <c r="C110" s="4" t="str">
        <f>IFERROR(INDEX('Projekt-Budget-Übersicht'!$C:$C,MATCH(5367,'Projekt-Budget-Übersicht'!$L:$L,0)),"")</f>
        <v/>
      </c>
      <c r="D110" s="4" t="s">
        <v>5531</v>
      </c>
      <c r="E110" s="4">
        <v>4.25</v>
      </c>
      <c r="F110" s="5">
        <f>SUM(F21,F68,I21,I68,K21,K68)</f>
        <v>4.25</v>
      </c>
      <c r="G110" s="4" t="s">
        <v>5531</v>
      </c>
      <c r="H110" s="5">
        <f>SUM(H21,H68)</f>
        <v>0</v>
      </c>
      <c r="I110" s="5">
        <f t="shared" si="12"/>
        <v>0</v>
      </c>
      <c r="J110" s="4" t="s">
        <v>5531</v>
      </c>
      <c r="K110" s="5">
        <f>SUM(K21,K68)</f>
        <v>0</v>
      </c>
      <c r="L110" s="10">
        <f>IF($B$2="-",0,IFERROR(INDEX(IF($B$2="SV",'Projekt-Budget-Übersicht'!$H:$H,IF($B$2="CAD",'Projekt-Budget-Übersicht'!$I:$I,IF($B$2="ADM",'Projekt-Budget-Übersicht'!$J:$J,'Projekt-Budget-Übersicht'!$H:$H))),MATCH(5367,'Projekt-Budget-Übersicht'!$L:$L,0)),0))</f>
        <v>0</v>
      </c>
      <c r="M110" s="10">
        <f t="shared" si="13"/>
        <v>0</v>
      </c>
      <c r="N110" s="10">
        <f t="shared" si="14"/>
        <v>0</v>
      </c>
      <c r="O110" s="10">
        <f t="shared" si="15"/>
        <v>0</v>
      </c>
      <c r="P110" s="10">
        <f>'R. Böttiger'!M110</f>
        <v>0</v>
      </c>
      <c r="Q110" s="10">
        <f>IFERROR(INDEX('Projekt-Budget-Übersicht'!$E:$E,MATCH(5367,'Projekt-Budget-Übersicht'!$L:$L,0)),0)</f>
        <v>0</v>
      </c>
      <c r="R110" s="10"/>
      <c r="S110" s="4"/>
      <c r="T110" s="4"/>
      <c r="U110" s="4"/>
    </row>
    <row r="111" spans="1:21" x14ac:dyDescent="0.25">
      <c r="A111" s="22"/>
      <c r="B111" s="4" t="s">
        <v>5593</v>
      </c>
      <c r="C111" s="4" t="str">
        <f>IFERROR(INDEX('Projekt-Budget-Übersicht'!$C:$C,MATCH(5367,'Projekt-Budget-Übersicht'!$L:$L,0)),"")</f>
        <v/>
      </c>
      <c r="D111" s="4">
        <v>3</v>
      </c>
      <c r="E111" s="4">
        <v>66.5</v>
      </c>
      <c r="F111" s="5">
        <f>SUM(F22,F46,F69,I22,I46,I69,K22,K46,K69)</f>
        <v>35.75</v>
      </c>
      <c r="G111" s="15">
        <v>2216.67</v>
      </c>
      <c r="H111" s="5">
        <f>SUM(H22,H46,H69)</f>
        <v>0</v>
      </c>
      <c r="I111" s="5">
        <f t="shared" si="12"/>
        <v>0</v>
      </c>
      <c r="J111" s="4" t="s">
        <v>5531</v>
      </c>
      <c r="K111" s="5">
        <f>SUM(K22,K46,K69)</f>
        <v>0</v>
      </c>
      <c r="L111" s="10">
        <f>IF($B$2="-",0,IFERROR(INDEX(IF($B$2="SV",'Projekt-Budget-Übersicht'!$H:$H,IF($B$2="CAD",'Projekt-Budget-Übersicht'!$I:$I,IF($B$2="ADM",'Projekt-Budget-Übersicht'!$J:$J,'Projekt-Budget-Übersicht'!$H:$H))),MATCH(5367,'Projekt-Budget-Übersicht'!$L:$L,0)),0))</f>
        <v>0</v>
      </c>
      <c r="M111" s="10">
        <f t="shared" si="13"/>
        <v>0</v>
      </c>
      <c r="N111" s="10">
        <f t="shared" si="14"/>
        <v>0</v>
      </c>
      <c r="O111" s="10">
        <f t="shared" si="15"/>
        <v>0</v>
      </c>
      <c r="P111" s="10">
        <f>'J. Dorn'!M158+'R. Böttiger'!M111</f>
        <v>0</v>
      </c>
      <c r="Q111" s="10">
        <f>IFERROR(INDEX('Projekt-Budget-Übersicht'!$E:$E,MATCH(5367,'Projekt-Budget-Übersicht'!$L:$L,0)),0)</f>
        <v>0</v>
      </c>
      <c r="R111" s="10">
        <v>2164.15</v>
      </c>
      <c r="S111" s="4"/>
      <c r="T111" s="4"/>
      <c r="U111" s="4"/>
    </row>
    <row r="113" spans="1:21" x14ac:dyDescent="0.25">
      <c r="A113" s="3"/>
      <c r="B113" s="3" t="s">
        <v>5492</v>
      </c>
      <c r="C113" s="3"/>
      <c r="D113" s="3"/>
      <c r="E113" s="3"/>
      <c r="F113" s="6">
        <f>SUM(F23,F47,F70)</f>
        <v>325.5</v>
      </c>
      <c r="G113" s="3"/>
      <c r="H113" s="3"/>
      <c r="I113" s="3"/>
      <c r="J113" s="3"/>
      <c r="K113" s="3"/>
      <c r="L113" s="3"/>
      <c r="M113" s="17">
        <f>SUM(M85:M111)</f>
        <v>0</v>
      </c>
      <c r="N113" s="17">
        <f>SUM(N85:N111)</f>
        <v>0</v>
      </c>
      <c r="O113" s="17">
        <f>SUM(O85:O111)</f>
        <v>0</v>
      </c>
      <c r="P113" s="17">
        <f>SUM(P85:P111)</f>
        <v>0</v>
      </c>
      <c r="Q113" s="3"/>
      <c r="R113" s="3"/>
      <c r="S113" s="3"/>
      <c r="T113" s="3"/>
      <c r="U113" s="3"/>
    </row>
    <row r="114" spans="1:21" x14ac:dyDescent="0.25">
      <c r="A114" s="3"/>
      <c r="B114" s="3" t="s">
        <v>4</v>
      </c>
      <c r="C114" s="3"/>
      <c r="D114" s="3"/>
      <c r="E114" s="3"/>
      <c r="F114" s="6">
        <f>G114+H114</f>
        <v>115.5</v>
      </c>
      <c r="G114" s="6">
        <f>SUM(G24,G48,G71)</f>
        <v>115.5</v>
      </c>
      <c r="H114" s="6">
        <v>0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1:21" x14ac:dyDescent="0.25">
      <c r="A115" s="3"/>
      <c r="B115" s="3" t="s">
        <v>5</v>
      </c>
      <c r="C115" s="3"/>
      <c r="D115" s="3"/>
      <c r="E115" s="3"/>
      <c r="F115" s="6">
        <f>G115+H115</f>
        <v>1</v>
      </c>
      <c r="G115" s="6">
        <f>SUM(G25,G49,G72)</f>
        <v>1</v>
      </c>
      <c r="H115" s="6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1:21" x14ac:dyDescent="0.25">
      <c r="A116" s="3"/>
      <c r="B116" s="3" t="s">
        <v>5493</v>
      </c>
      <c r="C116" s="3"/>
      <c r="D116" s="3"/>
      <c r="E116" s="3"/>
      <c r="F116" s="6">
        <f>SUM(F26,F50,F73)</f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1:21" x14ac:dyDescent="0.25">
      <c r="A117" s="18"/>
      <c r="B117" s="18" t="s">
        <v>5494</v>
      </c>
      <c r="C117" s="18"/>
      <c r="D117" s="18"/>
      <c r="E117" s="18"/>
      <c r="F117" s="19">
        <f>F114+F115+F116</f>
        <v>116.5</v>
      </c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</row>
    <row r="119" spans="1:21" ht="15.75" x14ac:dyDescent="0.25">
      <c r="A119" s="2" t="s">
        <v>5532</v>
      </c>
    </row>
    <row r="120" spans="1:21" x14ac:dyDescent="0.25">
      <c r="A120" s="13" t="s">
        <v>10</v>
      </c>
      <c r="B120" s="13">
        <v>325.5</v>
      </c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x14ac:dyDescent="0.25">
      <c r="A121" s="13" t="s">
        <v>11</v>
      </c>
      <c r="B121" s="20">
        <f>SUM(F24,F48,F71)</f>
        <v>115.5</v>
      </c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</row>
    <row r="122" spans="1:21" x14ac:dyDescent="0.25">
      <c r="A122" s="13" t="s">
        <v>12</v>
      </c>
      <c r="B122" s="20">
        <f>SUM(F25,F49,F72)</f>
        <v>1</v>
      </c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</row>
  </sheetData>
  <mergeCells count="14">
    <mergeCell ref="A7:A8"/>
    <mergeCell ref="A45:A46"/>
    <mergeCell ref="A64:A66"/>
    <mergeCell ref="A96:A97"/>
    <mergeCell ref="A109:A111"/>
    <mergeCell ref="A19:A20"/>
    <mergeCell ref="A9:A11"/>
    <mergeCell ref="A21:A22"/>
    <mergeCell ref="A106:A108"/>
    <mergeCell ref="A43:A44"/>
    <mergeCell ref="A67:A69"/>
    <mergeCell ref="A88:A90"/>
    <mergeCell ref="A33:A34"/>
    <mergeCell ref="A91:A93"/>
  </mergeCells>
  <conditionalFormatting sqref="I6:I22">
    <cfRule type="cellIs" dxfId="22" priority="1" stopIfTrue="1" operator="lessThan">
      <formula>0</formula>
    </cfRule>
  </conditionalFormatting>
  <conditionalFormatting sqref="I31:I46">
    <cfRule type="cellIs" dxfId="21" priority="18" stopIfTrue="1" operator="lessThan">
      <formula>0</formula>
    </cfRule>
  </conditionalFormatting>
  <conditionalFormatting sqref="I55:I69">
    <cfRule type="cellIs" dxfId="20" priority="34" stopIfTrue="1" operator="lessThan">
      <formula>0</formula>
    </cfRule>
  </conditionalFormatting>
  <conditionalFormatting sqref="I85:I111">
    <cfRule type="cellIs" dxfId="19" priority="49" stopIfTrue="1" operator="lessThan">
      <formula>0</formula>
    </cfRule>
  </conditionalFormatting>
  <dataValidations count="14">
    <dataValidation type="list" sqref="B2" xr:uid="{00000000-0002-0000-0F00-000000000000}">
      <formula1>"SV,CAD,ADM,Pauschale,-"</formula1>
    </dataValidation>
    <dataValidation type="list" allowBlank="1" sqref="T55:T69 T31:T46 T6:T22" xr:uid="{00000000-0002-0000-0F00-000001000000}">
      <formula1>"SR,AZ"</formula1>
    </dataValidation>
    <dataValidation type="list" allowBlank="1" sqref="J7 J10" xr:uid="{00000000-0002-0000-0F00-000002000000}">
      <formula1>"E. Bieler"</formula1>
    </dataValidation>
    <dataValidation type="list" allowBlank="1" sqref="J8" xr:uid="{00000000-0002-0000-0F00-000004000000}">
      <formula1>"E. Bieler,J. Dorn"</formula1>
    </dataValidation>
    <dataValidation type="list" allowBlank="1" sqref="J13" xr:uid="{00000000-0002-0000-0F00-00000B000000}">
      <formula1>"A. Kokott,E. Bieler,J. Dorchies,J. Dorn,P. Bergner"</formula1>
    </dataValidation>
    <dataValidation type="list" allowBlank="1" sqref="J14" xr:uid="{00000000-0002-0000-0F00-00000D000000}">
      <formula1>"E. Bieler,J. Dorchies,J. Dorn"</formula1>
    </dataValidation>
    <dataValidation type="list" allowBlank="1" sqref="J15" xr:uid="{00000000-0002-0000-0F00-00000F000000}">
      <formula1>"S. Schüler"</formula1>
    </dataValidation>
    <dataValidation type="list" allowBlank="1" sqref="J20 J46 J44 J35" xr:uid="{00000000-0002-0000-0F00-000015000000}">
      <formula1>"J. Dorn"</formula1>
    </dataValidation>
    <dataValidation type="list" allowBlank="1" sqref="J31" xr:uid="{00000000-0002-0000-0F00-000019000000}">
      <formula1>"A. Kokott,J. Dorn,O. Haag BS-CAD,P. Bergner,T. Trautmann,U. Sutter ADM"</formula1>
    </dataValidation>
    <dataValidation type="list" allowBlank="1" sqref="J39" xr:uid="{00000000-0002-0000-0F00-000023000000}">
      <formula1>"T. Trautmann"</formula1>
    </dataValidation>
    <dataValidation type="list" allowBlank="1" sqref="J40" xr:uid="{00000000-0002-0000-0F00-000025000000}">
      <formula1>"A. Kokott"</formula1>
    </dataValidation>
    <dataValidation type="list" allowBlank="1" sqref="J42" xr:uid="{00000000-0002-0000-0F00-000028000000}">
      <formula1>"H. Bektas,T. Trautmann"</formula1>
    </dataValidation>
    <dataValidation type="list" allowBlank="1" sqref="J60" xr:uid="{00000000-0002-0000-0F00-000035000000}">
      <formula1>"J. Dorn,T. Trautmann"</formula1>
    </dataValidation>
    <dataValidation type="list" allowBlank="1" sqref="J61" xr:uid="{00000000-0002-0000-0F00-000037000000}">
      <formula1>"P. Bergner"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7"/>
  <dimension ref="A1:U111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5655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1061</v>
      </c>
      <c r="B6" s="4" t="s">
        <v>5656</v>
      </c>
      <c r="C6" s="4" t="str">
        <f>IFERROR(INDEX('Projekt-Budget-Übersicht'!$C:$C,MATCH(1087,'Projekt-Budget-Übersicht'!$L:$L,0)),"")</f>
        <v/>
      </c>
      <c r="D6" s="4">
        <v>26</v>
      </c>
      <c r="E6" s="4">
        <v>5</v>
      </c>
      <c r="F6" s="4">
        <v>3.5</v>
      </c>
      <c r="G6" s="16">
        <v>19.23</v>
      </c>
      <c r="H6" s="5"/>
      <c r="I6" s="5">
        <f t="shared" ref="I6:I22" si="0">IF(H6=0,0,F6-H6)</f>
        <v>0</v>
      </c>
      <c r="J6" s="4"/>
      <c r="K6" s="5"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6" s="10">
        <f t="shared" ref="M6:M22" si="1">IF($B$2="-",0,IF(C6="Pauschale",IF(OR(R6=0,N(D6)=0),0,MAX(0,MIN(R6*((N(F6)+N(K6))/N(D6)),R6-R6*(N(E6)/N(D6))))),L6*(N(F6)+N(K6))))</f>
        <v>0</v>
      </c>
      <c r="N6" s="10">
        <f t="shared" ref="N6:N22" si="2">IF($B$2="-",0,IF(C6="Pauschale",IF(OR(R6=0,N(D6)=0),0,R6*((N(F6)+N(K6))/N(D6))),L6*(N(F6)+N(K6))))</f>
        <v>0</v>
      </c>
      <c r="O6" s="10">
        <f t="shared" ref="O6:O22" si="3">N6-M6</f>
        <v>0</v>
      </c>
      <c r="P6" s="10">
        <f>'R. Wagen CAD'!M6</f>
        <v>0</v>
      </c>
      <c r="Q6" s="10">
        <v>1031</v>
      </c>
      <c r="R6" s="10">
        <f>IFERROR(INDEX('Projekt-Budget-Übersicht'!$F:$F,MATCH(1087,'Projekt-Budget-Übersicht'!$L:$L,0)),0)</f>
        <v>0</v>
      </c>
      <c r="S6" s="10">
        <v>5101.6499999999996</v>
      </c>
      <c r="T6" s="4"/>
      <c r="U6" s="4"/>
    </row>
    <row r="7" spans="1:21" x14ac:dyDescent="0.25">
      <c r="A7" s="23"/>
      <c r="B7" s="4" t="s">
        <v>5657</v>
      </c>
      <c r="C7" s="4" t="str">
        <f>IFERROR(INDEX('Projekt-Budget-Übersicht'!$C:$C,MATCH(1087,'Projekt-Budget-Übersicht'!$L:$L,0)),"")</f>
        <v/>
      </c>
      <c r="D7" s="4">
        <v>8</v>
      </c>
      <c r="E7" s="4">
        <v>2.25</v>
      </c>
      <c r="F7" s="4">
        <v>1.5</v>
      </c>
      <c r="G7" s="16">
        <v>28.12</v>
      </c>
      <c r="H7" s="5"/>
      <c r="I7" s="5">
        <f t="shared" si="0"/>
        <v>0</v>
      </c>
      <c r="J7" s="4"/>
      <c r="K7" s="5"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'R. Wagen CAD'!M7</f>
        <v>0</v>
      </c>
      <c r="Q7" s="10">
        <v>1031</v>
      </c>
      <c r="R7" s="10">
        <f>IFERROR(INDEX('Projekt-Budget-Übersicht'!$F:$F,MATCH(1087,'Projekt-Budget-Übersicht'!$L:$L,0)),0)</f>
        <v>0</v>
      </c>
      <c r="S7" s="10">
        <v>5101.6499999999996</v>
      </c>
      <c r="T7" s="4"/>
      <c r="U7" s="4"/>
    </row>
    <row r="8" spans="1:21" x14ac:dyDescent="0.25">
      <c r="A8" s="23"/>
      <c r="B8" s="4" t="s">
        <v>5658</v>
      </c>
      <c r="C8" s="4" t="str">
        <f>IFERROR(INDEX('Projekt-Budget-Übersicht'!$C:$C,MATCH(1087,'Projekt-Budget-Übersicht'!$L:$L,0)),"")</f>
        <v/>
      </c>
      <c r="D8" s="4">
        <v>16</v>
      </c>
      <c r="E8" s="4">
        <v>9.5</v>
      </c>
      <c r="F8" s="4">
        <v>4.5</v>
      </c>
      <c r="G8" s="16">
        <v>59.38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'R. Wagen CAD'!M8</f>
        <v>0</v>
      </c>
      <c r="Q8" s="10">
        <v>1031</v>
      </c>
      <c r="R8" s="10">
        <f>IFERROR(INDEX('Projekt-Budget-Übersicht'!$F:$F,MATCH(1087,'Projekt-Budget-Übersicht'!$L:$L,0)),0)</f>
        <v>0</v>
      </c>
      <c r="S8" s="10">
        <v>5101.6499999999996</v>
      </c>
      <c r="T8" s="4"/>
      <c r="U8" s="4"/>
    </row>
    <row r="9" spans="1:21" x14ac:dyDescent="0.25">
      <c r="A9" s="23"/>
      <c r="B9" s="4" t="s">
        <v>5659</v>
      </c>
      <c r="C9" s="4" t="str">
        <f>IFERROR(INDEX('Projekt-Budget-Übersicht'!$C:$C,MATCH(1087,'Projekt-Budget-Übersicht'!$L:$L,0)),"")</f>
        <v/>
      </c>
      <c r="D9" s="4">
        <v>25</v>
      </c>
      <c r="E9" s="4">
        <v>27</v>
      </c>
      <c r="F9" s="4">
        <v>2.5</v>
      </c>
      <c r="G9" s="15">
        <v>108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'R. Wagen CAD'!M9</f>
        <v>0</v>
      </c>
      <c r="Q9" s="10">
        <v>1031</v>
      </c>
      <c r="R9" s="10">
        <f>IFERROR(INDEX('Projekt-Budget-Übersicht'!$F:$F,MATCH(1087,'Projekt-Budget-Übersicht'!$L:$L,0)),0)</f>
        <v>0</v>
      </c>
      <c r="S9" s="10">
        <v>5101.6499999999996</v>
      </c>
      <c r="T9" s="4"/>
      <c r="U9" s="4"/>
    </row>
    <row r="10" spans="1:21" x14ac:dyDescent="0.25">
      <c r="A10" s="22"/>
      <c r="B10" s="4" t="s">
        <v>5660</v>
      </c>
      <c r="C10" s="4" t="str">
        <f>IFERROR(INDEX('Projekt-Budget-Übersicht'!$C:$C,MATCH(1086,'Projekt-Budget-Übersicht'!$L:$L,0)),"")</f>
        <v/>
      </c>
      <c r="D10" s="4">
        <v>55</v>
      </c>
      <c r="E10" s="4">
        <v>57</v>
      </c>
      <c r="F10" s="4">
        <v>2</v>
      </c>
      <c r="G10" s="15">
        <v>103.64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IF($B$2="-",0,IFERROR(INDEX(IF($B$2="SV",'Projekt-Budget-Übersicht'!$I:$I,IF($B$2="CAD",'Projekt-Budget-Übersicht'!$J:$J,IF($B$2="ADM",'Projekt-Budget-Übersicht'!$K:$K,'Projekt-Budget-Übersicht'!$I:$I))),MATCH(1086,'Projekt-Budget-Übersicht'!$M:$M,0)),0))</f>
        <v>80.909090909090907</v>
      </c>
      <c r="M10" s="10">
        <f t="shared" si="1"/>
        <v>161.81818181818181</v>
      </c>
      <c r="N10" s="10">
        <f t="shared" si="2"/>
        <v>161.81818181818181</v>
      </c>
      <c r="O10" s="10">
        <f t="shared" si="3"/>
        <v>0</v>
      </c>
      <c r="P10" s="10">
        <f>'R. Wagen CAD'!M10</f>
        <v>161.81818181818181</v>
      </c>
      <c r="Q10" s="10">
        <v>55</v>
      </c>
      <c r="R10" s="10">
        <f>IFERROR(INDEX('Projekt-Budget-Übersicht'!$F:$F,MATCH(1086,'Projekt-Budget-Übersicht'!$L:$L,0)),0)</f>
        <v>0</v>
      </c>
      <c r="S10" s="10">
        <v>3012.5</v>
      </c>
      <c r="T10" s="4"/>
      <c r="U10" s="4"/>
    </row>
    <row r="11" spans="1:21" x14ac:dyDescent="0.25">
      <c r="A11" s="4" t="s">
        <v>1383</v>
      </c>
      <c r="B11" s="4" t="s">
        <v>5502</v>
      </c>
      <c r="C11" s="4" t="str">
        <f>IFERROR(INDEX('Projekt-Budget-Übersicht'!$C:$C,MATCH(1499,'Projekt-Budget-Übersicht'!$L:$L,0)),"")</f>
        <v/>
      </c>
      <c r="D11" s="4">
        <v>160</v>
      </c>
      <c r="E11" s="4">
        <v>244.75</v>
      </c>
      <c r="F11" s="4">
        <v>0.5</v>
      </c>
      <c r="G11" s="15">
        <v>152.97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'R. Wagen CAD'!M11</f>
        <v>0</v>
      </c>
      <c r="Q11" s="10">
        <v>451</v>
      </c>
      <c r="R11" s="10">
        <f>IFERROR(INDEX('Projekt-Budget-Übersicht'!$F:$F,MATCH(1499,'Projekt-Budget-Übersicht'!$L:$L,0)),0)</f>
        <v>0</v>
      </c>
      <c r="S11" s="10">
        <v>15665.4</v>
      </c>
      <c r="T11" s="4"/>
      <c r="U11" s="4"/>
    </row>
    <row r="12" spans="1:21" x14ac:dyDescent="0.25">
      <c r="A12" s="4" t="s">
        <v>1692</v>
      </c>
      <c r="B12" s="4" t="s">
        <v>5661</v>
      </c>
      <c r="C12" s="4" t="str">
        <f>IFERROR(INDEX('Projekt-Budget-Übersicht'!$C:$C,MATCH(1910,'Projekt-Budget-Übersicht'!$L:$L,0)),"")</f>
        <v/>
      </c>
      <c r="D12" s="4">
        <v>24</v>
      </c>
      <c r="E12" s="4">
        <v>41</v>
      </c>
      <c r="F12" s="4">
        <v>5.75</v>
      </c>
      <c r="G12" s="15">
        <v>170.83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IF($B$2="-",0,IFERROR(INDEX(IF($B$2="SV",'Projekt-Budget-Übersicht'!$I:$I,IF($B$2="CAD",'Projekt-Budget-Übersicht'!$J:$J,IF($B$2="ADM",'Projekt-Budget-Übersicht'!$K:$K,'Projekt-Budget-Übersicht'!$I:$I))),MATCH(1910,'Projekt-Budget-Übersicht'!$M:$M,0)),0))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'R. Wagen CAD'!M12</f>
        <v>0</v>
      </c>
      <c r="Q12" s="10">
        <v>44</v>
      </c>
      <c r="R12" s="10">
        <f>IFERROR(INDEX('Projekt-Budget-Übersicht'!$F:$F,MATCH(1910,'Projekt-Budget-Übersicht'!$L:$L,0)),0)</f>
        <v>0</v>
      </c>
      <c r="S12" s="10">
        <v>2075</v>
      </c>
      <c r="T12" s="4"/>
      <c r="U12" s="4"/>
    </row>
    <row r="13" spans="1:21" x14ac:dyDescent="0.25">
      <c r="A13" s="4" t="s">
        <v>2509</v>
      </c>
      <c r="B13" s="4" t="s">
        <v>5498</v>
      </c>
      <c r="C13" s="4" t="s">
        <v>50</v>
      </c>
      <c r="D13" s="4">
        <v>0</v>
      </c>
      <c r="E13" s="4">
        <v>0</v>
      </c>
      <c r="F13" s="4">
        <v>0.75</v>
      </c>
      <c r="G13" s="4">
        <v>0</v>
      </c>
      <c r="H13" s="5"/>
      <c r="I13" s="5">
        <f t="shared" si="0"/>
        <v>0</v>
      </c>
      <c r="J13" s="4"/>
      <c r="K13" s="5">
        <v>0</v>
      </c>
      <c r="L13" s="10">
        <f>IF($B$2="-",0,0)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'R. Wagen CAD'!M13</f>
        <v>0</v>
      </c>
      <c r="Q13" s="10"/>
      <c r="R13" s="10">
        <f>0</f>
        <v>0</v>
      </c>
      <c r="S13" s="10"/>
      <c r="T13" s="4"/>
      <c r="U13" s="4"/>
    </row>
    <row r="14" spans="1:21" x14ac:dyDescent="0.25">
      <c r="A14" s="21" t="s">
        <v>3851</v>
      </c>
      <c r="B14" s="4" t="s">
        <v>5595</v>
      </c>
      <c r="C14" s="4" t="s">
        <v>50</v>
      </c>
      <c r="D14" s="4">
        <v>0</v>
      </c>
      <c r="E14" s="4">
        <v>-1.5</v>
      </c>
      <c r="F14" s="4">
        <v>15.75</v>
      </c>
      <c r="G14" s="4">
        <v>0</v>
      </c>
      <c r="H14" s="5"/>
      <c r="I14" s="5">
        <f t="shared" si="0"/>
        <v>0</v>
      </c>
      <c r="J14" s="4"/>
      <c r="K14" s="5">
        <v>0</v>
      </c>
      <c r="L14" s="10">
        <f>IF($B$2="-",0,0)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'R. Wagen CAD'!M14</f>
        <v>0</v>
      </c>
      <c r="Q14" s="10"/>
      <c r="R14" s="10">
        <f>0</f>
        <v>0</v>
      </c>
      <c r="S14" s="10"/>
      <c r="T14" s="4"/>
      <c r="U14" s="4"/>
    </row>
    <row r="15" spans="1:21" x14ac:dyDescent="0.25">
      <c r="A15" s="22"/>
      <c r="B15" s="4" t="s">
        <v>5622</v>
      </c>
      <c r="C15" s="4" t="s">
        <v>50</v>
      </c>
      <c r="D15" s="4">
        <v>0</v>
      </c>
      <c r="E15" s="4">
        <v>-0.5</v>
      </c>
      <c r="F15" s="4">
        <v>4</v>
      </c>
      <c r="G15" s="4">
        <v>0</v>
      </c>
      <c r="H15" s="5"/>
      <c r="I15" s="5">
        <f t="shared" si="0"/>
        <v>0</v>
      </c>
      <c r="J15" s="4"/>
      <c r="K15" s="5">
        <f>IF('O. Haag BS-CAD'!J30="R. Wagen CAD",'O. Haag BS-CAD'!I30,0)</f>
        <v>0</v>
      </c>
      <c r="L15" s="10">
        <f>IF($B$2="-",0,0)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'O. Haag BS-CAD'!M30+'R. Wagen CAD'!M15</f>
        <v>0</v>
      </c>
      <c r="Q15" s="10"/>
      <c r="R15" s="10">
        <f>0</f>
        <v>0</v>
      </c>
      <c r="S15" s="10"/>
      <c r="T15" s="4"/>
      <c r="U15" s="4"/>
    </row>
    <row r="16" spans="1:21" x14ac:dyDescent="0.25">
      <c r="A16" s="4" t="s">
        <v>4429</v>
      </c>
      <c r="B16" s="4" t="s">
        <v>5486</v>
      </c>
      <c r="C16" s="4" t="str">
        <f>IFERROR(INDEX('Projekt-Budget-Übersicht'!$C:$C,MATCH(4500,'Projekt-Budget-Übersicht'!$L:$L,0)),"")</f>
        <v/>
      </c>
      <c r="D16" s="4">
        <v>0</v>
      </c>
      <c r="E16" s="4">
        <v>30.25</v>
      </c>
      <c r="F16" s="4">
        <v>7.5</v>
      </c>
      <c r="G16" s="4">
        <v>0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IF($B$2="-",0,IFERROR(INDEX(IF($B$2="SV",'Projekt-Budget-Übersicht'!$I:$I,IF($B$2="CAD",'Projekt-Budget-Übersicht'!$J:$J,IF($B$2="ADM",'Projekt-Budget-Übersicht'!$K:$K,'Projekt-Budget-Übersicht'!$I:$I))),MATCH(4500,'Projekt-Budget-Übersicht'!$M:$M,0)),0))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'R. Wagen CAD'!M16</f>
        <v>0</v>
      </c>
      <c r="Q16" s="10"/>
      <c r="R16" s="10">
        <f>IFERROR(INDEX('Projekt-Budget-Übersicht'!$F:$F,MATCH(4500,'Projekt-Budget-Übersicht'!$L:$L,0)),0)</f>
        <v>0</v>
      </c>
      <c r="S16" s="10"/>
      <c r="T16" s="4"/>
      <c r="U16" s="4"/>
    </row>
    <row r="17" spans="1:21" x14ac:dyDescent="0.25">
      <c r="A17" s="4" t="s">
        <v>4785</v>
      </c>
      <c r="B17" s="4" t="s">
        <v>5486</v>
      </c>
      <c r="C17" s="4" t="str">
        <f>IFERROR(INDEX('Projekt-Budget-Übersicht'!$C:$C,MATCH(4792,'Projekt-Budget-Übersicht'!$L:$L,0)),"")</f>
        <v/>
      </c>
      <c r="D17" s="4">
        <v>6</v>
      </c>
      <c r="E17" s="4">
        <v>6</v>
      </c>
      <c r="F17" s="4">
        <v>6</v>
      </c>
      <c r="G17" s="14">
        <v>100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IF($B$2="-",0,IFERROR(INDEX(IF($B$2="SV",'Projekt-Budget-Übersicht'!$I:$I,IF($B$2="CAD",'Projekt-Budget-Übersicht'!$J:$J,IF($B$2="ADM",'Projekt-Budget-Übersicht'!$K:$K,'Projekt-Budget-Übersicht'!$I:$I))),MATCH(4792,'Projekt-Budget-Übersicht'!$M:$M,0)),0))</f>
        <v>126.92307692307691</v>
      </c>
      <c r="M17" s="10">
        <f t="shared" si="1"/>
        <v>761.53846153846143</v>
      </c>
      <c r="N17" s="10">
        <f t="shared" si="2"/>
        <v>761.53846153846143</v>
      </c>
      <c r="O17" s="10">
        <f t="shared" si="3"/>
        <v>0</v>
      </c>
      <c r="P17" s="10">
        <f>'R. Wagen CAD'!M17</f>
        <v>761.53846153846143</v>
      </c>
      <c r="Q17" s="10">
        <v>59</v>
      </c>
      <c r="R17" s="10">
        <f>IFERROR(INDEX('Projekt-Budget-Übersicht'!$F:$F,MATCH(4792,'Projekt-Budget-Übersicht'!$L:$L,0)),0)</f>
        <v>0</v>
      </c>
      <c r="S17" s="10">
        <v>330.82</v>
      </c>
      <c r="T17" s="4"/>
      <c r="U17" s="4"/>
    </row>
    <row r="18" spans="1:21" x14ac:dyDescent="0.25">
      <c r="A18" s="4" t="s">
        <v>4797</v>
      </c>
      <c r="B18" s="4" t="s">
        <v>5486</v>
      </c>
      <c r="C18" s="4" t="str">
        <f>IFERROR(INDEX('Projekt-Budget-Übersicht'!$C:$C,MATCH(4803,'Projekt-Budget-Übersicht'!$L:$L,0)),"")</f>
        <v/>
      </c>
      <c r="D18" s="4">
        <v>6</v>
      </c>
      <c r="E18" s="4">
        <v>6</v>
      </c>
      <c r="F18" s="4">
        <v>6</v>
      </c>
      <c r="G18" s="14">
        <v>100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IF($B$2="-",0,IFERROR(INDEX(IF($B$2="SV",'Projekt-Budget-Übersicht'!$I:$I,IF($B$2="CAD",'Projekt-Budget-Übersicht'!$J:$J,IF($B$2="ADM",'Projekt-Budget-Übersicht'!$K:$K,'Projekt-Budget-Übersicht'!$I:$I))),MATCH(4803,'Projekt-Budget-Übersicht'!$M:$M,0)),0))</f>
        <v>126.92307692307691</v>
      </c>
      <c r="M18" s="10">
        <f t="shared" si="1"/>
        <v>761.53846153846143</v>
      </c>
      <c r="N18" s="10">
        <f t="shared" si="2"/>
        <v>761.53846153846143</v>
      </c>
      <c r="O18" s="10">
        <f t="shared" si="3"/>
        <v>0</v>
      </c>
      <c r="P18" s="10">
        <f>'R. Wagen CAD'!M18</f>
        <v>761.53846153846143</v>
      </c>
      <c r="Q18" s="10">
        <v>126</v>
      </c>
      <c r="R18" s="10">
        <f>IFERROR(INDEX('Projekt-Budget-Übersicht'!$F:$F,MATCH(4803,'Projekt-Budget-Übersicht'!$L:$L,0)),0)</f>
        <v>0</v>
      </c>
      <c r="S18" s="10">
        <v>330.82</v>
      </c>
      <c r="T18" s="4"/>
      <c r="U18" s="4"/>
    </row>
    <row r="19" spans="1:21" x14ac:dyDescent="0.25">
      <c r="A19" s="4" t="s">
        <v>4951</v>
      </c>
      <c r="B19" s="4" t="s">
        <v>5628</v>
      </c>
      <c r="C19" s="4" t="str">
        <f>IFERROR(INDEX('Projekt-Budget-Übersicht'!$C:$C,MATCH(4928,'Projekt-Budget-Übersicht'!$L:$L,0)),"")</f>
        <v/>
      </c>
      <c r="D19" s="4">
        <v>20</v>
      </c>
      <c r="E19" s="4">
        <v>10.25</v>
      </c>
      <c r="F19" s="4">
        <v>3.5</v>
      </c>
      <c r="G19" s="16">
        <v>51.25</v>
      </c>
      <c r="H19" s="5"/>
      <c r="I19" s="5">
        <f t="shared" si="0"/>
        <v>0</v>
      </c>
      <c r="J19" s="4"/>
      <c r="K19" s="5">
        <f>IF('O. Haag BS-CAD'!J40="R. Wagen CAD",'O. Haag BS-CAD'!I40,0)</f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IF($B$2="-",0,IFERROR(INDEX(IF($B$2="SV",'Projekt-Budget-Übersicht'!$I:$I,IF($B$2="CAD",'Projekt-Budget-Übersicht'!$J:$J,IF($B$2="ADM",'Projekt-Budget-Übersicht'!$K:$K,'Projekt-Budget-Übersicht'!$I:$I))),MATCH(4928,'Projekt-Budget-Übersicht'!$M:$M,0)),0))</f>
        <v>82.5</v>
      </c>
      <c r="M19" s="10">
        <f t="shared" si="1"/>
        <v>288.75</v>
      </c>
      <c r="N19" s="10">
        <f t="shared" si="2"/>
        <v>288.75</v>
      </c>
      <c r="O19" s="10">
        <f t="shared" si="3"/>
        <v>0</v>
      </c>
      <c r="P19" s="10">
        <f>'O. Haag BS-CAD'!M40+'R. Wagen CAD'!M19</f>
        <v>371.25</v>
      </c>
      <c r="Q19" s="10">
        <v>20</v>
      </c>
      <c r="R19" s="10">
        <f>IFERROR(INDEX('Projekt-Budget-Übersicht'!$F:$F,MATCH(4928,'Projekt-Budget-Übersicht'!$L:$L,0)),0)</f>
        <v>0</v>
      </c>
      <c r="S19" s="10">
        <v>512.5</v>
      </c>
      <c r="T19" s="4"/>
      <c r="U19" s="4"/>
    </row>
    <row r="20" spans="1:21" x14ac:dyDescent="0.25">
      <c r="A20" s="4" t="s">
        <v>5033</v>
      </c>
      <c r="B20" s="4" t="s">
        <v>5486</v>
      </c>
      <c r="C20" s="4" t="str">
        <f>IFERROR(INDEX('Projekt-Budget-Übersicht'!$C:$C,MATCH(5015,'Projekt-Budget-Übersicht'!$L:$L,0)),"")</f>
        <v/>
      </c>
      <c r="D20" s="4">
        <v>4</v>
      </c>
      <c r="E20" s="4">
        <v>1</v>
      </c>
      <c r="F20" s="4">
        <v>1</v>
      </c>
      <c r="G20" s="16">
        <v>25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118.1818181818182</v>
      </c>
      <c r="M20" s="10">
        <f t="shared" si="1"/>
        <v>118.1818181818182</v>
      </c>
      <c r="N20" s="10">
        <f t="shared" si="2"/>
        <v>118.1818181818182</v>
      </c>
      <c r="O20" s="10">
        <f t="shared" si="3"/>
        <v>0</v>
      </c>
      <c r="P20" s="10">
        <f>'R. Wagen CAD'!M20</f>
        <v>118.1818181818182</v>
      </c>
      <c r="Q20" s="10">
        <v>22</v>
      </c>
      <c r="R20" s="10">
        <f>IFERROR(INDEX('Projekt-Budget-Übersicht'!$F:$F,MATCH(5015,'Projekt-Budget-Übersicht'!$L:$L,0)),0)</f>
        <v>0</v>
      </c>
      <c r="S20" s="10">
        <v>248.32</v>
      </c>
      <c r="T20" s="4"/>
      <c r="U20" s="4"/>
    </row>
    <row r="21" spans="1:21" x14ac:dyDescent="0.25">
      <c r="A21" s="4" t="s">
        <v>5056</v>
      </c>
      <c r="B21" s="4" t="s">
        <v>5486</v>
      </c>
      <c r="C21" s="4" t="str">
        <f>IFERROR(INDEX('Projekt-Budget-Übersicht'!$C:$C,MATCH(5033,'Projekt-Budget-Übersicht'!$L:$L,0)),"")</f>
        <v/>
      </c>
      <c r="D21" s="4">
        <v>8</v>
      </c>
      <c r="E21" s="4">
        <v>8.75</v>
      </c>
      <c r="F21" s="4">
        <v>8.75</v>
      </c>
      <c r="G21" s="15">
        <v>109.38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IF($B$2="-",0,IFERROR(INDEX(IF($B$2="SV",'Projekt-Budget-Übersicht'!$I:$I,IF($B$2="CAD",'Projekt-Budget-Übersicht'!$J:$J,IF($B$2="ADM",'Projekt-Budget-Übersicht'!$K:$K,'Projekt-Budget-Übersicht'!$I:$I))),MATCH(5033,'Projekt-Budget-Übersicht'!$M:$M,0)),0))</f>
        <v>101</v>
      </c>
      <c r="M21" s="10">
        <f t="shared" si="1"/>
        <v>883.75</v>
      </c>
      <c r="N21" s="10">
        <f t="shared" si="2"/>
        <v>883.75</v>
      </c>
      <c r="O21" s="10">
        <f t="shared" si="3"/>
        <v>0</v>
      </c>
      <c r="P21" s="10">
        <f>'R. Wagen CAD'!M21</f>
        <v>883.75</v>
      </c>
      <c r="Q21" s="10">
        <v>20</v>
      </c>
      <c r="R21" s="10">
        <f>IFERROR(INDEX('Projekt-Budget-Übersicht'!$F:$F,MATCH(5033,'Projekt-Budget-Übersicht'!$L:$L,0)),0)</f>
        <v>0</v>
      </c>
      <c r="S21" s="10"/>
      <c r="T21" s="4"/>
      <c r="U21" s="4"/>
    </row>
    <row r="22" spans="1:21" x14ac:dyDescent="0.25">
      <c r="A22" s="4" t="s">
        <v>5186</v>
      </c>
      <c r="B22" s="4" t="s">
        <v>5486</v>
      </c>
      <c r="C22" s="4" t="s">
        <v>50</v>
      </c>
      <c r="D22" s="4">
        <v>0</v>
      </c>
      <c r="E22" s="4">
        <v>0</v>
      </c>
      <c r="F22" s="4">
        <v>9</v>
      </c>
      <c r="G22" s="4">
        <v>0</v>
      </c>
      <c r="H22" s="5"/>
      <c r="I22" s="5">
        <f t="shared" si="0"/>
        <v>0</v>
      </c>
      <c r="J22" s="4"/>
      <c r="K22" s="5">
        <v>0</v>
      </c>
      <c r="L22" s="10">
        <f>IF($B$2="-",0,0)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'R. Wagen CAD'!M22</f>
        <v>0</v>
      </c>
      <c r="Q22" s="10"/>
      <c r="R22" s="10">
        <f>0</f>
        <v>0</v>
      </c>
      <c r="S22" s="10"/>
      <c r="T22" s="4"/>
      <c r="U22" s="4"/>
    </row>
    <row r="23" spans="1:21" x14ac:dyDescent="0.25">
      <c r="A23" s="3"/>
      <c r="B23" s="3" t="s">
        <v>5492</v>
      </c>
      <c r="C23" s="3"/>
      <c r="D23" s="3"/>
      <c r="E23" s="3"/>
      <c r="F23" s="6">
        <v>82.5</v>
      </c>
      <c r="G23" s="3"/>
      <c r="H23" s="3"/>
      <c r="I23" s="3"/>
      <c r="J23" s="3"/>
      <c r="K23" s="3"/>
      <c r="L23" s="3"/>
      <c r="M23" s="17">
        <f>SUM(M6:M22)</f>
        <v>2975.5769230769229</v>
      </c>
      <c r="N23" s="17">
        <f>SUM(N6:N22)</f>
        <v>2975.5769230769229</v>
      </c>
      <c r="O23" s="17">
        <f>SUM(O6:O22)</f>
        <v>0</v>
      </c>
      <c r="P23" s="17">
        <f>SUM(P6:P22)</f>
        <v>3058.0769230769229</v>
      </c>
      <c r="Q23" s="3"/>
      <c r="R23" s="3"/>
      <c r="S23" s="3"/>
      <c r="T23" s="3"/>
      <c r="U23" s="3"/>
    </row>
    <row r="24" spans="1:21" x14ac:dyDescent="0.25">
      <c r="A24" s="3"/>
      <c r="B24" s="3" t="s">
        <v>4</v>
      </c>
      <c r="C24" s="3"/>
      <c r="D24" s="3"/>
      <c r="E24" s="3"/>
      <c r="F24" s="6">
        <f>G24+H24</f>
        <v>63</v>
      </c>
      <c r="G24" s="6">
        <v>63</v>
      </c>
      <c r="H24" s="6">
        <f>SUM(H6,H7,H8,H9,H10,H11,H12,H13,H14,H15,H16,H17,H18,H19,H20,H21,H22)</f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/>
      <c r="B25" s="3" t="s">
        <v>5</v>
      </c>
      <c r="C25" s="3"/>
      <c r="D25" s="3"/>
      <c r="E25" s="3"/>
      <c r="F25" s="6">
        <v>0</v>
      </c>
      <c r="G25" s="6">
        <v>0</v>
      </c>
      <c r="H25" s="6">
        <v>0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3"/>
      <c r="B26" s="3" t="s">
        <v>5493</v>
      </c>
      <c r="C26" s="3"/>
      <c r="D26" s="3"/>
      <c r="E26" s="3"/>
      <c r="F26" s="6">
        <f>SUM(K6:K22)</f>
        <v>0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1:21" x14ac:dyDescent="0.25">
      <c r="A27" s="18"/>
      <c r="B27" s="18" t="s">
        <v>5494</v>
      </c>
      <c r="C27" s="18"/>
      <c r="D27" s="18"/>
      <c r="E27" s="18"/>
      <c r="F27" s="19">
        <f>F24+F25+F26</f>
        <v>63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9" spans="1:21" ht="15.75" x14ac:dyDescent="0.25">
      <c r="A29" s="2" t="s">
        <v>5495</v>
      </c>
    </row>
    <row r="30" spans="1:21" x14ac:dyDescent="0.25">
      <c r="A30" s="3" t="s">
        <v>35</v>
      </c>
      <c r="B30" s="3" t="s">
        <v>5461</v>
      </c>
      <c r="C30" s="3" t="s">
        <v>37</v>
      </c>
      <c r="D30" s="3" t="s">
        <v>5462</v>
      </c>
      <c r="E30" s="3" t="s">
        <v>5463</v>
      </c>
      <c r="F30" s="3" t="s">
        <v>5496</v>
      </c>
      <c r="G30" s="3" t="s">
        <v>5465</v>
      </c>
      <c r="H30" s="3" t="s">
        <v>5466</v>
      </c>
      <c r="I30" s="3" t="s">
        <v>5467</v>
      </c>
      <c r="J30" s="3" t="s">
        <v>5468</v>
      </c>
      <c r="K30" s="3" t="s">
        <v>5469</v>
      </c>
      <c r="L30" s="3" t="s">
        <v>5470</v>
      </c>
      <c r="M30" s="3" t="s">
        <v>5471</v>
      </c>
      <c r="N30" s="3" t="s">
        <v>5472</v>
      </c>
      <c r="O30" s="3" t="s">
        <v>5473</v>
      </c>
      <c r="P30" s="3" t="s">
        <v>5474</v>
      </c>
      <c r="Q30" s="3" t="s">
        <v>5475</v>
      </c>
      <c r="R30" s="3" t="s">
        <v>5476</v>
      </c>
      <c r="S30" s="3" t="s">
        <v>5477</v>
      </c>
      <c r="T30" s="3" t="s">
        <v>5478</v>
      </c>
      <c r="U30" s="3" t="s">
        <v>5479</v>
      </c>
    </row>
    <row r="31" spans="1:21" x14ac:dyDescent="0.25">
      <c r="A31" s="4" t="s">
        <v>61</v>
      </c>
      <c r="B31" s="4" t="s">
        <v>5481</v>
      </c>
      <c r="C31" s="4" t="str">
        <f>IFERROR(INDEX('Projekt-Budget-Übersicht'!$C:$C,MATCH(10,'Projekt-Budget-Übersicht'!$L:$L,0)),"")</f>
        <v/>
      </c>
      <c r="D31" s="4">
        <v>8</v>
      </c>
      <c r="E31" s="4">
        <v>8</v>
      </c>
      <c r="F31" s="4">
        <v>8</v>
      </c>
      <c r="G31" s="14">
        <v>100</v>
      </c>
      <c r="H31" s="5"/>
      <c r="I31" s="5">
        <f t="shared" ref="I31:I48" si="4">IF(H31=0,0,F31-H31)</f>
        <v>0</v>
      </c>
      <c r="J31" s="4"/>
      <c r="K31" s="5">
        <f>IF('A. Kokott'!J40="R. Wagen CAD",'A. Kokott'!I40,0)+IF('M. Bandlofsky'!J26="R. Wagen CAD",'M. Bandlofsky'!I26,0)+IF('O. Haag BS-CAD'!J52="R. Wagen CAD",'O. Haag BS-CAD'!I52,0)+IF('P. Bergner'!J22="R. Wagen CAD",'P. Bergner'!I22,0)+IF('T. Trautmann'!J29="R. Wagen CAD",'T. Trautmann'!I29,0)+IF('U. Sutter ADM'!J29="R. Wagen CAD",'U. Sutter ADM'!I29,0)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1" s="10">
        <f t="shared" ref="M31:M48" si="5">IF($B$2="-",0,IF(C31="Pauschale",IF(OR(R31=0,N(D31)=0),0,MAX(0,MIN(R31*((N(F31)+N(K31))/N(D31)),R31-R31*(N(E31)/N(D31))))),L31*(N(F31)+N(K31))))</f>
        <v>0</v>
      </c>
      <c r="N31" s="10">
        <f t="shared" ref="N31:N48" si="6">IF($B$2="-",0,IF(C31="Pauschale",IF(OR(R31=0,N(D31)=0),0,R31*((N(F31)+N(K31))/N(D31))),L31*(N(F31)+N(K31))))</f>
        <v>0</v>
      </c>
      <c r="O31" s="10">
        <f t="shared" ref="O31:O48" si="7">N31-M31</f>
        <v>0</v>
      </c>
      <c r="P31" s="10">
        <f>'A. Kokott'!M40+'M. Bandlofsky'!M26+'O. Haag BS-CAD'!M52+'P. Bergner'!M22+'R. Wagen CAD'!M31+'T. Trautmann'!M29+'U. Sutter ADM'!M29</f>
        <v>0</v>
      </c>
      <c r="Q31" s="10">
        <v>132</v>
      </c>
      <c r="R31" s="10">
        <f>IFERROR(INDEX('Projekt-Budget-Übersicht'!$F:$F,MATCH(10,'Projekt-Budget-Übersicht'!$L:$L,0)),0)</f>
        <v>0</v>
      </c>
      <c r="S31" s="10">
        <v>68628.19</v>
      </c>
      <c r="T31" s="4"/>
      <c r="U31" s="4"/>
    </row>
    <row r="32" spans="1:21" x14ac:dyDescent="0.25">
      <c r="A32" s="4" t="s">
        <v>865</v>
      </c>
      <c r="B32" s="4" t="s">
        <v>5502</v>
      </c>
      <c r="C32" s="4" t="str">
        <f>IFERROR(INDEX('Projekt-Budget-Übersicht'!$C:$C,MATCH(890,'Projekt-Budget-Übersicht'!$L:$L,0)),"")</f>
        <v/>
      </c>
      <c r="D32" s="4">
        <v>26.5</v>
      </c>
      <c r="E32" s="4">
        <v>34.25</v>
      </c>
      <c r="F32" s="4">
        <v>1</v>
      </c>
      <c r="G32" s="15">
        <v>129.25</v>
      </c>
      <c r="H32" s="5"/>
      <c r="I32" s="5">
        <f t="shared" si="4"/>
        <v>0</v>
      </c>
      <c r="J32" s="4"/>
      <c r="K32" s="5">
        <f>IF('O. Haag BS-CAD'!J56="R. Wagen CAD",'O. Haag BS-CAD'!I56,0)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'O. Haag BS-CAD'!M56+'R. Wagen CAD'!M32</f>
        <v>0</v>
      </c>
      <c r="Q32" s="10">
        <v>63</v>
      </c>
      <c r="R32" s="10">
        <f>IFERROR(INDEX('Projekt-Budget-Übersicht'!$F:$F,MATCH(890,'Projekt-Budget-Übersicht'!$L:$L,0)),0)</f>
        <v>0</v>
      </c>
      <c r="S32" s="10">
        <v>7717.86</v>
      </c>
      <c r="T32" s="4"/>
      <c r="U32" s="4"/>
    </row>
    <row r="33" spans="1:21" x14ac:dyDescent="0.25">
      <c r="A33" s="4" t="s">
        <v>5616</v>
      </c>
      <c r="B33" s="4" t="s">
        <v>5617</v>
      </c>
      <c r="C33" s="4" t="s">
        <v>50</v>
      </c>
      <c r="D33" s="4">
        <v>0</v>
      </c>
      <c r="E33" s="4">
        <v>0</v>
      </c>
      <c r="F33" s="4">
        <v>0.75</v>
      </c>
      <c r="G33" s="4">
        <v>0</v>
      </c>
      <c r="H33" s="5"/>
      <c r="I33" s="5">
        <f t="shared" si="4"/>
        <v>0</v>
      </c>
      <c r="J33" s="4"/>
      <c r="K33" s="5">
        <v>0</v>
      </c>
      <c r="L33" s="10">
        <f>IF($B$2="-",0,0)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'R. Wagen CAD'!M33</f>
        <v>0</v>
      </c>
      <c r="Q33" s="10"/>
      <c r="R33" s="10">
        <f>0</f>
        <v>0</v>
      </c>
      <c r="S33" s="10"/>
      <c r="T33" s="4"/>
      <c r="U33" s="4"/>
    </row>
    <row r="34" spans="1:21" x14ac:dyDescent="0.25">
      <c r="A34" s="21" t="s">
        <v>1061</v>
      </c>
      <c r="B34" s="4" t="s">
        <v>5656</v>
      </c>
      <c r="C34" s="4" t="str">
        <f>IFERROR(INDEX('Projekt-Budget-Übersicht'!$C:$C,MATCH(1087,'Projekt-Budget-Übersicht'!$L:$L,0)),"")</f>
        <v/>
      </c>
      <c r="D34" s="4">
        <v>26</v>
      </c>
      <c r="E34" s="4">
        <v>27.5</v>
      </c>
      <c r="F34" s="4">
        <v>22.5</v>
      </c>
      <c r="G34" s="15">
        <v>105.77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'R. Wagen CAD'!M34</f>
        <v>0</v>
      </c>
      <c r="Q34" s="10">
        <v>1031</v>
      </c>
      <c r="R34" s="10">
        <f>IFERROR(INDEX('Projekt-Budget-Übersicht'!$F:$F,MATCH(1087,'Projekt-Budget-Übersicht'!$L:$L,0)),0)</f>
        <v>0</v>
      </c>
      <c r="S34" s="10">
        <v>5101.6499999999996</v>
      </c>
      <c r="T34" s="4"/>
      <c r="U34" s="4"/>
    </row>
    <row r="35" spans="1:21" x14ac:dyDescent="0.25">
      <c r="A35" s="23"/>
      <c r="B35" s="4" t="s">
        <v>5657</v>
      </c>
      <c r="C35" s="4" t="str">
        <f>IFERROR(INDEX('Projekt-Budget-Übersicht'!$C:$C,MATCH(1087,'Projekt-Budget-Übersicht'!$L:$L,0)),"")</f>
        <v/>
      </c>
      <c r="D35" s="4">
        <v>8</v>
      </c>
      <c r="E35" s="4">
        <v>9.25</v>
      </c>
      <c r="F35" s="4">
        <v>7</v>
      </c>
      <c r="G35" s="15">
        <v>115.62</v>
      </c>
      <c r="H35" s="5"/>
      <c r="I35" s="5">
        <f t="shared" si="4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'R. Wagen CAD'!M35</f>
        <v>0</v>
      </c>
      <c r="Q35" s="10">
        <v>1031</v>
      </c>
      <c r="R35" s="10">
        <f>IFERROR(INDEX('Projekt-Budget-Übersicht'!$F:$F,MATCH(1087,'Projekt-Budget-Übersicht'!$L:$L,0)),0)</f>
        <v>0</v>
      </c>
      <c r="S35" s="10">
        <v>5101.6499999999996</v>
      </c>
      <c r="T35" s="4"/>
      <c r="U35" s="4"/>
    </row>
    <row r="36" spans="1:21" x14ac:dyDescent="0.25">
      <c r="A36" s="23"/>
      <c r="B36" s="4" t="s">
        <v>5658</v>
      </c>
      <c r="C36" s="4" t="str">
        <f>IFERROR(INDEX('Projekt-Budget-Übersicht'!$C:$C,MATCH(1087,'Projekt-Budget-Übersicht'!$L:$L,0)),"")</f>
        <v/>
      </c>
      <c r="D36" s="4">
        <v>16</v>
      </c>
      <c r="E36" s="4">
        <v>13</v>
      </c>
      <c r="F36" s="4">
        <v>3.5</v>
      </c>
      <c r="G36" s="16">
        <v>81.25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'R. Wagen CAD'!M36</f>
        <v>0</v>
      </c>
      <c r="Q36" s="10">
        <v>1031</v>
      </c>
      <c r="R36" s="10">
        <f>IFERROR(INDEX('Projekt-Budget-Übersicht'!$F:$F,MATCH(1087,'Projekt-Budget-Übersicht'!$L:$L,0)),0)</f>
        <v>0</v>
      </c>
      <c r="S36" s="10">
        <v>5101.6499999999996</v>
      </c>
      <c r="T36" s="4"/>
      <c r="U36" s="4"/>
    </row>
    <row r="37" spans="1:21" x14ac:dyDescent="0.25">
      <c r="A37" s="22"/>
      <c r="B37" s="4" t="s">
        <v>5660</v>
      </c>
      <c r="C37" s="4" t="str">
        <f>IFERROR(INDEX('Projekt-Budget-Übersicht'!$C:$C,MATCH(1086,'Projekt-Budget-Übersicht'!$L:$L,0)),"")</f>
        <v/>
      </c>
      <c r="D37" s="4">
        <v>55</v>
      </c>
      <c r="E37" s="4">
        <v>59.75</v>
      </c>
      <c r="F37" s="4">
        <v>2.75</v>
      </c>
      <c r="G37" s="15">
        <v>108.64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IF($B$2="-",0,IFERROR(INDEX(IF($B$2="SV",'Projekt-Budget-Übersicht'!$I:$I,IF($B$2="CAD",'Projekt-Budget-Übersicht'!$J:$J,IF($B$2="ADM",'Projekt-Budget-Übersicht'!$K:$K,'Projekt-Budget-Übersicht'!$I:$I))),MATCH(1086,'Projekt-Budget-Übersicht'!$M:$M,0)),0))</f>
        <v>80.909090909090907</v>
      </c>
      <c r="M37" s="10">
        <f t="shared" si="5"/>
        <v>222.5</v>
      </c>
      <c r="N37" s="10">
        <f t="shared" si="6"/>
        <v>222.5</v>
      </c>
      <c r="O37" s="10">
        <f t="shared" si="7"/>
        <v>0</v>
      </c>
      <c r="P37" s="10">
        <f>'R. Wagen CAD'!M37</f>
        <v>222.5</v>
      </c>
      <c r="Q37" s="10">
        <v>55</v>
      </c>
      <c r="R37" s="10">
        <f>IFERROR(INDEX('Projekt-Budget-Übersicht'!$F:$F,MATCH(1086,'Projekt-Budget-Übersicht'!$L:$L,0)),0)</f>
        <v>0</v>
      </c>
      <c r="S37" s="10">
        <v>3012.5</v>
      </c>
      <c r="T37" s="4"/>
      <c r="U37" s="4"/>
    </row>
    <row r="38" spans="1:21" x14ac:dyDescent="0.25">
      <c r="A38" s="4" t="s">
        <v>1383</v>
      </c>
      <c r="B38" s="4" t="s">
        <v>5502</v>
      </c>
      <c r="C38" s="4" t="str">
        <f>IFERROR(INDEX('Projekt-Budget-Übersicht'!$C:$C,MATCH(1499,'Projekt-Budget-Übersicht'!$L:$L,0)),"")</f>
        <v/>
      </c>
      <c r="D38" s="4">
        <v>160</v>
      </c>
      <c r="E38" s="4">
        <v>291</v>
      </c>
      <c r="F38" s="4">
        <v>46.25</v>
      </c>
      <c r="G38" s="15">
        <v>181.88</v>
      </c>
      <c r="H38" s="5"/>
      <c r="I38" s="5">
        <f t="shared" si="4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'R. Wagen CAD'!M38</f>
        <v>0</v>
      </c>
      <c r="Q38" s="10">
        <v>451</v>
      </c>
      <c r="R38" s="10">
        <f>IFERROR(INDEX('Projekt-Budget-Übersicht'!$F:$F,MATCH(1499,'Projekt-Budget-Übersicht'!$L:$L,0)),0)</f>
        <v>0</v>
      </c>
      <c r="S38" s="10">
        <v>15665.4</v>
      </c>
      <c r="T38" s="4"/>
      <c r="U38" s="4"/>
    </row>
    <row r="39" spans="1:21" x14ac:dyDescent="0.25">
      <c r="A39" s="4" t="s">
        <v>1495</v>
      </c>
      <c r="B39" s="4" t="s">
        <v>5498</v>
      </c>
      <c r="C39" s="4" t="str">
        <f>IFERROR(INDEX('Projekt-Budget-Übersicht'!$C:$C,MATCH(1682,'Projekt-Budget-Übersicht'!$L:$L,0)),"")</f>
        <v/>
      </c>
      <c r="D39" s="4">
        <v>57</v>
      </c>
      <c r="E39" s="4">
        <v>27.25</v>
      </c>
      <c r="F39" s="4">
        <v>0.5</v>
      </c>
      <c r="G39" s="16">
        <v>47.81</v>
      </c>
      <c r="H39" s="5"/>
      <c r="I39" s="5">
        <f t="shared" si="4"/>
        <v>0</v>
      </c>
      <c r="J39" s="4"/>
      <c r="K39" s="5"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IF($B$2="-",0,IFERROR(INDEX(IF($B$2="SV",'Projekt-Budget-Übersicht'!$I:$I,IF($B$2="CAD",'Projekt-Budget-Übersicht'!$J:$J,IF($B$2="ADM",'Projekt-Budget-Übersicht'!$K:$K,'Projekt-Budget-Übersicht'!$I:$I))),MATCH(1682,'Projekt-Budget-Übersicht'!$M:$M,0)),0))</f>
        <v>0</v>
      </c>
      <c r="M39" s="10">
        <f t="shared" si="5"/>
        <v>0</v>
      </c>
      <c r="N39" s="10">
        <f t="shared" si="6"/>
        <v>0</v>
      </c>
      <c r="O39" s="10">
        <f t="shared" si="7"/>
        <v>0</v>
      </c>
      <c r="P39" s="10">
        <f>'R. Wagen CAD'!M39</f>
        <v>0</v>
      </c>
      <c r="Q39" s="10">
        <v>58</v>
      </c>
      <c r="R39" s="10">
        <f>IFERROR(INDEX('Projekt-Budget-Übersicht'!$F:$F,MATCH(1682,'Projekt-Budget-Übersicht'!$L:$L,0)),0)</f>
        <v>0</v>
      </c>
      <c r="S39" s="10">
        <v>1351.25</v>
      </c>
      <c r="T39" s="4"/>
      <c r="U39" s="4"/>
    </row>
    <row r="40" spans="1:21" x14ac:dyDescent="0.25">
      <c r="A40" s="4" t="s">
        <v>1692</v>
      </c>
      <c r="B40" s="4" t="s">
        <v>5661</v>
      </c>
      <c r="C40" s="4" t="str">
        <f>IFERROR(INDEX('Projekt-Budget-Übersicht'!$C:$C,MATCH(1910,'Projekt-Budget-Übersicht'!$L:$L,0)),"")</f>
        <v/>
      </c>
      <c r="D40" s="4">
        <v>24</v>
      </c>
      <c r="E40" s="4">
        <v>41.5</v>
      </c>
      <c r="F40" s="4">
        <v>0.5</v>
      </c>
      <c r="G40" s="15">
        <v>172.92</v>
      </c>
      <c r="H40" s="5"/>
      <c r="I40" s="5">
        <f t="shared" si="4"/>
        <v>0</v>
      </c>
      <c r="J40" s="4"/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IF($B$2="-",0,IFERROR(INDEX(IF($B$2="SV",'Projekt-Budget-Übersicht'!$I:$I,IF($B$2="CAD",'Projekt-Budget-Übersicht'!$J:$J,IF($B$2="ADM",'Projekt-Budget-Übersicht'!$K:$K,'Projekt-Budget-Übersicht'!$I:$I))),MATCH(1910,'Projekt-Budget-Übersicht'!$M:$M,0)),0))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'R. Wagen CAD'!M40</f>
        <v>0</v>
      </c>
      <c r="Q40" s="10">
        <v>44</v>
      </c>
      <c r="R40" s="10">
        <f>IFERROR(INDEX('Projekt-Budget-Übersicht'!$F:$F,MATCH(1910,'Projekt-Budget-Übersicht'!$L:$L,0)),0)</f>
        <v>0</v>
      </c>
      <c r="S40" s="10">
        <v>2075</v>
      </c>
      <c r="T40" s="4"/>
      <c r="U40" s="4"/>
    </row>
    <row r="41" spans="1:21" x14ac:dyDescent="0.25">
      <c r="A41" s="4" t="s">
        <v>2442</v>
      </c>
      <c r="B41" s="4" t="s">
        <v>5498</v>
      </c>
      <c r="C41" s="4" t="str">
        <f>IFERROR(INDEX('Projekt-Budget-Übersicht'!$C:$C,MATCH(2771,'Projekt-Budget-Übersicht'!$L:$L,0)),"")</f>
        <v/>
      </c>
      <c r="D41" s="4">
        <v>30</v>
      </c>
      <c r="E41" s="4">
        <v>12</v>
      </c>
      <c r="F41" s="4">
        <v>1.75</v>
      </c>
      <c r="G41" s="16">
        <v>40</v>
      </c>
      <c r="H41" s="5"/>
      <c r="I41" s="5">
        <f t="shared" si="4"/>
        <v>0</v>
      </c>
      <c r="J41" s="4"/>
      <c r="K41" s="5">
        <f>IF('O. Haag BS-CAD'!J64="R. Wagen CAD",'O. Haag BS-CAD'!I64,0)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IF($B$2="-",0,IFERROR(INDEX(IF($B$2="SV",'Projekt-Budget-Übersicht'!$I:$I,IF($B$2="CAD",'Projekt-Budget-Übersicht'!$J:$J,IF($B$2="ADM",'Projekt-Budget-Übersicht'!$K:$K,'Projekt-Budget-Übersicht'!$I:$I))),MATCH(2771,'Projekt-Budget-Übersicht'!$M:$M,0)),0))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'O. Haag BS-CAD'!M64+'R. Wagen CAD'!M41</f>
        <v>0</v>
      </c>
      <c r="Q41" s="10">
        <v>80</v>
      </c>
      <c r="R41" s="10">
        <f>IFERROR(INDEX('Projekt-Budget-Übersicht'!$F:$F,MATCH(2771,'Projekt-Budget-Übersicht'!$L:$L,0)),0)</f>
        <v>0</v>
      </c>
      <c r="S41" s="10">
        <v>650</v>
      </c>
      <c r="T41" s="4"/>
      <c r="U41" s="4"/>
    </row>
    <row r="42" spans="1:21" x14ac:dyDescent="0.25">
      <c r="A42" s="4" t="s">
        <v>3214</v>
      </c>
      <c r="B42" s="4" t="s">
        <v>5632</v>
      </c>
      <c r="C42" s="4" t="str">
        <f>IFERROR(INDEX('Projekt-Budget-Übersicht'!$C:$C,MATCH(3447,'Projekt-Budget-Übersicht'!$L:$L,0)),"")</f>
        <v/>
      </c>
      <c r="D42" s="4">
        <v>154</v>
      </c>
      <c r="E42" s="4">
        <v>96.25</v>
      </c>
      <c r="F42" s="4">
        <v>0.5</v>
      </c>
      <c r="G42" s="16">
        <v>62.5</v>
      </c>
      <c r="H42" s="5"/>
      <c r="I42" s="5">
        <f t="shared" si="4"/>
        <v>0</v>
      </c>
      <c r="J42" s="4"/>
      <c r="K42" s="5">
        <f>IF('O. Haag BS-CAD'!J67="R. Wagen CAD",'O. Haag BS-CAD'!I67,0)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IF($B$2="-",0,IFERROR(INDEX(IF($B$2="SV",'Projekt-Budget-Übersicht'!$I:$I,IF($B$2="CAD",'Projekt-Budget-Übersicht'!$J:$J,IF($B$2="ADM",'Projekt-Budget-Übersicht'!$K:$K,'Projekt-Budget-Übersicht'!$I:$I))),MATCH(3447,'Projekt-Budget-Übersicht'!$M:$M,0)),0))</f>
        <v>60.714285714285722</v>
      </c>
      <c r="M42" s="10">
        <f t="shared" si="5"/>
        <v>30.357142857142861</v>
      </c>
      <c r="N42" s="10">
        <f t="shared" si="6"/>
        <v>30.357142857142861</v>
      </c>
      <c r="O42" s="10">
        <f t="shared" si="7"/>
        <v>0</v>
      </c>
      <c r="P42" s="10">
        <f>'O. Haag BS-CAD'!M67+'R. Wagen CAD'!M42</f>
        <v>45.535714285714292</v>
      </c>
      <c r="Q42" s="10">
        <v>154</v>
      </c>
      <c r="R42" s="10">
        <f>IFERROR(INDEX('Projekt-Budget-Übersicht'!$F:$F,MATCH(3447,'Projekt-Budget-Übersicht'!$L:$L,0)),0)</f>
        <v>0</v>
      </c>
      <c r="S42" s="10">
        <v>4812.5</v>
      </c>
      <c r="T42" s="4"/>
      <c r="U42" s="4"/>
    </row>
    <row r="43" spans="1:21" x14ac:dyDescent="0.25">
      <c r="A43" s="4" t="s">
        <v>3851</v>
      </c>
      <c r="B43" s="4" t="s">
        <v>5486</v>
      </c>
      <c r="C43" s="4" t="s">
        <v>50</v>
      </c>
      <c r="D43" s="4">
        <v>0</v>
      </c>
      <c r="E43" s="4">
        <v>0</v>
      </c>
      <c r="F43" s="4">
        <v>24.5</v>
      </c>
      <c r="G43" s="4">
        <v>0</v>
      </c>
      <c r="H43" s="5"/>
      <c r="I43" s="5">
        <f t="shared" si="4"/>
        <v>0</v>
      </c>
      <c r="J43" s="4"/>
      <c r="K43" s="5">
        <v>0</v>
      </c>
      <c r="L43" s="10">
        <f>IF($B$2="-",0,0)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'R. Wagen CAD'!M43</f>
        <v>0</v>
      </c>
      <c r="Q43" s="10"/>
      <c r="R43" s="10">
        <f>0</f>
        <v>0</v>
      </c>
      <c r="S43" s="10"/>
      <c r="T43" s="4"/>
      <c r="U43" s="4"/>
    </row>
    <row r="44" spans="1:21" x14ac:dyDescent="0.25">
      <c r="A44" s="4" t="s">
        <v>4325</v>
      </c>
      <c r="B44" s="4" t="s">
        <v>5620</v>
      </c>
      <c r="C44" s="4" t="str">
        <f>IFERROR(INDEX('Projekt-Budget-Übersicht'!$C:$C,MATCH(4404,'Projekt-Budget-Übersicht'!$L:$L,0)),"")</f>
        <v/>
      </c>
      <c r="D44" s="4">
        <v>8</v>
      </c>
      <c r="E44" s="4">
        <v>4.5</v>
      </c>
      <c r="F44" s="4">
        <v>0.75</v>
      </c>
      <c r="G44" s="16">
        <v>56.25</v>
      </c>
      <c r="H44" s="5"/>
      <c r="I44" s="5">
        <f t="shared" si="4"/>
        <v>0</v>
      </c>
      <c r="J44" s="4"/>
      <c r="K44" s="5">
        <f>IF('O. Haag BS-CAD'!J72="R. Wagen CAD",'O. Haag BS-CAD'!I72,0)</f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IF($B$2="-",0,IFERROR(INDEX(IF($B$2="SV",'Projekt-Budget-Übersicht'!$I:$I,IF($B$2="CAD",'Projekt-Budget-Übersicht'!$J:$J,IF($B$2="ADM",'Projekt-Budget-Übersicht'!$K:$K,'Projekt-Budget-Übersicht'!$I:$I))),MATCH(4404,'Projekt-Budget-Übersicht'!$M:$M,0)),0))</f>
        <v>81.25</v>
      </c>
      <c r="M44" s="10">
        <f t="shared" si="5"/>
        <v>60.9375</v>
      </c>
      <c r="N44" s="10">
        <f t="shared" si="6"/>
        <v>60.9375</v>
      </c>
      <c r="O44" s="10">
        <f t="shared" si="7"/>
        <v>0</v>
      </c>
      <c r="P44" s="10">
        <f>'O. Haag BS-CAD'!M72+'R. Wagen CAD'!M44</f>
        <v>81.25</v>
      </c>
      <c r="Q44" s="10">
        <v>19</v>
      </c>
      <c r="R44" s="10">
        <f>IFERROR(INDEX('Projekt-Budget-Übersicht'!$F:$F,MATCH(4404,'Projekt-Budget-Übersicht'!$L:$L,0)),0)</f>
        <v>0</v>
      </c>
      <c r="S44" s="10">
        <v>225</v>
      </c>
      <c r="T44" s="4"/>
      <c r="U44" s="4"/>
    </row>
    <row r="45" spans="1:21" x14ac:dyDescent="0.25">
      <c r="A45" s="4" t="s">
        <v>4911</v>
      </c>
      <c r="B45" s="4" t="s">
        <v>5486</v>
      </c>
      <c r="C45" s="4" t="str">
        <f>IFERROR(INDEX('Projekt-Budget-Übersicht'!$C:$C,MATCH(4897,'Projekt-Budget-Übersicht'!$L:$L,0)),"")</f>
        <v/>
      </c>
      <c r="D45" s="4">
        <v>5</v>
      </c>
      <c r="E45" s="4">
        <v>5</v>
      </c>
      <c r="F45" s="4">
        <v>5</v>
      </c>
      <c r="G45" s="14">
        <v>100</v>
      </c>
      <c r="H45" s="5"/>
      <c r="I45" s="5">
        <f t="shared" si="4"/>
        <v>0</v>
      </c>
      <c r="J45" s="4"/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IF($B$2="-",0,IFERROR(INDEX(IF($B$2="SV",'Projekt-Budget-Übersicht'!$I:$I,IF($B$2="CAD",'Projekt-Budget-Übersicht'!$J:$J,IF($B$2="ADM",'Projekt-Budget-Übersicht'!$K:$K,'Projekt-Budget-Übersicht'!$I:$I))),MATCH(4897,'Projekt-Budget-Übersicht'!$M:$M,0)),0))</f>
        <v>127.27272727272729</v>
      </c>
      <c r="M45" s="10">
        <f t="shared" si="5"/>
        <v>636.36363636363649</v>
      </c>
      <c r="N45" s="10">
        <f t="shared" si="6"/>
        <v>636.36363636363649</v>
      </c>
      <c r="O45" s="10">
        <f t="shared" si="7"/>
        <v>0</v>
      </c>
      <c r="P45" s="10">
        <f>'R. Wagen CAD'!M45</f>
        <v>636.36363636363649</v>
      </c>
      <c r="Q45" s="10">
        <v>68</v>
      </c>
      <c r="R45" s="10">
        <f>IFERROR(INDEX('Projekt-Budget-Übersicht'!$F:$F,MATCH(4897,'Projekt-Budget-Übersicht'!$L:$L,0)),0)</f>
        <v>0</v>
      </c>
      <c r="S45" s="10">
        <v>267.5</v>
      </c>
      <c r="T45" s="4"/>
      <c r="U45" s="4"/>
    </row>
    <row r="46" spans="1:21" x14ac:dyDescent="0.25">
      <c r="A46" s="4" t="s">
        <v>4958</v>
      </c>
      <c r="B46" s="4" t="s">
        <v>5486</v>
      </c>
      <c r="C46" s="4" t="str">
        <f>IFERROR(INDEX('Projekt-Budget-Übersicht'!$C:$C,MATCH(4932,'Projekt-Budget-Übersicht'!$L:$L,0)),"")</f>
        <v/>
      </c>
      <c r="D46" s="4">
        <v>5</v>
      </c>
      <c r="E46" s="4">
        <v>5</v>
      </c>
      <c r="F46" s="4">
        <v>5</v>
      </c>
      <c r="G46" s="14">
        <v>100</v>
      </c>
      <c r="H46" s="5"/>
      <c r="I46" s="5">
        <f t="shared" si="4"/>
        <v>0</v>
      </c>
      <c r="J46" s="4"/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IF($B$2="-",0,IFERROR(INDEX(IF($B$2="SV",'Projekt-Budget-Übersicht'!$I:$I,IF($B$2="CAD",'Projekt-Budget-Übersicht'!$J:$J,IF($B$2="ADM",'Projekt-Budget-Übersicht'!$K:$K,'Projekt-Budget-Übersicht'!$I:$I))),MATCH(4932,'Projekt-Budget-Übersicht'!$M:$M,0)),0))</f>
        <v>127.27272727272729</v>
      </c>
      <c r="M46" s="10">
        <f t="shared" si="5"/>
        <v>636.36363636363649</v>
      </c>
      <c r="N46" s="10">
        <f t="shared" si="6"/>
        <v>636.36363636363649</v>
      </c>
      <c r="O46" s="10">
        <f t="shared" si="7"/>
        <v>0</v>
      </c>
      <c r="P46" s="10">
        <f>'R. Wagen CAD'!M46</f>
        <v>636.36363636363649</v>
      </c>
      <c r="Q46" s="10">
        <v>73</v>
      </c>
      <c r="R46" s="10">
        <f>IFERROR(INDEX('Projekt-Budget-Übersicht'!$F:$F,MATCH(4932,'Projekt-Budget-Übersicht'!$L:$L,0)),0)</f>
        <v>0</v>
      </c>
      <c r="S46" s="10">
        <v>315.82</v>
      </c>
      <c r="T46" s="4"/>
      <c r="U46" s="4"/>
    </row>
    <row r="47" spans="1:21" x14ac:dyDescent="0.25">
      <c r="A47" s="4" t="s">
        <v>5033</v>
      </c>
      <c r="B47" s="4" t="s">
        <v>5486</v>
      </c>
      <c r="C47" s="4" t="str">
        <f>IFERROR(INDEX('Projekt-Budget-Übersicht'!$C:$C,MATCH(5015,'Projekt-Budget-Übersicht'!$L:$L,0)),"")</f>
        <v/>
      </c>
      <c r="D47" s="4">
        <v>4</v>
      </c>
      <c r="E47" s="4">
        <v>4</v>
      </c>
      <c r="F47" s="4">
        <v>3</v>
      </c>
      <c r="G47" s="14">
        <v>100</v>
      </c>
      <c r="H47" s="5"/>
      <c r="I47" s="5">
        <f t="shared" si="4"/>
        <v>0</v>
      </c>
      <c r="J47" s="4"/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IF($B$2="-",0,IFERROR(INDEX(IF($B$2="SV",'Projekt-Budget-Übersicht'!$I:$I,IF($B$2="CAD",'Projekt-Budget-Übersicht'!$J:$J,IF($B$2="ADM",'Projekt-Budget-Übersicht'!$K:$K,'Projekt-Budget-Übersicht'!$I:$I))),MATCH(5015,'Projekt-Budget-Übersicht'!$M:$M,0)),0))</f>
        <v>118.1818181818182</v>
      </c>
      <c r="M47" s="10">
        <f t="shared" si="5"/>
        <v>354.54545454545462</v>
      </c>
      <c r="N47" s="10">
        <f t="shared" si="6"/>
        <v>354.54545454545462</v>
      </c>
      <c r="O47" s="10">
        <f t="shared" si="7"/>
        <v>0</v>
      </c>
      <c r="P47" s="10">
        <f>'R. Wagen CAD'!M47</f>
        <v>354.54545454545462</v>
      </c>
      <c r="Q47" s="10">
        <v>22</v>
      </c>
      <c r="R47" s="10">
        <f>IFERROR(INDEX('Projekt-Budget-Übersicht'!$F:$F,MATCH(5015,'Projekt-Budget-Übersicht'!$L:$L,0)),0)</f>
        <v>0</v>
      </c>
      <c r="S47" s="10">
        <v>248.32</v>
      </c>
      <c r="T47" s="4"/>
      <c r="U47" s="4"/>
    </row>
    <row r="48" spans="1:21" x14ac:dyDescent="0.25">
      <c r="A48" s="4" t="s">
        <v>5038</v>
      </c>
      <c r="B48" s="4" t="s">
        <v>5662</v>
      </c>
      <c r="C48" s="4" t="str">
        <f>IFERROR(INDEX('Projekt-Budget-Übersicht'!$C:$C,MATCH(5020,'Projekt-Budget-Übersicht'!$L:$L,0)),"")</f>
        <v/>
      </c>
      <c r="D48" s="4">
        <v>10</v>
      </c>
      <c r="E48" s="4">
        <v>10</v>
      </c>
      <c r="F48" s="4">
        <v>10</v>
      </c>
      <c r="G48" s="14">
        <v>100</v>
      </c>
      <c r="H48" s="5"/>
      <c r="I48" s="5">
        <f t="shared" si="4"/>
        <v>0</v>
      </c>
      <c r="J48" s="4"/>
      <c r="K48" s="5"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IF($B$2="-",0,IFERROR(INDEX(IF($B$2="SV",'Projekt-Budget-Übersicht'!$I:$I,IF($B$2="CAD",'Projekt-Budget-Übersicht'!$J:$J,IF($B$2="ADM",'Projekt-Budget-Übersicht'!$K:$K,'Projekt-Budget-Übersicht'!$I:$I))),MATCH(5020,'Projekt-Budget-Übersicht'!$M:$M,0)),0))</f>
        <v>123.8095238095238</v>
      </c>
      <c r="M48" s="10">
        <f t="shared" si="5"/>
        <v>1238.0952380952381</v>
      </c>
      <c r="N48" s="10">
        <f t="shared" si="6"/>
        <v>1238.0952380952381</v>
      </c>
      <c r="O48" s="10">
        <f t="shared" si="7"/>
        <v>0</v>
      </c>
      <c r="P48" s="10">
        <f>'R. Wagen CAD'!M48</f>
        <v>1238.0952380952381</v>
      </c>
      <c r="Q48" s="10">
        <v>123</v>
      </c>
      <c r="R48" s="10">
        <f>IFERROR(INDEX('Projekt-Budget-Übersicht'!$F:$F,MATCH(5020,'Projekt-Budget-Übersicht'!$L:$L,0)),0)</f>
        <v>0</v>
      </c>
      <c r="S48" s="10">
        <v>756.58</v>
      </c>
      <c r="T48" s="4"/>
      <c r="U48" s="4"/>
    </row>
    <row r="49" spans="1:21" x14ac:dyDescent="0.25">
      <c r="A49" s="3"/>
      <c r="B49" s="3" t="s">
        <v>5492</v>
      </c>
      <c r="C49" s="3"/>
      <c r="D49" s="3"/>
      <c r="E49" s="3"/>
      <c r="F49" s="6">
        <v>143.25</v>
      </c>
      <c r="G49" s="3"/>
      <c r="H49" s="3"/>
      <c r="I49" s="3"/>
      <c r="J49" s="3"/>
      <c r="K49" s="3"/>
      <c r="L49" s="3"/>
      <c r="M49" s="17">
        <f>SUM(M31:M48)</f>
        <v>3179.1626082251087</v>
      </c>
      <c r="N49" s="17">
        <f>SUM(N31:N48)</f>
        <v>3179.1626082251087</v>
      </c>
      <c r="O49" s="17">
        <f>SUM(O31:O48)</f>
        <v>0</v>
      </c>
      <c r="P49" s="17">
        <f>SUM(P31:P48)</f>
        <v>3214.6536796536798</v>
      </c>
      <c r="Q49" s="3"/>
      <c r="R49" s="3"/>
      <c r="S49" s="3"/>
      <c r="T49" s="3"/>
      <c r="U49" s="3"/>
    </row>
    <row r="50" spans="1:21" x14ac:dyDescent="0.25">
      <c r="A50" s="3"/>
      <c r="B50" s="3" t="s">
        <v>4</v>
      </c>
      <c r="C50" s="3"/>
      <c r="D50" s="3"/>
      <c r="E50" s="3"/>
      <c r="F50" s="6">
        <f>G50+H50</f>
        <v>55.25</v>
      </c>
      <c r="G50" s="6">
        <v>55.25</v>
      </c>
      <c r="H50" s="6">
        <f>SUM(H32,H33,H34,H35,H36,H37,H38,H39,H40,H41,H42,H43,H44,H45,H46,H47,H48)</f>
        <v>0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x14ac:dyDescent="0.25">
      <c r="A51" s="3"/>
      <c r="B51" s="3" t="s">
        <v>5</v>
      </c>
      <c r="C51" s="3"/>
      <c r="D51" s="3"/>
      <c r="E51" s="3"/>
      <c r="F51" s="6">
        <f>G51+H51</f>
        <v>8</v>
      </c>
      <c r="G51" s="6">
        <v>8</v>
      </c>
      <c r="H51" s="6">
        <f>SUM(H31)</f>
        <v>0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x14ac:dyDescent="0.25">
      <c r="A52" s="3"/>
      <c r="B52" s="3" t="s">
        <v>5493</v>
      </c>
      <c r="C52" s="3"/>
      <c r="D52" s="3"/>
      <c r="E52" s="3"/>
      <c r="F52" s="6">
        <f>SUM(K31:K48)</f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1:21" x14ac:dyDescent="0.25">
      <c r="A53" s="18"/>
      <c r="B53" s="18" t="s">
        <v>5494</v>
      </c>
      <c r="C53" s="18"/>
      <c r="D53" s="18"/>
      <c r="E53" s="18"/>
      <c r="F53" s="19">
        <f>F50+F51+F52</f>
        <v>63.25</v>
      </c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</row>
    <row r="55" spans="1:21" ht="15.75" x14ac:dyDescent="0.25">
      <c r="A55" s="2" t="s">
        <v>5512</v>
      </c>
    </row>
    <row r="56" spans="1:21" x14ac:dyDescent="0.25">
      <c r="A56" s="3" t="s">
        <v>35</v>
      </c>
      <c r="B56" s="3" t="s">
        <v>5461</v>
      </c>
      <c r="C56" s="3" t="s">
        <v>37</v>
      </c>
      <c r="D56" s="3" t="s">
        <v>5462</v>
      </c>
      <c r="E56" s="3" t="s">
        <v>5463</v>
      </c>
      <c r="F56" s="3" t="s">
        <v>5513</v>
      </c>
      <c r="G56" s="3" t="s">
        <v>5465</v>
      </c>
      <c r="H56" s="3" t="s">
        <v>5466</v>
      </c>
      <c r="I56" s="3" t="s">
        <v>5467</v>
      </c>
      <c r="J56" s="3" t="s">
        <v>5468</v>
      </c>
      <c r="K56" s="3" t="s">
        <v>5469</v>
      </c>
      <c r="L56" s="3" t="s">
        <v>5470</v>
      </c>
      <c r="M56" s="3" t="s">
        <v>5471</v>
      </c>
      <c r="N56" s="3" t="s">
        <v>5472</v>
      </c>
      <c r="O56" s="3" t="s">
        <v>5473</v>
      </c>
      <c r="P56" s="3" t="s">
        <v>5474</v>
      </c>
      <c r="Q56" s="3" t="s">
        <v>5475</v>
      </c>
      <c r="R56" s="3" t="s">
        <v>5476</v>
      </c>
      <c r="S56" s="3" t="s">
        <v>5477</v>
      </c>
      <c r="T56" s="3" t="s">
        <v>5478</v>
      </c>
      <c r="U56" s="3" t="s">
        <v>5479</v>
      </c>
    </row>
    <row r="57" spans="1:21" x14ac:dyDescent="0.25">
      <c r="A57" s="4" t="s">
        <v>61</v>
      </c>
      <c r="B57" s="4" t="s">
        <v>5481</v>
      </c>
      <c r="C57" s="4" t="str">
        <f>IFERROR(INDEX('Projekt-Budget-Übersicht'!$C:$C,MATCH(10,'Projekt-Budget-Übersicht'!$L:$L,0)),"")</f>
        <v/>
      </c>
      <c r="D57" s="4">
        <v>8</v>
      </c>
      <c r="E57" s="4">
        <v>1</v>
      </c>
      <c r="F57" s="4">
        <v>1</v>
      </c>
      <c r="G57" s="16">
        <v>12.5</v>
      </c>
      <c r="H57" s="5"/>
      <c r="I57" s="5">
        <f t="shared" ref="I57:I62" si="8">IF(H57=0,0,F57-H57)</f>
        <v>0</v>
      </c>
      <c r="J57" s="4"/>
      <c r="K57" s="5">
        <f>IF('A. Kokott'!J86="R. Wagen CAD",'A. Kokott'!I86,0)+IF('C. Trapp SV'!J57="R. Wagen CAD",'C. Trapp SV'!I57,0)+IF('J. Dorn'!J84="R. Wagen CAD",'J. Dorn'!I84,0)+IF('M. Bandlofsky'!J45="R. Wagen CAD",'M. Bandlofsky'!I45,0)+IF('O. Haag BS-CAD'!J93="R. Wagen CAD",'O. Haag BS-CAD'!I93,0)+IF('T. Trautmann'!J72="R. Wagen CAD",'T. Trautmann'!I72,0)+IF('U. Sutter ADM'!J52="R. Wagen CAD",'U. Sutter ADM'!I52,0)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7" s="10">
        <f t="shared" ref="M57:M62" si="9">IF($B$2="-",0,IF(C57="Pauschale",IF(OR(R57=0,N(D57)=0),0,MAX(0,MIN(R57*((N(F57)+N(K57))/N(D57)),R57-R57*(N(E57)/N(D57))))),L57*(N(F57)+N(K57))))</f>
        <v>0</v>
      </c>
      <c r="N57" s="10">
        <f t="shared" ref="N57:N62" si="10">IF($B$2="-",0,IF(C57="Pauschale",IF(OR(R57=0,N(D57)=0),0,R57*((N(F57)+N(K57))/N(D57))),L57*(N(F57)+N(K57))))</f>
        <v>0</v>
      </c>
      <c r="O57" s="10">
        <f t="shared" ref="O57:O62" si="11">N57-M57</f>
        <v>0</v>
      </c>
      <c r="P57" s="10">
        <f>'A. Kokott'!M86+'C. Trapp SV'!M57+'J. Dorn'!M84+'M. Bandlofsky'!M45+'O. Haag BS-CAD'!M93+'R. Wagen CAD'!M57+'T. Trautmann'!M72+'U. Sutter ADM'!M52</f>
        <v>0</v>
      </c>
      <c r="Q57" s="10">
        <v>132</v>
      </c>
      <c r="R57" s="10">
        <f>IFERROR(INDEX('Projekt-Budget-Übersicht'!$F:$F,MATCH(10,'Projekt-Budget-Übersicht'!$L:$L,0)),0)</f>
        <v>0</v>
      </c>
      <c r="S57" s="10">
        <v>68628.19</v>
      </c>
      <c r="T57" s="4"/>
      <c r="U57" s="4"/>
    </row>
    <row r="58" spans="1:21" x14ac:dyDescent="0.25">
      <c r="A58" s="21" t="s">
        <v>1061</v>
      </c>
      <c r="B58" s="4" t="s">
        <v>5656</v>
      </c>
      <c r="C58" s="4" t="str">
        <f>IFERROR(INDEX('Projekt-Budget-Übersicht'!$C:$C,MATCH(1087,'Projekt-Budget-Übersicht'!$L:$L,0)),"")</f>
        <v/>
      </c>
      <c r="D58" s="4">
        <v>26</v>
      </c>
      <c r="E58" s="4">
        <v>28</v>
      </c>
      <c r="F58" s="4">
        <v>0.5</v>
      </c>
      <c r="G58" s="15">
        <v>107.69</v>
      </c>
      <c r="H58" s="5"/>
      <c r="I58" s="5">
        <f t="shared" si="8"/>
        <v>0</v>
      </c>
      <c r="J58" s="4"/>
      <c r="K58" s="5"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58" s="10">
        <f t="shared" si="9"/>
        <v>0</v>
      </c>
      <c r="N58" s="10">
        <f t="shared" si="10"/>
        <v>0</v>
      </c>
      <c r="O58" s="10">
        <f t="shared" si="11"/>
        <v>0</v>
      </c>
      <c r="P58" s="10">
        <f>'R. Wagen CAD'!M58</f>
        <v>0</v>
      </c>
      <c r="Q58" s="10">
        <v>1031</v>
      </c>
      <c r="R58" s="10">
        <f>IFERROR(INDEX('Projekt-Budget-Übersicht'!$F:$F,MATCH(1087,'Projekt-Budget-Übersicht'!$L:$L,0)),0)</f>
        <v>0</v>
      </c>
      <c r="S58" s="10">
        <v>5101.6499999999996</v>
      </c>
      <c r="T58" s="4"/>
      <c r="U58" s="4"/>
    </row>
    <row r="59" spans="1:21" x14ac:dyDescent="0.25">
      <c r="A59" s="23"/>
      <c r="B59" s="4" t="s">
        <v>5658</v>
      </c>
      <c r="C59" s="4" t="str">
        <f>IFERROR(INDEX('Projekt-Budget-Übersicht'!$C:$C,MATCH(1087,'Projekt-Budget-Übersicht'!$L:$L,0)),"")</f>
        <v/>
      </c>
      <c r="D59" s="4">
        <v>16</v>
      </c>
      <c r="E59" s="4">
        <v>38.75</v>
      </c>
      <c r="F59" s="4">
        <v>25.75</v>
      </c>
      <c r="G59" s="15">
        <v>242.19</v>
      </c>
      <c r="H59" s="5"/>
      <c r="I59" s="5">
        <f t="shared" si="8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IF($B$2="-",0,IFERROR(INDEX(IF($B$2="SV",'Projekt-Budget-Übersicht'!$I:$I,IF($B$2="CAD",'Projekt-Budget-Übersicht'!$J:$J,IF($B$2="ADM",'Projekt-Budget-Übersicht'!$K:$K,'Projekt-Budget-Übersicht'!$I:$I))),MATCH(1087,'Projekt-Budget-Übersicht'!$M:$M,0)),0))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'R. Wagen CAD'!M59</f>
        <v>0</v>
      </c>
      <c r="Q59" s="10">
        <v>1031</v>
      </c>
      <c r="R59" s="10">
        <f>IFERROR(INDEX('Projekt-Budget-Übersicht'!$F:$F,MATCH(1087,'Projekt-Budget-Übersicht'!$L:$L,0)),0)</f>
        <v>0</v>
      </c>
      <c r="S59" s="10">
        <v>5101.6499999999996</v>
      </c>
      <c r="T59" s="4"/>
      <c r="U59" s="4"/>
    </row>
    <row r="60" spans="1:21" x14ac:dyDescent="0.25">
      <c r="A60" s="22"/>
      <c r="B60" s="4" t="s">
        <v>5660</v>
      </c>
      <c r="C60" s="4" t="str">
        <f>IFERROR(INDEX('Projekt-Budget-Übersicht'!$C:$C,MATCH(1086,'Projekt-Budget-Übersicht'!$L:$L,0)),"")</f>
        <v/>
      </c>
      <c r="D60" s="4">
        <v>55</v>
      </c>
      <c r="E60" s="4">
        <v>61</v>
      </c>
      <c r="F60" s="4">
        <v>1.25</v>
      </c>
      <c r="G60" s="15">
        <v>110.91</v>
      </c>
      <c r="H60" s="5"/>
      <c r="I60" s="5">
        <f t="shared" si="8"/>
        <v>0</v>
      </c>
      <c r="J60" s="4"/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IF($B$2="-",0,IFERROR(INDEX(IF($B$2="SV",'Projekt-Budget-Übersicht'!$I:$I,IF($B$2="CAD",'Projekt-Budget-Übersicht'!$J:$J,IF($B$2="ADM",'Projekt-Budget-Übersicht'!$K:$K,'Projekt-Budget-Übersicht'!$I:$I))),MATCH(1086,'Projekt-Budget-Übersicht'!$M:$M,0)),0))</f>
        <v>80.909090909090907</v>
      </c>
      <c r="M60" s="10">
        <f t="shared" si="9"/>
        <v>101.13636363636363</v>
      </c>
      <c r="N60" s="10">
        <f t="shared" si="10"/>
        <v>101.13636363636363</v>
      </c>
      <c r="O60" s="10">
        <f t="shared" si="11"/>
        <v>0</v>
      </c>
      <c r="P60" s="10">
        <f>'R. Wagen CAD'!M60</f>
        <v>101.13636363636363</v>
      </c>
      <c r="Q60" s="10">
        <v>55</v>
      </c>
      <c r="R60" s="10">
        <f>IFERROR(INDEX('Projekt-Budget-Übersicht'!$F:$F,MATCH(1086,'Projekt-Budget-Übersicht'!$L:$L,0)),0)</f>
        <v>0</v>
      </c>
      <c r="S60" s="10">
        <v>3012.5</v>
      </c>
      <c r="T60" s="4"/>
      <c r="U60" s="4"/>
    </row>
    <row r="61" spans="1:21" x14ac:dyDescent="0.25">
      <c r="A61" s="4" t="s">
        <v>1383</v>
      </c>
      <c r="B61" s="4" t="s">
        <v>5502</v>
      </c>
      <c r="C61" s="4" t="str">
        <f>IFERROR(INDEX('Projekt-Budget-Übersicht'!$C:$C,MATCH(1499,'Projekt-Budget-Übersicht'!$L:$L,0)),"")</f>
        <v/>
      </c>
      <c r="D61" s="4">
        <v>160</v>
      </c>
      <c r="E61" s="4">
        <v>304.75</v>
      </c>
      <c r="F61" s="4">
        <v>13.75</v>
      </c>
      <c r="G61" s="15">
        <v>190.47</v>
      </c>
      <c r="H61" s="5"/>
      <c r="I61" s="5">
        <f t="shared" si="8"/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61" s="10">
        <f t="shared" si="9"/>
        <v>0</v>
      </c>
      <c r="N61" s="10">
        <f t="shared" si="10"/>
        <v>0</v>
      </c>
      <c r="O61" s="10">
        <f t="shared" si="11"/>
        <v>0</v>
      </c>
      <c r="P61" s="10">
        <f>'R. Wagen CAD'!M61</f>
        <v>0</v>
      </c>
      <c r="Q61" s="10">
        <v>451</v>
      </c>
      <c r="R61" s="10">
        <f>IFERROR(INDEX('Projekt-Budget-Übersicht'!$F:$F,MATCH(1499,'Projekt-Budget-Übersicht'!$L:$L,0)),0)</f>
        <v>0</v>
      </c>
      <c r="S61" s="10">
        <v>15665.4</v>
      </c>
      <c r="T61" s="4"/>
      <c r="U61" s="4"/>
    </row>
    <row r="62" spans="1:21" x14ac:dyDescent="0.25">
      <c r="A62" s="4" t="s">
        <v>1743</v>
      </c>
      <c r="B62" s="4" t="s">
        <v>5486</v>
      </c>
      <c r="C62" s="4" t="str">
        <f>IFERROR(INDEX('Projekt-Budget-Übersicht'!$C:$C,MATCH(1972,'Projekt-Budget-Übersicht'!$L:$L,0)),"")</f>
        <v/>
      </c>
      <c r="D62" s="4">
        <v>56</v>
      </c>
      <c r="E62" s="4">
        <v>19</v>
      </c>
      <c r="F62" s="4">
        <v>18.5</v>
      </c>
      <c r="G62" s="16">
        <v>33.93</v>
      </c>
      <c r="H62" s="5"/>
      <c r="I62" s="5">
        <f t="shared" si="8"/>
        <v>0</v>
      </c>
      <c r="J62" s="4"/>
      <c r="K62" s="5"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IF($B$2="-",0,IFERROR(INDEX(IF($B$2="SV",'Projekt-Budget-Übersicht'!$I:$I,IF($B$2="CAD",'Projekt-Budget-Übersicht'!$J:$J,IF($B$2="ADM",'Projekt-Budget-Übersicht'!$K:$K,'Projekt-Budget-Übersicht'!$I:$I))),MATCH(1972,'Projekt-Budget-Übersicht'!$M:$M,0)),0))</f>
        <v>0</v>
      </c>
      <c r="M62" s="10">
        <f t="shared" si="9"/>
        <v>0</v>
      </c>
      <c r="N62" s="10">
        <f t="shared" si="10"/>
        <v>0</v>
      </c>
      <c r="O62" s="10">
        <f t="shared" si="11"/>
        <v>0</v>
      </c>
      <c r="P62" s="10">
        <f>'R. Wagen CAD'!M62</f>
        <v>0</v>
      </c>
      <c r="Q62" s="10">
        <v>56</v>
      </c>
      <c r="R62" s="10">
        <f>IFERROR(INDEX('Projekt-Budget-Übersicht'!$F:$F,MATCH(1972,'Projekt-Budget-Übersicht'!$L:$L,0)),0)</f>
        <v>0</v>
      </c>
      <c r="S62" s="10">
        <v>951.65</v>
      </c>
      <c r="T62" s="4"/>
      <c r="U62" s="4"/>
    </row>
    <row r="63" spans="1:21" x14ac:dyDescent="0.25">
      <c r="A63" s="3"/>
      <c r="B63" s="3" t="s">
        <v>5492</v>
      </c>
      <c r="C63" s="3"/>
      <c r="D63" s="3"/>
      <c r="E63" s="3"/>
      <c r="F63" s="6">
        <v>60.75</v>
      </c>
      <c r="G63" s="3"/>
      <c r="H63" s="3"/>
      <c r="I63" s="3"/>
      <c r="J63" s="3"/>
      <c r="K63" s="3"/>
      <c r="L63" s="3"/>
      <c r="M63" s="17">
        <f>SUM(M57:M62)</f>
        <v>101.13636363636363</v>
      </c>
      <c r="N63" s="17">
        <f>SUM(N57:N62)</f>
        <v>101.13636363636363</v>
      </c>
      <c r="O63" s="17">
        <f>SUM(O57:O62)</f>
        <v>0</v>
      </c>
      <c r="P63" s="17">
        <f>SUM(P57:P62)</f>
        <v>101.13636363636363</v>
      </c>
      <c r="Q63" s="3"/>
      <c r="R63" s="3"/>
      <c r="S63" s="3"/>
      <c r="T63" s="3"/>
      <c r="U63" s="3"/>
    </row>
    <row r="64" spans="1:21" x14ac:dyDescent="0.25">
      <c r="A64" s="3"/>
      <c r="B64" s="3" t="s">
        <v>4</v>
      </c>
      <c r="C64" s="3"/>
      <c r="D64" s="3"/>
      <c r="E64" s="3"/>
      <c r="F64" s="6">
        <f>G64+H64</f>
        <v>18.5</v>
      </c>
      <c r="G64" s="6">
        <v>18.5</v>
      </c>
      <c r="H64" s="6">
        <f>SUM(H58,H59,H60,H61,H62)</f>
        <v>0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1:21" x14ac:dyDescent="0.25">
      <c r="A65" s="3"/>
      <c r="B65" s="3" t="s">
        <v>5</v>
      </c>
      <c r="C65" s="3"/>
      <c r="D65" s="3"/>
      <c r="E65" s="3"/>
      <c r="F65" s="6">
        <f>G65+H65</f>
        <v>1</v>
      </c>
      <c r="G65" s="6">
        <v>1</v>
      </c>
      <c r="H65" s="6">
        <f>SUM(H57)</f>
        <v>0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1:21" x14ac:dyDescent="0.25">
      <c r="A66" s="3"/>
      <c r="B66" s="3" t="s">
        <v>5493</v>
      </c>
      <c r="C66" s="3"/>
      <c r="D66" s="3"/>
      <c r="E66" s="3"/>
      <c r="F66" s="6">
        <f>SUM(K57:K62)</f>
        <v>0</v>
      </c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1:21" x14ac:dyDescent="0.25">
      <c r="A67" s="18"/>
      <c r="B67" s="18" t="s">
        <v>5494</v>
      </c>
      <c r="C67" s="18"/>
      <c r="D67" s="18"/>
      <c r="E67" s="18"/>
      <c r="F67" s="19">
        <f>F64+F65+F66</f>
        <v>19.5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</row>
    <row r="69" spans="1:21" ht="15.75" x14ac:dyDescent="0.25">
      <c r="A69" s="2" t="s">
        <v>5524</v>
      </c>
    </row>
    <row r="70" spans="1:21" x14ac:dyDescent="0.25">
      <c r="A70" s="3" t="s">
        <v>2</v>
      </c>
      <c r="B70" s="3" t="s">
        <v>5525</v>
      </c>
      <c r="C70" s="3" t="s">
        <v>5526</v>
      </c>
      <c r="D70" s="3" t="s">
        <v>4</v>
      </c>
      <c r="E70" s="3" t="s">
        <v>5</v>
      </c>
      <c r="F70" s="3" t="s">
        <v>5527</v>
      </c>
      <c r="G70" s="3" t="s">
        <v>5528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1:21" x14ac:dyDescent="0.25">
      <c r="A71" s="4" t="s">
        <v>6</v>
      </c>
      <c r="B71" s="4" t="s">
        <v>28</v>
      </c>
      <c r="C71" s="4">
        <f>F23</f>
        <v>82.5</v>
      </c>
      <c r="D71" s="4">
        <f>F24</f>
        <v>63</v>
      </c>
      <c r="E71" s="4">
        <f>F25</f>
        <v>0</v>
      </c>
      <c r="F71" s="4">
        <f>F26</f>
        <v>0</v>
      </c>
      <c r="G71" s="4">
        <f>F27</f>
        <v>63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</row>
    <row r="72" spans="1:21" x14ac:dyDescent="0.25">
      <c r="A72" s="4" t="s">
        <v>7</v>
      </c>
      <c r="B72" s="4" t="s">
        <v>28</v>
      </c>
      <c r="C72" s="4">
        <f>F49</f>
        <v>143.25</v>
      </c>
      <c r="D72" s="4">
        <f>F50</f>
        <v>55.25</v>
      </c>
      <c r="E72" s="4">
        <f>F51</f>
        <v>8</v>
      </c>
      <c r="F72" s="4">
        <f>F52</f>
        <v>0</v>
      </c>
      <c r="G72" s="4">
        <f>F53</f>
        <v>63.25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</row>
    <row r="73" spans="1:21" x14ac:dyDescent="0.25">
      <c r="A73" s="4" t="s">
        <v>8</v>
      </c>
      <c r="B73" s="4" t="s">
        <v>28</v>
      </c>
      <c r="C73" s="4">
        <f>F63</f>
        <v>60.75</v>
      </c>
      <c r="D73" s="4">
        <f>F64</f>
        <v>18.5</v>
      </c>
      <c r="E73" s="4">
        <f>F65</f>
        <v>1</v>
      </c>
      <c r="F73" s="4">
        <f>F66</f>
        <v>0</v>
      </c>
      <c r="G73" s="4">
        <f>F67</f>
        <v>19.5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</row>
    <row r="76" spans="1:21" ht="18.75" x14ac:dyDescent="0.3">
      <c r="A76" s="1" t="s">
        <v>5529</v>
      </c>
    </row>
    <row r="77" spans="1:21" x14ac:dyDescent="0.25">
      <c r="A77" s="3" t="s">
        <v>35</v>
      </c>
      <c r="B77" s="3" t="s">
        <v>5461</v>
      </c>
      <c r="C77" s="3" t="s">
        <v>37</v>
      </c>
      <c r="D77" s="3" t="s">
        <v>5462</v>
      </c>
      <c r="E77" s="3" t="s">
        <v>5463</v>
      </c>
      <c r="F77" s="3" t="s">
        <v>5530</v>
      </c>
      <c r="G77" s="3" t="s">
        <v>5465</v>
      </c>
      <c r="H77" s="3" t="s">
        <v>5466</v>
      </c>
      <c r="I77" s="3" t="s">
        <v>5467</v>
      </c>
      <c r="J77" s="3" t="s">
        <v>5468</v>
      </c>
      <c r="K77" s="3" t="s">
        <v>5469</v>
      </c>
      <c r="L77" s="3" t="s">
        <v>5470</v>
      </c>
      <c r="M77" s="3" t="s">
        <v>5471</v>
      </c>
      <c r="N77" s="3" t="s">
        <v>5472</v>
      </c>
      <c r="O77" s="3" t="s">
        <v>5473</v>
      </c>
      <c r="P77" s="3" t="s">
        <v>5474</v>
      </c>
      <c r="Q77" s="3" t="s">
        <v>5476</v>
      </c>
      <c r="R77" s="3" t="s">
        <v>5477</v>
      </c>
      <c r="S77" s="3"/>
      <c r="T77" s="3"/>
      <c r="U77" s="3"/>
    </row>
    <row r="78" spans="1:21" x14ac:dyDescent="0.25">
      <c r="A78" s="4" t="s">
        <v>61</v>
      </c>
      <c r="B78" s="4" t="s">
        <v>5481</v>
      </c>
      <c r="C78" s="4" t="str">
        <f>IFERROR(INDEX('Projekt-Budget-Übersicht'!$C:$C,MATCH(10,'Projekt-Budget-Übersicht'!$L:$L,0)),"")</f>
        <v/>
      </c>
      <c r="D78" s="4">
        <v>24</v>
      </c>
      <c r="E78" s="4">
        <v>9</v>
      </c>
      <c r="F78" s="5">
        <f>SUM(F31,F57,I31,I57,K31,K57)</f>
        <v>9</v>
      </c>
      <c r="G78" s="16">
        <v>37.5</v>
      </c>
      <c r="H78" s="5">
        <f>SUM(H31,H57)</f>
        <v>0</v>
      </c>
      <c r="I78" s="5">
        <f t="shared" ref="I78:I100" si="12">IF(H78=0,0,F78-H78)</f>
        <v>0</v>
      </c>
      <c r="J78" s="4" t="s">
        <v>5531</v>
      </c>
      <c r="K78" s="5">
        <f>SUM(K31,K57)</f>
        <v>0</v>
      </c>
      <c r="L78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78" s="10">
        <f t="shared" ref="M78:M100" si="13">IF($B$2="-",0,IF(C78="Pauschale",IF(OR(Q78=0,N(D78)=0),0,MAX(0,MIN(Q78*((N(F78)+N(K78))/N(D78)),Q78-Q78*(N(E78)/N(D78))))),L78*(N(F78)+N(K78))))</f>
        <v>0</v>
      </c>
      <c r="N78" s="10">
        <f t="shared" ref="N78:N100" si="14">IF($B$2="-",0,IF(C78="Pauschale",IF(OR(Q78=0,N(D78)=0),0,Q78*((N(F78)+N(K78))/N(D78))),L78*(N(F78)+N(K78))))</f>
        <v>0</v>
      </c>
      <c r="O78" s="10">
        <f t="shared" ref="O78:O100" si="15">N78-M78</f>
        <v>0</v>
      </c>
      <c r="P78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78" s="10">
        <f>IFERROR(INDEX('Projekt-Budget-Übersicht'!$E:$E,MATCH(10,'Projekt-Budget-Übersicht'!$L:$L,0)),0)</f>
        <v>0</v>
      </c>
      <c r="R78" s="10">
        <v>68628.19</v>
      </c>
      <c r="S78" s="4"/>
      <c r="T78" s="4"/>
      <c r="U78" s="4"/>
    </row>
    <row r="79" spans="1:21" x14ac:dyDescent="0.25">
      <c r="A79" s="4" t="s">
        <v>865</v>
      </c>
      <c r="B79" s="4" t="s">
        <v>5502</v>
      </c>
      <c r="C79" s="4" t="str">
        <f>IFERROR(INDEX('Projekt-Budget-Übersicht'!$C:$C,MATCH(890,'Projekt-Budget-Übersicht'!$L:$L,0)),"")</f>
        <v/>
      </c>
      <c r="D79" s="4">
        <v>26.5</v>
      </c>
      <c r="E79" s="4">
        <v>34.25</v>
      </c>
      <c r="F79" s="5">
        <f>SUM(F32,I32,K32)</f>
        <v>1</v>
      </c>
      <c r="G79" s="15">
        <v>129.25</v>
      </c>
      <c r="H79" s="5">
        <f>SUM(H32)</f>
        <v>0</v>
      </c>
      <c r="I79" s="5">
        <f t="shared" si="12"/>
        <v>0</v>
      </c>
      <c r="J79" s="4" t="s">
        <v>5531</v>
      </c>
      <c r="K79" s="5">
        <f>SUM(K32)</f>
        <v>0</v>
      </c>
      <c r="L79" s="10">
        <f>IF($B$2="-",0,IFERROR(INDEX(IF($B$2="SV",'Projekt-Budget-Übersicht'!$H:$H,IF($B$2="CAD",'Projekt-Budget-Übersicht'!$I:$I,IF($B$2="ADM",'Projekt-Budget-Übersicht'!$J:$J,'Projekt-Budget-Übersicht'!$H:$H))),MATCH(890,'Projekt-Budget-Übersicht'!$L:$L,0)),0))</f>
        <v>0</v>
      </c>
      <c r="M79" s="10">
        <f t="shared" si="13"/>
        <v>0</v>
      </c>
      <c r="N79" s="10">
        <f t="shared" si="14"/>
        <v>0</v>
      </c>
      <c r="O79" s="10">
        <f t="shared" si="15"/>
        <v>0</v>
      </c>
      <c r="P79" s="10">
        <f>'O. Haag BS-CAD'!M151+'R. Wagen CAD'!M79+'S. Schüler'!M139</f>
        <v>0</v>
      </c>
      <c r="Q79" s="10">
        <f>IFERROR(INDEX('Projekt-Budget-Übersicht'!$E:$E,MATCH(890,'Projekt-Budget-Übersicht'!$L:$L,0)),0)</f>
        <v>0</v>
      </c>
      <c r="R79" s="10">
        <v>7717.86</v>
      </c>
      <c r="S79" s="4"/>
      <c r="T79" s="4"/>
      <c r="U79" s="4"/>
    </row>
    <row r="80" spans="1:21" x14ac:dyDescent="0.25">
      <c r="A80" s="21" t="s">
        <v>1061</v>
      </c>
      <c r="B80" s="4" t="s">
        <v>5656</v>
      </c>
      <c r="C80" s="4" t="str">
        <f>IFERROR(INDEX('Projekt-Budget-Übersicht'!$C:$C,MATCH(1087,'Projekt-Budget-Übersicht'!$L:$L,0)),"")</f>
        <v/>
      </c>
      <c r="D80" s="4">
        <v>26</v>
      </c>
      <c r="E80" s="4">
        <v>28</v>
      </c>
      <c r="F80" s="5">
        <f>SUM(F6,F34,F58,I6,I34,I58,K6,K34,K58)</f>
        <v>26.5</v>
      </c>
      <c r="G80" s="15">
        <v>107.69</v>
      </c>
      <c r="H80" s="5">
        <f>SUM(H6,H34,H58)</f>
        <v>0</v>
      </c>
      <c r="I80" s="5">
        <f t="shared" si="12"/>
        <v>0</v>
      </c>
      <c r="J80" s="4" t="s">
        <v>5531</v>
      </c>
      <c r="K80" s="5">
        <f>SUM(K6,K34,K58)</f>
        <v>0</v>
      </c>
      <c r="L80" s="10">
        <f>IF($B$2="-",0,IFERROR(INDEX(IF($B$2="SV",'Projekt-Budget-Übersicht'!$H:$H,IF($B$2="CAD",'Projekt-Budget-Übersicht'!$I:$I,IF($B$2="ADM",'Projekt-Budget-Übersicht'!$J:$J,'Projekt-Budget-Übersicht'!$H:$H))),MATCH(1087,'Projekt-Budget-Übersicht'!$L:$L,0)),0))</f>
        <v>0</v>
      </c>
      <c r="M80" s="10">
        <f t="shared" si="13"/>
        <v>0</v>
      </c>
      <c r="N80" s="10">
        <f t="shared" si="14"/>
        <v>0</v>
      </c>
      <c r="O80" s="10">
        <f t="shared" si="15"/>
        <v>0</v>
      </c>
      <c r="P80" s="10">
        <f>'R. Wagen CAD'!M80</f>
        <v>0</v>
      </c>
      <c r="Q80" s="10">
        <f>IFERROR(INDEX('Projekt-Budget-Übersicht'!$E:$E,MATCH(1087,'Projekt-Budget-Übersicht'!$L:$L,0)),0)</f>
        <v>0</v>
      </c>
      <c r="R80" s="10">
        <v>5101.6499999999996</v>
      </c>
      <c r="S80" s="4"/>
      <c r="T80" s="4"/>
      <c r="U80" s="4"/>
    </row>
    <row r="81" spans="1:21" x14ac:dyDescent="0.25">
      <c r="A81" s="23"/>
      <c r="B81" s="4" t="s">
        <v>5657</v>
      </c>
      <c r="C81" s="4" t="str">
        <f>IFERROR(INDEX('Projekt-Budget-Übersicht'!$C:$C,MATCH(1087,'Projekt-Budget-Übersicht'!$L:$L,0)),"")</f>
        <v/>
      </c>
      <c r="D81" s="4">
        <v>8</v>
      </c>
      <c r="E81" s="4">
        <v>9.25</v>
      </c>
      <c r="F81" s="5">
        <f>SUM(F7,F35,I7,I35,K7,K35)</f>
        <v>8.5</v>
      </c>
      <c r="G81" s="15">
        <v>115.62</v>
      </c>
      <c r="H81" s="5">
        <f>SUM(H7,H35)</f>
        <v>0</v>
      </c>
      <c r="I81" s="5">
        <f t="shared" si="12"/>
        <v>0</v>
      </c>
      <c r="J81" s="4" t="s">
        <v>5531</v>
      </c>
      <c r="K81" s="5">
        <f>SUM(K7,K35)</f>
        <v>0</v>
      </c>
      <c r="L81" s="10">
        <f>IF($B$2="-",0,IFERROR(INDEX(IF($B$2="SV",'Projekt-Budget-Übersicht'!$H:$H,IF($B$2="CAD",'Projekt-Budget-Übersicht'!$I:$I,IF($B$2="ADM",'Projekt-Budget-Übersicht'!$J:$J,'Projekt-Budget-Übersicht'!$H:$H))),MATCH(1087,'Projekt-Budget-Übersicht'!$L:$L,0)),0))</f>
        <v>0</v>
      </c>
      <c r="M81" s="10">
        <f t="shared" si="13"/>
        <v>0</v>
      </c>
      <c r="N81" s="10">
        <f t="shared" si="14"/>
        <v>0</v>
      </c>
      <c r="O81" s="10">
        <f t="shared" si="15"/>
        <v>0</v>
      </c>
      <c r="P81" s="10">
        <f>'R. Wagen CAD'!M81</f>
        <v>0</v>
      </c>
      <c r="Q81" s="10">
        <f>IFERROR(INDEX('Projekt-Budget-Übersicht'!$E:$E,MATCH(1087,'Projekt-Budget-Übersicht'!$L:$L,0)),0)</f>
        <v>0</v>
      </c>
      <c r="R81" s="10">
        <v>5101.6499999999996</v>
      </c>
      <c r="S81" s="4"/>
      <c r="T81" s="4"/>
      <c r="U81" s="4"/>
    </row>
    <row r="82" spans="1:21" x14ac:dyDescent="0.25">
      <c r="A82" s="23"/>
      <c r="B82" s="4" t="s">
        <v>5658</v>
      </c>
      <c r="C82" s="4" t="str">
        <f>IFERROR(INDEX('Projekt-Budget-Übersicht'!$C:$C,MATCH(1087,'Projekt-Budget-Übersicht'!$L:$L,0)),"")</f>
        <v/>
      </c>
      <c r="D82" s="4">
        <v>16</v>
      </c>
      <c r="E82" s="4">
        <v>38.75</v>
      </c>
      <c r="F82" s="5">
        <f>SUM(F8,F36,F59,I8,I36,I59,K8,K36,K59)</f>
        <v>33.75</v>
      </c>
      <c r="G82" s="15">
        <v>242.19</v>
      </c>
      <c r="H82" s="5">
        <f>SUM(H8,H36,H59)</f>
        <v>0</v>
      </c>
      <c r="I82" s="5">
        <f t="shared" si="12"/>
        <v>0</v>
      </c>
      <c r="J82" s="4" t="s">
        <v>5531</v>
      </c>
      <c r="K82" s="5">
        <f>SUM(K8,K36,K59)</f>
        <v>0</v>
      </c>
      <c r="L82" s="10">
        <f>IF($B$2="-",0,IFERROR(INDEX(IF($B$2="SV",'Projekt-Budget-Übersicht'!$H:$H,IF($B$2="CAD",'Projekt-Budget-Übersicht'!$I:$I,IF($B$2="ADM",'Projekt-Budget-Übersicht'!$J:$J,'Projekt-Budget-Übersicht'!$H:$H))),MATCH(1087,'Projekt-Budget-Übersicht'!$L:$L,0)),0))</f>
        <v>0</v>
      </c>
      <c r="M82" s="10">
        <f t="shared" si="13"/>
        <v>0</v>
      </c>
      <c r="N82" s="10">
        <f t="shared" si="14"/>
        <v>0</v>
      </c>
      <c r="O82" s="10">
        <f t="shared" si="15"/>
        <v>0</v>
      </c>
      <c r="P82" s="10">
        <f>'R. Wagen CAD'!M82</f>
        <v>0</v>
      </c>
      <c r="Q82" s="10">
        <f>IFERROR(INDEX('Projekt-Budget-Übersicht'!$E:$E,MATCH(1087,'Projekt-Budget-Übersicht'!$L:$L,0)),0)</f>
        <v>0</v>
      </c>
      <c r="R82" s="10">
        <v>5101.6499999999996</v>
      </c>
      <c r="S82" s="4"/>
      <c r="T82" s="4"/>
      <c r="U82" s="4"/>
    </row>
    <row r="83" spans="1:21" x14ac:dyDescent="0.25">
      <c r="A83" s="23"/>
      <c r="B83" s="4" t="s">
        <v>5659</v>
      </c>
      <c r="C83" s="4" t="str">
        <f>IFERROR(INDEX('Projekt-Budget-Übersicht'!$C:$C,MATCH(1087,'Projekt-Budget-Übersicht'!$L:$L,0)),"")</f>
        <v/>
      </c>
      <c r="D83" s="4">
        <v>25</v>
      </c>
      <c r="E83" s="4">
        <v>27</v>
      </c>
      <c r="F83" s="5">
        <f>SUM(F9,I9,K9)</f>
        <v>2.5</v>
      </c>
      <c r="G83" s="15">
        <v>108</v>
      </c>
      <c r="H83" s="5">
        <f>SUM(H9)</f>
        <v>0</v>
      </c>
      <c r="I83" s="5">
        <f t="shared" si="12"/>
        <v>0</v>
      </c>
      <c r="J83" s="4" t="s">
        <v>5531</v>
      </c>
      <c r="K83" s="5">
        <f>SUM(K9)</f>
        <v>0</v>
      </c>
      <c r="L83" s="10">
        <f>IF($B$2="-",0,IFERROR(INDEX(IF($B$2="SV",'Projekt-Budget-Übersicht'!$H:$H,IF($B$2="CAD",'Projekt-Budget-Übersicht'!$I:$I,IF($B$2="ADM",'Projekt-Budget-Übersicht'!$J:$J,'Projekt-Budget-Übersicht'!$H:$H))),MATCH(1087,'Projekt-Budget-Übersicht'!$L:$L,0)),0))</f>
        <v>0</v>
      </c>
      <c r="M83" s="10">
        <f t="shared" si="13"/>
        <v>0</v>
      </c>
      <c r="N83" s="10">
        <f t="shared" si="14"/>
        <v>0</v>
      </c>
      <c r="O83" s="10">
        <f t="shared" si="15"/>
        <v>0</v>
      </c>
      <c r="P83" s="10">
        <f>'R. Wagen CAD'!M83</f>
        <v>0</v>
      </c>
      <c r="Q83" s="10">
        <f>IFERROR(INDEX('Projekt-Budget-Übersicht'!$E:$E,MATCH(1087,'Projekt-Budget-Übersicht'!$L:$L,0)),0)</f>
        <v>0</v>
      </c>
      <c r="R83" s="10">
        <v>5101.6499999999996</v>
      </c>
      <c r="S83" s="4"/>
      <c r="T83" s="4"/>
      <c r="U83" s="4"/>
    </row>
    <row r="84" spans="1:21" x14ac:dyDescent="0.25">
      <c r="A84" s="22"/>
      <c r="B84" s="4" t="s">
        <v>5660</v>
      </c>
      <c r="C84" s="4" t="str">
        <f>IFERROR(INDEX('Projekt-Budget-Übersicht'!$C:$C,MATCH(1086,'Projekt-Budget-Übersicht'!$L:$L,0)),"")</f>
        <v/>
      </c>
      <c r="D84" s="4">
        <v>55</v>
      </c>
      <c r="E84" s="4">
        <v>61</v>
      </c>
      <c r="F84" s="5">
        <f>SUM(F10,F37,F60,I10,I37,I60,K10,K37,K60)</f>
        <v>6</v>
      </c>
      <c r="G84" s="15">
        <v>110.91</v>
      </c>
      <c r="H84" s="5">
        <f>SUM(H10,H37,H60)</f>
        <v>0</v>
      </c>
      <c r="I84" s="5">
        <f t="shared" si="12"/>
        <v>0</v>
      </c>
      <c r="J84" s="4" t="s">
        <v>5531</v>
      </c>
      <c r="K84" s="5">
        <f>SUM(K10,K37,K60)</f>
        <v>0</v>
      </c>
      <c r="L84" s="10">
        <f>IF($B$2="-",0,IFERROR(INDEX(IF($B$2="SV",'Projekt-Budget-Übersicht'!$H:$H,IF($B$2="CAD",'Projekt-Budget-Übersicht'!$I:$I,IF($B$2="ADM",'Projekt-Budget-Übersicht'!$J:$J,'Projekt-Budget-Übersicht'!$H:$H))),MATCH(1086,'Projekt-Budget-Übersicht'!$L:$L,0)),0))</f>
        <v>0</v>
      </c>
      <c r="M84" s="10">
        <f t="shared" si="13"/>
        <v>0</v>
      </c>
      <c r="N84" s="10">
        <f t="shared" si="14"/>
        <v>0</v>
      </c>
      <c r="O84" s="10">
        <f t="shared" si="15"/>
        <v>0</v>
      </c>
      <c r="P84" s="10">
        <f>'R. Wagen CAD'!M84</f>
        <v>0</v>
      </c>
      <c r="Q84" s="10">
        <f>IFERROR(INDEX('Projekt-Budget-Übersicht'!$E:$E,MATCH(1086,'Projekt-Budget-Übersicht'!$L:$L,0)),0)</f>
        <v>0</v>
      </c>
      <c r="R84" s="10">
        <v>3012.5</v>
      </c>
      <c r="S84" s="4"/>
      <c r="T84" s="4"/>
      <c r="U84" s="4"/>
    </row>
    <row r="85" spans="1:21" x14ac:dyDescent="0.25">
      <c r="A85" s="4" t="s">
        <v>1383</v>
      </c>
      <c r="B85" s="4" t="s">
        <v>5502</v>
      </c>
      <c r="C85" s="4" t="str">
        <f>IFERROR(INDEX('Projekt-Budget-Übersicht'!$C:$C,MATCH(1499,'Projekt-Budget-Übersicht'!$L:$L,0)),"")</f>
        <v/>
      </c>
      <c r="D85" s="4">
        <v>160</v>
      </c>
      <c r="E85" s="4">
        <v>304.75</v>
      </c>
      <c r="F85" s="5">
        <f>SUM(F11,F38,F61,I11,I38,I61,K11,K38,K61)</f>
        <v>60.5</v>
      </c>
      <c r="G85" s="15">
        <v>190.47</v>
      </c>
      <c r="H85" s="5">
        <f>SUM(H11,H38,H61)</f>
        <v>0</v>
      </c>
      <c r="I85" s="5">
        <f t="shared" si="12"/>
        <v>0</v>
      </c>
      <c r="J85" s="4" t="s">
        <v>5531</v>
      </c>
      <c r="K85" s="5">
        <f>SUM(K11,K38,K61)</f>
        <v>0</v>
      </c>
      <c r="L85" s="10">
        <f>IF($B$2="-",0,IFERROR(INDEX(IF($B$2="SV",'Projekt-Budget-Übersicht'!$H:$H,IF($B$2="CAD",'Projekt-Budget-Übersicht'!$I:$I,IF($B$2="ADM",'Projekt-Budget-Übersicht'!$J:$J,'Projekt-Budget-Übersicht'!$H:$H))),MATCH(1499,'Projekt-Budget-Übersicht'!$L:$L,0)),0))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'R. Wagen CAD'!M85</f>
        <v>0</v>
      </c>
      <c r="Q85" s="10">
        <f>IFERROR(INDEX('Projekt-Budget-Übersicht'!$E:$E,MATCH(1499,'Projekt-Budget-Übersicht'!$L:$L,0)),0)</f>
        <v>0</v>
      </c>
      <c r="R85" s="10">
        <v>15665.4</v>
      </c>
      <c r="S85" s="4"/>
      <c r="T85" s="4"/>
      <c r="U85" s="4"/>
    </row>
    <row r="86" spans="1:21" x14ac:dyDescent="0.25">
      <c r="A86" s="4" t="s">
        <v>1495</v>
      </c>
      <c r="B86" s="4" t="s">
        <v>5498</v>
      </c>
      <c r="C86" s="4" t="str">
        <f>IFERROR(INDEX('Projekt-Budget-Übersicht'!$C:$C,MATCH(1682,'Projekt-Budget-Übersicht'!$L:$L,0)),"")</f>
        <v/>
      </c>
      <c r="D86" s="4">
        <v>57</v>
      </c>
      <c r="E86" s="4">
        <v>27.25</v>
      </c>
      <c r="F86" s="5">
        <f>SUM(F39,I39,K39)</f>
        <v>0.5</v>
      </c>
      <c r="G86" s="16">
        <v>47.81</v>
      </c>
      <c r="H86" s="5">
        <f>SUM(H39)</f>
        <v>0</v>
      </c>
      <c r="I86" s="5">
        <f t="shared" si="12"/>
        <v>0</v>
      </c>
      <c r="J86" s="4" t="s">
        <v>5531</v>
      </c>
      <c r="K86" s="5">
        <f>SUM(K39)</f>
        <v>0</v>
      </c>
      <c r="L86" s="10">
        <f>IF($B$2="-",0,IFERROR(INDEX(IF($B$2="SV",'Projekt-Budget-Übersicht'!$H:$H,IF($B$2="CAD",'Projekt-Budget-Übersicht'!$I:$I,IF($B$2="ADM",'Projekt-Budget-Übersicht'!$J:$J,'Projekt-Budget-Übersicht'!$H:$H))),MATCH(1682,'Projekt-Budget-Übersicht'!$L:$L,0)),0))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'R. Wagen CAD'!M86</f>
        <v>0</v>
      </c>
      <c r="Q86" s="10">
        <f>IFERROR(INDEX('Projekt-Budget-Übersicht'!$E:$E,MATCH(1682,'Projekt-Budget-Übersicht'!$L:$L,0)),0)</f>
        <v>0</v>
      </c>
      <c r="R86" s="10">
        <v>1351.25</v>
      </c>
      <c r="S86" s="4"/>
      <c r="T86" s="4"/>
      <c r="U86" s="4"/>
    </row>
    <row r="87" spans="1:21" x14ac:dyDescent="0.25">
      <c r="A87" s="4" t="s">
        <v>1692</v>
      </c>
      <c r="B87" s="4" t="s">
        <v>5661</v>
      </c>
      <c r="C87" s="4" t="str">
        <f>IFERROR(INDEX('Projekt-Budget-Übersicht'!$C:$C,MATCH(1910,'Projekt-Budget-Übersicht'!$L:$L,0)),"")</f>
        <v/>
      </c>
      <c r="D87" s="4">
        <v>24</v>
      </c>
      <c r="E87" s="4">
        <v>41.5</v>
      </c>
      <c r="F87" s="5">
        <f>SUM(F12,F40,I12,I40,K12,K40)</f>
        <v>6.25</v>
      </c>
      <c r="G87" s="15">
        <v>172.92</v>
      </c>
      <c r="H87" s="5">
        <f>SUM(H12,H40)</f>
        <v>0</v>
      </c>
      <c r="I87" s="5">
        <f t="shared" si="12"/>
        <v>0</v>
      </c>
      <c r="J87" s="4" t="s">
        <v>5531</v>
      </c>
      <c r="K87" s="5">
        <f>SUM(K12,K40)</f>
        <v>0</v>
      </c>
      <c r="L87" s="10">
        <f>IF($B$2="-",0,IFERROR(INDEX(IF($B$2="SV",'Projekt-Budget-Übersicht'!$H:$H,IF($B$2="CAD",'Projekt-Budget-Übersicht'!$I:$I,IF($B$2="ADM",'Projekt-Budget-Übersicht'!$J:$J,'Projekt-Budget-Übersicht'!$H:$H))),MATCH(1910,'Projekt-Budget-Übersicht'!$L:$L,0)),0))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'R. Wagen CAD'!M87</f>
        <v>0</v>
      </c>
      <c r="Q87" s="10">
        <f>IFERROR(INDEX('Projekt-Budget-Übersicht'!$E:$E,MATCH(1910,'Projekt-Budget-Übersicht'!$L:$L,0)),0)</f>
        <v>0</v>
      </c>
      <c r="R87" s="10">
        <v>2075</v>
      </c>
      <c r="S87" s="4"/>
      <c r="T87" s="4"/>
      <c r="U87" s="4"/>
    </row>
    <row r="88" spans="1:21" x14ac:dyDescent="0.25">
      <c r="A88" s="4" t="s">
        <v>1743</v>
      </c>
      <c r="B88" s="4" t="s">
        <v>5486</v>
      </c>
      <c r="C88" s="4" t="str">
        <f>IFERROR(INDEX('Projekt-Budget-Übersicht'!$C:$C,MATCH(1972,'Projekt-Budget-Übersicht'!$L:$L,0)),"")</f>
        <v/>
      </c>
      <c r="D88" s="4">
        <v>56</v>
      </c>
      <c r="E88" s="4">
        <v>19</v>
      </c>
      <c r="F88" s="5">
        <f>SUM(F62,I62,K62)</f>
        <v>18.5</v>
      </c>
      <c r="G88" s="16">
        <v>33.93</v>
      </c>
      <c r="H88" s="5">
        <f>SUM(H62)</f>
        <v>0</v>
      </c>
      <c r="I88" s="5">
        <f t="shared" si="12"/>
        <v>0</v>
      </c>
      <c r="J88" s="4" t="s">
        <v>5531</v>
      </c>
      <c r="K88" s="5">
        <f>SUM(K62)</f>
        <v>0</v>
      </c>
      <c r="L88" s="10">
        <f>IF($B$2="-",0,IFERROR(INDEX(IF($B$2="SV",'Projekt-Budget-Übersicht'!$H:$H,IF($B$2="CAD",'Projekt-Budget-Übersicht'!$I:$I,IF($B$2="ADM",'Projekt-Budget-Übersicht'!$J:$J,'Projekt-Budget-Übersicht'!$H:$H))),MATCH(1972,'Projekt-Budget-Übersicht'!$L:$L,0)),0))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'R. Wagen CAD'!M88</f>
        <v>0</v>
      </c>
      <c r="Q88" s="10">
        <f>IFERROR(INDEX('Projekt-Budget-Übersicht'!$E:$E,MATCH(1972,'Projekt-Budget-Übersicht'!$L:$L,0)),0)</f>
        <v>0</v>
      </c>
      <c r="R88" s="10">
        <v>951.65</v>
      </c>
      <c r="S88" s="4"/>
      <c r="T88" s="4"/>
      <c r="U88" s="4"/>
    </row>
    <row r="89" spans="1:21" x14ac:dyDescent="0.25">
      <c r="A89" s="4" t="s">
        <v>2442</v>
      </c>
      <c r="B89" s="4" t="s">
        <v>5498</v>
      </c>
      <c r="C89" s="4" t="str">
        <f>IFERROR(INDEX('Projekt-Budget-Übersicht'!$C:$C,MATCH(2771,'Projekt-Budget-Übersicht'!$L:$L,0)),"")</f>
        <v/>
      </c>
      <c r="D89" s="4">
        <v>30</v>
      </c>
      <c r="E89" s="4">
        <v>12</v>
      </c>
      <c r="F89" s="5">
        <f>SUM(F41,I41,K41)</f>
        <v>1.75</v>
      </c>
      <c r="G89" s="16">
        <v>40</v>
      </c>
      <c r="H89" s="5">
        <f>SUM(H41)</f>
        <v>0</v>
      </c>
      <c r="I89" s="5">
        <f t="shared" si="12"/>
        <v>0</v>
      </c>
      <c r="J89" s="4" t="s">
        <v>5531</v>
      </c>
      <c r="K89" s="5">
        <f>SUM(K41)</f>
        <v>0</v>
      </c>
      <c r="L89" s="10">
        <f>IF($B$2="-",0,IFERROR(INDEX(IF($B$2="SV",'Projekt-Budget-Übersicht'!$H:$H,IF($B$2="CAD",'Projekt-Budget-Übersicht'!$I:$I,IF($B$2="ADM",'Projekt-Budget-Übersicht'!$J:$J,'Projekt-Budget-Übersicht'!$H:$H))),MATCH(2771,'Projekt-Budget-Übersicht'!$L:$L,0)),0))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'O. Haag BS-CAD'!M170+'R. Wagen CAD'!M89</f>
        <v>0</v>
      </c>
      <c r="Q89" s="10">
        <f>IFERROR(INDEX('Projekt-Budget-Übersicht'!$E:$E,MATCH(2771,'Projekt-Budget-Übersicht'!$L:$L,0)),0)</f>
        <v>0</v>
      </c>
      <c r="R89" s="10">
        <v>650</v>
      </c>
      <c r="S89" s="4"/>
      <c r="T89" s="4"/>
      <c r="U89" s="4"/>
    </row>
    <row r="90" spans="1:21" x14ac:dyDescent="0.25">
      <c r="A90" s="4" t="s">
        <v>3214</v>
      </c>
      <c r="B90" s="4" t="s">
        <v>5632</v>
      </c>
      <c r="C90" s="4" t="str">
        <f>IFERROR(INDEX('Projekt-Budget-Übersicht'!$C:$C,MATCH(3447,'Projekt-Budget-Übersicht'!$L:$L,0)),"")</f>
        <v/>
      </c>
      <c r="D90" s="4">
        <v>154</v>
      </c>
      <c r="E90" s="4">
        <v>96.25</v>
      </c>
      <c r="F90" s="5">
        <f>SUM(F42,I42,K42)</f>
        <v>0.5</v>
      </c>
      <c r="G90" s="16">
        <v>62.5</v>
      </c>
      <c r="H90" s="5">
        <f>SUM(H42)</f>
        <v>0</v>
      </c>
      <c r="I90" s="5">
        <f t="shared" si="12"/>
        <v>0</v>
      </c>
      <c r="J90" s="4" t="s">
        <v>5531</v>
      </c>
      <c r="K90" s="5">
        <f>SUM(K42)</f>
        <v>0</v>
      </c>
      <c r="L90" s="10">
        <f>IF($B$2="-",0,IFERROR(INDEX(IF($B$2="SV",'Projekt-Budget-Übersicht'!$H:$H,IF($B$2="CAD",'Projekt-Budget-Übersicht'!$I:$I,IF($B$2="ADM",'Projekt-Budget-Übersicht'!$J:$J,'Projekt-Budget-Übersicht'!$H:$H))),MATCH(3447,'Projekt-Budget-Übersicht'!$L:$L,0)),0))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'O. Haag BS-CAD'!M184+'R. Wagen CAD'!M90</f>
        <v>0</v>
      </c>
      <c r="Q90" s="10">
        <f>IFERROR(INDEX('Projekt-Budget-Übersicht'!$E:$E,MATCH(3447,'Projekt-Budget-Übersicht'!$L:$L,0)),0)</f>
        <v>0</v>
      </c>
      <c r="R90" s="10">
        <v>4812.5</v>
      </c>
      <c r="S90" s="4"/>
      <c r="T90" s="4"/>
      <c r="U90" s="4"/>
    </row>
    <row r="91" spans="1:21" x14ac:dyDescent="0.25">
      <c r="A91" s="4" t="s">
        <v>4325</v>
      </c>
      <c r="B91" s="4" t="s">
        <v>5620</v>
      </c>
      <c r="C91" s="4" t="str">
        <f>IFERROR(INDEX('Projekt-Budget-Übersicht'!$C:$C,MATCH(4404,'Projekt-Budget-Übersicht'!$L:$L,0)),"")</f>
        <v/>
      </c>
      <c r="D91" s="4">
        <v>8</v>
      </c>
      <c r="E91" s="4">
        <v>4.5</v>
      </c>
      <c r="F91" s="5">
        <f>SUM(F44,I44,K44)</f>
        <v>0.75</v>
      </c>
      <c r="G91" s="16">
        <v>56.25</v>
      </c>
      <c r="H91" s="5">
        <f>SUM(H44)</f>
        <v>0</v>
      </c>
      <c r="I91" s="5">
        <f t="shared" si="12"/>
        <v>0</v>
      </c>
      <c r="J91" s="4" t="s">
        <v>5531</v>
      </c>
      <c r="K91" s="5">
        <f>SUM(K44)</f>
        <v>0</v>
      </c>
      <c r="L91" s="10">
        <f>IF($B$2="-",0,IFERROR(INDEX(IF($B$2="SV",'Projekt-Budget-Übersicht'!$H:$H,IF($B$2="CAD",'Projekt-Budget-Übersicht'!$I:$I,IF($B$2="ADM",'Projekt-Budget-Übersicht'!$J:$J,'Projekt-Budget-Übersicht'!$H:$H))),MATCH(4404,'Projekt-Budget-Übersicht'!$L:$L,0)),0))</f>
        <v>0</v>
      </c>
      <c r="M91" s="10">
        <f t="shared" si="13"/>
        <v>0</v>
      </c>
      <c r="N91" s="10">
        <f t="shared" si="14"/>
        <v>0</v>
      </c>
      <c r="O91" s="10">
        <f t="shared" si="15"/>
        <v>0</v>
      </c>
      <c r="P91" s="10">
        <f>'O. Haag BS-CAD'!M191+'R. Wagen CAD'!M91</f>
        <v>0</v>
      </c>
      <c r="Q91" s="10">
        <f>IFERROR(INDEX('Projekt-Budget-Übersicht'!$E:$E,MATCH(4404,'Projekt-Budget-Übersicht'!$L:$L,0)),0)</f>
        <v>0</v>
      </c>
      <c r="R91" s="10">
        <v>225</v>
      </c>
      <c r="S91" s="4"/>
      <c r="T91" s="4"/>
      <c r="U91" s="4"/>
    </row>
    <row r="92" spans="1:21" x14ac:dyDescent="0.25">
      <c r="A92" s="4" t="s">
        <v>4429</v>
      </c>
      <c r="B92" s="4" t="s">
        <v>5486</v>
      </c>
      <c r="C92" s="4" t="str">
        <f>IFERROR(INDEX('Projekt-Budget-Übersicht'!$C:$C,MATCH(4500,'Projekt-Budget-Übersicht'!$L:$L,0)),"")</f>
        <v/>
      </c>
      <c r="D92" s="4" t="s">
        <v>5531</v>
      </c>
      <c r="E92" s="4">
        <v>30.25</v>
      </c>
      <c r="F92" s="5">
        <f>SUM(F16,I16,K16)</f>
        <v>7.5</v>
      </c>
      <c r="G92" s="4" t="s">
        <v>5531</v>
      </c>
      <c r="H92" s="5">
        <f>SUM(H16)</f>
        <v>0</v>
      </c>
      <c r="I92" s="5">
        <f t="shared" si="12"/>
        <v>0</v>
      </c>
      <c r="J92" s="4" t="s">
        <v>5531</v>
      </c>
      <c r="K92" s="5">
        <f>SUM(K16)</f>
        <v>0</v>
      </c>
      <c r="L92" s="10">
        <f>IF($B$2="-",0,IFERROR(INDEX(IF($B$2="SV",'Projekt-Budget-Übersicht'!$H:$H,IF($B$2="CAD",'Projekt-Budget-Übersicht'!$I:$I,IF($B$2="ADM",'Projekt-Budget-Übersicht'!$J:$J,'Projekt-Budget-Übersicht'!$H:$H))),MATCH(4500,'Projekt-Budget-Übersicht'!$L:$L,0)),0))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'R. Wagen CAD'!M92</f>
        <v>0</v>
      </c>
      <c r="Q92" s="10">
        <f>IFERROR(INDEX('Projekt-Budget-Übersicht'!$E:$E,MATCH(4500,'Projekt-Budget-Übersicht'!$L:$L,0)),0)</f>
        <v>0</v>
      </c>
      <c r="R92" s="10"/>
      <c r="S92" s="4"/>
      <c r="T92" s="4"/>
      <c r="U92" s="4"/>
    </row>
    <row r="93" spans="1:21" x14ac:dyDescent="0.25">
      <c r="A93" s="4" t="s">
        <v>4785</v>
      </c>
      <c r="B93" s="4" t="s">
        <v>5486</v>
      </c>
      <c r="C93" s="4" t="str">
        <f>IFERROR(INDEX('Projekt-Budget-Übersicht'!$C:$C,MATCH(4792,'Projekt-Budget-Übersicht'!$L:$L,0)),"")</f>
        <v/>
      </c>
      <c r="D93" s="4">
        <v>6</v>
      </c>
      <c r="E93" s="4">
        <v>6</v>
      </c>
      <c r="F93" s="5">
        <f>SUM(F17,I17,K17)</f>
        <v>6</v>
      </c>
      <c r="G93" s="14">
        <v>100</v>
      </c>
      <c r="H93" s="5">
        <f>SUM(H17)</f>
        <v>0</v>
      </c>
      <c r="I93" s="5">
        <f t="shared" si="12"/>
        <v>0</v>
      </c>
      <c r="J93" s="4" t="s">
        <v>5531</v>
      </c>
      <c r="K93" s="5">
        <f>SUM(K17)</f>
        <v>0</v>
      </c>
      <c r="L93" s="10">
        <f>IF($B$2="-",0,IFERROR(INDEX(IF($B$2="SV",'Projekt-Budget-Übersicht'!$H:$H,IF($B$2="CAD",'Projekt-Budget-Übersicht'!$I:$I,IF($B$2="ADM",'Projekt-Budget-Übersicht'!$J:$J,'Projekt-Budget-Übersicht'!$H:$H))),MATCH(4792,'Projekt-Budget-Übersicht'!$L:$L,0)),0))</f>
        <v>0</v>
      </c>
      <c r="M93" s="10">
        <f t="shared" si="13"/>
        <v>0</v>
      </c>
      <c r="N93" s="10">
        <f t="shared" si="14"/>
        <v>0</v>
      </c>
      <c r="O93" s="10">
        <f t="shared" si="15"/>
        <v>0</v>
      </c>
      <c r="P93" s="10">
        <f>'R. Wagen CAD'!M93</f>
        <v>0</v>
      </c>
      <c r="Q93" s="10">
        <f>IFERROR(INDEX('Projekt-Budget-Übersicht'!$E:$E,MATCH(4792,'Projekt-Budget-Übersicht'!$L:$L,0)),0)</f>
        <v>0</v>
      </c>
      <c r="R93" s="10">
        <v>330.82</v>
      </c>
      <c r="S93" s="4"/>
      <c r="T93" s="4"/>
      <c r="U93" s="4"/>
    </row>
    <row r="94" spans="1:21" x14ac:dyDescent="0.25">
      <c r="A94" s="4" t="s">
        <v>4797</v>
      </c>
      <c r="B94" s="4" t="s">
        <v>5486</v>
      </c>
      <c r="C94" s="4" t="str">
        <f>IFERROR(INDEX('Projekt-Budget-Übersicht'!$C:$C,MATCH(4803,'Projekt-Budget-Übersicht'!$L:$L,0)),"")</f>
        <v/>
      </c>
      <c r="D94" s="4">
        <v>6</v>
      </c>
      <c r="E94" s="4">
        <v>6</v>
      </c>
      <c r="F94" s="5">
        <f>SUM(F18,I18,K18)</f>
        <v>6</v>
      </c>
      <c r="G94" s="14">
        <v>100</v>
      </c>
      <c r="H94" s="5">
        <f>SUM(H18)</f>
        <v>0</v>
      </c>
      <c r="I94" s="5">
        <f t="shared" si="12"/>
        <v>0</v>
      </c>
      <c r="J94" s="4" t="s">
        <v>5531</v>
      </c>
      <c r="K94" s="5">
        <f>SUM(K18)</f>
        <v>0</v>
      </c>
      <c r="L94" s="10">
        <f>IF($B$2="-",0,IFERROR(INDEX(IF($B$2="SV",'Projekt-Budget-Übersicht'!$H:$H,IF($B$2="CAD",'Projekt-Budget-Übersicht'!$I:$I,IF($B$2="ADM",'Projekt-Budget-Übersicht'!$J:$J,'Projekt-Budget-Übersicht'!$H:$H))),MATCH(4803,'Projekt-Budget-Übersicht'!$L:$L,0)),0))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'R. Wagen CAD'!M94</f>
        <v>0</v>
      </c>
      <c r="Q94" s="10">
        <f>IFERROR(INDEX('Projekt-Budget-Übersicht'!$E:$E,MATCH(4803,'Projekt-Budget-Übersicht'!$L:$L,0)),0)</f>
        <v>0</v>
      </c>
      <c r="R94" s="10">
        <v>330.82</v>
      </c>
      <c r="S94" s="4"/>
      <c r="T94" s="4"/>
      <c r="U94" s="4"/>
    </row>
    <row r="95" spans="1:21" x14ac:dyDescent="0.25">
      <c r="A95" s="4" t="s">
        <v>4911</v>
      </c>
      <c r="B95" s="4" t="s">
        <v>5486</v>
      </c>
      <c r="C95" s="4" t="str">
        <f>IFERROR(INDEX('Projekt-Budget-Übersicht'!$C:$C,MATCH(4897,'Projekt-Budget-Übersicht'!$L:$L,0)),"")</f>
        <v/>
      </c>
      <c r="D95" s="4">
        <v>5</v>
      </c>
      <c r="E95" s="4">
        <v>5</v>
      </c>
      <c r="F95" s="5">
        <f>SUM(F45,I45,K45)</f>
        <v>5</v>
      </c>
      <c r="G95" s="14">
        <v>100</v>
      </c>
      <c r="H95" s="5">
        <f>SUM(H45)</f>
        <v>0</v>
      </c>
      <c r="I95" s="5">
        <f t="shared" si="12"/>
        <v>0</v>
      </c>
      <c r="J95" s="4" t="s">
        <v>5531</v>
      </c>
      <c r="K95" s="5">
        <f>SUM(K45)</f>
        <v>0</v>
      </c>
      <c r="L95" s="10">
        <f>IF($B$2="-",0,IFERROR(INDEX(IF($B$2="SV",'Projekt-Budget-Übersicht'!$H:$H,IF($B$2="CAD",'Projekt-Budget-Übersicht'!$I:$I,IF($B$2="ADM",'Projekt-Budget-Übersicht'!$J:$J,'Projekt-Budget-Übersicht'!$H:$H))),MATCH(4897,'Projekt-Budget-Übersicht'!$L:$L,0)),0))</f>
        <v>0</v>
      </c>
      <c r="M95" s="10">
        <f t="shared" si="13"/>
        <v>0</v>
      </c>
      <c r="N95" s="10">
        <f t="shared" si="14"/>
        <v>0</v>
      </c>
      <c r="O95" s="10">
        <f t="shared" si="15"/>
        <v>0</v>
      </c>
      <c r="P95" s="10">
        <f>'R. Wagen CAD'!M95</f>
        <v>0</v>
      </c>
      <c r="Q95" s="10">
        <f>IFERROR(INDEX('Projekt-Budget-Übersicht'!$E:$E,MATCH(4897,'Projekt-Budget-Übersicht'!$L:$L,0)),0)</f>
        <v>0</v>
      </c>
      <c r="R95" s="10">
        <v>267.5</v>
      </c>
      <c r="S95" s="4"/>
      <c r="T95" s="4"/>
      <c r="U95" s="4"/>
    </row>
    <row r="96" spans="1:21" x14ac:dyDescent="0.25">
      <c r="A96" s="4" t="s">
        <v>4951</v>
      </c>
      <c r="B96" s="4" t="s">
        <v>5628</v>
      </c>
      <c r="C96" s="4" t="str">
        <f>IFERROR(INDEX('Projekt-Budget-Übersicht'!$C:$C,MATCH(4928,'Projekt-Budget-Übersicht'!$L:$L,0)),"")</f>
        <v/>
      </c>
      <c r="D96" s="4">
        <v>20</v>
      </c>
      <c r="E96" s="4">
        <v>10.25</v>
      </c>
      <c r="F96" s="5">
        <f>SUM(F19,I19,K19)</f>
        <v>3.5</v>
      </c>
      <c r="G96" s="16">
        <v>51.25</v>
      </c>
      <c r="H96" s="5">
        <f>SUM(H19)</f>
        <v>0</v>
      </c>
      <c r="I96" s="5">
        <f t="shared" si="12"/>
        <v>0</v>
      </c>
      <c r="J96" s="4" t="s">
        <v>5531</v>
      </c>
      <c r="K96" s="5">
        <f>SUM(K19)</f>
        <v>0</v>
      </c>
      <c r="L96" s="10">
        <f>IF($B$2="-",0,IFERROR(INDEX(IF($B$2="SV",'Projekt-Budget-Übersicht'!$H:$H,IF($B$2="CAD",'Projekt-Budget-Übersicht'!$I:$I,IF($B$2="ADM",'Projekt-Budget-Übersicht'!$J:$J,'Projekt-Budget-Übersicht'!$H:$H))),MATCH(4928,'Projekt-Budget-Übersicht'!$L:$L,0)),0))</f>
        <v>0</v>
      </c>
      <c r="M96" s="10">
        <f t="shared" si="13"/>
        <v>0</v>
      </c>
      <c r="N96" s="10">
        <f t="shared" si="14"/>
        <v>0</v>
      </c>
      <c r="O96" s="10">
        <f t="shared" si="15"/>
        <v>0</v>
      </c>
      <c r="P96" s="10">
        <f>'O. Haag BS-CAD'!M206+'R. Wagen CAD'!M96</f>
        <v>0</v>
      </c>
      <c r="Q96" s="10">
        <f>IFERROR(INDEX('Projekt-Budget-Übersicht'!$E:$E,MATCH(4928,'Projekt-Budget-Übersicht'!$L:$L,0)),0)</f>
        <v>0</v>
      </c>
      <c r="R96" s="10">
        <v>512.5</v>
      </c>
      <c r="S96" s="4"/>
      <c r="T96" s="4"/>
      <c r="U96" s="4"/>
    </row>
    <row r="97" spans="1:21" x14ac:dyDescent="0.25">
      <c r="A97" s="4" t="s">
        <v>4958</v>
      </c>
      <c r="B97" s="4" t="s">
        <v>5486</v>
      </c>
      <c r="C97" s="4" t="str">
        <f>IFERROR(INDEX('Projekt-Budget-Übersicht'!$C:$C,MATCH(4932,'Projekt-Budget-Übersicht'!$L:$L,0)),"")</f>
        <v/>
      </c>
      <c r="D97" s="4">
        <v>5</v>
      </c>
      <c r="E97" s="4">
        <v>5</v>
      </c>
      <c r="F97" s="5">
        <f>SUM(F46,I46,K46)</f>
        <v>5</v>
      </c>
      <c r="G97" s="14">
        <v>100</v>
      </c>
      <c r="H97" s="5">
        <f>SUM(H46)</f>
        <v>0</v>
      </c>
      <c r="I97" s="5">
        <f t="shared" si="12"/>
        <v>0</v>
      </c>
      <c r="J97" s="4" t="s">
        <v>5531</v>
      </c>
      <c r="K97" s="5">
        <f>SUM(K46)</f>
        <v>0</v>
      </c>
      <c r="L97" s="10">
        <f>IF($B$2="-",0,IFERROR(INDEX(IF($B$2="SV",'Projekt-Budget-Übersicht'!$H:$H,IF($B$2="CAD",'Projekt-Budget-Übersicht'!$I:$I,IF($B$2="ADM",'Projekt-Budget-Übersicht'!$J:$J,'Projekt-Budget-Übersicht'!$H:$H))),MATCH(4932,'Projekt-Budget-Übersicht'!$L:$L,0)),0))</f>
        <v>0</v>
      </c>
      <c r="M97" s="10">
        <f t="shared" si="13"/>
        <v>0</v>
      </c>
      <c r="N97" s="10">
        <f t="shared" si="14"/>
        <v>0</v>
      </c>
      <c r="O97" s="10">
        <f t="shared" si="15"/>
        <v>0</v>
      </c>
      <c r="P97" s="10">
        <f>'R. Wagen CAD'!M97</f>
        <v>0</v>
      </c>
      <c r="Q97" s="10">
        <f>IFERROR(INDEX('Projekt-Budget-Übersicht'!$E:$E,MATCH(4932,'Projekt-Budget-Übersicht'!$L:$L,0)),0)</f>
        <v>0</v>
      </c>
      <c r="R97" s="10">
        <v>315.82</v>
      </c>
      <c r="S97" s="4"/>
      <c r="T97" s="4"/>
      <c r="U97" s="4"/>
    </row>
    <row r="98" spans="1:21" x14ac:dyDescent="0.25">
      <c r="A98" s="4" t="s">
        <v>5033</v>
      </c>
      <c r="B98" s="4" t="s">
        <v>5486</v>
      </c>
      <c r="C98" s="4" t="str">
        <f>IFERROR(INDEX('Projekt-Budget-Übersicht'!$C:$C,MATCH(5015,'Projekt-Budget-Übersicht'!$L:$L,0)),"")</f>
        <v/>
      </c>
      <c r="D98" s="4">
        <v>4</v>
      </c>
      <c r="E98" s="4">
        <v>4</v>
      </c>
      <c r="F98" s="5">
        <f>SUM(F20,F47,I20,I47,K20,K47)</f>
        <v>4</v>
      </c>
      <c r="G98" s="14">
        <v>100</v>
      </c>
      <c r="H98" s="5">
        <f>SUM(H20,H47)</f>
        <v>0</v>
      </c>
      <c r="I98" s="5">
        <f t="shared" si="12"/>
        <v>0</v>
      </c>
      <c r="J98" s="4" t="s">
        <v>5531</v>
      </c>
      <c r="K98" s="5">
        <f>SUM(K20,K47)</f>
        <v>0</v>
      </c>
      <c r="L98" s="10">
        <f>IF($B$2="-",0,IFERROR(INDEX(IF($B$2="SV",'Projekt-Budget-Übersicht'!$H:$H,IF($B$2="CAD",'Projekt-Budget-Übersicht'!$I:$I,IF($B$2="ADM",'Projekt-Budget-Übersicht'!$J:$J,'Projekt-Budget-Übersicht'!$H:$H))),MATCH(5015,'Projekt-Budget-Übersicht'!$L:$L,0)),0))</f>
        <v>0</v>
      </c>
      <c r="M98" s="10">
        <f t="shared" si="13"/>
        <v>0</v>
      </c>
      <c r="N98" s="10">
        <f t="shared" si="14"/>
        <v>0</v>
      </c>
      <c r="O98" s="10">
        <f t="shared" si="15"/>
        <v>0</v>
      </c>
      <c r="P98" s="10">
        <f>'R. Wagen CAD'!M98</f>
        <v>0</v>
      </c>
      <c r="Q98" s="10">
        <f>IFERROR(INDEX('Projekt-Budget-Übersicht'!$E:$E,MATCH(5015,'Projekt-Budget-Übersicht'!$L:$L,0)),0)</f>
        <v>0</v>
      </c>
      <c r="R98" s="10">
        <v>248.32</v>
      </c>
      <c r="S98" s="4"/>
      <c r="T98" s="4"/>
      <c r="U98" s="4"/>
    </row>
    <row r="99" spans="1:21" x14ac:dyDescent="0.25">
      <c r="A99" s="4" t="s">
        <v>5038</v>
      </c>
      <c r="B99" s="4" t="s">
        <v>5662</v>
      </c>
      <c r="C99" s="4" t="str">
        <f>IFERROR(INDEX('Projekt-Budget-Übersicht'!$C:$C,MATCH(5020,'Projekt-Budget-Übersicht'!$L:$L,0)),"")</f>
        <v/>
      </c>
      <c r="D99" s="4">
        <v>10</v>
      </c>
      <c r="E99" s="4">
        <v>10</v>
      </c>
      <c r="F99" s="5">
        <f>SUM(F48,I48,K48)</f>
        <v>10</v>
      </c>
      <c r="G99" s="14">
        <v>100</v>
      </c>
      <c r="H99" s="5">
        <f>SUM(H48)</f>
        <v>0</v>
      </c>
      <c r="I99" s="5">
        <f t="shared" si="12"/>
        <v>0</v>
      </c>
      <c r="J99" s="4" t="s">
        <v>5531</v>
      </c>
      <c r="K99" s="5">
        <f>SUM(K48)</f>
        <v>0</v>
      </c>
      <c r="L99" s="10">
        <f>IF($B$2="-",0,IFERROR(INDEX(IF($B$2="SV",'Projekt-Budget-Übersicht'!$H:$H,IF($B$2="CAD",'Projekt-Budget-Übersicht'!$I:$I,IF($B$2="ADM",'Projekt-Budget-Übersicht'!$J:$J,'Projekt-Budget-Übersicht'!$H:$H))),MATCH(5020,'Projekt-Budget-Übersicht'!$L:$L,0)),0))</f>
        <v>0</v>
      </c>
      <c r="M99" s="10">
        <f t="shared" si="13"/>
        <v>0</v>
      </c>
      <c r="N99" s="10">
        <f t="shared" si="14"/>
        <v>0</v>
      </c>
      <c r="O99" s="10">
        <f t="shared" si="15"/>
        <v>0</v>
      </c>
      <c r="P99" s="10">
        <f>'R. Wagen CAD'!M99</f>
        <v>0</v>
      </c>
      <c r="Q99" s="10">
        <f>IFERROR(INDEX('Projekt-Budget-Übersicht'!$E:$E,MATCH(5020,'Projekt-Budget-Übersicht'!$L:$L,0)),0)</f>
        <v>0</v>
      </c>
      <c r="R99" s="10">
        <v>756.58</v>
      </c>
      <c r="S99" s="4"/>
      <c r="T99" s="4"/>
      <c r="U99" s="4"/>
    </row>
    <row r="100" spans="1:21" x14ac:dyDescent="0.25">
      <c r="A100" s="4" t="s">
        <v>5056</v>
      </c>
      <c r="B100" s="4" t="s">
        <v>5486</v>
      </c>
      <c r="C100" s="4" t="str">
        <f>IFERROR(INDEX('Projekt-Budget-Übersicht'!$C:$C,MATCH(5033,'Projekt-Budget-Übersicht'!$L:$L,0)),"")</f>
        <v/>
      </c>
      <c r="D100" s="4">
        <v>8</v>
      </c>
      <c r="E100" s="4">
        <v>11.25</v>
      </c>
      <c r="F100" s="5">
        <f>SUM(F21,I21,K21)</f>
        <v>8.75</v>
      </c>
      <c r="G100" s="15">
        <v>140.62</v>
      </c>
      <c r="H100" s="5">
        <f>SUM(H21)</f>
        <v>0</v>
      </c>
      <c r="I100" s="5">
        <f t="shared" si="12"/>
        <v>0</v>
      </c>
      <c r="J100" s="4" t="s">
        <v>5531</v>
      </c>
      <c r="K100" s="5">
        <f>SUM(K21)</f>
        <v>0</v>
      </c>
      <c r="L100" s="10">
        <f>IF($B$2="-",0,IFERROR(INDEX(IF($B$2="SV",'Projekt-Budget-Übersicht'!$H:$H,IF($B$2="CAD",'Projekt-Budget-Übersicht'!$I:$I,IF($B$2="ADM",'Projekt-Budget-Übersicht'!$J:$J,'Projekt-Budget-Übersicht'!$H:$H))),MATCH(5033,'Projekt-Budget-Übersicht'!$L:$L,0)),0))</f>
        <v>0</v>
      </c>
      <c r="M100" s="10">
        <f t="shared" si="13"/>
        <v>0</v>
      </c>
      <c r="N100" s="10">
        <f t="shared" si="14"/>
        <v>0</v>
      </c>
      <c r="O100" s="10">
        <f t="shared" si="15"/>
        <v>0</v>
      </c>
      <c r="P100" s="10">
        <f>'O. Haag BS-CAD'!M208+'R. Wagen CAD'!M100</f>
        <v>0</v>
      </c>
      <c r="Q100" s="10">
        <f>IFERROR(INDEX('Projekt-Budget-Übersicht'!$E:$E,MATCH(5033,'Projekt-Budget-Übersicht'!$L:$L,0)),0)</f>
        <v>0</v>
      </c>
      <c r="R100" s="10"/>
      <c r="S100" s="4"/>
      <c r="T100" s="4"/>
      <c r="U100" s="4"/>
    </row>
    <row r="102" spans="1:21" x14ac:dyDescent="0.25">
      <c r="A102" s="3"/>
      <c r="B102" s="3" t="s">
        <v>5492</v>
      </c>
      <c r="C102" s="3"/>
      <c r="D102" s="3"/>
      <c r="E102" s="3"/>
      <c r="F102" s="6">
        <f>SUM(F23,F49,F63)</f>
        <v>286.5</v>
      </c>
      <c r="G102" s="3"/>
      <c r="H102" s="3"/>
      <c r="I102" s="3"/>
      <c r="J102" s="3"/>
      <c r="K102" s="3"/>
      <c r="L102" s="3"/>
      <c r="M102" s="17">
        <f>SUM(M78:M100)</f>
        <v>0</v>
      </c>
      <c r="N102" s="17">
        <f>SUM(N78:N100)</f>
        <v>0</v>
      </c>
      <c r="O102" s="17">
        <f>SUM(O78:O100)</f>
        <v>0</v>
      </c>
      <c r="P102" s="17">
        <f>SUM(P78:P100)</f>
        <v>0</v>
      </c>
      <c r="Q102" s="3"/>
      <c r="R102" s="3"/>
      <c r="S102" s="3"/>
      <c r="T102" s="3"/>
      <c r="U102" s="3"/>
    </row>
    <row r="103" spans="1:21" x14ac:dyDescent="0.25">
      <c r="A103" s="3"/>
      <c r="B103" s="3" t="s">
        <v>4</v>
      </c>
      <c r="C103" s="3"/>
      <c r="D103" s="3"/>
      <c r="E103" s="3"/>
      <c r="F103" s="6">
        <f>G103+H103</f>
        <v>136.75</v>
      </c>
      <c r="G103" s="6">
        <f>SUM(G24,G50,G64)</f>
        <v>136.75</v>
      </c>
      <c r="H103" s="6">
        <v>0</v>
      </c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1:21" x14ac:dyDescent="0.25">
      <c r="A104" s="3"/>
      <c r="B104" s="3" t="s">
        <v>5</v>
      </c>
      <c r="C104" s="3"/>
      <c r="D104" s="3"/>
      <c r="E104" s="3"/>
      <c r="F104" s="6">
        <f>G104+H104</f>
        <v>9</v>
      </c>
      <c r="G104" s="6">
        <f>SUM(G25,G51,G65)</f>
        <v>9</v>
      </c>
      <c r="H104" s="6">
        <v>0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1:21" x14ac:dyDescent="0.25">
      <c r="A105" s="3"/>
      <c r="B105" s="3" t="s">
        <v>5493</v>
      </c>
      <c r="C105" s="3"/>
      <c r="D105" s="3"/>
      <c r="E105" s="3"/>
      <c r="F105" s="6">
        <f>SUM(F26,F52,F66)</f>
        <v>0</v>
      </c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1:21" x14ac:dyDescent="0.25">
      <c r="A106" s="18"/>
      <c r="B106" s="18" t="s">
        <v>5494</v>
      </c>
      <c r="C106" s="18"/>
      <c r="D106" s="18"/>
      <c r="E106" s="18"/>
      <c r="F106" s="19">
        <f>F103+F104+F105</f>
        <v>145.75</v>
      </c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8" spans="1:21" ht="15.75" x14ac:dyDescent="0.25">
      <c r="A108" s="2" t="s">
        <v>5532</v>
      </c>
    </row>
    <row r="109" spans="1:21" x14ac:dyDescent="0.25">
      <c r="A109" s="13" t="s">
        <v>10</v>
      </c>
      <c r="B109" s="13">
        <v>286.5</v>
      </c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</row>
    <row r="110" spans="1:21" x14ac:dyDescent="0.25">
      <c r="A110" s="13" t="s">
        <v>11</v>
      </c>
      <c r="B110" s="20">
        <f>SUM(F24,F50,F64)</f>
        <v>136.75</v>
      </c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</row>
    <row r="111" spans="1:21" x14ac:dyDescent="0.25">
      <c r="A111" s="13" t="s">
        <v>12</v>
      </c>
      <c r="B111" s="20">
        <f>SUM(F25,F51,F65)</f>
        <v>9</v>
      </c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</row>
  </sheetData>
  <mergeCells count="5">
    <mergeCell ref="A58:A60"/>
    <mergeCell ref="A34:A37"/>
    <mergeCell ref="A80:A84"/>
    <mergeCell ref="A14:A15"/>
    <mergeCell ref="A6:A10"/>
  </mergeCells>
  <conditionalFormatting sqref="I6:I22">
    <cfRule type="cellIs" dxfId="18" priority="1" stopIfTrue="1" operator="lessThan">
      <formula>0</formula>
    </cfRule>
  </conditionalFormatting>
  <conditionalFormatting sqref="I31:I48">
    <cfRule type="cellIs" dxfId="17" priority="18" stopIfTrue="1" operator="lessThan">
      <formula>0</formula>
    </cfRule>
  </conditionalFormatting>
  <conditionalFormatting sqref="I57:I62">
    <cfRule type="cellIs" dxfId="16" priority="36" stopIfTrue="1" operator="lessThan">
      <formula>0</formula>
    </cfRule>
  </conditionalFormatting>
  <conditionalFormatting sqref="I78:I100">
    <cfRule type="cellIs" dxfId="15" priority="42" stopIfTrue="1" operator="lessThan">
      <formula>0</formula>
    </cfRule>
  </conditionalFormatting>
  <dataValidations count="5">
    <dataValidation type="list" sqref="B2" xr:uid="{00000000-0002-0000-1000-000000000000}">
      <formula1>"SV,CAD,ADM,Pauschale,-"</formula1>
    </dataValidation>
    <dataValidation type="list" allowBlank="1" sqref="T57:T62 T31:T48 T6:T22" xr:uid="{00000000-0002-0000-1000-000001000000}">
      <formula1>"SR,AZ"</formula1>
    </dataValidation>
    <dataValidation type="list" allowBlank="1" sqref="J15 J44 J41:J42 J32 J19" xr:uid="{00000000-0002-0000-1000-00000A000000}">
      <formula1>"O. Haag BS-CAD"</formula1>
    </dataValidation>
    <dataValidation type="list" allowBlank="1" sqref="J31" xr:uid="{00000000-0002-0000-1000-000014000000}">
      <formula1>"A. Kokott,M. Bandlofsky,O. Haag BS-CAD,P. Bergner,T. Trautmann,U. Sutter ADM"</formula1>
    </dataValidation>
    <dataValidation type="list" allowBlank="1" sqref="J57" xr:uid="{00000000-0002-0000-1000-00002B000000}">
      <formula1>"A. Kokott,C. Trapp SV,J. Dorn,M. Bandlofsky,O. Haag BS-CAD,T. Trautmann,U. Sutter ADM"</formula1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8"/>
  <dimension ref="A1:U51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5663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5495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5496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1377</v>
      </c>
      <c r="B6" s="4" t="s">
        <v>5542</v>
      </c>
      <c r="C6" s="4" t="str">
        <f>IFERROR(INDEX('Projekt-Budget-Übersicht'!$C:$C,MATCH(1494,'Projekt-Budget-Übersicht'!$L:$L,0)),"")</f>
        <v/>
      </c>
      <c r="D6" s="4">
        <v>562</v>
      </c>
      <c r="E6" s="4">
        <v>244.5</v>
      </c>
      <c r="F6" s="4">
        <v>18.5</v>
      </c>
      <c r="G6" s="16">
        <v>43.51</v>
      </c>
      <c r="H6" s="5"/>
      <c r="I6" s="5">
        <f>IF(H6=0,0,F6-H6)</f>
        <v>0</v>
      </c>
      <c r="J6" s="4"/>
      <c r="K6" s="5">
        <f>IF('C. Trapp SV'!J38="S. Roßkopf",'C. Trapp SV'!I38,0)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6" s="10">
        <f>IF($B$2="-",0,IF(C6="Pauschale",IF(OR(R6=0,N(D6)=0),0,MAX(0,MIN(R6*((N(F6)+N(K6))/N(D6)),R6-R6*(N(E6)/N(D6))))),L6*(N(F6)+N(K6))))</f>
        <v>0</v>
      </c>
      <c r="N6" s="10">
        <f>IF($B$2="-",0,IF(C6="Pauschale",IF(OR(R6=0,N(D6)=0),0,R6*((N(F6)+N(K6))/N(D6))),L6*(N(F6)+N(K6))))</f>
        <v>0</v>
      </c>
      <c r="O6" s="10">
        <f>N6-M6</f>
        <v>0</v>
      </c>
      <c r="P6" s="10">
        <f>'C. Trapp SV'!M38+'S. Roßkopf'!M6</f>
        <v>0</v>
      </c>
      <c r="Q6" s="10">
        <v>1516</v>
      </c>
      <c r="R6" s="10">
        <f>IFERROR(INDEX('Projekt-Budget-Übersicht'!$F:$F,MATCH(1494,'Projekt-Budget-Übersicht'!$L:$L,0)),0)</f>
        <v>0</v>
      </c>
      <c r="S6" s="10">
        <v>573.22</v>
      </c>
      <c r="T6" s="4"/>
      <c r="U6" s="4"/>
    </row>
    <row r="7" spans="1:21" x14ac:dyDescent="0.25">
      <c r="A7" s="4" t="s">
        <v>1490</v>
      </c>
      <c r="B7" s="4" t="s">
        <v>5499</v>
      </c>
      <c r="C7" s="4" t="str">
        <f>IFERROR(INDEX('Projekt-Budget-Übersicht'!$C:$C,MATCH(1677,'Projekt-Budget-Übersicht'!$L:$L,0)),"")</f>
        <v/>
      </c>
      <c r="D7" s="4">
        <v>32</v>
      </c>
      <c r="E7" s="4">
        <v>51.75</v>
      </c>
      <c r="F7" s="4">
        <v>16</v>
      </c>
      <c r="G7" s="15">
        <v>161.72</v>
      </c>
      <c r="H7" s="5"/>
      <c r="I7" s="5">
        <f>IF(H7=0,0,F7-H7)</f>
        <v>0</v>
      </c>
      <c r="J7" s="4"/>
      <c r="K7" s="5">
        <f>IF('A. Kokott'!J47="S. Roßkopf",'A. Kokott'!I47,0)+IF('C. Trapp SV'!J39="S. Roßkopf",'C. Trapp SV'!I39,0)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IF($B$2="-",0,IFERROR(INDEX(IF($B$2="SV",'Projekt-Budget-Übersicht'!$I:$I,IF($B$2="CAD",'Projekt-Budget-Übersicht'!$J:$J,IF($B$2="ADM",'Projekt-Budget-Übersicht'!$K:$K,'Projekt-Budget-Übersicht'!$I:$I))),MATCH(1677,'Projekt-Budget-Übersicht'!$M:$M,0)),0))</f>
        <v>170</v>
      </c>
      <c r="M7" s="10">
        <f>IF($B$2="-",0,IF(C7="Pauschale",IF(OR(R7=0,N(D7)=0),0,MAX(0,MIN(R7*((N(F7)+N(K7))/N(D7)),R7-R7*(N(E7)/N(D7))))),L7*(N(F7)+N(K7))))</f>
        <v>2720</v>
      </c>
      <c r="N7" s="10">
        <f>IF($B$2="-",0,IF(C7="Pauschale",IF(OR(R7=0,N(D7)=0),0,R7*((N(F7)+N(K7))/N(D7))),L7*(N(F7)+N(K7))))</f>
        <v>2720</v>
      </c>
      <c r="O7" s="10">
        <f>N7-M7</f>
        <v>0</v>
      </c>
      <c r="P7" s="10">
        <f>'A. Kokott'!M47+'C. Trapp SV'!M39+'S. Roßkopf'!M7</f>
        <v>8585</v>
      </c>
      <c r="Q7" s="10">
        <v>32</v>
      </c>
      <c r="R7" s="10">
        <f>IFERROR(INDEX('Projekt-Budget-Übersicht'!$F:$F,MATCH(1677,'Projekt-Budget-Übersicht'!$L:$L,0)),0)</f>
        <v>0</v>
      </c>
      <c r="S7" s="10">
        <v>42.5</v>
      </c>
      <c r="T7" s="4"/>
      <c r="U7" s="4"/>
    </row>
    <row r="8" spans="1:21" x14ac:dyDescent="0.25">
      <c r="A8" s="4" t="s">
        <v>2913</v>
      </c>
      <c r="B8" s="4" t="s">
        <v>5544</v>
      </c>
      <c r="C8" s="4" t="str">
        <f>IFERROR(INDEX('Projekt-Budget-Übersicht'!$C:$C,MATCH(3188,'Projekt-Budget-Übersicht'!$L:$L,0)),"")</f>
        <v/>
      </c>
      <c r="D8" s="4">
        <v>3640</v>
      </c>
      <c r="E8" s="4">
        <v>200</v>
      </c>
      <c r="F8" s="4">
        <v>7</v>
      </c>
      <c r="G8" s="16">
        <v>5.49</v>
      </c>
      <c r="H8" s="5"/>
      <c r="I8" s="5">
        <f>IF(H8=0,0,F8-H8)</f>
        <v>0</v>
      </c>
      <c r="J8" s="4"/>
      <c r="K8" s="5">
        <f>IF('C. Trapp SV'!J42="S. Roßkopf",'C. Trapp SV'!I42,0)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8" s="10">
        <f>IF($B$2="-",0,IF(C8="Pauschale",IF(OR(R8=0,N(D8)=0),0,MAX(0,MIN(R8*((N(F8)+N(K8))/N(D8)),R8-R8*(N(E8)/N(D8))))),L8*(N(F8)+N(K8))))</f>
        <v>0</v>
      </c>
      <c r="N8" s="10">
        <f>IF($B$2="-",0,IF(C8="Pauschale",IF(OR(R8=0,N(D8)=0),0,R8*((N(F8)+N(K8))/N(D8))),L8*(N(F8)+N(K8))))</f>
        <v>0</v>
      </c>
      <c r="O8" s="10">
        <f>N8-M8</f>
        <v>0</v>
      </c>
      <c r="P8" s="10">
        <f>'C. Trapp SV'!M42+'S. Roßkopf'!M8</f>
        <v>0</v>
      </c>
      <c r="Q8" s="10">
        <v>8840</v>
      </c>
      <c r="R8" s="10">
        <f>IFERROR(INDEX('Projekt-Budget-Übersicht'!$F:$F,MATCH(3188,'Projekt-Budget-Übersicht'!$L:$L,0)),0)</f>
        <v>0</v>
      </c>
      <c r="S8" s="10">
        <v>12198.75</v>
      </c>
      <c r="T8" s="4"/>
      <c r="U8" s="4"/>
    </row>
    <row r="9" spans="1:21" x14ac:dyDescent="0.25">
      <c r="A9" s="4" t="s">
        <v>3070</v>
      </c>
      <c r="B9" s="4" t="s">
        <v>5542</v>
      </c>
      <c r="C9" s="4" t="str">
        <f>IFERROR(INDEX('Projekt-Budget-Übersicht'!$C:$C,MATCH(3322,'Projekt-Budget-Übersicht'!$L:$L,0)),"")</f>
        <v/>
      </c>
      <c r="D9" s="4">
        <v>540</v>
      </c>
      <c r="E9" s="4">
        <v>448</v>
      </c>
      <c r="F9" s="4">
        <v>14.75</v>
      </c>
      <c r="G9" s="16">
        <v>82.96</v>
      </c>
      <c r="H9" s="5"/>
      <c r="I9" s="5">
        <f>IF(H9=0,0,F9-H9)</f>
        <v>0</v>
      </c>
      <c r="J9" s="4"/>
      <c r="K9" s="5">
        <f>IF('C. Trapp SV'!J46="S. Roßkopf",'C. Trapp SV'!I46,0)+IF('U. Sutter ADM'!J40="S. Roßkopf",'U. Sutter ADM'!I40,0)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9" s="10">
        <f>IF($B$2="-",0,IF(C9="Pauschale",IF(OR(R9=0,N(D9)=0),0,MAX(0,MIN(R9*((N(F9)+N(K9))/N(D9)),R9-R9*(N(E9)/N(D9))))),L9*(N(F9)+N(K9))))</f>
        <v>0</v>
      </c>
      <c r="N9" s="10">
        <f>IF($B$2="-",0,IF(C9="Pauschale",IF(OR(R9=0,N(D9)=0),0,R9*((N(F9)+N(K9))/N(D9))),L9*(N(F9)+N(K9))))</f>
        <v>0</v>
      </c>
      <c r="O9" s="10">
        <f>N9-M9</f>
        <v>0</v>
      </c>
      <c r="P9" s="10">
        <f>'C. Trapp SV'!M46+'S. Roßkopf'!M9+'U. Sutter ADM'!M40</f>
        <v>0</v>
      </c>
      <c r="Q9" s="10">
        <v>768</v>
      </c>
      <c r="R9" s="10">
        <f>IFERROR(INDEX('Projekt-Budget-Übersicht'!$F:$F,MATCH(3322,'Projekt-Budget-Übersicht'!$L:$L,0)),0)</f>
        <v>0</v>
      </c>
      <c r="S9" s="10">
        <v>1887.87</v>
      </c>
      <c r="T9" s="4"/>
      <c r="U9" s="4"/>
    </row>
    <row r="10" spans="1:21" x14ac:dyDescent="0.25">
      <c r="A10" s="3"/>
      <c r="B10" s="3" t="s">
        <v>5492</v>
      </c>
      <c r="C10" s="3"/>
      <c r="D10" s="3"/>
      <c r="E10" s="3"/>
      <c r="F10" s="6">
        <v>56.25</v>
      </c>
      <c r="G10" s="3"/>
      <c r="H10" s="3"/>
      <c r="I10" s="3"/>
      <c r="J10" s="3"/>
      <c r="K10" s="3"/>
      <c r="L10" s="3"/>
      <c r="M10" s="17">
        <f>SUM(M6:M9)</f>
        <v>2720</v>
      </c>
      <c r="N10" s="17">
        <f>SUM(N6:N9)</f>
        <v>2720</v>
      </c>
      <c r="O10" s="17">
        <f>SUM(O6:O9)</f>
        <v>0</v>
      </c>
      <c r="P10" s="17">
        <f>SUM(P6:P9)</f>
        <v>8585</v>
      </c>
      <c r="Q10" s="3"/>
      <c r="R10" s="3"/>
      <c r="S10" s="3"/>
      <c r="T10" s="3"/>
      <c r="U10" s="3"/>
    </row>
    <row r="11" spans="1:21" x14ac:dyDescent="0.25">
      <c r="A11" s="3"/>
      <c r="B11" s="3" t="s">
        <v>4</v>
      </c>
      <c r="C11" s="3"/>
      <c r="D11" s="3"/>
      <c r="E11" s="3"/>
      <c r="F11" s="6">
        <f>G11+H11</f>
        <v>40.25</v>
      </c>
      <c r="G11" s="6">
        <v>40.25</v>
      </c>
      <c r="H11" s="6">
        <f>SUM(H6,H7,H8,H9)</f>
        <v>0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x14ac:dyDescent="0.25">
      <c r="A12" s="3"/>
      <c r="B12" s="3" t="s">
        <v>5</v>
      </c>
      <c r="C12" s="3"/>
      <c r="D12" s="3"/>
      <c r="E12" s="3"/>
      <c r="F12" s="6">
        <v>0</v>
      </c>
      <c r="G12" s="6">
        <v>0</v>
      </c>
      <c r="H12" s="6">
        <v>0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x14ac:dyDescent="0.25">
      <c r="A13" s="3"/>
      <c r="B13" s="3" t="s">
        <v>5493</v>
      </c>
      <c r="C13" s="3"/>
      <c r="D13" s="3"/>
      <c r="E13" s="3"/>
      <c r="F13" s="6">
        <f>SUM(K6:K9)</f>
        <v>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1" x14ac:dyDescent="0.25">
      <c r="A14" s="18"/>
      <c r="B14" s="18" t="s">
        <v>5494</v>
      </c>
      <c r="C14" s="18"/>
      <c r="D14" s="18"/>
      <c r="E14" s="18"/>
      <c r="F14" s="19">
        <f>F11+F12+F13</f>
        <v>40.25</v>
      </c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6" spans="1:21" ht="15.75" x14ac:dyDescent="0.25">
      <c r="A16" s="2" t="s">
        <v>5512</v>
      </c>
    </row>
    <row r="17" spans="1:21" x14ac:dyDescent="0.25">
      <c r="A17" s="3" t="s">
        <v>35</v>
      </c>
      <c r="B17" s="3" t="s">
        <v>5461</v>
      </c>
      <c r="C17" s="3" t="s">
        <v>37</v>
      </c>
      <c r="D17" s="3" t="s">
        <v>5462</v>
      </c>
      <c r="E17" s="3" t="s">
        <v>5463</v>
      </c>
      <c r="F17" s="3" t="s">
        <v>5513</v>
      </c>
      <c r="G17" s="3" t="s">
        <v>5465</v>
      </c>
      <c r="H17" s="3" t="s">
        <v>5466</v>
      </c>
      <c r="I17" s="3" t="s">
        <v>5467</v>
      </c>
      <c r="J17" s="3" t="s">
        <v>5468</v>
      </c>
      <c r="K17" s="3" t="s">
        <v>5469</v>
      </c>
      <c r="L17" s="3" t="s">
        <v>5470</v>
      </c>
      <c r="M17" s="3" t="s">
        <v>5471</v>
      </c>
      <c r="N17" s="3" t="s">
        <v>5472</v>
      </c>
      <c r="O17" s="3" t="s">
        <v>5473</v>
      </c>
      <c r="P17" s="3" t="s">
        <v>5474</v>
      </c>
      <c r="Q17" s="3" t="s">
        <v>5475</v>
      </c>
      <c r="R17" s="3" t="s">
        <v>5476</v>
      </c>
      <c r="S17" s="3" t="s">
        <v>5477</v>
      </c>
      <c r="T17" s="3" t="s">
        <v>5478</v>
      </c>
      <c r="U17" s="3" t="s">
        <v>5479</v>
      </c>
    </row>
    <row r="18" spans="1:21" x14ac:dyDescent="0.25">
      <c r="A18" s="4" t="s">
        <v>1377</v>
      </c>
      <c r="B18" s="4" t="s">
        <v>5542</v>
      </c>
      <c r="C18" s="4" t="str">
        <f>IFERROR(INDEX('Projekt-Budget-Übersicht'!$C:$C,MATCH(1494,'Projekt-Budget-Übersicht'!$L:$L,0)),"")</f>
        <v/>
      </c>
      <c r="D18" s="4">
        <v>562</v>
      </c>
      <c r="E18" s="4">
        <v>285.25</v>
      </c>
      <c r="F18" s="4">
        <v>14.25</v>
      </c>
      <c r="G18" s="16">
        <v>50.76</v>
      </c>
      <c r="H18" s="5"/>
      <c r="I18" s="5">
        <f>IF(H18=0,0,F18-H18)</f>
        <v>0</v>
      </c>
      <c r="J18" s="4"/>
      <c r="K18" s="5">
        <f>IF('C. Trapp SV'!J61="S. Roßkopf",'C. Trapp SV'!I61,0)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18" s="10">
        <f>IF($B$2="-",0,IF(C18="Pauschale",IF(OR(R18=0,N(D18)=0),0,MAX(0,MIN(R18*((N(F18)+N(K18))/N(D18)),R18-R18*(N(E18)/N(D18))))),L18*(N(F18)+N(K18))))</f>
        <v>0</v>
      </c>
      <c r="N18" s="10">
        <f>IF($B$2="-",0,IF(C18="Pauschale",IF(OR(R18=0,N(D18)=0),0,R18*((N(F18)+N(K18))/N(D18))),L18*(N(F18)+N(K18))))</f>
        <v>0</v>
      </c>
      <c r="O18" s="10">
        <f>N18-M18</f>
        <v>0</v>
      </c>
      <c r="P18" s="10">
        <f>'C. Trapp SV'!M61+'S. Roßkopf'!M18</f>
        <v>0</v>
      </c>
      <c r="Q18" s="10">
        <v>1516</v>
      </c>
      <c r="R18" s="10">
        <f>IFERROR(INDEX('Projekt-Budget-Übersicht'!$F:$F,MATCH(1494,'Projekt-Budget-Übersicht'!$L:$L,0)),0)</f>
        <v>0</v>
      </c>
      <c r="S18" s="10">
        <v>573.22</v>
      </c>
      <c r="T18" s="4"/>
      <c r="U18" s="4"/>
    </row>
    <row r="19" spans="1:21" x14ac:dyDescent="0.25">
      <c r="A19" s="4" t="s">
        <v>1490</v>
      </c>
      <c r="B19" s="4" t="s">
        <v>5543</v>
      </c>
      <c r="C19" s="4" t="str">
        <f>IFERROR(INDEX('Projekt-Budget-Übersicht'!$C:$C,MATCH(1678,'Projekt-Budget-Übersicht'!$L:$L,0)),"")</f>
        <v/>
      </c>
      <c r="D19" s="4">
        <v>240</v>
      </c>
      <c r="E19" s="4">
        <v>188.5</v>
      </c>
      <c r="F19" s="4">
        <v>10.5</v>
      </c>
      <c r="G19" s="16">
        <v>78.540000000000006</v>
      </c>
      <c r="H19" s="5"/>
      <c r="I19" s="5">
        <f>IF(H19=0,0,F19-H19)</f>
        <v>0</v>
      </c>
      <c r="J19" s="4"/>
      <c r="K19" s="5">
        <f>IF('C. Trapp SV'!J62="S. Roßkopf",'C. Trapp SV'!I62,0)+IF('U. Sutter ADM'!J56="S. Roßkopf",'U. Sutter ADM'!I56,0)</f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19" s="10">
        <f>IF($B$2="-",0,IF(C19="Pauschale",IF(OR(R19=0,N(D19)=0),0,MAX(0,MIN(R19*((N(F19)+N(K19))/N(D19)),R19-R19*(N(E19)/N(D19))))),L19*(N(F19)+N(K19))))</f>
        <v>0</v>
      </c>
      <c r="N19" s="10">
        <f>IF($B$2="-",0,IF(C19="Pauschale",IF(OR(R19=0,N(D19)=0),0,R19*((N(F19)+N(K19))/N(D19))),L19*(N(F19)+N(K19))))</f>
        <v>0</v>
      </c>
      <c r="O19" s="10">
        <f>N19-M19</f>
        <v>0</v>
      </c>
      <c r="P19" s="10">
        <f>'C. Trapp SV'!M62+'S. Roßkopf'!M19+'U. Sutter ADM'!M56</f>
        <v>0</v>
      </c>
      <c r="Q19" s="10">
        <v>272</v>
      </c>
      <c r="R19" s="10">
        <f>IFERROR(INDEX('Projekt-Budget-Übersicht'!$F:$F,MATCH(1678,'Projekt-Budget-Übersicht'!$L:$L,0)),0)</f>
        <v>0</v>
      </c>
      <c r="S19" s="10">
        <v>4718.17</v>
      </c>
      <c r="T19" s="4"/>
      <c r="U19" s="4"/>
    </row>
    <row r="20" spans="1:21" x14ac:dyDescent="0.25">
      <c r="A20" s="4" t="s">
        <v>2913</v>
      </c>
      <c r="B20" s="4" t="s">
        <v>5544</v>
      </c>
      <c r="C20" s="4" t="str">
        <f>IFERROR(INDEX('Projekt-Budget-Übersicht'!$C:$C,MATCH(3188,'Projekt-Budget-Übersicht'!$L:$L,0)),"")</f>
        <v/>
      </c>
      <c r="D20" s="4">
        <v>3640</v>
      </c>
      <c r="E20" s="4">
        <v>230</v>
      </c>
      <c r="F20" s="4">
        <v>5</v>
      </c>
      <c r="G20" s="16">
        <v>6.32</v>
      </c>
      <c r="H20" s="5"/>
      <c r="I20" s="5">
        <f>IF(H20=0,0,F20-H20)</f>
        <v>0</v>
      </c>
      <c r="J20" s="4"/>
      <c r="K20" s="5">
        <f>IF('C. Trapp SV'!J63="S. Roßkopf",'C. Trapp SV'!I63,0)</f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IF($B$2="-",0,IFERROR(INDEX(IF($B$2="SV",'Projekt-Budget-Übersicht'!$I:$I,IF($B$2="CAD",'Projekt-Budget-Übersicht'!$J:$J,IF($B$2="ADM",'Projekt-Budget-Übersicht'!$K:$K,'Projekt-Budget-Übersicht'!$I:$I))),MATCH(3188,'Projekt-Budget-Übersicht'!$M:$M,0)),0))</f>
        <v>0</v>
      </c>
      <c r="M20" s="10">
        <f>IF($B$2="-",0,IF(C20="Pauschale",IF(OR(R20=0,N(D20)=0),0,MAX(0,MIN(R20*((N(F20)+N(K20))/N(D20)),R20-R20*(N(E20)/N(D20))))),L20*(N(F20)+N(K20))))</f>
        <v>0</v>
      </c>
      <c r="N20" s="10">
        <f>IF($B$2="-",0,IF(C20="Pauschale",IF(OR(R20=0,N(D20)=0),0,R20*((N(F20)+N(K20))/N(D20))),L20*(N(F20)+N(K20))))</f>
        <v>0</v>
      </c>
      <c r="O20" s="10">
        <f>N20-M20</f>
        <v>0</v>
      </c>
      <c r="P20" s="10">
        <f>'C. Trapp SV'!M63+'S. Roßkopf'!M20</f>
        <v>0</v>
      </c>
      <c r="Q20" s="10">
        <v>8840</v>
      </c>
      <c r="R20" s="10">
        <f>IFERROR(INDEX('Projekt-Budget-Übersicht'!$F:$F,MATCH(3188,'Projekt-Budget-Übersicht'!$L:$L,0)),0)</f>
        <v>0</v>
      </c>
      <c r="S20" s="10">
        <v>12198.75</v>
      </c>
      <c r="T20" s="4"/>
      <c r="U20" s="4"/>
    </row>
    <row r="21" spans="1:21" x14ac:dyDescent="0.25">
      <c r="A21" s="4" t="s">
        <v>3070</v>
      </c>
      <c r="B21" s="4" t="s">
        <v>5542</v>
      </c>
      <c r="C21" s="4" t="str">
        <f>IFERROR(INDEX('Projekt-Budget-Übersicht'!$C:$C,MATCH(3322,'Projekt-Budget-Übersicht'!$L:$L,0)),"")</f>
        <v/>
      </c>
      <c r="D21" s="4">
        <v>540</v>
      </c>
      <c r="E21" s="4">
        <v>536.5</v>
      </c>
      <c r="F21" s="4">
        <v>41.5</v>
      </c>
      <c r="G21" s="14">
        <v>99.35</v>
      </c>
      <c r="H21" s="5"/>
      <c r="I21" s="5">
        <f>IF(H21=0,0,F21-H21)</f>
        <v>0</v>
      </c>
      <c r="J21" s="4"/>
      <c r="K21" s="5">
        <f>IF('C. Trapp SV'!J64="S. Roßkopf",'C. Trapp SV'!I64,0)</f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21" s="10">
        <f>IF($B$2="-",0,IF(C21="Pauschale",IF(OR(R21=0,N(D21)=0),0,MAX(0,MIN(R21*((N(F21)+N(K21))/N(D21)),R21-R21*(N(E21)/N(D21))))),L21*(N(F21)+N(K21))))</f>
        <v>0</v>
      </c>
      <c r="N21" s="10">
        <f>IF($B$2="-",0,IF(C21="Pauschale",IF(OR(R21=0,N(D21)=0),0,R21*((N(F21)+N(K21))/N(D21))),L21*(N(F21)+N(K21))))</f>
        <v>0</v>
      </c>
      <c r="O21" s="10">
        <f>N21-M21</f>
        <v>0</v>
      </c>
      <c r="P21" s="10">
        <f>'C. Trapp SV'!M64+'S. Roßkopf'!M21</f>
        <v>0</v>
      </c>
      <c r="Q21" s="10">
        <v>768</v>
      </c>
      <c r="R21" s="10">
        <f>IFERROR(INDEX('Projekt-Budget-Übersicht'!$F:$F,MATCH(3322,'Projekt-Budget-Übersicht'!$L:$L,0)),0)</f>
        <v>0</v>
      </c>
      <c r="S21" s="10">
        <v>1887.87</v>
      </c>
      <c r="T21" s="4"/>
      <c r="U21" s="4"/>
    </row>
    <row r="22" spans="1:21" x14ac:dyDescent="0.25">
      <c r="A22" s="3"/>
      <c r="B22" s="3" t="s">
        <v>5492</v>
      </c>
      <c r="C22" s="3"/>
      <c r="D22" s="3"/>
      <c r="E22" s="3"/>
      <c r="F22" s="6">
        <v>71.25</v>
      </c>
      <c r="G22" s="3"/>
      <c r="H22" s="3"/>
      <c r="I22" s="3"/>
      <c r="J22" s="3"/>
      <c r="K22" s="3"/>
      <c r="L22" s="3"/>
      <c r="M22" s="17">
        <f>SUM(M18:M21)</f>
        <v>0</v>
      </c>
      <c r="N22" s="17">
        <f>SUM(N18:N21)</f>
        <v>0</v>
      </c>
      <c r="O22" s="17">
        <f>SUM(O18:O21)</f>
        <v>0</v>
      </c>
      <c r="P22" s="17">
        <f>SUM(P18:P21)</f>
        <v>0</v>
      </c>
      <c r="Q22" s="3"/>
      <c r="R22" s="3"/>
      <c r="S22" s="3"/>
      <c r="T22" s="3"/>
      <c r="U22" s="3"/>
    </row>
    <row r="23" spans="1:21" x14ac:dyDescent="0.25">
      <c r="A23" s="3"/>
      <c r="B23" s="3" t="s">
        <v>4</v>
      </c>
      <c r="C23" s="3"/>
      <c r="D23" s="3"/>
      <c r="E23" s="3"/>
      <c r="F23" s="6">
        <f>G23+H23</f>
        <v>71.25</v>
      </c>
      <c r="G23" s="6">
        <v>71.25</v>
      </c>
      <c r="H23" s="6">
        <f>SUM(H18,H19,H20,H21)</f>
        <v>0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3"/>
      <c r="B24" s="3" t="s">
        <v>5</v>
      </c>
      <c r="C24" s="3"/>
      <c r="D24" s="3"/>
      <c r="E24" s="3"/>
      <c r="F24" s="6">
        <v>0</v>
      </c>
      <c r="G24" s="6">
        <v>0</v>
      </c>
      <c r="H24" s="6"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x14ac:dyDescent="0.25">
      <c r="A25" s="3"/>
      <c r="B25" s="3" t="s">
        <v>5493</v>
      </c>
      <c r="C25" s="3"/>
      <c r="D25" s="3"/>
      <c r="E25" s="3"/>
      <c r="F25" s="6">
        <f>SUM(K18:K21)</f>
        <v>0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x14ac:dyDescent="0.25">
      <c r="A26" s="18"/>
      <c r="B26" s="18" t="s">
        <v>5494</v>
      </c>
      <c r="C26" s="18"/>
      <c r="D26" s="18"/>
      <c r="E26" s="18"/>
      <c r="F26" s="19">
        <f>F23+F24+F25</f>
        <v>71.25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8" spans="1:21" ht="15.75" x14ac:dyDescent="0.25">
      <c r="A28" s="2" t="s">
        <v>5524</v>
      </c>
    </row>
    <row r="29" spans="1:21" x14ac:dyDescent="0.25">
      <c r="A29" s="3" t="s">
        <v>2</v>
      </c>
      <c r="B29" s="3" t="s">
        <v>5525</v>
      </c>
      <c r="C29" s="3" t="s">
        <v>5526</v>
      </c>
      <c r="D29" s="3" t="s">
        <v>4</v>
      </c>
      <c r="E29" s="3" t="s">
        <v>5</v>
      </c>
      <c r="F29" s="3" t="s">
        <v>5527</v>
      </c>
      <c r="G29" s="3" t="s">
        <v>5528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x14ac:dyDescent="0.25">
      <c r="A30" s="4" t="s">
        <v>7</v>
      </c>
      <c r="B30" s="4" t="s">
        <v>29</v>
      </c>
      <c r="C30" s="4">
        <f>F10</f>
        <v>56.25</v>
      </c>
      <c r="D30" s="4">
        <f>F11</f>
        <v>40.25</v>
      </c>
      <c r="E30" s="4">
        <f>F12</f>
        <v>0</v>
      </c>
      <c r="F30" s="4">
        <f>F13</f>
        <v>0</v>
      </c>
      <c r="G30" s="4">
        <f>F14</f>
        <v>40.25</v>
      </c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</row>
    <row r="31" spans="1:21" x14ac:dyDescent="0.25">
      <c r="A31" s="4" t="s">
        <v>8</v>
      </c>
      <c r="B31" s="4" t="s">
        <v>29</v>
      </c>
      <c r="C31" s="4">
        <f>F22</f>
        <v>71.25</v>
      </c>
      <c r="D31" s="4">
        <f>F23</f>
        <v>71.25</v>
      </c>
      <c r="E31" s="4">
        <f>F24</f>
        <v>0</v>
      </c>
      <c r="F31" s="4">
        <f>F25</f>
        <v>0</v>
      </c>
      <c r="G31" s="4">
        <f>F26</f>
        <v>71.25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</row>
    <row r="34" spans="1:21" ht="18.75" x14ac:dyDescent="0.3">
      <c r="A34" s="1" t="s">
        <v>5529</v>
      </c>
    </row>
    <row r="35" spans="1:21" x14ac:dyDescent="0.25">
      <c r="A35" s="3" t="s">
        <v>35</v>
      </c>
      <c r="B35" s="3" t="s">
        <v>5461</v>
      </c>
      <c r="C35" s="3" t="s">
        <v>37</v>
      </c>
      <c r="D35" s="3" t="s">
        <v>5462</v>
      </c>
      <c r="E35" s="3" t="s">
        <v>5463</v>
      </c>
      <c r="F35" s="3" t="s">
        <v>5530</v>
      </c>
      <c r="G35" s="3" t="s">
        <v>5465</v>
      </c>
      <c r="H35" s="3" t="s">
        <v>5466</v>
      </c>
      <c r="I35" s="3" t="s">
        <v>5467</v>
      </c>
      <c r="J35" s="3" t="s">
        <v>5468</v>
      </c>
      <c r="K35" s="3" t="s">
        <v>5469</v>
      </c>
      <c r="L35" s="3" t="s">
        <v>5470</v>
      </c>
      <c r="M35" s="3" t="s">
        <v>5471</v>
      </c>
      <c r="N35" s="3" t="s">
        <v>5472</v>
      </c>
      <c r="O35" s="3" t="s">
        <v>5473</v>
      </c>
      <c r="P35" s="3" t="s">
        <v>5474</v>
      </c>
      <c r="Q35" s="3" t="s">
        <v>5476</v>
      </c>
      <c r="R35" s="3" t="s">
        <v>5477</v>
      </c>
      <c r="S35" s="3"/>
      <c r="T35" s="3"/>
      <c r="U35" s="3"/>
    </row>
    <row r="36" spans="1:21" x14ac:dyDescent="0.25">
      <c r="A36" s="4" t="s">
        <v>1377</v>
      </c>
      <c r="B36" s="4" t="s">
        <v>5542</v>
      </c>
      <c r="C36" s="4" t="str">
        <f>IFERROR(INDEX('Projekt-Budget-Übersicht'!$C:$C,MATCH(1494,'Projekt-Budget-Übersicht'!$L:$L,0)),"")</f>
        <v/>
      </c>
      <c r="D36" s="4">
        <v>562</v>
      </c>
      <c r="E36" s="4">
        <v>285.25</v>
      </c>
      <c r="F36" s="5">
        <f>SUM(F6,F18,I6,I18,K6,K18)</f>
        <v>32.75</v>
      </c>
      <c r="G36" s="16">
        <v>50.76</v>
      </c>
      <c r="H36" s="5">
        <f>SUM(H6,H18)</f>
        <v>0</v>
      </c>
      <c r="I36" s="5">
        <f>IF(H36=0,0,F36-H36)</f>
        <v>0</v>
      </c>
      <c r="J36" s="4" t="s">
        <v>5531</v>
      </c>
      <c r="K36" s="5">
        <f>SUM(K6,K18)</f>
        <v>0</v>
      </c>
      <c r="L36" s="10">
        <f>IF($B$2="-",0,IFERROR(INDEX(IF($B$2="SV",'Projekt-Budget-Übersicht'!$H:$H,IF($B$2="CAD",'Projekt-Budget-Übersicht'!$I:$I,IF($B$2="ADM",'Projekt-Budget-Übersicht'!$J:$J,'Projekt-Budget-Übersicht'!$H:$H))),MATCH(1494,'Projekt-Budget-Übersicht'!$L:$L,0)),0))</f>
        <v>0</v>
      </c>
      <c r="M36" s="10">
        <f>IF($B$2="-",0,IF(C36="Pauschale",IF(OR(Q36=0,N(D36)=0),0,MAX(0,MIN(Q36*((N(F36)+N(K36))/N(D36)),Q36-Q36*(N(E36)/N(D36))))),L36*(N(F36)+N(K36))))</f>
        <v>0</v>
      </c>
      <c r="N36" s="10">
        <f>IF($B$2="-",0,IF(C36="Pauschale",IF(OR(Q36=0,N(D36)=0),0,Q36*((N(F36)+N(K36))/N(D36))),L36*(N(F36)+N(K36))))</f>
        <v>0</v>
      </c>
      <c r="O36" s="10">
        <f>N36-M36</f>
        <v>0</v>
      </c>
      <c r="P36" s="10">
        <f>'C. Trapp SV'!M98+'S. Roßkopf'!M36</f>
        <v>0</v>
      </c>
      <c r="Q36" s="10">
        <f>IFERROR(INDEX('Projekt-Budget-Übersicht'!$E:$E,MATCH(1494,'Projekt-Budget-Übersicht'!$L:$L,0)),0)</f>
        <v>0</v>
      </c>
      <c r="R36" s="10">
        <v>573.22</v>
      </c>
      <c r="S36" s="4"/>
      <c r="T36" s="4"/>
      <c r="U36" s="4"/>
    </row>
    <row r="37" spans="1:21" x14ac:dyDescent="0.25">
      <c r="A37" s="21" t="s">
        <v>1490</v>
      </c>
      <c r="B37" s="4" t="s">
        <v>5543</v>
      </c>
      <c r="C37" s="4" t="str">
        <f>IFERROR(INDEX('Projekt-Budget-Übersicht'!$C:$C,MATCH(1678,'Projekt-Budget-Übersicht'!$L:$L,0)),"")</f>
        <v/>
      </c>
      <c r="D37" s="4">
        <v>240</v>
      </c>
      <c r="E37" s="4">
        <v>188.5</v>
      </c>
      <c r="F37" s="5">
        <f>SUM(F19,I19,K19)</f>
        <v>10.5</v>
      </c>
      <c r="G37" s="16">
        <v>78.540000000000006</v>
      </c>
      <c r="H37" s="5">
        <f>SUM(H19)</f>
        <v>0</v>
      </c>
      <c r="I37" s="5">
        <f>IF(H37=0,0,F37-H37)</f>
        <v>0</v>
      </c>
      <c r="J37" s="4" t="s">
        <v>5531</v>
      </c>
      <c r="K37" s="5">
        <f>SUM(K19)</f>
        <v>0</v>
      </c>
      <c r="L37" s="10">
        <f>IF($B$2="-",0,IFERROR(INDEX(IF($B$2="SV",'Projekt-Budget-Übersicht'!$H:$H,IF($B$2="CAD",'Projekt-Budget-Übersicht'!$I:$I,IF($B$2="ADM",'Projekt-Budget-Übersicht'!$J:$J,'Projekt-Budget-Übersicht'!$H:$H))),MATCH(1678,'Projekt-Budget-Übersicht'!$L:$L,0)),0))</f>
        <v>0</v>
      </c>
      <c r="M37" s="10">
        <f>IF($B$2="-",0,IF(C37="Pauschale",IF(OR(Q37=0,N(D37)=0),0,MAX(0,MIN(Q37*((N(F37)+N(K37))/N(D37)),Q37-Q37*(N(E37)/N(D37))))),L37*(N(F37)+N(K37))))</f>
        <v>0</v>
      </c>
      <c r="N37" s="10">
        <f>IF($B$2="-",0,IF(C37="Pauschale",IF(OR(Q37=0,N(D37)=0),0,Q37*((N(F37)+N(K37))/N(D37))),L37*(N(F37)+N(K37))))</f>
        <v>0</v>
      </c>
      <c r="O37" s="10">
        <f>N37-M37</f>
        <v>0</v>
      </c>
      <c r="P37" s="10">
        <f>'C. Trapp SV'!M99+'S. Roßkopf'!M37+'U. Sutter ADM'!M89</f>
        <v>0</v>
      </c>
      <c r="Q37" s="10">
        <f>IFERROR(INDEX('Projekt-Budget-Übersicht'!$E:$E,MATCH(1678,'Projekt-Budget-Übersicht'!$L:$L,0)),0)</f>
        <v>0</v>
      </c>
      <c r="R37" s="10">
        <v>4718.17</v>
      </c>
      <c r="S37" s="4"/>
      <c r="T37" s="4"/>
      <c r="U37" s="4"/>
    </row>
    <row r="38" spans="1:21" x14ac:dyDescent="0.25">
      <c r="A38" s="22"/>
      <c r="B38" s="4" t="s">
        <v>5499</v>
      </c>
      <c r="C38" s="4" t="str">
        <f>IFERROR(INDEX('Projekt-Budget-Übersicht'!$C:$C,MATCH(1677,'Projekt-Budget-Übersicht'!$L:$L,0)),"")</f>
        <v/>
      </c>
      <c r="D38" s="4">
        <v>32</v>
      </c>
      <c r="E38" s="4">
        <v>51.75</v>
      </c>
      <c r="F38" s="5">
        <f>SUM(F7,I7,K7)</f>
        <v>16</v>
      </c>
      <c r="G38" s="15">
        <v>161.72</v>
      </c>
      <c r="H38" s="5">
        <f>SUM(H7)</f>
        <v>0</v>
      </c>
      <c r="I38" s="5">
        <f>IF(H38=0,0,F38-H38)</f>
        <v>0</v>
      </c>
      <c r="J38" s="4" t="s">
        <v>5531</v>
      </c>
      <c r="K38" s="5">
        <f>SUM(K7)</f>
        <v>0</v>
      </c>
      <c r="L38" s="10">
        <f>IF($B$2="-",0,IFERROR(INDEX(IF($B$2="SV",'Projekt-Budget-Übersicht'!$H:$H,IF($B$2="CAD",'Projekt-Budget-Übersicht'!$I:$I,IF($B$2="ADM",'Projekt-Budget-Übersicht'!$J:$J,'Projekt-Budget-Übersicht'!$H:$H))),MATCH(1677,'Projekt-Budget-Übersicht'!$L:$L,0)),0))</f>
        <v>0</v>
      </c>
      <c r="M38" s="10">
        <f>IF($B$2="-",0,IF(C38="Pauschale",IF(OR(Q38=0,N(D38)=0),0,MAX(0,MIN(Q38*((N(F38)+N(K38))/N(D38)),Q38-Q38*(N(E38)/N(D38))))),L38*(N(F38)+N(K38))))</f>
        <v>0</v>
      </c>
      <c r="N38" s="10">
        <f>IF($B$2="-",0,IF(C38="Pauschale",IF(OR(Q38=0,N(D38)=0),0,Q38*((N(F38)+N(K38))/N(D38))),L38*(N(F38)+N(K38))))</f>
        <v>0</v>
      </c>
      <c r="O38" s="10">
        <f>N38-M38</f>
        <v>0</v>
      </c>
      <c r="P38" s="10">
        <f>'A. Kokott'!M149+'C. Trapp SV'!M100+'S. Roßkopf'!M38</f>
        <v>0</v>
      </c>
      <c r="Q38" s="10">
        <f>IFERROR(INDEX('Projekt-Budget-Übersicht'!$E:$E,MATCH(1677,'Projekt-Budget-Übersicht'!$L:$L,0)),0)</f>
        <v>0</v>
      </c>
      <c r="R38" s="10">
        <v>42.5</v>
      </c>
      <c r="S38" s="4"/>
      <c r="T38" s="4"/>
      <c r="U38" s="4"/>
    </row>
    <row r="39" spans="1:21" x14ac:dyDescent="0.25">
      <c r="A39" s="4" t="s">
        <v>2913</v>
      </c>
      <c r="B39" s="4" t="s">
        <v>5544</v>
      </c>
      <c r="C39" s="4" t="str">
        <f>IFERROR(INDEX('Projekt-Budget-Übersicht'!$C:$C,MATCH(3188,'Projekt-Budget-Übersicht'!$L:$L,0)),"")</f>
        <v/>
      </c>
      <c r="D39" s="4">
        <v>3640</v>
      </c>
      <c r="E39" s="4">
        <v>230</v>
      </c>
      <c r="F39" s="5">
        <f>SUM(F8,F20,I8,I20,K8,K20)</f>
        <v>12</v>
      </c>
      <c r="G39" s="16">
        <v>6.32</v>
      </c>
      <c r="H39" s="5">
        <f>SUM(H8,H20)</f>
        <v>0</v>
      </c>
      <c r="I39" s="5">
        <f>IF(H39=0,0,F39-H39)</f>
        <v>0</v>
      </c>
      <c r="J39" s="4" t="s">
        <v>5531</v>
      </c>
      <c r="K39" s="5">
        <f>SUM(K8,K20)</f>
        <v>0</v>
      </c>
      <c r="L39" s="10">
        <f>IF($B$2="-",0,IFERROR(INDEX(IF($B$2="SV",'Projekt-Budget-Übersicht'!$H:$H,IF($B$2="CAD",'Projekt-Budget-Übersicht'!$I:$I,IF($B$2="ADM",'Projekt-Budget-Übersicht'!$J:$J,'Projekt-Budget-Übersicht'!$H:$H))),MATCH(3188,'Projekt-Budget-Übersicht'!$L:$L,0)),0))</f>
        <v>0</v>
      </c>
      <c r="M39" s="10">
        <f>IF($B$2="-",0,IF(C39="Pauschale",IF(OR(Q39=0,N(D39)=0),0,MAX(0,MIN(Q39*((N(F39)+N(K39))/N(D39)),Q39-Q39*(N(E39)/N(D39))))),L39*(N(F39)+N(K39))))</f>
        <v>0</v>
      </c>
      <c r="N39" s="10">
        <f>IF($B$2="-",0,IF(C39="Pauschale",IF(OR(Q39=0,N(D39)=0),0,Q39*((N(F39)+N(K39))/N(D39))),L39*(N(F39)+N(K39))))</f>
        <v>0</v>
      </c>
      <c r="O39" s="10">
        <f>N39-M39</f>
        <v>0</v>
      </c>
      <c r="P39" s="10">
        <f>'C. Trapp SV'!M103+'P. Bergner'!M89+'S. Roßkopf'!M39</f>
        <v>0</v>
      </c>
      <c r="Q39" s="10">
        <f>IFERROR(INDEX('Projekt-Budget-Übersicht'!$E:$E,MATCH(3188,'Projekt-Budget-Übersicht'!$L:$L,0)),0)</f>
        <v>0</v>
      </c>
      <c r="R39" s="10">
        <v>12198.75</v>
      </c>
      <c r="S39" s="4"/>
      <c r="T39" s="4"/>
      <c r="U39" s="4"/>
    </row>
    <row r="40" spans="1:21" x14ac:dyDescent="0.25">
      <c r="A40" s="4" t="s">
        <v>3070</v>
      </c>
      <c r="B40" s="4" t="s">
        <v>5542</v>
      </c>
      <c r="C40" s="4" t="str">
        <f>IFERROR(INDEX('Projekt-Budget-Übersicht'!$C:$C,MATCH(3322,'Projekt-Budget-Übersicht'!$L:$L,0)),"")</f>
        <v/>
      </c>
      <c r="D40" s="4">
        <v>540</v>
      </c>
      <c r="E40" s="4">
        <v>536.5</v>
      </c>
      <c r="F40" s="5">
        <f>SUM(F9,F21,I9,I21,K9,K21)</f>
        <v>56.25</v>
      </c>
      <c r="G40" s="14">
        <v>99.35</v>
      </c>
      <c r="H40" s="5">
        <f>SUM(H9,H21)</f>
        <v>0</v>
      </c>
      <c r="I40" s="5">
        <f>IF(H40=0,0,F40-H40)</f>
        <v>0</v>
      </c>
      <c r="J40" s="4" t="s">
        <v>5531</v>
      </c>
      <c r="K40" s="5">
        <f>SUM(K9,K21)</f>
        <v>0</v>
      </c>
      <c r="L40" s="10">
        <f>IF($B$2="-",0,IFERROR(INDEX(IF($B$2="SV",'Projekt-Budget-Übersicht'!$H:$H,IF($B$2="CAD",'Projekt-Budget-Übersicht'!$I:$I,IF($B$2="ADM",'Projekt-Budget-Übersicht'!$J:$J,'Projekt-Budget-Übersicht'!$H:$H))),MATCH(3322,'Projekt-Budget-Übersicht'!$L:$L,0)),0))</f>
        <v>0</v>
      </c>
      <c r="M40" s="10">
        <f>IF($B$2="-",0,IF(C40="Pauschale",IF(OR(Q40=0,N(D40)=0),0,MAX(0,MIN(Q40*((N(F40)+N(K40))/N(D40)),Q40-Q40*(N(E40)/N(D40))))),L40*(N(F40)+N(K40))))</f>
        <v>0</v>
      </c>
      <c r="N40" s="10">
        <f>IF($B$2="-",0,IF(C40="Pauschale",IF(OR(Q40=0,N(D40)=0),0,Q40*((N(F40)+N(K40))/N(D40))),L40*(N(F40)+N(K40))))</f>
        <v>0</v>
      </c>
      <c r="O40" s="10">
        <f>N40-M40</f>
        <v>0</v>
      </c>
      <c r="P40" s="10">
        <f>'C. Trapp SV'!M107+'S. Roßkopf'!M40+'U. Sutter ADM'!M92</f>
        <v>0</v>
      </c>
      <c r="Q40" s="10">
        <f>IFERROR(INDEX('Projekt-Budget-Übersicht'!$E:$E,MATCH(3322,'Projekt-Budget-Übersicht'!$L:$L,0)),0)</f>
        <v>0</v>
      </c>
      <c r="R40" s="10">
        <v>1887.87</v>
      </c>
      <c r="S40" s="4"/>
      <c r="T40" s="4"/>
      <c r="U40" s="4"/>
    </row>
    <row r="42" spans="1:21" x14ac:dyDescent="0.25">
      <c r="A42" s="3"/>
      <c r="B42" s="3" t="s">
        <v>5492</v>
      </c>
      <c r="C42" s="3"/>
      <c r="D42" s="3"/>
      <c r="E42" s="3"/>
      <c r="F42" s="6">
        <f>SUM(F10,F22)</f>
        <v>127.5</v>
      </c>
      <c r="G42" s="3"/>
      <c r="H42" s="3"/>
      <c r="I42" s="3"/>
      <c r="J42" s="3"/>
      <c r="K42" s="3"/>
      <c r="L42" s="3"/>
      <c r="M42" s="17">
        <f>SUM(M36:M40)</f>
        <v>0</v>
      </c>
      <c r="N42" s="17">
        <f>SUM(N36:N40)</f>
        <v>0</v>
      </c>
      <c r="O42" s="17">
        <f>SUM(O36:O40)</f>
        <v>0</v>
      </c>
      <c r="P42" s="17">
        <f>SUM(P36:P40)</f>
        <v>0</v>
      </c>
      <c r="Q42" s="3"/>
      <c r="R42" s="3"/>
      <c r="S42" s="3"/>
      <c r="T42" s="3"/>
      <c r="U42" s="3"/>
    </row>
    <row r="43" spans="1:21" x14ac:dyDescent="0.25">
      <c r="A43" s="3"/>
      <c r="B43" s="3" t="s">
        <v>4</v>
      </c>
      <c r="C43" s="3"/>
      <c r="D43" s="3"/>
      <c r="E43" s="3"/>
      <c r="F43" s="6">
        <f>G43+H43</f>
        <v>111.5</v>
      </c>
      <c r="G43" s="6">
        <f>SUM(G11,G23)</f>
        <v>111.5</v>
      </c>
      <c r="H43" s="6">
        <v>0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x14ac:dyDescent="0.25">
      <c r="A44" s="3"/>
      <c r="B44" s="3" t="s">
        <v>5</v>
      </c>
      <c r="C44" s="3"/>
      <c r="D44" s="3"/>
      <c r="E44" s="3"/>
      <c r="F44" s="6">
        <f>G44+H44</f>
        <v>0</v>
      </c>
      <c r="G44" s="6">
        <f>SUM(G12,G24)</f>
        <v>0</v>
      </c>
      <c r="H44" s="6">
        <v>0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x14ac:dyDescent="0.25">
      <c r="A45" s="3"/>
      <c r="B45" s="3" t="s">
        <v>5493</v>
      </c>
      <c r="C45" s="3"/>
      <c r="D45" s="3"/>
      <c r="E45" s="3"/>
      <c r="F45" s="6">
        <f>SUM(F13,F25)</f>
        <v>0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18"/>
      <c r="B46" s="18" t="s">
        <v>5494</v>
      </c>
      <c r="C46" s="18"/>
      <c r="D46" s="18"/>
      <c r="E46" s="18"/>
      <c r="F46" s="19">
        <f>F43+F44+F45</f>
        <v>111.5</v>
      </c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8" spans="1:21" ht="15.75" x14ac:dyDescent="0.25">
      <c r="A48" s="2" t="s">
        <v>5532</v>
      </c>
    </row>
    <row r="49" spans="1:21" x14ac:dyDescent="0.25">
      <c r="A49" s="13" t="s">
        <v>10</v>
      </c>
      <c r="B49" s="13">
        <v>127.5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</row>
    <row r="50" spans="1:21" x14ac:dyDescent="0.25">
      <c r="A50" s="13" t="s">
        <v>11</v>
      </c>
      <c r="B50" s="20">
        <f>SUM(F11,F23)</f>
        <v>111.5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</row>
    <row r="51" spans="1:21" x14ac:dyDescent="0.25">
      <c r="A51" s="13" t="s">
        <v>12</v>
      </c>
      <c r="B51" s="20">
        <f>SUM(F12,F24)</f>
        <v>0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</row>
  </sheetData>
  <mergeCells count="1">
    <mergeCell ref="A37:A38"/>
  </mergeCells>
  <conditionalFormatting sqref="I6:I9">
    <cfRule type="cellIs" dxfId="14" priority="1" stopIfTrue="1" operator="lessThan">
      <formula>0</formula>
    </cfRule>
  </conditionalFormatting>
  <conditionalFormatting sqref="I18:I21">
    <cfRule type="cellIs" dxfId="13" priority="5" stopIfTrue="1" operator="lessThan">
      <formula>0</formula>
    </cfRule>
  </conditionalFormatting>
  <conditionalFormatting sqref="I36:I40">
    <cfRule type="cellIs" dxfId="12" priority="9" stopIfTrue="1" operator="lessThan">
      <formula>0</formula>
    </cfRule>
  </conditionalFormatting>
  <dataValidations count="5">
    <dataValidation type="list" sqref="B2" xr:uid="{00000000-0002-0000-1100-000000000000}">
      <formula1>"SV,CAD,ADM,Pauschale,-"</formula1>
    </dataValidation>
    <dataValidation type="list" allowBlank="1" sqref="J6 J20:J21 J18 J8" xr:uid="{00000000-0002-0000-1100-000001000000}">
      <formula1>"C. Trapp SV"</formula1>
    </dataValidation>
    <dataValidation type="list" allowBlank="1" sqref="T18:T21 T6:T9" xr:uid="{00000000-0002-0000-1100-000002000000}">
      <formula1>"SR,AZ"</formula1>
    </dataValidation>
    <dataValidation type="list" allowBlank="1" sqref="J7" xr:uid="{00000000-0002-0000-1100-000003000000}">
      <formula1>"A. Kokott,C. Trapp SV"</formula1>
    </dataValidation>
    <dataValidation type="list" allowBlank="1" sqref="J9 J19" xr:uid="{00000000-0002-0000-1100-000007000000}">
      <formula1>"C. Trapp SV,U. Sutter ADM"</formula1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9"/>
  <dimension ref="A1:U199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5664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4" t="s">
        <v>61</v>
      </c>
      <c r="B6" s="4" t="s">
        <v>5480</v>
      </c>
      <c r="C6" s="4" t="str">
        <f>IFERROR(INDEX('Projekt-Budget-Übersicht'!$C:$C,MATCH(10,'Projekt-Budget-Übersicht'!$L:$L,0)),"")</f>
        <v/>
      </c>
      <c r="D6" s="4">
        <v>8</v>
      </c>
      <c r="E6" s="4">
        <v>7.5</v>
      </c>
      <c r="F6" s="4">
        <v>7.5</v>
      </c>
      <c r="G6" s="14">
        <v>93.75</v>
      </c>
      <c r="H6" s="5"/>
      <c r="I6" s="5">
        <f t="shared" ref="I6:I44" si="0">IF(H6=0,0,F6-H6)</f>
        <v>0</v>
      </c>
      <c r="J6" s="4"/>
      <c r="K6" s="5">
        <f>IF('A. Kokott'!J6="S. Schüler",'A. Kokott'!I6,0)+IF('D. Brucker'!J6="S. Schüler",'D. Brucker'!I6,0)+IF('E. Bieler'!J6="S. Schüler",'E. Bieler'!I6,0)+IF('J. Dorchies'!J6="S. Schüler",'J. Dorchies'!I6,0)+IF('O. Haag BS-CAD'!J6="S. Schüler",'O. Haag BS-CAD'!I6,0)+IF('T. Trautmann'!J6="S. Schüler",'T. Trautmann'!I6,0)+IF('U. Sutter ADM'!J6="S. Schüler",'U.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44" si="1">IF($B$2="-",0,IF(C6="Pauschale",IF(OR(R6=0,N(D6)=0),0,MAX(0,MIN(R6*((N(F6)+N(K6))/N(D6)),R6-R6*(N(E6)/N(D6))))),L6*(N(F6)+N(K6))))</f>
        <v>0</v>
      </c>
      <c r="N6" s="10">
        <f t="shared" ref="N6:N44" si="2">IF($B$2="-",0,IF(C6="Pauschale",IF(OR(R6=0,N(D6)=0),0,R6*((N(F6)+N(K6))/N(D6))),L6*(N(F6)+N(K6))))</f>
        <v>0</v>
      </c>
      <c r="O6" s="10">
        <f t="shared" ref="O6:O44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4" t="s">
        <v>105</v>
      </c>
      <c r="B7" s="4" t="s">
        <v>5536</v>
      </c>
      <c r="C7" s="4" t="str">
        <f>IFERROR(INDEX('Projekt-Budget-Übersicht'!$C:$C,MATCH(36,'Projekt-Budget-Übersicht'!$L:$L,0)),"")</f>
        <v/>
      </c>
      <c r="D7" s="4">
        <v>42</v>
      </c>
      <c r="E7" s="4">
        <v>20</v>
      </c>
      <c r="F7" s="4">
        <v>0.5</v>
      </c>
      <c r="G7" s="16">
        <v>47.62</v>
      </c>
      <c r="H7" s="5"/>
      <c r="I7" s="5">
        <f t="shared" si="0"/>
        <v>0</v>
      </c>
      <c r="J7" s="4"/>
      <c r="K7" s="5">
        <f>IF('J. Dorchies'!J8="S. Schüler",'J. Dorchies'!I8,0)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IF($B$2="-",0,IFERROR(INDEX(IF($B$2="SV",'Projekt-Budget-Übersicht'!$I:$I,IF($B$2="CAD",'Projekt-Budget-Übersicht'!$J:$J,IF($B$2="ADM",'Projekt-Budget-Übersicht'!$K:$K,'Projekt-Budget-Übersicht'!$I:$I))),MATCH(36,'Projekt-Budget-Übersicht'!$M:$M,0)),0))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'J. Dorchies'!M8+'S. Schüler'!M7</f>
        <v>0</v>
      </c>
      <c r="Q7" s="10">
        <v>30</v>
      </c>
      <c r="R7" s="10">
        <f>IFERROR(INDEX('Projekt-Budget-Übersicht'!$F:$F,MATCH(36,'Projekt-Budget-Übersicht'!$L:$L,0)),0)</f>
        <v>0</v>
      </c>
      <c r="S7" s="10"/>
      <c r="T7" s="4"/>
      <c r="U7" s="4"/>
    </row>
    <row r="8" spans="1:21" x14ac:dyDescent="0.25">
      <c r="A8" s="21" t="s">
        <v>865</v>
      </c>
      <c r="B8" s="4" t="s">
        <v>5665</v>
      </c>
      <c r="C8" s="4" t="str">
        <f>IFERROR(INDEX('Projekt-Budget-Übersicht'!$C:$C,MATCH(887,'Projekt-Budget-Übersicht'!$L:$L,0)),"")</f>
        <v/>
      </c>
      <c r="D8" s="4">
        <v>2</v>
      </c>
      <c r="E8" s="4">
        <v>1</v>
      </c>
      <c r="F8" s="4">
        <v>1</v>
      </c>
      <c r="G8" s="16">
        <v>50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IF($B$2="-",0,IFERROR(INDEX(IF($B$2="SV",'Projekt-Budget-Übersicht'!$I:$I,IF($B$2="CAD",'Projekt-Budget-Übersicht'!$J:$J,IF($B$2="ADM",'Projekt-Budget-Übersicht'!$K:$K,'Projekt-Budget-Übersicht'!$I:$I))),MATCH(887,'Projekt-Budget-Übersicht'!$M:$M,0)),0))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'S. Schüler'!M8</f>
        <v>0</v>
      </c>
      <c r="Q8" s="10">
        <v>8</v>
      </c>
      <c r="R8" s="10">
        <f>IFERROR(INDEX('Projekt-Budget-Übersicht'!$F:$F,MATCH(887,'Projekt-Budget-Übersicht'!$L:$L,0)),0)</f>
        <v>0</v>
      </c>
      <c r="S8" s="10">
        <v>856.48</v>
      </c>
      <c r="T8" s="4"/>
      <c r="U8" s="4"/>
    </row>
    <row r="9" spans="1:21" x14ac:dyDescent="0.25">
      <c r="A9" s="23"/>
      <c r="B9" s="4" t="s">
        <v>5574</v>
      </c>
      <c r="C9" s="4" t="str">
        <f>IFERROR(INDEX('Projekt-Budget-Übersicht'!$C:$C,MATCH(888,'Projekt-Budget-Übersicht'!$L:$L,0)),"")</f>
        <v/>
      </c>
      <c r="D9" s="4">
        <v>31.5</v>
      </c>
      <c r="E9" s="4">
        <v>100.5</v>
      </c>
      <c r="F9" s="4">
        <v>5.75</v>
      </c>
      <c r="G9" s="15">
        <v>319.05</v>
      </c>
      <c r="H9" s="5"/>
      <c r="I9" s="5">
        <f t="shared" si="0"/>
        <v>0</v>
      </c>
      <c r="J9" s="4"/>
      <c r="K9" s="5">
        <f>IF('E. Iago Barros de Oliveira'!J7="S. Schüler",'E. Iago Barros de Oliveira'!I7,0)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'E. Iago Barros de Oliveira'!M7+'S. Schüler'!M9</f>
        <v>0</v>
      </c>
      <c r="Q9" s="10">
        <v>84</v>
      </c>
      <c r="R9" s="10">
        <f>IFERROR(INDEX('Projekt-Budget-Übersicht'!$F:$F,MATCH(888,'Projekt-Budget-Übersicht'!$L:$L,0)),0)</f>
        <v>0</v>
      </c>
      <c r="S9" s="10">
        <v>3215.31</v>
      </c>
      <c r="T9" s="4"/>
      <c r="U9" s="4"/>
    </row>
    <row r="10" spans="1:21" x14ac:dyDescent="0.25">
      <c r="A10" s="23"/>
      <c r="B10" s="4" t="s">
        <v>5666</v>
      </c>
      <c r="C10" s="4" t="str">
        <f>IFERROR(INDEX('Projekt-Budget-Übersicht'!$C:$C,MATCH(888,'Projekt-Budget-Übersicht'!$L:$L,0)),"")</f>
        <v/>
      </c>
      <c r="D10" s="4">
        <v>21</v>
      </c>
      <c r="E10" s="4">
        <v>18</v>
      </c>
      <c r="F10" s="4">
        <v>3</v>
      </c>
      <c r="G10" s="16">
        <v>85.71</v>
      </c>
      <c r="H10" s="5"/>
      <c r="I10" s="5">
        <f t="shared" si="0"/>
        <v>0</v>
      </c>
      <c r="J10" s="4"/>
      <c r="K10" s="5"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IF($B$2="-",0,IFERROR(INDEX(IF($B$2="SV",'Projekt-Budget-Übersicht'!$I:$I,IF($B$2="CAD",'Projekt-Budget-Übersicht'!$J:$J,IF($B$2="ADM",'Projekt-Budget-Übersicht'!$K:$K,'Projekt-Budget-Übersicht'!$I:$I))),MATCH(888,'Projekt-Budget-Übersicht'!$M:$M,0)),0))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'S. Schüler'!M10</f>
        <v>0</v>
      </c>
      <c r="Q10" s="10">
        <v>84</v>
      </c>
      <c r="R10" s="10">
        <f>IFERROR(INDEX('Projekt-Budget-Übersicht'!$F:$F,MATCH(888,'Projekt-Budget-Übersicht'!$L:$L,0)),0)</f>
        <v>0</v>
      </c>
      <c r="S10" s="10">
        <v>3215.31</v>
      </c>
      <c r="T10" s="4"/>
      <c r="U10" s="4"/>
    </row>
    <row r="11" spans="1:21" x14ac:dyDescent="0.25">
      <c r="A11" s="23"/>
      <c r="B11" s="4" t="s">
        <v>5643</v>
      </c>
      <c r="C11" s="4" t="str">
        <f>IFERROR(INDEX('Projekt-Budget-Übersicht'!$C:$C,MATCH(890,'Projekt-Budget-Übersicht'!$L:$L,0)),"")</f>
        <v/>
      </c>
      <c r="D11" s="4">
        <v>23</v>
      </c>
      <c r="E11" s="4">
        <v>103.75</v>
      </c>
      <c r="F11" s="4">
        <v>6</v>
      </c>
      <c r="G11" s="15">
        <v>451.09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'S. Schüler'!M11</f>
        <v>0</v>
      </c>
      <c r="Q11" s="10">
        <v>63</v>
      </c>
      <c r="R11" s="10">
        <f>IFERROR(INDEX('Projekt-Budget-Übersicht'!$F:$F,MATCH(890,'Projekt-Budget-Übersicht'!$L:$L,0)),0)</f>
        <v>0</v>
      </c>
      <c r="S11" s="10">
        <v>7717.86</v>
      </c>
      <c r="T11" s="4"/>
      <c r="U11" s="4"/>
    </row>
    <row r="12" spans="1:21" x14ac:dyDescent="0.25">
      <c r="A12" s="23"/>
      <c r="B12" s="4" t="s">
        <v>5502</v>
      </c>
      <c r="C12" s="4" t="str">
        <f>IFERROR(INDEX('Projekt-Budget-Übersicht'!$C:$C,MATCH(890,'Projekt-Budget-Übersicht'!$L:$L,0)),"")</f>
        <v/>
      </c>
      <c r="D12" s="4">
        <v>26.5</v>
      </c>
      <c r="E12" s="4">
        <v>32.75</v>
      </c>
      <c r="F12" s="4">
        <v>4</v>
      </c>
      <c r="G12" s="15">
        <v>123.58</v>
      </c>
      <c r="H12" s="5"/>
      <c r="I12" s="5">
        <f t="shared" si="0"/>
        <v>0</v>
      </c>
      <c r="J12" s="4"/>
      <c r="K12" s="5">
        <f>IF('O. Haag BS-CAD'!J11="S. Schüler",'O. Haag BS-CAD'!I11,0)</f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'O. Haag BS-CAD'!M11+'S. Schüler'!M12</f>
        <v>0</v>
      </c>
      <c r="Q12" s="10">
        <v>63</v>
      </c>
      <c r="R12" s="10">
        <f>IFERROR(INDEX('Projekt-Budget-Übersicht'!$F:$F,MATCH(890,'Projekt-Budget-Übersicht'!$L:$L,0)),0)</f>
        <v>0</v>
      </c>
      <c r="S12" s="10">
        <v>7717.86</v>
      </c>
      <c r="T12" s="4"/>
      <c r="U12" s="4"/>
    </row>
    <row r="13" spans="1:21" x14ac:dyDescent="0.25">
      <c r="A13" s="23"/>
      <c r="B13" s="4" t="s">
        <v>5536</v>
      </c>
      <c r="C13" s="4" t="str">
        <f>IFERROR(INDEX('Projekt-Budget-Übersicht'!$C:$C,MATCH(892,'Projekt-Budget-Übersicht'!$L:$L,0)),"")</f>
        <v/>
      </c>
      <c r="D13" s="4">
        <v>52</v>
      </c>
      <c r="E13" s="4">
        <v>146.75</v>
      </c>
      <c r="F13" s="4">
        <v>10.75</v>
      </c>
      <c r="G13" s="15">
        <v>282.20999999999998</v>
      </c>
      <c r="H13" s="5"/>
      <c r="I13" s="5">
        <f t="shared" si="0"/>
        <v>0</v>
      </c>
      <c r="J13" s="4"/>
      <c r="K13" s="5">
        <f>IF('C. Trapp SV'!J9="S. Schüler",'C. Trapp SV'!I9,0)</f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'C. Trapp SV'!M9+'S. Schüler'!M13</f>
        <v>0</v>
      </c>
      <c r="Q13" s="10">
        <v>107</v>
      </c>
      <c r="R13" s="10">
        <f>IFERROR(INDEX('Projekt-Budget-Übersicht'!$F:$F,MATCH(892,'Projekt-Budget-Übersicht'!$L:$L,0)),0)</f>
        <v>0</v>
      </c>
      <c r="S13" s="10">
        <v>12383.75</v>
      </c>
      <c r="T13" s="4"/>
      <c r="U13" s="4"/>
    </row>
    <row r="14" spans="1:21" x14ac:dyDescent="0.25">
      <c r="A14" s="23"/>
      <c r="B14" s="4" t="s">
        <v>5604</v>
      </c>
      <c r="C14" s="4" t="str">
        <f>IFERROR(INDEX('Projekt-Budget-Übersicht'!$C:$C,MATCH(892,'Projekt-Budget-Übersicht'!$L:$L,0)),"")</f>
        <v/>
      </c>
      <c r="D14" s="4">
        <v>6.5</v>
      </c>
      <c r="E14" s="4">
        <v>10.5</v>
      </c>
      <c r="F14" s="4">
        <v>3.75</v>
      </c>
      <c r="G14" s="15">
        <v>161.54</v>
      </c>
      <c r="H14" s="5"/>
      <c r="I14" s="5">
        <f t="shared" si="0"/>
        <v>0</v>
      </c>
      <c r="J14" s="4"/>
      <c r="K14" s="5">
        <f>IF('U. Sutter ADM'!J11="S. Schüler",'U. Sutter ADM'!I11,0)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'S. Schüler'!M14+'U. Sutter ADM'!M11</f>
        <v>0</v>
      </c>
      <c r="Q14" s="10">
        <v>107</v>
      </c>
      <c r="R14" s="10">
        <f>IFERROR(INDEX('Projekt-Budget-Übersicht'!$F:$F,MATCH(892,'Projekt-Budget-Übersicht'!$L:$L,0)),0)</f>
        <v>0</v>
      </c>
      <c r="S14" s="10">
        <v>12383.75</v>
      </c>
      <c r="T14" s="4"/>
      <c r="U14" s="4"/>
    </row>
    <row r="15" spans="1:21" x14ac:dyDescent="0.25">
      <c r="A15" s="22"/>
      <c r="B15" s="4" t="s">
        <v>5602</v>
      </c>
      <c r="C15" s="4" t="str">
        <f>IFERROR(INDEX('Projekt-Budget-Übersicht'!$C:$C,MATCH(893,'Projekt-Budget-Übersicht'!$L:$L,0)),"")</f>
        <v/>
      </c>
      <c r="D15" s="4">
        <v>28.5</v>
      </c>
      <c r="E15" s="4">
        <v>3.25</v>
      </c>
      <c r="F15" s="4">
        <v>3.25</v>
      </c>
      <c r="G15" s="16">
        <v>11.4</v>
      </c>
      <c r="H15" s="5"/>
      <c r="I15" s="5">
        <f t="shared" si="0"/>
        <v>0</v>
      </c>
      <c r="J15" s="4"/>
      <c r="K15" s="5"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'S. Schüler'!M15</f>
        <v>0</v>
      </c>
      <c r="Q15" s="10">
        <v>81.5</v>
      </c>
      <c r="R15" s="10">
        <f>IFERROR(INDEX('Projekt-Budget-Übersicht'!$F:$F,MATCH(893,'Projekt-Budget-Übersicht'!$L:$L,0)),0)</f>
        <v>0</v>
      </c>
      <c r="S15" s="10">
        <v>988.75</v>
      </c>
      <c r="T15" s="4"/>
      <c r="U15" s="4"/>
    </row>
    <row r="16" spans="1:21" x14ac:dyDescent="0.25">
      <c r="A16" s="4" t="s">
        <v>873</v>
      </c>
      <c r="B16" s="4" t="s">
        <v>5485</v>
      </c>
      <c r="C16" s="4" t="str">
        <f>IFERROR(INDEX('Projekt-Budget-Übersicht'!$C:$C,MATCH(895,'Projekt-Budget-Übersicht'!$L:$L,0)),"")</f>
        <v/>
      </c>
      <c r="D16" s="4">
        <v>57</v>
      </c>
      <c r="E16" s="4">
        <v>29.75</v>
      </c>
      <c r="F16" s="4">
        <v>1.75</v>
      </c>
      <c r="G16" s="16">
        <v>52.19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IF($B$2="-",0,IFERROR(INDEX(IF($B$2="SV",'Projekt-Budget-Übersicht'!$I:$I,IF($B$2="CAD",'Projekt-Budget-Übersicht'!$J:$J,IF($B$2="ADM",'Projekt-Budget-Übersicht'!$K:$K,'Projekt-Budget-Übersicht'!$I:$I))),MATCH(895,'Projekt-Budget-Übersicht'!$M:$M,0)),0))</f>
        <v>117.64705882352941</v>
      </c>
      <c r="M16" s="10">
        <f t="shared" si="1"/>
        <v>205.88235294117646</v>
      </c>
      <c r="N16" s="10">
        <f t="shared" si="2"/>
        <v>205.88235294117646</v>
      </c>
      <c r="O16" s="10">
        <f t="shared" si="3"/>
        <v>0</v>
      </c>
      <c r="P16" s="10">
        <f>'S. Schüler'!M16</f>
        <v>205.88235294117646</v>
      </c>
      <c r="Q16" s="10">
        <v>51</v>
      </c>
      <c r="R16" s="10">
        <f>IFERROR(INDEX('Projekt-Budget-Übersicht'!$F:$F,MATCH(895,'Projekt-Budget-Übersicht'!$L:$L,0)),0)</f>
        <v>0</v>
      </c>
      <c r="S16" s="10"/>
      <c r="T16" s="4"/>
      <c r="U16" s="4"/>
    </row>
    <row r="17" spans="1:21" x14ac:dyDescent="0.25">
      <c r="A17" s="4" t="s">
        <v>879</v>
      </c>
      <c r="B17" s="4" t="s">
        <v>5498</v>
      </c>
      <c r="C17" s="4" t="str">
        <f>IFERROR(INDEX('Projekt-Budget-Übersicht'!$C:$C,MATCH(899,'Projekt-Budget-Übersicht'!$L:$L,0)),"")</f>
        <v/>
      </c>
      <c r="D17" s="4">
        <v>230</v>
      </c>
      <c r="E17" s="4">
        <v>24.75</v>
      </c>
      <c r="F17" s="4">
        <v>1.5</v>
      </c>
      <c r="G17" s="16">
        <v>10.76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81.25</v>
      </c>
      <c r="M17" s="10">
        <f t="shared" si="1"/>
        <v>121.875</v>
      </c>
      <c r="N17" s="10">
        <f t="shared" si="2"/>
        <v>121.875</v>
      </c>
      <c r="O17" s="10">
        <f t="shared" si="3"/>
        <v>0</v>
      </c>
      <c r="P17" s="10">
        <f>'S. Schüler'!M17</f>
        <v>121.875</v>
      </c>
      <c r="Q17" s="10">
        <v>120</v>
      </c>
      <c r="R17" s="10">
        <f>IFERROR(INDEX('Projekt-Budget-Übersicht'!$F:$F,MATCH(899,'Projekt-Budget-Übersicht'!$L:$L,0)),0)</f>
        <v>0</v>
      </c>
      <c r="S17" s="10"/>
      <c r="T17" s="4"/>
      <c r="U17" s="4"/>
    </row>
    <row r="18" spans="1:21" x14ac:dyDescent="0.25">
      <c r="A18" s="21" t="s">
        <v>1490</v>
      </c>
      <c r="B18" s="4" t="s">
        <v>5667</v>
      </c>
      <c r="C18" s="4" t="str">
        <f>IFERROR(INDEX('Projekt-Budget-Übersicht'!$C:$C,MATCH(1680,'Projekt-Budget-Übersicht'!$L:$L,0)),"")</f>
        <v/>
      </c>
      <c r="D18" s="4">
        <v>14.75</v>
      </c>
      <c r="E18" s="4">
        <v>44.25</v>
      </c>
      <c r="F18" s="4">
        <v>8.75</v>
      </c>
      <c r="G18" s="15">
        <v>300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'S. Schüler'!M18</f>
        <v>0</v>
      </c>
      <c r="Q18" s="10">
        <v>122.25</v>
      </c>
      <c r="R18" s="10">
        <f>IFERROR(INDEX('Projekt-Budget-Übersicht'!$F:$F,MATCH(1680,'Projekt-Budget-Übersicht'!$L:$L,0)),0)</f>
        <v>0</v>
      </c>
      <c r="S18" s="10">
        <v>7561.84</v>
      </c>
      <c r="T18" s="4"/>
      <c r="U18" s="4"/>
    </row>
    <row r="19" spans="1:21" x14ac:dyDescent="0.25">
      <c r="A19" s="23"/>
      <c r="B19" s="4" t="s">
        <v>5548</v>
      </c>
      <c r="C19" s="4" t="str">
        <f>IFERROR(INDEX('Projekt-Budget-Übersicht'!$C:$C,MATCH(1680,'Projekt-Budget-Übersicht'!$L:$L,0)),"")</f>
        <v/>
      </c>
      <c r="D19" s="4">
        <v>1.25</v>
      </c>
      <c r="E19" s="4">
        <v>2.25</v>
      </c>
      <c r="F19" s="4">
        <v>0.25</v>
      </c>
      <c r="G19" s="15">
        <v>180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'S. Schüler'!M19</f>
        <v>0</v>
      </c>
      <c r="Q19" s="10">
        <v>122.25</v>
      </c>
      <c r="R19" s="10">
        <f>IFERROR(INDEX('Projekt-Budget-Übersicht'!$F:$F,MATCH(1680,'Projekt-Budget-Übersicht'!$L:$L,0)),0)</f>
        <v>0</v>
      </c>
      <c r="S19" s="10">
        <v>7561.84</v>
      </c>
      <c r="T19" s="4"/>
      <c r="U19" s="4"/>
    </row>
    <row r="20" spans="1:21" x14ac:dyDescent="0.25">
      <c r="A20" s="22"/>
      <c r="B20" s="4" t="s">
        <v>5668</v>
      </c>
      <c r="C20" s="4" t="str">
        <f>IFERROR(INDEX('Projekt-Budget-Übersicht'!$C:$C,MATCH(1680,'Projekt-Budget-Übersicht'!$L:$L,0)),"")</f>
        <v/>
      </c>
      <c r="D20" s="4">
        <v>0</v>
      </c>
      <c r="E20" s="4">
        <v>3.5</v>
      </c>
      <c r="F20" s="4">
        <v>3.5</v>
      </c>
      <c r="G20" s="4">
        <v>0</v>
      </c>
      <c r="H20" s="5"/>
      <c r="I20" s="5">
        <f t="shared" si="0"/>
        <v>0</v>
      </c>
      <c r="J20" s="4"/>
      <c r="K20" s="5">
        <v>0</v>
      </c>
      <c r="L20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20" s="10">
        <f t="shared" si="1"/>
        <v>0</v>
      </c>
      <c r="N20" s="10">
        <f t="shared" si="2"/>
        <v>0</v>
      </c>
      <c r="O20" s="10">
        <f t="shared" si="3"/>
        <v>0</v>
      </c>
      <c r="P20" s="10">
        <f>'S. Schüler'!M20</f>
        <v>0</v>
      </c>
      <c r="Q20" s="10">
        <v>122.25</v>
      </c>
      <c r="R20" s="10">
        <f>IFERROR(INDEX('Projekt-Budget-Übersicht'!$F:$F,MATCH(1680,'Projekt-Budget-Übersicht'!$L:$L,0)),0)</f>
        <v>0</v>
      </c>
      <c r="S20" s="10">
        <v>7561.84</v>
      </c>
      <c r="T20" s="4"/>
      <c r="U20" s="4"/>
    </row>
    <row r="21" spans="1:21" x14ac:dyDescent="0.25">
      <c r="A21" s="21" t="s">
        <v>1504</v>
      </c>
      <c r="B21" s="4" t="s">
        <v>5669</v>
      </c>
      <c r="C21" s="4" t="str">
        <f>IFERROR(INDEX('Projekt-Budget-Übersicht'!$C:$C,MATCH(1689,'Projekt-Budget-Übersicht'!$L:$L,0)),"")</f>
        <v/>
      </c>
      <c r="D21" s="4">
        <v>28</v>
      </c>
      <c r="E21" s="4">
        <v>1.25</v>
      </c>
      <c r="F21" s="4">
        <v>0.25</v>
      </c>
      <c r="G21" s="16">
        <v>4.46</v>
      </c>
      <c r="H21" s="5"/>
      <c r="I21" s="5">
        <f t="shared" si="0"/>
        <v>0</v>
      </c>
      <c r="J21" s="4"/>
      <c r="K21" s="5">
        <v>0</v>
      </c>
      <c r="L21" s="10">
        <f>IF($B$2="-",0,IFERROR(INDEX(IF($B$2="SV",'Projekt-Budget-Übersicht'!$I:$I,IF($B$2="CAD",'Projekt-Budget-Übersicht'!$J:$J,IF($B$2="ADM",'Projekt-Budget-Übersicht'!$K:$K,'Projekt-Budget-Übersicht'!$I:$I))),MATCH(1689,'Projekt-Budget-Übersicht'!$M:$M,0)),0))</f>
        <v>0</v>
      </c>
      <c r="M21" s="10">
        <f t="shared" si="1"/>
        <v>0</v>
      </c>
      <c r="N21" s="10">
        <f t="shared" si="2"/>
        <v>0</v>
      </c>
      <c r="O21" s="10">
        <f t="shared" si="3"/>
        <v>0</v>
      </c>
      <c r="P21" s="10">
        <f>'S. Schüler'!M21</f>
        <v>0</v>
      </c>
      <c r="Q21" s="10">
        <v>28</v>
      </c>
      <c r="R21" s="10">
        <f>IFERROR(INDEX('Projekt-Budget-Übersicht'!$F:$F,MATCH(1689,'Projekt-Budget-Übersicht'!$L:$L,0)),0)</f>
        <v>0</v>
      </c>
      <c r="S21" s="10">
        <v>112.5</v>
      </c>
      <c r="T21" s="4"/>
      <c r="U21" s="4"/>
    </row>
    <row r="22" spans="1:21" x14ac:dyDescent="0.25">
      <c r="A22" s="23"/>
      <c r="B22" s="4" t="s">
        <v>5485</v>
      </c>
      <c r="C22" s="4" t="str">
        <f>IFERROR(INDEX('Projekt-Budget-Übersicht'!$C:$C,MATCH(1690,'Projekt-Budget-Übersicht'!$L:$L,0)),"")</f>
        <v/>
      </c>
      <c r="D22" s="4">
        <v>34</v>
      </c>
      <c r="E22" s="4">
        <v>11.75</v>
      </c>
      <c r="F22" s="4">
        <v>0.5</v>
      </c>
      <c r="G22" s="16">
        <v>34.56</v>
      </c>
      <c r="H22" s="5"/>
      <c r="I22" s="5">
        <f t="shared" si="0"/>
        <v>0</v>
      </c>
      <c r="J22" s="4"/>
      <c r="K22" s="5">
        <v>0</v>
      </c>
      <c r="L22" s="10">
        <f>IF($B$2="-",0,IFERROR(INDEX(IF($B$2="SV",'Projekt-Budget-Übersicht'!$I:$I,IF($B$2="CAD",'Projekt-Budget-Übersicht'!$J:$J,IF($B$2="ADM",'Projekt-Budget-Übersicht'!$K:$K,'Projekt-Budget-Übersicht'!$I:$I))),MATCH(1690,'Projekt-Budget-Übersicht'!$M:$M,0)),0))</f>
        <v>0</v>
      </c>
      <c r="M22" s="10">
        <f t="shared" si="1"/>
        <v>0</v>
      </c>
      <c r="N22" s="10">
        <f t="shared" si="2"/>
        <v>0</v>
      </c>
      <c r="O22" s="10">
        <f t="shared" si="3"/>
        <v>0</v>
      </c>
      <c r="P22" s="10">
        <f>'S. Schüler'!M22</f>
        <v>0</v>
      </c>
      <c r="Q22" s="10">
        <v>34</v>
      </c>
      <c r="R22" s="10">
        <f>IFERROR(INDEX('Projekt-Budget-Übersicht'!$F:$F,MATCH(1690,'Projekt-Budget-Übersicht'!$L:$L,0)),0)</f>
        <v>0</v>
      </c>
      <c r="S22" s="10">
        <v>967.5</v>
      </c>
      <c r="T22" s="4"/>
      <c r="U22" s="4"/>
    </row>
    <row r="23" spans="1:21" x14ac:dyDescent="0.25">
      <c r="A23" s="22"/>
      <c r="B23" s="4" t="s">
        <v>5502</v>
      </c>
      <c r="C23" s="4" t="str">
        <f>IFERROR(INDEX('Projekt-Budget-Übersicht'!$C:$C,MATCH(1691,'Projekt-Budget-Übersicht'!$L:$L,0)),"")</f>
        <v/>
      </c>
      <c r="D23" s="4">
        <v>30</v>
      </c>
      <c r="E23" s="4">
        <v>9.25</v>
      </c>
      <c r="F23" s="4">
        <v>0.25</v>
      </c>
      <c r="G23" s="16">
        <v>30.83</v>
      </c>
      <c r="H23" s="5"/>
      <c r="I23" s="5">
        <f t="shared" si="0"/>
        <v>0</v>
      </c>
      <c r="J23" s="4"/>
      <c r="K23" s="5">
        <f>IF('O. Haag BS-CAD'!J18="S. Schüler",'O. Haag BS-CAD'!I18,0)</f>
        <v>0</v>
      </c>
      <c r="L23" s="10">
        <f>IF($B$2="-",0,IFERROR(INDEX(IF($B$2="SV",'Projekt-Budget-Übersicht'!$I:$I,IF($B$2="CAD",'Projekt-Budget-Übersicht'!$J:$J,IF($B$2="ADM",'Projekt-Budget-Übersicht'!$K:$K,'Projekt-Budget-Übersicht'!$I:$I))),MATCH(1691,'Projekt-Budget-Übersicht'!$M:$M,0)),0))</f>
        <v>0</v>
      </c>
      <c r="M23" s="10">
        <f t="shared" si="1"/>
        <v>0</v>
      </c>
      <c r="N23" s="10">
        <f t="shared" si="2"/>
        <v>0</v>
      </c>
      <c r="O23" s="10">
        <f t="shared" si="3"/>
        <v>0</v>
      </c>
      <c r="P23" s="10">
        <f>'O. Haag BS-CAD'!M18+'S. Schüler'!M23</f>
        <v>0</v>
      </c>
      <c r="Q23" s="10">
        <v>30</v>
      </c>
      <c r="R23" s="10">
        <f>IFERROR(INDEX('Projekt-Budget-Übersicht'!$F:$F,MATCH(1691,'Projekt-Budget-Übersicht'!$L:$L,0)),0)</f>
        <v>0</v>
      </c>
      <c r="S23" s="10">
        <v>885</v>
      </c>
      <c r="T23" s="4"/>
      <c r="U23" s="4"/>
    </row>
    <row r="24" spans="1:21" x14ac:dyDescent="0.25">
      <c r="A24" s="4" t="s">
        <v>1819</v>
      </c>
      <c r="B24" s="4" t="s">
        <v>5459</v>
      </c>
      <c r="C24" s="4" t="str">
        <f>IFERROR(INDEX('Projekt-Budget-Übersicht'!$C:$C,MATCH(2057,'Projekt-Budget-Übersicht'!$L:$L,0)),"")</f>
        <v/>
      </c>
      <c r="D24" s="4">
        <v>200</v>
      </c>
      <c r="E24" s="4">
        <v>15</v>
      </c>
      <c r="F24" s="4">
        <v>2.5</v>
      </c>
      <c r="G24" s="16">
        <v>7.5</v>
      </c>
      <c r="H24" s="5"/>
      <c r="I24" s="5">
        <f t="shared" si="0"/>
        <v>0</v>
      </c>
      <c r="J24" s="4"/>
      <c r="K24" s="5">
        <v>0</v>
      </c>
      <c r="L24" s="10">
        <f>IF($B$2="-",0,IFERROR(INDEX(IF($B$2="SV",'Projekt-Budget-Übersicht'!$I:$I,IF($B$2="CAD",'Projekt-Budget-Übersicht'!$J:$J,IF($B$2="ADM",'Projekt-Budget-Übersicht'!$K:$K,'Projekt-Budget-Übersicht'!$I:$I))),MATCH(2057,'Projekt-Budget-Übersicht'!$M:$M,0)),0))</f>
        <v>0</v>
      </c>
      <c r="M24" s="10">
        <f t="shared" si="1"/>
        <v>0</v>
      </c>
      <c r="N24" s="10">
        <f t="shared" si="2"/>
        <v>0</v>
      </c>
      <c r="O24" s="10">
        <f t="shared" si="3"/>
        <v>0</v>
      </c>
      <c r="P24" s="10">
        <f>'S. Schüler'!M24</f>
        <v>0</v>
      </c>
      <c r="Q24" s="10">
        <v>126</v>
      </c>
      <c r="R24" s="10">
        <f>IFERROR(INDEX('Projekt-Budget-Übersicht'!$F:$F,MATCH(2057,'Projekt-Budget-Übersicht'!$L:$L,0)),0)</f>
        <v>0</v>
      </c>
      <c r="S24" s="10"/>
      <c r="T24" s="4"/>
      <c r="U24" s="4"/>
    </row>
    <row r="25" spans="1:21" x14ac:dyDescent="0.25">
      <c r="A25" s="4" t="s">
        <v>2495</v>
      </c>
      <c r="B25" s="4" t="s">
        <v>5502</v>
      </c>
      <c r="C25" s="4" t="str">
        <f>IFERROR(INDEX('Projekt-Budget-Übersicht'!$C:$C,MATCH(2817,'Projekt-Budget-Übersicht'!$L:$L,0)),"")</f>
        <v/>
      </c>
      <c r="D25" s="4">
        <v>6</v>
      </c>
      <c r="E25" s="4">
        <v>2.25</v>
      </c>
      <c r="F25" s="4">
        <v>1</v>
      </c>
      <c r="G25" s="16">
        <v>37.5</v>
      </c>
      <c r="H25" s="5"/>
      <c r="I25" s="5">
        <f t="shared" si="0"/>
        <v>0</v>
      </c>
      <c r="J25" s="4"/>
      <c r="K25" s="5">
        <v>0</v>
      </c>
      <c r="L25" s="10">
        <f>IF($B$2="-",0,IFERROR(INDEX(IF($B$2="SV",'Projekt-Budget-Übersicht'!$I:$I,IF($B$2="CAD",'Projekt-Budget-Übersicht'!$J:$J,IF($B$2="ADM",'Projekt-Budget-Übersicht'!$K:$K,'Projekt-Budget-Übersicht'!$I:$I))),MATCH(2817,'Projekt-Budget-Übersicht'!$M:$M,0)),0))</f>
        <v>111.7647058823529</v>
      </c>
      <c r="M25" s="10">
        <f t="shared" si="1"/>
        <v>111.7647058823529</v>
      </c>
      <c r="N25" s="10">
        <f t="shared" si="2"/>
        <v>111.7647058823529</v>
      </c>
      <c r="O25" s="10">
        <f t="shared" si="3"/>
        <v>0</v>
      </c>
      <c r="P25" s="10">
        <f>'S. Schüler'!M25</f>
        <v>111.7647058823529</v>
      </c>
      <c r="Q25" s="10">
        <v>17</v>
      </c>
      <c r="R25" s="10">
        <f>IFERROR(INDEX('Projekt-Budget-Übersicht'!$F:$F,MATCH(2817,'Projekt-Budget-Übersicht'!$L:$L,0)),0)</f>
        <v>0</v>
      </c>
      <c r="S25" s="10">
        <v>436.25</v>
      </c>
      <c r="T25" s="4"/>
      <c r="U25" s="4"/>
    </row>
    <row r="26" spans="1:21" x14ac:dyDescent="0.25">
      <c r="A26" s="21" t="s">
        <v>3146</v>
      </c>
      <c r="B26" s="4" t="s">
        <v>5459</v>
      </c>
      <c r="C26" s="4" t="str">
        <f>IFERROR(INDEX('Projekt-Budget-Übersicht'!$C:$C,MATCH(3387,'Projekt-Budget-Übersicht'!$L:$L,0)),"")</f>
        <v/>
      </c>
      <c r="D26" s="4">
        <v>40</v>
      </c>
      <c r="E26" s="4">
        <v>160</v>
      </c>
      <c r="F26" s="4">
        <v>10.25</v>
      </c>
      <c r="G26" s="15">
        <v>400</v>
      </c>
      <c r="H26" s="5"/>
      <c r="I26" s="5">
        <f t="shared" si="0"/>
        <v>0</v>
      </c>
      <c r="J26" s="4"/>
      <c r="K26" s="5">
        <v>0</v>
      </c>
      <c r="L26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26" s="10">
        <f t="shared" si="1"/>
        <v>0</v>
      </c>
      <c r="N26" s="10">
        <f t="shared" si="2"/>
        <v>0</v>
      </c>
      <c r="O26" s="10">
        <f t="shared" si="3"/>
        <v>0</v>
      </c>
      <c r="P26" s="10">
        <f>'S. Schüler'!M26</f>
        <v>0</v>
      </c>
      <c r="Q26" s="10">
        <v>74</v>
      </c>
      <c r="R26" s="10">
        <f>IFERROR(INDEX('Projekt-Budget-Übersicht'!$F:$F,MATCH(3387,'Projekt-Budget-Übersicht'!$L:$L,0)),0)</f>
        <v>0</v>
      </c>
      <c r="S26" s="10">
        <v>23081.52</v>
      </c>
      <c r="T26" s="4"/>
      <c r="U26" s="4"/>
    </row>
    <row r="27" spans="1:21" x14ac:dyDescent="0.25">
      <c r="A27" s="22"/>
      <c r="B27" s="4" t="s">
        <v>5670</v>
      </c>
      <c r="C27" s="4" t="str">
        <f>IFERROR(INDEX('Projekt-Budget-Übersicht'!$C:$C,MATCH(3387,'Projekt-Budget-Übersicht'!$L:$L,0)),"")</f>
        <v/>
      </c>
      <c r="D27" s="4">
        <v>0</v>
      </c>
      <c r="E27" s="4">
        <v>122.25</v>
      </c>
      <c r="F27" s="4">
        <v>3</v>
      </c>
      <c r="G27" s="4">
        <v>0</v>
      </c>
      <c r="H27" s="5"/>
      <c r="I27" s="5">
        <f t="shared" si="0"/>
        <v>0</v>
      </c>
      <c r="J27" s="4"/>
      <c r="K27" s="5">
        <v>0</v>
      </c>
      <c r="L27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27" s="10">
        <f t="shared" si="1"/>
        <v>0</v>
      </c>
      <c r="N27" s="10">
        <f t="shared" si="2"/>
        <v>0</v>
      </c>
      <c r="O27" s="10">
        <f t="shared" si="3"/>
        <v>0</v>
      </c>
      <c r="P27" s="10">
        <f>'S. Schüler'!M27</f>
        <v>0</v>
      </c>
      <c r="Q27" s="10">
        <v>74</v>
      </c>
      <c r="R27" s="10">
        <f>IFERROR(INDEX('Projekt-Budget-Übersicht'!$F:$F,MATCH(3387,'Projekt-Budget-Übersicht'!$L:$L,0)),0)</f>
        <v>0</v>
      </c>
      <c r="S27" s="10">
        <v>23081.52</v>
      </c>
      <c r="T27" s="4"/>
      <c r="U27" s="4"/>
    </row>
    <row r="28" spans="1:21" x14ac:dyDescent="0.25">
      <c r="A28" s="4" t="s">
        <v>4347</v>
      </c>
      <c r="B28" s="4" t="s">
        <v>5592</v>
      </c>
      <c r="C28" s="4" t="str">
        <f>IFERROR(INDEX('Projekt-Budget-Übersicht'!$C:$C,MATCH(4420,'Projekt-Budget-Übersicht'!$L:$L,0)),"")</f>
        <v/>
      </c>
      <c r="D28" s="4">
        <v>20</v>
      </c>
      <c r="E28" s="4">
        <v>30.5</v>
      </c>
      <c r="F28" s="4">
        <v>6.75</v>
      </c>
      <c r="G28" s="15">
        <v>152.5</v>
      </c>
      <c r="H28" s="5"/>
      <c r="I28" s="5">
        <f t="shared" si="0"/>
        <v>0</v>
      </c>
      <c r="J28" s="4"/>
      <c r="K28" s="5">
        <f>IF('J. Dorn'!J34="S. Schüler",'J. Dorn'!I34,0)</f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28" s="10">
        <f t="shared" si="1"/>
        <v>0</v>
      </c>
      <c r="N28" s="10">
        <f t="shared" si="2"/>
        <v>0</v>
      </c>
      <c r="O28" s="10">
        <f t="shared" si="3"/>
        <v>0</v>
      </c>
      <c r="P28" s="10">
        <f>'J. Dorn'!M34+'S. Schüler'!M28</f>
        <v>0</v>
      </c>
      <c r="Q28" s="10">
        <v>36</v>
      </c>
      <c r="R28" s="10">
        <f>IFERROR(INDEX('Projekt-Budget-Übersicht'!$F:$F,MATCH(4420,'Projekt-Budget-Übersicht'!$L:$L,0)),0)</f>
        <v>0</v>
      </c>
      <c r="S28" s="10">
        <v>2697.5</v>
      </c>
      <c r="T28" s="4"/>
      <c r="U28" s="4"/>
    </row>
    <row r="29" spans="1:21" x14ac:dyDescent="0.25">
      <c r="A29" s="4" t="s">
        <v>4453</v>
      </c>
      <c r="B29" s="4" t="s">
        <v>5649</v>
      </c>
      <c r="C29" s="4" t="str">
        <f>IFERROR(INDEX('Projekt-Budget-Übersicht'!$C:$C,MATCH(4522,'Projekt-Budget-Übersicht'!$L:$L,0)),"")</f>
        <v/>
      </c>
      <c r="D29" s="4">
        <v>26</v>
      </c>
      <c r="E29" s="4">
        <v>37.75</v>
      </c>
      <c r="F29" s="4">
        <v>1.75</v>
      </c>
      <c r="G29" s="15">
        <v>145.19</v>
      </c>
      <c r="H29" s="5"/>
      <c r="I29" s="5">
        <f t="shared" si="0"/>
        <v>0</v>
      </c>
      <c r="J29" s="4"/>
      <c r="K29" s="5">
        <f>IF('R. Böttiger'!J15="S. Schüler",'R. Böttiger'!I15,0)</f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29" s="10">
        <f t="shared" si="1"/>
        <v>0</v>
      </c>
      <c r="N29" s="10">
        <f t="shared" si="2"/>
        <v>0</v>
      </c>
      <c r="O29" s="10">
        <f t="shared" si="3"/>
        <v>0</v>
      </c>
      <c r="P29" s="10">
        <f>'R. Böttiger'!M15+'S. Schüler'!M29</f>
        <v>0</v>
      </c>
      <c r="Q29" s="10">
        <v>72</v>
      </c>
      <c r="R29" s="10">
        <f>IFERROR(INDEX('Projekt-Budget-Übersicht'!$F:$F,MATCH(4522,'Projekt-Budget-Übersicht'!$L:$L,0)),0)</f>
        <v>0</v>
      </c>
      <c r="S29" s="10">
        <v>2168.29</v>
      </c>
      <c r="T29" s="4"/>
      <c r="U29" s="4"/>
    </row>
    <row r="30" spans="1:21" x14ac:dyDescent="0.25">
      <c r="A30" s="4" t="s">
        <v>4461</v>
      </c>
      <c r="B30" s="4" t="s">
        <v>5519</v>
      </c>
      <c r="C30" s="4" t="str">
        <f>IFERROR(INDEX('Projekt-Budget-Übersicht'!$C:$C,MATCH(4528,'Projekt-Budget-Übersicht'!$L:$L,0)),"")</f>
        <v/>
      </c>
      <c r="D30" s="4">
        <v>100</v>
      </c>
      <c r="E30" s="4">
        <v>0.5</v>
      </c>
      <c r="F30" s="4">
        <v>0.25</v>
      </c>
      <c r="G30" s="16">
        <v>0.5</v>
      </c>
      <c r="H30" s="5"/>
      <c r="I30" s="5">
        <f t="shared" si="0"/>
        <v>0</v>
      </c>
      <c r="J30" s="4"/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30" s="10">
        <f t="shared" si="1"/>
        <v>0</v>
      </c>
      <c r="N30" s="10">
        <f t="shared" si="2"/>
        <v>0</v>
      </c>
      <c r="O30" s="10">
        <f t="shared" si="3"/>
        <v>0</v>
      </c>
      <c r="P30" s="10">
        <f>'S. Schüler'!M30</f>
        <v>0</v>
      </c>
      <c r="Q30" s="10">
        <v>100</v>
      </c>
      <c r="R30" s="10">
        <f>IFERROR(INDEX('Projekt-Budget-Übersicht'!$F:$F,MATCH(4528,'Projekt-Budget-Übersicht'!$L:$L,0)),0)</f>
        <v>0</v>
      </c>
      <c r="S30" s="10">
        <v>1763.75</v>
      </c>
      <c r="T30" s="4"/>
      <c r="U30" s="4"/>
    </row>
    <row r="31" spans="1:21" x14ac:dyDescent="0.25">
      <c r="A31" s="4" t="s">
        <v>4465</v>
      </c>
      <c r="B31" s="4" t="s">
        <v>5669</v>
      </c>
      <c r="C31" s="4" t="str">
        <f>IFERROR(INDEX('Projekt-Budget-Übersicht'!$C:$C,MATCH(4533,'Projekt-Budget-Übersicht'!$L:$L,0)),"")</f>
        <v/>
      </c>
      <c r="D31" s="4">
        <v>25</v>
      </c>
      <c r="E31" s="4">
        <v>0.5</v>
      </c>
      <c r="F31" s="4">
        <v>0.25</v>
      </c>
      <c r="G31" s="16">
        <v>2</v>
      </c>
      <c r="H31" s="5"/>
      <c r="I31" s="5">
        <f t="shared" si="0"/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153.84615384615381</v>
      </c>
      <c r="M31" s="10">
        <f t="shared" si="1"/>
        <v>38.461538461538453</v>
      </c>
      <c r="N31" s="10">
        <f t="shared" si="2"/>
        <v>38.461538461538453</v>
      </c>
      <c r="O31" s="10">
        <f t="shared" si="3"/>
        <v>0</v>
      </c>
      <c r="P31" s="10">
        <f>'S. Schüler'!M31</f>
        <v>38.461538461538453</v>
      </c>
      <c r="Q31" s="10">
        <v>26</v>
      </c>
      <c r="R31" s="10">
        <f>IFERROR(INDEX('Projekt-Budget-Übersicht'!$F:$F,MATCH(4533,'Projekt-Budget-Übersicht'!$L:$L,0)),0)</f>
        <v>0</v>
      </c>
      <c r="S31" s="10">
        <v>287.5</v>
      </c>
      <c r="T31" s="4"/>
      <c r="U31" s="4"/>
    </row>
    <row r="32" spans="1:21" x14ac:dyDescent="0.25">
      <c r="A32" s="4" t="s">
        <v>4547</v>
      </c>
      <c r="B32" s="4" t="s">
        <v>5485</v>
      </c>
      <c r="C32" s="4" t="str">
        <f>IFERROR(INDEX('Projekt-Budget-Übersicht'!$C:$C,MATCH(4601,'Projekt-Budget-Übersicht'!$L:$L,0)),"")</f>
        <v/>
      </c>
      <c r="D32" s="4">
        <v>84</v>
      </c>
      <c r="E32" s="4">
        <v>50</v>
      </c>
      <c r="F32" s="4">
        <v>1.5</v>
      </c>
      <c r="G32" s="16">
        <v>59.52</v>
      </c>
      <c r="H32" s="5"/>
      <c r="I32" s="5">
        <f t="shared" si="0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IF($B$2="-",0,IFERROR(INDEX(IF($B$2="SV",'Projekt-Budget-Übersicht'!$I:$I,IF($B$2="CAD",'Projekt-Budget-Übersicht'!$J:$J,IF($B$2="ADM",'Projekt-Budget-Übersicht'!$K:$K,'Projekt-Budget-Übersicht'!$I:$I))),MATCH(4601,'Projekt-Budget-Übersicht'!$M:$M,0)),0))</f>
        <v>137.03703703703701</v>
      </c>
      <c r="M32" s="10">
        <f t="shared" si="1"/>
        <v>205.55555555555551</v>
      </c>
      <c r="N32" s="10">
        <f t="shared" si="2"/>
        <v>205.55555555555551</v>
      </c>
      <c r="O32" s="10">
        <f t="shared" si="3"/>
        <v>0</v>
      </c>
      <c r="P32" s="10">
        <f>'S. Schüler'!M32</f>
        <v>205.55555555555551</v>
      </c>
      <c r="Q32" s="10">
        <v>27</v>
      </c>
      <c r="R32" s="10">
        <f>IFERROR(INDEX('Projekt-Budget-Übersicht'!$F:$F,MATCH(4601,'Projekt-Budget-Übersicht'!$L:$L,0)),0)</f>
        <v>0</v>
      </c>
      <c r="S32" s="10"/>
      <c r="T32" s="4"/>
      <c r="U32" s="4"/>
    </row>
    <row r="33" spans="1:21" x14ac:dyDescent="0.25">
      <c r="A33" s="21" t="s">
        <v>4671</v>
      </c>
      <c r="B33" s="4" t="s">
        <v>5638</v>
      </c>
      <c r="C33" s="4" t="str">
        <f>IFERROR(INDEX('Projekt-Budget-Übersicht'!$C:$C,MATCH(4703,'Projekt-Budget-Übersicht'!$L:$L,0)),"")</f>
        <v/>
      </c>
      <c r="D33" s="4">
        <v>20.5</v>
      </c>
      <c r="E33" s="4">
        <v>3.75</v>
      </c>
      <c r="F33" s="4">
        <v>1.75</v>
      </c>
      <c r="G33" s="16">
        <v>18.29</v>
      </c>
      <c r="H33" s="5"/>
      <c r="I33" s="5">
        <f t="shared" si="0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33" s="10">
        <f t="shared" si="1"/>
        <v>165.84967320261438</v>
      </c>
      <c r="N33" s="10">
        <f t="shared" si="2"/>
        <v>165.84967320261438</v>
      </c>
      <c r="O33" s="10">
        <f t="shared" si="3"/>
        <v>0</v>
      </c>
      <c r="P33" s="10">
        <f>'S. Schüler'!M33</f>
        <v>165.84967320261438</v>
      </c>
      <c r="Q33" s="10">
        <v>92.5</v>
      </c>
      <c r="R33" s="10">
        <f>IFERROR(INDEX('Projekt-Budget-Übersicht'!$F:$F,MATCH(4703,'Projekt-Budget-Übersicht'!$L:$L,0)),0)</f>
        <v>0</v>
      </c>
      <c r="S33" s="10">
        <v>2335</v>
      </c>
      <c r="T33" s="4"/>
      <c r="U33" s="4"/>
    </row>
    <row r="34" spans="1:21" x14ac:dyDescent="0.25">
      <c r="A34" s="23"/>
      <c r="B34" s="4" t="s">
        <v>5636</v>
      </c>
      <c r="C34" s="4" t="str">
        <f>IFERROR(INDEX('Projekt-Budget-Übersicht'!$C:$C,MATCH(4703,'Projekt-Budget-Übersicht'!$L:$L,0)),"")</f>
        <v/>
      </c>
      <c r="D34" s="4">
        <v>10.5</v>
      </c>
      <c r="E34" s="4">
        <v>6</v>
      </c>
      <c r="F34" s="4">
        <v>5</v>
      </c>
      <c r="G34" s="16">
        <v>57.14</v>
      </c>
      <c r="H34" s="5"/>
      <c r="I34" s="5">
        <f t="shared" si="0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34" s="10">
        <f t="shared" si="1"/>
        <v>473.85620915032683</v>
      </c>
      <c r="N34" s="10">
        <f t="shared" si="2"/>
        <v>473.85620915032683</v>
      </c>
      <c r="O34" s="10">
        <f t="shared" si="3"/>
        <v>0</v>
      </c>
      <c r="P34" s="10">
        <f>'S. Schüler'!M34</f>
        <v>473.85620915032683</v>
      </c>
      <c r="Q34" s="10">
        <v>92.5</v>
      </c>
      <c r="R34" s="10">
        <f>IFERROR(INDEX('Projekt-Budget-Übersicht'!$F:$F,MATCH(4703,'Projekt-Budget-Übersicht'!$L:$L,0)),0)</f>
        <v>0</v>
      </c>
      <c r="S34" s="10">
        <v>2335</v>
      </c>
      <c r="T34" s="4"/>
      <c r="U34" s="4"/>
    </row>
    <row r="35" spans="1:21" x14ac:dyDescent="0.25">
      <c r="A35" s="23"/>
      <c r="B35" s="4" t="s">
        <v>5671</v>
      </c>
      <c r="C35" s="4" t="str">
        <f>IFERROR(INDEX('Projekt-Budget-Übersicht'!$C:$C,MATCH(4702,'Projekt-Budget-Übersicht'!$L:$L,0)),"")</f>
        <v/>
      </c>
      <c r="D35" s="4">
        <v>15</v>
      </c>
      <c r="E35" s="4">
        <v>13.75</v>
      </c>
      <c r="F35" s="4">
        <v>0.5</v>
      </c>
      <c r="G35" s="14">
        <v>91.67</v>
      </c>
      <c r="H35" s="5"/>
      <c r="I35" s="5">
        <f t="shared" si="0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IF($B$2="-",0,IFERROR(INDEX(IF($B$2="SV",'Projekt-Budget-Übersicht'!$I:$I,IF($B$2="CAD",'Projekt-Budget-Übersicht'!$J:$J,IF($B$2="ADM",'Projekt-Budget-Übersicht'!$K:$K,'Projekt-Budget-Übersicht'!$I:$I))),MATCH(4702,'Projekt-Budget-Übersicht'!$M:$M,0)),0))</f>
        <v>30.4</v>
      </c>
      <c r="M35" s="10">
        <f t="shared" si="1"/>
        <v>15.2</v>
      </c>
      <c r="N35" s="10">
        <f t="shared" si="2"/>
        <v>15.2</v>
      </c>
      <c r="O35" s="10">
        <f t="shared" si="3"/>
        <v>0</v>
      </c>
      <c r="P35" s="10">
        <f>'S. Schüler'!M35</f>
        <v>15.2</v>
      </c>
      <c r="Q35" s="10">
        <v>62.5</v>
      </c>
      <c r="R35" s="10">
        <f>IFERROR(INDEX('Projekt-Budget-Übersicht'!$F:$F,MATCH(4702,'Projekt-Budget-Übersicht'!$L:$L,0)),0)</f>
        <v>0</v>
      </c>
      <c r="S35" s="10">
        <v>1765</v>
      </c>
      <c r="T35" s="4"/>
      <c r="U35" s="4"/>
    </row>
    <row r="36" spans="1:21" x14ac:dyDescent="0.25">
      <c r="A36" s="23"/>
      <c r="B36" s="4" t="s">
        <v>5672</v>
      </c>
      <c r="C36" s="4" t="str">
        <f>IFERROR(INDEX('Projekt-Budget-Übersicht'!$C:$C,MATCH(4703,'Projekt-Budget-Übersicht'!$L:$L,0)),"")</f>
        <v/>
      </c>
      <c r="D36" s="4">
        <v>7.5</v>
      </c>
      <c r="E36" s="4">
        <v>2.5</v>
      </c>
      <c r="F36" s="4">
        <v>2.5</v>
      </c>
      <c r="G36" s="16">
        <v>33.33</v>
      </c>
      <c r="H36" s="5"/>
      <c r="I36" s="5">
        <f t="shared" si="0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36" s="10">
        <f t="shared" si="1"/>
        <v>236.92810457516342</v>
      </c>
      <c r="N36" s="10">
        <f t="shared" si="2"/>
        <v>236.92810457516342</v>
      </c>
      <c r="O36" s="10">
        <f t="shared" si="3"/>
        <v>0</v>
      </c>
      <c r="P36" s="10">
        <f>'S. Schüler'!M36</f>
        <v>236.92810457516342</v>
      </c>
      <c r="Q36" s="10">
        <v>92.5</v>
      </c>
      <c r="R36" s="10">
        <f>IFERROR(INDEX('Projekt-Budget-Übersicht'!$F:$F,MATCH(4703,'Projekt-Budget-Übersicht'!$L:$L,0)),0)</f>
        <v>0</v>
      </c>
      <c r="S36" s="10">
        <v>2335</v>
      </c>
      <c r="T36" s="4"/>
      <c r="U36" s="4"/>
    </row>
    <row r="37" spans="1:21" x14ac:dyDescent="0.25">
      <c r="A37" s="22"/>
      <c r="B37" s="4" t="s">
        <v>5673</v>
      </c>
      <c r="C37" s="4" t="str">
        <f>IFERROR(INDEX('Projekt-Budget-Übersicht'!$C:$C,MATCH(4703,'Projekt-Budget-Übersicht'!$L:$L,0)),"")</f>
        <v/>
      </c>
      <c r="D37" s="4">
        <v>2</v>
      </c>
      <c r="E37" s="4">
        <v>1</v>
      </c>
      <c r="F37" s="4">
        <v>1</v>
      </c>
      <c r="G37" s="16">
        <v>50</v>
      </c>
      <c r="H37" s="5"/>
      <c r="I37" s="5">
        <f t="shared" si="0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37" s="10">
        <f t="shared" si="1"/>
        <v>94.771241830065364</v>
      </c>
      <c r="N37" s="10">
        <f t="shared" si="2"/>
        <v>94.771241830065364</v>
      </c>
      <c r="O37" s="10">
        <f t="shared" si="3"/>
        <v>0</v>
      </c>
      <c r="P37" s="10">
        <f>'S. Schüler'!M37</f>
        <v>94.771241830065364</v>
      </c>
      <c r="Q37" s="10">
        <v>92.5</v>
      </c>
      <c r="R37" s="10">
        <f>IFERROR(INDEX('Projekt-Budget-Übersicht'!$F:$F,MATCH(4703,'Projekt-Budget-Übersicht'!$L:$L,0)),0)</f>
        <v>0</v>
      </c>
      <c r="S37" s="10">
        <v>2335</v>
      </c>
      <c r="T37" s="4"/>
      <c r="U37" s="4"/>
    </row>
    <row r="38" spans="1:21" x14ac:dyDescent="0.25">
      <c r="A38" s="4" t="s">
        <v>4874</v>
      </c>
      <c r="B38" s="4" t="s">
        <v>5556</v>
      </c>
      <c r="C38" s="4" t="str">
        <f>IFERROR(INDEX('Projekt-Budget-Übersicht'!$C:$C,MATCH(4869,'Projekt-Budget-Übersicht'!$L:$L,0)),"")</f>
        <v/>
      </c>
      <c r="D38" s="4">
        <v>20</v>
      </c>
      <c r="E38" s="4">
        <v>20.5</v>
      </c>
      <c r="F38" s="4">
        <v>1.25</v>
      </c>
      <c r="G38" s="15">
        <v>102.5</v>
      </c>
      <c r="H38" s="5"/>
      <c r="I38" s="5">
        <f t="shared" si="0"/>
        <v>0</v>
      </c>
      <c r="J38" s="4"/>
      <c r="K38" s="5">
        <f>IF('D. Brucker'!J12="S. Schüler",'D. Brucker'!I12,0)</f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IF($B$2="-",0,IFERROR(INDEX(IF($B$2="SV",'Projekt-Budget-Übersicht'!$I:$I,IF($B$2="CAD",'Projekt-Budget-Übersicht'!$J:$J,IF($B$2="ADM",'Projekt-Budget-Übersicht'!$K:$K,'Projekt-Budget-Übersicht'!$I:$I))),MATCH(4869,'Projekt-Budget-Übersicht'!$M:$M,0)),0))</f>
        <v>0</v>
      </c>
      <c r="M38" s="10">
        <f t="shared" si="1"/>
        <v>0</v>
      </c>
      <c r="N38" s="10">
        <f t="shared" si="2"/>
        <v>0</v>
      </c>
      <c r="O38" s="10">
        <f t="shared" si="3"/>
        <v>0</v>
      </c>
      <c r="P38" s="10">
        <f>'D. Brucker'!M12+'S. Schüler'!M38</f>
        <v>0</v>
      </c>
      <c r="Q38" s="10"/>
      <c r="R38" s="10">
        <f>IFERROR(INDEX('Projekt-Budget-Übersicht'!$F:$F,MATCH(4869,'Projekt-Budget-Übersicht'!$L:$L,0)),0)</f>
        <v>0</v>
      </c>
      <c r="S38" s="10"/>
      <c r="T38" s="4"/>
      <c r="U38" s="4"/>
    </row>
    <row r="39" spans="1:21" x14ac:dyDescent="0.25">
      <c r="A39" s="4" t="s">
        <v>5037</v>
      </c>
      <c r="B39" s="4" t="s">
        <v>5459</v>
      </c>
      <c r="C39" s="4" t="str">
        <f>IFERROR(INDEX('Projekt-Budget-Übersicht'!$C:$C,MATCH(5018,'Projekt-Budget-Übersicht'!$L:$L,0)),"")</f>
        <v/>
      </c>
      <c r="D39" s="4">
        <v>47</v>
      </c>
      <c r="E39" s="4">
        <v>15</v>
      </c>
      <c r="F39" s="4">
        <v>4.25</v>
      </c>
      <c r="G39" s="16">
        <v>31.91</v>
      </c>
      <c r="H39" s="5"/>
      <c r="I39" s="5">
        <f t="shared" si="0"/>
        <v>0</v>
      </c>
      <c r="J39" s="4"/>
      <c r="K39" s="5"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IF($B$2="-",0,IFERROR(INDEX(IF($B$2="SV",'Projekt-Budget-Übersicht'!$I:$I,IF($B$2="CAD",'Projekt-Budget-Übersicht'!$J:$J,IF($B$2="ADM",'Projekt-Budget-Übersicht'!$K:$K,'Projekt-Budget-Übersicht'!$I:$I))),MATCH(5018,'Projekt-Budget-Übersicht'!$M:$M,0)),0))</f>
        <v>126.1904761904762</v>
      </c>
      <c r="M39" s="10">
        <f t="shared" si="1"/>
        <v>536.30952380952385</v>
      </c>
      <c r="N39" s="10">
        <f t="shared" si="2"/>
        <v>536.30952380952385</v>
      </c>
      <c r="O39" s="10">
        <f t="shared" si="3"/>
        <v>0</v>
      </c>
      <c r="P39" s="10">
        <f>'S. Schüler'!M39</f>
        <v>536.30952380952385</v>
      </c>
      <c r="Q39" s="10">
        <v>105</v>
      </c>
      <c r="R39" s="10">
        <f>IFERROR(INDEX('Projekt-Budget-Übersicht'!$F:$F,MATCH(5018,'Projekt-Budget-Übersicht'!$L:$L,0)),0)</f>
        <v>0</v>
      </c>
      <c r="S39" s="10">
        <v>2205</v>
      </c>
      <c r="T39" s="4"/>
      <c r="U39" s="4"/>
    </row>
    <row r="40" spans="1:21" x14ac:dyDescent="0.25">
      <c r="A40" s="4" t="s">
        <v>5065</v>
      </c>
      <c r="B40" s="4" t="s">
        <v>5674</v>
      </c>
      <c r="C40" s="4" t="str">
        <f>IFERROR(INDEX('Projekt-Budget-Übersicht'!$C:$C,MATCH(5046,'Projekt-Budget-Übersicht'!$L:$L,0)),"")</f>
        <v/>
      </c>
      <c r="D40" s="4">
        <v>30</v>
      </c>
      <c r="E40" s="4">
        <v>15.5</v>
      </c>
      <c r="F40" s="4">
        <v>13.5</v>
      </c>
      <c r="G40" s="16">
        <v>51.67</v>
      </c>
      <c r="H40" s="5"/>
      <c r="I40" s="5">
        <f t="shared" si="0"/>
        <v>0</v>
      </c>
      <c r="J40" s="4"/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IF($B$2="-",0,IFERROR(INDEX(IF($B$2="SV",'Projekt-Budget-Übersicht'!$I:$I,IF($B$2="CAD",'Projekt-Budget-Übersicht'!$J:$J,IF($B$2="ADM",'Projekt-Budget-Übersicht'!$K:$K,'Projekt-Budget-Übersicht'!$I:$I))),MATCH(5046,'Projekt-Budget-Übersicht'!$M:$M,0)),0))</f>
        <v>0</v>
      </c>
      <c r="M40" s="10">
        <f t="shared" si="1"/>
        <v>0</v>
      </c>
      <c r="N40" s="10">
        <f t="shared" si="2"/>
        <v>0</v>
      </c>
      <c r="O40" s="10">
        <f t="shared" si="3"/>
        <v>0</v>
      </c>
      <c r="P40" s="10">
        <f>'S. Schüler'!M40</f>
        <v>0</v>
      </c>
      <c r="Q40" s="10">
        <v>30</v>
      </c>
      <c r="R40" s="10">
        <f>IFERROR(INDEX('Projekt-Budget-Übersicht'!$F:$F,MATCH(5046,'Projekt-Budget-Übersicht'!$L:$L,0)),0)</f>
        <v>0</v>
      </c>
      <c r="S40" s="10">
        <v>1673.29</v>
      </c>
      <c r="T40" s="4"/>
      <c r="U40" s="4"/>
    </row>
    <row r="41" spans="1:21" x14ac:dyDescent="0.25">
      <c r="A41" s="4" t="s">
        <v>5186</v>
      </c>
      <c r="B41" s="4" t="s">
        <v>5459</v>
      </c>
      <c r="C41" s="4" t="s">
        <v>50</v>
      </c>
      <c r="D41" s="4">
        <v>0</v>
      </c>
      <c r="E41" s="4">
        <v>-8</v>
      </c>
      <c r="F41" s="4">
        <v>1.25</v>
      </c>
      <c r="G41" s="4">
        <v>0</v>
      </c>
      <c r="H41" s="5"/>
      <c r="I41" s="5">
        <f t="shared" si="0"/>
        <v>0</v>
      </c>
      <c r="J41" s="4"/>
      <c r="K41" s="5">
        <f>IF('H. Bektas'!J22="S. Schüler",'H. Bektas'!I22,0)</f>
        <v>0</v>
      </c>
      <c r="L41" s="10">
        <f>IF($B$2="-",0,0)</f>
        <v>0</v>
      </c>
      <c r="M41" s="10">
        <f t="shared" si="1"/>
        <v>0</v>
      </c>
      <c r="N41" s="10">
        <f t="shared" si="2"/>
        <v>0</v>
      </c>
      <c r="O41" s="10">
        <f t="shared" si="3"/>
        <v>0</v>
      </c>
      <c r="P41" s="10">
        <f>'H. Bektas'!M22+'S. Schüler'!M41</f>
        <v>0</v>
      </c>
      <c r="Q41" s="10"/>
      <c r="R41" s="10">
        <f>0</f>
        <v>0</v>
      </c>
      <c r="S41" s="10"/>
      <c r="T41" s="4"/>
      <c r="U41" s="4"/>
    </row>
    <row r="42" spans="1:21" x14ac:dyDescent="0.25">
      <c r="A42" s="21" t="s">
        <v>5446</v>
      </c>
      <c r="B42" s="4" t="s">
        <v>5675</v>
      </c>
      <c r="C42" s="4" t="str">
        <f>IFERROR(INDEX('Projekt-Budget-Übersicht'!$C:$C,MATCH(5387,'Projekt-Budget-Übersicht'!$L:$L,0)),"")</f>
        <v/>
      </c>
      <c r="D42" s="4">
        <v>0</v>
      </c>
      <c r="E42" s="4">
        <v>4.5</v>
      </c>
      <c r="F42" s="4">
        <v>4</v>
      </c>
      <c r="G42" s="4">
        <v>0</v>
      </c>
      <c r="H42" s="5"/>
      <c r="I42" s="5">
        <f t="shared" si="0"/>
        <v>0</v>
      </c>
      <c r="J42" s="4"/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42" s="10">
        <f t="shared" si="1"/>
        <v>0</v>
      </c>
      <c r="N42" s="10">
        <f t="shared" si="2"/>
        <v>0</v>
      </c>
      <c r="O42" s="10">
        <f t="shared" si="3"/>
        <v>0</v>
      </c>
      <c r="P42" s="10">
        <f>'S. Schüler'!M42</f>
        <v>0</v>
      </c>
      <c r="Q42" s="10"/>
      <c r="R42" s="10">
        <f>IFERROR(INDEX('Projekt-Budget-Übersicht'!$F:$F,MATCH(5387,'Projekt-Budget-Übersicht'!$L:$L,0)),0)</f>
        <v>0</v>
      </c>
      <c r="S42" s="10">
        <v>720</v>
      </c>
      <c r="T42" s="4"/>
      <c r="U42" s="4"/>
    </row>
    <row r="43" spans="1:21" x14ac:dyDescent="0.25">
      <c r="A43" s="23"/>
      <c r="B43" s="4" t="s">
        <v>5676</v>
      </c>
      <c r="C43" s="4" t="str">
        <f>IFERROR(INDEX('Projekt-Budget-Übersicht'!$C:$C,MATCH(5387,'Projekt-Budget-Übersicht'!$L:$L,0)),"")</f>
        <v/>
      </c>
      <c r="D43" s="4">
        <v>0</v>
      </c>
      <c r="E43" s="4">
        <v>2</v>
      </c>
      <c r="F43" s="4">
        <v>2</v>
      </c>
      <c r="G43" s="4">
        <v>0</v>
      </c>
      <c r="H43" s="5"/>
      <c r="I43" s="5">
        <f t="shared" si="0"/>
        <v>0</v>
      </c>
      <c r="J43" s="4"/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43" s="10">
        <f t="shared" si="1"/>
        <v>0</v>
      </c>
      <c r="N43" s="10">
        <f t="shared" si="2"/>
        <v>0</v>
      </c>
      <c r="O43" s="10">
        <f t="shared" si="3"/>
        <v>0</v>
      </c>
      <c r="P43" s="10">
        <f>'S. Schüler'!M43</f>
        <v>0</v>
      </c>
      <c r="Q43" s="10"/>
      <c r="R43" s="10">
        <f>IFERROR(INDEX('Projekt-Budget-Übersicht'!$F:$F,MATCH(5387,'Projekt-Budget-Übersicht'!$L:$L,0)),0)</f>
        <v>0</v>
      </c>
      <c r="S43" s="10">
        <v>720</v>
      </c>
      <c r="T43" s="4"/>
      <c r="U43" s="4"/>
    </row>
    <row r="44" spans="1:21" x14ac:dyDescent="0.25">
      <c r="A44" s="22"/>
      <c r="B44" s="4" t="s">
        <v>5677</v>
      </c>
      <c r="C44" s="4" t="str">
        <f>IFERROR(INDEX('Projekt-Budget-Übersicht'!$C:$C,MATCH(5387,'Projekt-Budget-Übersicht'!$L:$L,0)),"")</f>
        <v/>
      </c>
      <c r="D44" s="4">
        <v>0</v>
      </c>
      <c r="E44" s="4">
        <v>1</v>
      </c>
      <c r="F44" s="4">
        <v>1</v>
      </c>
      <c r="G44" s="4">
        <v>0</v>
      </c>
      <c r="H44" s="5"/>
      <c r="I44" s="5">
        <f t="shared" si="0"/>
        <v>0</v>
      </c>
      <c r="J44" s="4"/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44" s="10">
        <f t="shared" si="1"/>
        <v>0</v>
      </c>
      <c r="N44" s="10">
        <f t="shared" si="2"/>
        <v>0</v>
      </c>
      <c r="O44" s="10">
        <f t="shared" si="3"/>
        <v>0</v>
      </c>
      <c r="P44" s="10">
        <f>'S. Schüler'!M44</f>
        <v>0</v>
      </c>
      <c r="Q44" s="10"/>
      <c r="R44" s="10">
        <f>IFERROR(INDEX('Projekt-Budget-Übersicht'!$F:$F,MATCH(5387,'Projekt-Budget-Übersicht'!$L:$L,0)),0)</f>
        <v>0</v>
      </c>
      <c r="S44" s="10">
        <v>720</v>
      </c>
      <c r="T44" s="4"/>
      <c r="U44" s="4"/>
    </row>
    <row r="45" spans="1:21" x14ac:dyDescent="0.25">
      <c r="A45" s="3"/>
      <c r="B45" s="3" t="s">
        <v>5492</v>
      </c>
      <c r="C45" s="3"/>
      <c r="D45" s="3"/>
      <c r="E45" s="3"/>
      <c r="F45" s="6">
        <v>127.5</v>
      </c>
      <c r="G45" s="3"/>
      <c r="H45" s="3"/>
      <c r="I45" s="3"/>
      <c r="J45" s="3"/>
      <c r="K45" s="3"/>
      <c r="L45" s="3"/>
      <c r="M45" s="17">
        <f>SUM(M6:M44)</f>
        <v>2206.453905408317</v>
      </c>
      <c r="N45" s="17">
        <f>SUM(N6:N44)</f>
        <v>2206.453905408317</v>
      </c>
      <c r="O45" s="17">
        <f>SUM(O6:O44)</f>
        <v>0</v>
      </c>
      <c r="P45" s="17">
        <f>SUM(P6:P44)</f>
        <v>2206.453905408317</v>
      </c>
      <c r="Q45" s="3"/>
      <c r="R45" s="3"/>
      <c r="S45" s="3"/>
      <c r="T45" s="3"/>
      <c r="U45" s="3"/>
    </row>
    <row r="46" spans="1:21" x14ac:dyDescent="0.25">
      <c r="A46" s="3"/>
      <c r="B46" s="3" t="s">
        <v>4</v>
      </c>
      <c r="C46" s="3"/>
      <c r="D46" s="3"/>
      <c r="E46" s="3"/>
      <c r="F46" s="6">
        <f>G46+H46</f>
        <v>60.75</v>
      </c>
      <c r="G46" s="6">
        <v>60.75</v>
      </c>
      <c r="H46" s="6">
        <f>SUM(H7,H8,H9,H10,H11,H12,H13,H14,H15,H16,H17,H18,H19,H20,H21,H22,H23,H24,H25,H26,H27,H28,H29,H30,H31,H32,H33,H34,H35,H36,H37,H38,H39,H40,H41,H42,H43,H44)</f>
        <v>0</v>
      </c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3"/>
      <c r="B47" s="3" t="s">
        <v>5</v>
      </c>
      <c r="C47" s="3"/>
      <c r="D47" s="3"/>
      <c r="E47" s="3"/>
      <c r="F47" s="6">
        <f>G47+H47</f>
        <v>7.5</v>
      </c>
      <c r="G47" s="6">
        <v>7.5</v>
      </c>
      <c r="H47" s="6">
        <f>SUM(H6)</f>
        <v>0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1:21" x14ac:dyDescent="0.25">
      <c r="A48" s="3"/>
      <c r="B48" s="3" t="s">
        <v>5493</v>
      </c>
      <c r="C48" s="3"/>
      <c r="D48" s="3"/>
      <c r="E48" s="3"/>
      <c r="F48" s="6">
        <f>SUM(K6:K44)</f>
        <v>0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x14ac:dyDescent="0.25">
      <c r="A49" s="18"/>
      <c r="B49" s="18" t="s">
        <v>5494</v>
      </c>
      <c r="C49" s="18"/>
      <c r="D49" s="18"/>
      <c r="E49" s="18"/>
      <c r="F49" s="19">
        <f>F46+F47+F48</f>
        <v>68.25</v>
      </c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1" spans="1:21" ht="15.75" x14ac:dyDescent="0.25">
      <c r="A51" s="2" t="s">
        <v>5495</v>
      </c>
    </row>
    <row r="52" spans="1:21" x14ac:dyDescent="0.25">
      <c r="A52" s="3" t="s">
        <v>35</v>
      </c>
      <c r="B52" s="3" t="s">
        <v>5461</v>
      </c>
      <c r="C52" s="3" t="s">
        <v>37</v>
      </c>
      <c r="D52" s="3" t="s">
        <v>5462</v>
      </c>
      <c r="E52" s="3" t="s">
        <v>5463</v>
      </c>
      <c r="F52" s="3" t="s">
        <v>5496</v>
      </c>
      <c r="G52" s="3" t="s">
        <v>5465</v>
      </c>
      <c r="H52" s="3" t="s">
        <v>5466</v>
      </c>
      <c r="I52" s="3" t="s">
        <v>5467</v>
      </c>
      <c r="J52" s="3" t="s">
        <v>5468</v>
      </c>
      <c r="K52" s="3" t="s">
        <v>5469</v>
      </c>
      <c r="L52" s="3" t="s">
        <v>5470</v>
      </c>
      <c r="M52" s="3" t="s">
        <v>5471</v>
      </c>
      <c r="N52" s="3" t="s">
        <v>5472</v>
      </c>
      <c r="O52" s="3" t="s">
        <v>5473</v>
      </c>
      <c r="P52" s="3" t="s">
        <v>5474</v>
      </c>
      <c r="Q52" s="3" t="s">
        <v>5475</v>
      </c>
      <c r="R52" s="3" t="s">
        <v>5476</v>
      </c>
      <c r="S52" s="3" t="s">
        <v>5477</v>
      </c>
      <c r="T52" s="3" t="s">
        <v>5478</v>
      </c>
      <c r="U52" s="3" t="s">
        <v>5479</v>
      </c>
    </row>
    <row r="53" spans="1:21" x14ac:dyDescent="0.25">
      <c r="A53" s="21" t="s">
        <v>865</v>
      </c>
      <c r="B53" s="4" t="s">
        <v>5643</v>
      </c>
      <c r="C53" s="4" t="str">
        <f>IFERROR(INDEX('Projekt-Budget-Übersicht'!$C:$C,MATCH(890,'Projekt-Budget-Übersicht'!$L:$L,0)),"")</f>
        <v/>
      </c>
      <c r="D53" s="4">
        <v>23</v>
      </c>
      <c r="E53" s="4">
        <v>104.5</v>
      </c>
      <c r="F53" s="4">
        <v>0.75</v>
      </c>
      <c r="G53" s="15">
        <v>454.35</v>
      </c>
      <c r="H53" s="5"/>
      <c r="I53" s="5">
        <f t="shared" ref="I53:I84" si="4">IF(H53=0,0,F53-H53)</f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53" s="10">
        <f t="shared" ref="M53:M84" si="5">IF($B$2="-",0,IF(C53="Pauschale",IF(OR(R53=0,N(D53)=0),0,MAX(0,MIN(R53*((N(F53)+N(K53))/N(D53)),R53-R53*(N(E53)/N(D53))))),L53*(N(F53)+N(K53))))</f>
        <v>0</v>
      </c>
      <c r="N53" s="10">
        <f t="shared" ref="N53:N84" si="6">IF($B$2="-",0,IF(C53="Pauschale",IF(OR(R53=0,N(D53)=0),0,R53*((N(F53)+N(K53))/N(D53))),L53*(N(F53)+N(K53))))</f>
        <v>0</v>
      </c>
      <c r="O53" s="10">
        <f t="shared" ref="O53:O84" si="7">N53-M53</f>
        <v>0</v>
      </c>
      <c r="P53" s="10">
        <f>'S. Schüler'!M53</f>
        <v>0</v>
      </c>
      <c r="Q53" s="10">
        <v>63</v>
      </c>
      <c r="R53" s="10">
        <f>IFERROR(INDEX('Projekt-Budget-Übersicht'!$F:$F,MATCH(890,'Projekt-Budget-Übersicht'!$L:$L,0)),0)</f>
        <v>0</v>
      </c>
      <c r="S53" s="10">
        <v>7717.86</v>
      </c>
      <c r="T53" s="4"/>
      <c r="U53" s="4"/>
    </row>
    <row r="54" spans="1:21" x14ac:dyDescent="0.25">
      <c r="A54" s="23"/>
      <c r="B54" s="4" t="s">
        <v>5536</v>
      </c>
      <c r="C54" s="4" t="str">
        <f>IFERROR(INDEX('Projekt-Budget-Übersicht'!$C:$C,MATCH(892,'Projekt-Budget-Übersicht'!$L:$L,0)),"")</f>
        <v/>
      </c>
      <c r="D54" s="4">
        <v>52</v>
      </c>
      <c r="E54" s="4">
        <v>162.25</v>
      </c>
      <c r="F54" s="4">
        <v>15.5</v>
      </c>
      <c r="G54" s="15">
        <v>312.02</v>
      </c>
      <c r="H54" s="5"/>
      <c r="I54" s="5">
        <f t="shared" si="4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4" s="10">
        <f t="shared" si="5"/>
        <v>0</v>
      </c>
      <c r="N54" s="10">
        <f t="shared" si="6"/>
        <v>0</v>
      </c>
      <c r="O54" s="10">
        <f t="shared" si="7"/>
        <v>0</v>
      </c>
      <c r="P54" s="10">
        <f>'S. Schüler'!M54</f>
        <v>0</v>
      </c>
      <c r="Q54" s="10">
        <v>107</v>
      </c>
      <c r="R54" s="10">
        <f>IFERROR(INDEX('Projekt-Budget-Übersicht'!$F:$F,MATCH(892,'Projekt-Budget-Übersicht'!$L:$L,0)),0)</f>
        <v>0</v>
      </c>
      <c r="S54" s="10">
        <v>12383.75</v>
      </c>
      <c r="T54" s="4"/>
      <c r="U54" s="4"/>
    </row>
    <row r="55" spans="1:21" x14ac:dyDescent="0.25">
      <c r="A55" s="23"/>
      <c r="B55" s="4" t="s">
        <v>5537</v>
      </c>
      <c r="C55" s="4" t="str">
        <f>IFERROR(INDEX('Projekt-Budget-Übersicht'!$C:$C,MATCH(891,'Projekt-Budget-Übersicht'!$L:$L,0)),"")</f>
        <v/>
      </c>
      <c r="D55" s="4">
        <v>21</v>
      </c>
      <c r="E55" s="4">
        <v>30.75</v>
      </c>
      <c r="F55" s="4">
        <v>0.5</v>
      </c>
      <c r="G55" s="15">
        <v>146.43</v>
      </c>
      <c r="H55" s="5"/>
      <c r="I55" s="5">
        <f t="shared" si="4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IF($B$2="-",0,IFERROR(INDEX(IF($B$2="SV",'Projekt-Budget-Übersicht'!$I:$I,IF($B$2="CAD",'Projekt-Budget-Übersicht'!$J:$J,IF($B$2="ADM",'Projekt-Budget-Übersicht'!$K:$K,'Projekt-Budget-Übersicht'!$I:$I))),MATCH(891,'Projekt-Budget-Übersicht'!$M:$M,0)),0))</f>
        <v>94.761904761904759</v>
      </c>
      <c r="M55" s="10">
        <f t="shared" si="5"/>
        <v>47.38095238095238</v>
      </c>
      <c r="N55" s="10">
        <f t="shared" si="6"/>
        <v>47.38095238095238</v>
      </c>
      <c r="O55" s="10">
        <f t="shared" si="7"/>
        <v>0</v>
      </c>
      <c r="P55" s="10">
        <f>'S. Schüler'!M55</f>
        <v>47.38095238095238</v>
      </c>
      <c r="Q55" s="10">
        <v>21</v>
      </c>
      <c r="R55" s="10">
        <f>IFERROR(INDEX('Projekt-Budget-Übersicht'!$F:$F,MATCH(891,'Projekt-Budget-Übersicht'!$L:$L,0)),0)</f>
        <v>0</v>
      </c>
      <c r="S55" s="10">
        <v>180</v>
      </c>
      <c r="T55" s="4"/>
      <c r="U55" s="4"/>
    </row>
    <row r="56" spans="1:21" x14ac:dyDescent="0.25">
      <c r="A56" s="23"/>
      <c r="B56" s="4" t="s">
        <v>5604</v>
      </c>
      <c r="C56" s="4" t="str">
        <f>IFERROR(INDEX('Projekt-Budget-Übersicht'!$C:$C,MATCH(892,'Projekt-Budget-Übersicht'!$L:$L,0)),"")</f>
        <v/>
      </c>
      <c r="D56" s="4">
        <v>6.5</v>
      </c>
      <c r="E56" s="4">
        <v>13.25</v>
      </c>
      <c r="F56" s="4">
        <v>1</v>
      </c>
      <c r="G56" s="15">
        <v>203.85</v>
      </c>
      <c r="H56" s="5"/>
      <c r="I56" s="5">
        <f t="shared" si="4"/>
        <v>0</v>
      </c>
      <c r="J56" s="4"/>
      <c r="K56" s="5">
        <f>IF('U. Sutter ADM'!J31="S. Schüler",'U. Sutter ADM'!I31,0)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6" s="10">
        <f t="shared" si="5"/>
        <v>0</v>
      </c>
      <c r="N56" s="10">
        <f t="shared" si="6"/>
        <v>0</v>
      </c>
      <c r="O56" s="10">
        <f t="shared" si="7"/>
        <v>0</v>
      </c>
      <c r="P56" s="10">
        <f>'S. Schüler'!M56+'U. Sutter ADM'!M31</f>
        <v>0</v>
      </c>
      <c r="Q56" s="10">
        <v>107</v>
      </c>
      <c r="R56" s="10">
        <f>IFERROR(INDEX('Projekt-Budget-Übersicht'!$F:$F,MATCH(892,'Projekt-Budget-Übersicht'!$L:$L,0)),0)</f>
        <v>0</v>
      </c>
      <c r="S56" s="10">
        <v>12383.75</v>
      </c>
      <c r="T56" s="4"/>
      <c r="U56" s="4"/>
    </row>
    <row r="57" spans="1:21" x14ac:dyDescent="0.25">
      <c r="A57" s="23"/>
      <c r="B57" s="4" t="s">
        <v>5605</v>
      </c>
      <c r="C57" s="4" t="str">
        <f>IFERROR(INDEX('Projekt-Budget-Übersicht'!$C:$C,MATCH(892,'Projekt-Budget-Übersicht'!$L:$L,0)),"")</f>
        <v/>
      </c>
      <c r="D57" s="4">
        <v>9.5</v>
      </c>
      <c r="E57" s="4">
        <v>3</v>
      </c>
      <c r="F57" s="4">
        <v>0.75</v>
      </c>
      <c r="G57" s="16">
        <v>31.58</v>
      </c>
      <c r="H57" s="5"/>
      <c r="I57" s="5">
        <f t="shared" si="4"/>
        <v>0</v>
      </c>
      <c r="J57" s="4"/>
      <c r="K57" s="5">
        <f>IF('U. Sutter ADM'!J32="S. Schüler",'U. Sutter ADM'!I32,0)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'S. Schüler'!M57+'U. Sutter ADM'!M32</f>
        <v>0</v>
      </c>
      <c r="Q57" s="10">
        <v>107</v>
      </c>
      <c r="R57" s="10">
        <f>IFERROR(INDEX('Projekt-Budget-Übersicht'!$F:$F,MATCH(892,'Projekt-Budget-Übersicht'!$L:$L,0)),0)</f>
        <v>0</v>
      </c>
      <c r="S57" s="10">
        <v>12383.75</v>
      </c>
      <c r="T57" s="4"/>
      <c r="U57" s="4"/>
    </row>
    <row r="58" spans="1:21" x14ac:dyDescent="0.25">
      <c r="A58" s="23"/>
      <c r="B58" s="4" t="s">
        <v>5629</v>
      </c>
      <c r="C58" s="4" t="str">
        <f>IFERROR(INDEX('Projekt-Budget-Übersicht'!$C:$C,MATCH(892,'Projekt-Budget-Übersicht'!$L:$L,0)),"")</f>
        <v/>
      </c>
      <c r="D58" s="4">
        <v>8.5</v>
      </c>
      <c r="E58" s="4">
        <v>13.25</v>
      </c>
      <c r="F58" s="4">
        <v>0.5</v>
      </c>
      <c r="G58" s="15">
        <v>155.88</v>
      </c>
      <c r="H58" s="5"/>
      <c r="I58" s="5">
        <f t="shared" si="4"/>
        <v>0</v>
      </c>
      <c r="J58" s="4"/>
      <c r="K58" s="5">
        <f>IF('O. Haag BS-CAD'!J57="S. Schüler",'O. Haag BS-CAD'!I57,0)</f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8" s="10">
        <f t="shared" si="5"/>
        <v>0</v>
      </c>
      <c r="N58" s="10">
        <f t="shared" si="6"/>
        <v>0</v>
      </c>
      <c r="O58" s="10">
        <f t="shared" si="7"/>
        <v>0</v>
      </c>
      <c r="P58" s="10">
        <f>'O. Haag BS-CAD'!M57+'S. Schüler'!M58</f>
        <v>0</v>
      </c>
      <c r="Q58" s="10">
        <v>107</v>
      </c>
      <c r="R58" s="10">
        <f>IFERROR(INDEX('Projekt-Budget-Übersicht'!$F:$F,MATCH(892,'Projekt-Budget-Übersicht'!$L:$L,0)),0)</f>
        <v>0</v>
      </c>
      <c r="S58" s="10">
        <v>12383.75</v>
      </c>
      <c r="T58" s="4"/>
      <c r="U58" s="4"/>
    </row>
    <row r="59" spans="1:21" x14ac:dyDescent="0.25">
      <c r="A59" s="23"/>
      <c r="B59" s="4" t="s">
        <v>5678</v>
      </c>
      <c r="C59" s="4" t="str">
        <f>IFERROR(INDEX('Projekt-Budget-Übersicht'!$C:$C,MATCH(893,'Projekt-Budget-Übersicht'!$L:$L,0)),"")</f>
        <v/>
      </c>
      <c r="D59" s="4">
        <v>34</v>
      </c>
      <c r="E59" s="4">
        <v>5.75</v>
      </c>
      <c r="F59" s="4">
        <v>5.75</v>
      </c>
      <c r="G59" s="16">
        <v>16.91</v>
      </c>
      <c r="H59" s="5"/>
      <c r="I59" s="5">
        <f t="shared" si="4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59" s="10">
        <f t="shared" si="5"/>
        <v>0</v>
      </c>
      <c r="N59" s="10">
        <f t="shared" si="6"/>
        <v>0</v>
      </c>
      <c r="O59" s="10">
        <f t="shared" si="7"/>
        <v>0</v>
      </c>
      <c r="P59" s="10">
        <f>'S. Schüler'!M59</f>
        <v>0</v>
      </c>
      <c r="Q59" s="10">
        <v>81.5</v>
      </c>
      <c r="R59" s="10">
        <f>IFERROR(INDEX('Projekt-Budget-Übersicht'!$F:$F,MATCH(893,'Projekt-Budget-Übersicht'!$L:$L,0)),0)</f>
        <v>0</v>
      </c>
      <c r="S59" s="10">
        <v>988.75</v>
      </c>
      <c r="T59" s="4"/>
      <c r="U59" s="4"/>
    </row>
    <row r="60" spans="1:21" x14ac:dyDescent="0.25">
      <c r="A60" s="22"/>
      <c r="B60" s="4" t="s">
        <v>5602</v>
      </c>
      <c r="C60" s="4" t="str">
        <f>IFERROR(INDEX('Projekt-Budget-Übersicht'!$C:$C,MATCH(893,'Projekt-Budget-Übersicht'!$L:$L,0)),"")</f>
        <v/>
      </c>
      <c r="D60" s="4">
        <v>28.5</v>
      </c>
      <c r="E60" s="4">
        <v>5.25</v>
      </c>
      <c r="F60" s="4">
        <v>1.75</v>
      </c>
      <c r="G60" s="16">
        <v>18.420000000000002</v>
      </c>
      <c r="H60" s="5"/>
      <c r="I60" s="5">
        <f t="shared" si="4"/>
        <v>0</v>
      </c>
      <c r="J60" s="4"/>
      <c r="K60" s="5">
        <f>IF('O. Haag BS-CAD'!J58="S. Schüler",'O. Haag BS-CAD'!I58,0)</f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'O. Haag BS-CAD'!M58+'S. Schüler'!M60</f>
        <v>0</v>
      </c>
      <c r="Q60" s="10">
        <v>81.5</v>
      </c>
      <c r="R60" s="10">
        <f>IFERROR(INDEX('Projekt-Budget-Übersicht'!$F:$F,MATCH(893,'Projekt-Budget-Übersicht'!$L:$L,0)),0)</f>
        <v>0</v>
      </c>
      <c r="S60" s="10">
        <v>988.75</v>
      </c>
      <c r="T60" s="4"/>
      <c r="U60" s="4"/>
    </row>
    <row r="61" spans="1:21" x14ac:dyDescent="0.25">
      <c r="A61" s="4" t="s">
        <v>873</v>
      </c>
      <c r="B61" s="4" t="s">
        <v>5485</v>
      </c>
      <c r="C61" s="4" t="str">
        <f>IFERROR(INDEX('Projekt-Budget-Übersicht'!$C:$C,MATCH(895,'Projekt-Budget-Übersicht'!$L:$L,0)),"")</f>
        <v/>
      </c>
      <c r="D61" s="4">
        <v>57</v>
      </c>
      <c r="E61" s="4">
        <v>31.25</v>
      </c>
      <c r="F61" s="4">
        <v>1.5</v>
      </c>
      <c r="G61" s="16">
        <v>54.82</v>
      </c>
      <c r="H61" s="5"/>
      <c r="I61" s="5">
        <f t="shared" si="4"/>
        <v>0</v>
      </c>
      <c r="J61" s="4"/>
      <c r="K61" s="5"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IF($B$2="-",0,IFERROR(INDEX(IF($B$2="SV",'Projekt-Budget-Übersicht'!$I:$I,IF($B$2="CAD",'Projekt-Budget-Übersicht'!$J:$J,IF($B$2="ADM",'Projekt-Budget-Übersicht'!$K:$K,'Projekt-Budget-Übersicht'!$I:$I))),MATCH(895,'Projekt-Budget-Übersicht'!$M:$M,0)),0))</f>
        <v>117.64705882352941</v>
      </c>
      <c r="M61" s="10">
        <f t="shared" si="5"/>
        <v>176.47058823529412</v>
      </c>
      <c r="N61" s="10">
        <f t="shared" si="6"/>
        <v>176.47058823529412</v>
      </c>
      <c r="O61" s="10">
        <f t="shared" si="7"/>
        <v>0</v>
      </c>
      <c r="P61" s="10">
        <f>'S. Schüler'!M61</f>
        <v>176.47058823529412</v>
      </c>
      <c r="Q61" s="10">
        <v>51</v>
      </c>
      <c r="R61" s="10">
        <f>IFERROR(INDEX('Projekt-Budget-Übersicht'!$F:$F,MATCH(895,'Projekt-Budget-Übersicht'!$L:$L,0)),0)</f>
        <v>0</v>
      </c>
      <c r="S61" s="10"/>
      <c r="T61" s="4"/>
      <c r="U61" s="4"/>
    </row>
    <row r="62" spans="1:21" x14ac:dyDescent="0.25">
      <c r="A62" s="4" t="s">
        <v>879</v>
      </c>
      <c r="B62" s="4" t="s">
        <v>5498</v>
      </c>
      <c r="C62" s="4" t="str">
        <f>IFERROR(INDEX('Projekt-Budget-Übersicht'!$C:$C,MATCH(899,'Projekt-Budget-Übersicht'!$L:$L,0)),"")</f>
        <v/>
      </c>
      <c r="D62" s="4">
        <v>230</v>
      </c>
      <c r="E62" s="4">
        <v>31.75</v>
      </c>
      <c r="F62" s="4">
        <v>1.25</v>
      </c>
      <c r="G62" s="16">
        <v>13.8</v>
      </c>
      <c r="H62" s="5"/>
      <c r="I62" s="5">
        <f t="shared" si="4"/>
        <v>0</v>
      </c>
      <c r="J62" s="4"/>
      <c r="K62" s="5">
        <f>IF('A. Kokott'!J45="S. Schüler",'A. Kokott'!I45,0)+IF('M. Warner'!J8="S. Schüler",'M. Warner'!I8,0)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81.25</v>
      </c>
      <c r="M62" s="10">
        <f t="shared" si="5"/>
        <v>101.5625</v>
      </c>
      <c r="N62" s="10">
        <f t="shared" si="6"/>
        <v>101.5625</v>
      </c>
      <c r="O62" s="10">
        <f t="shared" si="7"/>
        <v>0</v>
      </c>
      <c r="P62" s="10">
        <f>'A. Kokott'!M45+'M. Warner'!M8+'S. Schüler'!M62</f>
        <v>568.75</v>
      </c>
      <c r="Q62" s="10">
        <v>120</v>
      </c>
      <c r="R62" s="10">
        <f>IFERROR(INDEX('Projekt-Budget-Übersicht'!$F:$F,MATCH(899,'Projekt-Budget-Übersicht'!$L:$L,0)),0)</f>
        <v>0</v>
      </c>
      <c r="S62" s="10"/>
      <c r="T62" s="4"/>
      <c r="U62" s="4"/>
    </row>
    <row r="63" spans="1:21" x14ac:dyDescent="0.25">
      <c r="A63" s="21" t="s">
        <v>1490</v>
      </c>
      <c r="B63" s="4" t="s">
        <v>5667</v>
      </c>
      <c r="C63" s="4" t="str">
        <f>IFERROR(INDEX('Projekt-Budget-Übersicht'!$C:$C,MATCH(1680,'Projekt-Budget-Übersicht'!$L:$L,0)),"")</f>
        <v/>
      </c>
      <c r="D63" s="4">
        <v>14.75</v>
      </c>
      <c r="E63" s="4">
        <v>46.75</v>
      </c>
      <c r="F63" s="4">
        <v>2.5</v>
      </c>
      <c r="G63" s="15">
        <v>316.95</v>
      </c>
      <c r="H63" s="5"/>
      <c r="I63" s="5">
        <f t="shared" si="4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63" s="10">
        <f t="shared" si="5"/>
        <v>0</v>
      </c>
      <c r="N63" s="10">
        <f t="shared" si="6"/>
        <v>0</v>
      </c>
      <c r="O63" s="10">
        <f t="shared" si="7"/>
        <v>0</v>
      </c>
      <c r="P63" s="10">
        <f>'S. Schüler'!M63</f>
        <v>0</v>
      </c>
      <c r="Q63" s="10">
        <v>122.25</v>
      </c>
      <c r="R63" s="10">
        <f>IFERROR(INDEX('Projekt-Budget-Übersicht'!$F:$F,MATCH(1680,'Projekt-Budget-Übersicht'!$L:$L,0)),0)</f>
        <v>0</v>
      </c>
      <c r="S63" s="10">
        <v>7561.84</v>
      </c>
      <c r="T63" s="4"/>
      <c r="U63" s="4"/>
    </row>
    <row r="64" spans="1:21" x14ac:dyDescent="0.25">
      <c r="A64" s="22"/>
      <c r="B64" s="4" t="s">
        <v>5500</v>
      </c>
      <c r="C64" s="4" t="str">
        <f>IFERROR(INDEX('Projekt-Budget-Übersicht'!$C:$C,MATCH(1680,'Projekt-Budget-Übersicht'!$L:$L,0)),"")</f>
        <v/>
      </c>
      <c r="D64" s="4">
        <v>14.25</v>
      </c>
      <c r="E64" s="4">
        <v>53.25</v>
      </c>
      <c r="F64" s="4">
        <v>7.75</v>
      </c>
      <c r="G64" s="15">
        <v>373.68</v>
      </c>
      <c r="H64" s="5"/>
      <c r="I64" s="5">
        <f t="shared" si="4"/>
        <v>0</v>
      </c>
      <c r="J64" s="4"/>
      <c r="K64" s="5">
        <f>IF('A. Kokott'!J48="S. Schüler",'A. Kokott'!I48,0)</f>
        <v>0</v>
      </c>
      <c r="L64" s="10">
        <f>IF($B$2="-",0,IFERROR(INDEX(IF($B$2="SV",'Projekt-Budget-Übersicht'!$I:$I,IF($B$2="CAD",'Projekt-Budget-Übersicht'!$J:$J,IF($B$2="ADM",'Projekt-Budget-Übersicht'!$K:$K,'Projekt-Budget-Übersicht'!$I:$I))),MATCH(1680,'Projekt-Budget-Übersicht'!$M:$M,0)),0))</f>
        <v>0</v>
      </c>
      <c r="M64" s="10">
        <f t="shared" si="5"/>
        <v>0</v>
      </c>
      <c r="N64" s="10">
        <f t="shared" si="6"/>
        <v>0</v>
      </c>
      <c r="O64" s="10">
        <f t="shared" si="7"/>
        <v>0</v>
      </c>
      <c r="P64" s="10">
        <f>'A. Kokott'!M48+'S. Schüler'!M64</f>
        <v>0</v>
      </c>
      <c r="Q64" s="10">
        <v>122.25</v>
      </c>
      <c r="R64" s="10">
        <f>IFERROR(INDEX('Projekt-Budget-Übersicht'!$F:$F,MATCH(1680,'Projekt-Budget-Übersicht'!$L:$L,0)),0)</f>
        <v>0</v>
      </c>
      <c r="S64" s="10">
        <v>7561.84</v>
      </c>
      <c r="T64" s="4"/>
      <c r="U64" s="4"/>
    </row>
    <row r="65" spans="1:21" x14ac:dyDescent="0.25">
      <c r="A65" s="4" t="s">
        <v>1497</v>
      </c>
      <c r="B65" s="4" t="s">
        <v>5619</v>
      </c>
      <c r="C65" s="4" t="str">
        <f>IFERROR(INDEX('Projekt-Budget-Übersicht'!$C:$C,MATCH(1685,'Projekt-Budget-Übersicht'!$L:$L,0)),"")</f>
        <v/>
      </c>
      <c r="D65" s="4">
        <v>40</v>
      </c>
      <c r="E65" s="4">
        <v>69</v>
      </c>
      <c r="F65" s="4">
        <v>0.75</v>
      </c>
      <c r="G65" s="15">
        <v>172.5</v>
      </c>
      <c r="H65" s="5"/>
      <c r="I65" s="5">
        <f t="shared" si="4"/>
        <v>0</v>
      </c>
      <c r="J65" s="4"/>
      <c r="K65" s="5">
        <v>0</v>
      </c>
      <c r="L65" s="10">
        <f>IF($B$2="-",0,IFERROR(INDEX(IF($B$2="SV",'Projekt-Budget-Übersicht'!$I:$I,IF($B$2="CAD",'Projekt-Budget-Übersicht'!$J:$J,IF($B$2="ADM",'Projekt-Budget-Übersicht'!$K:$K,'Projekt-Budget-Übersicht'!$I:$I))),MATCH(1685,'Projekt-Budget-Übersicht'!$M:$M,0)),0))</f>
        <v>0</v>
      </c>
      <c r="M65" s="10">
        <f t="shared" si="5"/>
        <v>0</v>
      </c>
      <c r="N65" s="10">
        <f t="shared" si="6"/>
        <v>0</v>
      </c>
      <c r="O65" s="10">
        <f t="shared" si="7"/>
        <v>0</v>
      </c>
      <c r="P65" s="10">
        <f>'S. Schüler'!M65</f>
        <v>0</v>
      </c>
      <c r="Q65" s="10">
        <v>232</v>
      </c>
      <c r="R65" s="10">
        <f>IFERROR(INDEX('Projekt-Budget-Übersicht'!$F:$F,MATCH(1685,'Projekt-Budget-Übersicht'!$L:$L,0)),0)</f>
        <v>0</v>
      </c>
      <c r="S65" s="10">
        <v>4326.93</v>
      </c>
      <c r="T65" s="4"/>
      <c r="U65" s="4"/>
    </row>
    <row r="66" spans="1:21" x14ac:dyDescent="0.25">
      <c r="A66" s="4" t="s">
        <v>1819</v>
      </c>
      <c r="B66" s="4" t="s">
        <v>5459</v>
      </c>
      <c r="C66" s="4" t="str">
        <f>IFERROR(INDEX('Projekt-Budget-Übersicht'!$C:$C,MATCH(2057,'Projekt-Budget-Übersicht'!$L:$L,0)),"")</f>
        <v/>
      </c>
      <c r="D66" s="4">
        <v>200</v>
      </c>
      <c r="E66" s="4">
        <v>15.75</v>
      </c>
      <c r="F66" s="4">
        <v>0.75</v>
      </c>
      <c r="G66" s="16">
        <v>7.88</v>
      </c>
      <c r="H66" s="5"/>
      <c r="I66" s="5">
        <f t="shared" si="4"/>
        <v>0</v>
      </c>
      <c r="J66" s="4"/>
      <c r="K66" s="5">
        <v>0</v>
      </c>
      <c r="L66" s="10">
        <f>IF($B$2="-",0,IFERROR(INDEX(IF($B$2="SV",'Projekt-Budget-Übersicht'!$I:$I,IF($B$2="CAD",'Projekt-Budget-Übersicht'!$J:$J,IF($B$2="ADM",'Projekt-Budget-Übersicht'!$K:$K,'Projekt-Budget-Übersicht'!$I:$I))),MATCH(2057,'Projekt-Budget-Übersicht'!$M:$M,0)),0))</f>
        <v>0</v>
      </c>
      <c r="M66" s="10">
        <f t="shared" si="5"/>
        <v>0</v>
      </c>
      <c r="N66" s="10">
        <f t="shared" si="6"/>
        <v>0</v>
      </c>
      <c r="O66" s="10">
        <f t="shared" si="7"/>
        <v>0</v>
      </c>
      <c r="P66" s="10">
        <f>'S. Schüler'!M66</f>
        <v>0</v>
      </c>
      <c r="Q66" s="10">
        <v>126</v>
      </c>
      <c r="R66" s="10">
        <f>IFERROR(INDEX('Projekt-Budget-Übersicht'!$F:$F,MATCH(2057,'Projekt-Budget-Übersicht'!$L:$L,0)),0)</f>
        <v>0</v>
      </c>
      <c r="S66" s="10"/>
      <c r="T66" s="4"/>
      <c r="U66" s="4"/>
    </row>
    <row r="67" spans="1:21" x14ac:dyDescent="0.25">
      <c r="A67" s="21" t="s">
        <v>3146</v>
      </c>
      <c r="B67" s="4" t="s">
        <v>5459</v>
      </c>
      <c r="C67" s="4" t="str">
        <f>IFERROR(INDEX('Projekt-Budget-Übersicht'!$C:$C,MATCH(3387,'Projekt-Budget-Übersicht'!$L:$L,0)),"")</f>
        <v/>
      </c>
      <c r="D67" s="4">
        <v>40</v>
      </c>
      <c r="E67" s="4">
        <v>166.5</v>
      </c>
      <c r="F67" s="4">
        <v>5.25</v>
      </c>
      <c r="G67" s="15">
        <v>416.25</v>
      </c>
      <c r="H67" s="5"/>
      <c r="I67" s="5">
        <f t="shared" si="4"/>
        <v>0</v>
      </c>
      <c r="J67" s="4"/>
      <c r="K67" s="5">
        <f>IF('T. Trautmann'!J51="S. Schüler",'T. Trautmann'!I51,0)</f>
        <v>0</v>
      </c>
      <c r="L67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67" s="10">
        <f t="shared" si="5"/>
        <v>0</v>
      </c>
      <c r="N67" s="10">
        <f t="shared" si="6"/>
        <v>0</v>
      </c>
      <c r="O67" s="10">
        <f t="shared" si="7"/>
        <v>0</v>
      </c>
      <c r="P67" s="10">
        <f>'S. Schüler'!M67+'T. Trautmann'!M51</f>
        <v>0</v>
      </c>
      <c r="Q67" s="10">
        <v>74</v>
      </c>
      <c r="R67" s="10">
        <f>IFERROR(INDEX('Projekt-Budget-Übersicht'!$F:$F,MATCH(3387,'Projekt-Budget-Übersicht'!$L:$L,0)),0)</f>
        <v>0</v>
      </c>
      <c r="S67" s="10">
        <v>23081.52</v>
      </c>
      <c r="T67" s="4"/>
      <c r="U67" s="4"/>
    </row>
    <row r="68" spans="1:21" x14ac:dyDescent="0.25">
      <c r="A68" s="22"/>
      <c r="B68" s="4" t="s">
        <v>5670</v>
      </c>
      <c r="C68" s="4" t="str">
        <f>IFERROR(INDEX('Projekt-Budget-Übersicht'!$C:$C,MATCH(3387,'Projekt-Budget-Übersicht'!$L:$L,0)),"")</f>
        <v/>
      </c>
      <c r="D68" s="4">
        <v>0</v>
      </c>
      <c r="E68" s="4">
        <v>127.5</v>
      </c>
      <c r="F68" s="4">
        <v>4.25</v>
      </c>
      <c r="G68" s="4">
        <v>0</v>
      </c>
      <c r="H68" s="5"/>
      <c r="I68" s="5">
        <f t="shared" si="4"/>
        <v>0</v>
      </c>
      <c r="J68" s="4"/>
      <c r="K68" s="5">
        <f>IF('T. Trautmann'!J52="S. Schüler",'T. Trautmann'!I52,0)</f>
        <v>0</v>
      </c>
      <c r="L68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68" s="10">
        <f t="shared" si="5"/>
        <v>0</v>
      </c>
      <c r="N68" s="10">
        <f t="shared" si="6"/>
        <v>0</v>
      </c>
      <c r="O68" s="10">
        <f t="shared" si="7"/>
        <v>0</v>
      </c>
      <c r="P68" s="10">
        <f>'S. Schüler'!M68+'T. Trautmann'!M52</f>
        <v>0</v>
      </c>
      <c r="Q68" s="10">
        <v>74</v>
      </c>
      <c r="R68" s="10">
        <f>IFERROR(INDEX('Projekt-Budget-Übersicht'!$F:$F,MATCH(3387,'Projekt-Budget-Übersicht'!$L:$L,0)),0)</f>
        <v>0</v>
      </c>
      <c r="S68" s="10">
        <v>23081.52</v>
      </c>
      <c r="T68" s="4"/>
      <c r="U68" s="4"/>
    </row>
    <row r="69" spans="1:21" x14ac:dyDescent="0.25">
      <c r="A69" s="4" t="s">
        <v>3909</v>
      </c>
      <c r="B69" s="4" t="s">
        <v>5679</v>
      </c>
      <c r="C69" s="4" t="str">
        <f>IFERROR(INDEX('Projekt-Budget-Übersicht'!$C:$C,MATCH(4056,'Projekt-Budget-Übersicht'!$L:$L,0)),"")</f>
        <v/>
      </c>
      <c r="D69" s="4">
        <v>80</v>
      </c>
      <c r="E69" s="4">
        <v>11.75</v>
      </c>
      <c r="F69" s="4">
        <v>9.5</v>
      </c>
      <c r="G69" s="16">
        <v>14.69</v>
      </c>
      <c r="H69" s="5"/>
      <c r="I69" s="5">
        <f t="shared" si="4"/>
        <v>0</v>
      </c>
      <c r="J69" s="4"/>
      <c r="K69" s="5">
        <v>0</v>
      </c>
      <c r="L69" s="10">
        <f>IF($B$2="-",0,IFERROR(INDEX(IF($B$2="SV",'Projekt-Budget-Übersicht'!$I:$I,IF($B$2="CAD",'Projekt-Budget-Übersicht'!$J:$J,IF($B$2="ADM",'Projekt-Budget-Übersicht'!$K:$K,'Projekt-Budget-Übersicht'!$I:$I))),MATCH(4056,'Projekt-Budget-Übersicht'!$M:$M,0)),0))</f>
        <v>109.375</v>
      </c>
      <c r="M69" s="10">
        <f t="shared" si="5"/>
        <v>1039.0625</v>
      </c>
      <c r="N69" s="10">
        <f t="shared" si="6"/>
        <v>1039.0625</v>
      </c>
      <c r="O69" s="10">
        <f t="shared" si="7"/>
        <v>0</v>
      </c>
      <c r="P69" s="10">
        <f>'S. Schüler'!M69</f>
        <v>1039.0625</v>
      </c>
      <c r="Q69" s="10">
        <v>106</v>
      </c>
      <c r="R69" s="10">
        <f>IFERROR(INDEX('Projekt-Budget-Übersicht'!$F:$F,MATCH(4056,'Projekt-Budget-Übersicht'!$L:$L,0)),0)</f>
        <v>0</v>
      </c>
      <c r="S69" s="10">
        <v>1372.5</v>
      </c>
      <c r="T69" s="4"/>
      <c r="U69" s="4"/>
    </row>
    <row r="70" spans="1:21" x14ac:dyDescent="0.25">
      <c r="A70" s="4" t="s">
        <v>4347</v>
      </c>
      <c r="B70" s="4" t="s">
        <v>5592</v>
      </c>
      <c r="C70" s="4" t="str">
        <f>IFERROR(INDEX('Projekt-Budget-Übersicht'!$C:$C,MATCH(4420,'Projekt-Budget-Übersicht'!$L:$L,0)),"")</f>
        <v/>
      </c>
      <c r="D70" s="4">
        <v>20</v>
      </c>
      <c r="E70" s="4">
        <v>31.5</v>
      </c>
      <c r="F70" s="4">
        <v>1</v>
      </c>
      <c r="G70" s="15">
        <v>157.5</v>
      </c>
      <c r="H70" s="5"/>
      <c r="I70" s="5">
        <f t="shared" si="4"/>
        <v>0</v>
      </c>
      <c r="J70" s="4"/>
      <c r="K70" s="5">
        <v>0</v>
      </c>
      <c r="L70" s="10">
        <f>IF($B$2="-",0,IFERROR(INDEX(IF($B$2="SV",'Projekt-Budget-Übersicht'!$I:$I,IF($B$2="CAD",'Projekt-Budget-Übersicht'!$J:$J,IF($B$2="ADM",'Projekt-Budget-Übersicht'!$K:$K,'Projekt-Budget-Übersicht'!$I:$I))),MATCH(4420,'Projekt-Budget-Übersicht'!$M:$M,0)),0))</f>
        <v>0</v>
      </c>
      <c r="M70" s="10">
        <f t="shared" si="5"/>
        <v>0</v>
      </c>
      <c r="N70" s="10">
        <f t="shared" si="6"/>
        <v>0</v>
      </c>
      <c r="O70" s="10">
        <f t="shared" si="7"/>
        <v>0</v>
      </c>
      <c r="P70" s="10">
        <f>'S. Schüler'!M70</f>
        <v>0</v>
      </c>
      <c r="Q70" s="10">
        <v>36</v>
      </c>
      <c r="R70" s="10">
        <f>IFERROR(INDEX('Projekt-Budget-Übersicht'!$F:$F,MATCH(4420,'Projekt-Budget-Übersicht'!$L:$L,0)),0)</f>
        <v>0</v>
      </c>
      <c r="S70" s="10">
        <v>2697.5</v>
      </c>
      <c r="T70" s="4"/>
      <c r="U70" s="4"/>
    </row>
    <row r="71" spans="1:21" x14ac:dyDescent="0.25">
      <c r="A71" s="4" t="s">
        <v>4453</v>
      </c>
      <c r="B71" s="4" t="s">
        <v>5649</v>
      </c>
      <c r="C71" s="4" t="str">
        <f>IFERROR(INDEX('Projekt-Budget-Übersicht'!$C:$C,MATCH(4522,'Projekt-Budget-Übersicht'!$L:$L,0)),"")</f>
        <v/>
      </c>
      <c r="D71" s="4">
        <v>26</v>
      </c>
      <c r="E71" s="4">
        <v>38.25</v>
      </c>
      <c r="F71" s="4">
        <v>0.5</v>
      </c>
      <c r="G71" s="15">
        <v>147.12</v>
      </c>
      <c r="H71" s="5"/>
      <c r="I71" s="5">
        <f t="shared" si="4"/>
        <v>0</v>
      </c>
      <c r="J71" s="4"/>
      <c r="K71" s="5">
        <v>0</v>
      </c>
      <c r="L71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71" s="10">
        <f t="shared" si="5"/>
        <v>0</v>
      </c>
      <c r="N71" s="10">
        <f t="shared" si="6"/>
        <v>0</v>
      </c>
      <c r="O71" s="10">
        <f t="shared" si="7"/>
        <v>0</v>
      </c>
      <c r="P71" s="10">
        <f>'S. Schüler'!M71</f>
        <v>0</v>
      </c>
      <c r="Q71" s="10">
        <v>72</v>
      </c>
      <c r="R71" s="10">
        <f>IFERROR(INDEX('Projekt-Budget-Übersicht'!$F:$F,MATCH(4522,'Projekt-Budget-Übersicht'!$L:$L,0)),0)</f>
        <v>0</v>
      </c>
      <c r="S71" s="10">
        <v>2168.29</v>
      </c>
      <c r="T71" s="4"/>
      <c r="U71" s="4"/>
    </row>
    <row r="72" spans="1:21" x14ac:dyDescent="0.25">
      <c r="A72" s="4" t="s">
        <v>4461</v>
      </c>
      <c r="B72" s="4" t="s">
        <v>5519</v>
      </c>
      <c r="C72" s="4" t="str">
        <f>IFERROR(INDEX('Projekt-Budget-Übersicht'!$C:$C,MATCH(4528,'Projekt-Budget-Übersicht'!$L:$L,0)),"")</f>
        <v/>
      </c>
      <c r="D72" s="4">
        <v>100</v>
      </c>
      <c r="E72" s="4">
        <v>19.5</v>
      </c>
      <c r="F72" s="4">
        <v>12.5</v>
      </c>
      <c r="G72" s="16">
        <v>19.5</v>
      </c>
      <c r="H72" s="5"/>
      <c r="I72" s="5">
        <f t="shared" si="4"/>
        <v>0</v>
      </c>
      <c r="J72" s="4"/>
      <c r="K72" s="5">
        <f>IF('C. Trapp SV'!J47="S. Schüler",'C. Trapp SV'!I47,0)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72" s="10">
        <f t="shared" si="5"/>
        <v>0</v>
      </c>
      <c r="N72" s="10">
        <f t="shared" si="6"/>
        <v>0</v>
      </c>
      <c r="O72" s="10">
        <f t="shared" si="7"/>
        <v>0</v>
      </c>
      <c r="P72" s="10">
        <f>'C. Trapp SV'!M47+'S. Schüler'!M72</f>
        <v>0</v>
      </c>
      <c r="Q72" s="10">
        <v>100</v>
      </c>
      <c r="R72" s="10">
        <f>IFERROR(INDEX('Projekt-Budget-Übersicht'!$F:$F,MATCH(4528,'Projekt-Budget-Übersicht'!$L:$L,0)),0)</f>
        <v>0</v>
      </c>
      <c r="S72" s="10">
        <v>1763.75</v>
      </c>
      <c r="T72" s="4"/>
      <c r="U72" s="4"/>
    </row>
    <row r="73" spans="1:21" x14ac:dyDescent="0.25">
      <c r="A73" s="4" t="s">
        <v>4465</v>
      </c>
      <c r="B73" s="4" t="s">
        <v>5669</v>
      </c>
      <c r="C73" s="4" t="str">
        <f>IFERROR(INDEX('Projekt-Budget-Übersicht'!$C:$C,MATCH(4533,'Projekt-Budget-Übersicht'!$L:$L,0)),"")</f>
        <v/>
      </c>
      <c r="D73" s="4">
        <v>25</v>
      </c>
      <c r="E73" s="4">
        <v>1.25</v>
      </c>
      <c r="F73" s="4">
        <v>0.75</v>
      </c>
      <c r="G73" s="16">
        <v>5</v>
      </c>
      <c r="H73" s="5"/>
      <c r="I73" s="5">
        <f t="shared" si="4"/>
        <v>0</v>
      </c>
      <c r="J73" s="4"/>
      <c r="K73" s="5"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153.84615384615381</v>
      </c>
      <c r="M73" s="10">
        <f t="shared" si="5"/>
        <v>115.38461538461536</v>
      </c>
      <c r="N73" s="10">
        <f t="shared" si="6"/>
        <v>115.38461538461536</v>
      </c>
      <c r="O73" s="10">
        <f t="shared" si="7"/>
        <v>0</v>
      </c>
      <c r="P73" s="10">
        <f>'S. Schüler'!M73</f>
        <v>115.38461538461536</v>
      </c>
      <c r="Q73" s="10">
        <v>26</v>
      </c>
      <c r="R73" s="10">
        <f>IFERROR(INDEX('Projekt-Budget-Übersicht'!$F:$F,MATCH(4533,'Projekt-Budget-Übersicht'!$L:$L,0)),0)</f>
        <v>0</v>
      </c>
      <c r="S73" s="10">
        <v>287.5</v>
      </c>
      <c r="T73" s="4"/>
      <c r="U73" s="4"/>
    </row>
    <row r="74" spans="1:21" x14ac:dyDescent="0.25">
      <c r="A74" s="4" t="s">
        <v>4547</v>
      </c>
      <c r="B74" s="4" t="s">
        <v>5485</v>
      </c>
      <c r="C74" s="4" t="str">
        <f>IFERROR(INDEX('Projekt-Budget-Übersicht'!$C:$C,MATCH(4601,'Projekt-Budget-Übersicht'!$L:$L,0)),"")</f>
        <v/>
      </c>
      <c r="D74" s="4">
        <v>84</v>
      </c>
      <c r="E74" s="4">
        <v>57.5</v>
      </c>
      <c r="F74" s="4">
        <v>7.5</v>
      </c>
      <c r="G74" s="16">
        <v>68.45</v>
      </c>
      <c r="H74" s="5"/>
      <c r="I74" s="5">
        <f t="shared" si="4"/>
        <v>0</v>
      </c>
      <c r="J74" s="4"/>
      <c r="K74" s="5"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IF($B$2="-",0,IFERROR(INDEX(IF($B$2="SV",'Projekt-Budget-Übersicht'!$I:$I,IF($B$2="CAD",'Projekt-Budget-Übersicht'!$J:$J,IF($B$2="ADM",'Projekt-Budget-Übersicht'!$K:$K,'Projekt-Budget-Übersicht'!$I:$I))),MATCH(4601,'Projekt-Budget-Übersicht'!$M:$M,0)),0))</f>
        <v>137.03703703703701</v>
      </c>
      <c r="M74" s="10">
        <f t="shared" si="5"/>
        <v>1027.7777777777776</v>
      </c>
      <c r="N74" s="10">
        <f t="shared" si="6"/>
        <v>1027.7777777777776</v>
      </c>
      <c r="O74" s="10">
        <f t="shared" si="7"/>
        <v>0</v>
      </c>
      <c r="P74" s="10">
        <f>'S. Schüler'!M74</f>
        <v>1027.7777777777776</v>
      </c>
      <c r="Q74" s="10">
        <v>27</v>
      </c>
      <c r="R74" s="10">
        <f>IFERROR(INDEX('Projekt-Budget-Übersicht'!$F:$F,MATCH(4601,'Projekt-Budget-Übersicht'!$L:$L,0)),0)</f>
        <v>0</v>
      </c>
      <c r="S74" s="10"/>
      <c r="T74" s="4"/>
      <c r="U74" s="4"/>
    </row>
    <row r="75" spans="1:21" x14ac:dyDescent="0.25">
      <c r="A75" s="21" t="s">
        <v>4671</v>
      </c>
      <c r="B75" s="4" t="s">
        <v>5636</v>
      </c>
      <c r="C75" s="4" t="str">
        <f>IFERROR(INDEX('Projekt-Budget-Übersicht'!$C:$C,MATCH(4703,'Projekt-Budget-Übersicht'!$L:$L,0)),"")</f>
        <v/>
      </c>
      <c r="D75" s="4">
        <v>10.5</v>
      </c>
      <c r="E75" s="4">
        <v>9.5</v>
      </c>
      <c r="F75" s="4">
        <v>3.5</v>
      </c>
      <c r="G75" s="14">
        <v>90.48</v>
      </c>
      <c r="H75" s="5"/>
      <c r="I75" s="5">
        <f t="shared" si="4"/>
        <v>0</v>
      </c>
      <c r="J75" s="4"/>
      <c r="K75" s="5"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75" s="10">
        <f t="shared" si="5"/>
        <v>331.69934640522877</v>
      </c>
      <c r="N75" s="10">
        <f t="shared" si="6"/>
        <v>331.69934640522877</v>
      </c>
      <c r="O75" s="10">
        <f t="shared" si="7"/>
        <v>0</v>
      </c>
      <c r="P75" s="10">
        <f>'S. Schüler'!M75</f>
        <v>331.69934640522877</v>
      </c>
      <c r="Q75" s="10">
        <v>92.5</v>
      </c>
      <c r="R75" s="10">
        <f>IFERROR(INDEX('Projekt-Budget-Übersicht'!$F:$F,MATCH(4703,'Projekt-Budget-Übersicht'!$L:$L,0)),0)</f>
        <v>0</v>
      </c>
      <c r="S75" s="10">
        <v>2335</v>
      </c>
      <c r="T75" s="4"/>
      <c r="U75" s="4"/>
    </row>
    <row r="76" spans="1:21" x14ac:dyDescent="0.25">
      <c r="A76" s="23"/>
      <c r="B76" s="4" t="s">
        <v>5645</v>
      </c>
      <c r="C76" s="4" t="str">
        <f>IFERROR(INDEX('Projekt-Budget-Übersicht'!$C:$C,MATCH(4703,'Projekt-Budget-Übersicht'!$L:$L,0)),"")</f>
        <v/>
      </c>
      <c r="D76" s="4">
        <v>6</v>
      </c>
      <c r="E76" s="4">
        <v>6</v>
      </c>
      <c r="F76" s="4">
        <v>6</v>
      </c>
      <c r="G76" s="14">
        <v>100</v>
      </c>
      <c r="H76" s="5"/>
      <c r="I76" s="5">
        <f t="shared" si="4"/>
        <v>0</v>
      </c>
      <c r="J76" s="4"/>
      <c r="K76" s="5"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76" s="10">
        <f t="shared" si="5"/>
        <v>568.62745098039215</v>
      </c>
      <c r="N76" s="10">
        <f t="shared" si="6"/>
        <v>568.62745098039215</v>
      </c>
      <c r="O76" s="10">
        <f t="shared" si="7"/>
        <v>0</v>
      </c>
      <c r="P76" s="10">
        <f>'S. Schüler'!M76</f>
        <v>568.62745098039215</v>
      </c>
      <c r="Q76" s="10">
        <v>92.5</v>
      </c>
      <c r="R76" s="10">
        <f>IFERROR(INDEX('Projekt-Budget-Übersicht'!$F:$F,MATCH(4703,'Projekt-Budget-Übersicht'!$L:$L,0)),0)</f>
        <v>0</v>
      </c>
      <c r="S76" s="10">
        <v>2335</v>
      </c>
      <c r="T76" s="4"/>
      <c r="U76" s="4"/>
    </row>
    <row r="77" spans="1:21" x14ac:dyDescent="0.25">
      <c r="A77" s="23"/>
      <c r="B77" s="4" t="s">
        <v>5673</v>
      </c>
      <c r="C77" s="4" t="str">
        <f>IFERROR(INDEX('Projekt-Budget-Übersicht'!$C:$C,MATCH(4703,'Projekt-Budget-Übersicht'!$L:$L,0)),"")</f>
        <v/>
      </c>
      <c r="D77" s="4">
        <v>2</v>
      </c>
      <c r="E77" s="4">
        <v>1.25</v>
      </c>
      <c r="F77" s="4">
        <v>0.25</v>
      </c>
      <c r="G77" s="16">
        <v>62.5</v>
      </c>
      <c r="H77" s="5"/>
      <c r="I77" s="5">
        <f t="shared" si="4"/>
        <v>0</v>
      </c>
      <c r="J77" s="4"/>
      <c r="K77" s="5"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77" s="10">
        <f t="shared" si="5"/>
        <v>23.692810457516341</v>
      </c>
      <c r="N77" s="10">
        <f t="shared" si="6"/>
        <v>23.692810457516341</v>
      </c>
      <c r="O77" s="10">
        <f t="shared" si="7"/>
        <v>0</v>
      </c>
      <c r="P77" s="10">
        <f>'S. Schüler'!M77</f>
        <v>23.692810457516341</v>
      </c>
      <c r="Q77" s="10">
        <v>92.5</v>
      </c>
      <c r="R77" s="10">
        <f>IFERROR(INDEX('Projekt-Budget-Übersicht'!$F:$F,MATCH(4703,'Projekt-Budget-Übersicht'!$L:$L,0)),0)</f>
        <v>0</v>
      </c>
      <c r="S77" s="10">
        <v>2335</v>
      </c>
      <c r="T77" s="4"/>
      <c r="U77" s="4"/>
    </row>
    <row r="78" spans="1:21" x14ac:dyDescent="0.25">
      <c r="A78" s="22"/>
      <c r="B78" s="4" t="s">
        <v>5680</v>
      </c>
      <c r="C78" s="4" t="str">
        <f>IFERROR(INDEX('Projekt-Budget-Übersicht'!$C:$C,MATCH(4703,'Projekt-Budget-Übersicht'!$L:$L,0)),"")</f>
        <v/>
      </c>
      <c r="D78" s="4">
        <v>7.5</v>
      </c>
      <c r="E78" s="4">
        <v>2.25</v>
      </c>
      <c r="F78" s="4">
        <v>2.25</v>
      </c>
      <c r="G78" s="16">
        <v>30</v>
      </c>
      <c r="H78" s="5"/>
      <c r="I78" s="5">
        <f t="shared" si="4"/>
        <v>0</v>
      </c>
      <c r="J78" s="4"/>
      <c r="K78" s="5"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78" s="10">
        <f t="shared" si="5"/>
        <v>213.23529411764707</v>
      </c>
      <c r="N78" s="10">
        <f t="shared" si="6"/>
        <v>213.23529411764707</v>
      </c>
      <c r="O78" s="10">
        <f t="shared" si="7"/>
        <v>0</v>
      </c>
      <c r="P78" s="10">
        <f>'S. Schüler'!M78</f>
        <v>213.23529411764707</v>
      </c>
      <c r="Q78" s="10">
        <v>92.5</v>
      </c>
      <c r="R78" s="10">
        <f>IFERROR(INDEX('Projekt-Budget-Übersicht'!$F:$F,MATCH(4703,'Projekt-Budget-Übersicht'!$L:$L,0)),0)</f>
        <v>0</v>
      </c>
      <c r="S78" s="10">
        <v>2335</v>
      </c>
      <c r="T78" s="4"/>
      <c r="U78" s="4"/>
    </row>
    <row r="79" spans="1:21" x14ac:dyDescent="0.25">
      <c r="A79" s="4" t="s">
        <v>4819</v>
      </c>
      <c r="B79" s="4" t="s">
        <v>5485</v>
      </c>
      <c r="C79" s="4" t="str">
        <f>IFERROR(INDEX('Projekt-Budget-Übersicht'!$C:$C,MATCH(4821,'Projekt-Budget-Übersicht'!$L:$L,0)),"")</f>
        <v/>
      </c>
      <c r="D79" s="4">
        <v>6</v>
      </c>
      <c r="E79" s="4">
        <v>9.75</v>
      </c>
      <c r="F79" s="4">
        <v>2.5</v>
      </c>
      <c r="G79" s="15">
        <v>162.5</v>
      </c>
      <c r="H79" s="5"/>
      <c r="I79" s="5">
        <f t="shared" si="4"/>
        <v>0</v>
      </c>
      <c r="J79" s="4"/>
      <c r="K79" s="5"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IF($B$2="-",0,IFERROR(INDEX(IF($B$2="SV",'Projekt-Budget-Übersicht'!$I:$I,IF($B$2="CAD",'Projekt-Budget-Übersicht'!$J:$J,IF($B$2="ADM",'Projekt-Budget-Übersicht'!$K:$K,'Projekt-Budget-Übersicht'!$I:$I))),MATCH(4821,'Projekt-Budget-Übersicht'!$M:$M,0)),0))</f>
        <v>126.6666666666667</v>
      </c>
      <c r="M79" s="10">
        <f t="shared" si="5"/>
        <v>316.66666666666674</v>
      </c>
      <c r="N79" s="10">
        <f t="shared" si="6"/>
        <v>316.66666666666674</v>
      </c>
      <c r="O79" s="10">
        <f t="shared" si="7"/>
        <v>0</v>
      </c>
      <c r="P79" s="10">
        <f>'S. Schüler'!M79</f>
        <v>316.66666666666674</v>
      </c>
      <c r="Q79" s="10">
        <v>45</v>
      </c>
      <c r="R79" s="10">
        <f>IFERROR(INDEX('Projekt-Budget-Übersicht'!$F:$F,MATCH(4821,'Projekt-Budget-Übersicht'!$L:$L,0)),0)</f>
        <v>0</v>
      </c>
      <c r="S79" s="10">
        <v>1161.25</v>
      </c>
      <c r="T79" s="4"/>
      <c r="U79" s="4"/>
    </row>
    <row r="80" spans="1:21" x14ac:dyDescent="0.25">
      <c r="A80" s="4" t="s">
        <v>5037</v>
      </c>
      <c r="B80" s="4" t="s">
        <v>5459</v>
      </c>
      <c r="C80" s="4" t="str">
        <f>IFERROR(INDEX('Projekt-Budget-Übersicht'!$C:$C,MATCH(5018,'Projekt-Budget-Übersicht'!$L:$L,0)),"")</f>
        <v/>
      </c>
      <c r="D80" s="4">
        <v>47</v>
      </c>
      <c r="E80" s="4">
        <v>24.25</v>
      </c>
      <c r="F80" s="4">
        <v>9.25</v>
      </c>
      <c r="G80" s="16">
        <v>51.6</v>
      </c>
      <c r="H80" s="5"/>
      <c r="I80" s="5">
        <f t="shared" si="4"/>
        <v>0</v>
      </c>
      <c r="J80" s="4"/>
      <c r="K80" s="5"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IF($B$2="-",0,IFERROR(INDEX(IF($B$2="SV",'Projekt-Budget-Übersicht'!$I:$I,IF($B$2="CAD",'Projekt-Budget-Übersicht'!$J:$J,IF($B$2="ADM",'Projekt-Budget-Übersicht'!$K:$K,'Projekt-Budget-Übersicht'!$I:$I))),MATCH(5018,'Projekt-Budget-Übersicht'!$M:$M,0)),0))</f>
        <v>126.1904761904762</v>
      </c>
      <c r="M80" s="10">
        <f t="shared" si="5"/>
        <v>1167.2619047619048</v>
      </c>
      <c r="N80" s="10">
        <f t="shared" si="6"/>
        <v>1167.2619047619048</v>
      </c>
      <c r="O80" s="10">
        <f t="shared" si="7"/>
        <v>0</v>
      </c>
      <c r="P80" s="10">
        <f>'S. Schüler'!M80</f>
        <v>1167.2619047619048</v>
      </c>
      <c r="Q80" s="10">
        <v>105</v>
      </c>
      <c r="R80" s="10">
        <f>IFERROR(INDEX('Projekt-Budget-Übersicht'!$F:$F,MATCH(5018,'Projekt-Budget-Übersicht'!$L:$L,0)),0)</f>
        <v>0</v>
      </c>
      <c r="S80" s="10">
        <v>2205</v>
      </c>
      <c r="T80" s="4"/>
      <c r="U80" s="4"/>
    </row>
    <row r="81" spans="1:21" x14ac:dyDescent="0.25">
      <c r="A81" s="4" t="s">
        <v>5065</v>
      </c>
      <c r="B81" s="4" t="s">
        <v>5674</v>
      </c>
      <c r="C81" s="4" t="str">
        <f>IFERROR(INDEX('Projekt-Budget-Übersicht'!$C:$C,MATCH(5046,'Projekt-Budget-Übersicht'!$L:$L,0)),"")</f>
        <v/>
      </c>
      <c r="D81" s="4">
        <v>30</v>
      </c>
      <c r="E81" s="4">
        <v>19.5</v>
      </c>
      <c r="F81" s="4">
        <v>4</v>
      </c>
      <c r="G81" s="16">
        <v>65</v>
      </c>
      <c r="H81" s="5"/>
      <c r="I81" s="5">
        <f t="shared" si="4"/>
        <v>0</v>
      </c>
      <c r="J81" s="4"/>
      <c r="K81" s="5"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IF($B$2="-",0,IFERROR(INDEX(IF($B$2="SV",'Projekt-Budget-Übersicht'!$I:$I,IF($B$2="CAD",'Projekt-Budget-Übersicht'!$J:$J,IF($B$2="ADM",'Projekt-Budget-Übersicht'!$K:$K,'Projekt-Budget-Übersicht'!$I:$I))),MATCH(5046,'Projekt-Budget-Übersicht'!$M:$M,0)),0))</f>
        <v>0</v>
      </c>
      <c r="M81" s="10">
        <f t="shared" si="5"/>
        <v>0</v>
      </c>
      <c r="N81" s="10">
        <f t="shared" si="6"/>
        <v>0</v>
      </c>
      <c r="O81" s="10">
        <f t="shared" si="7"/>
        <v>0</v>
      </c>
      <c r="P81" s="10">
        <f>'S. Schüler'!M81</f>
        <v>0</v>
      </c>
      <c r="Q81" s="10">
        <v>30</v>
      </c>
      <c r="R81" s="10">
        <f>IFERROR(INDEX('Projekt-Budget-Übersicht'!$F:$F,MATCH(5046,'Projekt-Budget-Übersicht'!$L:$L,0)),0)</f>
        <v>0</v>
      </c>
      <c r="S81" s="10">
        <v>1673.29</v>
      </c>
      <c r="T81" s="4"/>
      <c r="U81" s="4"/>
    </row>
    <row r="82" spans="1:21" x14ac:dyDescent="0.25">
      <c r="A82" s="4" t="s">
        <v>5159</v>
      </c>
      <c r="B82" s="4" t="s">
        <v>5681</v>
      </c>
      <c r="C82" s="4" t="str">
        <f>IFERROR(INDEX('Projekt-Budget-Übersicht'!$C:$C,MATCH(5121,'Projekt-Budget-Übersicht'!$L:$L,0)),"")</f>
        <v/>
      </c>
      <c r="D82" s="4">
        <v>15.5</v>
      </c>
      <c r="E82" s="4">
        <v>15.5</v>
      </c>
      <c r="F82" s="4">
        <v>14.25</v>
      </c>
      <c r="G82" s="14">
        <v>100</v>
      </c>
      <c r="H82" s="5"/>
      <c r="I82" s="5">
        <f t="shared" si="4"/>
        <v>0</v>
      </c>
      <c r="J82" s="4"/>
      <c r="K82" s="5">
        <f>IF('T. Trautmann'!J62="S. Schüler",'T. Trautmann'!I62,0)</f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IF($B$2="-",0,IFERROR(INDEX(IF($B$2="SV",'Projekt-Budget-Übersicht'!$I:$I,IF($B$2="CAD",'Projekt-Budget-Übersicht'!$J:$J,IF($B$2="ADM",'Projekt-Budget-Übersicht'!$K:$K,'Projekt-Budget-Übersicht'!$I:$I))),MATCH(5121,'Projekt-Budget-Übersicht'!$M:$M,0)),0))</f>
        <v>0</v>
      </c>
      <c r="M82" s="10">
        <f t="shared" si="5"/>
        <v>0</v>
      </c>
      <c r="N82" s="10">
        <f t="shared" si="6"/>
        <v>0</v>
      </c>
      <c r="O82" s="10">
        <f t="shared" si="7"/>
        <v>0</v>
      </c>
      <c r="P82" s="10">
        <f>'S. Schüler'!M82+'T. Trautmann'!M62</f>
        <v>0</v>
      </c>
      <c r="Q82" s="10">
        <v>15.5</v>
      </c>
      <c r="R82" s="10">
        <f>IFERROR(INDEX('Projekt-Budget-Übersicht'!$F:$F,MATCH(5121,'Projekt-Budget-Übersicht'!$L:$L,0)),0)</f>
        <v>0</v>
      </c>
      <c r="S82" s="10">
        <v>1395</v>
      </c>
      <c r="T82" s="4"/>
      <c r="U82" s="4"/>
    </row>
    <row r="83" spans="1:21" x14ac:dyDescent="0.25">
      <c r="A83" s="21" t="s">
        <v>5446</v>
      </c>
      <c r="B83" s="4" t="s">
        <v>5675</v>
      </c>
      <c r="C83" s="4" t="str">
        <f>IFERROR(INDEX('Projekt-Budget-Übersicht'!$C:$C,MATCH(5387,'Projekt-Budget-Übersicht'!$L:$L,0)),"")</f>
        <v/>
      </c>
      <c r="D83" s="4">
        <v>0</v>
      </c>
      <c r="E83" s="4">
        <v>5</v>
      </c>
      <c r="F83" s="4">
        <v>0.5</v>
      </c>
      <c r="G83" s="4">
        <v>0</v>
      </c>
      <c r="H83" s="5"/>
      <c r="I83" s="5">
        <f t="shared" si="4"/>
        <v>0</v>
      </c>
      <c r="J83" s="4"/>
      <c r="K83" s="5"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83" s="10">
        <f t="shared" si="5"/>
        <v>0</v>
      </c>
      <c r="N83" s="10">
        <f t="shared" si="6"/>
        <v>0</v>
      </c>
      <c r="O83" s="10">
        <f t="shared" si="7"/>
        <v>0</v>
      </c>
      <c r="P83" s="10">
        <f>'S. Schüler'!M83</f>
        <v>0</v>
      </c>
      <c r="Q83" s="10"/>
      <c r="R83" s="10">
        <f>IFERROR(INDEX('Projekt-Budget-Übersicht'!$F:$F,MATCH(5387,'Projekt-Budget-Übersicht'!$L:$L,0)),0)</f>
        <v>0</v>
      </c>
      <c r="S83" s="10">
        <v>720</v>
      </c>
      <c r="T83" s="4"/>
      <c r="U83" s="4"/>
    </row>
    <row r="84" spans="1:21" x14ac:dyDescent="0.25">
      <c r="A84" s="22"/>
      <c r="B84" s="4" t="s">
        <v>5676</v>
      </c>
      <c r="C84" s="4" t="str">
        <f>IFERROR(INDEX('Projekt-Budget-Übersicht'!$C:$C,MATCH(5387,'Projekt-Budget-Übersicht'!$L:$L,0)),"")</f>
        <v/>
      </c>
      <c r="D84" s="4">
        <v>0</v>
      </c>
      <c r="E84" s="4">
        <v>2.25</v>
      </c>
      <c r="F84" s="4">
        <v>0.25</v>
      </c>
      <c r="G84" s="4">
        <v>0</v>
      </c>
      <c r="H84" s="5"/>
      <c r="I84" s="5">
        <f t="shared" si="4"/>
        <v>0</v>
      </c>
      <c r="J84" s="4"/>
      <c r="K84" s="5"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IF($B$2="-",0,IFERROR(INDEX(IF($B$2="SV",'Projekt-Budget-Übersicht'!$I:$I,IF($B$2="CAD",'Projekt-Budget-Übersicht'!$J:$J,IF($B$2="ADM",'Projekt-Budget-Übersicht'!$K:$K,'Projekt-Budget-Übersicht'!$I:$I))),MATCH(5387,'Projekt-Budget-Übersicht'!$M:$M,0)),0))</f>
        <v>0</v>
      </c>
      <c r="M84" s="10">
        <f t="shared" si="5"/>
        <v>0</v>
      </c>
      <c r="N84" s="10">
        <f t="shared" si="6"/>
        <v>0</v>
      </c>
      <c r="O84" s="10">
        <f t="shared" si="7"/>
        <v>0</v>
      </c>
      <c r="P84" s="10">
        <f>'S. Schüler'!M84</f>
        <v>0</v>
      </c>
      <c r="Q84" s="10"/>
      <c r="R84" s="10">
        <f>IFERROR(INDEX('Projekt-Budget-Übersicht'!$F:$F,MATCH(5387,'Projekt-Budget-Übersicht'!$L:$L,0)),0)</f>
        <v>0</v>
      </c>
      <c r="S84" s="10">
        <v>720</v>
      </c>
      <c r="T84" s="4"/>
      <c r="U84" s="4"/>
    </row>
    <row r="85" spans="1:21" x14ac:dyDescent="0.25">
      <c r="A85" s="3"/>
      <c r="B85" s="3" t="s">
        <v>5492</v>
      </c>
      <c r="C85" s="3"/>
      <c r="D85" s="3"/>
      <c r="E85" s="3"/>
      <c r="F85" s="6">
        <v>125</v>
      </c>
      <c r="G85" s="3"/>
      <c r="H85" s="3"/>
      <c r="I85" s="3"/>
      <c r="J85" s="3"/>
      <c r="K85" s="3"/>
      <c r="L85" s="3"/>
      <c r="M85" s="17">
        <f>SUM(M53:M84)</f>
        <v>5128.8224071679952</v>
      </c>
      <c r="N85" s="17">
        <f>SUM(N53:N84)</f>
        <v>5128.8224071679952</v>
      </c>
      <c r="O85" s="17">
        <f>SUM(O53:O84)</f>
        <v>0</v>
      </c>
      <c r="P85" s="17">
        <f>SUM(P53:P84)</f>
        <v>5596.0099071679952</v>
      </c>
      <c r="Q85" s="3"/>
      <c r="R85" s="3"/>
      <c r="S85" s="3"/>
      <c r="T85" s="3"/>
      <c r="U85" s="3"/>
    </row>
    <row r="86" spans="1:21" x14ac:dyDescent="0.25">
      <c r="A86" s="3"/>
      <c r="B86" s="3" t="s">
        <v>4</v>
      </c>
      <c r="C86" s="3"/>
      <c r="D86" s="3"/>
      <c r="E86" s="3"/>
      <c r="F86" s="6">
        <f>G86+H86</f>
        <v>86.5</v>
      </c>
      <c r="G86" s="6">
        <v>86.5</v>
      </c>
      <c r="H86" s="6">
        <f>SUM(H53,H54,H55,H56,H57,H58,H59,H60,H61,H62,H63,H64,H65,H66,H67,H68,H69,H70,H71,H72,H73,H74,H75,H76,H77,H78,H79,H80,H81,H82,H83,H84)</f>
        <v>0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1:21" x14ac:dyDescent="0.25">
      <c r="A87" s="3"/>
      <c r="B87" s="3" t="s">
        <v>5</v>
      </c>
      <c r="C87" s="3"/>
      <c r="D87" s="3"/>
      <c r="E87" s="3"/>
      <c r="F87" s="6">
        <v>0</v>
      </c>
      <c r="G87" s="6">
        <v>0</v>
      </c>
      <c r="H87" s="6">
        <v>0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1:21" x14ac:dyDescent="0.25">
      <c r="A88" s="3"/>
      <c r="B88" s="3" t="s">
        <v>5493</v>
      </c>
      <c r="C88" s="3"/>
      <c r="D88" s="3"/>
      <c r="E88" s="3"/>
      <c r="F88" s="6">
        <f>SUM(K53:K84)</f>
        <v>0</v>
      </c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1:21" x14ac:dyDescent="0.25">
      <c r="A89" s="18"/>
      <c r="B89" s="18" t="s">
        <v>5494</v>
      </c>
      <c r="C89" s="18"/>
      <c r="D89" s="18"/>
      <c r="E89" s="18"/>
      <c r="F89" s="19">
        <f>F86+F87+F88</f>
        <v>86.5</v>
      </c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</row>
    <row r="91" spans="1:21" ht="15.75" x14ac:dyDescent="0.25">
      <c r="A91" s="2" t="s">
        <v>5512</v>
      </c>
    </row>
    <row r="92" spans="1:21" x14ac:dyDescent="0.25">
      <c r="A92" s="3" t="s">
        <v>35</v>
      </c>
      <c r="B92" s="3" t="s">
        <v>5461</v>
      </c>
      <c r="C92" s="3" t="s">
        <v>37</v>
      </c>
      <c r="D92" s="3" t="s">
        <v>5462</v>
      </c>
      <c r="E92" s="3" t="s">
        <v>5463</v>
      </c>
      <c r="F92" s="3" t="s">
        <v>5513</v>
      </c>
      <c r="G92" s="3" t="s">
        <v>5465</v>
      </c>
      <c r="H92" s="3" t="s">
        <v>5466</v>
      </c>
      <c r="I92" s="3" t="s">
        <v>5467</v>
      </c>
      <c r="J92" s="3" t="s">
        <v>5468</v>
      </c>
      <c r="K92" s="3" t="s">
        <v>5469</v>
      </c>
      <c r="L92" s="3" t="s">
        <v>5470</v>
      </c>
      <c r="M92" s="3" t="s">
        <v>5471</v>
      </c>
      <c r="N92" s="3" t="s">
        <v>5472</v>
      </c>
      <c r="O92" s="3" t="s">
        <v>5473</v>
      </c>
      <c r="P92" s="3" t="s">
        <v>5474</v>
      </c>
      <c r="Q92" s="3" t="s">
        <v>5475</v>
      </c>
      <c r="R92" s="3" t="s">
        <v>5476</v>
      </c>
      <c r="S92" s="3" t="s">
        <v>5477</v>
      </c>
      <c r="T92" s="3" t="s">
        <v>5478</v>
      </c>
      <c r="U92" s="3" t="s">
        <v>5479</v>
      </c>
    </row>
    <row r="93" spans="1:21" x14ac:dyDescent="0.25">
      <c r="A93" s="4" t="s">
        <v>61</v>
      </c>
      <c r="B93" s="4" t="s">
        <v>5480</v>
      </c>
      <c r="C93" s="4" t="str">
        <f>IFERROR(INDEX('Projekt-Budget-Übersicht'!$C:$C,MATCH(10,'Projekt-Budget-Übersicht'!$L:$L,0)),"")</f>
        <v/>
      </c>
      <c r="D93" s="4">
        <v>8</v>
      </c>
      <c r="E93" s="4">
        <v>0.5</v>
      </c>
      <c r="F93" s="4">
        <v>0.5</v>
      </c>
      <c r="G93" s="16">
        <v>6.25</v>
      </c>
      <c r="H93" s="5"/>
      <c r="I93" s="5">
        <f t="shared" ref="I93:I117" si="8">IF(H93=0,0,F93-H93)</f>
        <v>0</v>
      </c>
      <c r="J93" s="4"/>
      <c r="K93" s="5">
        <f>IF('A. Kokott'!J85="S. Schüler",'A. Kokott'!I85,0)+IF('C. Trapp SV'!J56="S. Schüler",'C. Trapp SV'!I56,0)+IF('D. Brucker'!J33="S. Schüler",'D. Brucker'!I33,0)+IF('J. Dorn'!J83="S. Schüler",'J. Dorn'!I83,0)+IF('O. Haag BS-CAD'!J92="S. Schüler",'O. Haag BS-CAD'!I92,0)+IF('U. Sutter ADM'!J51="S. Schüler",'U. Sutter ADM'!I51,0)</f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93" s="10">
        <f t="shared" ref="M93:M117" si="9">IF($B$2="-",0,IF(C93="Pauschale",IF(OR(R93=0,N(D93)=0),0,MAX(0,MIN(R93*((N(F93)+N(K93))/N(D93)),R93-R93*(N(E93)/N(D93))))),L93*(N(F93)+N(K93))))</f>
        <v>0</v>
      </c>
      <c r="N93" s="10">
        <f t="shared" ref="N93:N117" si="10">IF($B$2="-",0,IF(C93="Pauschale",IF(OR(R93=0,N(D93)=0),0,R93*((N(F93)+N(K93))/N(D93))),L93*(N(F93)+N(K93))))</f>
        <v>0</v>
      </c>
      <c r="O93" s="10">
        <f t="shared" ref="O93:O117" si="11">N93-M93</f>
        <v>0</v>
      </c>
      <c r="P93" s="10">
        <f>'A. Kokott'!M85+'C. Trapp SV'!M56+'D. Brucker'!M33+'J. Dorn'!M83+'O. Haag BS-CAD'!M92+'S. Schüler'!M93+'U. Sutter ADM'!M51</f>
        <v>0</v>
      </c>
      <c r="Q93" s="10">
        <v>132</v>
      </c>
      <c r="R93" s="10">
        <f>IFERROR(INDEX('Projekt-Budget-Übersicht'!$F:$F,MATCH(10,'Projekt-Budget-Übersicht'!$L:$L,0)),0)</f>
        <v>0</v>
      </c>
      <c r="S93" s="10">
        <v>68628.19</v>
      </c>
      <c r="T93" s="4"/>
      <c r="U93" s="4"/>
    </row>
    <row r="94" spans="1:21" x14ac:dyDescent="0.25">
      <c r="A94" s="21" t="s">
        <v>865</v>
      </c>
      <c r="B94" s="4" t="s">
        <v>5536</v>
      </c>
      <c r="C94" s="4" t="str">
        <f>IFERROR(INDEX('Projekt-Budget-Übersicht'!$C:$C,MATCH(892,'Projekt-Budget-Übersicht'!$L:$L,0)),"")</f>
        <v/>
      </c>
      <c r="D94" s="4">
        <v>52</v>
      </c>
      <c r="E94" s="4">
        <v>201.5</v>
      </c>
      <c r="F94" s="4">
        <v>31.75</v>
      </c>
      <c r="G94" s="15">
        <v>387.5</v>
      </c>
      <c r="H94" s="5"/>
      <c r="I94" s="5">
        <f t="shared" si="8"/>
        <v>0</v>
      </c>
      <c r="J94" s="4"/>
      <c r="K94" s="5">
        <f>IF('C. Trapp SV'!J60="S. Schüler",'C. Trapp SV'!I60,0)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94" s="10">
        <f t="shared" si="9"/>
        <v>0</v>
      </c>
      <c r="N94" s="10">
        <f t="shared" si="10"/>
        <v>0</v>
      </c>
      <c r="O94" s="10">
        <f t="shared" si="11"/>
        <v>0</v>
      </c>
      <c r="P94" s="10">
        <f>'C. Trapp SV'!M60+'S. Schüler'!M94</f>
        <v>0</v>
      </c>
      <c r="Q94" s="10">
        <v>107</v>
      </c>
      <c r="R94" s="10">
        <f>IFERROR(INDEX('Projekt-Budget-Übersicht'!$F:$F,MATCH(892,'Projekt-Budget-Übersicht'!$L:$L,0)),0)</f>
        <v>0</v>
      </c>
      <c r="S94" s="10">
        <v>12383.75</v>
      </c>
      <c r="T94" s="4"/>
      <c r="U94" s="4"/>
    </row>
    <row r="95" spans="1:21" x14ac:dyDescent="0.25">
      <c r="A95" s="23"/>
      <c r="B95" s="4" t="s">
        <v>5537</v>
      </c>
      <c r="C95" s="4" t="str">
        <f>IFERROR(INDEX('Projekt-Budget-Übersicht'!$C:$C,MATCH(891,'Projekt-Budget-Übersicht'!$L:$L,0)),"")</f>
        <v/>
      </c>
      <c r="D95" s="4">
        <v>21</v>
      </c>
      <c r="E95" s="4">
        <v>32.25</v>
      </c>
      <c r="F95" s="4">
        <v>1.5</v>
      </c>
      <c r="G95" s="15">
        <v>153.57</v>
      </c>
      <c r="H95" s="5"/>
      <c r="I95" s="5">
        <f t="shared" si="8"/>
        <v>0</v>
      </c>
      <c r="J95" s="4"/>
      <c r="K95" s="5"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IF($B$2="-",0,IFERROR(INDEX(IF($B$2="SV",'Projekt-Budget-Übersicht'!$I:$I,IF($B$2="CAD",'Projekt-Budget-Übersicht'!$J:$J,IF($B$2="ADM",'Projekt-Budget-Übersicht'!$K:$K,'Projekt-Budget-Übersicht'!$I:$I))),MATCH(891,'Projekt-Budget-Übersicht'!$M:$M,0)),0))</f>
        <v>94.761904761904759</v>
      </c>
      <c r="M95" s="10">
        <f t="shared" si="9"/>
        <v>142.14285714285714</v>
      </c>
      <c r="N95" s="10">
        <f t="shared" si="10"/>
        <v>142.14285714285714</v>
      </c>
      <c r="O95" s="10">
        <f t="shared" si="11"/>
        <v>0</v>
      </c>
      <c r="P95" s="10">
        <f>'S. Schüler'!M95</f>
        <v>142.14285714285714</v>
      </c>
      <c r="Q95" s="10">
        <v>21</v>
      </c>
      <c r="R95" s="10">
        <f>IFERROR(INDEX('Projekt-Budget-Übersicht'!$F:$F,MATCH(891,'Projekt-Budget-Übersicht'!$L:$L,0)),0)</f>
        <v>0</v>
      </c>
      <c r="S95" s="10">
        <v>180</v>
      </c>
      <c r="T95" s="4"/>
      <c r="U95" s="4"/>
    </row>
    <row r="96" spans="1:21" x14ac:dyDescent="0.25">
      <c r="A96" s="22"/>
      <c r="B96" s="4" t="s">
        <v>5605</v>
      </c>
      <c r="C96" s="4" t="str">
        <f>IFERROR(INDEX('Projekt-Budget-Übersicht'!$C:$C,MATCH(892,'Projekt-Budget-Übersicht'!$L:$L,0)),"")</f>
        <v/>
      </c>
      <c r="D96" s="4">
        <v>9.5</v>
      </c>
      <c r="E96" s="4">
        <v>5.5</v>
      </c>
      <c r="F96" s="4">
        <v>2.5</v>
      </c>
      <c r="G96" s="16">
        <v>57.89</v>
      </c>
      <c r="H96" s="5"/>
      <c r="I96" s="5">
        <f t="shared" si="8"/>
        <v>0</v>
      </c>
      <c r="J96" s="4"/>
      <c r="K96" s="5"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96" s="10">
        <f t="shared" si="9"/>
        <v>0</v>
      </c>
      <c r="N96" s="10">
        <f t="shared" si="10"/>
        <v>0</v>
      </c>
      <c r="O96" s="10">
        <f t="shared" si="11"/>
        <v>0</v>
      </c>
      <c r="P96" s="10">
        <f>'S. Schüler'!M96</f>
        <v>0</v>
      </c>
      <c r="Q96" s="10">
        <v>107</v>
      </c>
      <c r="R96" s="10">
        <f>IFERROR(INDEX('Projekt-Budget-Übersicht'!$F:$F,MATCH(892,'Projekt-Budget-Übersicht'!$L:$L,0)),0)</f>
        <v>0</v>
      </c>
      <c r="S96" s="10">
        <v>12383.75</v>
      </c>
      <c r="T96" s="4"/>
      <c r="U96" s="4"/>
    </row>
    <row r="97" spans="1:21" x14ac:dyDescent="0.25">
      <c r="A97" s="4" t="s">
        <v>879</v>
      </c>
      <c r="B97" s="4" t="s">
        <v>5498</v>
      </c>
      <c r="C97" s="4" t="str">
        <f>IFERROR(INDEX('Projekt-Budget-Übersicht'!$C:$C,MATCH(899,'Projekt-Budget-Übersicht'!$L:$L,0)),"")</f>
        <v/>
      </c>
      <c r="D97" s="4">
        <v>230</v>
      </c>
      <c r="E97" s="4">
        <v>140.25</v>
      </c>
      <c r="F97" s="4">
        <v>2.75</v>
      </c>
      <c r="G97" s="16">
        <v>60.98</v>
      </c>
      <c r="H97" s="5"/>
      <c r="I97" s="5">
        <f t="shared" si="8"/>
        <v>0</v>
      </c>
      <c r="J97" s="4"/>
      <c r="K97" s="5">
        <f>IF('A. Kokott'!J90="S. Schüler",'A. Kokott'!I90,0)+IF('M. Warner'!J24="S. Schüler",'M. Warner'!I24,0)</f>
        <v>0</v>
      </c>
      <c r="L97" s="10">
        <f>IF($B$2="-",0,IFERROR(INDEX(IF($B$2="SV",'Projekt-Budget-Übersicht'!$I:$I,IF($B$2="CAD",'Projekt-Budget-Übersicht'!$J:$J,IF($B$2="ADM",'Projekt-Budget-Übersicht'!$K:$K,'Projekt-Budget-Übersicht'!$I:$I))),MATCH(899,'Projekt-Budget-Übersicht'!$M:$M,0)),0))</f>
        <v>81.25</v>
      </c>
      <c r="M97" s="10">
        <f t="shared" si="9"/>
        <v>223.4375</v>
      </c>
      <c r="N97" s="10">
        <f t="shared" si="10"/>
        <v>223.4375</v>
      </c>
      <c r="O97" s="10">
        <f t="shared" si="11"/>
        <v>0</v>
      </c>
      <c r="P97" s="10">
        <f>'A. Kokott'!M90+'M. Warner'!M24+'S. Schüler'!M97</f>
        <v>8815.625</v>
      </c>
      <c r="Q97" s="10">
        <v>120</v>
      </c>
      <c r="R97" s="10">
        <f>IFERROR(INDEX('Projekt-Budget-Übersicht'!$F:$F,MATCH(899,'Projekt-Budget-Übersicht'!$L:$L,0)),0)</f>
        <v>0</v>
      </c>
      <c r="S97" s="10"/>
      <c r="T97" s="4"/>
      <c r="U97" s="4"/>
    </row>
    <row r="98" spans="1:21" x14ac:dyDescent="0.25">
      <c r="A98" s="4" t="s">
        <v>1497</v>
      </c>
      <c r="B98" s="4" t="s">
        <v>5619</v>
      </c>
      <c r="C98" s="4" t="str">
        <f>IFERROR(INDEX('Projekt-Budget-Übersicht'!$C:$C,MATCH(1685,'Projekt-Budget-Übersicht'!$L:$L,0)),"")</f>
        <v/>
      </c>
      <c r="D98" s="4">
        <v>40</v>
      </c>
      <c r="E98" s="4">
        <v>70</v>
      </c>
      <c r="F98" s="4">
        <v>1</v>
      </c>
      <c r="G98" s="15">
        <v>175</v>
      </c>
      <c r="H98" s="5"/>
      <c r="I98" s="5">
        <f t="shared" si="8"/>
        <v>0</v>
      </c>
      <c r="J98" s="4"/>
      <c r="K98" s="5">
        <v>0</v>
      </c>
      <c r="L98" s="10">
        <f>IF($B$2="-",0,IFERROR(INDEX(IF($B$2="SV",'Projekt-Budget-Übersicht'!$I:$I,IF($B$2="CAD",'Projekt-Budget-Übersicht'!$J:$J,IF($B$2="ADM",'Projekt-Budget-Übersicht'!$K:$K,'Projekt-Budget-Übersicht'!$I:$I))),MATCH(1685,'Projekt-Budget-Übersicht'!$M:$M,0)),0))</f>
        <v>0</v>
      </c>
      <c r="M98" s="10">
        <f t="shared" si="9"/>
        <v>0</v>
      </c>
      <c r="N98" s="10">
        <f t="shared" si="10"/>
        <v>0</v>
      </c>
      <c r="O98" s="10">
        <f t="shared" si="11"/>
        <v>0</v>
      </c>
      <c r="P98" s="10">
        <f>'S. Schüler'!M98</f>
        <v>0</v>
      </c>
      <c r="Q98" s="10">
        <v>232</v>
      </c>
      <c r="R98" s="10">
        <f>IFERROR(INDEX('Projekt-Budget-Übersicht'!$F:$F,MATCH(1685,'Projekt-Budget-Übersicht'!$L:$L,0)),0)</f>
        <v>0</v>
      </c>
      <c r="S98" s="10">
        <v>4326.93</v>
      </c>
      <c r="T98" s="4"/>
      <c r="U98" s="4"/>
    </row>
    <row r="99" spans="1:21" x14ac:dyDescent="0.25">
      <c r="A99" s="4" t="s">
        <v>1504</v>
      </c>
      <c r="B99" s="4" t="s">
        <v>5485</v>
      </c>
      <c r="C99" s="4" t="str">
        <f>IFERROR(INDEX('Projekt-Budget-Übersicht'!$C:$C,MATCH(1690,'Projekt-Budget-Übersicht'!$L:$L,0)),"")</f>
        <v/>
      </c>
      <c r="D99" s="4">
        <v>34</v>
      </c>
      <c r="E99" s="4">
        <v>13</v>
      </c>
      <c r="F99" s="4">
        <v>1.25</v>
      </c>
      <c r="G99" s="16">
        <v>38.24</v>
      </c>
      <c r="H99" s="5"/>
      <c r="I99" s="5">
        <f t="shared" si="8"/>
        <v>0</v>
      </c>
      <c r="J99" s="4"/>
      <c r="K99" s="5">
        <v>0</v>
      </c>
      <c r="L99" s="10">
        <f>IF($B$2="-",0,IFERROR(INDEX(IF($B$2="SV",'Projekt-Budget-Übersicht'!$I:$I,IF($B$2="CAD",'Projekt-Budget-Übersicht'!$J:$J,IF($B$2="ADM",'Projekt-Budget-Übersicht'!$K:$K,'Projekt-Budget-Übersicht'!$I:$I))),MATCH(1690,'Projekt-Budget-Übersicht'!$M:$M,0)),0))</f>
        <v>0</v>
      </c>
      <c r="M99" s="10">
        <f t="shared" si="9"/>
        <v>0</v>
      </c>
      <c r="N99" s="10">
        <f t="shared" si="10"/>
        <v>0</v>
      </c>
      <c r="O99" s="10">
        <f t="shared" si="11"/>
        <v>0</v>
      </c>
      <c r="P99" s="10">
        <f>'S. Schüler'!M99</f>
        <v>0</v>
      </c>
      <c r="Q99" s="10">
        <v>34</v>
      </c>
      <c r="R99" s="10">
        <f>IFERROR(INDEX('Projekt-Budget-Übersicht'!$F:$F,MATCH(1690,'Projekt-Budget-Übersicht'!$L:$L,0)),0)</f>
        <v>0</v>
      </c>
      <c r="S99" s="10">
        <v>967.5</v>
      </c>
      <c r="T99" s="4"/>
      <c r="U99" s="4"/>
    </row>
    <row r="100" spans="1:21" x14ac:dyDescent="0.25">
      <c r="A100" s="4" t="s">
        <v>1802</v>
      </c>
      <c r="B100" s="4" t="s">
        <v>5682</v>
      </c>
      <c r="C100" s="4" t="str">
        <f>IFERROR(INDEX('Projekt-Budget-Übersicht'!$C:$C,MATCH(2040,'Projekt-Budget-Übersicht'!$L:$L,0)),"")</f>
        <v/>
      </c>
      <c r="D100" s="4">
        <v>37</v>
      </c>
      <c r="E100" s="4">
        <v>1.5</v>
      </c>
      <c r="F100" s="4">
        <v>1.5</v>
      </c>
      <c r="G100" s="16">
        <v>4.05</v>
      </c>
      <c r="H100" s="5"/>
      <c r="I100" s="5">
        <f t="shared" si="8"/>
        <v>0</v>
      </c>
      <c r="J100" s="4"/>
      <c r="K100" s="5">
        <v>0</v>
      </c>
      <c r="L100" s="10">
        <f>IF($B$2="-",0,IFERROR(INDEX(IF($B$2="SV",'Projekt-Budget-Übersicht'!$I:$I,IF($B$2="CAD",'Projekt-Budget-Übersicht'!$J:$J,IF($B$2="ADM",'Projekt-Budget-Übersicht'!$K:$K,'Projekt-Budget-Übersicht'!$I:$I))),MATCH(2040,'Projekt-Budget-Übersicht'!$M:$M,0)),0))</f>
        <v>0</v>
      </c>
      <c r="M100" s="10">
        <f t="shared" si="9"/>
        <v>0</v>
      </c>
      <c r="N100" s="10">
        <f t="shared" si="10"/>
        <v>0</v>
      </c>
      <c r="O100" s="10">
        <f t="shared" si="11"/>
        <v>0</v>
      </c>
      <c r="P100" s="10">
        <f>'S. Schüler'!M100</f>
        <v>0</v>
      </c>
      <c r="Q100" s="10">
        <v>37</v>
      </c>
      <c r="R100" s="10">
        <f>IFERROR(INDEX('Projekt-Budget-Übersicht'!$F:$F,MATCH(2040,'Projekt-Budget-Übersicht'!$L:$L,0)),0)</f>
        <v>0</v>
      </c>
      <c r="S100" s="10">
        <v>135</v>
      </c>
      <c r="T100" s="4"/>
      <c r="U100" s="4"/>
    </row>
    <row r="101" spans="1:21" x14ac:dyDescent="0.25">
      <c r="A101" s="4" t="s">
        <v>1808</v>
      </c>
      <c r="B101" s="4" t="s">
        <v>5459</v>
      </c>
      <c r="C101" s="4" t="str">
        <f>IFERROR(INDEX('Projekt-Budget-Übersicht'!$C:$C,MATCH(2046,'Projekt-Budget-Übersicht'!$L:$L,0)),"")</f>
        <v/>
      </c>
      <c r="D101" s="4">
        <v>84</v>
      </c>
      <c r="E101" s="4">
        <v>62.92</v>
      </c>
      <c r="F101" s="4">
        <v>2</v>
      </c>
      <c r="G101" s="16">
        <v>74.900000000000006</v>
      </c>
      <c r="H101" s="5"/>
      <c r="I101" s="5">
        <f t="shared" si="8"/>
        <v>0</v>
      </c>
      <c r="J101" s="4"/>
      <c r="K101" s="5">
        <v>0</v>
      </c>
      <c r="L101" s="10">
        <f>IF($B$2="-",0,IFERROR(INDEX(IF($B$2="SV",'Projekt-Budget-Übersicht'!$I:$I,IF($B$2="CAD",'Projekt-Budget-Übersicht'!$J:$J,IF($B$2="ADM",'Projekt-Budget-Übersicht'!$K:$K,'Projekt-Budget-Übersicht'!$I:$I))),MATCH(2046,'Projekt-Budget-Übersicht'!$M:$M,0)),0))</f>
        <v>0</v>
      </c>
      <c r="M101" s="10">
        <f t="shared" si="9"/>
        <v>0</v>
      </c>
      <c r="N101" s="10">
        <f t="shared" si="10"/>
        <v>0</v>
      </c>
      <c r="O101" s="10">
        <f t="shared" si="11"/>
        <v>0</v>
      </c>
      <c r="P101" s="10">
        <f>'S. Schüler'!M101</f>
        <v>0</v>
      </c>
      <c r="Q101" s="10">
        <v>120</v>
      </c>
      <c r="R101" s="10">
        <f>IFERROR(INDEX('Projekt-Budget-Übersicht'!$F:$F,MATCH(2046,'Projekt-Budget-Übersicht'!$L:$L,0)),0)</f>
        <v>0</v>
      </c>
      <c r="S101" s="10"/>
      <c r="T101" s="4"/>
      <c r="U101" s="4"/>
    </row>
    <row r="102" spans="1:21" x14ac:dyDescent="0.25">
      <c r="A102" s="4" t="s">
        <v>1815</v>
      </c>
      <c r="B102" s="4" t="s">
        <v>5540</v>
      </c>
      <c r="C102" s="4" t="str">
        <f>IFERROR(INDEX('Projekt-Budget-Übersicht'!$C:$C,MATCH(2051,'Projekt-Budget-Übersicht'!$L:$L,0)),"")</f>
        <v/>
      </c>
      <c r="D102" s="4">
        <v>40</v>
      </c>
      <c r="E102" s="4">
        <v>10.75</v>
      </c>
      <c r="F102" s="4">
        <v>7.25</v>
      </c>
      <c r="G102" s="16">
        <v>26.88</v>
      </c>
      <c r="H102" s="5"/>
      <c r="I102" s="5">
        <f t="shared" si="8"/>
        <v>0</v>
      </c>
      <c r="J102" s="4"/>
      <c r="K102" s="5">
        <v>0</v>
      </c>
      <c r="L102" s="10">
        <f>IF($B$2="-",0,IFERROR(INDEX(IF($B$2="SV",'Projekt-Budget-Übersicht'!$I:$I,IF($B$2="CAD",'Projekt-Budget-Übersicht'!$J:$J,IF($B$2="ADM",'Projekt-Budget-Übersicht'!$K:$K,'Projekt-Budget-Übersicht'!$I:$I))),MATCH(2051,'Projekt-Budget-Übersicht'!$M:$M,0)),0))</f>
        <v>0</v>
      </c>
      <c r="M102" s="10">
        <f t="shared" si="9"/>
        <v>0</v>
      </c>
      <c r="N102" s="10">
        <f t="shared" si="10"/>
        <v>0</v>
      </c>
      <c r="O102" s="10">
        <f t="shared" si="11"/>
        <v>0</v>
      </c>
      <c r="P102" s="10">
        <f>'S. Schüler'!M102</f>
        <v>0</v>
      </c>
      <c r="Q102" s="10">
        <v>141</v>
      </c>
      <c r="R102" s="10">
        <f>IFERROR(INDEX('Projekt-Budget-Übersicht'!$F:$F,MATCH(2051,'Projekt-Budget-Übersicht'!$L:$L,0)),0)</f>
        <v>0</v>
      </c>
      <c r="S102" s="10">
        <v>945</v>
      </c>
      <c r="T102" s="4"/>
      <c r="U102" s="4"/>
    </row>
    <row r="103" spans="1:21" x14ac:dyDescent="0.25">
      <c r="A103" s="4" t="s">
        <v>1819</v>
      </c>
      <c r="B103" s="4" t="s">
        <v>5459</v>
      </c>
      <c r="C103" s="4" t="str">
        <f>IFERROR(INDEX('Projekt-Budget-Übersicht'!$C:$C,MATCH(2057,'Projekt-Budget-Übersicht'!$L:$L,0)),"")</f>
        <v/>
      </c>
      <c r="D103" s="4">
        <v>200</v>
      </c>
      <c r="E103" s="4">
        <v>27</v>
      </c>
      <c r="F103" s="4">
        <v>11.25</v>
      </c>
      <c r="G103" s="16">
        <v>13.5</v>
      </c>
      <c r="H103" s="5"/>
      <c r="I103" s="5">
        <f t="shared" si="8"/>
        <v>0</v>
      </c>
      <c r="J103" s="4"/>
      <c r="K103" s="5">
        <v>0</v>
      </c>
      <c r="L103" s="10">
        <f>IF($B$2="-",0,IFERROR(INDEX(IF($B$2="SV",'Projekt-Budget-Übersicht'!$I:$I,IF($B$2="CAD",'Projekt-Budget-Übersicht'!$J:$J,IF($B$2="ADM",'Projekt-Budget-Übersicht'!$K:$K,'Projekt-Budget-Übersicht'!$I:$I))),MATCH(2057,'Projekt-Budget-Übersicht'!$M:$M,0)),0))</f>
        <v>0</v>
      </c>
      <c r="M103" s="10">
        <f t="shared" si="9"/>
        <v>0</v>
      </c>
      <c r="N103" s="10">
        <f t="shared" si="10"/>
        <v>0</v>
      </c>
      <c r="O103" s="10">
        <f t="shared" si="11"/>
        <v>0</v>
      </c>
      <c r="P103" s="10">
        <f>'S. Schüler'!M103</f>
        <v>0</v>
      </c>
      <c r="Q103" s="10">
        <v>126</v>
      </c>
      <c r="R103" s="10">
        <f>IFERROR(INDEX('Projekt-Budget-Übersicht'!$F:$F,MATCH(2057,'Projekt-Budget-Übersicht'!$L:$L,0)),0)</f>
        <v>0</v>
      </c>
      <c r="S103" s="10"/>
      <c r="T103" s="4"/>
      <c r="U103" s="4"/>
    </row>
    <row r="104" spans="1:21" x14ac:dyDescent="0.25">
      <c r="A104" s="4" t="s">
        <v>2619</v>
      </c>
      <c r="B104" s="4" t="s">
        <v>5459</v>
      </c>
      <c r="C104" s="4" t="str">
        <f>IFERROR(INDEX('Projekt-Budget-Übersicht'!$C:$C,MATCH(2931,'Projekt-Budget-Übersicht'!$L:$L,0)),"")</f>
        <v/>
      </c>
      <c r="D104" s="4">
        <v>22</v>
      </c>
      <c r="E104" s="4">
        <v>23.25</v>
      </c>
      <c r="F104" s="4">
        <v>19</v>
      </c>
      <c r="G104" s="15">
        <v>105.68</v>
      </c>
      <c r="H104" s="5"/>
      <c r="I104" s="5">
        <f t="shared" si="8"/>
        <v>0</v>
      </c>
      <c r="J104" s="4"/>
      <c r="K104" s="5">
        <f>IF('T. Trautmann'!J90="S. Schüler",'T. Trautmann'!I90,0)</f>
        <v>0</v>
      </c>
      <c r="L104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124.28571428571431</v>
      </c>
      <c r="M104" s="10">
        <f t="shared" si="9"/>
        <v>2361.428571428572</v>
      </c>
      <c r="N104" s="10">
        <f t="shared" si="10"/>
        <v>2361.428571428572</v>
      </c>
      <c r="O104" s="10">
        <f t="shared" si="11"/>
        <v>0</v>
      </c>
      <c r="P104" s="10">
        <f>'S. Schüler'!M104+'T. Trautmann'!M90</f>
        <v>2734.2857142857147</v>
      </c>
      <c r="Q104" s="10">
        <v>35</v>
      </c>
      <c r="R104" s="10">
        <f>IFERROR(INDEX('Projekt-Budget-Übersicht'!$F:$F,MATCH(2931,'Projekt-Budget-Übersicht'!$L:$L,0)),0)</f>
        <v>0</v>
      </c>
      <c r="S104" s="10">
        <v>2519.94</v>
      </c>
      <c r="T104" s="4"/>
      <c r="U104" s="4"/>
    </row>
    <row r="105" spans="1:21" x14ac:dyDescent="0.25">
      <c r="A105" s="21" t="s">
        <v>3146</v>
      </c>
      <c r="B105" s="4" t="s">
        <v>5459</v>
      </c>
      <c r="C105" s="4" t="str">
        <f>IFERROR(INDEX('Projekt-Budget-Übersicht'!$C:$C,MATCH(3387,'Projekt-Budget-Übersicht'!$L:$L,0)),"")</f>
        <v/>
      </c>
      <c r="D105" s="4">
        <v>40</v>
      </c>
      <c r="E105" s="4">
        <v>167</v>
      </c>
      <c r="F105" s="4">
        <v>0.5</v>
      </c>
      <c r="G105" s="15">
        <v>417.5</v>
      </c>
      <c r="H105" s="5"/>
      <c r="I105" s="5">
        <f t="shared" si="8"/>
        <v>0</v>
      </c>
      <c r="J105" s="4"/>
      <c r="K105" s="5">
        <v>0</v>
      </c>
      <c r="L105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105" s="10">
        <f t="shared" si="9"/>
        <v>0</v>
      </c>
      <c r="N105" s="10">
        <f t="shared" si="10"/>
        <v>0</v>
      </c>
      <c r="O105" s="10">
        <f t="shared" si="11"/>
        <v>0</v>
      </c>
      <c r="P105" s="10">
        <f>'S. Schüler'!M105</f>
        <v>0</v>
      </c>
      <c r="Q105" s="10">
        <v>74</v>
      </c>
      <c r="R105" s="10">
        <f>IFERROR(INDEX('Projekt-Budget-Übersicht'!$F:$F,MATCH(3387,'Projekt-Budget-Übersicht'!$L:$L,0)),0)</f>
        <v>0</v>
      </c>
      <c r="S105" s="10">
        <v>23081.52</v>
      </c>
      <c r="T105" s="4"/>
      <c r="U105" s="4"/>
    </row>
    <row r="106" spans="1:21" x14ac:dyDescent="0.25">
      <c r="A106" s="22"/>
      <c r="B106" s="4" t="s">
        <v>5670</v>
      </c>
      <c r="C106" s="4" t="str">
        <f>IFERROR(INDEX('Projekt-Budget-Übersicht'!$C:$C,MATCH(3387,'Projekt-Budget-Übersicht'!$L:$L,0)),"")</f>
        <v/>
      </c>
      <c r="D106" s="4">
        <v>0</v>
      </c>
      <c r="E106" s="4">
        <v>139.75</v>
      </c>
      <c r="F106" s="4">
        <v>8.25</v>
      </c>
      <c r="G106" s="4">
        <v>0</v>
      </c>
      <c r="H106" s="5"/>
      <c r="I106" s="5">
        <f t="shared" si="8"/>
        <v>0</v>
      </c>
      <c r="J106" s="4"/>
      <c r="K106" s="5">
        <f>IF('T. Trautmann'!J92="S. Schüler",'T. Trautmann'!I92,0)</f>
        <v>0</v>
      </c>
      <c r="L106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106" s="10">
        <f t="shared" si="9"/>
        <v>0</v>
      </c>
      <c r="N106" s="10">
        <f t="shared" si="10"/>
        <v>0</v>
      </c>
      <c r="O106" s="10">
        <f t="shared" si="11"/>
        <v>0</v>
      </c>
      <c r="P106" s="10">
        <f>'S. Schüler'!M106+'T. Trautmann'!M92</f>
        <v>0</v>
      </c>
      <c r="Q106" s="10">
        <v>74</v>
      </c>
      <c r="R106" s="10">
        <f>IFERROR(INDEX('Projekt-Budget-Übersicht'!$F:$F,MATCH(3387,'Projekt-Budget-Übersicht'!$L:$L,0)),0)</f>
        <v>0</v>
      </c>
      <c r="S106" s="10">
        <v>23081.52</v>
      </c>
      <c r="T106" s="4"/>
      <c r="U106" s="4"/>
    </row>
    <row r="107" spans="1:21" x14ac:dyDescent="0.25">
      <c r="A107" s="4" t="s">
        <v>3909</v>
      </c>
      <c r="B107" s="4" t="s">
        <v>5679</v>
      </c>
      <c r="C107" s="4" t="str">
        <f>IFERROR(INDEX('Projekt-Budget-Übersicht'!$C:$C,MATCH(4056,'Projekt-Budget-Übersicht'!$L:$L,0)),"")</f>
        <v/>
      </c>
      <c r="D107" s="4">
        <v>80</v>
      </c>
      <c r="E107" s="4">
        <v>15.25</v>
      </c>
      <c r="F107" s="4">
        <v>3.5</v>
      </c>
      <c r="G107" s="16">
        <v>19.059999999999999</v>
      </c>
      <c r="H107" s="5"/>
      <c r="I107" s="5">
        <f t="shared" si="8"/>
        <v>0</v>
      </c>
      <c r="J107" s="4"/>
      <c r="K107" s="5">
        <v>0</v>
      </c>
      <c r="L107" s="10">
        <f>IF($B$2="-",0,IFERROR(INDEX(IF($B$2="SV",'Projekt-Budget-Übersicht'!$I:$I,IF($B$2="CAD",'Projekt-Budget-Übersicht'!$J:$J,IF($B$2="ADM",'Projekt-Budget-Übersicht'!$K:$K,'Projekt-Budget-Übersicht'!$I:$I))),MATCH(4056,'Projekt-Budget-Übersicht'!$M:$M,0)),0))</f>
        <v>109.375</v>
      </c>
      <c r="M107" s="10">
        <f t="shared" si="9"/>
        <v>382.8125</v>
      </c>
      <c r="N107" s="10">
        <f t="shared" si="10"/>
        <v>382.8125</v>
      </c>
      <c r="O107" s="10">
        <f t="shared" si="11"/>
        <v>0</v>
      </c>
      <c r="P107" s="10">
        <f>'S. Schüler'!M107</f>
        <v>382.8125</v>
      </c>
      <c r="Q107" s="10">
        <v>106</v>
      </c>
      <c r="R107" s="10">
        <f>IFERROR(INDEX('Projekt-Budget-Übersicht'!$F:$F,MATCH(4056,'Projekt-Budget-Übersicht'!$L:$L,0)),0)</f>
        <v>0</v>
      </c>
      <c r="S107" s="10">
        <v>1372.5</v>
      </c>
      <c r="T107" s="4"/>
      <c r="U107" s="4"/>
    </row>
    <row r="108" spans="1:21" x14ac:dyDescent="0.25">
      <c r="A108" s="4" t="s">
        <v>4453</v>
      </c>
      <c r="B108" s="4" t="s">
        <v>5649</v>
      </c>
      <c r="C108" s="4" t="str">
        <f>IFERROR(INDEX('Projekt-Budget-Übersicht'!$C:$C,MATCH(4522,'Projekt-Budget-Übersicht'!$L:$L,0)),"")</f>
        <v/>
      </c>
      <c r="D108" s="4">
        <v>26</v>
      </c>
      <c r="E108" s="4">
        <v>38.5</v>
      </c>
      <c r="F108" s="4">
        <v>0.25</v>
      </c>
      <c r="G108" s="15">
        <v>148.08000000000001</v>
      </c>
      <c r="H108" s="5"/>
      <c r="I108" s="5">
        <f t="shared" si="8"/>
        <v>0</v>
      </c>
      <c r="J108" s="4"/>
      <c r="K108" s="5">
        <v>0</v>
      </c>
      <c r="L108" s="10">
        <f>IF($B$2="-",0,IFERROR(INDEX(IF($B$2="SV",'Projekt-Budget-Übersicht'!$I:$I,IF($B$2="CAD",'Projekt-Budget-Übersicht'!$J:$J,IF($B$2="ADM",'Projekt-Budget-Übersicht'!$K:$K,'Projekt-Budget-Übersicht'!$I:$I))),MATCH(4522,'Projekt-Budget-Übersicht'!$M:$M,0)),0))</f>
        <v>0</v>
      </c>
      <c r="M108" s="10">
        <f t="shared" si="9"/>
        <v>0</v>
      </c>
      <c r="N108" s="10">
        <f t="shared" si="10"/>
        <v>0</v>
      </c>
      <c r="O108" s="10">
        <f t="shared" si="11"/>
        <v>0</v>
      </c>
      <c r="P108" s="10">
        <f>'S. Schüler'!M108</f>
        <v>0</v>
      </c>
      <c r="Q108" s="10">
        <v>72</v>
      </c>
      <c r="R108" s="10">
        <f>IFERROR(INDEX('Projekt-Budget-Übersicht'!$F:$F,MATCH(4522,'Projekt-Budget-Übersicht'!$L:$L,0)),0)</f>
        <v>0</v>
      </c>
      <c r="S108" s="10">
        <v>2168.29</v>
      </c>
      <c r="T108" s="4"/>
      <c r="U108" s="4"/>
    </row>
    <row r="109" spans="1:21" x14ac:dyDescent="0.25">
      <c r="A109" s="4" t="s">
        <v>4461</v>
      </c>
      <c r="B109" s="4" t="s">
        <v>5519</v>
      </c>
      <c r="C109" s="4" t="str">
        <f>IFERROR(INDEX('Projekt-Budget-Übersicht'!$C:$C,MATCH(4528,'Projekt-Budget-Übersicht'!$L:$L,0)),"")</f>
        <v/>
      </c>
      <c r="D109" s="4">
        <v>100</v>
      </c>
      <c r="E109" s="4">
        <v>26.5</v>
      </c>
      <c r="F109" s="4">
        <v>6.75</v>
      </c>
      <c r="G109" s="16">
        <v>26.5</v>
      </c>
      <c r="H109" s="5"/>
      <c r="I109" s="5">
        <f t="shared" si="8"/>
        <v>0</v>
      </c>
      <c r="J109" s="4"/>
      <c r="K109" s="5">
        <f>IF('A. Kokott'!J109="S. Schüler",'A. Kokott'!I109,0)</f>
        <v>0</v>
      </c>
      <c r="L109" s="10">
        <f>IF($B$2="-",0,IFERROR(INDEX(IF($B$2="SV",'Projekt-Budget-Übersicht'!$I:$I,IF($B$2="CAD",'Projekt-Budget-Übersicht'!$J:$J,IF($B$2="ADM",'Projekt-Budget-Übersicht'!$K:$K,'Projekt-Budget-Übersicht'!$I:$I))),MATCH(4528,'Projekt-Budget-Übersicht'!$M:$M,0)),0))</f>
        <v>0</v>
      </c>
      <c r="M109" s="10">
        <f t="shared" si="9"/>
        <v>0</v>
      </c>
      <c r="N109" s="10">
        <f t="shared" si="10"/>
        <v>0</v>
      </c>
      <c r="O109" s="10">
        <f t="shared" si="11"/>
        <v>0</v>
      </c>
      <c r="P109" s="10">
        <f>'A. Kokott'!M109+'S. Schüler'!M109</f>
        <v>0</v>
      </c>
      <c r="Q109" s="10">
        <v>100</v>
      </c>
      <c r="R109" s="10">
        <f>IFERROR(INDEX('Projekt-Budget-Übersicht'!$F:$F,MATCH(4528,'Projekt-Budget-Übersicht'!$L:$L,0)),0)</f>
        <v>0</v>
      </c>
      <c r="S109" s="10">
        <v>1763.75</v>
      </c>
      <c r="T109" s="4"/>
      <c r="U109" s="4"/>
    </row>
    <row r="110" spans="1:21" x14ac:dyDescent="0.25">
      <c r="A110" s="4" t="s">
        <v>4465</v>
      </c>
      <c r="B110" s="4" t="s">
        <v>5669</v>
      </c>
      <c r="C110" s="4" t="str">
        <f>IFERROR(INDEX('Projekt-Budget-Übersicht'!$C:$C,MATCH(4533,'Projekt-Budget-Übersicht'!$L:$L,0)),"")</f>
        <v/>
      </c>
      <c r="D110" s="4">
        <v>25</v>
      </c>
      <c r="E110" s="4">
        <v>2.25</v>
      </c>
      <c r="F110" s="4">
        <v>1</v>
      </c>
      <c r="G110" s="16">
        <v>9</v>
      </c>
      <c r="H110" s="5"/>
      <c r="I110" s="5">
        <f t="shared" si="8"/>
        <v>0</v>
      </c>
      <c r="J110" s="4"/>
      <c r="K110" s="5">
        <v>0</v>
      </c>
      <c r="L110" s="10">
        <f>IF($B$2="-",0,IFERROR(INDEX(IF($B$2="SV",'Projekt-Budget-Übersicht'!$I:$I,IF($B$2="CAD",'Projekt-Budget-Übersicht'!$J:$J,IF($B$2="ADM",'Projekt-Budget-Übersicht'!$K:$K,'Projekt-Budget-Übersicht'!$I:$I))),MATCH(4533,'Projekt-Budget-Übersicht'!$M:$M,0)),0))</f>
        <v>153.84615384615381</v>
      </c>
      <c r="M110" s="10">
        <f t="shared" si="9"/>
        <v>153.84615384615381</v>
      </c>
      <c r="N110" s="10">
        <f t="shared" si="10"/>
        <v>153.84615384615381</v>
      </c>
      <c r="O110" s="10">
        <f t="shared" si="11"/>
        <v>0</v>
      </c>
      <c r="P110" s="10">
        <f>'S. Schüler'!M110</f>
        <v>153.84615384615381</v>
      </c>
      <c r="Q110" s="10">
        <v>26</v>
      </c>
      <c r="R110" s="10">
        <f>IFERROR(INDEX('Projekt-Budget-Übersicht'!$F:$F,MATCH(4533,'Projekt-Budget-Übersicht'!$L:$L,0)),0)</f>
        <v>0</v>
      </c>
      <c r="S110" s="10">
        <v>287.5</v>
      </c>
      <c r="T110" s="4"/>
      <c r="U110" s="4"/>
    </row>
    <row r="111" spans="1:21" x14ac:dyDescent="0.25">
      <c r="A111" s="4" t="s">
        <v>4671</v>
      </c>
      <c r="B111" s="4" t="s">
        <v>5638</v>
      </c>
      <c r="C111" s="4" t="str">
        <f>IFERROR(INDEX('Projekt-Budget-Übersicht'!$C:$C,MATCH(4703,'Projekt-Budget-Übersicht'!$L:$L,0)),"")</f>
        <v/>
      </c>
      <c r="D111" s="4">
        <v>20.5</v>
      </c>
      <c r="E111" s="4">
        <v>5</v>
      </c>
      <c r="F111" s="4">
        <v>1.25</v>
      </c>
      <c r="G111" s="16">
        <v>24.39</v>
      </c>
      <c r="H111" s="5"/>
      <c r="I111" s="5">
        <f t="shared" si="8"/>
        <v>0</v>
      </c>
      <c r="J111" s="4"/>
      <c r="K111" s="5">
        <v>0</v>
      </c>
      <c r="L111" s="10">
        <f>IF($B$2="-",0,IFERROR(INDEX(IF($B$2="SV",'Projekt-Budget-Übersicht'!$I:$I,IF($B$2="CAD",'Projekt-Budget-Übersicht'!$J:$J,IF($B$2="ADM",'Projekt-Budget-Übersicht'!$K:$K,'Projekt-Budget-Übersicht'!$I:$I))),MATCH(4703,'Projekt-Budget-Übersicht'!$M:$M,0)),0))</f>
        <v>94.771241830065364</v>
      </c>
      <c r="M111" s="10">
        <f t="shared" si="9"/>
        <v>118.46405228758171</v>
      </c>
      <c r="N111" s="10">
        <f t="shared" si="10"/>
        <v>118.46405228758171</v>
      </c>
      <c r="O111" s="10">
        <f t="shared" si="11"/>
        <v>0</v>
      </c>
      <c r="P111" s="10">
        <f>'S. Schüler'!M111</f>
        <v>118.46405228758171</v>
      </c>
      <c r="Q111" s="10">
        <v>92.5</v>
      </c>
      <c r="R111" s="10">
        <f>IFERROR(INDEX('Projekt-Budget-Übersicht'!$F:$F,MATCH(4703,'Projekt-Budget-Übersicht'!$L:$L,0)),0)</f>
        <v>0</v>
      </c>
      <c r="S111" s="10">
        <v>2335</v>
      </c>
      <c r="T111" s="4"/>
      <c r="U111" s="4"/>
    </row>
    <row r="112" spans="1:21" x14ac:dyDescent="0.25">
      <c r="A112" s="4" t="s">
        <v>4739</v>
      </c>
      <c r="B112" s="4" t="s">
        <v>5644</v>
      </c>
      <c r="C112" s="4" t="str">
        <f>IFERROR(INDEX('Projekt-Budget-Übersicht'!$C:$C,MATCH(4763,'Projekt-Budget-Übersicht'!$L:$L,0)),"")</f>
        <v/>
      </c>
      <c r="D112" s="4">
        <v>15</v>
      </c>
      <c r="E112" s="4">
        <v>4</v>
      </c>
      <c r="F112" s="4">
        <v>1</v>
      </c>
      <c r="G112" s="16">
        <v>26.67</v>
      </c>
      <c r="H112" s="5"/>
      <c r="I112" s="5">
        <f t="shared" si="8"/>
        <v>0</v>
      </c>
      <c r="J112" s="4"/>
      <c r="K112" s="5">
        <v>0</v>
      </c>
      <c r="L112" s="10">
        <f>IF($B$2="-",0,IFERROR(INDEX(IF($B$2="SV",'Projekt-Budget-Übersicht'!$I:$I,IF($B$2="CAD",'Projekt-Budget-Übersicht'!$J:$J,IF($B$2="ADM",'Projekt-Budget-Übersicht'!$K:$K,'Projekt-Budget-Übersicht'!$I:$I))),MATCH(4763,'Projekt-Budget-Übersicht'!$M:$M,0)),0))</f>
        <v>139.13043478260869</v>
      </c>
      <c r="M112" s="10">
        <f t="shared" si="9"/>
        <v>139.13043478260869</v>
      </c>
      <c r="N112" s="10">
        <f t="shared" si="10"/>
        <v>139.13043478260869</v>
      </c>
      <c r="O112" s="10">
        <f t="shared" si="11"/>
        <v>0</v>
      </c>
      <c r="P112" s="10">
        <f>'S. Schüler'!M112</f>
        <v>139.13043478260869</v>
      </c>
      <c r="Q112" s="10">
        <v>40</v>
      </c>
      <c r="R112" s="10">
        <f>IFERROR(INDEX('Projekt-Budget-Übersicht'!$F:$F,MATCH(4763,'Projekt-Budget-Übersicht'!$L:$L,0)),0)</f>
        <v>0</v>
      </c>
      <c r="S112" s="10">
        <v>496.25</v>
      </c>
      <c r="T112" s="4"/>
      <c r="U112" s="4"/>
    </row>
    <row r="113" spans="1:21" x14ac:dyDescent="0.25">
      <c r="A113" s="4" t="s">
        <v>4929</v>
      </c>
      <c r="B113" s="4" t="s">
        <v>5557</v>
      </c>
      <c r="C113" s="4" t="str">
        <f>IFERROR(INDEX('Projekt-Budget-Übersicht'!$C:$C,MATCH(4908,'Projekt-Budget-Übersicht'!$L:$L,0)),"")</f>
        <v/>
      </c>
      <c r="D113" s="4">
        <v>40</v>
      </c>
      <c r="E113" s="4">
        <v>36.75</v>
      </c>
      <c r="F113" s="4">
        <v>7.5</v>
      </c>
      <c r="G113" s="14">
        <v>91.88</v>
      </c>
      <c r="H113" s="5"/>
      <c r="I113" s="5">
        <f t="shared" si="8"/>
        <v>0</v>
      </c>
      <c r="J113" s="4"/>
      <c r="K113" s="5">
        <f>IF('D. Brucker'!J37="S. Schüler",'D. Brucker'!I37,0)</f>
        <v>0</v>
      </c>
      <c r="L113" s="10">
        <f>IF($B$2="-",0,IFERROR(INDEX(IF($B$2="SV",'Projekt-Budget-Übersicht'!$I:$I,IF($B$2="CAD",'Projekt-Budget-Übersicht'!$J:$J,IF($B$2="ADM",'Projekt-Budget-Übersicht'!$K:$K,'Projekt-Budget-Übersicht'!$I:$I))),MATCH(4908,'Projekt-Budget-Übersicht'!$M:$M,0)),0))</f>
        <v>0</v>
      </c>
      <c r="M113" s="10">
        <f t="shared" si="9"/>
        <v>0</v>
      </c>
      <c r="N113" s="10">
        <f t="shared" si="10"/>
        <v>0</v>
      </c>
      <c r="O113" s="10">
        <f t="shared" si="11"/>
        <v>0</v>
      </c>
      <c r="P113" s="10">
        <f>'D. Brucker'!M37+'S. Schüler'!M113</f>
        <v>0</v>
      </c>
      <c r="Q113" s="10">
        <v>40</v>
      </c>
      <c r="R113" s="10">
        <f>IFERROR(INDEX('Projekt-Budget-Übersicht'!$F:$F,MATCH(4908,'Projekt-Budget-Übersicht'!$L:$L,0)),0)</f>
        <v>0</v>
      </c>
      <c r="S113" s="10">
        <v>697.5</v>
      </c>
      <c r="T113" s="4"/>
      <c r="U113" s="4"/>
    </row>
    <row r="114" spans="1:21" x14ac:dyDescent="0.25">
      <c r="A114" s="4" t="s">
        <v>5037</v>
      </c>
      <c r="B114" s="4" t="s">
        <v>5459</v>
      </c>
      <c r="C114" s="4" t="str">
        <f>IFERROR(INDEX('Projekt-Budget-Übersicht'!$C:$C,MATCH(5018,'Projekt-Budget-Übersicht'!$L:$L,0)),"")</f>
        <v/>
      </c>
      <c r="D114" s="4">
        <v>47</v>
      </c>
      <c r="E114" s="4">
        <v>24.5</v>
      </c>
      <c r="F114" s="4">
        <v>0.25</v>
      </c>
      <c r="G114" s="16">
        <v>52.13</v>
      </c>
      <c r="H114" s="5"/>
      <c r="I114" s="5">
        <f t="shared" si="8"/>
        <v>0</v>
      </c>
      <c r="J114" s="4"/>
      <c r="K114" s="5">
        <v>0</v>
      </c>
      <c r="L114" s="10">
        <f>IF($B$2="-",0,IFERROR(INDEX(IF($B$2="SV",'Projekt-Budget-Übersicht'!$I:$I,IF($B$2="CAD",'Projekt-Budget-Übersicht'!$J:$J,IF($B$2="ADM",'Projekt-Budget-Übersicht'!$K:$K,'Projekt-Budget-Übersicht'!$I:$I))),MATCH(5018,'Projekt-Budget-Übersicht'!$M:$M,0)),0))</f>
        <v>126.1904761904762</v>
      </c>
      <c r="M114" s="10">
        <f t="shared" si="9"/>
        <v>31.547619047619051</v>
      </c>
      <c r="N114" s="10">
        <f t="shared" si="10"/>
        <v>31.547619047619051</v>
      </c>
      <c r="O114" s="10">
        <f t="shared" si="11"/>
        <v>0</v>
      </c>
      <c r="P114" s="10">
        <f>'S. Schüler'!M114</f>
        <v>31.547619047619051</v>
      </c>
      <c r="Q114" s="10">
        <v>105</v>
      </c>
      <c r="R114" s="10">
        <f>IFERROR(INDEX('Projekt-Budget-Übersicht'!$F:$F,MATCH(5018,'Projekt-Budget-Übersicht'!$L:$L,0)),0)</f>
        <v>0</v>
      </c>
      <c r="S114" s="10">
        <v>2205</v>
      </c>
      <c r="T114" s="4"/>
      <c r="U114" s="4"/>
    </row>
    <row r="115" spans="1:21" x14ac:dyDescent="0.25">
      <c r="A115" s="4" t="s">
        <v>5182</v>
      </c>
      <c r="B115" s="4" t="s">
        <v>5511</v>
      </c>
      <c r="C115" s="4" t="str">
        <f>IFERROR(INDEX('Projekt-Budget-Übersicht'!$C:$C,MATCH(5137,'Projekt-Budget-Übersicht'!$L:$L,0)),"")</f>
        <v/>
      </c>
      <c r="D115" s="4">
        <v>6</v>
      </c>
      <c r="E115" s="4">
        <v>2.75</v>
      </c>
      <c r="F115" s="4">
        <v>1.5</v>
      </c>
      <c r="G115" s="16">
        <v>45.83</v>
      </c>
      <c r="H115" s="5"/>
      <c r="I115" s="5">
        <f t="shared" si="8"/>
        <v>0</v>
      </c>
      <c r="J115" s="4"/>
      <c r="K115" s="5">
        <v>0</v>
      </c>
      <c r="L115" s="10">
        <f>IF($B$2="-",0,IFERROR(INDEX(IF($B$2="SV",'Projekt-Budget-Übersicht'!$I:$I,IF($B$2="CAD",'Projekt-Budget-Übersicht'!$J:$J,IF($B$2="ADM",'Projekt-Budget-Übersicht'!$K:$K,'Projekt-Budget-Übersicht'!$I:$I))),MATCH(5137,'Projekt-Budget-Übersicht'!$M:$M,0)),0))</f>
        <v>0</v>
      </c>
      <c r="M115" s="10">
        <f t="shared" si="9"/>
        <v>0</v>
      </c>
      <c r="N115" s="10">
        <f t="shared" si="10"/>
        <v>0</v>
      </c>
      <c r="O115" s="10">
        <f t="shared" si="11"/>
        <v>0</v>
      </c>
      <c r="P115" s="10">
        <f>'S. Schüler'!M115</f>
        <v>0</v>
      </c>
      <c r="Q115" s="10">
        <v>6</v>
      </c>
      <c r="R115" s="10">
        <f>IFERROR(INDEX('Projekt-Budget-Übersicht'!$F:$F,MATCH(5137,'Projekt-Budget-Übersicht'!$L:$L,0)),0)</f>
        <v>0</v>
      </c>
      <c r="S115" s="10">
        <v>152.5</v>
      </c>
      <c r="T115" s="4"/>
      <c r="U115" s="4"/>
    </row>
    <row r="116" spans="1:21" x14ac:dyDescent="0.25">
      <c r="A116" s="21" t="s">
        <v>5232</v>
      </c>
      <c r="B116" s="4" t="s">
        <v>5683</v>
      </c>
      <c r="C116" s="4" t="s">
        <v>50</v>
      </c>
      <c r="D116" s="4">
        <v>0</v>
      </c>
      <c r="E116" s="4">
        <v>0</v>
      </c>
      <c r="F116" s="4">
        <v>0.5</v>
      </c>
      <c r="G116" s="4">
        <v>0</v>
      </c>
      <c r="H116" s="5"/>
      <c r="I116" s="5">
        <f t="shared" si="8"/>
        <v>0</v>
      </c>
      <c r="J116" s="4"/>
      <c r="K116" s="5">
        <v>0</v>
      </c>
      <c r="L116" s="10">
        <f>IF($B$2="-",0,0)</f>
        <v>0</v>
      </c>
      <c r="M116" s="10">
        <f t="shared" si="9"/>
        <v>0</v>
      </c>
      <c r="N116" s="10">
        <f t="shared" si="10"/>
        <v>0</v>
      </c>
      <c r="O116" s="10">
        <f t="shared" si="11"/>
        <v>0</v>
      </c>
      <c r="P116" s="10">
        <f>'S. Schüler'!M116</f>
        <v>0</v>
      </c>
      <c r="Q116" s="10"/>
      <c r="R116" s="10">
        <f>0</f>
        <v>0</v>
      </c>
      <c r="S116" s="10"/>
      <c r="T116" s="4"/>
      <c r="U116" s="4"/>
    </row>
    <row r="117" spans="1:21" x14ac:dyDescent="0.25">
      <c r="A117" s="22"/>
      <c r="B117" s="4" t="s">
        <v>5684</v>
      </c>
      <c r="C117" s="4" t="s">
        <v>50</v>
      </c>
      <c r="D117" s="4">
        <v>0</v>
      </c>
      <c r="E117" s="4">
        <v>0</v>
      </c>
      <c r="F117" s="4">
        <v>6.25</v>
      </c>
      <c r="G117" s="4">
        <v>0</v>
      </c>
      <c r="H117" s="5"/>
      <c r="I117" s="5">
        <f t="shared" si="8"/>
        <v>0</v>
      </c>
      <c r="J117" s="4"/>
      <c r="K117" s="5">
        <v>0</v>
      </c>
      <c r="L117" s="10">
        <f>IF($B$2="-",0,0)</f>
        <v>0</v>
      </c>
      <c r="M117" s="10">
        <f t="shared" si="9"/>
        <v>0</v>
      </c>
      <c r="N117" s="10">
        <f t="shared" si="10"/>
        <v>0</v>
      </c>
      <c r="O117" s="10">
        <f t="shared" si="11"/>
        <v>0</v>
      </c>
      <c r="P117" s="10">
        <f>'S. Schüler'!M117</f>
        <v>0</v>
      </c>
      <c r="Q117" s="10"/>
      <c r="R117" s="10">
        <f>0</f>
        <v>0</v>
      </c>
      <c r="S117" s="10"/>
      <c r="T117" s="4"/>
      <c r="U117" s="4"/>
    </row>
    <row r="118" spans="1:21" x14ac:dyDescent="0.25">
      <c r="A118" s="3"/>
      <c r="B118" s="3" t="s">
        <v>5492</v>
      </c>
      <c r="C118" s="3"/>
      <c r="D118" s="3"/>
      <c r="E118" s="3"/>
      <c r="F118" s="6">
        <v>120.75</v>
      </c>
      <c r="G118" s="3"/>
      <c r="H118" s="3"/>
      <c r="I118" s="3"/>
      <c r="J118" s="3"/>
      <c r="K118" s="3"/>
      <c r="L118" s="3"/>
      <c r="M118" s="17">
        <f>SUM(M93:M117)</f>
        <v>3552.8096885353925</v>
      </c>
      <c r="N118" s="17">
        <f>SUM(N93:N117)</f>
        <v>3552.8096885353925</v>
      </c>
      <c r="O118" s="17">
        <f>SUM(O93:O117)</f>
        <v>0</v>
      </c>
      <c r="P118" s="17">
        <f>SUM(P93:P117)</f>
        <v>12517.854331392535</v>
      </c>
      <c r="Q118" s="3"/>
      <c r="R118" s="3"/>
      <c r="S118" s="3"/>
      <c r="T118" s="3"/>
      <c r="U118" s="3"/>
    </row>
    <row r="119" spans="1:21" x14ac:dyDescent="0.25">
      <c r="A119" s="3"/>
      <c r="B119" s="3" t="s">
        <v>4</v>
      </c>
      <c r="C119" s="3"/>
      <c r="D119" s="3"/>
      <c r="E119" s="3"/>
      <c r="F119" s="6">
        <f>G119+H119</f>
        <v>66.25</v>
      </c>
      <c r="G119" s="6">
        <v>66.25</v>
      </c>
      <c r="H119" s="6">
        <f>SUM(H94,H95,H96,H97,H98,H99,H100,H101,H102,H103,H104,H105,H106,H107,H108,H109,H110,H111,H112,H113,H114,H115,H116,H117)</f>
        <v>0</v>
      </c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1:21" x14ac:dyDescent="0.25">
      <c r="A120" s="3"/>
      <c r="B120" s="3" t="s">
        <v>5</v>
      </c>
      <c r="C120" s="3"/>
      <c r="D120" s="3"/>
      <c r="E120" s="3"/>
      <c r="F120" s="6">
        <f>G120+H120</f>
        <v>0.5</v>
      </c>
      <c r="G120" s="6">
        <v>0.5</v>
      </c>
      <c r="H120" s="6">
        <f>SUM(H93)</f>
        <v>0</v>
      </c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1:21" x14ac:dyDescent="0.25">
      <c r="A121" s="3"/>
      <c r="B121" s="3" t="s">
        <v>5493</v>
      </c>
      <c r="C121" s="3"/>
      <c r="D121" s="3"/>
      <c r="E121" s="3"/>
      <c r="F121" s="6">
        <f>SUM(K93:K117)</f>
        <v>0</v>
      </c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1:21" x14ac:dyDescent="0.25">
      <c r="A122" s="18"/>
      <c r="B122" s="18" t="s">
        <v>5494</v>
      </c>
      <c r="C122" s="18"/>
      <c r="D122" s="18"/>
      <c r="E122" s="18"/>
      <c r="F122" s="19">
        <f>F119+F120+F121</f>
        <v>66.75</v>
      </c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</row>
    <row r="124" spans="1:21" ht="15.75" x14ac:dyDescent="0.25">
      <c r="A124" s="2" t="s">
        <v>5524</v>
      </c>
    </row>
    <row r="125" spans="1:21" x14ac:dyDescent="0.25">
      <c r="A125" s="3" t="s">
        <v>2</v>
      </c>
      <c r="B125" s="3" t="s">
        <v>5525</v>
      </c>
      <c r="C125" s="3" t="s">
        <v>5526</v>
      </c>
      <c r="D125" s="3" t="s">
        <v>4</v>
      </c>
      <c r="E125" s="3" t="s">
        <v>5</v>
      </c>
      <c r="F125" s="3" t="s">
        <v>5527</v>
      </c>
      <c r="G125" s="3" t="s">
        <v>5528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1:21" x14ac:dyDescent="0.25">
      <c r="A126" s="4" t="s">
        <v>6</v>
      </c>
      <c r="B126" s="4" t="s">
        <v>30</v>
      </c>
      <c r="C126" s="4">
        <f>F45</f>
        <v>127.5</v>
      </c>
      <c r="D126" s="4">
        <f>F46</f>
        <v>60.75</v>
      </c>
      <c r="E126" s="4">
        <f>F47</f>
        <v>7.5</v>
      </c>
      <c r="F126" s="4">
        <f>F48</f>
        <v>0</v>
      </c>
      <c r="G126" s="4">
        <f>F49</f>
        <v>68.25</v>
      </c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</row>
    <row r="127" spans="1:21" x14ac:dyDescent="0.25">
      <c r="A127" s="4" t="s">
        <v>7</v>
      </c>
      <c r="B127" s="4" t="s">
        <v>30</v>
      </c>
      <c r="C127" s="4">
        <f>F85</f>
        <v>125</v>
      </c>
      <c r="D127" s="4">
        <f>F86</f>
        <v>86.5</v>
      </c>
      <c r="E127" s="4">
        <f>F87</f>
        <v>0</v>
      </c>
      <c r="F127" s="4">
        <f>F88</f>
        <v>0</v>
      </c>
      <c r="G127" s="4">
        <f>F89</f>
        <v>86.5</v>
      </c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</row>
    <row r="128" spans="1:21" x14ac:dyDescent="0.25">
      <c r="A128" s="4" t="s">
        <v>8</v>
      </c>
      <c r="B128" s="4" t="s">
        <v>30</v>
      </c>
      <c r="C128" s="4">
        <f>F118</f>
        <v>120.75</v>
      </c>
      <c r="D128" s="4">
        <f>F119</f>
        <v>66.25</v>
      </c>
      <c r="E128" s="4">
        <f>F120</f>
        <v>0.5</v>
      </c>
      <c r="F128" s="4">
        <f>F121</f>
        <v>0</v>
      </c>
      <c r="G128" s="4">
        <f>F122</f>
        <v>66.75</v>
      </c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</row>
    <row r="131" spans="1:21" ht="18.75" x14ac:dyDescent="0.3">
      <c r="A131" s="1" t="s">
        <v>5529</v>
      </c>
    </row>
    <row r="132" spans="1:21" x14ac:dyDescent="0.25">
      <c r="A132" s="3" t="s">
        <v>35</v>
      </c>
      <c r="B132" s="3" t="s">
        <v>5461</v>
      </c>
      <c r="C132" s="3" t="s">
        <v>37</v>
      </c>
      <c r="D132" s="3" t="s">
        <v>5462</v>
      </c>
      <c r="E132" s="3" t="s">
        <v>5463</v>
      </c>
      <c r="F132" s="3" t="s">
        <v>5530</v>
      </c>
      <c r="G132" s="3" t="s">
        <v>5465</v>
      </c>
      <c r="H132" s="3" t="s">
        <v>5466</v>
      </c>
      <c r="I132" s="3" t="s">
        <v>5467</v>
      </c>
      <c r="J132" s="3" t="s">
        <v>5468</v>
      </c>
      <c r="K132" s="3" t="s">
        <v>5469</v>
      </c>
      <c r="L132" s="3" t="s">
        <v>5470</v>
      </c>
      <c r="M132" s="3" t="s">
        <v>5471</v>
      </c>
      <c r="N132" s="3" t="s">
        <v>5472</v>
      </c>
      <c r="O132" s="3" t="s">
        <v>5473</v>
      </c>
      <c r="P132" s="3" t="s">
        <v>5474</v>
      </c>
      <c r="Q132" s="3" t="s">
        <v>5476</v>
      </c>
      <c r="R132" s="3" t="s">
        <v>5477</v>
      </c>
      <c r="S132" s="3"/>
      <c r="T132" s="3"/>
      <c r="U132" s="3"/>
    </row>
    <row r="133" spans="1:21" x14ac:dyDescent="0.25">
      <c r="A133" s="4" t="s">
        <v>61</v>
      </c>
      <c r="B133" s="4" t="s">
        <v>5480</v>
      </c>
      <c r="C133" s="4" t="str">
        <f>IFERROR(INDEX('Projekt-Budget-Übersicht'!$C:$C,MATCH(10,'Projekt-Budget-Übersicht'!$L:$L,0)),"")</f>
        <v/>
      </c>
      <c r="D133" s="4">
        <v>24</v>
      </c>
      <c r="E133" s="4">
        <v>8</v>
      </c>
      <c r="F133" s="5">
        <f>SUM(F6,F93,I6,I93,K6,K93)</f>
        <v>8</v>
      </c>
      <c r="G133" s="16">
        <v>33.33</v>
      </c>
      <c r="H133" s="5">
        <f>SUM(H6,H93)</f>
        <v>0</v>
      </c>
      <c r="I133" s="5">
        <f t="shared" ref="I133:I164" si="12">IF(H133=0,0,F133-H133)</f>
        <v>0</v>
      </c>
      <c r="J133" s="4" t="s">
        <v>5531</v>
      </c>
      <c r="K133" s="5">
        <f>SUM(K6,K93)</f>
        <v>0</v>
      </c>
      <c r="L133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33" s="10">
        <f t="shared" ref="M133:M164" si="13">IF($B$2="-",0,IF(C133="Pauschale",IF(OR(Q133=0,N(D133)=0),0,MAX(0,MIN(Q133*((N(F133)+N(K133))/N(D133)),Q133-Q133*(N(E133)/N(D133))))),L133*(N(F133)+N(K133))))</f>
        <v>0</v>
      </c>
      <c r="N133" s="10">
        <f t="shared" ref="N133:N164" si="14">IF($B$2="-",0,IF(C133="Pauschale",IF(OR(Q133=0,N(D133)=0),0,Q133*((N(F133)+N(K133))/N(D133))),L133*(N(F133)+N(K133))))</f>
        <v>0</v>
      </c>
      <c r="O133" s="10">
        <f t="shared" ref="O133:O164" si="15">N133-M133</f>
        <v>0</v>
      </c>
      <c r="P133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133" s="10">
        <f>IFERROR(INDEX('Projekt-Budget-Übersicht'!$E:$E,MATCH(10,'Projekt-Budget-Übersicht'!$L:$L,0)),0)</f>
        <v>0</v>
      </c>
      <c r="R133" s="10">
        <v>68628.19</v>
      </c>
      <c r="S133" s="4"/>
      <c r="T133" s="4"/>
      <c r="U133" s="4"/>
    </row>
    <row r="134" spans="1:21" x14ac:dyDescent="0.25">
      <c r="A134" s="4" t="s">
        <v>105</v>
      </c>
      <c r="B134" s="4" t="s">
        <v>5536</v>
      </c>
      <c r="C134" s="4" t="str">
        <f>IFERROR(INDEX('Projekt-Budget-Übersicht'!$C:$C,MATCH(36,'Projekt-Budget-Übersicht'!$L:$L,0)),"")</f>
        <v/>
      </c>
      <c r="D134" s="4">
        <v>42</v>
      </c>
      <c r="E134" s="4">
        <v>20</v>
      </c>
      <c r="F134" s="5">
        <f>SUM(F7,I7,K7)</f>
        <v>0.5</v>
      </c>
      <c r="G134" s="16">
        <v>47.62</v>
      </c>
      <c r="H134" s="5">
        <f>SUM(H7)</f>
        <v>0</v>
      </c>
      <c r="I134" s="5">
        <f t="shared" si="12"/>
        <v>0</v>
      </c>
      <c r="J134" s="4" t="s">
        <v>5531</v>
      </c>
      <c r="K134" s="5">
        <f>SUM(K7)</f>
        <v>0</v>
      </c>
      <c r="L134" s="10">
        <f>IF($B$2="-",0,IFERROR(INDEX(IF($B$2="SV",'Projekt-Budget-Übersicht'!$H:$H,IF($B$2="CAD",'Projekt-Budget-Übersicht'!$I:$I,IF($B$2="ADM",'Projekt-Budget-Übersicht'!$J:$J,'Projekt-Budget-Übersicht'!$H:$H))),MATCH(36,'Projekt-Budget-Übersicht'!$L:$L,0)),0))</f>
        <v>0</v>
      </c>
      <c r="M134" s="10">
        <f t="shared" si="13"/>
        <v>0</v>
      </c>
      <c r="N134" s="10">
        <f t="shared" si="14"/>
        <v>0</v>
      </c>
      <c r="O134" s="10">
        <f t="shared" si="15"/>
        <v>0</v>
      </c>
      <c r="P134" s="10">
        <f>'J. Dorchies'!M40+'S. Schüler'!M134</f>
        <v>0</v>
      </c>
      <c r="Q134" s="10">
        <f>IFERROR(INDEX('Projekt-Budget-Übersicht'!$E:$E,MATCH(36,'Projekt-Budget-Übersicht'!$L:$L,0)),0)</f>
        <v>0</v>
      </c>
      <c r="R134" s="10"/>
      <c r="S134" s="4"/>
      <c r="T134" s="4"/>
      <c r="U134" s="4"/>
    </row>
    <row r="135" spans="1:21" x14ac:dyDescent="0.25">
      <c r="A135" s="21" t="s">
        <v>865</v>
      </c>
      <c r="B135" s="4" t="s">
        <v>5665</v>
      </c>
      <c r="C135" s="4" t="str">
        <f>IFERROR(INDEX('Projekt-Budget-Übersicht'!$C:$C,MATCH(887,'Projekt-Budget-Übersicht'!$L:$L,0)),"")</f>
        <v/>
      </c>
      <c r="D135" s="4">
        <v>2</v>
      </c>
      <c r="E135" s="4">
        <v>1</v>
      </c>
      <c r="F135" s="5">
        <f>SUM(F8,I8,K8)</f>
        <v>1</v>
      </c>
      <c r="G135" s="16">
        <v>50</v>
      </c>
      <c r="H135" s="5">
        <f>SUM(H8)</f>
        <v>0</v>
      </c>
      <c r="I135" s="5">
        <f t="shared" si="12"/>
        <v>0</v>
      </c>
      <c r="J135" s="4" t="s">
        <v>5531</v>
      </c>
      <c r="K135" s="5">
        <f>SUM(K8)</f>
        <v>0</v>
      </c>
      <c r="L135" s="10">
        <f>IF($B$2="-",0,IFERROR(INDEX(IF($B$2="SV",'Projekt-Budget-Übersicht'!$H:$H,IF($B$2="CAD",'Projekt-Budget-Übersicht'!$I:$I,IF($B$2="ADM",'Projekt-Budget-Übersicht'!$J:$J,'Projekt-Budget-Übersicht'!$H:$H))),MATCH(887,'Projekt-Budget-Übersicht'!$L:$L,0)),0))</f>
        <v>0</v>
      </c>
      <c r="M135" s="10">
        <f t="shared" si="13"/>
        <v>0</v>
      </c>
      <c r="N135" s="10">
        <f t="shared" si="14"/>
        <v>0</v>
      </c>
      <c r="O135" s="10">
        <f t="shared" si="15"/>
        <v>0</v>
      </c>
      <c r="P135" s="10">
        <f>'S. Schüler'!M135</f>
        <v>0</v>
      </c>
      <c r="Q135" s="10">
        <f>IFERROR(INDEX('Projekt-Budget-Übersicht'!$E:$E,MATCH(887,'Projekt-Budget-Übersicht'!$L:$L,0)),0)</f>
        <v>0</v>
      </c>
      <c r="R135" s="10">
        <v>856.48</v>
      </c>
      <c r="S135" s="4"/>
      <c r="T135" s="4"/>
      <c r="U135" s="4"/>
    </row>
    <row r="136" spans="1:21" x14ac:dyDescent="0.25">
      <c r="A136" s="23"/>
      <c r="B136" s="4" t="s">
        <v>5574</v>
      </c>
      <c r="C136" s="4" t="str">
        <f>IFERROR(INDEX('Projekt-Budget-Übersicht'!$C:$C,MATCH(888,'Projekt-Budget-Übersicht'!$L:$L,0)),"")</f>
        <v/>
      </c>
      <c r="D136" s="4">
        <v>31.5</v>
      </c>
      <c r="E136" s="4">
        <v>100.5</v>
      </c>
      <c r="F136" s="5">
        <f>SUM(F9,I9,K9)</f>
        <v>5.75</v>
      </c>
      <c r="G136" s="15">
        <v>319.05</v>
      </c>
      <c r="H136" s="5">
        <f>SUM(H9)</f>
        <v>0</v>
      </c>
      <c r="I136" s="5">
        <f t="shared" si="12"/>
        <v>0</v>
      </c>
      <c r="J136" s="4" t="s">
        <v>5531</v>
      </c>
      <c r="K136" s="5">
        <f>SUM(K9)</f>
        <v>0</v>
      </c>
      <c r="L136" s="10">
        <f>IF($B$2="-",0,IFERROR(INDEX(IF($B$2="SV",'Projekt-Budget-Übersicht'!$H:$H,IF($B$2="CAD",'Projekt-Budget-Übersicht'!$I:$I,IF($B$2="ADM",'Projekt-Budget-Übersicht'!$J:$J,'Projekt-Budget-Übersicht'!$H:$H))),MATCH(888,'Projekt-Budget-Übersicht'!$L:$L,0)),0))</f>
        <v>0</v>
      </c>
      <c r="M136" s="10">
        <f t="shared" si="13"/>
        <v>0</v>
      </c>
      <c r="N136" s="10">
        <f t="shared" si="14"/>
        <v>0</v>
      </c>
      <c r="O136" s="10">
        <f t="shared" si="15"/>
        <v>0</v>
      </c>
      <c r="P136" s="10">
        <f>'E. Iago Barros de Oliveira'!M21+'S. Schüler'!M136</f>
        <v>0</v>
      </c>
      <c r="Q136" s="10">
        <f>IFERROR(INDEX('Projekt-Budget-Übersicht'!$E:$E,MATCH(888,'Projekt-Budget-Übersicht'!$L:$L,0)),0)</f>
        <v>0</v>
      </c>
      <c r="R136" s="10">
        <v>3215.31</v>
      </c>
      <c r="S136" s="4"/>
      <c r="T136" s="4"/>
      <c r="U136" s="4"/>
    </row>
    <row r="137" spans="1:21" x14ac:dyDescent="0.25">
      <c r="A137" s="23"/>
      <c r="B137" s="4" t="s">
        <v>5666</v>
      </c>
      <c r="C137" s="4" t="str">
        <f>IFERROR(INDEX('Projekt-Budget-Übersicht'!$C:$C,MATCH(888,'Projekt-Budget-Übersicht'!$L:$L,0)),"")</f>
        <v/>
      </c>
      <c r="D137" s="4">
        <v>21</v>
      </c>
      <c r="E137" s="4">
        <v>18</v>
      </c>
      <c r="F137" s="5">
        <f>SUM(F10,I10,K10)</f>
        <v>3</v>
      </c>
      <c r="G137" s="16">
        <v>85.71</v>
      </c>
      <c r="H137" s="5">
        <f>SUM(H10)</f>
        <v>0</v>
      </c>
      <c r="I137" s="5">
        <f t="shared" si="12"/>
        <v>0</v>
      </c>
      <c r="J137" s="4" t="s">
        <v>5531</v>
      </c>
      <c r="K137" s="5">
        <f>SUM(K10)</f>
        <v>0</v>
      </c>
      <c r="L137" s="10">
        <f>IF($B$2="-",0,IFERROR(INDEX(IF($B$2="SV",'Projekt-Budget-Übersicht'!$H:$H,IF($B$2="CAD",'Projekt-Budget-Übersicht'!$I:$I,IF($B$2="ADM",'Projekt-Budget-Übersicht'!$J:$J,'Projekt-Budget-Übersicht'!$H:$H))),MATCH(888,'Projekt-Budget-Übersicht'!$L:$L,0)),0))</f>
        <v>0</v>
      </c>
      <c r="M137" s="10">
        <f t="shared" si="13"/>
        <v>0</v>
      </c>
      <c r="N137" s="10">
        <f t="shared" si="14"/>
        <v>0</v>
      </c>
      <c r="O137" s="10">
        <f t="shared" si="15"/>
        <v>0</v>
      </c>
      <c r="P137" s="10">
        <f>'S. Schüler'!M137</f>
        <v>0</v>
      </c>
      <c r="Q137" s="10">
        <f>IFERROR(INDEX('Projekt-Budget-Übersicht'!$E:$E,MATCH(888,'Projekt-Budget-Übersicht'!$L:$L,0)),0)</f>
        <v>0</v>
      </c>
      <c r="R137" s="10">
        <v>3215.31</v>
      </c>
      <c r="S137" s="4"/>
      <c r="T137" s="4"/>
      <c r="U137" s="4"/>
    </row>
    <row r="138" spans="1:21" x14ac:dyDescent="0.25">
      <c r="A138" s="23"/>
      <c r="B138" s="4" t="s">
        <v>5643</v>
      </c>
      <c r="C138" s="4" t="str">
        <f>IFERROR(INDEX('Projekt-Budget-Übersicht'!$C:$C,MATCH(890,'Projekt-Budget-Übersicht'!$L:$L,0)),"")</f>
        <v/>
      </c>
      <c r="D138" s="4">
        <v>23</v>
      </c>
      <c r="E138" s="4">
        <v>104.5</v>
      </c>
      <c r="F138" s="5">
        <f>SUM(F11,F53,I11,I53,K11,K53)</f>
        <v>6.75</v>
      </c>
      <c r="G138" s="15">
        <v>454.35</v>
      </c>
      <c r="H138" s="5">
        <f>SUM(H11,H53)</f>
        <v>0</v>
      </c>
      <c r="I138" s="5">
        <f t="shared" si="12"/>
        <v>0</v>
      </c>
      <c r="J138" s="4" t="s">
        <v>5531</v>
      </c>
      <c r="K138" s="5">
        <f>SUM(K11,K53)</f>
        <v>0</v>
      </c>
      <c r="L138" s="10">
        <f>IF($B$2="-",0,IFERROR(INDEX(IF($B$2="SV",'Projekt-Budget-Übersicht'!$H:$H,IF($B$2="CAD",'Projekt-Budget-Übersicht'!$I:$I,IF($B$2="ADM",'Projekt-Budget-Übersicht'!$J:$J,'Projekt-Budget-Übersicht'!$H:$H))),MATCH(890,'Projekt-Budget-Übersicht'!$L:$L,0)),0))</f>
        <v>0</v>
      </c>
      <c r="M138" s="10">
        <f t="shared" si="13"/>
        <v>0</v>
      </c>
      <c r="N138" s="10">
        <f t="shared" si="14"/>
        <v>0</v>
      </c>
      <c r="O138" s="10">
        <f t="shared" si="15"/>
        <v>0</v>
      </c>
      <c r="P138" s="10">
        <f>'S. Schüler'!M138</f>
        <v>0</v>
      </c>
      <c r="Q138" s="10">
        <f>IFERROR(INDEX('Projekt-Budget-Übersicht'!$E:$E,MATCH(890,'Projekt-Budget-Übersicht'!$L:$L,0)),0)</f>
        <v>0</v>
      </c>
      <c r="R138" s="10">
        <v>7717.86</v>
      </c>
      <c r="S138" s="4"/>
      <c r="T138" s="4"/>
      <c r="U138" s="4"/>
    </row>
    <row r="139" spans="1:21" x14ac:dyDescent="0.25">
      <c r="A139" s="23"/>
      <c r="B139" s="4" t="s">
        <v>5502</v>
      </c>
      <c r="C139" s="4" t="str">
        <f>IFERROR(INDEX('Projekt-Budget-Übersicht'!$C:$C,MATCH(890,'Projekt-Budget-Übersicht'!$L:$L,0)),"")</f>
        <v/>
      </c>
      <c r="D139" s="4">
        <v>26.5</v>
      </c>
      <c r="E139" s="4">
        <v>34.25</v>
      </c>
      <c r="F139" s="5">
        <f>SUM(F12,I12,K12)</f>
        <v>4</v>
      </c>
      <c r="G139" s="15">
        <v>129.25</v>
      </c>
      <c r="H139" s="5">
        <f>SUM(H12)</f>
        <v>0</v>
      </c>
      <c r="I139" s="5">
        <f t="shared" si="12"/>
        <v>0</v>
      </c>
      <c r="J139" s="4" t="s">
        <v>5531</v>
      </c>
      <c r="K139" s="5">
        <f>SUM(K12)</f>
        <v>0</v>
      </c>
      <c r="L139" s="10">
        <f>IF($B$2="-",0,IFERROR(INDEX(IF($B$2="SV",'Projekt-Budget-Übersicht'!$H:$H,IF($B$2="CAD",'Projekt-Budget-Übersicht'!$I:$I,IF($B$2="ADM",'Projekt-Budget-Übersicht'!$J:$J,'Projekt-Budget-Übersicht'!$H:$H))),MATCH(890,'Projekt-Budget-Übersicht'!$L:$L,0)),0))</f>
        <v>0</v>
      </c>
      <c r="M139" s="10">
        <f t="shared" si="13"/>
        <v>0</v>
      </c>
      <c r="N139" s="10">
        <f t="shared" si="14"/>
        <v>0</v>
      </c>
      <c r="O139" s="10">
        <f t="shared" si="15"/>
        <v>0</v>
      </c>
      <c r="P139" s="10">
        <f>'O. Haag BS-CAD'!M151+'R. Wagen CAD'!M79+'S. Schüler'!M139</f>
        <v>0</v>
      </c>
      <c r="Q139" s="10">
        <f>IFERROR(INDEX('Projekt-Budget-Übersicht'!$E:$E,MATCH(890,'Projekt-Budget-Übersicht'!$L:$L,0)),0)</f>
        <v>0</v>
      </c>
      <c r="R139" s="10">
        <v>7717.86</v>
      </c>
      <c r="S139" s="4"/>
      <c r="T139" s="4"/>
      <c r="U139" s="4"/>
    </row>
    <row r="140" spans="1:21" x14ac:dyDescent="0.25">
      <c r="A140" s="23"/>
      <c r="B140" s="4" t="s">
        <v>5536</v>
      </c>
      <c r="C140" s="4" t="str">
        <f>IFERROR(INDEX('Projekt-Budget-Übersicht'!$C:$C,MATCH(892,'Projekt-Budget-Übersicht'!$L:$L,0)),"")</f>
        <v/>
      </c>
      <c r="D140" s="4">
        <v>52</v>
      </c>
      <c r="E140" s="4">
        <v>201.5</v>
      </c>
      <c r="F140" s="5">
        <f>SUM(F13,F54,F94,I13,I54,I94,K13,K54,K94)</f>
        <v>58</v>
      </c>
      <c r="G140" s="15">
        <v>387.5</v>
      </c>
      <c r="H140" s="5">
        <f>SUM(H13,H54,H94)</f>
        <v>0</v>
      </c>
      <c r="I140" s="5">
        <f t="shared" si="12"/>
        <v>0</v>
      </c>
      <c r="J140" s="4" t="s">
        <v>5531</v>
      </c>
      <c r="K140" s="5">
        <f>SUM(K13,K54,K94)</f>
        <v>0</v>
      </c>
      <c r="L140" s="10">
        <f>IF($B$2="-",0,IFERROR(INDEX(IF($B$2="SV",'Projekt-Budget-Übersicht'!$H:$H,IF($B$2="CAD",'Projekt-Budget-Übersicht'!$I:$I,IF($B$2="ADM",'Projekt-Budget-Übersicht'!$J:$J,'Projekt-Budget-Übersicht'!$H:$H))),MATCH(892,'Projekt-Budget-Übersicht'!$L:$L,0)),0))</f>
        <v>0</v>
      </c>
      <c r="M140" s="10">
        <f t="shared" si="13"/>
        <v>0</v>
      </c>
      <c r="N140" s="10">
        <f t="shared" si="14"/>
        <v>0</v>
      </c>
      <c r="O140" s="10">
        <f t="shared" si="15"/>
        <v>0</v>
      </c>
      <c r="P140" s="10">
        <f>'C. Trapp SV'!M90+'S. Schüler'!M140</f>
        <v>0</v>
      </c>
      <c r="Q140" s="10">
        <f>IFERROR(INDEX('Projekt-Budget-Übersicht'!$E:$E,MATCH(892,'Projekt-Budget-Übersicht'!$L:$L,0)),0)</f>
        <v>0</v>
      </c>
      <c r="R140" s="10">
        <v>12383.75</v>
      </c>
      <c r="S140" s="4"/>
      <c r="T140" s="4"/>
      <c r="U140" s="4"/>
    </row>
    <row r="141" spans="1:21" x14ac:dyDescent="0.25">
      <c r="A141" s="23"/>
      <c r="B141" s="4" t="s">
        <v>5537</v>
      </c>
      <c r="C141" s="4" t="str">
        <f>IFERROR(INDEX('Projekt-Budget-Übersicht'!$C:$C,MATCH(891,'Projekt-Budget-Übersicht'!$L:$L,0)),"")</f>
        <v/>
      </c>
      <c r="D141" s="4">
        <v>21</v>
      </c>
      <c r="E141" s="4">
        <v>32.25</v>
      </c>
      <c r="F141" s="5">
        <f>SUM(F55,F95,I55,I95,K55,K95)</f>
        <v>2</v>
      </c>
      <c r="G141" s="15">
        <v>153.57</v>
      </c>
      <c r="H141" s="5">
        <f>SUM(H55,H95)</f>
        <v>0</v>
      </c>
      <c r="I141" s="5">
        <f t="shared" si="12"/>
        <v>0</v>
      </c>
      <c r="J141" s="4" t="s">
        <v>5531</v>
      </c>
      <c r="K141" s="5">
        <f>SUM(K55,K95)</f>
        <v>0</v>
      </c>
      <c r="L141" s="10">
        <f>IF($B$2="-",0,IFERROR(INDEX(IF($B$2="SV",'Projekt-Budget-Übersicht'!$H:$H,IF($B$2="CAD",'Projekt-Budget-Übersicht'!$I:$I,IF($B$2="ADM",'Projekt-Budget-Übersicht'!$J:$J,'Projekt-Budget-Übersicht'!$H:$H))),MATCH(891,'Projekt-Budget-Übersicht'!$L:$L,0)),0))</f>
        <v>0</v>
      </c>
      <c r="M141" s="10">
        <f t="shared" si="13"/>
        <v>0</v>
      </c>
      <c r="N141" s="10">
        <f t="shared" si="14"/>
        <v>0</v>
      </c>
      <c r="O141" s="10">
        <f t="shared" si="15"/>
        <v>0</v>
      </c>
      <c r="P141" s="10">
        <f>'C. Trapp SV'!M91+'S. Schüler'!M141</f>
        <v>0</v>
      </c>
      <c r="Q141" s="10">
        <f>IFERROR(INDEX('Projekt-Budget-Übersicht'!$E:$E,MATCH(891,'Projekt-Budget-Übersicht'!$L:$L,0)),0)</f>
        <v>0</v>
      </c>
      <c r="R141" s="10">
        <v>180</v>
      </c>
      <c r="S141" s="4"/>
      <c r="T141" s="4"/>
      <c r="U141" s="4"/>
    </row>
    <row r="142" spans="1:21" x14ac:dyDescent="0.25">
      <c r="A142" s="23"/>
      <c r="B142" s="4" t="s">
        <v>5604</v>
      </c>
      <c r="C142" s="4" t="str">
        <f>IFERROR(INDEX('Projekt-Budget-Übersicht'!$C:$C,MATCH(892,'Projekt-Budget-Übersicht'!$L:$L,0)),"")</f>
        <v/>
      </c>
      <c r="D142" s="4">
        <v>6.5</v>
      </c>
      <c r="E142" s="4">
        <v>14.75</v>
      </c>
      <c r="F142" s="5">
        <f>SUM(F14,F56,I14,I56,K14,K56)</f>
        <v>4.75</v>
      </c>
      <c r="G142" s="15">
        <v>226.92</v>
      </c>
      <c r="H142" s="5">
        <f>SUM(H14,H56)</f>
        <v>0</v>
      </c>
      <c r="I142" s="5">
        <f t="shared" si="12"/>
        <v>0</v>
      </c>
      <c r="J142" s="4" t="s">
        <v>5531</v>
      </c>
      <c r="K142" s="5">
        <f>SUM(K14,K56)</f>
        <v>0</v>
      </c>
      <c r="L142" s="10">
        <f>IF($B$2="-",0,IFERROR(INDEX(IF($B$2="SV",'Projekt-Budget-Übersicht'!$H:$H,IF($B$2="CAD",'Projekt-Budget-Übersicht'!$I:$I,IF($B$2="ADM",'Projekt-Budget-Übersicht'!$J:$J,'Projekt-Budget-Übersicht'!$H:$H))),MATCH(892,'Projekt-Budget-Übersicht'!$L:$L,0)),0))</f>
        <v>0</v>
      </c>
      <c r="M142" s="10">
        <f t="shared" si="13"/>
        <v>0</v>
      </c>
      <c r="N142" s="10">
        <f t="shared" si="14"/>
        <v>0</v>
      </c>
      <c r="O142" s="10">
        <f t="shared" si="15"/>
        <v>0</v>
      </c>
      <c r="P142" s="10">
        <f>'S. Schüler'!M142+'U. Sutter ADM'!M80</f>
        <v>0</v>
      </c>
      <c r="Q142" s="10">
        <f>IFERROR(INDEX('Projekt-Budget-Übersicht'!$E:$E,MATCH(892,'Projekt-Budget-Übersicht'!$L:$L,0)),0)</f>
        <v>0</v>
      </c>
      <c r="R142" s="10">
        <v>12383.75</v>
      </c>
      <c r="S142" s="4"/>
      <c r="T142" s="4"/>
      <c r="U142" s="4"/>
    </row>
    <row r="143" spans="1:21" x14ac:dyDescent="0.25">
      <c r="A143" s="23"/>
      <c r="B143" s="4" t="s">
        <v>5605</v>
      </c>
      <c r="C143" s="4" t="str">
        <f>IFERROR(INDEX('Projekt-Budget-Übersicht'!$C:$C,MATCH(892,'Projekt-Budget-Übersicht'!$L:$L,0)),"")</f>
        <v/>
      </c>
      <c r="D143" s="4">
        <v>9.5</v>
      </c>
      <c r="E143" s="4">
        <v>5.5</v>
      </c>
      <c r="F143" s="5">
        <f>SUM(F57,F96,I57,I96,K57,K96)</f>
        <v>3.25</v>
      </c>
      <c r="G143" s="16">
        <v>57.89</v>
      </c>
      <c r="H143" s="5">
        <f>SUM(H57,H96)</f>
        <v>0</v>
      </c>
      <c r="I143" s="5">
        <f t="shared" si="12"/>
        <v>0</v>
      </c>
      <c r="J143" s="4" t="s">
        <v>5531</v>
      </c>
      <c r="K143" s="5">
        <f>SUM(K57,K96)</f>
        <v>0</v>
      </c>
      <c r="L143" s="10">
        <f>IF($B$2="-",0,IFERROR(INDEX(IF($B$2="SV",'Projekt-Budget-Übersicht'!$H:$H,IF($B$2="CAD",'Projekt-Budget-Übersicht'!$I:$I,IF($B$2="ADM",'Projekt-Budget-Übersicht'!$J:$J,'Projekt-Budget-Übersicht'!$H:$H))),MATCH(892,'Projekt-Budget-Übersicht'!$L:$L,0)),0))</f>
        <v>0</v>
      </c>
      <c r="M143" s="10">
        <f t="shared" si="13"/>
        <v>0</v>
      </c>
      <c r="N143" s="10">
        <f t="shared" si="14"/>
        <v>0</v>
      </c>
      <c r="O143" s="10">
        <f t="shared" si="15"/>
        <v>0</v>
      </c>
      <c r="P143" s="10">
        <f>'S. Schüler'!M143+'U. Sutter ADM'!M81</f>
        <v>0</v>
      </c>
      <c r="Q143" s="10">
        <f>IFERROR(INDEX('Projekt-Budget-Übersicht'!$E:$E,MATCH(892,'Projekt-Budget-Übersicht'!$L:$L,0)),0)</f>
        <v>0</v>
      </c>
      <c r="R143" s="10">
        <v>12383.75</v>
      </c>
      <c r="S143" s="4"/>
      <c r="T143" s="4"/>
      <c r="U143" s="4"/>
    </row>
    <row r="144" spans="1:21" x14ac:dyDescent="0.25">
      <c r="A144" s="23"/>
      <c r="B144" s="4" t="s">
        <v>5629</v>
      </c>
      <c r="C144" s="4" t="str">
        <f>IFERROR(INDEX('Projekt-Budget-Übersicht'!$C:$C,MATCH(892,'Projekt-Budget-Übersicht'!$L:$L,0)),"")</f>
        <v/>
      </c>
      <c r="D144" s="4">
        <v>8.5</v>
      </c>
      <c r="E144" s="4">
        <v>13.25</v>
      </c>
      <c r="F144" s="5">
        <f>SUM(F58,I58,K58)</f>
        <v>0.5</v>
      </c>
      <c r="G144" s="15">
        <v>155.88</v>
      </c>
      <c r="H144" s="5">
        <f>SUM(H58)</f>
        <v>0</v>
      </c>
      <c r="I144" s="5">
        <f t="shared" si="12"/>
        <v>0</v>
      </c>
      <c r="J144" s="4" t="s">
        <v>5531</v>
      </c>
      <c r="K144" s="5">
        <f>SUM(K58)</f>
        <v>0</v>
      </c>
      <c r="L144" s="10">
        <f>IF($B$2="-",0,IFERROR(INDEX(IF($B$2="SV",'Projekt-Budget-Übersicht'!$H:$H,IF($B$2="CAD",'Projekt-Budget-Übersicht'!$I:$I,IF($B$2="ADM",'Projekt-Budget-Übersicht'!$J:$J,'Projekt-Budget-Übersicht'!$H:$H))),MATCH(892,'Projekt-Budget-Übersicht'!$L:$L,0)),0))</f>
        <v>0</v>
      </c>
      <c r="M144" s="10">
        <f t="shared" si="13"/>
        <v>0</v>
      </c>
      <c r="N144" s="10">
        <f t="shared" si="14"/>
        <v>0</v>
      </c>
      <c r="O144" s="10">
        <f t="shared" si="15"/>
        <v>0</v>
      </c>
      <c r="P144" s="10">
        <f>'O. Haag BS-CAD'!M152+'S. Schüler'!M144</f>
        <v>0</v>
      </c>
      <c r="Q144" s="10">
        <f>IFERROR(INDEX('Projekt-Budget-Übersicht'!$E:$E,MATCH(892,'Projekt-Budget-Übersicht'!$L:$L,0)),0)</f>
        <v>0</v>
      </c>
      <c r="R144" s="10">
        <v>12383.75</v>
      </c>
      <c r="S144" s="4"/>
      <c r="T144" s="4"/>
      <c r="U144" s="4"/>
    </row>
    <row r="145" spans="1:21" x14ac:dyDescent="0.25">
      <c r="A145" s="23"/>
      <c r="B145" s="4" t="s">
        <v>5678</v>
      </c>
      <c r="C145" s="4" t="str">
        <f>IFERROR(INDEX('Projekt-Budget-Übersicht'!$C:$C,MATCH(893,'Projekt-Budget-Übersicht'!$L:$L,0)),"")</f>
        <v/>
      </c>
      <c r="D145" s="4">
        <v>34</v>
      </c>
      <c r="E145" s="4">
        <v>5.75</v>
      </c>
      <c r="F145" s="5">
        <f>SUM(F59,I59,K59)</f>
        <v>5.75</v>
      </c>
      <c r="G145" s="16">
        <v>16.91</v>
      </c>
      <c r="H145" s="5">
        <f>SUM(H59)</f>
        <v>0</v>
      </c>
      <c r="I145" s="5">
        <f t="shared" si="12"/>
        <v>0</v>
      </c>
      <c r="J145" s="4" t="s">
        <v>5531</v>
      </c>
      <c r="K145" s="5">
        <f>SUM(K59)</f>
        <v>0</v>
      </c>
      <c r="L145" s="10">
        <f>IF($B$2="-",0,IFERROR(INDEX(IF($B$2="SV",'Projekt-Budget-Übersicht'!$H:$H,IF($B$2="CAD",'Projekt-Budget-Übersicht'!$I:$I,IF($B$2="ADM",'Projekt-Budget-Übersicht'!$J:$J,'Projekt-Budget-Übersicht'!$H:$H))),MATCH(893,'Projekt-Budget-Übersicht'!$L:$L,0)),0))</f>
        <v>0</v>
      </c>
      <c r="M145" s="10">
        <f t="shared" si="13"/>
        <v>0</v>
      </c>
      <c r="N145" s="10">
        <f t="shared" si="14"/>
        <v>0</v>
      </c>
      <c r="O145" s="10">
        <f t="shared" si="15"/>
        <v>0</v>
      </c>
      <c r="P145" s="10">
        <f>'S. Schüler'!M145</f>
        <v>0</v>
      </c>
      <c r="Q145" s="10">
        <f>IFERROR(INDEX('Projekt-Budget-Übersicht'!$E:$E,MATCH(893,'Projekt-Budget-Übersicht'!$L:$L,0)),0)</f>
        <v>0</v>
      </c>
      <c r="R145" s="10">
        <v>988.75</v>
      </c>
      <c r="S145" s="4"/>
      <c r="T145" s="4"/>
      <c r="U145" s="4"/>
    </row>
    <row r="146" spans="1:21" x14ac:dyDescent="0.25">
      <c r="A146" s="22"/>
      <c r="B146" s="4" t="s">
        <v>5602</v>
      </c>
      <c r="C146" s="4" t="str">
        <f>IFERROR(INDEX('Projekt-Budget-Übersicht'!$C:$C,MATCH(893,'Projekt-Budget-Übersicht'!$L:$L,0)),"")</f>
        <v/>
      </c>
      <c r="D146" s="4">
        <v>28.5</v>
      </c>
      <c r="E146" s="4">
        <v>5.25</v>
      </c>
      <c r="F146" s="5">
        <f>SUM(F15,F60,I15,I60,K15,K60)</f>
        <v>5</v>
      </c>
      <c r="G146" s="16">
        <v>18.420000000000002</v>
      </c>
      <c r="H146" s="5">
        <f>SUM(H15,H60)</f>
        <v>0</v>
      </c>
      <c r="I146" s="5">
        <f t="shared" si="12"/>
        <v>0</v>
      </c>
      <c r="J146" s="4" t="s">
        <v>5531</v>
      </c>
      <c r="K146" s="5">
        <f>SUM(K15,K60)</f>
        <v>0</v>
      </c>
      <c r="L146" s="10">
        <f>IF($B$2="-",0,IFERROR(INDEX(IF($B$2="SV",'Projekt-Budget-Übersicht'!$H:$H,IF($B$2="CAD",'Projekt-Budget-Übersicht'!$I:$I,IF($B$2="ADM",'Projekt-Budget-Übersicht'!$J:$J,'Projekt-Budget-Übersicht'!$H:$H))),MATCH(893,'Projekt-Budget-Übersicht'!$L:$L,0)),0))</f>
        <v>0</v>
      </c>
      <c r="M146" s="10">
        <f t="shared" si="13"/>
        <v>0</v>
      </c>
      <c r="N146" s="10">
        <f t="shared" si="14"/>
        <v>0</v>
      </c>
      <c r="O146" s="10">
        <f t="shared" si="15"/>
        <v>0</v>
      </c>
      <c r="P146" s="10">
        <f>'O. Haag BS-CAD'!M153+'S. Schüler'!M146</f>
        <v>0</v>
      </c>
      <c r="Q146" s="10">
        <f>IFERROR(INDEX('Projekt-Budget-Übersicht'!$E:$E,MATCH(893,'Projekt-Budget-Übersicht'!$L:$L,0)),0)</f>
        <v>0</v>
      </c>
      <c r="R146" s="10">
        <v>988.75</v>
      </c>
      <c r="S146" s="4"/>
      <c r="T146" s="4"/>
      <c r="U146" s="4"/>
    </row>
    <row r="147" spans="1:21" x14ac:dyDescent="0.25">
      <c r="A147" s="4" t="s">
        <v>873</v>
      </c>
      <c r="B147" s="4" t="s">
        <v>5485</v>
      </c>
      <c r="C147" s="4" t="str">
        <f>IFERROR(INDEX('Projekt-Budget-Übersicht'!$C:$C,MATCH(895,'Projekt-Budget-Übersicht'!$L:$L,0)),"")</f>
        <v/>
      </c>
      <c r="D147" s="4">
        <v>57</v>
      </c>
      <c r="E147" s="4">
        <v>31.25</v>
      </c>
      <c r="F147" s="5">
        <f>SUM(F16,F61,I16,I61,K16,K61)</f>
        <v>3.25</v>
      </c>
      <c r="G147" s="16">
        <v>54.82</v>
      </c>
      <c r="H147" s="5">
        <f>SUM(H16,H61)</f>
        <v>0</v>
      </c>
      <c r="I147" s="5">
        <f t="shared" si="12"/>
        <v>0</v>
      </c>
      <c r="J147" s="4" t="s">
        <v>5531</v>
      </c>
      <c r="K147" s="5">
        <f>SUM(K16,K61)</f>
        <v>0</v>
      </c>
      <c r="L147" s="10">
        <f>IF($B$2="-",0,IFERROR(INDEX(IF($B$2="SV",'Projekt-Budget-Übersicht'!$H:$H,IF($B$2="CAD",'Projekt-Budget-Übersicht'!$I:$I,IF($B$2="ADM",'Projekt-Budget-Übersicht'!$J:$J,'Projekt-Budget-Übersicht'!$H:$H))),MATCH(895,'Projekt-Budget-Übersicht'!$L:$L,0)),0))</f>
        <v>0</v>
      </c>
      <c r="M147" s="10">
        <f t="shared" si="13"/>
        <v>0</v>
      </c>
      <c r="N147" s="10">
        <f t="shared" si="14"/>
        <v>0</v>
      </c>
      <c r="O147" s="10">
        <f t="shared" si="15"/>
        <v>0</v>
      </c>
      <c r="P147" s="10">
        <f>'S. Schüler'!M147</f>
        <v>0</v>
      </c>
      <c r="Q147" s="10">
        <f>IFERROR(INDEX('Projekt-Budget-Übersicht'!$E:$E,MATCH(895,'Projekt-Budget-Übersicht'!$L:$L,0)),0)</f>
        <v>0</v>
      </c>
      <c r="R147" s="10"/>
      <c r="S147" s="4"/>
      <c r="T147" s="4"/>
      <c r="U147" s="4"/>
    </row>
    <row r="148" spans="1:21" x14ac:dyDescent="0.25">
      <c r="A148" s="4" t="s">
        <v>879</v>
      </c>
      <c r="B148" s="4" t="s">
        <v>5498</v>
      </c>
      <c r="C148" s="4" t="str">
        <f>IFERROR(INDEX('Projekt-Budget-Übersicht'!$C:$C,MATCH(899,'Projekt-Budget-Übersicht'!$L:$L,0)),"")</f>
        <v/>
      </c>
      <c r="D148" s="4">
        <v>230</v>
      </c>
      <c r="E148" s="4">
        <v>140.25</v>
      </c>
      <c r="F148" s="5">
        <f>SUM(F17,F62,F97,I17,I62,I97,K17,K62,K97)</f>
        <v>5.5</v>
      </c>
      <c r="G148" s="16">
        <v>60.98</v>
      </c>
      <c r="H148" s="5">
        <f>SUM(H17,H62,H97)</f>
        <v>0</v>
      </c>
      <c r="I148" s="5">
        <f t="shared" si="12"/>
        <v>0</v>
      </c>
      <c r="J148" s="4" t="s">
        <v>5531</v>
      </c>
      <c r="K148" s="5">
        <f>SUM(K17,K62,K97)</f>
        <v>0</v>
      </c>
      <c r="L148" s="10">
        <f>IF($B$2="-",0,IFERROR(INDEX(IF($B$2="SV",'Projekt-Budget-Übersicht'!$H:$H,IF($B$2="CAD",'Projekt-Budget-Übersicht'!$I:$I,IF($B$2="ADM",'Projekt-Budget-Übersicht'!$J:$J,'Projekt-Budget-Übersicht'!$H:$H))),MATCH(899,'Projekt-Budget-Übersicht'!$L:$L,0)),0))</f>
        <v>0</v>
      </c>
      <c r="M148" s="10">
        <f t="shared" si="13"/>
        <v>0</v>
      </c>
      <c r="N148" s="10">
        <f t="shared" si="14"/>
        <v>0</v>
      </c>
      <c r="O148" s="10">
        <f t="shared" si="15"/>
        <v>0</v>
      </c>
      <c r="P148" s="10">
        <f>'A. Kokott'!M147+'M. Warner'!M46+'S. Schüler'!M148</f>
        <v>0</v>
      </c>
      <c r="Q148" s="10">
        <f>IFERROR(INDEX('Projekt-Budget-Übersicht'!$E:$E,MATCH(899,'Projekt-Budget-Übersicht'!$L:$L,0)),0)</f>
        <v>0</v>
      </c>
      <c r="R148" s="10"/>
      <c r="S148" s="4"/>
      <c r="T148" s="4"/>
      <c r="U148" s="4"/>
    </row>
    <row r="149" spans="1:21" x14ac:dyDescent="0.25">
      <c r="A149" s="21" t="s">
        <v>1490</v>
      </c>
      <c r="B149" s="4" t="s">
        <v>5667</v>
      </c>
      <c r="C149" s="4" t="str">
        <f>IFERROR(INDEX('Projekt-Budget-Übersicht'!$C:$C,MATCH(1680,'Projekt-Budget-Übersicht'!$L:$L,0)),"")</f>
        <v/>
      </c>
      <c r="D149" s="4">
        <v>14.75</v>
      </c>
      <c r="E149" s="4">
        <v>46.75</v>
      </c>
      <c r="F149" s="5">
        <f>SUM(F18,F63,I18,I63,K18,K63)</f>
        <v>11.25</v>
      </c>
      <c r="G149" s="15">
        <v>316.95</v>
      </c>
      <c r="H149" s="5">
        <f>SUM(H18,H63)</f>
        <v>0</v>
      </c>
      <c r="I149" s="5">
        <f t="shared" si="12"/>
        <v>0</v>
      </c>
      <c r="J149" s="4" t="s">
        <v>5531</v>
      </c>
      <c r="K149" s="5">
        <f>SUM(K18,K63)</f>
        <v>0</v>
      </c>
      <c r="L149" s="10">
        <f>IF($B$2="-",0,IFERROR(INDEX(IF($B$2="SV",'Projekt-Budget-Übersicht'!$H:$H,IF($B$2="CAD",'Projekt-Budget-Übersicht'!$I:$I,IF($B$2="ADM",'Projekt-Budget-Übersicht'!$J:$J,'Projekt-Budget-Übersicht'!$H:$H))),MATCH(1680,'Projekt-Budget-Übersicht'!$L:$L,0)),0))</f>
        <v>0</v>
      </c>
      <c r="M149" s="10">
        <f t="shared" si="13"/>
        <v>0</v>
      </c>
      <c r="N149" s="10">
        <f t="shared" si="14"/>
        <v>0</v>
      </c>
      <c r="O149" s="10">
        <f t="shared" si="15"/>
        <v>0</v>
      </c>
      <c r="P149" s="10">
        <f>'S. Schüler'!M149</f>
        <v>0</v>
      </c>
      <c r="Q149" s="10">
        <f>IFERROR(INDEX('Projekt-Budget-Übersicht'!$E:$E,MATCH(1680,'Projekt-Budget-Übersicht'!$L:$L,0)),0)</f>
        <v>0</v>
      </c>
      <c r="R149" s="10">
        <v>7561.84</v>
      </c>
      <c r="S149" s="4"/>
      <c r="T149" s="4"/>
      <c r="U149" s="4"/>
    </row>
    <row r="150" spans="1:21" x14ac:dyDescent="0.25">
      <c r="A150" s="23"/>
      <c r="B150" s="4" t="s">
        <v>5548</v>
      </c>
      <c r="C150" s="4" t="str">
        <f>IFERROR(INDEX('Projekt-Budget-Übersicht'!$C:$C,MATCH(1680,'Projekt-Budget-Übersicht'!$L:$L,0)),"")</f>
        <v/>
      </c>
      <c r="D150" s="4">
        <v>1.25</v>
      </c>
      <c r="E150" s="4">
        <v>3.5</v>
      </c>
      <c r="F150" s="5">
        <f>SUM(F19,I19,K19)</f>
        <v>0.25</v>
      </c>
      <c r="G150" s="15">
        <v>280</v>
      </c>
      <c r="H150" s="5">
        <f>SUM(H19)</f>
        <v>0</v>
      </c>
      <c r="I150" s="5">
        <f t="shared" si="12"/>
        <v>0</v>
      </c>
      <c r="J150" s="4" t="s">
        <v>5531</v>
      </c>
      <c r="K150" s="5">
        <f>SUM(K19)</f>
        <v>0</v>
      </c>
      <c r="L150" s="10">
        <f>IF($B$2="-",0,IFERROR(INDEX(IF($B$2="SV",'Projekt-Budget-Übersicht'!$H:$H,IF($B$2="CAD",'Projekt-Budget-Übersicht'!$I:$I,IF($B$2="ADM",'Projekt-Budget-Übersicht'!$J:$J,'Projekt-Budget-Übersicht'!$H:$H))),MATCH(1680,'Projekt-Budget-Übersicht'!$L:$L,0)),0))</f>
        <v>0</v>
      </c>
      <c r="M150" s="10">
        <f t="shared" si="13"/>
        <v>0</v>
      </c>
      <c r="N150" s="10">
        <f t="shared" si="14"/>
        <v>0</v>
      </c>
      <c r="O150" s="10">
        <f t="shared" si="15"/>
        <v>0</v>
      </c>
      <c r="P150" s="10">
        <f>'C. Trapp SV'!M102+'S. Schüler'!M150</f>
        <v>0</v>
      </c>
      <c r="Q150" s="10">
        <f>IFERROR(INDEX('Projekt-Budget-Übersicht'!$E:$E,MATCH(1680,'Projekt-Budget-Übersicht'!$L:$L,0)),0)</f>
        <v>0</v>
      </c>
      <c r="R150" s="10">
        <v>7561.84</v>
      </c>
      <c r="S150" s="4"/>
      <c r="T150" s="4"/>
      <c r="U150" s="4"/>
    </row>
    <row r="151" spans="1:21" x14ac:dyDescent="0.25">
      <c r="A151" s="23"/>
      <c r="B151" s="4" t="s">
        <v>5668</v>
      </c>
      <c r="C151" s="4" t="str">
        <f>IFERROR(INDEX('Projekt-Budget-Übersicht'!$C:$C,MATCH(1680,'Projekt-Budget-Übersicht'!$L:$L,0)),"")</f>
        <v/>
      </c>
      <c r="D151" s="4" t="s">
        <v>5531</v>
      </c>
      <c r="E151" s="4">
        <v>3.5</v>
      </c>
      <c r="F151" s="5">
        <f>SUM(F20,I20,K20)</f>
        <v>3.5</v>
      </c>
      <c r="G151" s="4" t="s">
        <v>5531</v>
      </c>
      <c r="H151" s="5">
        <f>SUM(H20)</f>
        <v>0</v>
      </c>
      <c r="I151" s="5">
        <f t="shared" si="12"/>
        <v>0</v>
      </c>
      <c r="J151" s="4" t="s">
        <v>5531</v>
      </c>
      <c r="K151" s="5">
        <f>SUM(K20)</f>
        <v>0</v>
      </c>
      <c r="L151" s="10">
        <f>IF($B$2="-",0,IFERROR(INDEX(IF($B$2="SV",'Projekt-Budget-Übersicht'!$H:$H,IF($B$2="CAD",'Projekt-Budget-Übersicht'!$I:$I,IF($B$2="ADM",'Projekt-Budget-Übersicht'!$J:$J,'Projekt-Budget-Übersicht'!$H:$H))),MATCH(1680,'Projekt-Budget-Übersicht'!$L:$L,0)),0))</f>
        <v>0</v>
      </c>
      <c r="M151" s="10">
        <f t="shared" si="13"/>
        <v>0</v>
      </c>
      <c r="N151" s="10">
        <f t="shared" si="14"/>
        <v>0</v>
      </c>
      <c r="O151" s="10">
        <f t="shared" si="15"/>
        <v>0</v>
      </c>
      <c r="P151" s="10">
        <f>'S. Schüler'!M151</f>
        <v>0</v>
      </c>
      <c r="Q151" s="10">
        <f>IFERROR(INDEX('Projekt-Budget-Übersicht'!$E:$E,MATCH(1680,'Projekt-Budget-Übersicht'!$L:$L,0)),0)</f>
        <v>0</v>
      </c>
      <c r="R151" s="10">
        <v>7561.84</v>
      </c>
      <c r="S151" s="4"/>
      <c r="T151" s="4"/>
      <c r="U151" s="4"/>
    </row>
    <row r="152" spans="1:21" x14ac:dyDescent="0.25">
      <c r="A152" s="22"/>
      <c r="B152" s="4" t="s">
        <v>5500</v>
      </c>
      <c r="C152" s="4" t="str">
        <f>IFERROR(INDEX('Projekt-Budget-Übersicht'!$C:$C,MATCH(1680,'Projekt-Budget-Übersicht'!$L:$L,0)),"")</f>
        <v/>
      </c>
      <c r="D152" s="4">
        <v>14.25</v>
      </c>
      <c r="E152" s="4">
        <v>53.25</v>
      </c>
      <c r="F152" s="5">
        <f>SUM(F64,I64,K64)</f>
        <v>7.75</v>
      </c>
      <c r="G152" s="15">
        <v>373.68</v>
      </c>
      <c r="H152" s="5">
        <f>SUM(H64)</f>
        <v>0</v>
      </c>
      <c r="I152" s="5">
        <f t="shared" si="12"/>
        <v>0</v>
      </c>
      <c r="J152" s="4" t="s">
        <v>5531</v>
      </c>
      <c r="K152" s="5">
        <f>SUM(K64)</f>
        <v>0</v>
      </c>
      <c r="L152" s="10">
        <f>IF($B$2="-",0,IFERROR(INDEX(IF($B$2="SV",'Projekt-Budget-Übersicht'!$H:$H,IF($B$2="CAD",'Projekt-Budget-Übersicht'!$I:$I,IF($B$2="ADM",'Projekt-Budget-Übersicht'!$J:$J,'Projekt-Budget-Übersicht'!$H:$H))),MATCH(1680,'Projekt-Budget-Übersicht'!$L:$L,0)),0))</f>
        <v>0</v>
      </c>
      <c r="M152" s="10">
        <f t="shared" si="13"/>
        <v>0</v>
      </c>
      <c r="N152" s="10">
        <f t="shared" si="14"/>
        <v>0</v>
      </c>
      <c r="O152" s="10">
        <f t="shared" si="15"/>
        <v>0</v>
      </c>
      <c r="P152" s="10">
        <f>'A. Kokott'!M151+'S. Schüler'!M152</f>
        <v>0</v>
      </c>
      <c r="Q152" s="10">
        <f>IFERROR(INDEX('Projekt-Budget-Übersicht'!$E:$E,MATCH(1680,'Projekt-Budget-Übersicht'!$L:$L,0)),0)</f>
        <v>0</v>
      </c>
      <c r="R152" s="10">
        <v>7561.84</v>
      </c>
      <c r="S152" s="4"/>
      <c r="T152" s="4"/>
      <c r="U152" s="4"/>
    </row>
    <row r="153" spans="1:21" x14ac:dyDescent="0.25">
      <c r="A153" s="4" t="s">
        <v>1497</v>
      </c>
      <c r="B153" s="4" t="s">
        <v>5619</v>
      </c>
      <c r="C153" s="4" t="str">
        <f>IFERROR(INDEX('Projekt-Budget-Übersicht'!$C:$C,MATCH(1685,'Projekt-Budget-Übersicht'!$L:$L,0)),"")</f>
        <v/>
      </c>
      <c r="D153" s="4">
        <v>40</v>
      </c>
      <c r="E153" s="4">
        <v>70</v>
      </c>
      <c r="F153" s="5">
        <f>SUM(F65,F98,I65,I98,K65,K98)</f>
        <v>1.75</v>
      </c>
      <c r="G153" s="15">
        <v>175</v>
      </c>
      <c r="H153" s="5">
        <f>SUM(H65,H98)</f>
        <v>0</v>
      </c>
      <c r="I153" s="5">
        <f t="shared" si="12"/>
        <v>0</v>
      </c>
      <c r="J153" s="4" t="s">
        <v>5531</v>
      </c>
      <c r="K153" s="5">
        <f>SUM(K65,K98)</f>
        <v>0</v>
      </c>
      <c r="L153" s="10">
        <f>IF($B$2="-",0,IFERROR(INDEX(IF($B$2="SV",'Projekt-Budget-Übersicht'!$H:$H,IF($B$2="CAD",'Projekt-Budget-Übersicht'!$I:$I,IF($B$2="ADM",'Projekt-Budget-Übersicht'!$J:$J,'Projekt-Budget-Übersicht'!$H:$H))),MATCH(1685,'Projekt-Budget-Übersicht'!$L:$L,0)),0))</f>
        <v>0</v>
      </c>
      <c r="M153" s="10">
        <f t="shared" si="13"/>
        <v>0</v>
      </c>
      <c r="N153" s="10">
        <f t="shared" si="14"/>
        <v>0</v>
      </c>
      <c r="O153" s="10">
        <f t="shared" si="15"/>
        <v>0</v>
      </c>
      <c r="P153" s="10">
        <f>'O. Haag BS-CAD'!M158+'S. Schüler'!M153</f>
        <v>0</v>
      </c>
      <c r="Q153" s="10">
        <f>IFERROR(INDEX('Projekt-Budget-Übersicht'!$E:$E,MATCH(1685,'Projekt-Budget-Übersicht'!$L:$L,0)),0)</f>
        <v>0</v>
      </c>
      <c r="R153" s="10">
        <v>4326.93</v>
      </c>
      <c r="S153" s="4"/>
      <c r="T153" s="4"/>
      <c r="U153" s="4"/>
    </row>
    <row r="154" spans="1:21" x14ac:dyDescent="0.25">
      <c r="A154" s="21" t="s">
        <v>1504</v>
      </c>
      <c r="B154" s="4" t="s">
        <v>5669</v>
      </c>
      <c r="C154" s="4" t="str">
        <f>IFERROR(INDEX('Projekt-Budget-Übersicht'!$C:$C,MATCH(1689,'Projekt-Budget-Übersicht'!$L:$L,0)),"")</f>
        <v/>
      </c>
      <c r="D154" s="4">
        <v>28</v>
      </c>
      <c r="E154" s="4">
        <v>1.25</v>
      </c>
      <c r="F154" s="5">
        <f>SUM(F21,I21,K21)</f>
        <v>0.25</v>
      </c>
      <c r="G154" s="16">
        <v>4.46</v>
      </c>
      <c r="H154" s="5">
        <f>SUM(H21)</f>
        <v>0</v>
      </c>
      <c r="I154" s="5">
        <f t="shared" si="12"/>
        <v>0</v>
      </c>
      <c r="J154" s="4" t="s">
        <v>5531</v>
      </c>
      <c r="K154" s="5">
        <f>SUM(K21)</f>
        <v>0</v>
      </c>
      <c r="L154" s="10">
        <f>IF($B$2="-",0,IFERROR(INDEX(IF($B$2="SV",'Projekt-Budget-Übersicht'!$H:$H,IF($B$2="CAD",'Projekt-Budget-Übersicht'!$I:$I,IF($B$2="ADM",'Projekt-Budget-Übersicht'!$J:$J,'Projekt-Budget-Übersicht'!$H:$H))),MATCH(1689,'Projekt-Budget-Übersicht'!$L:$L,0)),0))</f>
        <v>0</v>
      </c>
      <c r="M154" s="10">
        <f t="shared" si="13"/>
        <v>0</v>
      </c>
      <c r="N154" s="10">
        <f t="shared" si="14"/>
        <v>0</v>
      </c>
      <c r="O154" s="10">
        <f t="shared" si="15"/>
        <v>0</v>
      </c>
      <c r="P154" s="10">
        <f>'S. Schüler'!M154</f>
        <v>0</v>
      </c>
      <c r="Q154" s="10">
        <f>IFERROR(INDEX('Projekt-Budget-Übersicht'!$E:$E,MATCH(1689,'Projekt-Budget-Übersicht'!$L:$L,0)),0)</f>
        <v>0</v>
      </c>
      <c r="R154" s="10">
        <v>112.5</v>
      </c>
      <c r="S154" s="4"/>
      <c r="T154" s="4"/>
      <c r="U154" s="4"/>
    </row>
    <row r="155" spans="1:21" x14ac:dyDescent="0.25">
      <c r="A155" s="23"/>
      <c r="B155" s="4" t="s">
        <v>5485</v>
      </c>
      <c r="C155" s="4" t="str">
        <f>IFERROR(INDEX('Projekt-Budget-Übersicht'!$C:$C,MATCH(1690,'Projekt-Budget-Übersicht'!$L:$L,0)),"")</f>
        <v/>
      </c>
      <c r="D155" s="4">
        <v>34</v>
      </c>
      <c r="E155" s="4">
        <v>13</v>
      </c>
      <c r="F155" s="5">
        <f>SUM(F22,F99,I22,I99,K22,K99)</f>
        <v>1.75</v>
      </c>
      <c r="G155" s="16">
        <v>38.24</v>
      </c>
      <c r="H155" s="5">
        <f>SUM(H22,H99)</f>
        <v>0</v>
      </c>
      <c r="I155" s="5">
        <f t="shared" si="12"/>
        <v>0</v>
      </c>
      <c r="J155" s="4" t="s">
        <v>5531</v>
      </c>
      <c r="K155" s="5">
        <f>SUM(K22,K99)</f>
        <v>0</v>
      </c>
      <c r="L155" s="10">
        <f>IF($B$2="-",0,IFERROR(INDEX(IF($B$2="SV",'Projekt-Budget-Übersicht'!$H:$H,IF($B$2="CAD",'Projekt-Budget-Übersicht'!$I:$I,IF($B$2="ADM",'Projekt-Budget-Übersicht'!$J:$J,'Projekt-Budget-Übersicht'!$H:$H))),MATCH(1690,'Projekt-Budget-Übersicht'!$L:$L,0)),0))</f>
        <v>0</v>
      </c>
      <c r="M155" s="10">
        <f t="shared" si="13"/>
        <v>0</v>
      </c>
      <c r="N155" s="10">
        <f t="shared" si="14"/>
        <v>0</v>
      </c>
      <c r="O155" s="10">
        <f t="shared" si="15"/>
        <v>0</v>
      </c>
      <c r="P155" s="10">
        <f>'S. Schüler'!M155</f>
        <v>0</v>
      </c>
      <c r="Q155" s="10">
        <f>IFERROR(INDEX('Projekt-Budget-Übersicht'!$E:$E,MATCH(1690,'Projekt-Budget-Übersicht'!$L:$L,0)),0)</f>
        <v>0</v>
      </c>
      <c r="R155" s="10">
        <v>967.5</v>
      </c>
      <c r="S155" s="4"/>
      <c r="T155" s="4"/>
      <c r="U155" s="4"/>
    </row>
    <row r="156" spans="1:21" x14ac:dyDescent="0.25">
      <c r="A156" s="22"/>
      <c r="B156" s="4" t="s">
        <v>5502</v>
      </c>
      <c r="C156" s="4" t="str">
        <f>IFERROR(INDEX('Projekt-Budget-Übersicht'!$C:$C,MATCH(1691,'Projekt-Budget-Übersicht'!$L:$L,0)),"")</f>
        <v/>
      </c>
      <c r="D156" s="4">
        <v>30</v>
      </c>
      <c r="E156" s="4">
        <v>17.5</v>
      </c>
      <c r="F156" s="5">
        <f>SUM(F23,I23,K23)</f>
        <v>0.25</v>
      </c>
      <c r="G156" s="16">
        <v>58.33</v>
      </c>
      <c r="H156" s="5">
        <f>SUM(H23)</f>
        <v>0</v>
      </c>
      <c r="I156" s="5">
        <f t="shared" si="12"/>
        <v>0</v>
      </c>
      <c r="J156" s="4" t="s">
        <v>5531</v>
      </c>
      <c r="K156" s="5">
        <f>SUM(K23)</f>
        <v>0</v>
      </c>
      <c r="L156" s="10">
        <f>IF($B$2="-",0,IFERROR(INDEX(IF($B$2="SV",'Projekt-Budget-Übersicht'!$H:$H,IF($B$2="CAD",'Projekt-Budget-Übersicht'!$I:$I,IF($B$2="ADM",'Projekt-Budget-Übersicht'!$J:$J,'Projekt-Budget-Übersicht'!$H:$H))),MATCH(1691,'Projekt-Budget-Übersicht'!$L:$L,0)),0))</f>
        <v>0</v>
      </c>
      <c r="M156" s="10">
        <f t="shared" si="13"/>
        <v>0</v>
      </c>
      <c r="N156" s="10">
        <f t="shared" si="14"/>
        <v>0</v>
      </c>
      <c r="O156" s="10">
        <f t="shared" si="15"/>
        <v>0</v>
      </c>
      <c r="P156" s="10">
        <f>'O. Haag BS-CAD'!M159+'S. Schüler'!M156</f>
        <v>0</v>
      </c>
      <c r="Q156" s="10">
        <f>IFERROR(INDEX('Projekt-Budget-Übersicht'!$E:$E,MATCH(1691,'Projekt-Budget-Übersicht'!$L:$L,0)),0)</f>
        <v>0</v>
      </c>
      <c r="R156" s="10">
        <v>885</v>
      </c>
      <c r="S156" s="4"/>
      <c r="T156" s="4"/>
      <c r="U156" s="4"/>
    </row>
    <row r="157" spans="1:21" x14ac:dyDescent="0.25">
      <c r="A157" s="4" t="s">
        <v>1802</v>
      </c>
      <c r="B157" s="4" t="s">
        <v>5682</v>
      </c>
      <c r="C157" s="4" t="str">
        <f>IFERROR(INDEX('Projekt-Budget-Übersicht'!$C:$C,MATCH(2040,'Projekt-Budget-Übersicht'!$L:$L,0)),"")</f>
        <v/>
      </c>
      <c r="D157" s="4">
        <v>37</v>
      </c>
      <c r="E157" s="4">
        <v>1.5</v>
      </c>
      <c r="F157" s="5">
        <f>SUM(F100,I100,K100)</f>
        <v>1.5</v>
      </c>
      <c r="G157" s="16">
        <v>4.05</v>
      </c>
      <c r="H157" s="5">
        <f>SUM(H100)</f>
        <v>0</v>
      </c>
      <c r="I157" s="5">
        <f t="shared" si="12"/>
        <v>0</v>
      </c>
      <c r="J157" s="4" t="s">
        <v>5531</v>
      </c>
      <c r="K157" s="5">
        <f>SUM(K100)</f>
        <v>0</v>
      </c>
      <c r="L157" s="10">
        <f>IF($B$2="-",0,IFERROR(INDEX(IF($B$2="SV",'Projekt-Budget-Übersicht'!$H:$H,IF($B$2="CAD",'Projekt-Budget-Übersicht'!$I:$I,IF($B$2="ADM",'Projekt-Budget-Übersicht'!$J:$J,'Projekt-Budget-Übersicht'!$H:$H))),MATCH(2040,'Projekt-Budget-Übersicht'!$L:$L,0)),0))</f>
        <v>0</v>
      </c>
      <c r="M157" s="10">
        <f t="shared" si="13"/>
        <v>0</v>
      </c>
      <c r="N157" s="10">
        <f t="shared" si="14"/>
        <v>0</v>
      </c>
      <c r="O157" s="10">
        <f t="shared" si="15"/>
        <v>0</v>
      </c>
      <c r="P157" s="10">
        <f>'S. Schüler'!M157</f>
        <v>0</v>
      </c>
      <c r="Q157" s="10">
        <f>IFERROR(INDEX('Projekt-Budget-Übersicht'!$E:$E,MATCH(2040,'Projekt-Budget-Übersicht'!$L:$L,0)),0)</f>
        <v>0</v>
      </c>
      <c r="R157" s="10">
        <v>135</v>
      </c>
      <c r="S157" s="4"/>
      <c r="T157" s="4"/>
      <c r="U157" s="4"/>
    </row>
    <row r="158" spans="1:21" x14ac:dyDescent="0.25">
      <c r="A158" s="4" t="s">
        <v>1808</v>
      </c>
      <c r="B158" s="4" t="s">
        <v>5459</v>
      </c>
      <c r="C158" s="4" t="str">
        <f>IFERROR(INDEX('Projekt-Budget-Übersicht'!$C:$C,MATCH(2046,'Projekt-Budget-Übersicht'!$L:$L,0)),"")</f>
        <v/>
      </c>
      <c r="D158" s="4">
        <v>84</v>
      </c>
      <c r="E158" s="4">
        <v>62.92</v>
      </c>
      <c r="F158" s="5">
        <f>SUM(F101,I101,K101)</f>
        <v>2</v>
      </c>
      <c r="G158" s="16">
        <v>74.900000000000006</v>
      </c>
      <c r="H158" s="5">
        <f>SUM(H101)</f>
        <v>0</v>
      </c>
      <c r="I158" s="5">
        <f t="shared" si="12"/>
        <v>0</v>
      </c>
      <c r="J158" s="4" t="s">
        <v>5531</v>
      </c>
      <c r="K158" s="5">
        <f>SUM(K101)</f>
        <v>0</v>
      </c>
      <c r="L158" s="10">
        <f>IF($B$2="-",0,IFERROR(INDEX(IF($B$2="SV",'Projekt-Budget-Übersicht'!$H:$H,IF($B$2="CAD",'Projekt-Budget-Übersicht'!$I:$I,IF($B$2="ADM",'Projekt-Budget-Übersicht'!$J:$J,'Projekt-Budget-Übersicht'!$H:$H))),MATCH(2046,'Projekt-Budget-Übersicht'!$L:$L,0)),0))</f>
        <v>0</v>
      </c>
      <c r="M158" s="10">
        <f t="shared" si="13"/>
        <v>0</v>
      </c>
      <c r="N158" s="10">
        <f t="shared" si="14"/>
        <v>0</v>
      </c>
      <c r="O158" s="10">
        <f t="shared" si="15"/>
        <v>0</v>
      </c>
      <c r="P158" s="10">
        <f>'S. Schüler'!M158</f>
        <v>0</v>
      </c>
      <c r="Q158" s="10">
        <f>IFERROR(INDEX('Projekt-Budget-Übersicht'!$E:$E,MATCH(2046,'Projekt-Budget-Übersicht'!$L:$L,0)),0)</f>
        <v>0</v>
      </c>
      <c r="R158" s="10"/>
      <c r="S158" s="4"/>
      <c r="T158" s="4"/>
      <c r="U158" s="4"/>
    </row>
    <row r="159" spans="1:21" x14ac:dyDescent="0.25">
      <c r="A159" s="4" t="s">
        <v>1815</v>
      </c>
      <c r="B159" s="4" t="s">
        <v>5540</v>
      </c>
      <c r="C159" s="4" t="str">
        <f>IFERROR(INDEX('Projekt-Budget-Übersicht'!$C:$C,MATCH(2051,'Projekt-Budget-Übersicht'!$L:$L,0)),"")</f>
        <v/>
      </c>
      <c r="D159" s="4">
        <v>40</v>
      </c>
      <c r="E159" s="4">
        <v>10.75</v>
      </c>
      <c r="F159" s="5">
        <f>SUM(F102,I102,K102)</f>
        <v>7.25</v>
      </c>
      <c r="G159" s="16">
        <v>26.88</v>
      </c>
      <c r="H159" s="5">
        <f>SUM(H102)</f>
        <v>0</v>
      </c>
      <c r="I159" s="5">
        <f t="shared" si="12"/>
        <v>0</v>
      </c>
      <c r="J159" s="4" t="s">
        <v>5531</v>
      </c>
      <c r="K159" s="5">
        <f>SUM(K102)</f>
        <v>0</v>
      </c>
      <c r="L159" s="10">
        <f>IF($B$2="-",0,IFERROR(INDEX(IF($B$2="SV",'Projekt-Budget-Übersicht'!$H:$H,IF($B$2="CAD",'Projekt-Budget-Übersicht'!$I:$I,IF($B$2="ADM",'Projekt-Budget-Übersicht'!$J:$J,'Projekt-Budget-Übersicht'!$H:$H))),MATCH(2051,'Projekt-Budget-Übersicht'!$L:$L,0)),0))</f>
        <v>0</v>
      </c>
      <c r="M159" s="10">
        <f t="shared" si="13"/>
        <v>0</v>
      </c>
      <c r="N159" s="10">
        <f t="shared" si="14"/>
        <v>0</v>
      </c>
      <c r="O159" s="10">
        <f t="shared" si="15"/>
        <v>0</v>
      </c>
      <c r="P159" s="10">
        <f>'S. Schüler'!M159</f>
        <v>0</v>
      </c>
      <c r="Q159" s="10">
        <f>IFERROR(INDEX('Projekt-Budget-Übersicht'!$E:$E,MATCH(2051,'Projekt-Budget-Übersicht'!$L:$L,0)),0)</f>
        <v>0</v>
      </c>
      <c r="R159" s="10">
        <v>945</v>
      </c>
      <c r="S159" s="4"/>
      <c r="T159" s="4"/>
      <c r="U159" s="4"/>
    </row>
    <row r="160" spans="1:21" x14ac:dyDescent="0.25">
      <c r="A160" s="4" t="s">
        <v>1819</v>
      </c>
      <c r="B160" s="4" t="s">
        <v>5459</v>
      </c>
      <c r="C160" s="4" t="str">
        <f>IFERROR(INDEX('Projekt-Budget-Übersicht'!$C:$C,MATCH(2057,'Projekt-Budget-Übersicht'!$L:$L,0)),"")</f>
        <v/>
      </c>
      <c r="D160" s="4">
        <v>200</v>
      </c>
      <c r="E160" s="4">
        <v>27</v>
      </c>
      <c r="F160" s="5">
        <f>SUM(F24,F66,F103,I24,I66,I103,K24,K66,K103)</f>
        <v>14.5</v>
      </c>
      <c r="G160" s="16">
        <v>13.5</v>
      </c>
      <c r="H160" s="5">
        <f>SUM(H24,H66,H103)</f>
        <v>0</v>
      </c>
      <c r="I160" s="5">
        <f t="shared" si="12"/>
        <v>0</v>
      </c>
      <c r="J160" s="4" t="s">
        <v>5531</v>
      </c>
      <c r="K160" s="5">
        <f>SUM(K24,K66,K103)</f>
        <v>0</v>
      </c>
      <c r="L160" s="10">
        <f>IF($B$2="-",0,IFERROR(INDEX(IF($B$2="SV",'Projekt-Budget-Übersicht'!$H:$H,IF($B$2="CAD",'Projekt-Budget-Übersicht'!$I:$I,IF($B$2="ADM",'Projekt-Budget-Übersicht'!$J:$J,'Projekt-Budget-Übersicht'!$H:$H))),MATCH(2057,'Projekt-Budget-Übersicht'!$L:$L,0)),0))</f>
        <v>0</v>
      </c>
      <c r="M160" s="10">
        <f t="shared" si="13"/>
        <v>0</v>
      </c>
      <c r="N160" s="10">
        <f t="shared" si="14"/>
        <v>0</v>
      </c>
      <c r="O160" s="10">
        <f t="shared" si="15"/>
        <v>0</v>
      </c>
      <c r="P160" s="10">
        <f>'S. Schüler'!M160</f>
        <v>0</v>
      </c>
      <c r="Q160" s="10">
        <f>IFERROR(INDEX('Projekt-Budget-Übersicht'!$E:$E,MATCH(2057,'Projekt-Budget-Übersicht'!$L:$L,0)),0)</f>
        <v>0</v>
      </c>
      <c r="R160" s="10"/>
      <c r="S160" s="4"/>
      <c r="T160" s="4"/>
      <c r="U160" s="4"/>
    </row>
    <row r="161" spans="1:21" x14ac:dyDescent="0.25">
      <c r="A161" s="4" t="s">
        <v>2495</v>
      </c>
      <c r="B161" s="4" t="s">
        <v>5502</v>
      </c>
      <c r="C161" s="4" t="str">
        <f>IFERROR(INDEX('Projekt-Budget-Übersicht'!$C:$C,MATCH(2817,'Projekt-Budget-Übersicht'!$L:$L,0)),"")</f>
        <v/>
      </c>
      <c r="D161" s="4">
        <v>6</v>
      </c>
      <c r="E161" s="4">
        <v>2.25</v>
      </c>
      <c r="F161" s="5">
        <f>SUM(F25,I25,K25)</f>
        <v>1</v>
      </c>
      <c r="G161" s="16">
        <v>37.5</v>
      </c>
      <c r="H161" s="5">
        <f>SUM(H25)</f>
        <v>0</v>
      </c>
      <c r="I161" s="5">
        <f t="shared" si="12"/>
        <v>0</v>
      </c>
      <c r="J161" s="4" t="s">
        <v>5531</v>
      </c>
      <c r="K161" s="5">
        <f>SUM(K25)</f>
        <v>0</v>
      </c>
      <c r="L161" s="10">
        <f>IF($B$2="-",0,IFERROR(INDEX(IF($B$2="SV",'Projekt-Budget-Übersicht'!$H:$H,IF($B$2="CAD",'Projekt-Budget-Übersicht'!$I:$I,IF($B$2="ADM",'Projekt-Budget-Übersicht'!$J:$J,'Projekt-Budget-Übersicht'!$H:$H))),MATCH(2817,'Projekt-Budget-Übersicht'!$L:$L,0)),0))</f>
        <v>0</v>
      </c>
      <c r="M161" s="10">
        <f t="shared" si="13"/>
        <v>0</v>
      </c>
      <c r="N161" s="10">
        <f t="shared" si="14"/>
        <v>0</v>
      </c>
      <c r="O161" s="10">
        <f t="shared" si="15"/>
        <v>0</v>
      </c>
      <c r="P161" s="10">
        <f>'S. Schüler'!M161</f>
        <v>0</v>
      </c>
      <c r="Q161" s="10">
        <f>IFERROR(INDEX('Projekt-Budget-Übersicht'!$E:$E,MATCH(2817,'Projekt-Budget-Übersicht'!$L:$L,0)),0)</f>
        <v>0</v>
      </c>
      <c r="R161" s="10">
        <v>436.25</v>
      </c>
      <c r="S161" s="4"/>
      <c r="T161" s="4"/>
      <c r="U161" s="4"/>
    </row>
    <row r="162" spans="1:21" x14ac:dyDescent="0.25">
      <c r="A162" s="4" t="s">
        <v>2619</v>
      </c>
      <c r="B162" s="4" t="s">
        <v>5459</v>
      </c>
      <c r="C162" s="4" t="str">
        <f>IFERROR(INDEX('Projekt-Budget-Übersicht'!$C:$C,MATCH(2931,'Projekt-Budget-Übersicht'!$L:$L,0)),"")</f>
        <v/>
      </c>
      <c r="D162" s="4">
        <v>22</v>
      </c>
      <c r="E162" s="4">
        <v>23.25</v>
      </c>
      <c r="F162" s="5">
        <f>SUM(F104,I104,K104)</f>
        <v>19</v>
      </c>
      <c r="G162" s="15">
        <v>105.68</v>
      </c>
      <c r="H162" s="5">
        <f>SUM(H104)</f>
        <v>0</v>
      </c>
      <c r="I162" s="5">
        <f t="shared" si="12"/>
        <v>0</v>
      </c>
      <c r="J162" s="4" t="s">
        <v>5531</v>
      </c>
      <c r="K162" s="5">
        <f>SUM(K104)</f>
        <v>0</v>
      </c>
      <c r="L162" s="10">
        <f>IF($B$2="-",0,IFERROR(INDEX(IF($B$2="SV",'Projekt-Budget-Übersicht'!$H:$H,IF($B$2="CAD",'Projekt-Budget-Übersicht'!$I:$I,IF($B$2="ADM",'Projekt-Budget-Übersicht'!$J:$J,'Projekt-Budget-Übersicht'!$H:$H))),MATCH(2931,'Projekt-Budget-Übersicht'!$L:$L,0)),0))</f>
        <v>0</v>
      </c>
      <c r="M162" s="10">
        <f t="shared" si="13"/>
        <v>0</v>
      </c>
      <c r="N162" s="10">
        <f t="shared" si="14"/>
        <v>0</v>
      </c>
      <c r="O162" s="10">
        <f t="shared" si="15"/>
        <v>0</v>
      </c>
      <c r="P162" s="10">
        <f>'S. Schüler'!M162+'T. Trautmann'!M141</f>
        <v>0</v>
      </c>
      <c r="Q162" s="10">
        <f>IFERROR(INDEX('Projekt-Budget-Übersicht'!$E:$E,MATCH(2931,'Projekt-Budget-Übersicht'!$L:$L,0)),0)</f>
        <v>0</v>
      </c>
      <c r="R162" s="10">
        <v>2519.94</v>
      </c>
      <c r="S162" s="4"/>
      <c r="T162" s="4"/>
      <c r="U162" s="4"/>
    </row>
    <row r="163" spans="1:21" x14ac:dyDescent="0.25">
      <c r="A163" s="21" t="s">
        <v>3146</v>
      </c>
      <c r="B163" s="4" t="s">
        <v>5459</v>
      </c>
      <c r="C163" s="4" t="str">
        <f>IFERROR(INDEX('Projekt-Budget-Übersicht'!$C:$C,MATCH(3387,'Projekt-Budget-Übersicht'!$L:$L,0)),"")</f>
        <v/>
      </c>
      <c r="D163" s="4">
        <v>40</v>
      </c>
      <c r="E163" s="4">
        <v>167</v>
      </c>
      <c r="F163" s="5">
        <f>SUM(F26,F67,F105,I26,I67,I105,K26,K67,K105)</f>
        <v>16</v>
      </c>
      <c r="G163" s="15">
        <v>417.5</v>
      </c>
      <c r="H163" s="5">
        <f>SUM(H26,H67,H105)</f>
        <v>0</v>
      </c>
      <c r="I163" s="5">
        <f t="shared" si="12"/>
        <v>0</v>
      </c>
      <c r="J163" s="4" t="s">
        <v>5531</v>
      </c>
      <c r="K163" s="5">
        <f>SUM(K26,K67,K105)</f>
        <v>0</v>
      </c>
      <c r="L163" s="10">
        <f>IF($B$2="-",0,IFERROR(INDEX(IF($B$2="SV",'Projekt-Budget-Übersicht'!$H:$H,IF($B$2="CAD",'Projekt-Budget-Übersicht'!$I:$I,IF($B$2="ADM",'Projekt-Budget-Übersicht'!$J:$J,'Projekt-Budget-Übersicht'!$H:$H))),MATCH(3387,'Projekt-Budget-Übersicht'!$L:$L,0)),0))</f>
        <v>0</v>
      </c>
      <c r="M163" s="10">
        <f t="shared" si="13"/>
        <v>0</v>
      </c>
      <c r="N163" s="10">
        <f t="shared" si="14"/>
        <v>0</v>
      </c>
      <c r="O163" s="10">
        <f t="shared" si="15"/>
        <v>0</v>
      </c>
      <c r="P163" s="10">
        <f>'S. Schüler'!M163+'T. Trautmann'!M142</f>
        <v>0</v>
      </c>
      <c r="Q163" s="10">
        <f>IFERROR(INDEX('Projekt-Budget-Übersicht'!$E:$E,MATCH(3387,'Projekt-Budget-Übersicht'!$L:$L,0)),0)</f>
        <v>0</v>
      </c>
      <c r="R163" s="10">
        <v>23081.52</v>
      </c>
      <c r="S163" s="4"/>
      <c r="T163" s="4"/>
      <c r="U163" s="4"/>
    </row>
    <row r="164" spans="1:21" x14ac:dyDescent="0.25">
      <c r="A164" s="22"/>
      <c r="B164" s="4" t="s">
        <v>5670</v>
      </c>
      <c r="C164" s="4" t="str">
        <f>IFERROR(INDEX('Projekt-Budget-Übersicht'!$C:$C,MATCH(3387,'Projekt-Budget-Übersicht'!$L:$L,0)),"")</f>
        <v/>
      </c>
      <c r="D164" s="4" t="s">
        <v>5531</v>
      </c>
      <c r="E164" s="4">
        <v>139.75</v>
      </c>
      <c r="F164" s="5">
        <f>SUM(F27,F68,F106,I27,I68,I106,K27,K68,K106)</f>
        <v>15.5</v>
      </c>
      <c r="G164" s="4" t="s">
        <v>5531</v>
      </c>
      <c r="H164" s="5">
        <f>SUM(H27,H68,H106)</f>
        <v>0</v>
      </c>
      <c r="I164" s="5">
        <f t="shared" si="12"/>
        <v>0</v>
      </c>
      <c r="J164" s="4" t="s">
        <v>5531</v>
      </c>
      <c r="K164" s="5">
        <f>SUM(K27,K68,K106)</f>
        <v>0</v>
      </c>
      <c r="L164" s="10">
        <f>IF($B$2="-",0,IFERROR(INDEX(IF($B$2="SV",'Projekt-Budget-Übersicht'!$H:$H,IF($B$2="CAD",'Projekt-Budget-Übersicht'!$I:$I,IF($B$2="ADM",'Projekt-Budget-Übersicht'!$J:$J,'Projekt-Budget-Übersicht'!$H:$H))),MATCH(3387,'Projekt-Budget-Übersicht'!$L:$L,0)),0))</f>
        <v>0</v>
      </c>
      <c r="M164" s="10">
        <f t="shared" si="13"/>
        <v>0</v>
      </c>
      <c r="N164" s="10">
        <f t="shared" si="14"/>
        <v>0</v>
      </c>
      <c r="O164" s="10">
        <f t="shared" si="15"/>
        <v>0</v>
      </c>
      <c r="P164" s="10">
        <f>'S. Schüler'!M164+'T. Trautmann'!M143</f>
        <v>0</v>
      </c>
      <c r="Q164" s="10">
        <f>IFERROR(INDEX('Projekt-Budget-Übersicht'!$E:$E,MATCH(3387,'Projekt-Budget-Übersicht'!$L:$L,0)),0)</f>
        <v>0</v>
      </c>
      <c r="R164" s="10">
        <v>23081.52</v>
      </c>
      <c r="S164" s="4"/>
      <c r="T164" s="4"/>
      <c r="U164" s="4"/>
    </row>
    <row r="165" spans="1:21" x14ac:dyDescent="0.25">
      <c r="A165" s="4" t="s">
        <v>3909</v>
      </c>
      <c r="B165" s="4" t="s">
        <v>5679</v>
      </c>
      <c r="C165" s="4" t="str">
        <f>IFERROR(INDEX('Projekt-Budget-Übersicht'!$C:$C,MATCH(4056,'Projekt-Budget-Übersicht'!$L:$L,0)),"")</f>
        <v/>
      </c>
      <c r="D165" s="4">
        <v>80</v>
      </c>
      <c r="E165" s="4">
        <v>15.25</v>
      </c>
      <c r="F165" s="5">
        <f>SUM(F69,F107,I69,I107,K69,K107)</f>
        <v>13</v>
      </c>
      <c r="G165" s="16">
        <v>19.059999999999999</v>
      </c>
      <c r="H165" s="5">
        <f>SUM(H69,H107)</f>
        <v>0</v>
      </c>
      <c r="I165" s="5">
        <f t="shared" ref="I165:I196" si="16">IF(H165=0,0,F165-H165)</f>
        <v>0</v>
      </c>
      <c r="J165" s="4" t="s">
        <v>5531</v>
      </c>
      <c r="K165" s="5">
        <f>SUM(K69,K107)</f>
        <v>0</v>
      </c>
      <c r="L165" s="10">
        <f>IF($B$2="-",0,IFERROR(INDEX(IF($B$2="SV",'Projekt-Budget-Übersicht'!$H:$H,IF($B$2="CAD",'Projekt-Budget-Übersicht'!$I:$I,IF($B$2="ADM",'Projekt-Budget-Übersicht'!$J:$J,'Projekt-Budget-Übersicht'!$H:$H))),MATCH(4056,'Projekt-Budget-Übersicht'!$L:$L,0)),0))</f>
        <v>0</v>
      </c>
      <c r="M165" s="10">
        <f t="shared" ref="M165:M196" si="17">IF($B$2="-",0,IF(C165="Pauschale",IF(OR(Q165=0,N(D165)=0),0,MAX(0,MIN(Q165*((N(F165)+N(K165))/N(D165)),Q165-Q165*(N(E165)/N(D165))))),L165*(N(F165)+N(K165))))</f>
        <v>0</v>
      </c>
      <c r="N165" s="10">
        <f t="shared" ref="N165:N188" si="18">IF($B$2="-",0,IF(C165="Pauschale",IF(OR(Q165=0,N(D165)=0),0,Q165*((N(F165)+N(K165))/N(D165))),L165*(N(F165)+N(K165))))</f>
        <v>0</v>
      </c>
      <c r="O165" s="10">
        <f t="shared" ref="O165:O196" si="19">N165-M165</f>
        <v>0</v>
      </c>
      <c r="P165" s="10">
        <f>'S. Schüler'!M165</f>
        <v>0</v>
      </c>
      <c r="Q165" s="10">
        <f>IFERROR(INDEX('Projekt-Budget-Übersicht'!$E:$E,MATCH(4056,'Projekt-Budget-Übersicht'!$L:$L,0)),0)</f>
        <v>0</v>
      </c>
      <c r="R165" s="10">
        <v>1372.5</v>
      </c>
      <c r="S165" s="4"/>
      <c r="T165" s="4"/>
      <c r="U165" s="4"/>
    </row>
    <row r="166" spans="1:21" x14ac:dyDescent="0.25">
      <c r="A166" s="4" t="s">
        <v>4347</v>
      </c>
      <c r="B166" s="4" t="s">
        <v>5592</v>
      </c>
      <c r="C166" s="4" t="str">
        <f>IFERROR(INDEX('Projekt-Budget-Übersicht'!$C:$C,MATCH(4420,'Projekt-Budget-Übersicht'!$L:$L,0)),"")</f>
        <v/>
      </c>
      <c r="D166" s="4">
        <v>20</v>
      </c>
      <c r="E166" s="4">
        <v>31.5</v>
      </c>
      <c r="F166" s="5">
        <f>SUM(F28,F70,I28,I70,K28,K70)</f>
        <v>7.75</v>
      </c>
      <c r="G166" s="15">
        <v>157.5</v>
      </c>
      <c r="H166" s="5">
        <f>SUM(H28,H70)</f>
        <v>0</v>
      </c>
      <c r="I166" s="5">
        <f t="shared" si="16"/>
        <v>0</v>
      </c>
      <c r="J166" s="4" t="s">
        <v>5531</v>
      </c>
      <c r="K166" s="5">
        <f>SUM(K28,K70)</f>
        <v>0</v>
      </c>
      <c r="L166" s="10">
        <f>IF($B$2="-",0,IFERROR(INDEX(IF($B$2="SV",'Projekt-Budget-Übersicht'!$H:$H,IF($B$2="CAD",'Projekt-Budget-Übersicht'!$I:$I,IF($B$2="ADM",'Projekt-Budget-Übersicht'!$J:$J,'Projekt-Budget-Übersicht'!$H:$H))),MATCH(4420,'Projekt-Budget-Übersicht'!$L:$L,0)),0))</f>
        <v>0</v>
      </c>
      <c r="M166" s="10">
        <f t="shared" si="17"/>
        <v>0</v>
      </c>
      <c r="N166" s="10">
        <f t="shared" si="18"/>
        <v>0</v>
      </c>
      <c r="O166" s="10">
        <f t="shared" si="19"/>
        <v>0</v>
      </c>
      <c r="P166" s="10">
        <f>'J. Dorn'!M153+'S. Schüler'!M166</f>
        <v>0</v>
      </c>
      <c r="Q166" s="10">
        <f>IFERROR(INDEX('Projekt-Budget-Übersicht'!$E:$E,MATCH(4420,'Projekt-Budget-Übersicht'!$L:$L,0)),0)</f>
        <v>0</v>
      </c>
      <c r="R166" s="10">
        <v>2697.5</v>
      </c>
      <c r="S166" s="4"/>
      <c r="T166" s="4"/>
      <c r="U166" s="4"/>
    </row>
    <row r="167" spans="1:21" x14ac:dyDescent="0.25">
      <c r="A167" s="4" t="s">
        <v>4453</v>
      </c>
      <c r="B167" s="4" t="s">
        <v>5649</v>
      </c>
      <c r="C167" s="4" t="str">
        <f>IFERROR(INDEX('Projekt-Budget-Übersicht'!$C:$C,MATCH(4522,'Projekt-Budget-Übersicht'!$L:$L,0)),"")</f>
        <v/>
      </c>
      <c r="D167" s="4">
        <v>26</v>
      </c>
      <c r="E167" s="4">
        <v>38.5</v>
      </c>
      <c r="F167" s="5">
        <f>SUM(F29,F71,F108,I29,I71,I108,K29,K71,K108)</f>
        <v>2.5</v>
      </c>
      <c r="G167" s="15">
        <v>148.08000000000001</v>
      </c>
      <c r="H167" s="5">
        <f>SUM(H29,H71,H108)</f>
        <v>0</v>
      </c>
      <c r="I167" s="5">
        <f t="shared" si="16"/>
        <v>0</v>
      </c>
      <c r="J167" s="4" t="s">
        <v>5531</v>
      </c>
      <c r="K167" s="5">
        <f>SUM(K29,K71,K108)</f>
        <v>0</v>
      </c>
      <c r="L167" s="10">
        <f>IF($B$2="-",0,IFERROR(INDEX(IF($B$2="SV",'Projekt-Budget-Übersicht'!$H:$H,IF($B$2="CAD",'Projekt-Budget-Übersicht'!$I:$I,IF($B$2="ADM",'Projekt-Budget-Übersicht'!$J:$J,'Projekt-Budget-Übersicht'!$H:$H))),MATCH(4522,'Projekt-Budget-Übersicht'!$L:$L,0)),0))</f>
        <v>0</v>
      </c>
      <c r="M167" s="10">
        <f t="shared" si="17"/>
        <v>0</v>
      </c>
      <c r="N167" s="10">
        <f t="shared" si="18"/>
        <v>0</v>
      </c>
      <c r="O167" s="10">
        <f t="shared" si="19"/>
        <v>0</v>
      </c>
      <c r="P167" s="10">
        <f>'R. Böttiger'!M99+'S. Schüler'!M167</f>
        <v>0</v>
      </c>
      <c r="Q167" s="10">
        <f>IFERROR(INDEX('Projekt-Budget-Übersicht'!$E:$E,MATCH(4522,'Projekt-Budget-Übersicht'!$L:$L,0)),0)</f>
        <v>0</v>
      </c>
      <c r="R167" s="10">
        <v>2168.29</v>
      </c>
      <c r="S167" s="4"/>
      <c r="T167" s="4"/>
      <c r="U167" s="4"/>
    </row>
    <row r="168" spans="1:21" x14ac:dyDescent="0.25">
      <c r="A168" s="4" t="s">
        <v>4461</v>
      </c>
      <c r="B168" s="4" t="s">
        <v>5519</v>
      </c>
      <c r="C168" s="4" t="str">
        <f>IFERROR(INDEX('Projekt-Budget-Übersicht'!$C:$C,MATCH(4528,'Projekt-Budget-Übersicht'!$L:$L,0)),"")</f>
        <v/>
      </c>
      <c r="D168" s="4">
        <v>100</v>
      </c>
      <c r="E168" s="4">
        <v>26.5</v>
      </c>
      <c r="F168" s="5">
        <f>SUM(F30,F72,F109,I30,I72,I109,K30,K72,K109)</f>
        <v>19.5</v>
      </c>
      <c r="G168" s="16">
        <v>26.5</v>
      </c>
      <c r="H168" s="5">
        <f>SUM(H30,H72,H109)</f>
        <v>0</v>
      </c>
      <c r="I168" s="5">
        <f t="shared" si="16"/>
        <v>0</v>
      </c>
      <c r="J168" s="4" t="s">
        <v>5531</v>
      </c>
      <c r="K168" s="5">
        <f>SUM(K30,K72,K109)</f>
        <v>0</v>
      </c>
      <c r="L168" s="10">
        <f>IF($B$2="-",0,IFERROR(INDEX(IF($B$2="SV",'Projekt-Budget-Übersicht'!$H:$H,IF($B$2="CAD",'Projekt-Budget-Übersicht'!$I:$I,IF($B$2="ADM",'Projekt-Budget-Übersicht'!$J:$J,'Projekt-Budget-Übersicht'!$H:$H))),MATCH(4528,'Projekt-Budget-Übersicht'!$L:$L,0)),0))</f>
        <v>0</v>
      </c>
      <c r="M168" s="10">
        <f t="shared" si="17"/>
        <v>0</v>
      </c>
      <c r="N168" s="10">
        <f t="shared" si="18"/>
        <v>0</v>
      </c>
      <c r="O168" s="10">
        <f t="shared" si="19"/>
        <v>0</v>
      </c>
      <c r="P168" s="10">
        <f>'A. Kokott'!M178+'C. Trapp SV'!M111+'S. Schüler'!M168</f>
        <v>0</v>
      </c>
      <c r="Q168" s="10">
        <f>IFERROR(INDEX('Projekt-Budget-Übersicht'!$E:$E,MATCH(4528,'Projekt-Budget-Übersicht'!$L:$L,0)),0)</f>
        <v>0</v>
      </c>
      <c r="R168" s="10">
        <v>1763.75</v>
      </c>
      <c r="S168" s="4"/>
      <c r="T168" s="4"/>
      <c r="U168" s="4"/>
    </row>
    <row r="169" spans="1:21" x14ac:dyDescent="0.25">
      <c r="A169" s="4" t="s">
        <v>4465</v>
      </c>
      <c r="B169" s="4" t="s">
        <v>5669</v>
      </c>
      <c r="C169" s="4" t="str">
        <f>IFERROR(INDEX('Projekt-Budget-Übersicht'!$C:$C,MATCH(4533,'Projekt-Budget-Übersicht'!$L:$L,0)),"")</f>
        <v/>
      </c>
      <c r="D169" s="4">
        <v>25</v>
      </c>
      <c r="E169" s="4">
        <v>2.25</v>
      </c>
      <c r="F169" s="5">
        <f>SUM(F31,F73,F110,I31,I73,I110,K31,K73,K110)</f>
        <v>2</v>
      </c>
      <c r="G169" s="16">
        <v>9</v>
      </c>
      <c r="H169" s="5">
        <f>SUM(H31,H73,H110)</f>
        <v>0</v>
      </c>
      <c r="I169" s="5">
        <f t="shared" si="16"/>
        <v>0</v>
      </c>
      <c r="J169" s="4" t="s">
        <v>5531</v>
      </c>
      <c r="K169" s="5">
        <f>SUM(K31,K73,K110)</f>
        <v>0</v>
      </c>
      <c r="L169" s="10">
        <f>IF($B$2="-",0,IFERROR(INDEX(IF($B$2="SV",'Projekt-Budget-Übersicht'!$H:$H,IF($B$2="CAD",'Projekt-Budget-Übersicht'!$I:$I,IF($B$2="ADM",'Projekt-Budget-Übersicht'!$J:$J,'Projekt-Budget-Übersicht'!$H:$H))),MATCH(4533,'Projekt-Budget-Übersicht'!$L:$L,0)),0))</f>
        <v>0</v>
      </c>
      <c r="M169" s="10">
        <f t="shared" si="17"/>
        <v>0</v>
      </c>
      <c r="N169" s="10">
        <f t="shared" si="18"/>
        <v>0</v>
      </c>
      <c r="O169" s="10">
        <f t="shared" si="19"/>
        <v>0</v>
      </c>
      <c r="P169" s="10">
        <f>'S. Schüler'!M169</f>
        <v>0</v>
      </c>
      <c r="Q169" s="10">
        <f>IFERROR(INDEX('Projekt-Budget-Übersicht'!$E:$E,MATCH(4533,'Projekt-Budget-Übersicht'!$L:$L,0)),0)</f>
        <v>0</v>
      </c>
      <c r="R169" s="10">
        <v>287.5</v>
      </c>
      <c r="S169" s="4"/>
      <c r="T169" s="4"/>
      <c r="U169" s="4"/>
    </row>
    <row r="170" spans="1:21" x14ac:dyDescent="0.25">
      <c r="A170" s="4" t="s">
        <v>4547</v>
      </c>
      <c r="B170" s="4" t="s">
        <v>5485</v>
      </c>
      <c r="C170" s="4" t="str">
        <f>IFERROR(INDEX('Projekt-Budget-Übersicht'!$C:$C,MATCH(4601,'Projekt-Budget-Übersicht'!$L:$L,0)),"")</f>
        <v/>
      </c>
      <c r="D170" s="4">
        <v>84</v>
      </c>
      <c r="E170" s="4">
        <v>57.5</v>
      </c>
      <c r="F170" s="5">
        <f>SUM(F32,F74,I32,I74,K32,K74)</f>
        <v>9</v>
      </c>
      <c r="G170" s="16">
        <v>68.45</v>
      </c>
      <c r="H170" s="5">
        <f>SUM(H32,H74)</f>
        <v>0</v>
      </c>
      <c r="I170" s="5">
        <f t="shared" si="16"/>
        <v>0</v>
      </c>
      <c r="J170" s="4" t="s">
        <v>5531</v>
      </c>
      <c r="K170" s="5">
        <f>SUM(K32,K74)</f>
        <v>0</v>
      </c>
      <c r="L170" s="10">
        <f>IF($B$2="-",0,IFERROR(INDEX(IF($B$2="SV",'Projekt-Budget-Übersicht'!$H:$H,IF($B$2="CAD",'Projekt-Budget-Übersicht'!$I:$I,IF($B$2="ADM",'Projekt-Budget-Übersicht'!$J:$J,'Projekt-Budget-Übersicht'!$H:$H))),MATCH(4601,'Projekt-Budget-Übersicht'!$L:$L,0)),0))</f>
        <v>0</v>
      </c>
      <c r="M170" s="10">
        <f t="shared" si="17"/>
        <v>0</v>
      </c>
      <c r="N170" s="10">
        <f t="shared" si="18"/>
        <v>0</v>
      </c>
      <c r="O170" s="10">
        <f t="shared" si="19"/>
        <v>0</v>
      </c>
      <c r="P170" s="10">
        <f>'S. Schüler'!M170</f>
        <v>0</v>
      </c>
      <c r="Q170" s="10">
        <f>IFERROR(INDEX('Projekt-Budget-Übersicht'!$E:$E,MATCH(4601,'Projekt-Budget-Übersicht'!$L:$L,0)),0)</f>
        <v>0</v>
      </c>
      <c r="R170" s="10"/>
      <c r="S170" s="4"/>
      <c r="T170" s="4"/>
      <c r="U170" s="4"/>
    </row>
    <row r="171" spans="1:21" x14ac:dyDescent="0.25">
      <c r="A171" s="21" t="s">
        <v>4671</v>
      </c>
      <c r="B171" s="4" t="s">
        <v>5638</v>
      </c>
      <c r="C171" s="4" t="str">
        <f>IFERROR(INDEX('Projekt-Budget-Übersicht'!$C:$C,MATCH(4703,'Projekt-Budget-Übersicht'!$L:$L,0)),"")</f>
        <v/>
      </c>
      <c r="D171" s="4">
        <v>20.5</v>
      </c>
      <c r="E171" s="4">
        <v>5</v>
      </c>
      <c r="F171" s="5">
        <f>SUM(F33,F111,I33,I111,K33,K111)</f>
        <v>3</v>
      </c>
      <c r="G171" s="16">
        <v>24.39</v>
      </c>
      <c r="H171" s="5">
        <f>SUM(H33,H111)</f>
        <v>0</v>
      </c>
      <c r="I171" s="5">
        <f t="shared" si="16"/>
        <v>0</v>
      </c>
      <c r="J171" s="4" t="s">
        <v>5531</v>
      </c>
      <c r="K171" s="5">
        <f>SUM(K33,K111)</f>
        <v>0</v>
      </c>
      <c r="L171" s="10">
        <f>IF($B$2="-",0,IFERROR(INDEX(IF($B$2="SV",'Projekt-Budget-Übersicht'!$H:$H,IF($B$2="CAD",'Projekt-Budget-Übersicht'!$I:$I,IF($B$2="ADM",'Projekt-Budget-Übersicht'!$J:$J,'Projekt-Budget-Übersicht'!$H:$H))),MATCH(4703,'Projekt-Budget-Übersicht'!$L:$L,0)),0))</f>
        <v>0</v>
      </c>
      <c r="M171" s="10">
        <f t="shared" si="17"/>
        <v>0</v>
      </c>
      <c r="N171" s="10">
        <f t="shared" si="18"/>
        <v>0</v>
      </c>
      <c r="O171" s="10">
        <f t="shared" si="19"/>
        <v>0</v>
      </c>
      <c r="P171" s="10">
        <f>'S. Schüler'!M171</f>
        <v>0</v>
      </c>
      <c r="Q171" s="10">
        <f>IFERROR(INDEX('Projekt-Budget-Übersicht'!$E:$E,MATCH(4703,'Projekt-Budget-Übersicht'!$L:$L,0)),0)</f>
        <v>0</v>
      </c>
      <c r="R171" s="10">
        <v>2335</v>
      </c>
      <c r="S171" s="4"/>
      <c r="T171" s="4"/>
      <c r="U171" s="4"/>
    </row>
    <row r="172" spans="1:21" x14ac:dyDescent="0.25">
      <c r="A172" s="23"/>
      <c r="B172" s="4" t="s">
        <v>5636</v>
      </c>
      <c r="C172" s="4" t="str">
        <f>IFERROR(INDEX('Projekt-Budget-Übersicht'!$C:$C,MATCH(4703,'Projekt-Budget-Übersicht'!$L:$L,0)),"")</f>
        <v/>
      </c>
      <c r="D172" s="4">
        <v>10.5</v>
      </c>
      <c r="E172" s="4">
        <v>10</v>
      </c>
      <c r="F172" s="5">
        <f>SUM(F34,F75,I34,I75,K34,K75)</f>
        <v>8.5</v>
      </c>
      <c r="G172" s="14">
        <v>95.24</v>
      </c>
      <c r="H172" s="5">
        <f>SUM(H34,H75)</f>
        <v>0</v>
      </c>
      <c r="I172" s="5">
        <f t="shared" si="16"/>
        <v>0</v>
      </c>
      <c r="J172" s="4" t="s">
        <v>5531</v>
      </c>
      <c r="K172" s="5">
        <f>SUM(K34,K75)</f>
        <v>0</v>
      </c>
      <c r="L172" s="10">
        <f>IF($B$2="-",0,IFERROR(INDEX(IF($B$2="SV",'Projekt-Budget-Übersicht'!$H:$H,IF($B$2="CAD",'Projekt-Budget-Übersicht'!$I:$I,IF($B$2="ADM",'Projekt-Budget-Übersicht'!$J:$J,'Projekt-Budget-Übersicht'!$H:$H))),MATCH(4703,'Projekt-Budget-Übersicht'!$L:$L,0)),0))</f>
        <v>0</v>
      </c>
      <c r="M172" s="10">
        <f t="shared" si="17"/>
        <v>0</v>
      </c>
      <c r="N172" s="10">
        <f t="shared" si="18"/>
        <v>0</v>
      </c>
      <c r="O172" s="10">
        <f t="shared" si="19"/>
        <v>0</v>
      </c>
      <c r="P172" s="10">
        <f>'O. Haag BS-CAD'!M200+'S. Schüler'!M172</f>
        <v>0</v>
      </c>
      <c r="Q172" s="10">
        <f>IFERROR(INDEX('Projekt-Budget-Übersicht'!$E:$E,MATCH(4703,'Projekt-Budget-Übersicht'!$L:$L,0)),0)</f>
        <v>0</v>
      </c>
      <c r="R172" s="10">
        <v>2335</v>
      </c>
      <c r="S172" s="4"/>
      <c r="T172" s="4"/>
      <c r="U172" s="4"/>
    </row>
    <row r="173" spans="1:21" x14ac:dyDescent="0.25">
      <c r="A173" s="23"/>
      <c r="B173" s="4" t="s">
        <v>5671</v>
      </c>
      <c r="C173" s="4" t="str">
        <f>IFERROR(INDEX('Projekt-Budget-Übersicht'!$C:$C,MATCH(4702,'Projekt-Budget-Übersicht'!$L:$L,0)),"")</f>
        <v/>
      </c>
      <c r="D173" s="4">
        <v>15</v>
      </c>
      <c r="E173" s="4">
        <v>13.75</v>
      </c>
      <c r="F173" s="5">
        <f>SUM(F35,I35,K35)</f>
        <v>0.5</v>
      </c>
      <c r="G173" s="14">
        <v>91.67</v>
      </c>
      <c r="H173" s="5">
        <f>SUM(H35)</f>
        <v>0</v>
      </c>
      <c r="I173" s="5">
        <f t="shared" si="16"/>
        <v>0</v>
      </c>
      <c r="J173" s="4" t="s">
        <v>5531</v>
      </c>
      <c r="K173" s="5">
        <f>SUM(K35)</f>
        <v>0</v>
      </c>
      <c r="L173" s="10">
        <f>IF($B$2="-",0,IFERROR(INDEX(IF($B$2="SV",'Projekt-Budget-Übersicht'!$H:$H,IF($B$2="CAD",'Projekt-Budget-Übersicht'!$I:$I,IF($B$2="ADM",'Projekt-Budget-Übersicht'!$J:$J,'Projekt-Budget-Übersicht'!$H:$H))),MATCH(4702,'Projekt-Budget-Übersicht'!$L:$L,0)),0))</f>
        <v>0</v>
      </c>
      <c r="M173" s="10">
        <f t="shared" si="17"/>
        <v>0</v>
      </c>
      <c r="N173" s="10">
        <f t="shared" si="18"/>
        <v>0</v>
      </c>
      <c r="O173" s="10">
        <f t="shared" si="19"/>
        <v>0</v>
      </c>
      <c r="P173" s="10">
        <f>'S. Schüler'!M173</f>
        <v>0</v>
      </c>
      <c r="Q173" s="10">
        <f>IFERROR(INDEX('Projekt-Budget-Übersicht'!$E:$E,MATCH(4702,'Projekt-Budget-Übersicht'!$L:$L,0)),0)</f>
        <v>0</v>
      </c>
      <c r="R173" s="10">
        <v>1765</v>
      </c>
      <c r="S173" s="4"/>
      <c r="T173" s="4"/>
      <c r="U173" s="4"/>
    </row>
    <row r="174" spans="1:21" x14ac:dyDescent="0.25">
      <c r="A174" s="23"/>
      <c r="B174" s="4" t="s">
        <v>5645</v>
      </c>
      <c r="C174" s="4" t="str">
        <f>IFERROR(INDEX('Projekt-Budget-Übersicht'!$C:$C,MATCH(4703,'Projekt-Budget-Übersicht'!$L:$L,0)),"")</f>
        <v/>
      </c>
      <c r="D174" s="4">
        <v>6</v>
      </c>
      <c r="E174" s="4">
        <v>6</v>
      </c>
      <c r="F174" s="5">
        <f>SUM(F76,I76,K76)</f>
        <v>6</v>
      </c>
      <c r="G174" s="14">
        <v>100</v>
      </c>
      <c r="H174" s="5">
        <f>SUM(H76)</f>
        <v>0</v>
      </c>
      <c r="I174" s="5">
        <f t="shared" si="16"/>
        <v>0</v>
      </c>
      <c r="J174" s="4" t="s">
        <v>5531</v>
      </c>
      <c r="K174" s="5">
        <f>SUM(K76)</f>
        <v>0</v>
      </c>
      <c r="L174" s="10">
        <f>IF($B$2="-",0,IFERROR(INDEX(IF($B$2="SV",'Projekt-Budget-Übersicht'!$H:$H,IF($B$2="CAD",'Projekt-Budget-Übersicht'!$I:$I,IF($B$2="ADM",'Projekt-Budget-Übersicht'!$J:$J,'Projekt-Budget-Übersicht'!$H:$H))),MATCH(4703,'Projekt-Budget-Übersicht'!$L:$L,0)),0))</f>
        <v>0</v>
      </c>
      <c r="M174" s="10">
        <f t="shared" si="17"/>
        <v>0</v>
      </c>
      <c r="N174" s="10">
        <f t="shared" si="18"/>
        <v>0</v>
      </c>
      <c r="O174" s="10">
        <f t="shared" si="19"/>
        <v>0</v>
      </c>
      <c r="P174" s="10">
        <f>'S. Schüler'!M174</f>
        <v>0</v>
      </c>
      <c r="Q174" s="10">
        <f>IFERROR(INDEX('Projekt-Budget-Übersicht'!$E:$E,MATCH(4703,'Projekt-Budget-Übersicht'!$L:$L,0)),0)</f>
        <v>0</v>
      </c>
      <c r="R174" s="10">
        <v>2335</v>
      </c>
      <c r="S174" s="4"/>
      <c r="T174" s="4"/>
      <c r="U174" s="4"/>
    </row>
    <row r="175" spans="1:21" x14ac:dyDescent="0.25">
      <c r="A175" s="23"/>
      <c r="B175" s="4" t="s">
        <v>5672</v>
      </c>
      <c r="C175" s="4" t="str">
        <f>IFERROR(INDEX('Projekt-Budget-Übersicht'!$C:$C,MATCH(4703,'Projekt-Budget-Übersicht'!$L:$L,0)),"")</f>
        <v/>
      </c>
      <c r="D175" s="4">
        <v>7.5</v>
      </c>
      <c r="E175" s="4">
        <v>2.5</v>
      </c>
      <c r="F175" s="5">
        <f>SUM(F36,I36,K36)</f>
        <v>2.5</v>
      </c>
      <c r="G175" s="16">
        <v>33.33</v>
      </c>
      <c r="H175" s="5">
        <f>SUM(H36)</f>
        <v>0</v>
      </c>
      <c r="I175" s="5">
        <f t="shared" si="16"/>
        <v>0</v>
      </c>
      <c r="J175" s="4" t="s">
        <v>5531</v>
      </c>
      <c r="K175" s="5">
        <f>SUM(K36)</f>
        <v>0</v>
      </c>
      <c r="L175" s="10">
        <f>IF($B$2="-",0,IFERROR(INDEX(IF($B$2="SV",'Projekt-Budget-Übersicht'!$H:$H,IF($B$2="CAD",'Projekt-Budget-Übersicht'!$I:$I,IF($B$2="ADM",'Projekt-Budget-Übersicht'!$J:$J,'Projekt-Budget-Übersicht'!$H:$H))),MATCH(4703,'Projekt-Budget-Übersicht'!$L:$L,0)),0))</f>
        <v>0</v>
      </c>
      <c r="M175" s="10">
        <f t="shared" si="17"/>
        <v>0</v>
      </c>
      <c r="N175" s="10">
        <f t="shared" si="18"/>
        <v>0</v>
      </c>
      <c r="O175" s="10">
        <f t="shared" si="19"/>
        <v>0</v>
      </c>
      <c r="P175" s="10">
        <f>'S. Schüler'!M175</f>
        <v>0</v>
      </c>
      <c r="Q175" s="10">
        <f>IFERROR(INDEX('Projekt-Budget-Übersicht'!$E:$E,MATCH(4703,'Projekt-Budget-Übersicht'!$L:$L,0)),0)</f>
        <v>0</v>
      </c>
      <c r="R175" s="10">
        <v>2335</v>
      </c>
      <c r="S175" s="4"/>
      <c r="T175" s="4"/>
      <c r="U175" s="4"/>
    </row>
    <row r="176" spans="1:21" x14ac:dyDescent="0.25">
      <c r="A176" s="23"/>
      <c r="B176" s="4" t="s">
        <v>5673</v>
      </c>
      <c r="C176" s="4" t="str">
        <f>IFERROR(INDEX('Projekt-Budget-Übersicht'!$C:$C,MATCH(4703,'Projekt-Budget-Übersicht'!$L:$L,0)),"")</f>
        <v/>
      </c>
      <c r="D176" s="4">
        <v>2</v>
      </c>
      <c r="E176" s="4">
        <v>1.25</v>
      </c>
      <c r="F176" s="5">
        <f>SUM(F37,F77,I37,I77,K37,K77)</f>
        <v>1.25</v>
      </c>
      <c r="G176" s="16">
        <v>62.5</v>
      </c>
      <c r="H176" s="5">
        <f>SUM(H37,H77)</f>
        <v>0</v>
      </c>
      <c r="I176" s="5">
        <f t="shared" si="16"/>
        <v>0</v>
      </c>
      <c r="J176" s="4" t="s">
        <v>5531</v>
      </c>
      <c r="K176" s="5">
        <f>SUM(K37,K77)</f>
        <v>0</v>
      </c>
      <c r="L176" s="10">
        <f>IF($B$2="-",0,IFERROR(INDEX(IF($B$2="SV",'Projekt-Budget-Übersicht'!$H:$H,IF($B$2="CAD",'Projekt-Budget-Übersicht'!$I:$I,IF($B$2="ADM",'Projekt-Budget-Übersicht'!$J:$J,'Projekt-Budget-Übersicht'!$H:$H))),MATCH(4703,'Projekt-Budget-Übersicht'!$L:$L,0)),0))</f>
        <v>0</v>
      </c>
      <c r="M176" s="10">
        <f t="shared" si="17"/>
        <v>0</v>
      </c>
      <c r="N176" s="10">
        <f t="shared" si="18"/>
        <v>0</v>
      </c>
      <c r="O176" s="10">
        <f t="shared" si="19"/>
        <v>0</v>
      </c>
      <c r="P176" s="10">
        <f>'S. Schüler'!M176</f>
        <v>0</v>
      </c>
      <c r="Q176" s="10">
        <f>IFERROR(INDEX('Projekt-Budget-Übersicht'!$E:$E,MATCH(4703,'Projekt-Budget-Übersicht'!$L:$L,0)),0)</f>
        <v>0</v>
      </c>
      <c r="R176" s="10">
        <v>2335</v>
      </c>
      <c r="S176" s="4"/>
      <c r="T176" s="4"/>
      <c r="U176" s="4"/>
    </row>
    <row r="177" spans="1:21" x14ac:dyDescent="0.25">
      <c r="A177" s="22"/>
      <c r="B177" s="4" t="s">
        <v>5680</v>
      </c>
      <c r="C177" s="4" t="str">
        <f>IFERROR(INDEX('Projekt-Budget-Übersicht'!$C:$C,MATCH(4703,'Projekt-Budget-Übersicht'!$L:$L,0)),"")</f>
        <v/>
      </c>
      <c r="D177" s="4">
        <v>7.5</v>
      </c>
      <c r="E177" s="4">
        <v>2.25</v>
      </c>
      <c r="F177" s="5">
        <f>SUM(F78,I78,K78)</f>
        <v>2.25</v>
      </c>
      <c r="G177" s="16">
        <v>30</v>
      </c>
      <c r="H177" s="5">
        <f>SUM(H78)</f>
        <v>0</v>
      </c>
      <c r="I177" s="5">
        <f t="shared" si="16"/>
        <v>0</v>
      </c>
      <c r="J177" s="4" t="s">
        <v>5531</v>
      </c>
      <c r="K177" s="5">
        <f>SUM(K78)</f>
        <v>0</v>
      </c>
      <c r="L177" s="10">
        <f>IF($B$2="-",0,IFERROR(INDEX(IF($B$2="SV",'Projekt-Budget-Übersicht'!$H:$H,IF($B$2="CAD",'Projekt-Budget-Übersicht'!$I:$I,IF($B$2="ADM",'Projekt-Budget-Übersicht'!$J:$J,'Projekt-Budget-Übersicht'!$H:$H))),MATCH(4703,'Projekt-Budget-Übersicht'!$L:$L,0)),0))</f>
        <v>0</v>
      </c>
      <c r="M177" s="10">
        <f t="shared" si="17"/>
        <v>0</v>
      </c>
      <c r="N177" s="10">
        <f t="shared" si="18"/>
        <v>0</v>
      </c>
      <c r="O177" s="10">
        <f t="shared" si="19"/>
        <v>0</v>
      </c>
      <c r="P177" s="10">
        <f>'S. Schüler'!M177</f>
        <v>0</v>
      </c>
      <c r="Q177" s="10">
        <f>IFERROR(INDEX('Projekt-Budget-Übersicht'!$E:$E,MATCH(4703,'Projekt-Budget-Übersicht'!$L:$L,0)),0)</f>
        <v>0</v>
      </c>
      <c r="R177" s="10">
        <v>2335</v>
      </c>
      <c r="S177" s="4"/>
      <c r="T177" s="4"/>
      <c r="U177" s="4"/>
    </row>
    <row r="178" spans="1:21" x14ac:dyDescent="0.25">
      <c r="A178" s="4" t="s">
        <v>4739</v>
      </c>
      <c r="B178" s="4" t="s">
        <v>5644</v>
      </c>
      <c r="C178" s="4" t="str">
        <f>IFERROR(INDEX('Projekt-Budget-Übersicht'!$C:$C,MATCH(4763,'Projekt-Budget-Übersicht'!$L:$L,0)),"")</f>
        <v/>
      </c>
      <c r="D178" s="4">
        <v>15</v>
      </c>
      <c r="E178" s="4">
        <v>4</v>
      </c>
      <c r="F178" s="5">
        <f>SUM(F112,I112,K112)</f>
        <v>1</v>
      </c>
      <c r="G178" s="16">
        <v>26.67</v>
      </c>
      <c r="H178" s="5">
        <f>SUM(H112)</f>
        <v>0</v>
      </c>
      <c r="I178" s="5">
        <f t="shared" si="16"/>
        <v>0</v>
      </c>
      <c r="J178" s="4" t="s">
        <v>5531</v>
      </c>
      <c r="K178" s="5">
        <f>SUM(K112)</f>
        <v>0</v>
      </c>
      <c r="L178" s="10">
        <f>IF($B$2="-",0,IFERROR(INDEX(IF($B$2="SV",'Projekt-Budget-Übersicht'!$H:$H,IF($B$2="CAD",'Projekt-Budget-Übersicht'!$I:$I,IF($B$2="ADM",'Projekt-Budget-Übersicht'!$J:$J,'Projekt-Budget-Übersicht'!$H:$H))),MATCH(4763,'Projekt-Budget-Übersicht'!$L:$L,0)),0))</f>
        <v>0</v>
      </c>
      <c r="M178" s="10">
        <f t="shared" si="17"/>
        <v>0</v>
      </c>
      <c r="N178" s="10">
        <f t="shared" si="18"/>
        <v>0</v>
      </c>
      <c r="O178" s="10">
        <f t="shared" si="19"/>
        <v>0</v>
      </c>
      <c r="P178" s="10">
        <f>'S. Schüler'!M178</f>
        <v>0</v>
      </c>
      <c r="Q178" s="10">
        <f>IFERROR(INDEX('Projekt-Budget-Übersicht'!$E:$E,MATCH(4763,'Projekt-Budget-Übersicht'!$L:$L,0)),0)</f>
        <v>0</v>
      </c>
      <c r="R178" s="10">
        <v>496.25</v>
      </c>
      <c r="S178" s="4"/>
      <c r="T178" s="4"/>
      <c r="U178" s="4"/>
    </row>
    <row r="179" spans="1:21" x14ac:dyDescent="0.25">
      <c r="A179" s="4" t="s">
        <v>4819</v>
      </c>
      <c r="B179" s="4" t="s">
        <v>5485</v>
      </c>
      <c r="C179" s="4" t="str">
        <f>IFERROR(INDEX('Projekt-Budget-Übersicht'!$C:$C,MATCH(4821,'Projekt-Budget-Übersicht'!$L:$L,0)),"")</f>
        <v/>
      </c>
      <c r="D179" s="4">
        <v>6</v>
      </c>
      <c r="E179" s="4">
        <v>9.75</v>
      </c>
      <c r="F179" s="5">
        <f>SUM(F79,I79,K79)</f>
        <v>2.5</v>
      </c>
      <c r="G179" s="15">
        <v>162.5</v>
      </c>
      <c r="H179" s="5">
        <f>SUM(H79)</f>
        <v>0</v>
      </c>
      <c r="I179" s="5">
        <f t="shared" si="16"/>
        <v>0</v>
      </c>
      <c r="J179" s="4" t="s">
        <v>5531</v>
      </c>
      <c r="K179" s="5">
        <f>SUM(K79)</f>
        <v>0</v>
      </c>
      <c r="L179" s="10">
        <f>IF($B$2="-",0,IFERROR(INDEX(IF($B$2="SV",'Projekt-Budget-Übersicht'!$H:$H,IF($B$2="CAD",'Projekt-Budget-Übersicht'!$I:$I,IF($B$2="ADM",'Projekt-Budget-Übersicht'!$J:$J,'Projekt-Budget-Übersicht'!$H:$H))),MATCH(4821,'Projekt-Budget-Übersicht'!$L:$L,0)),0))</f>
        <v>0</v>
      </c>
      <c r="M179" s="10">
        <f t="shared" si="17"/>
        <v>0</v>
      </c>
      <c r="N179" s="10">
        <f t="shared" si="18"/>
        <v>0</v>
      </c>
      <c r="O179" s="10">
        <f t="shared" si="19"/>
        <v>0</v>
      </c>
      <c r="P179" s="10">
        <f>'S. Schüler'!M179</f>
        <v>0</v>
      </c>
      <c r="Q179" s="10">
        <f>IFERROR(INDEX('Projekt-Budget-Übersicht'!$E:$E,MATCH(4821,'Projekt-Budget-Übersicht'!$L:$L,0)),0)</f>
        <v>0</v>
      </c>
      <c r="R179" s="10">
        <v>1161.25</v>
      </c>
      <c r="S179" s="4"/>
      <c r="T179" s="4"/>
      <c r="U179" s="4"/>
    </row>
    <row r="180" spans="1:21" x14ac:dyDescent="0.25">
      <c r="A180" s="4" t="s">
        <v>4874</v>
      </c>
      <c r="B180" s="4" t="s">
        <v>5556</v>
      </c>
      <c r="C180" s="4" t="str">
        <f>IFERROR(INDEX('Projekt-Budget-Übersicht'!$C:$C,MATCH(4869,'Projekt-Budget-Übersicht'!$L:$L,0)),"")</f>
        <v/>
      </c>
      <c r="D180" s="4">
        <v>20</v>
      </c>
      <c r="E180" s="4">
        <v>20.5</v>
      </c>
      <c r="F180" s="5">
        <f>SUM(F38,I38,K38)</f>
        <v>1.25</v>
      </c>
      <c r="G180" s="15">
        <v>102.5</v>
      </c>
      <c r="H180" s="5">
        <f>SUM(H38)</f>
        <v>0</v>
      </c>
      <c r="I180" s="5">
        <f t="shared" si="16"/>
        <v>0</v>
      </c>
      <c r="J180" s="4" t="s">
        <v>5531</v>
      </c>
      <c r="K180" s="5">
        <f>SUM(K38)</f>
        <v>0</v>
      </c>
      <c r="L180" s="10">
        <f>IF($B$2="-",0,IFERROR(INDEX(IF($B$2="SV",'Projekt-Budget-Übersicht'!$H:$H,IF($B$2="CAD",'Projekt-Budget-Übersicht'!$I:$I,IF($B$2="ADM",'Projekt-Budget-Übersicht'!$J:$J,'Projekt-Budget-Übersicht'!$H:$H))),MATCH(4869,'Projekt-Budget-Übersicht'!$L:$L,0)),0))</f>
        <v>0</v>
      </c>
      <c r="M180" s="10">
        <f t="shared" si="17"/>
        <v>0</v>
      </c>
      <c r="N180" s="10">
        <f t="shared" si="18"/>
        <v>0</v>
      </c>
      <c r="O180" s="10">
        <f t="shared" si="19"/>
        <v>0</v>
      </c>
      <c r="P180" s="10">
        <f>'D. Brucker'!M63+'S. Schüler'!M180</f>
        <v>0</v>
      </c>
      <c r="Q180" s="10">
        <f>IFERROR(INDEX('Projekt-Budget-Übersicht'!$E:$E,MATCH(4869,'Projekt-Budget-Übersicht'!$L:$L,0)),0)</f>
        <v>0</v>
      </c>
      <c r="R180" s="10"/>
      <c r="S180" s="4"/>
      <c r="T180" s="4"/>
      <c r="U180" s="4"/>
    </row>
    <row r="181" spans="1:21" x14ac:dyDescent="0.25">
      <c r="A181" s="4" t="s">
        <v>4929</v>
      </c>
      <c r="B181" s="4" t="s">
        <v>5557</v>
      </c>
      <c r="C181" s="4" t="str">
        <f>IFERROR(INDEX('Projekt-Budget-Übersicht'!$C:$C,MATCH(4908,'Projekt-Budget-Übersicht'!$L:$L,0)),"")</f>
        <v/>
      </c>
      <c r="D181" s="4">
        <v>40</v>
      </c>
      <c r="E181" s="4">
        <v>36.75</v>
      </c>
      <c r="F181" s="5">
        <f>SUM(F113,I113,K113)</f>
        <v>7.5</v>
      </c>
      <c r="G181" s="14">
        <v>91.88</v>
      </c>
      <c r="H181" s="5">
        <f>SUM(H113)</f>
        <v>0</v>
      </c>
      <c r="I181" s="5">
        <f t="shared" si="16"/>
        <v>0</v>
      </c>
      <c r="J181" s="4" t="s">
        <v>5531</v>
      </c>
      <c r="K181" s="5">
        <f>SUM(K113)</f>
        <v>0</v>
      </c>
      <c r="L181" s="10">
        <f>IF($B$2="-",0,IFERROR(INDEX(IF($B$2="SV",'Projekt-Budget-Übersicht'!$H:$H,IF($B$2="CAD",'Projekt-Budget-Übersicht'!$I:$I,IF($B$2="ADM",'Projekt-Budget-Übersicht'!$J:$J,'Projekt-Budget-Übersicht'!$H:$H))),MATCH(4908,'Projekt-Budget-Übersicht'!$L:$L,0)),0))</f>
        <v>0</v>
      </c>
      <c r="M181" s="10">
        <f t="shared" si="17"/>
        <v>0</v>
      </c>
      <c r="N181" s="10">
        <f t="shared" si="18"/>
        <v>0</v>
      </c>
      <c r="O181" s="10">
        <f t="shared" si="19"/>
        <v>0</v>
      </c>
      <c r="P181" s="10">
        <f>'D. Brucker'!M64+'S. Schüler'!M181</f>
        <v>0</v>
      </c>
      <c r="Q181" s="10">
        <f>IFERROR(INDEX('Projekt-Budget-Übersicht'!$E:$E,MATCH(4908,'Projekt-Budget-Übersicht'!$L:$L,0)),0)</f>
        <v>0</v>
      </c>
      <c r="R181" s="10">
        <v>697.5</v>
      </c>
      <c r="S181" s="4"/>
      <c r="T181" s="4"/>
      <c r="U181" s="4"/>
    </row>
    <row r="182" spans="1:21" x14ac:dyDescent="0.25">
      <c r="A182" s="4" t="s">
        <v>5037</v>
      </c>
      <c r="B182" s="4" t="s">
        <v>5459</v>
      </c>
      <c r="C182" s="4" t="str">
        <f>IFERROR(INDEX('Projekt-Budget-Übersicht'!$C:$C,MATCH(5018,'Projekt-Budget-Übersicht'!$L:$L,0)),"")</f>
        <v/>
      </c>
      <c r="D182" s="4">
        <v>47</v>
      </c>
      <c r="E182" s="4">
        <v>24.5</v>
      </c>
      <c r="F182" s="5">
        <f>SUM(F39,F80,F114,I39,I80,I114,K39,K80,K114)</f>
        <v>13.75</v>
      </c>
      <c r="G182" s="16">
        <v>52.13</v>
      </c>
      <c r="H182" s="5">
        <f>SUM(H39,H80,H114)</f>
        <v>0</v>
      </c>
      <c r="I182" s="5">
        <f t="shared" si="16"/>
        <v>0</v>
      </c>
      <c r="J182" s="4" t="s">
        <v>5531</v>
      </c>
      <c r="K182" s="5">
        <f>SUM(K39,K80,K114)</f>
        <v>0</v>
      </c>
      <c r="L182" s="10">
        <f>IF($B$2="-",0,IFERROR(INDEX(IF($B$2="SV",'Projekt-Budget-Übersicht'!$H:$H,IF($B$2="CAD",'Projekt-Budget-Übersicht'!$I:$I,IF($B$2="ADM",'Projekt-Budget-Übersicht'!$J:$J,'Projekt-Budget-Übersicht'!$H:$H))),MATCH(5018,'Projekt-Budget-Übersicht'!$L:$L,0)),0))</f>
        <v>0</v>
      </c>
      <c r="M182" s="10">
        <f t="shared" si="17"/>
        <v>0</v>
      </c>
      <c r="N182" s="10">
        <f t="shared" si="18"/>
        <v>0</v>
      </c>
      <c r="O182" s="10">
        <f t="shared" si="19"/>
        <v>0</v>
      </c>
      <c r="P182" s="10">
        <f>'S. Schüler'!M182</f>
        <v>0</v>
      </c>
      <c r="Q182" s="10">
        <f>IFERROR(INDEX('Projekt-Budget-Übersicht'!$E:$E,MATCH(5018,'Projekt-Budget-Übersicht'!$L:$L,0)),0)</f>
        <v>0</v>
      </c>
      <c r="R182" s="10">
        <v>2205</v>
      </c>
      <c r="S182" s="4"/>
      <c r="T182" s="4"/>
      <c r="U182" s="4"/>
    </row>
    <row r="183" spans="1:21" x14ac:dyDescent="0.25">
      <c r="A183" s="4" t="s">
        <v>5065</v>
      </c>
      <c r="B183" s="4" t="s">
        <v>5674</v>
      </c>
      <c r="C183" s="4" t="str">
        <f>IFERROR(INDEX('Projekt-Budget-Übersicht'!$C:$C,MATCH(5046,'Projekt-Budget-Übersicht'!$L:$L,0)),"")</f>
        <v/>
      </c>
      <c r="D183" s="4">
        <v>30</v>
      </c>
      <c r="E183" s="4">
        <v>19.5</v>
      </c>
      <c r="F183" s="5">
        <f>SUM(F40,F81,I40,I81,K40,K81)</f>
        <v>17.5</v>
      </c>
      <c r="G183" s="16">
        <v>65</v>
      </c>
      <c r="H183" s="5">
        <f>SUM(H40,H81)</f>
        <v>0</v>
      </c>
      <c r="I183" s="5">
        <f t="shared" si="16"/>
        <v>0</v>
      </c>
      <c r="J183" s="4" t="s">
        <v>5531</v>
      </c>
      <c r="K183" s="5">
        <f>SUM(K40,K81)</f>
        <v>0</v>
      </c>
      <c r="L183" s="10">
        <f>IF($B$2="-",0,IFERROR(INDEX(IF($B$2="SV",'Projekt-Budget-Übersicht'!$H:$H,IF($B$2="CAD",'Projekt-Budget-Übersicht'!$I:$I,IF($B$2="ADM",'Projekt-Budget-Übersicht'!$J:$J,'Projekt-Budget-Übersicht'!$H:$H))),MATCH(5046,'Projekt-Budget-Übersicht'!$L:$L,0)),0))</f>
        <v>0</v>
      </c>
      <c r="M183" s="10">
        <f t="shared" si="17"/>
        <v>0</v>
      </c>
      <c r="N183" s="10">
        <f t="shared" si="18"/>
        <v>0</v>
      </c>
      <c r="O183" s="10">
        <f t="shared" si="19"/>
        <v>0</v>
      </c>
      <c r="P183" s="10">
        <f>'S. Schüler'!M183</f>
        <v>0</v>
      </c>
      <c r="Q183" s="10">
        <f>IFERROR(INDEX('Projekt-Budget-Übersicht'!$E:$E,MATCH(5046,'Projekt-Budget-Übersicht'!$L:$L,0)),0)</f>
        <v>0</v>
      </c>
      <c r="R183" s="10">
        <v>1673.29</v>
      </c>
      <c r="S183" s="4"/>
      <c r="T183" s="4"/>
      <c r="U183" s="4"/>
    </row>
    <row r="184" spans="1:21" x14ac:dyDescent="0.25">
      <c r="A184" s="4" t="s">
        <v>5159</v>
      </c>
      <c r="B184" s="4" t="s">
        <v>5681</v>
      </c>
      <c r="C184" s="4" t="str">
        <f>IFERROR(INDEX('Projekt-Budget-Übersicht'!$C:$C,MATCH(5121,'Projekt-Budget-Übersicht'!$L:$L,0)),"")</f>
        <v/>
      </c>
      <c r="D184" s="4">
        <v>15.5</v>
      </c>
      <c r="E184" s="4">
        <v>15.5</v>
      </c>
      <c r="F184" s="5">
        <f>SUM(F82,I82,K82)</f>
        <v>14.25</v>
      </c>
      <c r="G184" s="14">
        <v>100</v>
      </c>
      <c r="H184" s="5">
        <f>SUM(H82)</f>
        <v>0</v>
      </c>
      <c r="I184" s="5">
        <f t="shared" si="16"/>
        <v>0</v>
      </c>
      <c r="J184" s="4" t="s">
        <v>5531</v>
      </c>
      <c r="K184" s="5">
        <f>SUM(K82)</f>
        <v>0</v>
      </c>
      <c r="L184" s="10">
        <f>IF($B$2="-",0,IFERROR(INDEX(IF($B$2="SV",'Projekt-Budget-Übersicht'!$H:$H,IF($B$2="CAD",'Projekt-Budget-Übersicht'!$I:$I,IF($B$2="ADM",'Projekt-Budget-Übersicht'!$J:$J,'Projekt-Budget-Übersicht'!$H:$H))),MATCH(5121,'Projekt-Budget-Übersicht'!$L:$L,0)),0))</f>
        <v>0</v>
      </c>
      <c r="M184" s="10">
        <f t="shared" si="17"/>
        <v>0</v>
      </c>
      <c r="N184" s="10">
        <f t="shared" si="18"/>
        <v>0</v>
      </c>
      <c r="O184" s="10">
        <f t="shared" si="19"/>
        <v>0</v>
      </c>
      <c r="P184" s="10">
        <f>'S. Schüler'!M184+'T. Trautmann'!M154</f>
        <v>0</v>
      </c>
      <c r="Q184" s="10">
        <f>IFERROR(INDEX('Projekt-Budget-Übersicht'!$E:$E,MATCH(5121,'Projekt-Budget-Übersicht'!$L:$L,0)),0)</f>
        <v>0</v>
      </c>
      <c r="R184" s="10">
        <v>1395</v>
      </c>
      <c r="S184" s="4"/>
      <c r="T184" s="4"/>
      <c r="U184" s="4"/>
    </row>
    <row r="185" spans="1:21" x14ac:dyDescent="0.25">
      <c r="A185" s="4" t="s">
        <v>5182</v>
      </c>
      <c r="B185" s="4" t="s">
        <v>5511</v>
      </c>
      <c r="C185" s="4" t="str">
        <f>IFERROR(INDEX('Projekt-Budget-Übersicht'!$C:$C,MATCH(5137,'Projekt-Budget-Übersicht'!$L:$L,0)),"")</f>
        <v/>
      </c>
      <c r="D185" s="4">
        <v>6</v>
      </c>
      <c r="E185" s="4">
        <v>2.75</v>
      </c>
      <c r="F185" s="5">
        <f>SUM(F115,I115,K115)</f>
        <v>1.5</v>
      </c>
      <c r="G185" s="16">
        <v>45.83</v>
      </c>
      <c r="H185" s="5">
        <f>SUM(H115)</f>
        <v>0</v>
      </c>
      <c r="I185" s="5">
        <f t="shared" si="16"/>
        <v>0</v>
      </c>
      <c r="J185" s="4" t="s">
        <v>5531</v>
      </c>
      <c r="K185" s="5">
        <f>SUM(K115)</f>
        <v>0</v>
      </c>
      <c r="L185" s="10">
        <f>IF($B$2="-",0,IFERROR(INDEX(IF($B$2="SV",'Projekt-Budget-Übersicht'!$H:$H,IF($B$2="CAD",'Projekt-Budget-Übersicht'!$I:$I,IF($B$2="ADM",'Projekt-Budget-Übersicht'!$J:$J,'Projekt-Budget-Übersicht'!$H:$H))),MATCH(5137,'Projekt-Budget-Übersicht'!$L:$L,0)),0))</f>
        <v>0</v>
      </c>
      <c r="M185" s="10">
        <f t="shared" si="17"/>
        <v>0</v>
      </c>
      <c r="N185" s="10">
        <f t="shared" si="18"/>
        <v>0</v>
      </c>
      <c r="O185" s="10">
        <f t="shared" si="19"/>
        <v>0</v>
      </c>
      <c r="P185" s="10">
        <f>'A. Kokott'!M214+'S. Schüler'!M185</f>
        <v>0</v>
      </c>
      <c r="Q185" s="10">
        <f>IFERROR(INDEX('Projekt-Budget-Übersicht'!$E:$E,MATCH(5137,'Projekt-Budget-Übersicht'!$L:$L,0)),0)</f>
        <v>0</v>
      </c>
      <c r="R185" s="10">
        <v>152.5</v>
      </c>
      <c r="S185" s="4"/>
      <c r="T185" s="4"/>
      <c r="U185" s="4"/>
    </row>
    <row r="186" spans="1:21" x14ac:dyDescent="0.25">
      <c r="A186" s="21" t="s">
        <v>5446</v>
      </c>
      <c r="B186" s="4" t="s">
        <v>5675</v>
      </c>
      <c r="C186" s="4" t="str">
        <f>IFERROR(INDEX('Projekt-Budget-Übersicht'!$C:$C,MATCH(5387,'Projekt-Budget-Übersicht'!$L:$L,0)),"")</f>
        <v/>
      </c>
      <c r="D186" s="4" t="s">
        <v>5531</v>
      </c>
      <c r="E186" s="4">
        <v>5</v>
      </c>
      <c r="F186" s="5">
        <f>SUM(F42,F83,I42,I83,K42,K83)</f>
        <v>4.5</v>
      </c>
      <c r="G186" s="4" t="s">
        <v>5531</v>
      </c>
      <c r="H186" s="5">
        <f>SUM(H42,H83)</f>
        <v>0</v>
      </c>
      <c r="I186" s="5">
        <f t="shared" si="16"/>
        <v>0</v>
      </c>
      <c r="J186" s="4" t="s">
        <v>5531</v>
      </c>
      <c r="K186" s="5">
        <f>SUM(K42,K83)</f>
        <v>0</v>
      </c>
      <c r="L186" s="10">
        <f>IF($B$2="-",0,IFERROR(INDEX(IF($B$2="SV",'Projekt-Budget-Übersicht'!$H:$H,IF($B$2="CAD",'Projekt-Budget-Übersicht'!$I:$I,IF($B$2="ADM",'Projekt-Budget-Übersicht'!$J:$J,'Projekt-Budget-Übersicht'!$H:$H))),MATCH(5387,'Projekt-Budget-Übersicht'!$L:$L,0)),0))</f>
        <v>0</v>
      </c>
      <c r="M186" s="10">
        <f t="shared" si="17"/>
        <v>0</v>
      </c>
      <c r="N186" s="10">
        <f t="shared" si="18"/>
        <v>0</v>
      </c>
      <c r="O186" s="10">
        <f t="shared" si="19"/>
        <v>0</v>
      </c>
      <c r="P186" s="10">
        <f>'S. Schüler'!M186</f>
        <v>0</v>
      </c>
      <c r="Q186" s="10">
        <f>IFERROR(INDEX('Projekt-Budget-Übersicht'!$E:$E,MATCH(5387,'Projekt-Budget-Übersicht'!$L:$L,0)),0)</f>
        <v>0</v>
      </c>
      <c r="R186" s="10">
        <v>720</v>
      </c>
      <c r="S186" s="4"/>
      <c r="T186" s="4"/>
      <c r="U186" s="4"/>
    </row>
    <row r="187" spans="1:21" x14ac:dyDescent="0.25">
      <c r="A187" s="23"/>
      <c r="B187" s="4" t="s">
        <v>5676</v>
      </c>
      <c r="C187" s="4" t="str">
        <f>IFERROR(INDEX('Projekt-Budget-Übersicht'!$C:$C,MATCH(5387,'Projekt-Budget-Übersicht'!$L:$L,0)),"")</f>
        <v/>
      </c>
      <c r="D187" s="4" t="s">
        <v>5531</v>
      </c>
      <c r="E187" s="4">
        <v>2.25</v>
      </c>
      <c r="F187" s="5">
        <f>SUM(F43,F84,I43,I84,K43,K84)</f>
        <v>2.25</v>
      </c>
      <c r="G187" s="4" t="s">
        <v>5531</v>
      </c>
      <c r="H187" s="5">
        <f>SUM(H43,H84)</f>
        <v>0</v>
      </c>
      <c r="I187" s="5">
        <f t="shared" si="16"/>
        <v>0</v>
      </c>
      <c r="J187" s="4" t="s">
        <v>5531</v>
      </c>
      <c r="K187" s="5">
        <f>SUM(K43,K84)</f>
        <v>0</v>
      </c>
      <c r="L187" s="10">
        <f>IF($B$2="-",0,IFERROR(INDEX(IF($B$2="SV",'Projekt-Budget-Übersicht'!$H:$H,IF($B$2="CAD",'Projekt-Budget-Übersicht'!$I:$I,IF($B$2="ADM",'Projekt-Budget-Übersicht'!$J:$J,'Projekt-Budget-Übersicht'!$H:$H))),MATCH(5387,'Projekt-Budget-Übersicht'!$L:$L,0)),0))</f>
        <v>0</v>
      </c>
      <c r="M187" s="10">
        <f t="shared" si="17"/>
        <v>0</v>
      </c>
      <c r="N187" s="10">
        <f t="shared" si="18"/>
        <v>0</v>
      </c>
      <c r="O187" s="10">
        <f t="shared" si="19"/>
        <v>0</v>
      </c>
      <c r="P187" s="10">
        <f>'S. Schüler'!M187</f>
        <v>0</v>
      </c>
      <c r="Q187" s="10">
        <f>IFERROR(INDEX('Projekt-Budget-Übersicht'!$E:$E,MATCH(5387,'Projekt-Budget-Übersicht'!$L:$L,0)),0)</f>
        <v>0</v>
      </c>
      <c r="R187" s="10">
        <v>720</v>
      </c>
      <c r="S187" s="4"/>
      <c r="T187" s="4"/>
      <c r="U187" s="4"/>
    </row>
    <row r="188" spans="1:21" x14ac:dyDescent="0.25">
      <c r="A188" s="22"/>
      <c r="B188" s="4" t="s">
        <v>5677</v>
      </c>
      <c r="C188" s="4" t="str">
        <f>IFERROR(INDEX('Projekt-Budget-Übersicht'!$C:$C,MATCH(5387,'Projekt-Budget-Übersicht'!$L:$L,0)),"")</f>
        <v/>
      </c>
      <c r="D188" s="4" t="s">
        <v>5531</v>
      </c>
      <c r="E188" s="4">
        <v>1</v>
      </c>
      <c r="F188" s="5">
        <f>SUM(F44,I44,K44)</f>
        <v>1</v>
      </c>
      <c r="G188" s="4" t="s">
        <v>5531</v>
      </c>
      <c r="H188" s="5">
        <f>SUM(H44)</f>
        <v>0</v>
      </c>
      <c r="I188" s="5">
        <f t="shared" si="16"/>
        <v>0</v>
      </c>
      <c r="J188" s="4" t="s">
        <v>5531</v>
      </c>
      <c r="K188" s="5">
        <f>SUM(K44)</f>
        <v>0</v>
      </c>
      <c r="L188" s="10">
        <f>IF($B$2="-",0,IFERROR(INDEX(IF($B$2="SV",'Projekt-Budget-Übersicht'!$H:$H,IF($B$2="CAD",'Projekt-Budget-Übersicht'!$I:$I,IF($B$2="ADM",'Projekt-Budget-Übersicht'!$J:$J,'Projekt-Budget-Übersicht'!$H:$H))),MATCH(5387,'Projekt-Budget-Übersicht'!$L:$L,0)),0))</f>
        <v>0</v>
      </c>
      <c r="M188" s="10">
        <f t="shared" si="17"/>
        <v>0</v>
      </c>
      <c r="N188" s="10">
        <f t="shared" si="18"/>
        <v>0</v>
      </c>
      <c r="O188" s="10">
        <f t="shared" si="19"/>
        <v>0</v>
      </c>
      <c r="P188" s="10">
        <f>'S. Schüler'!M188</f>
        <v>0</v>
      </c>
      <c r="Q188" s="10">
        <f>IFERROR(INDEX('Projekt-Budget-Übersicht'!$E:$E,MATCH(5387,'Projekt-Budget-Übersicht'!$L:$L,0)),0)</f>
        <v>0</v>
      </c>
      <c r="R188" s="10">
        <v>720</v>
      </c>
      <c r="S188" s="4"/>
      <c r="T188" s="4"/>
      <c r="U188" s="4"/>
    </row>
    <row r="190" spans="1:21" x14ac:dyDescent="0.25">
      <c r="A190" s="3"/>
      <c r="B190" s="3" t="s">
        <v>5492</v>
      </c>
      <c r="C190" s="3"/>
      <c r="D190" s="3"/>
      <c r="E190" s="3"/>
      <c r="F190" s="6">
        <f>SUM(F45,F85,F118)</f>
        <v>373.25</v>
      </c>
      <c r="G190" s="3"/>
      <c r="H190" s="3"/>
      <c r="I190" s="3"/>
      <c r="J190" s="3"/>
      <c r="K190" s="3"/>
      <c r="L190" s="3"/>
      <c r="M190" s="17">
        <f>SUM(M133:M188)</f>
        <v>0</v>
      </c>
      <c r="N190" s="17">
        <f>SUM(N133:N188)</f>
        <v>0</v>
      </c>
      <c r="O190" s="17">
        <f>SUM(O133:O188)</f>
        <v>0</v>
      </c>
      <c r="P190" s="17">
        <f>SUM(P133:P188)</f>
        <v>0</v>
      </c>
      <c r="Q190" s="3"/>
      <c r="R190" s="3"/>
      <c r="S190" s="3"/>
      <c r="T190" s="3"/>
      <c r="U190" s="3"/>
    </row>
    <row r="191" spans="1:21" x14ac:dyDescent="0.25">
      <c r="A191" s="3"/>
      <c r="B191" s="3" t="s">
        <v>4</v>
      </c>
      <c r="C191" s="3"/>
      <c r="D191" s="3"/>
      <c r="E191" s="3"/>
      <c r="F191" s="6">
        <f>G191+H191</f>
        <v>213.5</v>
      </c>
      <c r="G191" s="6">
        <f>SUM(G46,G86,G119)</f>
        <v>213.5</v>
      </c>
      <c r="H191" s="6">
        <v>0</v>
      </c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1:21" x14ac:dyDescent="0.25">
      <c r="A192" s="3"/>
      <c r="B192" s="3" t="s">
        <v>5</v>
      </c>
      <c r="C192" s="3"/>
      <c r="D192" s="3"/>
      <c r="E192" s="3"/>
      <c r="F192" s="6">
        <f>G192+H192</f>
        <v>8</v>
      </c>
      <c r="G192" s="6">
        <f>SUM(G47,G87,G120)</f>
        <v>8</v>
      </c>
      <c r="H192" s="6">
        <v>0</v>
      </c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1:21" x14ac:dyDescent="0.25">
      <c r="A193" s="3"/>
      <c r="B193" s="3" t="s">
        <v>5493</v>
      </c>
      <c r="C193" s="3"/>
      <c r="D193" s="3"/>
      <c r="E193" s="3"/>
      <c r="F193" s="6">
        <f>SUM(F48,F88,F121)</f>
        <v>0</v>
      </c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1:21" x14ac:dyDescent="0.25">
      <c r="A194" s="18"/>
      <c r="B194" s="18" t="s">
        <v>5494</v>
      </c>
      <c r="C194" s="18"/>
      <c r="D194" s="18"/>
      <c r="E194" s="18"/>
      <c r="F194" s="19">
        <f>F191+F192+F193</f>
        <v>221.5</v>
      </c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</row>
    <row r="196" spans="1:21" ht="15.75" x14ac:dyDescent="0.25">
      <c r="A196" s="2" t="s">
        <v>5532</v>
      </c>
    </row>
    <row r="197" spans="1:21" x14ac:dyDescent="0.25">
      <c r="A197" s="13" t="s">
        <v>10</v>
      </c>
      <c r="B197" s="13">
        <v>373.25</v>
      </c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</row>
    <row r="198" spans="1:21" x14ac:dyDescent="0.25">
      <c r="A198" s="13" t="s">
        <v>11</v>
      </c>
      <c r="B198" s="20">
        <f>SUM(F46,F86,F119)</f>
        <v>213.5</v>
      </c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</row>
    <row r="199" spans="1:21" x14ac:dyDescent="0.25">
      <c r="A199" s="13" t="s">
        <v>12</v>
      </c>
      <c r="B199" s="20">
        <f>SUM(F47,F87,F120)</f>
        <v>8</v>
      </c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</row>
  </sheetData>
  <mergeCells count="20">
    <mergeCell ref="A8:A15"/>
    <mergeCell ref="A53:A60"/>
    <mergeCell ref="A83:A84"/>
    <mergeCell ref="A135:A146"/>
    <mergeCell ref="A67:A68"/>
    <mergeCell ref="A18:A20"/>
    <mergeCell ref="A21:A23"/>
    <mergeCell ref="A154:A156"/>
    <mergeCell ref="A33:A37"/>
    <mergeCell ref="A105:A106"/>
    <mergeCell ref="A186:A188"/>
    <mergeCell ref="A75:A78"/>
    <mergeCell ref="A26:A27"/>
    <mergeCell ref="A149:A152"/>
    <mergeCell ref="A42:A44"/>
    <mergeCell ref="A163:A164"/>
    <mergeCell ref="A171:A177"/>
    <mergeCell ref="A116:A117"/>
    <mergeCell ref="A94:A96"/>
    <mergeCell ref="A63:A64"/>
  </mergeCells>
  <conditionalFormatting sqref="I6:I44">
    <cfRule type="cellIs" dxfId="11" priority="1" stopIfTrue="1" operator="lessThan">
      <formula>0</formula>
    </cfRule>
  </conditionalFormatting>
  <conditionalFormatting sqref="I53:I84">
    <cfRule type="cellIs" dxfId="10" priority="40" stopIfTrue="1" operator="lessThan">
      <formula>0</formula>
    </cfRule>
  </conditionalFormatting>
  <conditionalFormatting sqref="I93:I117">
    <cfRule type="cellIs" dxfId="9" priority="72" stopIfTrue="1" operator="lessThan">
      <formula>0</formula>
    </cfRule>
  </conditionalFormatting>
  <conditionalFormatting sqref="I133:I188">
    <cfRule type="cellIs" dxfId="8" priority="97" stopIfTrue="1" operator="lessThan">
      <formula>0</formula>
    </cfRule>
  </conditionalFormatting>
  <dataValidations count="16">
    <dataValidation type="list" sqref="B2" xr:uid="{00000000-0002-0000-1200-000000000000}">
      <formula1>"SV,CAD,ADM,Pauschale,-"</formula1>
    </dataValidation>
    <dataValidation type="list" allowBlank="1" sqref="J6" xr:uid="{00000000-0002-0000-1200-000001000000}">
      <formula1>"A. Kokott,D. Brucker,E. Bieler,J. Dorchies,O. Haag BS-CAD,T. Trautmann,U. Sutter ADM"</formula1>
    </dataValidation>
    <dataValidation type="list" allowBlank="1" sqref="T93:T117 T53:T84 T6:T44" xr:uid="{00000000-0002-0000-1200-000002000000}">
      <formula1>"SR,AZ"</formula1>
    </dataValidation>
    <dataValidation type="list" allowBlank="1" sqref="J7" xr:uid="{00000000-0002-0000-1200-000003000000}">
      <formula1>"J. Dorchies"</formula1>
    </dataValidation>
    <dataValidation type="list" allowBlank="1" sqref="J9" xr:uid="{00000000-0002-0000-1200-000006000000}">
      <formula1>"E. Iago Barros de Oliveira"</formula1>
    </dataValidation>
    <dataValidation type="list" allowBlank="1" sqref="J12 J60 J58 J23" xr:uid="{00000000-0002-0000-1200-00000A000000}">
      <formula1>"O. Haag BS-CAD"</formula1>
    </dataValidation>
    <dataValidation type="list" allowBlank="1" sqref="J13 J94 J72" xr:uid="{00000000-0002-0000-1200-00000C000000}">
      <formula1>"C. Trapp SV"</formula1>
    </dataValidation>
    <dataValidation type="list" allowBlank="1" sqref="J14 J56:J57" xr:uid="{00000000-0002-0000-1200-00000E000000}">
      <formula1>"U. Sutter ADM"</formula1>
    </dataValidation>
    <dataValidation type="list" allowBlank="1" sqref="J28" xr:uid="{00000000-0002-0000-1200-00001E000000}">
      <formula1>"J. Dorn"</formula1>
    </dataValidation>
    <dataValidation type="list" allowBlank="1" sqref="J29" xr:uid="{00000000-0002-0000-1200-000020000000}">
      <formula1>"R. Böttiger"</formula1>
    </dataValidation>
    <dataValidation type="list" allowBlank="1" sqref="J38 J113" xr:uid="{00000000-0002-0000-1200-00002A000000}">
      <formula1>"D. Brucker"</formula1>
    </dataValidation>
    <dataValidation type="list" allowBlank="1" sqref="J41" xr:uid="{00000000-0002-0000-1200-00002E000000}">
      <formula1>"H. Bektas"</formula1>
    </dataValidation>
    <dataValidation type="list" allowBlank="1" sqref="J62 J97" xr:uid="{00000000-0002-0000-1200-000040000000}">
      <formula1>"A. Kokott,M. Warner"</formula1>
    </dataValidation>
    <dataValidation type="list" allowBlank="1" sqref="J64 J109" xr:uid="{00000000-0002-0000-1200-000043000000}">
      <formula1>"A. Kokott"</formula1>
    </dataValidation>
    <dataValidation type="list" allowBlank="1" sqref="J106 J104 J82 J67:J68" xr:uid="{00000000-0002-0000-1200-000047000000}">
      <formula1>"T. Trautmann"</formula1>
    </dataValidation>
    <dataValidation type="list" allowBlank="1" sqref="J93" xr:uid="{00000000-0002-0000-1200-00005D000000}">
      <formula1>"A. Kokott,C. Trapp SV,D. Brucker,J. Dorn,O. Haag BS-CAD,U. Sutter ADM"</formula1>
    </dataValidation>
  </dataValidation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0"/>
  <dimension ref="A1:U166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5685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IFERROR(INDEX('Projekt-Budget-Übersicht'!$C:$C,MATCH(10,'Projekt-Budget-Übersicht'!$L:$L,0)),"")</f>
        <v/>
      </c>
      <c r="D6" s="4">
        <v>8</v>
      </c>
      <c r="E6" s="4">
        <v>3.25</v>
      </c>
      <c r="F6" s="4">
        <v>3.25</v>
      </c>
      <c r="G6" s="16">
        <v>40.619999999999997</v>
      </c>
      <c r="H6" s="5"/>
      <c r="I6" s="5">
        <f t="shared" ref="I6:I19" si="0">IF(H6=0,0,F6-H6)</f>
        <v>0</v>
      </c>
      <c r="J6" s="4"/>
      <c r="K6" s="5">
        <f>IF('A. Kokott'!J6="T. Trautmann",'A. Kokott'!I6,0)+IF('D. Brucker'!J6="T. Trautmann",'D. Brucker'!I6,0)+IF('E. Bieler'!J6="T. Trautmann",'E. Bieler'!I6,0)+IF('J. Dorchies'!J6="T. Trautmann",'J. Dorchies'!I6,0)+IF('O. Haag BS-CAD'!J6="T. Trautmann",'O. Haag BS-CAD'!I6,0)+IF('S. Schüler'!J6="T. Trautmann",'S. Schüler'!I6,0)+IF('U. Sutter ADM'!J6="T. Trautmann",'U. Sutter ADM'!I6,0)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9" si="1">IF($B$2="-",0,IF(C6="Pauschale",IF(OR(R6=0,N(D6)=0),0,MAX(0,MIN(R6*((N(F6)+N(K6))/N(D6)),R6-R6*(N(E6)/N(D6))))),L6*(N(F6)+N(K6))))</f>
        <v>0</v>
      </c>
      <c r="N6" s="10">
        <f t="shared" ref="N6:N19" si="2">IF($B$2="-",0,IF(C6="Pauschale",IF(OR(R6=0,N(D6)=0),0,R6*((N(F6)+N(K6))/N(D6))),L6*(N(F6)+N(K6))))</f>
        <v>0</v>
      </c>
      <c r="O6" s="10">
        <f t="shared" ref="O6:O19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23"/>
      <c r="B7" s="4" t="s">
        <v>5481</v>
      </c>
      <c r="C7" s="4" t="str">
        <f>IFERROR(INDEX('Projekt-Budget-Übersicht'!$C:$C,MATCH(10,'Projekt-Budget-Übersicht'!$L:$L,0)),"")</f>
        <v/>
      </c>
      <c r="D7" s="4">
        <v>8</v>
      </c>
      <c r="E7" s="4">
        <v>8</v>
      </c>
      <c r="F7" s="4">
        <v>8</v>
      </c>
      <c r="G7" s="14">
        <v>100</v>
      </c>
      <c r="H7" s="5"/>
      <c r="I7" s="5">
        <f t="shared" si="0"/>
        <v>0</v>
      </c>
      <c r="J7" s="4"/>
      <c r="K7" s="5">
        <f>IF('A. Kokott'!J7="T. Trautmann",'A. Kokott'!I7,0)+IF('C. Trapp SV'!J6="T. Trautmann",'C. Trapp SV'!I6,0)+IF('D. Brucker'!J7="T. Trautmann",'D. Brucker'!I7,0)+IF('E. Bieler'!J7="T. Trautmann",'E. Bieler'!I7,0)+IF('J. Dorchies'!J7="T. Trautmann",'J. Dorchies'!I7,0)+IF('J. Dorn'!J6="T. Trautmann",'J. Dorn'!I6,0)+IF('M. Bandlofsky'!J6="T. Trautmann",'M. Bandlofsky'!I6,0)+IF('U. Sutter ADM'!J7="T. Trautmann",'U. Sutter ADM'!I7,0)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IFERROR(INDEX('Projekt-Budget-Übersicht'!$F:$F,MATCH(10,'Projekt-Budget-Übersicht'!$L:$L,0)),0)</f>
        <v>0</v>
      </c>
      <c r="S7" s="10">
        <v>68628.19</v>
      </c>
      <c r="T7" s="4"/>
      <c r="U7" s="4"/>
    </row>
    <row r="8" spans="1:21" x14ac:dyDescent="0.25">
      <c r="A8" s="22"/>
      <c r="B8" s="4" t="s">
        <v>5547</v>
      </c>
      <c r="C8" s="4" t="str">
        <f>IFERROR(INDEX('Projekt-Budget-Übersicht'!$C:$C,MATCH(10,'Projekt-Budget-Übersicht'!$L:$L,0)),"")</f>
        <v/>
      </c>
      <c r="D8" s="4">
        <v>8</v>
      </c>
      <c r="E8" s="4">
        <v>4.75</v>
      </c>
      <c r="F8" s="4">
        <v>4.75</v>
      </c>
      <c r="G8" s="16">
        <v>59.38</v>
      </c>
      <c r="H8" s="5"/>
      <c r="I8" s="5">
        <f t="shared" si="0"/>
        <v>0</v>
      </c>
      <c r="J8" s="4"/>
      <c r="K8" s="5">
        <f>IF('J. Dorn'!J7="T. Trautmann",'J. Dorn'!I7,0)</f>
        <v>0</v>
      </c>
      <c r="L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'J. Dorn'!M7+'T. Trautmann'!M8</f>
        <v>0</v>
      </c>
      <c r="Q8" s="10">
        <v>132</v>
      </c>
      <c r="R8" s="10">
        <f>IFERROR(INDEX('Projekt-Budget-Übersicht'!$F:$F,MATCH(10,'Projekt-Budget-Übersicht'!$L:$L,0)),0)</f>
        <v>0</v>
      </c>
      <c r="S8" s="10">
        <v>68628.19</v>
      </c>
      <c r="T8" s="4"/>
      <c r="U8" s="4"/>
    </row>
    <row r="9" spans="1:21" x14ac:dyDescent="0.25">
      <c r="A9" s="4" t="s">
        <v>183</v>
      </c>
      <c r="B9" s="4" t="s">
        <v>5686</v>
      </c>
      <c r="C9" s="4" t="str">
        <f>IFERROR(INDEX('Projekt-Budget-Übersicht'!$C:$C,MATCH(98,'Projekt-Budget-Übersicht'!$L:$L,0)),"")</f>
        <v/>
      </c>
      <c r="D9" s="4">
        <v>60</v>
      </c>
      <c r="E9" s="4">
        <v>40</v>
      </c>
      <c r="F9" s="4">
        <v>0.75</v>
      </c>
      <c r="G9" s="16">
        <v>66.67</v>
      </c>
      <c r="H9" s="5"/>
      <c r="I9" s="5">
        <f t="shared" si="0"/>
        <v>0</v>
      </c>
      <c r="J9" s="4"/>
      <c r="K9" s="5">
        <v>0</v>
      </c>
      <c r="L9" s="10">
        <f>IF($B$2="-",0,IFERROR(INDEX(IF($B$2="SV",'Projekt-Budget-Übersicht'!$I:$I,IF($B$2="CAD",'Projekt-Budget-Übersicht'!$J:$J,IF($B$2="ADM",'Projekt-Budget-Übersicht'!$K:$K,'Projekt-Budget-Übersicht'!$I:$I))),MATCH(98,'Projekt-Budget-Übersicht'!$M:$M,0)),0))</f>
        <v>0</v>
      </c>
      <c r="M9" s="10">
        <f t="shared" si="1"/>
        <v>0</v>
      </c>
      <c r="N9" s="10">
        <f t="shared" si="2"/>
        <v>0</v>
      </c>
      <c r="O9" s="10">
        <f t="shared" si="3"/>
        <v>0</v>
      </c>
      <c r="P9" s="10">
        <f>'T. Trautmann'!M9</f>
        <v>0</v>
      </c>
      <c r="Q9" s="10">
        <v>60</v>
      </c>
      <c r="R9" s="10">
        <f>IFERROR(INDEX('Projekt-Budget-Übersicht'!$F:$F,MATCH(98,'Projekt-Budget-Übersicht'!$L:$L,0)),0)</f>
        <v>0</v>
      </c>
      <c r="S9" s="10">
        <v>3905</v>
      </c>
      <c r="T9" s="4"/>
      <c r="U9" s="4"/>
    </row>
    <row r="10" spans="1:21" x14ac:dyDescent="0.25">
      <c r="A10" s="4" t="s">
        <v>636</v>
      </c>
      <c r="B10" s="4" t="s">
        <v>5459</v>
      </c>
      <c r="C10" s="4" t="str">
        <f>IFERROR(INDEX('Projekt-Budget-Übersicht'!$C:$C,MATCH(641,'Projekt-Budget-Übersicht'!$L:$L,0)),"")</f>
        <v/>
      </c>
      <c r="D10" s="4">
        <v>20</v>
      </c>
      <c r="E10" s="4">
        <v>18.75</v>
      </c>
      <c r="F10" s="4">
        <v>16.25</v>
      </c>
      <c r="G10" s="14">
        <v>93.75</v>
      </c>
      <c r="H10" s="5"/>
      <c r="I10" s="5">
        <f t="shared" si="0"/>
        <v>0</v>
      </c>
      <c r="J10" s="4"/>
      <c r="K10" s="5">
        <f>IF('E. Bieler'!J8="T. Trautmann",'E. Bieler'!I8,0)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124.0740740740741</v>
      </c>
      <c r="M10" s="10">
        <f t="shared" si="1"/>
        <v>2016.2037037037042</v>
      </c>
      <c r="N10" s="10">
        <f t="shared" si="2"/>
        <v>2016.2037037037042</v>
      </c>
      <c r="O10" s="10">
        <f t="shared" si="3"/>
        <v>0</v>
      </c>
      <c r="P10" s="10">
        <f>'E. Bieler'!M8+'T. Trautmann'!M10</f>
        <v>2078.2407407407413</v>
      </c>
      <c r="Q10" s="10">
        <v>27</v>
      </c>
      <c r="R10" s="10">
        <f>IFERROR(INDEX('Projekt-Budget-Übersicht'!$F:$F,MATCH(641,'Projekt-Budget-Übersicht'!$L:$L,0)),0)</f>
        <v>0</v>
      </c>
      <c r="S10" s="10">
        <v>2546.65</v>
      </c>
      <c r="T10" s="4"/>
      <c r="U10" s="4"/>
    </row>
    <row r="11" spans="1:21" x14ac:dyDescent="0.25">
      <c r="A11" s="4" t="s">
        <v>652</v>
      </c>
      <c r="B11" s="4" t="s">
        <v>5487</v>
      </c>
      <c r="C11" s="4" t="str">
        <f>IFERROR(INDEX('Projekt-Budget-Übersicht'!$C:$C,MATCH(659,'Projekt-Budget-Übersicht'!$L:$L,0)),"")</f>
        <v/>
      </c>
      <c r="D11" s="4">
        <v>40</v>
      </c>
      <c r="E11" s="4">
        <v>13.5</v>
      </c>
      <c r="F11" s="4">
        <v>5</v>
      </c>
      <c r="G11" s="16">
        <v>33.75</v>
      </c>
      <c r="H11" s="5"/>
      <c r="I11" s="5">
        <f t="shared" si="0"/>
        <v>0</v>
      </c>
      <c r="J11" s="4"/>
      <c r="K11" s="5"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IF($B$2="-",0,IFERROR(INDEX(IF($B$2="SV",'Projekt-Budget-Übersicht'!$I:$I,IF($B$2="CAD",'Projekt-Budget-Übersicht'!$J:$J,IF($B$2="ADM",'Projekt-Budget-Übersicht'!$K:$K,'Projekt-Budget-Übersicht'!$I:$I))),MATCH(659,'Projekt-Budget-Übersicht'!$M:$M,0)),0))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'T. Trautmann'!M11</f>
        <v>0</v>
      </c>
      <c r="Q11" s="10">
        <v>14</v>
      </c>
      <c r="R11" s="10">
        <f>IFERROR(INDEX('Projekt-Budget-Übersicht'!$F:$F,MATCH(659,'Projekt-Budget-Übersicht'!$L:$L,0)),0)</f>
        <v>0</v>
      </c>
      <c r="S11" s="10">
        <v>1215</v>
      </c>
      <c r="T11" s="4"/>
      <c r="U11" s="4"/>
    </row>
    <row r="12" spans="1:21" x14ac:dyDescent="0.25">
      <c r="A12" s="4" t="s">
        <v>835</v>
      </c>
      <c r="B12" s="4" t="s">
        <v>5687</v>
      </c>
      <c r="C12" s="4" t="str">
        <f>IFERROR(INDEX('Projekt-Budget-Übersicht'!$C:$C,MATCH(863,'Projekt-Budget-Übersicht'!$L:$L,0)),"")</f>
        <v/>
      </c>
      <c r="D12" s="4">
        <v>141</v>
      </c>
      <c r="E12" s="4">
        <v>29.75</v>
      </c>
      <c r="F12" s="4">
        <v>5.5</v>
      </c>
      <c r="G12" s="16">
        <v>21.1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IF($B$2="-",0,IFERROR(INDEX(IF($B$2="SV",'Projekt-Budget-Übersicht'!$I:$I,IF($B$2="CAD",'Projekt-Budget-Übersicht'!$J:$J,IF($B$2="ADM",'Projekt-Budget-Übersicht'!$K:$K,'Projekt-Budget-Übersicht'!$I:$I))),MATCH(863,'Projekt-Budget-Übersicht'!$M:$M,0)),0))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'T. Trautmann'!M12</f>
        <v>0</v>
      </c>
      <c r="Q12" s="10">
        <v>254</v>
      </c>
      <c r="R12" s="10">
        <f>IFERROR(INDEX('Projekt-Budget-Übersicht'!$F:$F,MATCH(863,'Projekt-Budget-Übersicht'!$L:$L,0)),0)</f>
        <v>0</v>
      </c>
      <c r="S12" s="10">
        <v>9188.2900000000009</v>
      </c>
      <c r="T12" s="4"/>
      <c r="U12" s="4"/>
    </row>
    <row r="13" spans="1:21" x14ac:dyDescent="0.25">
      <c r="A13" s="4" t="s">
        <v>1427</v>
      </c>
      <c r="B13" s="4" t="s">
        <v>5540</v>
      </c>
      <c r="C13" s="4" t="str">
        <f>IFERROR(INDEX('Projekt-Budget-Übersicht'!$C:$C,MATCH(1572,'Projekt-Budget-Übersicht'!$L:$L,0)),"")</f>
        <v/>
      </c>
      <c r="D13" s="4">
        <v>180</v>
      </c>
      <c r="E13" s="4">
        <v>149.75</v>
      </c>
      <c r="F13" s="4">
        <v>7.5</v>
      </c>
      <c r="G13" s="16">
        <v>83.19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IF($B$2="-",0,IFERROR(INDEX(IF($B$2="SV",'Projekt-Budget-Übersicht'!$I:$I,IF($B$2="CAD",'Projekt-Budget-Übersicht'!$J:$J,IF($B$2="ADM",'Projekt-Budget-Übersicht'!$K:$K,'Projekt-Budget-Übersicht'!$I:$I))),MATCH(1572,'Projekt-Budget-Übersicht'!$M:$M,0)),0))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'T. Trautmann'!M13</f>
        <v>0</v>
      </c>
      <c r="Q13" s="10">
        <v>657.5</v>
      </c>
      <c r="R13" s="10">
        <f>IFERROR(INDEX('Projekt-Budget-Übersicht'!$F:$F,MATCH(1572,'Projekt-Budget-Übersicht'!$L:$L,0)),0)</f>
        <v>0</v>
      </c>
      <c r="S13" s="10">
        <v>14566.25</v>
      </c>
      <c r="T13" s="4"/>
      <c r="U13" s="4"/>
    </row>
    <row r="14" spans="1:21" x14ac:dyDescent="0.25">
      <c r="A14" s="4" t="s">
        <v>1429</v>
      </c>
      <c r="B14" s="4" t="s">
        <v>5504</v>
      </c>
      <c r="C14" s="4" t="str">
        <f>IFERROR(INDEX('Projekt-Budget-Übersicht'!$C:$C,MATCH(1573,'Projekt-Budget-Übersicht'!$L:$L,0)),"")</f>
        <v/>
      </c>
      <c r="D14" s="4">
        <v>85</v>
      </c>
      <c r="E14" s="4">
        <v>47.25</v>
      </c>
      <c r="F14" s="4">
        <v>8.75</v>
      </c>
      <c r="G14" s="16">
        <v>55.59</v>
      </c>
      <c r="H14" s="5"/>
      <c r="I14" s="5">
        <f t="shared" si="0"/>
        <v>0</v>
      </c>
      <c r="J14" s="4"/>
      <c r="K14" s="5">
        <f>IF('O. Haag BS-CAD'!J16="T. Trautmann",'O. Haag BS-CAD'!I16,0)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'O. Haag BS-CAD'!M16+'T. Trautmann'!M14</f>
        <v>0</v>
      </c>
      <c r="Q14" s="10">
        <v>599.5</v>
      </c>
      <c r="R14" s="10">
        <f>IFERROR(INDEX('Projekt-Budget-Übersicht'!$F:$F,MATCH(1573,'Projekt-Budget-Übersicht'!$L:$L,0)),0)</f>
        <v>0</v>
      </c>
      <c r="S14" s="10">
        <v>26345</v>
      </c>
      <c r="T14" s="4"/>
      <c r="U14" s="4"/>
    </row>
    <row r="15" spans="1:21" x14ac:dyDescent="0.25">
      <c r="A15" s="4" t="s">
        <v>1638</v>
      </c>
      <c r="B15" s="4" t="s">
        <v>5544</v>
      </c>
      <c r="C15" s="4" t="str">
        <f>IFERROR(INDEX('Projekt-Budget-Übersicht'!$C:$C,MATCH(1847,'Projekt-Budget-Übersicht'!$L:$L,0)),"")</f>
        <v/>
      </c>
      <c r="D15" s="4">
        <v>283</v>
      </c>
      <c r="E15" s="4">
        <v>232.5</v>
      </c>
      <c r="F15" s="4">
        <v>7.25</v>
      </c>
      <c r="G15" s="16">
        <v>82.16</v>
      </c>
      <c r="H15" s="5"/>
      <c r="I15" s="5">
        <f t="shared" si="0"/>
        <v>0</v>
      </c>
      <c r="J15" s="4"/>
      <c r="K15" s="5">
        <f>IF('M. Bandlofsky CAD'!J6="T. Trautmann",'M. Bandlofsky CAD'!I6,0)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'M. Bandlofsky CAD'!M6+'T. Trautmann'!M15</f>
        <v>0</v>
      </c>
      <c r="Q15" s="10">
        <v>165.5</v>
      </c>
      <c r="R15" s="10">
        <f>IFERROR(INDEX('Projekt-Budget-Übersicht'!$F:$F,MATCH(1847,'Projekt-Budget-Übersicht'!$L:$L,0)),0)</f>
        <v>0</v>
      </c>
      <c r="S15" s="10">
        <v>10673.29</v>
      </c>
      <c r="T15" s="4"/>
      <c r="U15" s="4"/>
    </row>
    <row r="16" spans="1:21" x14ac:dyDescent="0.25">
      <c r="A16" s="4" t="s">
        <v>1762</v>
      </c>
      <c r="B16" s="4" t="s">
        <v>5485</v>
      </c>
      <c r="C16" s="4" t="str">
        <f>IFERROR(INDEX('Projekt-Budget-Übersicht'!$C:$C,MATCH(1988,'Projekt-Budget-Übersicht'!$L:$L,0)),"")</f>
        <v/>
      </c>
      <c r="D16" s="4">
        <v>20</v>
      </c>
      <c r="E16" s="4">
        <v>3.25</v>
      </c>
      <c r="F16" s="4">
        <v>1</v>
      </c>
      <c r="G16" s="16">
        <v>16.25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128</v>
      </c>
      <c r="M16" s="10">
        <f t="shared" si="1"/>
        <v>128</v>
      </c>
      <c r="N16" s="10">
        <f t="shared" si="2"/>
        <v>128</v>
      </c>
      <c r="O16" s="10">
        <f t="shared" si="3"/>
        <v>0</v>
      </c>
      <c r="P16" s="10">
        <f>'T. Trautmann'!M16</f>
        <v>128</v>
      </c>
      <c r="Q16" s="10">
        <v>25</v>
      </c>
      <c r="R16" s="10">
        <f>IFERROR(INDEX('Projekt-Budget-Übersicht'!$F:$F,MATCH(1988,'Projekt-Budget-Übersicht'!$L:$L,0)),0)</f>
        <v>0</v>
      </c>
      <c r="S16" s="10">
        <v>1892.5</v>
      </c>
      <c r="T16" s="4"/>
      <c r="U16" s="4"/>
    </row>
    <row r="17" spans="1:21" x14ac:dyDescent="0.25">
      <c r="A17" s="4" t="s">
        <v>2352</v>
      </c>
      <c r="B17" s="4" t="s">
        <v>5544</v>
      </c>
      <c r="C17" s="4" t="str">
        <f>IFERROR(INDEX('Projekt-Budget-Übersicht'!$C:$C,MATCH(2694,'Projekt-Budget-Übersicht'!$L:$L,0)),"")</f>
        <v/>
      </c>
      <c r="D17" s="4">
        <v>50.5</v>
      </c>
      <c r="E17" s="4">
        <v>16.5</v>
      </c>
      <c r="F17" s="4">
        <v>3.75</v>
      </c>
      <c r="G17" s="16">
        <v>32.67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IF($B$2="-",0,IFERROR(INDEX(IF($B$2="SV",'Projekt-Budget-Übersicht'!$I:$I,IF($B$2="CAD",'Projekt-Budget-Übersicht'!$J:$J,IF($B$2="ADM",'Projekt-Budget-Übersicht'!$K:$K,'Projekt-Budget-Übersicht'!$I:$I))),MATCH(2694,'Projekt-Budget-Übersicht'!$M:$M,0)),0))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'T. Trautmann'!M17</f>
        <v>0</v>
      </c>
      <c r="Q17" s="10">
        <v>50.5</v>
      </c>
      <c r="R17" s="10">
        <f>IFERROR(INDEX('Projekt-Budget-Übersicht'!$F:$F,MATCH(2694,'Projekt-Budget-Übersicht'!$L:$L,0)),0)</f>
        <v>0</v>
      </c>
      <c r="S17" s="10">
        <v>1665</v>
      </c>
      <c r="T17" s="4"/>
      <c r="U17" s="4"/>
    </row>
    <row r="18" spans="1:21" x14ac:dyDescent="0.25">
      <c r="A18" s="4" t="s">
        <v>2611</v>
      </c>
      <c r="B18" s="4" t="s">
        <v>5544</v>
      </c>
      <c r="C18" s="4" t="str">
        <f>IFERROR(INDEX('Projekt-Budget-Übersicht'!$C:$C,MATCH(2928,'Projekt-Budget-Übersicht'!$L:$L,0)),"")</f>
        <v/>
      </c>
      <c r="D18" s="4">
        <v>191.25</v>
      </c>
      <c r="E18" s="4">
        <v>76.5</v>
      </c>
      <c r="F18" s="4">
        <v>3.75</v>
      </c>
      <c r="G18" s="16">
        <v>40</v>
      </c>
      <c r="H18" s="5"/>
      <c r="I18" s="5">
        <f t="shared" si="0"/>
        <v>0</v>
      </c>
      <c r="J18" s="4"/>
      <c r="K18" s="5"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IF($B$2="-",0,IFERROR(INDEX(IF($B$2="SV",'Projekt-Budget-Übersicht'!$I:$I,IF($B$2="CAD",'Projekt-Budget-Übersicht'!$J:$J,IF($B$2="ADM",'Projekt-Budget-Übersicht'!$K:$K,'Projekt-Budget-Übersicht'!$I:$I))),MATCH(2928,'Projekt-Budget-Übersicht'!$M:$M,0)),0))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'T. Trautmann'!M18</f>
        <v>0</v>
      </c>
      <c r="Q18" s="10">
        <v>191.25</v>
      </c>
      <c r="R18" s="10">
        <f>IFERROR(INDEX('Projekt-Budget-Übersicht'!$F:$F,MATCH(2928,'Projekt-Budget-Übersicht'!$L:$L,0)),0)</f>
        <v>0</v>
      </c>
      <c r="S18" s="10">
        <v>12802.5</v>
      </c>
      <c r="T18" s="4"/>
      <c r="U18" s="4"/>
    </row>
    <row r="19" spans="1:21" x14ac:dyDescent="0.25">
      <c r="A19" s="4" t="s">
        <v>3970</v>
      </c>
      <c r="B19" s="4" t="s">
        <v>5688</v>
      </c>
      <c r="C19" s="4" t="str">
        <f>IFERROR(INDEX('Projekt-Budget-Übersicht'!$C:$C,MATCH(4104,'Projekt-Budget-Übersicht'!$L:$L,0)),"")</f>
        <v/>
      </c>
      <c r="D19" s="4">
        <v>20</v>
      </c>
      <c r="E19" s="4">
        <v>49.5</v>
      </c>
      <c r="F19" s="4">
        <v>6.75</v>
      </c>
      <c r="G19" s="15">
        <v>247.5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IF($B$2="-",0,IFERROR(INDEX(IF($B$2="SV",'Projekt-Budget-Übersicht'!$I:$I,IF($B$2="CAD",'Projekt-Budget-Übersicht'!$J:$J,IF($B$2="ADM",'Projekt-Budget-Übersicht'!$K:$K,'Projekt-Budget-Übersicht'!$I:$I))),MATCH(4104,'Projekt-Budget-Übersicht'!$M:$M,0)),0))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'T. Trautmann'!M19</f>
        <v>0</v>
      </c>
      <c r="Q19" s="10">
        <v>20</v>
      </c>
      <c r="R19" s="10">
        <f>IFERROR(INDEX('Projekt-Budget-Übersicht'!$F:$F,MATCH(4104,'Projekt-Budget-Übersicht'!$L:$L,0)),0)</f>
        <v>0</v>
      </c>
      <c r="S19" s="10">
        <v>5782.5</v>
      </c>
      <c r="T19" s="4"/>
      <c r="U19" s="4"/>
    </row>
    <row r="20" spans="1:21" x14ac:dyDescent="0.25">
      <c r="A20" s="3"/>
      <c r="B20" s="3" t="s">
        <v>5492</v>
      </c>
      <c r="C20" s="3"/>
      <c r="D20" s="3"/>
      <c r="E20" s="3"/>
      <c r="F20" s="6">
        <v>82.25</v>
      </c>
      <c r="G20" s="3"/>
      <c r="H20" s="3"/>
      <c r="I20" s="3"/>
      <c r="J20" s="3"/>
      <c r="K20" s="3"/>
      <c r="L20" s="3"/>
      <c r="M20" s="17">
        <f>SUM(M6:M19)</f>
        <v>2144.2037037037044</v>
      </c>
      <c r="N20" s="17">
        <f>SUM(N6:N19)</f>
        <v>2144.2037037037044</v>
      </c>
      <c r="O20" s="17">
        <f>SUM(O6:O19)</f>
        <v>0</v>
      </c>
      <c r="P20" s="17">
        <f>SUM(P6:P19)</f>
        <v>2206.2407407407413</v>
      </c>
      <c r="Q20" s="3"/>
      <c r="R20" s="3"/>
      <c r="S20" s="3"/>
      <c r="T20" s="3"/>
      <c r="U20" s="3"/>
    </row>
    <row r="21" spans="1:21" x14ac:dyDescent="0.25">
      <c r="A21" s="3"/>
      <c r="B21" s="3" t="s">
        <v>4</v>
      </c>
      <c r="C21" s="3"/>
      <c r="D21" s="3"/>
      <c r="E21" s="3"/>
      <c r="F21" s="6">
        <f>G21+H21</f>
        <v>59.5</v>
      </c>
      <c r="G21" s="6">
        <v>59.5</v>
      </c>
      <c r="H21" s="6">
        <f>SUM(H9,H10,H11,H12,H13,H14,H15,H16,H17,H18,H19)</f>
        <v>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3"/>
      <c r="B22" s="3" t="s">
        <v>5</v>
      </c>
      <c r="C22" s="3"/>
      <c r="D22" s="3"/>
      <c r="E22" s="3"/>
      <c r="F22" s="6">
        <f>G22+H22</f>
        <v>16</v>
      </c>
      <c r="G22" s="6">
        <v>16</v>
      </c>
      <c r="H22" s="6">
        <f>SUM(H6,H7,H8)</f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3"/>
      <c r="B23" s="3" t="s">
        <v>5493</v>
      </c>
      <c r="C23" s="3"/>
      <c r="D23" s="3"/>
      <c r="E23" s="3"/>
      <c r="F23" s="6">
        <f>SUM(K6:K19)</f>
        <v>0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18"/>
      <c r="B24" s="18" t="s">
        <v>5494</v>
      </c>
      <c r="C24" s="18"/>
      <c r="D24" s="18"/>
      <c r="E24" s="18"/>
      <c r="F24" s="19">
        <f>F21+F22+F23</f>
        <v>75.5</v>
      </c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</row>
    <row r="26" spans="1:21" ht="15.75" x14ac:dyDescent="0.25">
      <c r="A26" s="2" t="s">
        <v>5495</v>
      </c>
    </row>
    <row r="27" spans="1:21" x14ac:dyDescent="0.25">
      <c r="A27" s="3" t="s">
        <v>35</v>
      </c>
      <c r="B27" s="3" t="s">
        <v>5461</v>
      </c>
      <c r="C27" s="3" t="s">
        <v>37</v>
      </c>
      <c r="D27" s="3" t="s">
        <v>5462</v>
      </c>
      <c r="E27" s="3" t="s">
        <v>5463</v>
      </c>
      <c r="F27" s="3" t="s">
        <v>5496</v>
      </c>
      <c r="G27" s="3" t="s">
        <v>5465</v>
      </c>
      <c r="H27" s="3" t="s">
        <v>5466</v>
      </c>
      <c r="I27" s="3" t="s">
        <v>5467</v>
      </c>
      <c r="J27" s="3" t="s">
        <v>5468</v>
      </c>
      <c r="K27" s="3" t="s">
        <v>5469</v>
      </c>
      <c r="L27" s="3" t="s">
        <v>5470</v>
      </c>
      <c r="M27" s="3" t="s">
        <v>5471</v>
      </c>
      <c r="N27" s="3" t="s">
        <v>5472</v>
      </c>
      <c r="O27" s="3" t="s">
        <v>5473</v>
      </c>
      <c r="P27" s="3" t="s">
        <v>5474</v>
      </c>
      <c r="Q27" s="3" t="s">
        <v>5475</v>
      </c>
      <c r="R27" s="3" t="s">
        <v>5476</v>
      </c>
      <c r="S27" s="3" t="s">
        <v>5477</v>
      </c>
      <c r="T27" s="3" t="s">
        <v>5478</v>
      </c>
      <c r="U27" s="3" t="s">
        <v>5479</v>
      </c>
    </row>
    <row r="28" spans="1:21" x14ac:dyDescent="0.25">
      <c r="A28" s="21" t="s">
        <v>61</v>
      </c>
      <c r="B28" s="4" t="s">
        <v>5480</v>
      </c>
      <c r="C28" s="4" t="str">
        <f>IFERROR(INDEX('Projekt-Budget-Übersicht'!$C:$C,MATCH(10,'Projekt-Budget-Übersicht'!$L:$L,0)),"")</f>
        <v/>
      </c>
      <c r="D28" s="4">
        <v>8</v>
      </c>
      <c r="E28" s="4">
        <v>7.75</v>
      </c>
      <c r="F28" s="4">
        <v>7.75</v>
      </c>
      <c r="G28" s="14">
        <v>96.88</v>
      </c>
      <c r="H28" s="5"/>
      <c r="I28" s="5">
        <f t="shared" ref="I28:I63" si="4">IF(H28=0,0,F28-H28)</f>
        <v>0</v>
      </c>
      <c r="J28" s="4"/>
      <c r="K28" s="5">
        <f>IF('A. Kokott'!J39="T. Trautmann",'A. Kokott'!I39,0)+IF('J. Dorn'!J45="T. Trautmann",'J. Dorn'!I45,0)+IF('O. Haag BS-CAD'!J51="T. Trautmann",'O. Haag BS-CAD'!I51,0)+IF('P. Bergner'!J21="T. Trautmann",'P. Bergner'!I21,0)+IF('R. Böttiger'!J31="T. Trautmann",'R. Böttiger'!I31,0)+IF('U. Sutter ADM'!J28="T. Trautmann",'U. Sutter ADM'!I28,0)</f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8" s="10">
        <f t="shared" ref="M28:M63" si="5">IF($B$2="-",0,IF(C28="Pauschale",IF(OR(R28=0,N(D28)=0),0,MAX(0,MIN(R28*((N(F28)+N(K28))/N(D28)),R28-R28*(N(E28)/N(D28))))),L28*(N(F28)+N(K28))))</f>
        <v>0</v>
      </c>
      <c r="N28" s="10">
        <f t="shared" ref="N28:N63" si="6">IF($B$2="-",0,IF(C28="Pauschale",IF(OR(R28=0,N(D28)=0),0,R28*((N(F28)+N(K28))/N(D28))),L28*(N(F28)+N(K28))))</f>
        <v>0</v>
      </c>
      <c r="O28" s="10">
        <f t="shared" ref="O28:O63" si="7">N28-M28</f>
        <v>0</v>
      </c>
      <c r="P28" s="10">
        <f>'A. Kokott'!M39+'J. Dorn'!M45+'O. Haag BS-CAD'!M51+'P. Bergner'!M21+'R. Böttiger'!M31+'T. Trautmann'!M28+'U. Sutter ADM'!M28</f>
        <v>0</v>
      </c>
      <c r="Q28" s="10">
        <v>132</v>
      </c>
      <c r="R28" s="10">
        <f>IFERROR(INDEX('Projekt-Budget-Übersicht'!$F:$F,MATCH(10,'Projekt-Budget-Übersicht'!$L:$L,0)),0)</f>
        <v>0</v>
      </c>
      <c r="S28" s="10">
        <v>68628.19</v>
      </c>
      <c r="T28" s="4"/>
      <c r="U28" s="4"/>
    </row>
    <row r="29" spans="1:21" x14ac:dyDescent="0.25">
      <c r="A29" s="23"/>
      <c r="B29" s="4" t="s">
        <v>5481</v>
      </c>
      <c r="C29" s="4" t="str">
        <f>IFERROR(INDEX('Projekt-Budget-Übersicht'!$C:$C,MATCH(10,'Projekt-Budget-Übersicht'!$L:$L,0)),"")</f>
        <v/>
      </c>
      <c r="D29" s="4">
        <v>8</v>
      </c>
      <c r="E29" s="4">
        <v>6.5</v>
      </c>
      <c r="F29" s="4">
        <v>6.5</v>
      </c>
      <c r="G29" s="16">
        <v>81.25</v>
      </c>
      <c r="H29" s="5"/>
      <c r="I29" s="5">
        <f t="shared" si="4"/>
        <v>0</v>
      </c>
      <c r="J29" s="4"/>
      <c r="K29" s="5">
        <f>IF('A. Kokott'!J40="T. Trautmann",'A. Kokott'!I40,0)+IF('M. Bandlofsky'!J26="T. Trautmann",'M. Bandlofsky'!I26,0)+IF('O. Haag BS-CAD'!J52="T. Trautmann",'O. Haag BS-CAD'!I52,0)+IF('P. Bergner'!J22="T. Trautmann",'P. Bergner'!I22,0)+IF('R. Wagen CAD'!J31="T. Trautmann",'R. Wagen CAD'!I31,0)+IF('U. Sutter ADM'!J29="T. Trautmann",'U. Sutter ADM'!I29,0)</f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9" s="10">
        <f t="shared" si="5"/>
        <v>0</v>
      </c>
      <c r="N29" s="10">
        <f t="shared" si="6"/>
        <v>0</v>
      </c>
      <c r="O29" s="10">
        <f t="shared" si="7"/>
        <v>0</v>
      </c>
      <c r="P29" s="10">
        <f>'A. Kokott'!M40+'M. Bandlofsky'!M26+'O. Haag BS-CAD'!M52+'P. Bergner'!M22+'R. Wagen CAD'!M31+'T. Trautmann'!M29+'U. Sutter ADM'!M29</f>
        <v>0</v>
      </c>
      <c r="Q29" s="10">
        <v>132</v>
      </c>
      <c r="R29" s="10">
        <f>IFERROR(INDEX('Projekt-Budget-Übersicht'!$F:$F,MATCH(10,'Projekt-Budget-Übersicht'!$L:$L,0)),0)</f>
        <v>0</v>
      </c>
      <c r="S29" s="10">
        <v>68628.19</v>
      </c>
      <c r="T29" s="4"/>
      <c r="U29" s="4"/>
    </row>
    <row r="30" spans="1:21" x14ac:dyDescent="0.25">
      <c r="A30" s="22"/>
      <c r="B30" s="4" t="s">
        <v>5547</v>
      </c>
      <c r="C30" s="4" t="str">
        <f>IFERROR(INDEX('Projekt-Budget-Übersicht'!$C:$C,MATCH(10,'Projekt-Budget-Übersicht'!$L:$L,0)),"")</f>
        <v/>
      </c>
      <c r="D30" s="4">
        <v>8</v>
      </c>
      <c r="E30" s="4">
        <v>2</v>
      </c>
      <c r="F30" s="4">
        <v>2</v>
      </c>
      <c r="G30" s="16">
        <v>25</v>
      </c>
      <c r="H30" s="5"/>
      <c r="I30" s="5">
        <f t="shared" si="4"/>
        <v>0</v>
      </c>
      <c r="J30" s="4"/>
      <c r="K30" s="5">
        <f>IF('C. Trapp SV'!J32="T. Trautmann",'C. Trapp SV'!I32,0)+IF('J. Dorn'!J46="T. Trautmann",'J. Dorn'!I46,0)</f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30" s="10">
        <f t="shared" si="5"/>
        <v>0</v>
      </c>
      <c r="N30" s="10">
        <f t="shared" si="6"/>
        <v>0</v>
      </c>
      <c r="O30" s="10">
        <f t="shared" si="7"/>
        <v>0</v>
      </c>
      <c r="P30" s="10">
        <f>'C. Trapp SV'!M32+'J. Dorn'!M46+'T. Trautmann'!M30</f>
        <v>0</v>
      </c>
      <c r="Q30" s="10">
        <v>132</v>
      </c>
      <c r="R30" s="10">
        <f>IFERROR(INDEX('Projekt-Budget-Übersicht'!$F:$F,MATCH(10,'Projekt-Budget-Übersicht'!$L:$L,0)),0)</f>
        <v>0</v>
      </c>
      <c r="S30" s="10">
        <v>68628.19</v>
      </c>
      <c r="T30" s="4"/>
      <c r="U30" s="4"/>
    </row>
    <row r="31" spans="1:21" x14ac:dyDescent="0.25">
      <c r="A31" s="4" t="s">
        <v>183</v>
      </c>
      <c r="B31" s="4" t="s">
        <v>5686</v>
      </c>
      <c r="C31" s="4" t="str">
        <f>IFERROR(INDEX('Projekt-Budget-Übersicht'!$C:$C,MATCH(98,'Projekt-Budget-Übersicht'!$L:$L,0)),"")</f>
        <v/>
      </c>
      <c r="D31" s="4">
        <v>60</v>
      </c>
      <c r="E31" s="4">
        <v>40.5</v>
      </c>
      <c r="F31" s="4">
        <v>0.5</v>
      </c>
      <c r="G31" s="16">
        <v>67.5</v>
      </c>
      <c r="H31" s="5"/>
      <c r="I31" s="5">
        <f t="shared" si="4"/>
        <v>0</v>
      </c>
      <c r="J31" s="4"/>
      <c r="K31" s="5"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IF($B$2="-",0,IFERROR(INDEX(IF($B$2="SV",'Projekt-Budget-Übersicht'!$I:$I,IF($B$2="CAD",'Projekt-Budget-Übersicht'!$J:$J,IF($B$2="ADM",'Projekt-Budget-Übersicht'!$K:$K,'Projekt-Budget-Übersicht'!$I:$I))),MATCH(98,'Projekt-Budget-Übersicht'!$M:$M,0)),0))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'T. Trautmann'!M31</f>
        <v>0</v>
      </c>
      <c r="Q31" s="10">
        <v>60</v>
      </c>
      <c r="R31" s="10">
        <f>IFERROR(INDEX('Projekt-Budget-Übersicht'!$F:$F,MATCH(98,'Projekt-Budget-Übersicht'!$L:$L,0)),0)</f>
        <v>0</v>
      </c>
      <c r="S31" s="10">
        <v>3905</v>
      </c>
      <c r="T31" s="4"/>
      <c r="U31" s="4"/>
    </row>
    <row r="32" spans="1:21" x14ac:dyDescent="0.25">
      <c r="A32" s="4" t="s">
        <v>202</v>
      </c>
      <c r="B32" s="4" t="s">
        <v>5643</v>
      </c>
      <c r="C32" s="4" t="str">
        <f>IFERROR(INDEX('Projekt-Budget-Übersicht'!$C:$C,MATCH(130,'Projekt-Budget-Übersicht'!$L:$L,0)),"")</f>
        <v/>
      </c>
      <c r="D32" s="4">
        <v>80</v>
      </c>
      <c r="E32" s="4">
        <v>67.5</v>
      </c>
      <c r="F32" s="4">
        <v>1.5</v>
      </c>
      <c r="G32" s="16">
        <v>84.38</v>
      </c>
      <c r="H32" s="5"/>
      <c r="I32" s="5">
        <f t="shared" si="4"/>
        <v>0</v>
      </c>
      <c r="J32" s="4"/>
      <c r="K32" s="5"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IF($B$2="-",0,IFERROR(INDEX(IF($B$2="SV",'Projekt-Budget-Übersicht'!$I:$I,IF($B$2="CAD",'Projekt-Budget-Übersicht'!$J:$J,IF($B$2="ADM",'Projekt-Budget-Übersicht'!$K:$K,'Projekt-Budget-Übersicht'!$I:$I))),MATCH(130,'Projekt-Budget-Übersicht'!$M:$M,0)),0))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'T. Trautmann'!M32</f>
        <v>0</v>
      </c>
      <c r="Q32" s="10">
        <v>40</v>
      </c>
      <c r="R32" s="10">
        <f>IFERROR(INDEX('Projekt-Budget-Übersicht'!$F:$F,MATCH(130,'Projekt-Budget-Übersicht'!$L:$L,0)),0)</f>
        <v>0</v>
      </c>
      <c r="S32" s="10"/>
      <c r="T32" s="4"/>
      <c r="U32" s="4"/>
    </row>
    <row r="33" spans="1:21" x14ac:dyDescent="0.25">
      <c r="A33" s="4" t="s">
        <v>633</v>
      </c>
      <c r="B33" s="4" t="s">
        <v>5459</v>
      </c>
      <c r="C33" s="4" t="str">
        <f>IFERROR(INDEX('Projekt-Budget-Übersicht'!$C:$C,MATCH(639,'Projekt-Budget-Übersicht'!$L:$L,0)),"")</f>
        <v/>
      </c>
      <c r="D33" s="4">
        <v>70</v>
      </c>
      <c r="E33" s="4">
        <v>61.25</v>
      </c>
      <c r="F33" s="4">
        <v>9.5</v>
      </c>
      <c r="G33" s="16">
        <v>87.5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33" s="10">
        <f t="shared" si="5"/>
        <v>883.65702479338847</v>
      </c>
      <c r="N33" s="10">
        <f t="shared" si="6"/>
        <v>883.65702479338847</v>
      </c>
      <c r="O33" s="10">
        <f t="shared" si="7"/>
        <v>0</v>
      </c>
      <c r="P33" s="10">
        <f>'T. Trautmann'!M33</f>
        <v>883.65702479338847</v>
      </c>
      <c r="Q33" s="10">
        <v>121</v>
      </c>
      <c r="R33" s="10">
        <f>IFERROR(INDEX('Projekt-Budget-Übersicht'!$F:$F,MATCH(639,'Projekt-Budget-Übersicht'!$L:$L,0)),0)</f>
        <v>0</v>
      </c>
      <c r="S33" s="10">
        <v>6590</v>
      </c>
      <c r="T33" s="4"/>
      <c r="U33" s="4"/>
    </row>
    <row r="34" spans="1:21" x14ac:dyDescent="0.25">
      <c r="A34" s="4" t="s">
        <v>636</v>
      </c>
      <c r="B34" s="4" t="s">
        <v>5459</v>
      </c>
      <c r="C34" s="4" t="str">
        <f>IFERROR(INDEX('Projekt-Budget-Übersicht'!$C:$C,MATCH(641,'Projekt-Budget-Übersicht'!$L:$L,0)),"")</f>
        <v/>
      </c>
      <c r="D34" s="4">
        <v>20</v>
      </c>
      <c r="E34" s="4">
        <v>21.5</v>
      </c>
      <c r="F34" s="4">
        <v>2.75</v>
      </c>
      <c r="G34" s="15">
        <v>107.5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124.0740740740741</v>
      </c>
      <c r="M34" s="10">
        <f t="shared" si="5"/>
        <v>341.20370370370381</v>
      </c>
      <c r="N34" s="10">
        <f t="shared" si="6"/>
        <v>341.20370370370381</v>
      </c>
      <c r="O34" s="10">
        <f t="shared" si="7"/>
        <v>0</v>
      </c>
      <c r="P34" s="10">
        <f>'T. Trautmann'!M34</f>
        <v>341.20370370370381</v>
      </c>
      <c r="Q34" s="10">
        <v>27</v>
      </c>
      <c r="R34" s="10">
        <f>IFERROR(INDEX('Projekt-Budget-Übersicht'!$F:$F,MATCH(641,'Projekt-Budget-Übersicht'!$L:$L,0)),0)</f>
        <v>0</v>
      </c>
      <c r="S34" s="10">
        <v>2546.65</v>
      </c>
      <c r="T34" s="4"/>
      <c r="U34" s="4"/>
    </row>
    <row r="35" spans="1:21" x14ac:dyDescent="0.25">
      <c r="A35" s="4" t="s">
        <v>765</v>
      </c>
      <c r="B35" s="4" t="s">
        <v>5689</v>
      </c>
      <c r="C35" s="4" t="str">
        <f>IFERROR(INDEX('Projekt-Budget-Übersicht'!$C:$C,MATCH(774,'Projekt-Budget-Übersicht'!$L:$L,0)),"")</f>
        <v/>
      </c>
      <c r="D35" s="4">
        <v>70</v>
      </c>
      <c r="E35" s="4">
        <v>38.75</v>
      </c>
      <c r="F35" s="4">
        <v>4.75</v>
      </c>
      <c r="G35" s="16">
        <v>55.36</v>
      </c>
      <c r="H35" s="5"/>
      <c r="I35" s="5">
        <f t="shared" si="4"/>
        <v>0</v>
      </c>
      <c r="J35" s="4"/>
      <c r="K35" s="5"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IF($B$2="-",0,IFERROR(INDEX(IF($B$2="SV",'Projekt-Budget-Übersicht'!$I:$I,IF($B$2="CAD",'Projekt-Budget-Übersicht'!$J:$J,IF($B$2="ADM",'Projekt-Budget-Übersicht'!$K:$K,'Projekt-Budget-Übersicht'!$I:$I))),MATCH(774,'Projekt-Budget-Übersicht'!$M:$M,0)),0))</f>
        <v>0</v>
      </c>
      <c r="M35" s="10">
        <f t="shared" si="5"/>
        <v>0</v>
      </c>
      <c r="N35" s="10">
        <f t="shared" si="6"/>
        <v>0</v>
      </c>
      <c r="O35" s="10">
        <f t="shared" si="7"/>
        <v>0</v>
      </c>
      <c r="P35" s="10">
        <f>'T. Trautmann'!M35</f>
        <v>0</v>
      </c>
      <c r="Q35" s="10">
        <v>20</v>
      </c>
      <c r="R35" s="10">
        <f>IFERROR(INDEX('Projekt-Budget-Übersicht'!$F:$F,MATCH(774,'Projekt-Budget-Übersicht'!$L:$L,0)),0)</f>
        <v>0</v>
      </c>
      <c r="S35" s="10">
        <v>3487.5</v>
      </c>
      <c r="T35" s="4"/>
      <c r="U35" s="4"/>
    </row>
    <row r="36" spans="1:21" x14ac:dyDescent="0.25">
      <c r="A36" s="4" t="s">
        <v>767</v>
      </c>
      <c r="B36" s="4" t="s">
        <v>5690</v>
      </c>
      <c r="C36" s="4" t="str">
        <f>IFERROR(INDEX('Projekt-Budget-Übersicht'!$C:$C,MATCH(775,'Projekt-Budget-Übersicht'!$L:$L,0)),"")</f>
        <v/>
      </c>
      <c r="D36" s="4">
        <v>8</v>
      </c>
      <c r="E36" s="4">
        <v>5.75</v>
      </c>
      <c r="F36" s="4">
        <v>1</v>
      </c>
      <c r="G36" s="16">
        <v>71.88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IF($B$2="-",0,IFERROR(INDEX(IF($B$2="SV",'Projekt-Budget-Übersicht'!$I:$I,IF($B$2="CAD",'Projekt-Budget-Übersicht'!$J:$J,IF($B$2="ADM",'Projekt-Budget-Übersicht'!$K:$K,'Projekt-Budget-Übersicht'!$I:$I))),MATCH(775,'Projekt-Budget-Übersicht'!$M:$M,0)),0))</f>
        <v>115</v>
      </c>
      <c r="M36" s="10">
        <f t="shared" si="5"/>
        <v>115</v>
      </c>
      <c r="N36" s="10">
        <f t="shared" si="6"/>
        <v>115</v>
      </c>
      <c r="O36" s="10">
        <f t="shared" si="7"/>
        <v>0</v>
      </c>
      <c r="P36" s="10">
        <f>'T. Trautmann'!M36</f>
        <v>115</v>
      </c>
      <c r="Q36" s="10">
        <v>8</v>
      </c>
      <c r="R36" s="10">
        <f>IFERROR(INDEX('Projekt-Budget-Übersicht'!$F:$F,MATCH(775,'Projekt-Budget-Übersicht'!$L:$L,0)),0)</f>
        <v>0</v>
      </c>
      <c r="S36" s="10">
        <v>517.5</v>
      </c>
      <c r="T36" s="4"/>
      <c r="U36" s="4"/>
    </row>
    <row r="37" spans="1:21" x14ac:dyDescent="0.25">
      <c r="A37" s="4" t="s">
        <v>835</v>
      </c>
      <c r="B37" s="4" t="s">
        <v>5687</v>
      </c>
      <c r="C37" s="4" t="str">
        <f>IFERROR(INDEX('Projekt-Budget-Übersicht'!$C:$C,MATCH(863,'Projekt-Budget-Übersicht'!$L:$L,0)),"")</f>
        <v/>
      </c>
      <c r="D37" s="4">
        <v>141</v>
      </c>
      <c r="E37" s="4">
        <v>30</v>
      </c>
      <c r="F37" s="4">
        <v>0.25</v>
      </c>
      <c r="G37" s="16">
        <v>21.28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IF($B$2="-",0,IFERROR(INDEX(IF($B$2="SV",'Projekt-Budget-Übersicht'!$I:$I,IF($B$2="CAD",'Projekt-Budget-Übersicht'!$J:$J,IF($B$2="ADM",'Projekt-Budget-Übersicht'!$K:$K,'Projekt-Budget-Übersicht'!$I:$I))),MATCH(863,'Projekt-Budget-Übersicht'!$M:$M,0)),0))</f>
        <v>0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'T. Trautmann'!M37</f>
        <v>0</v>
      </c>
      <c r="Q37" s="10">
        <v>254</v>
      </c>
      <c r="R37" s="10">
        <f>IFERROR(INDEX('Projekt-Budget-Übersicht'!$F:$F,MATCH(863,'Projekt-Budget-Übersicht'!$L:$L,0)),0)</f>
        <v>0</v>
      </c>
      <c r="S37" s="10">
        <v>9188.2900000000009</v>
      </c>
      <c r="T37" s="4"/>
      <c r="U37" s="4"/>
    </row>
    <row r="38" spans="1:21" x14ac:dyDescent="0.25">
      <c r="A38" s="4" t="s">
        <v>1427</v>
      </c>
      <c r="B38" s="4" t="s">
        <v>5540</v>
      </c>
      <c r="C38" s="4" t="str">
        <f>IFERROR(INDEX('Projekt-Budget-Übersicht'!$C:$C,MATCH(1572,'Projekt-Budget-Übersicht'!$L:$L,0)),"")</f>
        <v/>
      </c>
      <c r="D38" s="4">
        <v>180</v>
      </c>
      <c r="E38" s="4">
        <v>158</v>
      </c>
      <c r="F38" s="4">
        <v>8.25</v>
      </c>
      <c r="G38" s="16">
        <v>87.78</v>
      </c>
      <c r="H38" s="5"/>
      <c r="I38" s="5">
        <f t="shared" si="4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IF($B$2="-",0,IFERROR(INDEX(IF($B$2="SV",'Projekt-Budget-Übersicht'!$I:$I,IF($B$2="CAD",'Projekt-Budget-Übersicht'!$J:$J,IF($B$2="ADM",'Projekt-Budget-Übersicht'!$K:$K,'Projekt-Budget-Übersicht'!$I:$I))),MATCH(1572,'Projekt-Budget-Übersicht'!$M:$M,0)),0))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'T. Trautmann'!M38</f>
        <v>0</v>
      </c>
      <c r="Q38" s="10">
        <v>657.5</v>
      </c>
      <c r="R38" s="10">
        <f>IFERROR(INDEX('Projekt-Budget-Übersicht'!$F:$F,MATCH(1572,'Projekt-Budget-Übersicht'!$L:$L,0)),0)</f>
        <v>0</v>
      </c>
      <c r="S38" s="10">
        <v>14566.25</v>
      </c>
      <c r="T38" s="4"/>
      <c r="U38" s="4"/>
    </row>
    <row r="39" spans="1:21" x14ac:dyDescent="0.25">
      <c r="A39" s="21" t="s">
        <v>1429</v>
      </c>
      <c r="B39" s="4" t="s">
        <v>5516</v>
      </c>
      <c r="C39" s="4" t="str">
        <f>IFERROR(INDEX('Projekt-Budget-Übersicht'!$C:$C,MATCH(1573,'Projekt-Budget-Übersicht'!$L:$L,0)),"")</f>
        <v/>
      </c>
      <c r="D39" s="4">
        <v>71</v>
      </c>
      <c r="E39" s="4">
        <v>115.5</v>
      </c>
      <c r="F39" s="4">
        <v>3</v>
      </c>
      <c r="G39" s="15">
        <v>162.68</v>
      </c>
      <c r="H39" s="5"/>
      <c r="I39" s="5">
        <f t="shared" si="4"/>
        <v>0</v>
      </c>
      <c r="J39" s="4"/>
      <c r="K39" s="5"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39" s="10">
        <f t="shared" si="5"/>
        <v>0</v>
      </c>
      <c r="N39" s="10">
        <f t="shared" si="6"/>
        <v>0</v>
      </c>
      <c r="O39" s="10">
        <f t="shared" si="7"/>
        <v>0</v>
      </c>
      <c r="P39" s="10">
        <f>'T. Trautmann'!M39</f>
        <v>0</v>
      </c>
      <c r="Q39" s="10">
        <v>599.5</v>
      </c>
      <c r="R39" s="10">
        <f>IFERROR(INDEX('Projekt-Budget-Übersicht'!$F:$F,MATCH(1573,'Projekt-Budget-Übersicht'!$L:$L,0)),0)</f>
        <v>0</v>
      </c>
      <c r="S39" s="10">
        <v>26345</v>
      </c>
      <c r="T39" s="4"/>
      <c r="U39" s="4"/>
    </row>
    <row r="40" spans="1:21" x14ac:dyDescent="0.25">
      <c r="A40" s="22"/>
      <c r="B40" s="4" t="s">
        <v>5504</v>
      </c>
      <c r="C40" s="4" t="str">
        <f>IFERROR(INDEX('Projekt-Budget-Übersicht'!$C:$C,MATCH(1573,'Projekt-Budget-Übersicht'!$L:$L,0)),"")</f>
        <v/>
      </c>
      <c r="D40" s="4">
        <v>85</v>
      </c>
      <c r="E40" s="4">
        <v>56.25</v>
      </c>
      <c r="F40" s="4">
        <v>9</v>
      </c>
      <c r="G40" s="16">
        <v>66.180000000000007</v>
      </c>
      <c r="H40" s="5"/>
      <c r="I40" s="5">
        <f t="shared" si="4"/>
        <v>0</v>
      </c>
      <c r="J40" s="4"/>
      <c r="K40" s="5"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'T. Trautmann'!M40</f>
        <v>0</v>
      </c>
      <c r="Q40" s="10">
        <v>599.5</v>
      </c>
      <c r="R40" s="10">
        <f>IFERROR(INDEX('Projekt-Budget-Übersicht'!$F:$F,MATCH(1573,'Projekt-Budget-Übersicht'!$L:$L,0)),0)</f>
        <v>0</v>
      </c>
      <c r="S40" s="10">
        <v>26345</v>
      </c>
      <c r="T40" s="4"/>
      <c r="U40" s="4"/>
    </row>
    <row r="41" spans="1:21" x14ac:dyDescent="0.25">
      <c r="A41" s="4" t="s">
        <v>1562</v>
      </c>
      <c r="B41" s="4" t="s">
        <v>5501</v>
      </c>
      <c r="C41" s="4" t="str">
        <f>IFERROR(INDEX('Projekt-Budget-Übersicht'!$C:$C,MATCH(1764,'Projekt-Budget-Übersicht'!$L:$L,0)),"")</f>
        <v/>
      </c>
      <c r="D41" s="4">
        <v>16</v>
      </c>
      <c r="E41" s="4">
        <v>18</v>
      </c>
      <c r="F41" s="4">
        <v>0.5</v>
      </c>
      <c r="G41" s="15">
        <v>112.5</v>
      </c>
      <c r="H41" s="5"/>
      <c r="I41" s="5">
        <f t="shared" si="4"/>
        <v>0</v>
      </c>
      <c r="J41" s="4"/>
      <c r="K41" s="5">
        <f>IF('A. Kokott'!J49="T. Trautmann",'A. Kokott'!I49,0)+IF('J. Dorn'!J51="T. Trautmann",'J. Dorn'!I51,0)</f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IF($B$2="-",0,IFERROR(INDEX(IF($B$2="SV",'Projekt-Budget-Übersicht'!$I:$I,IF($B$2="CAD",'Projekt-Budget-Übersicht'!$J:$J,IF($B$2="ADM",'Projekt-Budget-Übersicht'!$K:$K,'Projekt-Budget-Übersicht'!$I:$I))),MATCH(1764,'Projekt-Budget-Übersicht'!$M:$M,0)),0))</f>
        <v>107.8947368421053</v>
      </c>
      <c r="M41" s="10">
        <f t="shared" si="5"/>
        <v>53.947368421052651</v>
      </c>
      <c r="N41" s="10">
        <f t="shared" si="6"/>
        <v>53.947368421052651</v>
      </c>
      <c r="O41" s="10">
        <f t="shared" si="7"/>
        <v>0</v>
      </c>
      <c r="P41" s="10">
        <f>'A. Kokott'!M49+'J. Dorn'!M51+'T. Trautmann'!M41</f>
        <v>269.73684210526324</v>
      </c>
      <c r="Q41" s="10">
        <v>49</v>
      </c>
      <c r="R41" s="10">
        <f>IFERROR(INDEX('Projekt-Budget-Übersicht'!$F:$F,MATCH(1764,'Projekt-Budget-Übersicht'!$L:$L,0)),0)</f>
        <v>0</v>
      </c>
      <c r="S41" s="10">
        <v>1574.15</v>
      </c>
      <c r="T41" s="4"/>
      <c r="U41" s="4"/>
    </row>
    <row r="42" spans="1:21" x14ac:dyDescent="0.25">
      <c r="A42" s="4" t="s">
        <v>1564</v>
      </c>
      <c r="B42" s="4" t="s">
        <v>5515</v>
      </c>
      <c r="C42" s="4" t="str">
        <f>IFERROR(INDEX('Projekt-Budget-Übersicht'!$C:$C,MATCH(1765,'Projekt-Budget-Übersicht'!$L:$L,0)),"")</f>
        <v/>
      </c>
      <c r="D42" s="4">
        <v>30</v>
      </c>
      <c r="E42" s="4">
        <v>12.5</v>
      </c>
      <c r="F42" s="4">
        <v>0.75</v>
      </c>
      <c r="G42" s="16">
        <v>41.67</v>
      </c>
      <c r="H42" s="5"/>
      <c r="I42" s="5">
        <f t="shared" si="4"/>
        <v>0</v>
      </c>
      <c r="J42" s="4"/>
      <c r="K42" s="5">
        <f>IF('J. Dorn'!J52="T. Trautmann",'J. Dorn'!I52,0)</f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IF($B$2="-",0,IFERROR(INDEX(IF($B$2="SV",'Projekt-Budget-Übersicht'!$I:$I,IF($B$2="CAD",'Projekt-Budget-Übersicht'!$J:$J,IF($B$2="ADM",'Projekt-Budget-Übersicht'!$K:$K,'Projekt-Budget-Übersicht'!$I:$I))),MATCH(1765,'Projekt-Budget-Übersicht'!$M:$M,0)),0))</f>
        <v>0</v>
      </c>
      <c r="M42" s="10">
        <f t="shared" si="5"/>
        <v>0</v>
      </c>
      <c r="N42" s="10">
        <f t="shared" si="6"/>
        <v>0</v>
      </c>
      <c r="O42" s="10">
        <f t="shared" si="7"/>
        <v>0</v>
      </c>
      <c r="P42" s="10">
        <f>'J. Dorn'!M52+'T. Trautmann'!M42</f>
        <v>0</v>
      </c>
      <c r="Q42" s="10">
        <v>30</v>
      </c>
      <c r="R42" s="10">
        <f>IFERROR(INDEX('Projekt-Budget-Übersicht'!$F:$F,MATCH(1765,'Projekt-Budget-Übersicht'!$L:$L,0)),0)</f>
        <v>0</v>
      </c>
      <c r="S42" s="10">
        <v>1133.75</v>
      </c>
      <c r="T42" s="4"/>
      <c r="U42" s="4"/>
    </row>
    <row r="43" spans="1:21" x14ac:dyDescent="0.25">
      <c r="A43" s="4" t="s">
        <v>1638</v>
      </c>
      <c r="B43" s="4" t="s">
        <v>5544</v>
      </c>
      <c r="C43" s="4" t="str">
        <f>IFERROR(INDEX('Projekt-Budget-Übersicht'!$C:$C,MATCH(1847,'Projekt-Budget-Übersicht'!$L:$L,0)),"")</f>
        <v/>
      </c>
      <c r="D43" s="4">
        <v>283</v>
      </c>
      <c r="E43" s="4">
        <v>242.5</v>
      </c>
      <c r="F43" s="4">
        <v>10</v>
      </c>
      <c r="G43" s="16">
        <v>85.69</v>
      </c>
      <c r="H43" s="5"/>
      <c r="I43" s="5">
        <f t="shared" si="4"/>
        <v>0</v>
      </c>
      <c r="J43" s="4"/>
      <c r="K43" s="5">
        <v>0</v>
      </c>
      <c r="L43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43" s="10">
        <f t="shared" si="5"/>
        <v>0</v>
      </c>
      <c r="N43" s="10">
        <f t="shared" si="6"/>
        <v>0</v>
      </c>
      <c r="O43" s="10">
        <f t="shared" si="7"/>
        <v>0</v>
      </c>
      <c r="P43" s="10">
        <f>'T. Trautmann'!M43</f>
        <v>0</v>
      </c>
      <c r="Q43" s="10">
        <v>165.5</v>
      </c>
      <c r="R43" s="10">
        <f>IFERROR(INDEX('Projekt-Budget-Übersicht'!$F:$F,MATCH(1847,'Projekt-Budget-Übersicht'!$L:$L,0)),0)</f>
        <v>0</v>
      </c>
      <c r="S43" s="10">
        <v>10673.29</v>
      </c>
      <c r="T43" s="4"/>
      <c r="U43" s="4"/>
    </row>
    <row r="44" spans="1:21" x14ac:dyDescent="0.25">
      <c r="A44" s="4" t="s">
        <v>1642</v>
      </c>
      <c r="B44" s="4" t="s">
        <v>5691</v>
      </c>
      <c r="C44" s="4" t="str">
        <f>IFERROR(INDEX('Projekt-Budget-Übersicht'!$C:$C,MATCH(1850,'Projekt-Budget-Übersicht'!$L:$L,0)),"")</f>
        <v/>
      </c>
      <c r="D44" s="4">
        <v>8</v>
      </c>
      <c r="E44" s="4">
        <v>8.5</v>
      </c>
      <c r="F44" s="4">
        <v>7.25</v>
      </c>
      <c r="G44" s="15">
        <v>106.25</v>
      </c>
      <c r="H44" s="5"/>
      <c r="I44" s="5">
        <f t="shared" si="4"/>
        <v>0</v>
      </c>
      <c r="J44" s="4"/>
      <c r="K44" s="5">
        <v>0</v>
      </c>
      <c r="L44" s="10">
        <f>IF($B$2="-",0,IFERROR(INDEX(IF($B$2="SV",'Projekt-Budget-Übersicht'!$I:$I,IF($B$2="CAD",'Projekt-Budget-Übersicht'!$J:$J,IF($B$2="ADM",'Projekt-Budget-Übersicht'!$K:$K,'Projekt-Budget-Übersicht'!$I:$I))),MATCH(1850,'Projekt-Budget-Übersicht'!$M:$M,0)),0))</f>
        <v>97.058823529411768</v>
      </c>
      <c r="M44" s="10">
        <f t="shared" si="5"/>
        <v>703.67647058823536</v>
      </c>
      <c r="N44" s="10">
        <f t="shared" si="6"/>
        <v>703.67647058823536</v>
      </c>
      <c r="O44" s="10">
        <f t="shared" si="7"/>
        <v>0</v>
      </c>
      <c r="P44" s="10">
        <f>'T. Trautmann'!M44</f>
        <v>703.67647058823536</v>
      </c>
      <c r="Q44" s="10">
        <v>17</v>
      </c>
      <c r="R44" s="10">
        <f>IFERROR(INDEX('Projekt-Budget-Übersicht'!$F:$F,MATCH(1850,'Projekt-Budget-Übersicht'!$L:$L,0)),0)</f>
        <v>0</v>
      </c>
      <c r="S44" s="10">
        <v>990</v>
      </c>
      <c r="T44" s="4"/>
      <c r="U44" s="4"/>
    </row>
    <row r="45" spans="1:21" x14ac:dyDescent="0.25">
      <c r="A45" s="4" t="s">
        <v>1692</v>
      </c>
      <c r="B45" s="4" t="s">
        <v>5692</v>
      </c>
      <c r="C45" s="4" t="str">
        <f>IFERROR(INDEX('Projekt-Budget-Übersicht'!$C:$C,MATCH(1909,'Projekt-Budget-Übersicht'!$L:$L,0)),"")</f>
        <v/>
      </c>
      <c r="D45" s="4">
        <v>94</v>
      </c>
      <c r="E45" s="4">
        <v>28.5</v>
      </c>
      <c r="F45" s="4">
        <v>0.5</v>
      </c>
      <c r="G45" s="16">
        <v>30.32</v>
      </c>
      <c r="H45" s="5"/>
      <c r="I45" s="5">
        <f t="shared" si="4"/>
        <v>0</v>
      </c>
      <c r="J45" s="4"/>
      <c r="K45" s="5">
        <v>0</v>
      </c>
      <c r="L45" s="10">
        <f>IF($B$2="-",0,IFERROR(INDEX(IF($B$2="SV",'Projekt-Budget-Übersicht'!$I:$I,IF($B$2="CAD",'Projekt-Budget-Übersicht'!$J:$J,IF($B$2="ADM",'Projekt-Budget-Übersicht'!$K:$K,'Projekt-Budget-Übersicht'!$I:$I))),MATCH(1909,'Projekt-Budget-Übersicht'!$M:$M,0)),0))</f>
        <v>0</v>
      </c>
      <c r="M45" s="10">
        <f t="shared" si="5"/>
        <v>0</v>
      </c>
      <c r="N45" s="10">
        <f t="shared" si="6"/>
        <v>0</v>
      </c>
      <c r="O45" s="10">
        <f t="shared" si="7"/>
        <v>0</v>
      </c>
      <c r="P45" s="10">
        <f>'T. Trautmann'!M45</f>
        <v>0</v>
      </c>
      <c r="Q45" s="10">
        <v>94</v>
      </c>
      <c r="R45" s="10">
        <f>IFERROR(INDEX('Projekt-Budget-Übersicht'!$F:$F,MATCH(1909,'Projekt-Budget-Übersicht'!$L:$L,0)),0)</f>
        <v>0</v>
      </c>
      <c r="S45" s="10">
        <v>2475</v>
      </c>
      <c r="T45" s="4"/>
      <c r="U45" s="4"/>
    </row>
    <row r="46" spans="1:21" x14ac:dyDescent="0.25">
      <c r="A46" s="4" t="s">
        <v>1762</v>
      </c>
      <c r="B46" s="4" t="s">
        <v>5485</v>
      </c>
      <c r="C46" s="4" t="str">
        <f>IFERROR(INDEX('Projekt-Budget-Übersicht'!$C:$C,MATCH(1988,'Projekt-Budget-Übersicht'!$L:$L,0)),"")</f>
        <v/>
      </c>
      <c r="D46" s="4">
        <v>20</v>
      </c>
      <c r="E46" s="4">
        <v>19.5</v>
      </c>
      <c r="F46" s="4">
        <v>16.25</v>
      </c>
      <c r="G46" s="14">
        <v>97.5</v>
      </c>
      <c r="H46" s="5"/>
      <c r="I46" s="5">
        <f t="shared" si="4"/>
        <v>0</v>
      </c>
      <c r="J46" s="4"/>
      <c r="K46" s="5">
        <v>0</v>
      </c>
      <c r="L46" s="10">
        <f>IF($B$2="-",0,IFERROR(INDEX(IF($B$2="SV",'Projekt-Budget-Übersicht'!$I:$I,IF($B$2="CAD",'Projekt-Budget-Übersicht'!$J:$J,IF($B$2="ADM",'Projekt-Budget-Übersicht'!$K:$K,'Projekt-Budget-Übersicht'!$I:$I))),MATCH(1988,'Projekt-Budget-Übersicht'!$M:$M,0)),0))</f>
        <v>128</v>
      </c>
      <c r="M46" s="10">
        <f t="shared" si="5"/>
        <v>2080</v>
      </c>
      <c r="N46" s="10">
        <f t="shared" si="6"/>
        <v>2080</v>
      </c>
      <c r="O46" s="10">
        <f t="shared" si="7"/>
        <v>0</v>
      </c>
      <c r="P46" s="10">
        <f>'T. Trautmann'!M46</f>
        <v>2080</v>
      </c>
      <c r="Q46" s="10">
        <v>25</v>
      </c>
      <c r="R46" s="10">
        <f>IFERROR(INDEX('Projekt-Budget-Übersicht'!$F:$F,MATCH(1988,'Projekt-Budget-Übersicht'!$L:$L,0)),0)</f>
        <v>0</v>
      </c>
      <c r="S46" s="10">
        <v>1892.5</v>
      </c>
      <c r="T46" s="4"/>
      <c r="U46" s="4"/>
    </row>
    <row r="47" spans="1:21" x14ac:dyDescent="0.25">
      <c r="A47" s="4" t="s">
        <v>1958</v>
      </c>
      <c r="B47" s="4" t="s">
        <v>5693</v>
      </c>
      <c r="C47" s="4" t="str">
        <f>IFERROR(INDEX('Projekt-Budget-Übersicht'!$C:$C,MATCH(2332,'Projekt-Budget-Übersicht'!$L:$L,0)),"")</f>
        <v/>
      </c>
      <c r="D47" s="4">
        <v>40</v>
      </c>
      <c r="E47" s="4">
        <v>13.75</v>
      </c>
      <c r="F47" s="4">
        <v>0.25</v>
      </c>
      <c r="G47" s="16">
        <v>34.380000000000003</v>
      </c>
      <c r="H47" s="5"/>
      <c r="I47" s="5">
        <f t="shared" si="4"/>
        <v>0</v>
      </c>
      <c r="J47" s="4"/>
      <c r="K47" s="5">
        <v>0</v>
      </c>
      <c r="L47" s="10">
        <f>IF($B$2="-",0,IFERROR(INDEX(IF($B$2="SV",'Projekt-Budget-Übersicht'!$I:$I,IF($B$2="CAD",'Projekt-Budget-Übersicht'!$J:$J,IF($B$2="ADM",'Projekt-Budget-Übersicht'!$K:$K,'Projekt-Budget-Übersicht'!$I:$I))),MATCH(2332,'Projekt-Budget-Übersicht'!$M:$M,0)),0))</f>
        <v>0</v>
      </c>
      <c r="M47" s="10">
        <f t="shared" si="5"/>
        <v>0</v>
      </c>
      <c r="N47" s="10">
        <f t="shared" si="6"/>
        <v>0</v>
      </c>
      <c r="O47" s="10">
        <f t="shared" si="7"/>
        <v>0</v>
      </c>
      <c r="P47" s="10">
        <f>'T. Trautmann'!M47</f>
        <v>0</v>
      </c>
      <c r="Q47" s="10">
        <v>40</v>
      </c>
      <c r="R47" s="10">
        <f>IFERROR(INDEX('Projekt-Budget-Übersicht'!$F:$F,MATCH(2332,'Projekt-Budget-Übersicht'!$L:$L,0)),0)</f>
        <v>0</v>
      </c>
      <c r="S47" s="10">
        <v>1192.5</v>
      </c>
      <c r="T47" s="4"/>
      <c r="U47" s="4"/>
    </row>
    <row r="48" spans="1:21" x14ac:dyDescent="0.25">
      <c r="A48" s="4" t="s">
        <v>2352</v>
      </c>
      <c r="B48" s="4" t="s">
        <v>5544</v>
      </c>
      <c r="C48" s="4" t="str">
        <f>IFERROR(INDEX('Projekt-Budget-Übersicht'!$C:$C,MATCH(2694,'Projekt-Budget-Übersicht'!$L:$L,0)),"")</f>
        <v/>
      </c>
      <c r="D48" s="4">
        <v>50.5</v>
      </c>
      <c r="E48" s="4">
        <v>18.5</v>
      </c>
      <c r="F48" s="4">
        <v>2</v>
      </c>
      <c r="G48" s="16">
        <v>36.630000000000003</v>
      </c>
      <c r="H48" s="5"/>
      <c r="I48" s="5">
        <f t="shared" si="4"/>
        <v>0</v>
      </c>
      <c r="J48" s="4"/>
      <c r="K48" s="5">
        <v>0</v>
      </c>
      <c r="L48" s="10">
        <f>IF($B$2="-",0,IFERROR(INDEX(IF($B$2="SV",'Projekt-Budget-Übersicht'!$I:$I,IF($B$2="CAD",'Projekt-Budget-Übersicht'!$J:$J,IF($B$2="ADM",'Projekt-Budget-Übersicht'!$K:$K,'Projekt-Budget-Übersicht'!$I:$I))),MATCH(2694,'Projekt-Budget-Übersicht'!$M:$M,0)),0))</f>
        <v>0</v>
      </c>
      <c r="M48" s="10">
        <f t="shared" si="5"/>
        <v>0</v>
      </c>
      <c r="N48" s="10">
        <f t="shared" si="6"/>
        <v>0</v>
      </c>
      <c r="O48" s="10">
        <f t="shared" si="7"/>
        <v>0</v>
      </c>
      <c r="P48" s="10">
        <f>'T. Trautmann'!M48</f>
        <v>0</v>
      </c>
      <c r="Q48" s="10">
        <v>50.5</v>
      </c>
      <c r="R48" s="10">
        <f>IFERROR(INDEX('Projekt-Budget-Übersicht'!$F:$F,MATCH(2694,'Projekt-Budget-Übersicht'!$L:$L,0)),0)</f>
        <v>0</v>
      </c>
      <c r="S48" s="10">
        <v>1665</v>
      </c>
      <c r="T48" s="4"/>
      <c r="U48" s="4"/>
    </row>
    <row r="49" spans="1:21" x14ac:dyDescent="0.25">
      <c r="A49" s="4" t="s">
        <v>2611</v>
      </c>
      <c r="B49" s="4" t="s">
        <v>5544</v>
      </c>
      <c r="C49" s="4" t="str">
        <f>IFERROR(INDEX('Projekt-Budget-Übersicht'!$C:$C,MATCH(2928,'Projekt-Budget-Übersicht'!$L:$L,0)),"")</f>
        <v/>
      </c>
      <c r="D49" s="4">
        <v>191.25</v>
      </c>
      <c r="E49" s="4">
        <v>97</v>
      </c>
      <c r="F49" s="4">
        <v>20.5</v>
      </c>
      <c r="G49" s="16">
        <v>50.72</v>
      </c>
      <c r="H49" s="5"/>
      <c r="I49" s="5">
        <f t="shared" si="4"/>
        <v>0</v>
      </c>
      <c r="J49" s="4"/>
      <c r="K49" s="5">
        <v>0</v>
      </c>
      <c r="L49" s="10">
        <f>IF($B$2="-",0,IFERROR(INDEX(IF($B$2="SV",'Projekt-Budget-Übersicht'!$I:$I,IF($B$2="CAD",'Projekt-Budget-Übersicht'!$J:$J,IF($B$2="ADM",'Projekt-Budget-Übersicht'!$K:$K,'Projekt-Budget-Übersicht'!$I:$I))),MATCH(2928,'Projekt-Budget-Übersicht'!$M:$M,0)),0))</f>
        <v>0</v>
      </c>
      <c r="M49" s="10">
        <f t="shared" si="5"/>
        <v>0</v>
      </c>
      <c r="N49" s="10">
        <f t="shared" si="6"/>
        <v>0</v>
      </c>
      <c r="O49" s="10">
        <f t="shared" si="7"/>
        <v>0</v>
      </c>
      <c r="P49" s="10">
        <f>'T. Trautmann'!M49</f>
        <v>0</v>
      </c>
      <c r="Q49" s="10">
        <v>191.25</v>
      </c>
      <c r="R49" s="10">
        <f>IFERROR(INDEX('Projekt-Budget-Übersicht'!$F:$F,MATCH(2928,'Projekt-Budget-Übersicht'!$L:$L,0)),0)</f>
        <v>0</v>
      </c>
      <c r="S49" s="10">
        <v>12802.5</v>
      </c>
      <c r="T49" s="4"/>
      <c r="U49" s="4"/>
    </row>
    <row r="50" spans="1:21" x14ac:dyDescent="0.25">
      <c r="A50" s="4" t="s">
        <v>5503</v>
      </c>
      <c r="B50" s="4" t="s">
        <v>5459</v>
      </c>
      <c r="C50" s="4" t="s">
        <v>50</v>
      </c>
      <c r="D50" s="4">
        <v>0</v>
      </c>
      <c r="E50" s="4">
        <v>-1</v>
      </c>
      <c r="F50" s="4">
        <v>0.75</v>
      </c>
      <c r="G50" s="4">
        <v>0</v>
      </c>
      <c r="H50" s="5"/>
      <c r="I50" s="5">
        <f t="shared" si="4"/>
        <v>0</v>
      </c>
      <c r="J50" s="4"/>
      <c r="K50" s="5">
        <f>IF('A. Kokott'!J51="T. Trautmann",'A. Kokott'!I51,0)+IF('J. Dorn'!J64="T. Trautmann",'J. Dorn'!I64,0)</f>
        <v>0</v>
      </c>
      <c r="L50" s="10">
        <f>IF($B$2="-",0,0)</f>
        <v>0</v>
      </c>
      <c r="M50" s="10">
        <f t="shared" si="5"/>
        <v>0</v>
      </c>
      <c r="N50" s="10">
        <f t="shared" si="6"/>
        <v>0</v>
      </c>
      <c r="O50" s="10">
        <f t="shared" si="7"/>
        <v>0</v>
      </c>
      <c r="P50" s="10">
        <f>'A. Kokott'!M51+'J. Dorn'!M64+'T. Trautmann'!M50</f>
        <v>0</v>
      </c>
      <c r="Q50" s="10"/>
      <c r="R50" s="10">
        <f>0</f>
        <v>0</v>
      </c>
      <c r="S50" s="10"/>
      <c r="T50" s="4"/>
      <c r="U50" s="4"/>
    </row>
    <row r="51" spans="1:21" x14ac:dyDescent="0.25">
      <c r="A51" s="21" t="s">
        <v>3146</v>
      </c>
      <c r="B51" s="4" t="s">
        <v>5459</v>
      </c>
      <c r="C51" s="4" t="str">
        <f>IFERROR(INDEX('Projekt-Budget-Übersicht'!$C:$C,MATCH(3387,'Projekt-Budget-Übersicht'!$L:$L,0)),"")</f>
        <v/>
      </c>
      <c r="D51" s="4">
        <v>40</v>
      </c>
      <c r="E51" s="4">
        <v>166.5</v>
      </c>
      <c r="F51" s="4">
        <v>1.25</v>
      </c>
      <c r="G51" s="15">
        <v>416.25</v>
      </c>
      <c r="H51" s="5"/>
      <c r="I51" s="5">
        <f t="shared" si="4"/>
        <v>0</v>
      </c>
      <c r="J51" s="4"/>
      <c r="K51" s="5">
        <f>IF('S. Schüler'!J67="T. Trautmann",'S. Schüler'!I67,0)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51" s="10">
        <f t="shared" si="5"/>
        <v>0</v>
      </c>
      <c r="N51" s="10">
        <f t="shared" si="6"/>
        <v>0</v>
      </c>
      <c r="O51" s="10">
        <f t="shared" si="7"/>
        <v>0</v>
      </c>
      <c r="P51" s="10">
        <f>'S. Schüler'!M67+'T. Trautmann'!M51</f>
        <v>0</v>
      </c>
      <c r="Q51" s="10">
        <v>74</v>
      </c>
      <c r="R51" s="10">
        <f>IFERROR(INDEX('Projekt-Budget-Übersicht'!$F:$F,MATCH(3387,'Projekt-Budget-Übersicht'!$L:$L,0)),0)</f>
        <v>0</v>
      </c>
      <c r="S51" s="10">
        <v>23081.52</v>
      </c>
      <c r="T51" s="4"/>
      <c r="U51" s="4"/>
    </row>
    <row r="52" spans="1:21" x14ac:dyDescent="0.25">
      <c r="A52" s="22"/>
      <c r="B52" s="4" t="s">
        <v>5670</v>
      </c>
      <c r="C52" s="4" t="str">
        <f>IFERROR(INDEX('Projekt-Budget-Übersicht'!$C:$C,MATCH(3387,'Projekt-Budget-Übersicht'!$L:$L,0)),"")</f>
        <v/>
      </c>
      <c r="D52" s="4">
        <v>0</v>
      </c>
      <c r="E52" s="4">
        <v>127.5</v>
      </c>
      <c r="F52" s="4">
        <v>1</v>
      </c>
      <c r="G52" s="4">
        <v>0</v>
      </c>
      <c r="H52" s="5"/>
      <c r="I52" s="5">
        <f t="shared" si="4"/>
        <v>0</v>
      </c>
      <c r="J52" s="4"/>
      <c r="K52" s="5">
        <f>IF('S. Schüler'!J68="T. Trautmann",'S. Schüler'!I68,0)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52" s="10">
        <f t="shared" si="5"/>
        <v>0</v>
      </c>
      <c r="N52" s="10">
        <f t="shared" si="6"/>
        <v>0</v>
      </c>
      <c r="O52" s="10">
        <f t="shared" si="7"/>
        <v>0</v>
      </c>
      <c r="P52" s="10">
        <f>'S. Schüler'!M68+'T. Trautmann'!M52</f>
        <v>0</v>
      </c>
      <c r="Q52" s="10">
        <v>74</v>
      </c>
      <c r="R52" s="10">
        <f>IFERROR(INDEX('Projekt-Budget-Übersicht'!$F:$F,MATCH(3387,'Projekt-Budget-Übersicht'!$L:$L,0)),0)</f>
        <v>0</v>
      </c>
      <c r="S52" s="10">
        <v>23081.52</v>
      </c>
      <c r="T52" s="4"/>
      <c r="U52" s="4"/>
    </row>
    <row r="53" spans="1:21" x14ac:dyDescent="0.25">
      <c r="A53" s="21" t="s">
        <v>3158</v>
      </c>
      <c r="B53" s="4" t="s">
        <v>5694</v>
      </c>
      <c r="C53" s="4" t="str">
        <f>IFERROR(INDEX('Projekt-Budget-Übersicht'!$C:$C,MATCH(3396,'Projekt-Budget-Übersicht'!$L:$L,0)),"")</f>
        <v/>
      </c>
      <c r="D53" s="4">
        <v>4</v>
      </c>
      <c r="E53" s="4">
        <v>3.25</v>
      </c>
      <c r="F53" s="4">
        <v>3.25</v>
      </c>
      <c r="G53" s="16">
        <v>81.25</v>
      </c>
      <c r="H53" s="5"/>
      <c r="I53" s="5">
        <f t="shared" si="4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IF($B$2="-",0,IFERROR(INDEX(IF($B$2="SV",'Projekt-Budget-Übersicht'!$I:$I,IF($B$2="CAD",'Projekt-Budget-Übersicht'!$J:$J,IF($B$2="ADM",'Projekt-Budget-Übersicht'!$K:$K,'Projekt-Budget-Übersicht'!$I:$I))),MATCH(3396,'Projekt-Budget-Übersicht'!$M:$M,0)),0))</f>
        <v>87.5</v>
      </c>
      <c r="M53" s="10">
        <f t="shared" si="5"/>
        <v>284.375</v>
      </c>
      <c r="N53" s="10">
        <f t="shared" si="6"/>
        <v>284.375</v>
      </c>
      <c r="O53" s="10">
        <f t="shared" si="7"/>
        <v>0</v>
      </c>
      <c r="P53" s="10">
        <f>'T. Trautmann'!M53</f>
        <v>284.375</v>
      </c>
      <c r="Q53" s="10">
        <v>7</v>
      </c>
      <c r="R53" s="10">
        <f>IFERROR(INDEX('Projekt-Budget-Übersicht'!$F:$F,MATCH(3396,'Projekt-Budget-Übersicht'!$L:$L,0)),0)</f>
        <v>0</v>
      </c>
      <c r="S53" s="10">
        <v>292.5</v>
      </c>
      <c r="T53" s="4"/>
      <c r="U53" s="4"/>
    </row>
    <row r="54" spans="1:21" x14ac:dyDescent="0.25">
      <c r="A54" s="22"/>
      <c r="B54" s="4" t="s">
        <v>5498</v>
      </c>
      <c r="C54" s="4" t="str">
        <f>IFERROR(INDEX('Projekt-Budget-Übersicht'!$C:$C,MATCH(3395,'Projekt-Budget-Übersicht'!$L:$L,0)),"")</f>
        <v/>
      </c>
      <c r="D54" s="4">
        <v>10</v>
      </c>
      <c r="E54" s="4">
        <v>9.5</v>
      </c>
      <c r="F54" s="4">
        <v>0.5</v>
      </c>
      <c r="G54" s="14">
        <v>95</v>
      </c>
      <c r="H54" s="5"/>
      <c r="I54" s="5">
        <f t="shared" si="4"/>
        <v>0</v>
      </c>
      <c r="J54" s="4"/>
      <c r="K54" s="5">
        <f>IF('M. Warner'!J10="T. Trautmann",'M. Warner'!I10,0)</f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IF($B$2="-",0,IFERROR(INDEX(IF($B$2="SV",'Projekt-Budget-Übersicht'!$I:$I,IF($B$2="CAD",'Projekt-Budget-Übersicht'!$J:$J,IF($B$2="ADM",'Projekt-Budget-Übersicht'!$K:$K,'Projekt-Budget-Übersicht'!$I:$I))),MATCH(3395,'Projekt-Budget-Übersicht'!$M:$M,0)),0))</f>
        <v>81.818181818181813</v>
      </c>
      <c r="M54" s="10">
        <f t="shared" si="5"/>
        <v>40.909090909090907</v>
      </c>
      <c r="N54" s="10">
        <f t="shared" si="6"/>
        <v>40.909090909090907</v>
      </c>
      <c r="O54" s="10">
        <f t="shared" si="7"/>
        <v>0</v>
      </c>
      <c r="P54" s="10">
        <f>'M. Warner'!M10+'T. Trautmann'!M54</f>
        <v>777.27272727272714</v>
      </c>
      <c r="Q54" s="10">
        <v>11</v>
      </c>
      <c r="R54" s="10">
        <f>IFERROR(INDEX('Projekt-Budget-Übersicht'!$F:$F,MATCH(3395,'Projekt-Budget-Übersicht'!$L:$L,0)),0)</f>
        <v>0</v>
      </c>
      <c r="S54" s="10">
        <v>100</v>
      </c>
      <c r="T54" s="4"/>
      <c r="U54" s="4"/>
    </row>
    <row r="55" spans="1:21" x14ac:dyDescent="0.25">
      <c r="A55" s="4" t="s">
        <v>3461</v>
      </c>
      <c r="B55" s="4" t="s">
        <v>5695</v>
      </c>
      <c r="C55" s="4" t="str">
        <f>IFERROR(INDEX('Projekt-Budget-Übersicht'!$C:$C,MATCH(3669,'Projekt-Budget-Übersicht'!$L:$L,0)),"")</f>
        <v/>
      </c>
      <c r="D55" s="4">
        <v>0</v>
      </c>
      <c r="E55" s="4">
        <v>9</v>
      </c>
      <c r="F55" s="4">
        <v>3</v>
      </c>
      <c r="G55" s="4">
        <v>0</v>
      </c>
      <c r="H55" s="5"/>
      <c r="I55" s="5">
        <f t="shared" si="4"/>
        <v>0</v>
      </c>
      <c r="J55" s="4"/>
      <c r="K55" s="5"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IF($B$2="-",0,IFERROR(INDEX(IF($B$2="SV",'Projekt-Budget-Übersicht'!$I:$I,IF($B$2="CAD",'Projekt-Budget-Übersicht'!$J:$J,IF($B$2="ADM",'Projekt-Budget-Übersicht'!$K:$K,'Projekt-Budget-Übersicht'!$I:$I))),MATCH(3669,'Projekt-Budget-Übersicht'!$M:$M,0)),0))</f>
        <v>0</v>
      </c>
      <c r="M55" s="10">
        <f t="shared" si="5"/>
        <v>0</v>
      </c>
      <c r="N55" s="10">
        <f t="shared" si="6"/>
        <v>0</v>
      </c>
      <c r="O55" s="10">
        <f t="shared" si="7"/>
        <v>0</v>
      </c>
      <c r="P55" s="10">
        <f>'T. Trautmann'!M55</f>
        <v>0</v>
      </c>
      <c r="Q55" s="10">
        <v>200</v>
      </c>
      <c r="R55" s="10">
        <f>IFERROR(INDEX('Projekt-Budget-Übersicht'!$F:$F,MATCH(3669,'Projekt-Budget-Übersicht'!$L:$L,0)),0)</f>
        <v>0</v>
      </c>
      <c r="S55" s="10">
        <v>791.65</v>
      </c>
      <c r="T55" s="4"/>
      <c r="U55" s="4"/>
    </row>
    <row r="56" spans="1:21" x14ac:dyDescent="0.25">
      <c r="A56" s="4" t="s">
        <v>3970</v>
      </c>
      <c r="B56" s="4" t="s">
        <v>5688</v>
      </c>
      <c r="C56" s="4" t="str">
        <f>IFERROR(INDEX('Projekt-Budget-Übersicht'!$C:$C,MATCH(4104,'Projekt-Budget-Übersicht'!$L:$L,0)),"")</f>
        <v/>
      </c>
      <c r="D56" s="4">
        <v>20</v>
      </c>
      <c r="E56" s="4">
        <v>56.75</v>
      </c>
      <c r="F56" s="4">
        <v>7.25</v>
      </c>
      <c r="G56" s="15">
        <v>283.75</v>
      </c>
      <c r="H56" s="5"/>
      <c r="I56" s="5">
        <f t="shared" si="4"/>
        <v>0</v>
      </c>
      <c r="J56" s="4"/>
      <c r="K56" s="5"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IF($B$2="-",0,IFERROR(INDEX(IF($B$2="SV",'Projekt-Budget-Übersicht'!$I:$I,IF($B$2="CAD",'Projekt-Budget-Übersicht'!$J:$J,IF($B$2="ADM",'Projekt-Budget-Übersicht'!$K:$K,'Projekt-Budget-Übersicht'!$I:$I))),MATCH(4104,'Projekt-Budget-Übersicht'!$M:$M,0)),0))</f>
        <v>0</v>
      </c>
      <c r="M56" s="10">
        <f t="shared" si="5"/>
        <v>0</v>
      </c>
      <c r="N56" s="10">
        <f t="shared" si="6"/>
        <v>0</v>
      </c>
      <c r="O56" s="10">
        <f t="shared" si="7"/>
        <v>0</v>
      </c>
      <c r="P56" s="10">
        <f>'T. Trautmann'!M56</f>
        <v>0</v>
      </c>
      <c r="Q56" s="10">
        <v>20</v>
      </c>
      <c r="R56" s="10">
        <f>IFERROR(INDEX('Projekt-Budget-Übersicht'!$F:$F,MATCH(4104,'Projekt-Budget-Übersicht'!$L:$L,0)),0)</f>
        <v>0</v>
      </c>
      <c r="S56" s="10">
        <v>5782.5</v>
      </c>
      <c r="T56" s="4"/>
      <c r="U56" s="4"/>
    </row>
    <row r="57" spans="1:21" x14ac:dyDescent="0.25">
      <c r="A57" s="4" t="s">
        <v>4798</v>
      </c>
      <c r="B57" s="4" t="s">
        <v>5650</v>
      </c>
      <c r="C57" s="4" t="str">
        <f>IFERROR(INDEX('Projekt-Budget-Übersicht'!$C:$C,MATCH(4804,'Projekt-Budget-Übersicht'!$L:$L,0)),"")</f>
        <v/>
      </c>
      <c r="D57" s="4">
        <v>100</v>
      </c>
      <c r="E57" s="4">
        <v>88.5</v>
      </c>
      <c r="F57" s="4">
        <v>0.75</v>
      </c>
      <c r="G57" s="16">
        <v>88.5</v>
      </c>
      <c r="H57" s="5"/>
      <c r="I57" s="5">
        <f t="shared" si="4"/>
        <v>0</v>
      </c>
      <c r="J57" s="4"/>
      <c r="K57" s="5">
        <f>IF('R. Böttiger'!J39="T. Trautmann",'R. Böttiger'!I39,0)</f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IF($B$2="-",0,IFERROR(INDEX(IF($B$2="SV",'Projekt-Budget-Übersicht'!$I:$I,IF($B$2="CAD",'Projekt-Budget-Übersicht'!$J:$J,IF($B$2="ADM",'Projekt-Budget-Übersicht'!$K:$K,'Projekt-Budget-Übersicht'!$I:$I))),MATCH(4804,'Projekt-Budget-Übersicht'!$M:$M,0)),0))</f>
        <v>0</v>
      </c>
      <c r="M57" s="10">
        <f t="shared" si="5"/>
        <v>0</v>
      </c>
      <c r="N57" s="10">
        <f t="shared" si="6"/>
        <v>0</v>
      </c>
      <c r="O57" s="10">
        <f t="shared" si="7"/>
        <v>0</v>
      </c>
      <c r="P57" s="10">
        <f>'R. Böttiger'!M39+'T. Trautmann'!M57</f>
        <v>0</v>
      </c>
      <c r="Q57" s="10">
        <v>46</v>
      </c>
      <c r="R57" s="10">
        <f>IFERROR(INDEX('Projekt-Budget-Übersicht'!$F:$F,MATCH(4804,'Projekt-Budget-Übersicht'!$L:$L,0)),0)</f>
        <v>0</v>
      </c>
      <c r="S57" s="10">
        <v>1130.82</v>
      </c>
      <c r="T57" s="4"/>
      <c r="U57" s="4"/>
    </row>
    <row r="58" spans="1:21" x14ac:dyDescent="0.25">
      <c r="A58" s="4" t="s">
        <v>4929</v>
      </c>
      <c r="B58" s="4" t="s">
        <v>5459</v>
      </c>
      <c r="C58" s="4" t="str">
        <f>IFERROR(INDEX('Projekt-Budget-Übersicht'!$C:$C,MATCH(4909,'Projekt-Budget-Übersicht'!$L:$L,0)),"")</f>
        <v/>
      </c>
      <c r="D58" s="4">
        <v>40</v>
      </c>
      <c r="E58" s="4">
        <v>31.75</v>
      </c>
      <c r="F58" s="4">
        <v>5.75</v>
      </c>
      <c r="G58" s="16">
        <v>79.38</v>
      </c>
      <c r="H58" s="5"/>
      <c r="I58" s="5">
        <f t="shared" si="4"/>
        <v>0</v>
      </c>
      <c r="J58" s="4"/>
      <c r="K58" s="5"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116.6666666666667</v>
      </c>
      <c r="M58" s="10">
        <f t="shared" si="5"/>
        <v>670.83333333333348</v>
      </c>
      <c r="N58" s="10">
        <f t="shared" si="6"/>
        <v>670.83333333333348</v>
      </c>
      <c r="O58" s="10">
        <f t="shared" si="7"/>
        <v>0</v>
      </c>
      <c r="P58" s="10">
        <f>'T. Trautmann'!M58</f>
        <v>670.83333333333348</v>
      </c>
      <c r="Q58" s="10">
        <v>210</v>
      </c>
      <c r="R58" s="10">
        <f>IFERROR(INDEX('Projekt-Budget-Übersicht'!$F:$F,MATCH(4909,'Projekt-Budget-Übersicht'!$L:$L,0)),0)</f>
        <v>0</v>
      </c>
      <c r="S58" s="10">
        <v>866.58</v>
      </c>
      <c r="T58" s="4"/>
      <c r="U58" s="4"/>
    </row>
    <row r="59" spans="1:21" x14ac:dyDescent="0.25">
      <c r="A59" s="4" t="s">
        <v>4954</v>
      </c>
      <c r="B59" s="4" t="s">
        <v>5459</v>
      </c>
      <c r="C59" s="4" t="str">
        <f>IFERROR(INDEX('Projekt-Budget-Übersicht'!$C:$C,MATCH(4930,'Projekt-Budget-Übersicht'!$L:$L,0)),"")</f>
        <v/>
      </c>
      <c r="D59" s="4">
        <v>8</v>
      </c>
      <c r="E59" s="4">
        <v>7.75</v>
      </c>
      <c r="F59" s="4">
        <v>0.75</v>
      </c>
      <c r="G59" s="14">
        <v>96.88</v>
      </c>
      <c r="H59" s="5"/>
      <c r="I59" s="5">
        <f t="shared" si="4"/>
        <v>0</v>
      </c>
      <c r="J59" s="4"/>
      <c r="K59" s="5">
        <f>IF('H. Bektas'!J35="T. Trautmann",'H. Bektas'!I35,0)+IF('R. Böttiger'!J42="T. Trautmann",'R. Böttiger'!I42,0)</f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IF($B$2="-",0,IFERROR(INDEX(IF($B$2="SV",'Projekt-Budget-Übersicht'!$I:$I,IF($B$2="CAD",'Projekt-Budget-Übersicht'!$J:$J,IF($B$2="ADM",'Projekt-Budget-Übersicht'!$K:$K,'Projekt-Budget-Übersicht'!$I:$I))),MATCH(4930,'Projekt-Budget-Übersicht'!$M:$M,0)),0))</f>
        <v>127.7777777777778</v>
      </c>
      <c r="M59" s="10">
        <f t="shared" si="5"/>
        <v>95.833333333333343</v>
      </c>
      <c r="N59" s="10">
        <f t="shared" si="6"/>
        <v>95.833333333333343</v>
      </c>
      <c r="O59" s="10">
        <f t="shared" si="7"/>
        <v>0</v>
      </c>
      <c r="P59" s="10">
        <f>'H. Bektas'!M35+'R. Böttiger'!M42+'T. Trautmann'!M59</f>
        <v>990.27777777777794</v>
      </c>
      <c r="Q59" s="10">
        <v>17</v>
      </c>
      <c r="R59" s="10">
        <f>IFERROR(INDEX('Projekt-Budget-Übersicht'!$F:$F,MATCH(4930,'Projekt-Budget-Übersicht'!$L:$L,0)),0)</f>
        <v>0</v>
      </c>
      <c r="S59" s="10">
        <v>85</v>
      </c>
      <c r="T59" s="4"/>
      <c r="U59" s="4"/>
    </row>
    <row r="60" spans="1:21" x14ac:dyDescent="0.25">
      <c r="A60" s="4" t="s">
        <v>4977</v>
      </c>
      <c r="B60" s="4" t="s">
        <v>5696</v>
      </c>
      <c r="C60" s="4" t="str">
        <f>IFERROR(INDEX('Projekt-Budget-Übersicht'!$C:$C,MATCH(4960,'Projekt-Budget-Übersicht'!$L:$L,0)),"")</f>
        <v/>
      </c>
      <c r="D60" s="4">
        <v>2</v>
      </c>
      <c r="E60" s="4">
        <v>4.75</v>
      </c>
      <c r="F60" s="4">
        <v>2.75</v>
      </c>
      <c r="G60" s="15">
        <v>237.5</v>
      </c>
      <c r="H60" s="5"/>
      <c r="I60" s="5">
        <f t="shared" si="4"/>
        <v>0</v>
      </c>
      <c r="J60" s="4"/>
      <c r="K60" s="5">
        <v>0</v>
      </c>
      <c r="L60" s="10">
        <f>IF($B$2="-",0,IFERROR(INDEX(IF($B$2="SV",'Projekt-Budget-Übersicht'!$I:$I,IF($B$2="CAD",'Projekt-Budget-Übersicht'!$J:$J,IF($B$2="ADM",'Projekt-Budget-Übersicht'!$K:$K,'Projekt-Budget-Übersicht'!$I:$I))),MATCH(4960,'Projekt-Budget-Übersicht'!$M:$M,0)),0))</f>
        <v>0</v>
      </c>
      <c r="M60" s="10">
        <f t="shared" si="5"/>
        <v>0</v>
      </c>
      <c r="N60" s="10">
        <f t="shared" si="6"/>
        <v>0</v>
      </c>
      <c r="O60" s="10">
        <f t="shared" si="7"/>
        <v>0</v>
      </c>
      <c r="P60" s="10">
        <f>'T. Trautmann'!M60</f>
        <v>0</v>
      </c>
      <c r="Q60" s="10">
        <v>5</v>
      </c>
      <c r="R60" s="10">
        <f>IFERROR(INDEX('Projekt-Budget-Übersicht'!$F:$F,MATCH(4960,'Projekt-Budget-Übersicht'!$L:$L,0)),0)</f>
        <v>0</v>
      </c>
      <c r="S60" s="10">
        <v>427.5</v>
      </c>
      <c r="T60" s="4"/>
      <c r="U60" s="4"/>
    </row>
    <row r="61" spans="1:21" x14ac:dyDescent="0.25">
      <c r="A61" s="4" t="s">
        <v>4980</v>
      </c>
      <c r="B61" s="4" t="s">
        <v>5487</v>
      </c>
      <c r="C61" s="4" t="str">
        <f>IFERROR(INDEX('Projekt-Budget-Übersicht'!$C:$C,MATCH(4962,'Projekt-Budget-Übersicht'!$L:$L,0)),"")</f>
        <v/>
      </c>
      <c r="D61" s="4">
        <v>26</v>
      </c>
      <c r="E61" s="4">
        <v>41.25</v>
      </c>
      <c r="F61" s="4">
        <v>2.75</v>
      </c>
      <c r="G61" s="15">
        <v>158.65</v>
      </c>
      <c r="H61" s="5"/>
      <c r="I61" s="5">
        <f t="shared" si="4"/>
        <v>0</v>
      </c>
      <c r="J61" s="4"/>
      <c r="K61" s="5">
        <f>IF('J. Dorchies'!J23="T. Trautmann",'J. Dorchies'!I23,0)+IF('M. Bandlofsky'!J35="T. Trautmann",'M. Bandlofsky'!I35,0)</f>
        <v>0</v>
      </c>
      <c r="L61" s="10">
        <f>IF($B$2="-",0,IFERROR(INDEX(IF($B$2="SV",'Projekt-Budget-Übersicht'!$I:$I,IF($B$2="CAD",'Projekt-Budget-Übersicht'!$J:$J,IF($B$2="ADM",'Projekt-Budget-Übersicht'!$K:$K,'Projekt-Budget-Übersicht'!$I:$I))),MATCH(4962,'Projekt-Budget-Übersicht'!$M:$M,0)),0))</f>
        <v>0</v>
      </c>
      <c r="M61" s="10">
        <f t="shared" si="5"/>
        <v>0</v>
      </c>
      <c r="N61" s="10">
        <f t="shared" si="6"/>
        <v>0</v>
      </c>
      <c r="O61" s="10">
        <f t="shared" si="7"/>
        <v>0</v>
      </c>
      <c r="P61" s="10">
        <f>'J. Dorchies'!M23+'M. Bandlofsky'!M35+'T. Trautmann'!M61</f>
        <v>0</v>
      </c>
      <c r="Q61" s="10">
        <v>178</v>
      </c>
      <c r="R61" s="10">
        <f>IFERROR(INDEX('Projekt-Budget-Übersicht'!$F:$F,MATCH(4962,'Projekt-Budget-Übersicht'!$L:$L,0)),0)</f>
        <v>0</v>
      </c>
      <c r="S61" s="10">
        <v>606.65</v>
      </c>
      <c r="T61" s="4"/>
      <c r="U61" s="4"/>
    </row>
    <row r="62" spans="1:21" x14ac:dyDescent="0.25">
      <c r="A62" s="4" t="s">
        <v>5159</v>
      </c>
      <c r="B62" s="4" t="s">
        <v>5681</v>
      </c>
      <c r="C62" s="4" t="str">
        <f>IFERROR(INDEX('Projekt-Budget-Übersicht'!$C:$C,MATCH(5121,'Projekt-Budget-Übersicht'!$L:$L,0)),"")</f>
        <v/>
      </c>
      <c r="D62" s="4">
        <v>15.5</v>
      </c>
      <c r="E62" s="4">
        <v>15.5</v>
      </c>
      <c r="F62" s="4">
        <v>1.25</v>
      </c>
      <c r="G62" s="14">
        <v>100</v>
      </c>
      <c r="H62" s="5"/>
      <c r="I62" s="5">
        <f t="shared" si="4"/>
        <v>0</v>
      </c>
      <c r="J62" s="4"/>
      <c r="K62" s="5">
        <f>IF('S. Schüler'!J82="T. Trautmann",'S. Schüler'!I82,0)</f>
        <v>0</v>
      </c>
      <c r="L62" s="10">
        <f>IF($B$2="-",0,IFERROR(INDEX(IF($B$2="SV",'Projekt-Budget-Übersicht'!$I:$I,IF($B$2="CAD",'Projekt-Budget-Übersicht'!$J:$J,IF($B$2="ADM",'Projekt-Budget-Übersicht'!$K:$K,'Projekt-Budget-Übersicht'!$I:$I))),MATCH(5121,'Projekt-Budget-Übersicht'!$M:$M,0)),0))</f>
        <v>0</v>
      </c>
      <c r="M62" s="10">
        <f t="shared" si="5"/>
        <v>0</v>
      </c>
      <c r="N62" s="10">
        <f t="shared" si="6"/>
        <v>0</v>
      </c>
      <c r="O62" s="10">
        <f t="shared" si="7"/>
        <v>0</v>
      </c>
      <c r="P62" s="10">
        <f>'S. Schüler'!M82+'T. Trautmann'!M62</f>
        <v>0</v>
      </c>
      <c r="Q62" s="10">
        <v>15.5</v>
      </c>
      <c r="R62" s="10">
        <f>IFERROR(INDEX('Projekt-Budget-Übersicht'!$F:$F,MATCH(5121,'Projekt-Budget-Übersicht'!$L:$L,0)),0)</f>
        <v>0</v>
      </c>
      <c r="S62" s="10">
        <v>1395</v>
      </c>
      <c r="T62" s="4"/>
      <c r="U62" s="4"/>
    </row>
    <row r="63" spans="1:21" x14ac:dyDescent="0.25">
      <c r="A63" s="4" t="s">
        <v>5202</v>
      </c>
      <c r="B63" s="4" t="s">
        <v>5596</v>
      </c>
      <c r="C63" s="4" t="str">
        <f>IFERROR(INDEX('Projekt-Budget-Übersicht'!$C:$C,MATCH(5157,'Projekt-Budget-Übersicht'!$L:$L,0)),"")</f>
        <v/>
      </c>
      <c r="D63" s="4">
        <v>47</v>
      </c>
      <c r="E63" s="4">
        <v>9.75</v>
      </c>
      <c r="F63" s="4">
        <v>3.5</v>
      </c>
      <c r="G63" s="16">
        <v>20.74</v>
      </c>
      <c r="H63" s="5"/>
      <c r="I63" s="5">
        <f t="shared" si="4"/>
        <v>0</v>
      </c>
      <c r="J63" s="4"/>
      <c r="K63" s="5">
        <v>0</v>
      </c>
      <c r="L63" s="10">
        <f>IF($B$2="-",0,IFERROR(INDEX(IF($B$2="SV",'Projekt-Budget-Übersicht'!$I:$I,IF($B$2="CAD",'Projekt-Budget-Übersicht'!$J:$J,IF($B$2="ADM",'Projekt-Budget-Übersicht'!$K:$K,'Projekt-Budget-Übersicht'!$I:$I))),MATCH(5157,'Projekt-Budget-Übersicht'!$M:$M,0)),0))</f>
        <v>0</v>
      </c>
      <c r="M63" s="10">
        <f t="shared" si="5"/>
        <v>0</v>
      </c>
      <c r="N63" s="10">
        <f t="shared" si="6"/>
        <v>0</v>
      </c>
      <c r="O63" s="10">
        <f t="shared" si="7"/>
        <v>0</v>
      </c>
      <c r="P63" s="10">
        <f>'T. Trautmann'!M63</f>
        <v>0</v>
      </c>
      <c r="Q63" s="10">
        <v>47</v>
      </c>
      <c r="R63" s="10">
        <f>IFERROR(INDEX('Projekt-Budget-Übersicht'!$F:$F,MATCH(5157,'Projekt-Budget-Übersicht'!$L:$L,0)),0)</f>
        <v>0</v>
      </c>
      <c r="S63" s="10">
        <v>4148.29</v>
      </c>
      <c r="T63" s="4"/>
      <c r="U63" s="4"/>
    </row>
    <row r="64" spans="1:21" x14ac:dyDescent="0.25">
      <c r="A64" s="3"/>
      <c r="B64" s="3" t="s">
        <v>5492</v>
      </c>
      <c r="C64" s="3"/>
      <c r="D64" s="3"/>
      <c r="E64" s="3"/>
      <c r="F64" s="6">
        <v>149.25</v>
      </c>
      <c r="G64" s="3"/>
      <c r="H64" s="3"/>
      <c r="I64" s="3"/>
      <c r="J64" s="3"/>
      <c r="K64" s="3"/>
      <c r="L64" s="3"/>
      <c r="M64" s="17">
        <f>SUM(M28:M63)</f>
        <v>5269.4353250821378</v>
      </c>
      <c r="N64" s="17">
        <f>SUM(N28:N63)</f>
        <v>5269.4353250821378</v>
      </c>
      <c r="O64" s="17">
        <f>SUM(O28:O63)</f>
        <v>0</v>
      </c>
      <c r="P64" s="17">
        <f>SUM(P28:P63)</f>
        <v>7116.032879574429</v>
      </c>
      <c r="Q64" s="3"/>
      <c r="R64" s="3"/>
      <c r="S64" s="3"/>
      <c r="T64" s="3"/>
      <c r="U64" s="3"/>
    </row>
    <row r="65" spans="1:21" x14ac:dyDescent="0.25">
      <c r="A65" s="3"/>
      <c r="B65" s="3" t="s">
        <v>4</v>
      </c>
      <c r="C65" s="3"/>
      <c r="D65" s="3"/>
      <c r="E65" s="3"/>
      <c r="F65" s="6">
        <f>G65+H65</f>
        <v>105.5</v>
      </c>
      <c r="G65" s="6">
        <v>105.5</v>
      </c>
      <c r="H65" s="6">
        <f>SUM(H31,H32,H33,H34,H35,H36,H37,H38,H39,H40,H41,H42,H43,H44,H45,H46,H47,H48,H49,H50,H51,H52,H53,H54,H55,H56,H57,H58,H59,H60,H61,H62,H63)</f>
        <v>0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1:21" x14ac:dyDescent="0.25">
      <c r="A66" s="3"/>
      <c r="B66" s="3" t="s">
        <v>5</v>
      </c>
      <c r="C66" s="3"/>
      <c r="D66" s="3"/>
      <c r="E66" s="3"/>
      <c r="F66" s="6">
        <f>G66+H66</f>
        <v>16.25</v>
      </c>
      <c r="G66" s="6">
        <v>16.25</v>
      </c>
      <c r="H66" s="6">
        <f>SUM(H28,H29,H30)</f>
        <v>0</v>
      </c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1:21" x14ac:dyDescent="0.25">
      <c r="A67" s="3"/>
      <c r="B67" s="3" t="s">
        <v>5493</v>
      </c>
      <c r="C67" s="3"/>
      <c r="D67" s="3"/>
      <c r="E67" s="3"/>
      <c r="F67" s="6">
        <f>SUM(K28:K63)</f>
        <v>0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1:21" x14ac:dyDescent="0.25">
      <c r="A68" s="18"/>
      <c r="B68" s="18" t="s">
        <v>5494</v>
      </c>
      <c r="C68" s="18"/>
      <c r="D68" s="18"/>
      <c r="E68" s="18"/>
      <c r="F68" s="19">
        <f>F65+F66+F67</f>
        <v>121.75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</row>
    <row r="70" spans="1:21" ht="15.75" x14ac:dyDescent="0.25">
      <c r="A70" s="2" t="s">
        <v>5512</v>
      </c>
    </row>
    <row r="71" spans="1:21" x14ac:dyDescent="0.25">
      <c r="A71" s="3" t="s">
        <v>35</v>
      </c>
      <c r="B71" s="3" t="s">
        <v>5461</v>
      </c>
      <c r="C71" s="3" t="s">
        <v>37</v>
      </c>
      <c r="D71" s="3" t="s">
        <v>5462</v>
      </c>
      <c r="E71" s="3" t="s">
        <v>5463</v>
      </c>
      <c r="F71" s="3" t="s">
        <v>5513</v>
      </c>
      <c r="G71" s="3" t="s">
        <v>5465</v>
      </c>
      <c r="H71" s="3" t="s">
        <v>5466</v>
      </c>
      <c r="I71" s="3" t="s">
        <v>5467</v>
      </c>
      <c r="J71" s="3" t="s">
        <v>5468</v>
      </c>
      <c r="K71" s="3" t="s">
        <v>5469</v>
      </c>
      <c r="L71" s="3" t="s">
        <v>5470</v>
      </c>
      <c r="M71" s="3" t="s">
        <v>5471</v>
      </c>
      <c r="N71" s="3" t="s">
        <v>5472</v>
      </c>
      <c r="O71" s="3" t="s">
        <v>5473</v>
      </c>
      <c r="P71" s="3" t="s">
        <v>5474</v>
      </c>
      <c r="Q71" s="3" t="s">
        <v>5475</v>
      </c>
      <c r="R71" s="3" t="s">
        <v>5476</v>
      </c>
      <c r="S71" s="3" t="s">
        <v>5477</v>
      </c>
      <c r="T71" s="3" t="s">
        <v>5478</v>
      </c>
      <c r="U71" s="3" t="s">
        <v>5479</v>
      </c>
    </row>
    <row r="72" spans="1:21" x14ac:dyDescent="0.25">
      <c r="A72" s="21" t="s">
        <v>61</v>
      </c>
      <c r="B72" s="4" t="s">
        <v>5481</v>
      </c>
      <c r="C72" s="4" t="str">
        <f>IFERROR(INDEX('Projekt-Budget-Übersicht'!$C:$C,MATCH(10,'Projekt-Budget-Übersicht'!$L:$L,0)),"")</f>
        <v/>
      </c>
      <c r="D72" s="4">
        <v>8</v>
      </c>
      <c r="E72" s="4">
        <v>0.25</v>
      </c>
      <c r="F72" s="4">
        <v>0.25</v>
      </c>
      <c r="G72" s="16">
        <v>3.12</v>
      </c>
      <c r="H72" s="5"/>
      <c r="I72" s="5">
        <f t="shared" ref="I72:I96" si="8">IF(H72=0,0,F72-H72)</f>
        <v>0</v>
      </c>
      <c r="J72" s="4"/>
      <c r="K72" s="5">
        <f>IF('A. Kokott'!J86="T. Trautmann",'A. Kokott'!I86,0)+IF('C. Trapp SV'!J57="T. Trautmann",'C. Trapp SV'!I57,0)+IF('J. Dorn'!J84="T. Trautmann",'J. Dorn'!I84,0)+IF('M. Bandlofsky'!J45="T. Trautmann",'M. Bandlofsky'!I45,0)+IF('O. Haag BS-CAD'!J93="T. Trautmann",'O. Haag BS-CAD'!I93,0)+IF('R. Wagen CAD'!J57="T. Trautmann",'R. Wagen CAD'!I57,0)+IF('U. Sutter ADM'!J52="T. Trautmann",'U. Sutter ADM'!I52,0)</f>
        <v>0</v>
      </c>
      <c r="L7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2" s="10">
        <f t="shared" ref="M72:M96" si="9">IF($B$2="-",0,IF(C72="Pauschale",IF(OR(R72=0,N(D72)=0),0,MAX(0,MIN(R72*((N(F72)+N(K72))/N(D72)),R72-R72*(N(E72)/N(D72))))),L72*(N(F72)+N(K72))))</f>
        <v>0</v>
      </c>
      <c r="N72" s="10">
        <f t="shared" ref="N72:N96" si="10">IF($B$2="-",0,IF(C72="Pauschale",IF(OR(R72=0,N(D72)=0),0,R72*((N(F72)+N(K72))/N(D72))),L72*(N(F72)+N(K72))))</f>
        <v>0</v>
      </c>
      <c r="O72" s="10">
        <f t="shared" ref="O72:O96" si="11">N72-M72</f>
        <v>0</v>
      </c>
      <c r="P72" s="10">
        <f>'A. Kokott'!M86+'C. Trapp SV'!M57+'J. Dorn'!M84+'M. Bandlofsky'!M45+'O. Haag BS-CAD'!M93+'R. Wagen CAD'!M57+'T. Trautmann'!M72+'U. Sutter ADM'!M52</f>
        <v>0</v>
      </c>
      <c r="Q72" s="10">
        <v>132</v>
      </c>
      <c r="R72" s="10">
        <f>IFERROR(INDEX('Projekt-Budget-Übersicht'!$F:$F,MATCH(10,'Projekt-Budget-Übersicht'!$L:$L,0)),0)</f>
        <v>0</v>
      </c>
      <c r="S72" s="10">
        <v>68628.19</v>
      </c>
      <c r="T72" s="4"/>
      <c r="U72" s="4"/>
    </row>
    <row r="73" spans="1:21" x14ac:dyDescent="0.25">
      <c r="A73" s="22"/>
      <c r="B73" s="4" t="s">
        <v>5547</v>
      </c>
      <c r="C73" s="4" t="str">
        <f>IFERROR(INDEX('Projekt-Budget-Übersicht'!$C:$C,MATCH(10,'Projekt-Budget-Übersicht'!$L:$L,0)),"")</f>
        <v/>
      </c>
      <c r="D73" s="4">
        <v>8</v>
      </c>
      <c r="E73" s="4">
        <v>1</v>
      </c>
      <c r="F73" s="4">
        <v>1</v>
      </c>
      <c r="G73" s="16">
        <v>12.5</v>
      </c>
      <c r="H73" s="5"/>
      <c r="I73" s="5">
        <f t="shared" si="8"/>
        <v>0</v>
      </c>
      <c r="J73" s="4"/>
      <c r="K73" s="5">
        <f>IF('C. Trapp SV'!J58="T. Trautmann",'C. Trapp SV'!I58,0)+IF('J. Dorn'!J85="T. Trautmann",'J. Dorn'!I85,0)+IF('O. Haag BS-CAD'!J94="T. Trautmann",'O. Haag BS-CAD'!I94,0)+IF('P. Bergner'!J42="T. Trautmann",'P. Bergner'!I42,0)</f>
        <v>0</v>
      </c>
      <c r="L73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3" s="10">
        <f t="shared" si="9"/>
        <v>0</v>
      </c>
      <c r="N73" s="10">
        <f t="shared" si="10"/>
        <v>0</v>
      </c>
      <c r="O73" s="10">
        <f t="shared" si="11"/>
        <v>0</v>
      </c>
      <c r="P73" s="10">
        <f>'C. Trapp SV'!M58+'J. Dorn'!M85+'O. Haag BS-CAD'!M94+'P. Bergner'!M42+'T. Trautmann'!M73</f>
        <v>0</v>
      </c>
      <c r="Q73" s="10">
        <v>132</v>
      </c>
      <c r="R73" s="10">
        <f>IFERROR(INDEX('Projekt-Budget-Übersicht'!$F:$F,MATCH(10,'Projekt-Budget-Übersicht'!$L:$L,0)),0)</f>
        <v>0</v>
      </c>
      <c r="S73" s="10">
        <v>68628.19</v>
      </c>
      <c r="T73" s="4"/>
      <c r="U73" s="4"/>
    </row>
    <row r="74" spans="1:21" x14ac:dyDescent="0.25">
      <c r="A74" s="21" t="s">
        <v>183</v>
      </c>
      <c r="B74" s="4" t="s">
        <v>5686</v>
      </c>
      <c r="C74" s="4" t="str">
        <f>IFERROR(INDEX('Projekt-Budget-Übersicht'!$C:$C,MATCH(98,'Projekt-Budget-Übersicht'!$L:$L,0)),"")</f>
        <v/>
      </c>
      <c r="D74" s="4">
        <v>60</v>
      </c>
      <c r="E74" s="4">
        <v>43.5</v>
      </c>
      <c r="F74" s="4">
        <v>3</v>
      </c>
      <c r="G74" s="16">
        <v>72.5</v>
      </c>
      <c r="H74" s="5"/>
      <c r="I74" s="5">
        <f t="shared" si="8"/>
        <v>0</v>
      </c>
      <c r="J74" s="4"/>
      <c r="K74" s="5">
        <v>0</v>
      </c>
      <c r="L74" s="10">
        <f>IF($B$2="-",0,IFERROR(INDEX(IF($B$2="SV",'Projekt-Budget-Übersicht'!$I:$I,IF($B$2="CAD",'Projekt-Budget-Übersicht'!$J:$J,IF($B$2="ADM",'Projekt-Budget-Übersicht'!$K:$K,'Projekt-Budget-Übersicht'!$I:$I))),MATCH(98,'Projekt-Budget-Übersicht'!$M:$M,0)),0))</f>
        <v>0</v>
      </c>
      <c r="M74" s="10">
        <f t="shared" si="9"/>
        <v>0</v>
      </c>
      <c r="N74" s="10">
        <f t="shared" si="10"/>
        <v>0</v>
      </c>
      <c r="O74" s="10">
        <f t="shared" si="11"/>
        <v>0</v>
      </c>
      <c r="P74" s="10">
        <f>'T. Trautmann'!M74</f>
        <v>0</v>
      </c>
      <c r="Q74" s="10">
        <v>60</v>
      </c>
      <c r="R74" s="10">
        <f>IFERROR(INDEX('Projekt-Budget-Übersicht'!$F:$F,MATCH(98,'Projekt-Budget-Übersicht'!$L:$L,0)),0)</f>
        <v>0</v>
      </c>
      <c r="S74" s="10">
        <v>3905</v>
      </c>
      <c r="T74" s="4"/>
      <c r="U74" s="4"/>
    </row>
    <row r="75" spans="1:21" x14ac:dyDescent="0.25">
      <c r="A75" s="22"/>
      <c r="B75" s="4" t="s">
        <v>5697</v>
      </c>
      <c r="C75" s="4" t="str">
        <f>IFERROR(INDEX('Projekt-Budget-Übersicht'!$C:$C,MATCH(99,'Projekt-Budget-Übersicht'!$L:$L,0)),"")</f>
        <v/>
      </c>
      <c r="D75" s="4">
        <v>60</v>
      </c>
      <c r="E75" s="4">
        <v>68.25</v>
      </c>
      <c r="F75" s="4">
        <v>0.75</v>
      </c>
      <c r="G75" s="15">
        <v>113.75</v>
      </c>
      <c r="H75" s="5"/>
      <c r="I75" s="5">
        <f t="shared" si="8"/>
        <v>0</v>
      </c>
      <c r="J75" s="4"/>
      <c r="K75" s="5">
        <v>0</v>
      </c>
      <c r="L75" s="10">
        <f>IF($B$2="-",0,IFERROR(INDEX(IF($B$2="SV",'Projekt-Budget-Übersicht'!$I:$I,IF($B$2="CAD",'Projekt-Budget-Übersicht'!$J:$J,IF($B$2="ADM",'Projekt-Budget-Übersicht'!$K:$K,'Projekt-Budget-Übersicht'!$I:$I))),MATCH(99,'Projekt-Budget-Übersicht'!$M:$M,0)),0))</f>
        <v>0</v>
      </c>
      <c r="M75" s="10">
        <f t="shared" si="9"/>
        <v>0</v>
      </c>
      <c r="N75" s="10">
        <f t="shared" si="10"/>
        <v>0</v>
      </c>
      <c r="O75" s="10">
        <f t="shared" si="11"/>
        <v>0</v>
      </c>
      <c r="P75" s="10">
        <f>'T. Trautmann'!M75</f>
        <v>0</v>
      </c>
      <c r="Q75" s="10">
        <v>60</v>
      </c>
      <c r="R75" s="10">
        <f>IFERROR(INDEX('Projekt-Budget-Übersicht'!$F:$F,MATCH(99,'Projekt-Budget-Übersicht'!$L:$L,0)),0)</f>
        <v>0</v>
      </c>
      <c r="S75" s="10">
        <v>5512.5</v>
      </c>
      <c r="T75" s="4"/>
      <c r="U75" s="4"/>
    </row>
    <row r="76" spans="1:21" x14ac:dyDescent="0.25">
      <c r="A76" s="4" t="s">
        <v>202</v>
      </c>
      <c r="B76" s="4" t="s">
        <v>5643</v>
      </c>
      <c r="C76" s="4" t="str">
        <f>IFERROR(INDEX('Projekt-Budget-Übersicht'!$C:$C,MATCH(130,'Projekt-Budget-Übersicht'!$L:$L,0)),"")</f>
        <v/>
      </c>
      <c r="D76" s="4">
        <v>80</v>
      </c>
      <c r="E76" s="4">
        <v>68.75</v>
      </c>
      <c r="F76" s="4">
        <v>1.25</v>
      </c>
      <c r="G76" s="16">
        <v>85.94</v>
      </c>
      <c r="H76" s="5"/>
      <c r="I76" s="5">
        <f t="shared" si="8"/>
        <v>0</v>
      </c>
      <c r="J76" s="4"/>
      <c r="K76" s="5">
        <v>0</v>
      </c>
      <c r="L76" s="10">
        <f>IF($B$2="-",0,IFERROR(INDEX(IF($B$2="SV",'Projekt-Budget-Übersicht'!$I:$I,IF($B$2="CAD",'Projekt-Budget-Übersicht'!$J:$J,IF($B$2="ADM",'Projekt-Budget-Übersicht'!$K:$K,'Projekt-Budget-Übersicht'!$I:$I))),MATCH(130,'Projekt-Budget-Übersicht'!$M:$M,0)),0))</f>
        <v>0</v>
      </c>
      <c r="M76" s="10">
        <f t="shared" si="9"/>
        <v>0</v>
      </c>
      <c r="N76" s="10">
        <f t="shared" si="10"/>
        <v>0</v>
      </c>
      <c r="O76" s="10">
        <f t="shared" si="11"/>
        <v>0</v>
      </c>
      <c r="P76" s="10">
        <f>'T. Trautmann'!M76</f>
        <v>0</v>
      </c>
      <c r="Q76" s="10">
        <v>40</v>
      </c>
      <c r="R76" s="10">
        <f>IFERROR(INDEX('Projekt-Budget-Übersicht'!$F:$F,MATCH(130,'Projekt-Budget-Übersicht'!$L:$L,0)),0)</f>
        <v>0</v>
      </c>
      <c r="S76" s="10"/>
      <c r="T76" s="4"/>
      <c r="U76" s="4"/>
    </row>
    <row r="77" spans="1:21" x14ac:dyDescent="0.25">
      <c r="A77" s="4" t="s">
        <v>633</v>
      </c>
      <c r="B77" s="4" t="s">
        <v>5459</v>
      </c>
      <c r="C77" s="4" t="str">
        <f>IFERROR(INDEX('Projekt-Budget-Übersicht'!$C:$C,MATCH(639,'Projekt-Budget-Übersicht'!$L:$L,0)),"")</f>
        <v/>
      </c>
      <c r="D77" s="4">
        <v>70</v>
      </c>
      <c r="E77" s="4">
        <v>66</v>
      </c>
      <c r="F77" s="4">
        <v>4.75</v>
      </c>
      <c r="G77" s="14">
        <v>94.29</v>
      </c>
      <c r="H77" s="5"/>
      <c r="I77" s="5">
        <f t="shared" si="8"/>
        <v>0</v>
      </c>
      <c r="J77" s="4"/>
      <c r="K77" s="5">
        <v>0</v>
      </c>
      <c r="L77" s="10">
        <f>IF($B$2="-",0,IFERROR(INDEX(IF($B$2="SV",'Projekt-Budget-Übersicht'!$I:$I,IF($B$2="CAD",'Projekt-Budget-Übersicht'!$J:$J,IF($B$2="ADM",'Projekt-Budget-Übersicht'!$K:$K,'Projekt-Budget-Übersicht'!$I:$I))),MATCH(639,'Projekt-Budget-Übersicht'!$M:$M,0)),0))</f>
        <v>93.016528925619838</v>
      </c>
      <c r="M77" s="10">
        <f t="shared" si="9"/>
        <v>441.82851239669424</v>
      </c>
      <c r="N77" s="10">
        <f t="shared" si="10"/>
        <v>441.82851239669424</v>
      </c>
      <c r="O77" s="10">
        <f t="shared" si="11"/>
        <v>0</v>
      </c>
      <c r="P77" s="10">
        <f>'T. Trautmann'!M77</f>
        <v>441.82851239669424</v>
      </c>
      <c r="Q77" s="10">
        <v>121</v>
      </c>
      <c r="R77" s="10">
        <f>IFERROR(INDEX('Projekt-Budget-Übersicht'!$F:$F,MATCH(639,'Projekt-Budget-Übersicht'!$L:$L,0)),0)</f>
        <v>0</v>
      </c>
      <c r="S77" s="10">
        <v>6590</v>
      </c>
      <c r="T77" s="4"/>
      <c r="U77" s="4"/>
    </row>
    <row r="78" spans="1:21" x14ac:dyDescent="0.25">
      <c r="A78" s="4" t="s">
        <v>636</v>
      </c>
      <c r="B78" s="4" t="s">
        <v>5459</v>
      </c>
      <c r="C78" s="4" t="str">
        <f>IFERROR(INDEX('Projekt-Budget-Übersicht'!$C:$C,MATCH(641,'Projekt-Budget-Übersicht'!$L:$L,0)),"")</f>
        <v/>
      </c>
      <c r="D78" s="4">
        <v>20</v>
      </c>
      <c r="E78" s="4">
        <v>25.25</v>
      </c>
      <c r="F78" s="4">
        <v>3.75</v>
      </c>
      <c r="G78" s="15">
        <v>126.25</v>
      </c>
      <c r="H78" s="5"/>
      <c r="I78" s="5">
        <f t="shared" si="8"/>
        <v>0</v>
      </c>
      <c r="J78" s="4"/>
      <c r="K78" s="5">
        <v>0</v>
      </c>
      <c r="L78" s="10">
        <f>IF($B$2="-",0,IFERROR(INDEX(IF($B$2="SV",'Projekt-Budget-Übersicht'!$I:$I,IF($B$2="CAD",'Projekt-Budget-Übersicht'!$J:$J,IF($B$2="ADM",'Projekt-Budget-Übersicht'!$K:$K,'Projekt-Budget-Übersicht'!$I:$I))),MATCH(641,'Projekt-Budget-Übersicht'!$M:$M,0)),0))</f>
        <v>124.0740740740741</v>
      </c>
      <c r="M78" s="10">
        <f t="shared" si="9"/>
        <v>465.27777777777789</v>
      </c>
      <c r="N78" s="10">
        <f t="shared" si="10"/>
        <v>465.27777777777789</v>
      </c>
      <c r="O78" s="10">
        <f t="shared" si="11"/>
        <v>0</v>
      </c>
      <c r="P78" s="10">
        <f>'T. Trautmann'!M78</f>
        <v>465.27777777777789</v>
      </c>
      <c r="Q78" s="10">
        <v>27</v>
      </c>
      <c r="R78" s="10">
        <f>IFERROR(INDEX('Projekt-Budget-Übersicht'!$F:$F,MATCH(641,'Projekt-Budget-Übersicht'!$L:$L,0)),0)</f>
        <v>0</v>
      </c>
      <c r="S78" s="10">
        <v>2546.65</v>
      </c>
      <c r="T78" s="4"/>
      <c r="U78" s="4"/>
    </row>
    <row r="79" spans="1:21" x14ac:dyDescent="0.25">
      <c r="A79" s="4" t="s">
        <v>640</v>
      </c>
      <c r="B79" s="4" t="s">
        <v>5698</v>
      </c>
      <c r="C79" s="4" t="str">
        <f>IFERROR(INDEX('Projekt-Budget-Übersicht'!$C:$C,MATCH(644,'Projekt-Budget-Übersicht'!$L:$L,0)),"")</f>
        <v/>
      </c>
      <c r="D79" s="4">
        <v>20</v>
      </c>
      <c r="E79" s="4">
        <v>18.25</v>
      </c>
      <c r="F79" s="4">
        <v>8</v>
      </c>
      <c r="G79" s="14">
        <v>91.25</v>
      </c>
      <c r="H79" s="5"/>
      <c r="I79" s="5">
        <f t="shared" si="8"/>
        <v>0</v>
      </c>
      <c r="J79" s="4"/>
      <c r="K79" s="5">
        <v>0</v>
      </c>
      <c r="L79" s="10">
        <f>IF($B$2="-",0,IFERROR(INDEX(IF($B$2="SV",'Projekt-Budget-Übersicht'!$I:$I,IF($B$2="CAD",'Projekt-Budget-Übersicht'!$J:$J,IF($B$2="ADM",'Projekt-Budget-Übersicht'!$K:$K,'Projekt-Budget-Übersicht'!$I:$I))),MATCH(644,'Projekt-Budget-Übersicht'!$M:$M,0)),0))</f>
        <v>0</v>
      </c>
      <c r="M79" s="10">
        <f t="shared" si="9"/>
        <v>0</v>
      </c>
      <c r="N79" s="10">
        <f t="shared" si="10"/>
        <v>0</v>
      </c>
      <c r="O79" s="10">
        <f t="shared" si="11"/>
        <v>0</v>
      </c>
      <c r="P79" s="10">
        <f>'T. Trautmann'!M79</f>
        <v>0</v>
      </c>
      <c r="Q79" s="10">
        <v>230</v>
      </c>
      <c r="R79" s="10">
        <f>IFERROR(INDEX('Projekt-Budget-Übersicht'!$F:$F,MATCH(644,'Projekt-Budget-Übersicht'!$L:$L,0)),0)</f>
        <v>0</v>
      </c>
      <c r="S79" s="10">
        <v>1556.65</v>
      </c>
      <c r="T79" s="4"/>
      <c r="U79" s="4"/>
    </row>
    <row r="80" spans="1:21" x14ac:dyDescent="0.25">
      <c r="A80" s="4" t="s">
        <v>770</v>
      </c>
      <c r="B80" s="4" t="s">
        <v>5459</v>
      </c>
      <c r="C80" s="4" t="str">
        <f>IFERROR(INDEX('Projekt-Budget-Übersicht'!$C:$C,MATCH(777,'Projekt-Budget-Übersicht'!$L:$L,0)),"")</f>
        <v/>
      </c>
      <c r="D80" s="4">
        <v>20</v>
      </c>
      <c r="E80" s="4">
        <v>26</v>
      </c>
      <c r="F80" s="4">
        <v>1</v>
      </c>
      <c r="G80" s="15">
        <v>130</v>
      </c>
      <c r="H80" s="5"/>
      <c r="I80" s="5">
        <f t="shared" si="8"/>
        <v>0</v>
      </c>
      <c r="J80" s="4"/>
      <c r="K80" s="5">
        <f>IF('M. Bandlofsky'!J48="T. Trautmann",'M. Bandlofsky'!I48,0)</f>
        <v>0</v>
      </c>
      <c r="L80" s="10">
        <f>IF($B$2="-",0,IFERROR(INDEX(IF($B$2="SV",'Projekt-Budget-Übersicht'!$I:$I,IF($B$2="CAD",'Projekt-Budget-Übersicht'!$J:$J,IF($B$2="ADM",'Projekt-Budget-Übersicht'!$K:$K,'Projekt-Budget-Übersicht'!$I:$I))),MATCH(777,'Projekt-Budget-Übersicht'!$M:$M,0)),0))</f>
        <v>111.2903225806452</v>
      </c>
      <c r="M80" s="10">
        <f t="shared" si="9"/>
        <v>111.2903225806452</v>
      </c>
      <c r="N80" s="10">
        <f t="shared" si="10"/>
        <v>111.2903225806452</v>
      </c>
      <c r="O80" s="10">
        <f t="shared" si="11"/>
        <v>0</v>
      </c>
      <c r="P80" s="10">
        <f>'M. Bandlofsky'!M48+'T. Trautmann'!M80</f>
        <v>1446.7741935483875</v>
      </c>
      <c r="Q80" s="10">
        <v>767</v>
      </c>
      <c r="R80" s="10">
        <f>IFERROR(INDEX('Projekt-Budget-Übersicht'!$F:$F,MATCH(777,'Projekt-Budget-Übersicht'!$L:$L,0)),0)</f>
        <v>0</v>
      </c>
      <c r="S80" s="10">
        <v>219.15</v>
      </c>
      <c r="T80" s="4"/>
      <c r="U80" s="4"/>
    </row>
    <row r="81" spans="1:21" x14ac:dyDescent="0.25">
      <c r="A81" s="4" t="s">
        <v>835</v>
      </c>
      <c r="B81" s="4" t="s">
        <v>5687</v>
      </c>
      <c r="C81" s="4" t="str">
        <f>IFERROR(INDEX('Projekt-Budget-Übersicht'!$C:$C,MATCH(863,'Projekt-Budget-Übersicht'!$L:$L,0)),"")</f>
        <v/>
      </c>
      <c r="D81" s="4">
        <v>141</v>
      </c>
      <c r="E81" s="4">
        <v>30.25</v>
      </c>
      <c r="F81" s="4">
        <v>0.25</v>
      </c>
      <c r="G81" s="16">
        <v>21.45</v>
      </c>
      <c r="H81" s="5"/>
      <c r="I81" s="5">
        <f t="shared" si="8"/>
        <v>0</v>
      </c>
      <c r="J81" s="4"/>
      <c r="K81" s="5">
        <v>0</v>
      </c>
      <c r="L81" s="10">
        <f>IF($B$2="-",0,IFERROR(INDEX(IF($B$2="SV",'Projekt-Budget-Übersicht'!$I:$I,IF($B$2="CAD",'Projekt-Budget-Übersicht'!$J:$J,IF($B$2="ADM",'Projekt-Budget-Übersicht'!$K:$K,'Projekt-Budget-Übersicht'!$I:$I))),MATCH(863,'Projekt-Budget-Übersicht'!$M:$M,0)),0))</f>
        <v>0</v>
      </c>
      <c r="M81" s="10">
        <f t="shared" si="9"/>
        <v>0</v>
      </c>
      <c r="N81" s="10">
        <f t="shared" si="10"/>
        <v>0</v>
      </c>
      <c r="O81" s="10">
        <f t="shared" si="11"/>
        <v>0</v>
      </c>
      <c r="P81" s="10">
        <f>'T. Trautmann'!M81</f>
        <v>0</v>
      </c>
      <c r="Q81" s="10">
        <v>254</v>
      </c>
      <c r="R81" s="10">
        <f>IFERROR(INDEX('Projekt-Budget-Übersicht'!$F:$F,MATCH(863,'Projekt-Budget-Übersicht'!$L:$L,0)),0)</f>
        <v>0</v>
      </c>
      <c r="S81" s="10">
        <v>9188.2900000000009</v>
      </c>
      <c r="T81" s="4"/>
      <c r="U81" s="4"/>
    </row>
    <row r="82" spans="1:21" x14ac:dyDescent="0.25">
      <c r="A82" s="4" t="s">
        <v>1367</v>
      </c>
      <c r="B82" s="4" t="s">
        <v>5599</v>
      </c>
      <c r="C82" s="4" t="str">
        <f>IFERROR(INDEX('Projekt-Budget-Übersicht'!$C:$C,MATCH(1479,'Projekt-Budget-Übersicht'!$L:$L,0)),"")</f>
        <v/>
      </c>
      <c r="D82" s="4">
        <v>28</v>
      </c>
      <c r="E82" s="4">
        <v>41.5</v>
      </c>
      <c r="F82" s="4">
        <v>4.25</v>
      </c>
      <c r="G82" s="15">
        <v>148.21</v>
      </c>
      <c r="H82" s="5"/>
      <c r="I82" s="5">
        <f t="shared" si="8"/>
        <v>0</v>
      </c>
      <c r="J82" s="4"/>
      <c r="K82" s="5">
        <f>IF('M. Bandlofsky'!J49="T. Trautmann",'M. Bandlofsky'!I49,0)</f>
        <v>0</v>
      </c>
      <c r="L82" s="10">
        <f>IF($B$2="-",0,IFERROR(INDEX(IF($B$2="SV",'Projekt-Budget-Übersicht'!$I:$I,IF($B$2="CAD",'Projekt-Budget-Übersicht'!$J:$J,IF($B$2="ADM",'Projekt-Budget-Übersicht'!$K:$K,'Projekt-Budget-Übersicht'!$I:$I))),MATCH(1479,'Projekt-Budget-Übersicht'!$M:$M,0)),0))</f>
        <v>0</v>
      </c>
      <c r="M82" s="10">
        <f t="shared" si="9"/>
        <v>0</v>
      </c>
      <c r="N82" s="10">
        <f t="shared" si="10"/>
        <v>0</v>
      </c>
      <c r="O82" s="10">
        <f t="shared" si="11"/>
        <v>0</v>
      </c>
      <c r="P82" s="10">
        <f>'M. Bandlofsky'!M49+'T. Trautmann'!M82</f>
        <v>0</v>
      </c>
      <c r="Q82" s="10">
        <v>167</v>
      </c>
      <c r="R82" s="10">
        <f>IFERROR(INDEX('Projekt-Budget-Übersicht'!$F:$F,MATCH(1479,'Projekt-Budget-Übersicht'!$L:$L,0)),0)</f>
        <v>0</v>
      </c>
      <c r="S82" s="10">
        <v>1355.79</v>
      </c>
      <c r="T82" s="4"/>
      <c r="U82" s="4"/>
    </row>
    <row r="83" spans="1:21" x14ac:dyDescent="0.25">
      <c r="A83" s="4" t="s">
        <v>1427</v>
      </c>
      <c r="B83" s="4" t="s">
        <v>5540</v>
      </c>
      <c r="C83" s="4" t="str">
        <f>IFERROR(INDEX('Projekt-Budget-Übersicht'!$C:$C,MATCH(1572,'Projekt-Budget-Übersicht'!$L:$L,0)),"")</f>
        <v/>
      </c>
      <c r="D83" s="4">
        <v>180</v>
      </c>
      <c r="E83" s="4">
        <v>162</v>
      </c>
      <c r="F83" s="4">
        <v>4</v>
      </c>
      <c r="G83" s="14">
        <v>90</v>
      </c>
      <c r="H83" s="5"/>
      <c r="I83" s="5">
        <f t="shared" si="8"/>
        <v>0</v>
      </c>
      <c r="J83" s="4"/>
      <c r="K83" s="5">
        <v>0</v>
      </c>
      <c r="L83" s="10">
        <f>IF($B$2="-",0,IFERROR(INDEX(IF($B$2="SV",'Projekt-Budget-Übersicht'!$I:$I,IF($B$2="CAD",'Projekt-Budget-Übersicht'!$J:$J,IF($B$2="ADM",'Projekt-Budget-Übersicht'!$K:$K,'Projekt-Budget-Übersicht'!$I:$I))),MATCH(1572,'Projekt-Budget-Übersicht'!$M:$M,0)),0))</f>
        <v>0</v>
      </c>
      <c r="M83" s="10">
        <f t="shared" si="9"/>
        <v>0</v>
      </c>
      <c r="N83" s="10">
        <f t="shared" si="10"/>
        <v>0</v>
      </c>
      <c r="O83" s="10">
        <f t="shared" si="11"/>
        <v>0</v>
      </c>
      <c r="P83" s="10">
        <f>'T. Trautmann'!M83</f>
        <v>0</v>
      </c>
      <c r="Q83" s="10">
        <v>657.5</v>
      </c>
      <c r="R83" s="10">
        <f>IFERROR(INDEX('Projekt-Budget-Übersicht'!$F:$F,MATCH(1572,'Projekt-Budget-Übersicht'!$L:$L,0)),0)</f>
        <v>0</v>
      </c>
      <c r="S83" s="10">
        <v>14566.25</v>
      </c>
      <c r="T83" s="4"/>
      <c r="U83" s="4"/>
    </row>
    <row r="84" spans="1:21" x14ac:dyDescent="0.25">
      <c r="A84" s="21" t="s">
        <v>1429</v>
      </c>
      <c r="B84" s="4" t="s">
        <v>5516</v>
      </c>
      <c r="C84" s="4" t="str">
        <f>IFERROR(INDEX('Projekt-Budget-Übersicht'!$C:$C,MATCH(1573,'Projekt-Budget-Übersicht'!$L:$L,0)),"")</f>
        <v/>
      </c>
      <c r="D84" s="4">
        <v>71</v>
      </c>
      <c r="E84" s="4">
        <v>116.25</v>
      </c>
      <c r="F84" s="4">
        <v>0.75</v>
      </c>
      <c r="G84" s="15">
        <v>163.72999999999999</v>
      </c>
      <c r="H84" s="5"/>
      <c r="I84" s="5">
        <f t="shared" si="8"/>
        <v>0</v>
      </c>
      <c r="J84" s="4"/>
      <c r="K84" s="5">
        <v>0</v>
      </c>
      <c r="L84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84" s="10">
        <f t="shared" si="9"/>
        <v>0</v>
      </c>
      <c r="N84" s="10">
        <f t="shared" si="10"/>
        <v>0</v>
      </c>
      <c r="O84" s="10">
        <f t="shared" si="11"/>
        <v>0</v>
      </c>
      <c r="P84" s="10">
        <f>'T. Trautmann'!M84</f>
        <v>0</v>
      </c>
      <c r="Q84" s="10">
        <v>599.5</v>
      </c>
      <c r="R84" s="10">
        <f>IFERROR(INDEX('Projekt-Budget-Übersicht'!$F:$F,MATCH(1573,'Projekt-Budget-Übersicht'!$L:$L,0)),0)</f>
        <v>0</v>
      </c>
      <c r="S84" s="10">
        <v>26345</v>
      </c>
      <c r="T84" s="4"/>
      <c r="U84" s="4"/>
    </row>
    <row r="85" spans="1:21" x14ac:dyDescent="0.25">
      <c r="A85" s="22"/>
      <c r="B85" s="4" t="s">
        <v>5504</v>
      </c>
      <c r="C85" s="4" t="str">
        <f>IFERROR(INDEX('Projekt-Budget-Übersicht'!$C:$C,MATCH(1573,'Projekt-Budget-Übersicht'!$L:$L,0)),"")</f>
        <v/>
      </c>
      <c r="D85" s="4">
        <v>85</v>
      </c>
      <c r="E85" s="4">
        <v>58</v>
      </c>
      <c r="F85" s="4">
        <v>1.75</v>
      </c>
      <c r="G85" s="16">
        <v>68.239999999999995</v>
      </c>
      <c r="H85" s="5"/>
      <c r="I85" s="5">
        <f t="shared" si="8"/>
        <v>0</v>
      </c>
      <c r="J85" s="4"/>
      <c r="K85" s="5">
        <v>0</v>
      </c>
      <c r="L85" s="10">
        <f>IF($B$2="-",0,IFERROR(INDEX(IF($B$2="SV",'Projekt-Budget-Übersicht'!$I:$I,IF($B$2="CAD",'Projekt-Budget-Übersicht'!$J:$J,IF($B$2="ADM",'Projekt-Budget-Übersicht'!$K:$K,'Projekt-Budget-Übersicht'!$I:$I))),MATCH(1573,'Projekt-Budget-Übersicht'!$M:$M,0)),0))</f>
        <v>0</v>
      </c>
      <c r="M85" s="10">
        <f t="shared" si="9"/>
        <v>0</v>
      </c>
      <c r="N85" s="10">
        <f t="shared" si="10"/>
        <v>0</v>
      </c>
      <c r="O85" s="10">
        <f t="shared" si="11"/>
        <v>0</v>
      </c>
      <c r="P85" s="10">
        <f>'T. Trautmann'!M85</f>
        <v>0</v>
      </c>
      <c r="Q85" s="10">
        <v>599.5</v>
      </c>
      <c r="R85" s="10">
        <f>IFERROR(INDEX('Projekt-Budget-Übersicht'!$F:$F,MATCH(1573,'Projekt-Budget-Übersicht'!$L:$L,0)),0)</f>
        <v>0</v>
      </c>
      <c r="S85" s="10">
        <v>26345</v>
      </c>
      <c r="T85" s="4"/>
      <c r="U85" s="4"/>
    </row>
    <row r="86" spans="1:21" x14ac:dyDescent="0.25">
      <c r="A86" s="4" t="s">
        <v>1638</v>
      </c>
      <c r="B86" s="4" t="s">
        <v>5544</v>
      </c>
      <c r="C86" s="4" t="str">
        <f>IFERROR(INDEX('Projekt-Budget-Übersicht'!$C:$C,MATCH(1847,'Projekt-Budget-Übersicht'!$L:$L,0)),"")</f>
        <v/>
      </c>
      <c r="D86" s="4">
        <v>283</v>
      </c>
      <c r="E86" s="4">
        <v>249.5</v>
      </c>
      <c r="F86" s="4">
        <v>7</v>
      </c>
      <c r="G86" s="16">
        <v>88.16</v>
      </c>
      <c r="H86" s="5"/>
      <c r="I86" s="5">
        <f t="shared" si="8"/>
        <v>0</v>
      </c>
      <c r="J86" s="4"/>
      <c r="K86" s="5">
        <v>0</v>
      </c>
      <c r="L86" s="10">
        <f>IF($B$2="-",0,IFERROR(INDEX(IF($B$2="SV",'Projekt-Budget-Übersicht'!$I:$I,IF($B$2="CAD",'Projekt-Budget-Übersicht'!$J:$J,IF($B$2="ADM",'Projekt-Budget-Übersicht'!$K:$K,'Projekt-Budget-Übersicht'!$I:$I))),MATCH(1847,'Projekt-Budget-Übersicht'!$M:$M,0)),0))</f>
        <v>0</v>
      </c>
      <c r="M86" s="10">
        <f t="shared" si="9"/>
        <v>0</v>
      </c>
      <c r="N86" s="10">
        <f t="shared" si="10"/>
        <v>0</v>
      </c>
      <c r="O86" s="10">
        <f t="shared" si="11"/>
        <v>0</v>
      </c>
      <c r="P86" s="10">
        <f>'T. Trautmann'!M86</f>
        <v>0</v>
      </c>
      <c r="Q86" s="10">
        <v>165.5</v>
      </c>
      <c r="R86" s="10">
        <f>IFERROR(INDEX('Projekt-Budget-Übersicht'!$F:$F,MATCH(1847,'Projekt-Budget-Übersicht'!$L:$L,0)),0)</f>
        <v>0</v>
      </c>
      <c r="S86" s="10">
        <v>10673.29</v>
      </c>
      <c r="T86" s="4"/>
      <c r="U86" s="4"/>
    </row>
    <row r="87" spans="1:21" x14ac:dyDescent="0.25">
      <c r="A87" s="4" t="s">
        <v>2207</v>
      </c>
      <c r="B87" s="4" t="s">
        <v>5586</v>
      </c>
      <c r="C87" s="4" t="str">
        <f>IFERROR(INDEX('Projekt-Budget-Übersicht'!$C:$C,MATCH(2561,'Projekt-Budget-Übersicht'!$L:$L,0)),"")</f>
        <v/>
      </c>
      <c r="D87" s="4">
        <v>160</v>
      </c>
      <c r="E87" s="4">
        <v>134.25</v>
      </c>
      <c r="F87" s="4">
        <v>3.75</v>
      </c>
      <c r="G87" s="16">
        <v>83.91</v>
      </c>
      <c r="H87" s="5"/>
      <c r="I87" s="5">
        <f t="shared" si="8"/>
        <v>0</v>
      </c>
      <c r="J87" s="4"/>
      <c r="K87" s="5">
        <f>IF('J. Dorn'!J89="T. Trautmann",'J. Dorn'!I89,0)</f>
        <v>0</v>
      </c>
      <c r="L87" s="10">
        <f>IF($B$2="-",0,IFERROR(INDEX(IF($B$2="SV",'Projekt-Budget-Übersicht'!$I:$I,IF($B$2="CAD",'Projekt-Budget-Übersicht'!$J:$J,IF($B$2="ADM",'Projekt-Budget-Übersicht'!$K:$K,'Projekt-Budget-Übersicht'!$I:$I))),MATCH(2561,'Projekt-Budget-Übersicht'!$M:$M,0)),0))</f>
        <v>0</v>
      </c>
      <c r="M87" s="10">
        <f t="shared" si="9"/>
        <v>0</v>
      </c>
      <c r="N87" s="10">
        <f t="shared" si="10"/>
        <v>0</v>
      </c>
      <c r="O87" s="10">
        <f t="shared" si="11"/>
        <v>0</v>
      </c>
      <c r="P87" s="10">
        <f>'J. Dorn'!M89+'T. Trautmann'!M87</f>
        <v>0</v>
      </c>
      <c r="Q87" s="10">
        <v>2</v>
      </c>
      <c r="R87" s="10">
        <f>IFERROR(INDEX('Projekt-Budget-Übersicht'!$F:$F,MATCH(2561,'Projekt-Budget-Übersicht'!$L:$L,0)),0)</f>
        <v>0</v>
      </c>
      <c r="S87" s="10"/>
      <c r="T87" s="4"/>
      <c r="U87" s="4"/>
    </row>
    <row r="88" spans="1:21" x14ac:dyDescent="0.25">
      <c r="A88" s="4" t="s">
        <v>2578</v>
      </c>
      <c r="B88" s="4" t="s">
        <v>5516</v>
      </c>
      <c r="C88" s="4" t="str">
        <f>IFERROR(INDEX('Projekt-Budget-Übersicht'!$C:$C,MATCH(2893,'Projekt-Budget-Übersicht'!$L:$L,0)),"")</f>
        <v/>
      </c>
      <c r="D88" s="4">
        <v>37</v>
      </c>
      <c r="E88" s="4">
        <v>27.75</v>
      </c>
      <c r="F88" s="4">
        <v>0.5</v>
      </c>
      <c r="G88" s="16">
        <v>75</v>
      </c>
      <c r="H88" s="5"/>
      <c r="I88" s="5">
        <f t="shared" si="8"/>
        <v>0</v>
      </c>
      <c r="J88" s="4"/>
      <c r="K88" s="5">
        <f>IF('A. Kokott'!J97="T. Trautmann",'A. Kokott'!I97,0)+IF('J. Dorn'!J90="T. Trautmann",'J. Dorn'!I90,0)+IF('M. Bandlofsky'!J61="T. Trautmann",'M. Bandlofsky'!I61,0)+IF('O. Haag BS-CAD'!J106="T. Trautmann",'O. Haag BS-CAD'!I106,0)</f>
        <v>0</v>
      </c>
      <c r="L88" s="10">
        <f>IF($B$2="-",0,IFERROR(INDEX(IF($B$2="SV",'Projekt-Budget-Übersicht'!$I:$I,IF($B$2="CAD",'Projekt-Budget-Übersicht'!$J:$J,IF($B$2="ADM",'Projekt-Budget-Übersicht'!$K:$K,'Projekt-Budget-Übersicht'!$I:$I))),MATCH(2893,'Projekt-Budget-Übersicht'!$M:$M,0)),0))</f>
        <v>0</v>
      </c>
      <c r="M88" s="10">
        <f t="shared" si="9"/>
        <v>0</v>
      </c>
      <c r="N88" s="10">
        <f t="shared" si="10"/>
        <v>0</v>
      </c>
      <c r="O88" s="10">
        <f t="shared" si="11"/>
        <v>0</v>
      </c>
      <c r="P88" s="10">
        <f>'A. Kokott'!M97+'J. Dorn'!M90+'M. Bandlofsky'!M61+'O. Haag BS-CAD'!M106+'T. Trautmann'!M88</f>
        <v>0</v>
      </c>
      <c r="Q88" s="10">
        <v>37</v>
      </c>
      <c r="R88" s="10">
        <f>IFERROR(INDEX('Projekt-Budget-Übersicht'!$F:$F,MATCH(2893,'Projekt-Budget-Übersicht'!$L:$L,0)),0)</f>
        <v>0</v>
      </c>
      <c r="S88" s="10">
        <v>1736.25</v>
      </c>
      <c r="T88" s="4"/>
      <c r="U88" s="4"/>
    </row>
    <row r="89" spans="1:21" x14ac:dyDescent="0.25">
      <c r="A89" s="4" t="s">
        <v>2611</v>
      </c>
      <c r="B89" s="4" t="s">
        <v>5544</v>
      </c>
      <c r="C89" s="4" t="str">
        <f>IFERROR(INDEX('Projekt-Budget-Übersicht'!$C:$C,MATCH(2928,'Projekt-Budget-Übersicht'!$L:$L,0)),"")</f>
        <v/>
      </c>
      <c r="D89" s="4">
        <v>191.25</v>
      </c>
      <c r="E89" s="4">
        <v>142.25</v>
      </c>
      <c r="F89" s="4">
        <v>45.25</v>
      </c>
      <c r="G89" s="16">
        <v>74.38</v>
      </c>
      <c r="H89" s="5"/>
      <c r="I89" s="5">
        <f t="shared" si="8"/>
        <v>0</v>
      </c>
      <c r="J89" s="4"/>
      <c r="K89" s="5">
        <v>0</v>
      </c>
      <c r="L89" s="10">
        <f>IF($B$2="-",0,IFERROR(INDEX(IF($B$2="SV",'Projekt-Budget-Übersicht'!$I:$I,IF($B$2="CAD",'Projekt-Budget-Übersicht'!$J:$J,IF($B$2="ADM",'Projekt-Budget-Übersicht'!$K:$K,'Projekt-Budget-Übersicht'!$I:$I))),MATCH(2928,'Projekt-Budget-Übersicht'!$M:$M,0)),0))</f>
        <v>0</v>
      </c>
      <c r="M89" s="10">
        <f t="shared" si="9"/>
        <v>0</v>
      </c>
      <c r="N89" s="10">
        <f t="shared" si="10"/>
        <v>0</v>
      </c>
      <c r="O89" s="10">
        <f t="shared" si="11"/>
        <v>0</v>
      </c>
      <c r="P89" s="10">
        <f>'T. Trautmann'!M89</f>
        <v>0</v>
      </c>
      <c r="Q89" s="10">
        <v>191.25</v>
      </c>
      <c r="R89" s="10">
        <f>IFERROR(INDEX('Projekt-Budget-Übersicht'!$F:$F,MATCH(2928,'Projekt-Budget-Übersicht'!$L:$L,0)),0)</f>
        <v>0</v>
      </c>
      <c r="S89" s="10">
        <v>12802.5</v>
      </c>
      <c r="T89" s="4"/>
      <c r="U89" s="4"/>
    </row>
    <row r="90" spans="1:21" x14ac:dyDescent="0.25">
      <c r="A90" s="4" t="s">
        <v>2619</v>
      </c>
      <c r="B90" s="4" t="s">
        <v>5459</v>
      </c>
      <c r="C90" s="4" t="str">
        <f>IFERROR(INDEX('Projekt-Budget-Übersicht'!$C:$C,MATCH(2931,'Projekt-Budget-Übersicht'!$L:$L,0)),"")</f>
        <v/>
      </c>
      <c r="D90" s="4">
        <v>22</v>
      </c>
      <c r="E90" s="4">
        <v>23.25</v>
      </c>
      <c r="F90" s="4">
        <v>3</v>
      </c>
      <c r="G90" s="15">
        <v>105.68</v>
      </c>
      <c r="H90" s="5"/>
      <c r="I90" s="5">
        <f t="shared" si="8"/>
        <v>0</v>
      </c>
      <c r="J90" s="4"/>
      <c r="K90" s="5">
        <f>IF('S. Schüler'!J104="T. Trautmann",'S. Schüler'!I104,0)</f>
        <v>0</v>
      </c>
      <c r="L90" s="10">
        <f>IF($B$2="-",0,IFERROR(INDEX(IF($B$2="SV",'Projekt-Budget-Übersicht'!$I:$I,IF($B$2="CAD",'Projekt-Budget-Übersicht'!$J:$J,IF($B$2="ADM",'Projekt-Budget-Übersicht'!$K:$K,'Projekt-Budget-Übersicht'!$I:$I))),MATCH(2931,'Projekt-Budget-Übersicht'!$M:$M,0)),0))</f>
        <v>124.28571428571431</v>
      </c>
      <c r="M90" s="10">
        <f t="shared" si="9"/>
        <v>372.85714285714289</v>
      </c>
      <c r="N90" s="10">
        <f t="shared" si="10"/>
        <v>372.85714285714289</v>
      </c>
      <c r="O90" s="10">
        <f t="shared" si="11"/>
        <v>0</v>
      </c>
      <c r="P90" s="10">
        <f>'S. Schüler'!M104+'T. Trautmann'!M90</f>
        <v>2734.2857142857147</v>
      </c>
      <c r="Q90" s="10">
        <v>35</v>
      </c>
      <c r="R90" s="10">
        <f>IFERROR(INDEX('Projekt-Budget-Übersicht'!$F:$F,MATCH(2931,'Projekt-Budget-Übersicht'!$L:$L,0)),0)</f>
        <v>0</v>
      </c>
      <c r="S90" s="10">
        <v>2519.94</v>
      </c>
      <c r="T90" s="4"/>
      <c r="U90" s="4"/>
    </row>
    <row r="91" spans="1:21" x14ac:dyDescent="0.25">
      <c r="A91" s="4" t="s">
        <v>2725</v>
      </c>
      <c r="B91" s="4" t="s">
        <v>5516</v>
      </c>
      <c r="C91" s="4" t="s">
        <v>50</v>
      </c>
      <c r="D91" s="4">
        <v>0</v>
      </c>
      <c r="E91" s="4">
        <v>0</v>
      </c>
      <c r="F91" s="4">
        <v>3.75</v>
      </c>
      <c r="G91" s="4">
        <v>0</v>
      </c>
      <c r="H91" s="5"/>
      <c r="I91" s="5">
        <f t="shared" si="8"/>
        <v>0</v>
      </c>
      <c r="J91" s="4"/>
      <c r="K91" s="5">
        <f>IF('A. Kokott'!J100="T. Trautmann",'A. Kokott'!I100,0)+IF('J. Dorn'!J91="T. Trautmann",'J. Dorn'!I91,0)</f>
        <v>0</v>
      </c>
      <c r="L91" s="10">
        <f>IF($B$2="-",0,0)</f>
        <v>0</v>
      </c>
      <c r="M91" s="10">
        <f t="shared" si="9"/>
        <v>0</v>
      </c>
      <c r="N91" s="10">
        <f t="shared" si="10"/>
        <v>0</v>
      </c>
      <c r="O91" s="10">
        <f t="shared" si="11"/>
        <v>0</v>
      </c>
      <c r="P91" s="10">
        <f>'A. Kokott'!M100+'J. Dorn'!M91+'T. Trautmann'!M91</f>
        <v>0</v>
      </c>
      <c r="Q91" s="10"/>
      <c r="R91" s="10">
        <f>0</f>
        <v>0</v>
      </c>
      <c r="S91" s="10"/>
      <c r="T91" s="4"/>
      <c r="U91" s="4"/>
    </row>
    <row r="92" spans="1:21" x14ac:dyDescent="0.25">
      <c r="A92" s="4" t="s">
        <v>3146</v>
      </c>
      <c r="B92" s="4" t="s">
        <v>5670</v>
      </c>
      <c r="C92" s="4" t="str">
        <f>IFERROR(INDEX('Projekt-Budget-Übersicht'!$C:$C,MATCH(3387,'Projekt-Budget-Übersicht'!$L:$L,0)),"")</f>
        <v/>
      </c>
      <c r="D92" s="4">
        <v>0</v>
      </c>
      <c r="E92" s="4">
        <v>139.75</v>
      </c>
      <c r="F92" s="4">
        <v>4</v>
      </c>
      <c r="G92" s="4">
        <v>0</v>
      </c>
      <c r="H92" s="5"/>
      <c r="I92" s="5">
        <f t="shared" si="8"/>
        <v>0</v>
      </c>
      <c r="J92" s="4"/>
      <c r="K92" s="5">
        <f>IF('S. Schüler'!J106="T. Trautmann",'S. Schüler'!I106,0)</f>
        <v>0</v>
      </c>
      <c r="L92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92" s="10">
        <f t="shared" si="9"/>
        <v>0</v>
      </c>
      <c r="N92" s="10">
        <f t="shared" si="10"/>
        <v>0</v>
      </c>
      <c r="O92" s="10">
        <f t="shared" si="11"/>
        <v>0</v>
      </c>
      <c r="P92" s="10">
        <f>'S. Schüler'!M106+'T. Trautmann'!M92</f>
        <v>0</v>
      </c>
      <c r="Q92" s="10">
        <v>74</v>
      </c>
      <c r="R92" s="10">
        <f>IFERROR(INDEX('Projekt-Budget-Übersicht'!$F:$F,MATCH(3387,'Projekt-Budget-Übersicht'!$L:$L,0)),0)</f>
        <v>0</v>
      </c>
      <c r="S92" s="10">
        <v>23081.52</v>
      </c>
      <c r="T92" s="4"/>
      <c r="U92" s="4"/>
    </row>
    <row r="93" spans="1:21" x14ac:dyDescent="0.25">
      <c r="A93" s="4" t="s">
        <v>3970</v>
      </c>
      <c r="B93" s="4" t="s">
        <v>5688</v>
      </c>
      <c r="C93" s="4" t="str">
        <f>IFERROR(INDEX('Projekt-Budget-Übersicht'!$C:$C,MATCH(4104,'Projekt-Budget-Übersicht'!$L:$L,0)),"")</f>
        <v/>
      </c>
      <c r="D93" s="4">
        <v>20</v>
      </c>
      <c r="E93" s="4">
        <v>64.75</v>
      </c>
      <c r="F93" s="4">
        <v>8</v>
      </c>
      <c r="G93" s="15">
        <v>323.75</v>
      </c>
      <c r="H93" s="5"/>
      <c r="I93" s="5">
        <f t="shared" si="8"/>
        <v>0</v>
      </c>
      <c r="J93" s="4"/>
      <c r="K93" s="5">
        <v>0</v>
      </c>
      <c r="L93" s="10">
        <f>IF($B$2="-",0,IFERROR(INDEX(IF($B$2="SV",'Projekt-Budget-Übersicht'!$I:$I,IF($B$2="CAD",'Projekt-Budget-Übersicht'!$J:$J,IF($B$2="ADM",'Projekt-Budget-Übersicht'!$K:$K,'Projekt-Budget-Übersicht'!$I:$I))),MATCH(4104,'Projekt-Budget-Übersicht'!$M:$M,0)),0))</f>
        <v>0</v>
      </c>
      <c r="M93" s="10">
        <f t="shared" si="9"/>
        <v>0</v>
      </c>
      <c r="N93" s="10">
        <f t="shared" si="10"/>
        <v>0</v>
      </c>
      <c r="O93" s="10">
        <f t="shared" si="11"/>
        <v>0</v>
      </c>
      <c r="P93" s="10">
        <f>'T. Trautmann'!M93</f>
        <v>0</v>
      </c>
      <c r="Q93" s="10">
        <v>20</v>
      </c>
      <c r="R93" s="10">
        <f>IFERROR(INDEX('Projekt-Budget-Übersicht'!$F:$F,MATCH(4104,'Projekt-Budget-Übersicht'!$L:$L,0)),0)</f>
        <v>0</v>
      </c>
      <c r="S93" s="10">
        <v>5782.5</v>
      </c>
      <c r="T93" s="4"/>
      <c r="U93" s="4"/>
    </row>
    <row r="94" spans="1:21" x14ac:dyDescent="0.25">
      <c r="A94" s="4" t="s">
        <v>4373</v>
      </c>
      <c r="B94" s="4" t="s">
        <v>5459</v>
      </c>
      <c r="C94" s="4" t="str">
        <f>IFERROR(INDEX('Projekt-Budget-Übersicht'!$C:$C,MATCH(4448,'Projekt-Budget-Übersicht'!$L:$L,0)),"")</f>
        <v/>
      </c>
      <c r="D94" s="4">
        <v>19</v>
      </c>
      <c r="E94" s="4">
        <v>22</v>
      </c>
      <c r="F94" s="4">
        <v>0.25</v>
      </c>
      <c r="G94" s="15">
        <v>115.79</v>
      </c>
      <c r="H94" s="5"/>
      <c r="I94" s="5">
        <f t="shared" si="8"/>
        <v>0</v>
      </c>
      <c r="J94" s="4"/>
      <c r="K94" s="5">
        <f>IF('J. Dorn'!J102="T. Trautmann",'J. Dorn'!I102,0)+IF('R. Böttiger'!J60="T. Trautmann",'R. Böttiger'!I60,0)</f>
        <v>0</v>
      </c>
      <c r="L94" s="10">
        <f>IF($B$2="-",0,IFERROR(INDEX(IF($B$2="SV",'Projekt-Budget-Übersicht'!$I:$I,IF($B$2="CAD",'Projekt-Budget-Übersicht'!$J:$J,IF($B$2="ADM",'Projekt-Budget-Übersicht'!$K:$K,'Projekt-Budget-Übersicht'!$I:$I))),MATCH(4448,'Projekt-Budget-Übersicht'!$M:$M,0)),0))</f>
        <v>120.8333333333333</v>
      </c>
      <c r="M94" s="10">
        <f t="shared" si="9"/>
        <v>30.208333333333325</v>
      </c>
      <c r="N94" s="10">
        <f t="shared" si="10"/>
        <v>30.208333333333325</v>
      </c>
      <c r="O94" s="10">
        <f t="shared" si="11"/>
        <v>0</v>
      </c>
      <c r="P94" s="10">
        <f>'J. Dorn'!M102+'R. Böttiger'!M60+'T. Trautmann'!M94</f>
        <v>483.3333333333332</v>
      </c>
      <c r="Q94" s="10">
        <v>47</v>
      </c>
      <c r="R94" s="10">
        <f>IFERROR(INDEX('Projekt-Budget-Übersicht'!$F:$F,MATCH(4448,'Projekt-Budget-Übersicht'!$L:$L,0)),0)</f>
        <v>0</v>
      </c>
      <c r="S94" s="10">
        <v>2173.75</v>
      </c>
      <c r="T94" s="4"/>
      <c r="U94" s="4"/>
    </row>
    <row r="95" spans="1:21" x14ac:dyDescent="0.25">
      <c r="A95" s="4" t="s">
        <v>4929</v>
      </c>
      <c r="B95" s="4" t="s">
        <v>5459</v>
      </c>
      <c r="C95" s="4" t="str">
        <f>IFERROR(INDEX('Projekt-Budget-Übersicht'!$C:$C,MATCH(4909,'Projekt-Budget-Übersicht'!$L:$L,0)),"")</f>
        <v/>
      </c>
      <c r="D95" s="4">
        <v>40</v>
      </c>
      <c r="E95" s="4">
        <v>34.25</v>
      </c>
      <c r="F95" s="4">
        <v>2.5</v>
      </c>
      <c r="G95" s="16">
        <v>85.62</v>
      </c>
      <c r="H95" s="5"/>
      <c r="I95" s="5">
        <f t="shared" si="8"/>
        <v>0</v>
      </c>
      <c r="J95" s="4"/>
      <c r="K95" s="5">
        <v>0</v>
      </c>
      <c r="L95" s="10">
        <f>IF($B$2="-",0,IFERROR(INDEX(IF($B$2="SV",'Projekt-Budget-Übersicht'!$I:$I,IF($B$2="CAD",'Projekt-Budget-Übersicht'!$J:$J,IF($B$2="ADM",'Projekt-Budget-Übersicht'!$K:$K,'Projekt-Budget-Übersicht'!$I:$I))),MATCH(4909,'Projekt-Budget-Übersicht'!$M:$M,0)),0))</f>
        <v>116.6666666666667</v>
      </c>
      <c r="M95" s="10">
        <f t="shared" si="9"/>
        <v>291.66666666666674</v>
      </c>
      <c r="N95" s="10">
        <f t="shared" si="10"/>
        <v>291.66666666666674</v>
      </c>
      <c r="O95" s="10">
        <f t="shared" si="11"/>
        <v>0</v>
      </c>
      <c r="P95" s="10">
        <f>'T. Trautmann'!M95</f>
        <v>291.66666666666674</v>
      </c>
      <c r="Q95" s="10">
        <v>210</v>
      </c>
      <c r="R95" s="10">
        <f>IFERROR(INDEX('Projekt-Budget-Übersicht'!$F:$F,MATCH(4909,'Projekt-Budget-Übersicht'!$L:$L,0)),0)</f>
        <v>0</v>
      </c>
      <c r="S95" s="10">
        <v>866.58</v>
      </c>
      <c r="T95" s="4"/>
      <c r="U95" s="4"/>
    </row>
    <row r="96" spans="1:21" x14ac:dyDescent="0.25">
      <c r="A96" s="4" t="s">
        <v>5202</v>
      </c>
      <c r="B96" s="4" t="s">
        <v>5596</v>
      </c>
      <c r="C96" s="4" t="str">
        <f>IFERROR(INDEX('Projekt-Budget-Übersicht'!$C:$C,MATCH(5157,'Projekt-Budget-Übersicht'!$L:$L,0)),"")</f>
        <v/>
      </c>
      <c r="D96" s="4">
        <v>47</v>
      </c>
      <c r="E96" s="4">
        <v>46.5</v>
      </c>
      <c r="F96" s="4">
        <v>36.75</v>
      </c>
      <c r="G96" s="14">
        <v>98.94</v>
      </c>
      <c r="H96" s="5"/>
      <c r="I96" s="5">
        <f t="shared" si="8"/>
        <v>0</v>
      </c>
      <c r="J96" s="4"/>
      <c r="K96" s="5">
        <v>0</v>
      </c>
      <c r="L96" s="10">
        <f>IF($B$2="-",0,IFERROR(INDEX(IF($B$2="SV",'Projekt-Budget-Übersicht'!$I:$I,IF($B$2="CAD",'Projekt-Budget-Übersicht'!$J:$J,IF($B$2="ADM",'Projekt-Budget-Übersicht'!$K:$K,'Projekt-Budget-Übersicht'!$I:$I))),MATCH(5157,'Projekt-Budget-Übersicht'!$M:$M,0)),0))</f>
        <v>0</v>
      </c>
      <c r="M96" s="10">
        <f t="shared" si="9"/>
        <v>0</v>
      </c>
      <c r="N96" s="10">
        <f t="shared" si="10"/>
        <v>0</v>
      </c>
      <c r="O96" s="10">
        <f t="shared" si="11"/>
        <v>0</v>
      </c>
      <c r="P96" s="10">
        <f>'T. Trautmann'!M96</f>
        <v>0</v>
      </c>
      <c r="Q96" s="10">
        <v>47</v>
      </c>
      <c r="R96" s="10">
        <f>IFERROR(INDEX('Projekt-Budget-Übersicht'!$F:$F,MATCH(5157,'Projekt-Budget-Übersicht'!$L:$L,0)),0)</f>
        <v>0</v>
      </c>
      <c r="S96" s="10">
        <v>4148.29</v>
      </c>
      <c r="T96" s="4"/>
      <c r="U96" s="4"/>
    </row>
    <row r="97" spans="1:21" x14ac:dyDescent="0.25">
      <c r="A97" s="3"/>
      <c r="B97" s="3" t="s">
        <v>5492</v>
      </c>
      <c r="C97" s="3"/>
      <c r="D97" s="3"/>
      <c r="E97" s="3"/>
      <c r="F97" s="6">
        <v>149.5</v>
      </c>
      <c r="G97" s="3"/>
      <c r="H97" s="3"/>
      <c r="I97" s="3"/>
      <c r="J97" s="3"/>
      <c r="K97" s="3"/>
      <c r="L97" s="3"/>
      <c r="M97" s="17">
        <f>SUM(M72:M96)</f>
        <v>1713.1287556122602</v>
      </c>
      <c r="N97" s="17">
        <f>SUM(N72:N96)</f>
        <v>1713.1287556122602</v>
      </c>
      <c r="O97" s="17">
        <f>SUM(O72:O96)</f>
        <v>0</v>
      </c>
      <c r="P97" s="17">
        <f>SUM(P72:P96)</f>
        <v>5863.1661980085746</v>
      </c>
      <c r="Q97" s="3"/>
      <c r="R97" s="3"/>
      <c r="S97" s="3"/>
      <c r="T97" s="3"/>
      <c r="U97" s="3"/>
    </row>
    <row r="98" spans="1:21" x14ac:dyDescent="0.25">
      <c r="A98" s="3"/>
      <c r="B98" s="3" t="s">
        <v>4</v>
      </c>
      <c r="C98" s="3"/>
      <c r="D98" s="3"/>
      <c r="E98" s="3"/>
      <c r="F98" s="6">
        <f>G98+H98</f>
        <v>126.5</v>
      </c>
      <c r="G98" s="6">
        <v>126.5</v>
      </c>
      <c r="H98" s="6">
        <f>SUM(H74,H75,H76,H77,H78,H79,H80,H81,H82,H83,H84,H85,H86,H87,H88,H89,H90,H91,H92,H93,H94,H95,H96)</f>
        <v>0</v>
      </c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1:21" x14ac:dyDescent="0.25">
      <c r="A99" s="3"/>
      <c r="B99" s="3" t="s">
        <v>5</v>
      </c>
      <c r="C99" s="3"/>
      <c r="D99" s="3"/>
      <c r="E99" s="3"/>
      <c r="F99" s="6">
        <f>G99+H99</f>
        <v>1.25</v>
      </c>
      <c r="G99" s="6">
        <v>1.25</v>
      </c>
      <c r="H99" s="6">
        <f>SUM(H72,H73)</f>
        <v>0</v>
      </c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1:21" x14ac:dyDescent="0.25">
      <c r="A100" s="3"/>
      <c r="B100" s="3" t="s">
        <v>5493</v>
      </c>
      <c r="C100" s="3"/>
      <c r="D100" s="3"/>
      <c r="E100" s="3"/>
      <c r="F100" s="6">
        <f>SUM(K72:K96)</f>
        <v>0</v>
      </c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1:21" x14ac:dyDescent="0.25">
      <c r="A101" s="18"/>
      <c r="B101" s="18" t="s">
        <v>5494</v>
      </c>
      <c r="C101" s="18"/>
      <c r="D101" s="18"/>
      <c r="E101" s="18"/>
      <c r="F101" s="19">
        <f>F98+F99+F100</f>
        <v>127.75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</row>
    <row r="103" spans="1:21" ht="15.75" x14ac:dyDescent="0.25">
      <c r="A103" s="2" t="s">
        <v>5524</v>
      </c>
    </row>
    <row r="104" spans="1:21" x14ac:dyDescent="0.25">
      <c r="A104" s="3" t="s">
        <v>2</v>
      </c>
      <c r="B104" s="3" t="s">
        <v>5525</v>
      </c>
      <c r="C104" s="3" t="s">
        <v>5526</v>
      </c>
      <c r="D104" s="3" t="s">
        <v>4</v>
      </c>
      <c r="E104" s="3" t="s">
        <v>5</v>
      </c>
      <c r="F104" s="3" t="s">
        <v>5527</v>
      </c>
      <c r="G104" s="3" t="s">
        <v>5528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1:21" x14ac:dyDescent="0.25">
      <c r="A105" s="4" t="s">
        <v>6</v>
      </c>
      <c r="B105" s="4" t="s">
        <v>31</v>
      </c>
      <c r="C105" s="4">
        <f>F20</f>
        <v>82.25</v>
      </c>
      <c r="D105" s="4">
        <f>F21</f>
        <v>59.5</v>
      </c>
      <c r="E105" s="4">
        <f>F22</f>
        <v>16</v>
      </c>
      <c r="F105" s="4">
        <f>F23</f>
        <v>0</v>
      </c>
      <c r="G105" s="4">
        <f>F24</f>
        <v>75.5</v>
      </c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</row>
    <row r="106" spans="1:21" x14ac:dyDescent="0.25">
      <c r="A106" s="4" t="s">
        <v>7</v>
      </c>
      <c r="B106" s="4" t="s">
        <v>31</v>
      </c>
      <c r="C106" s="4">
        <f>F64</f>
        <v>149.25</v>
      </c>
      <c r="D106" s="4">
        <f>F65</f>
        <v>105.5</v>
      </c>
      <c r="E106" s="4">
        <f>F66</f>
        <v>16.25</v>
      </c>
      <c r="F106" s="4">
        <f>F67</f>
        <v>0</v>
      </c>
      <c r="G106" s="4">
        <f>F68</f>
        <v>121.75</v>
      </c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</row>
    <row r="107" spans="1:21" x14ac:dyDescent="0.25">
      <c r="A107" s="4" t="s">
        <v>8</v>
      </c>
      <c r="B107" s="4" t="s">
        <v>31</v>
      </c>
      <c r="C107" s="4">
        <f>F97</f>
        <v>149.5</v>
      </c>
      <c r="D107" s="4">
        <f>F98</f>
        <v>126.5</v>
      </c>
      <c r="E107" s="4">
        <f>F99</f>
        <v>1.25</v>
      </c>
      <c r="F107" s="4">
        <f>F100</f>
        <v>0</v>
      </c>
      <c r="G107" s="4">
        <f>F101</f>
        <v>127.75</v>
      </c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</row>
    <row r="110" spans="1:21" ht="18.75" x14ac:dyDescent="0.3">
      <c r="A110" s="1" t="s">
        <v>5529</v>
      </c>
    </row>
    <row r="111" spans="1:21" x14ac:dyDescent="0.25">
      <c r="A111" s="3" t="s">
        <v>35</v>
      </c>
      <c r="B111" s="3" t="s">
        <v>5461</v>
      </c>
      <c r="C111" s="3" t="s">
        <v>37</v>
      </c>
      <c r="D111" s="3" t="s">
        <v>5462</v>
      </c>
      <c r="E111" s="3" t="s">
        <v>5463</v>
      </c>
      <c r="F111" s="3" t="s">
        <v>5530</v>
      </c>
      <c r="G111" s="3" t="s">
        <v>5465</v>
      </c>
      <c r="H111" s="3" t="s">
        <v>5466</v>
      </c>
      <c r="I111" s="3" t="s">
        <v>5467</v>
      </c>
      <c r="J111" s="3" t="s">
        <v>5468</v>
      </c>
      <c r="K111" s="3" t="s">
        <v>5469</v>
      </c>
      <c r="L111" s="3" t="s">
        <v>5470</v>
      </c>
      <c r="M111" s="3" t="s">
        <v>5471</v>
      </c>
      <c r="N111" s="3" t="s">
        <v>5472</v>
      </c>
      <c r="O111" s="3" t="s">
        <v>5473</v>
      </c>
      <c r="P111" s="3" t="s">
        <v>5474</v>
      </c>
      <c r="Q111" s="3" t="s">
        <v>5476</v>
      </c>
      <c r="R111" s="3" t="s">
        <v>5477</v>
      </c>
      <c r="S111" s="3"/>
      <c r="T111" s="3"/>
      <c r="U111" s="3"/>
    </row>
    <row r="112" spans="1:21" x14ac:dyDescent="0.25">
      <c r="A112" s="21" t="s">
        <v>61</v>
      </c>
      <c r="B112" s="4" t="s">
        <v>5480</v>
      </c>
      <c r="C112" s="4" t="str">
        <f>IFERROR(INDEX('Projekt-Budget-Übersicht'!$C:$C,MATCH(10,'Projekt-Budget-Übersicht'!$L:$L,0)),"")</f>
        <v/>
      </c>
      <c r="D112" s="4">
        <v>24</v>
      </c>
      <c r="E112" s="4">
        <v>11</v>
      </c>
      <c r="F112" s="5">
        <f>SUM(F6,F28,I6,I28,K6,K28)</f>
        <v>11</v>
      </c>
      <c r="G112" s="16">
        <v>45.83</v>
      </c>
      <c r="H112" s="5">
        <f>SUM(H6,H28)</f>
        <v>0</v>
      </c>
      <c r="I112" s="5">
        <f t="shared" ref="I112:I155" si="12">IF(H112=0,0,F112-H112)</f>
        <v>0</v>
      </c>
      <c r="J112" s="4" t="s">
        <v>5531</v>
      </c>
      <c r="K112" s="5">
        <f>SUM(K6,K28)</f>
        <v>0</v>
      </c>
      <c r="L112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12" s="10">
        <f t="shared" ref="M112:M155" si="13">IF($B$2="-",0,IF(C112="Pauschale",IF(OR(Q112=0,N(D112)=0),0,MAX(0,MIN(Q112*((N(F112)+N(K112))/N(D112)),Q112-Q112*(N(E112)/N(D112))))),L112*(N(F112)+N(K112))))</f>
        <v>0</v>
      </c>
      <c r="N112" s="10">
        <f t="shared" ref="N112:N155" si="14">IF($B$2="-",0,IF(C112="Pauschale",IF(OR(Q112=0,N(D112)=0),0,Q112*((N(F112)+N(K112))/N(D112))),L112*(N(F112)+N(K112))))</f>
        <v>0</v>
      </c>
      <c r="O112" s="10">
        <f t="shared" ref="O112:O155" si="15">N112-M112</f>
        <v>0</v>
      </c>
      <c r="P112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112" s="10">
        <f>IFERROR(INDEX('Projekt-Budget-Übersicht'!$E:$E,MATCH(10,'Projekt-Budget-Übersicht'!$L:$L,0)),0)</f>
        <v>0</v>
      </c>
      <c r="R112" s="10">
        <v>68628.19</v>
      </c>
      <c r="S112" s="4"/>
      <c r="T112" s="4"/>
      <c r="U112" s="4"/>
    </row>
    <row r="113" spans="1:21" x14ac:dyDescent="0.25">
      <c r="A113" s="23"/>
      <c r="B113" s="4" t="s">
        <v>5481</v>
      </c>
      <c r="C113" s="4" t="str">
        <f>IFERROR(INDEX('Projekt-Budget-Übersicht'!$C:$C,MATCH(10,'Projekt-Budget-Übersicht'!$L:$L,0)),"")</f>
        <v/>
      </c>
      <c r="D113" s="4">
        <v>24</v>
      </c>
      <c r="E113" s="4">
        <v>14.75</v>
      </c>
      <c r="F113" s="5">
        <f>SUM(F7,F29,F72,I7,I29,I72,K7,K29,K72)</f>
        <v>14.75</v>
      </c>
      <c r="G113" s="16">
        <v>61.46</v>
      </c>
      <c r="H113" s="5">
        <f>SUM(H7,H29,H72)</f>
        <v>0</v>
      </c>
      <c r="I113" s="5">
        <f t="shared" si="12"/>
        <v>0</v>
      </c>
      <c r="J113" s="4" t="s">
        <v>5531</v>
      </c>
      <c r="K113" s="5">
        <f>SUM(K7,K29,K72)</f>
        <v>0</v>
      </c>
      <c r="L113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13" s="10">
        <f t="shared" si="13"/>
        <v>0</v>
      </c>
      <c r="N113" s="10">
        <f t="shared" si="14"/>
        <v>0</v>
      </c>
      <c r="O113" s="10">
        <f t="shared" si="15"/>
        <v>0</v>
      </c>
      <c r="P113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113" s="10">
        <f>IFERROR(INDEX('Projekt-Budget-Übersicht'!$E:$E,MATCH(10,'Projekt-Budget-Übersicht'!$L:$L,0)),0)</f>
        <v>0</v>
      </c>
      <c r="R113" s="10">
        <v>68628.19</v>
      </c>
      <c r="S113" s="4"/>
      <c r="T113" s="4"/>
      <c r="U113" s="4"/>
    </row>
    <row r="114" spans="1:21" x14ac:dyDescent="0.25">
      <c r="A114" s="22"/>
      <c r="B114" s="4" t="s">
        <v>5547</v>
      </c>
      <c r="C114" s="4" t="str">
        <f>IFERROR(INDEX('Projekt-Budget-Übersicht'!$C:$C,MATCH(10,'Projekt-Budget-Übersicht'!$L:$L,0)),"")</f>
        <v/>
      </c>
      <c r="D114" s="4">
        <v>24</v>
      </c>
      <c r="E114" s="4">
        <v>7.75</v>
      </c>
      <c r="F114" s="5">
        <f>SUM(F8,F30,F73,I8,I30,I73,K8,K30,K73)</f>
        <v>7.75</v>
      </c>
      <c r="G114" s="16">
        <v>32.29</v>
      </c>
      <c r="H114" s="5">
        <f>SUM(H8,H30,H73)</f>
        <v>0</v>
      </c>
      <c r="I114" s="5">
        <f t="shared" si="12"/>
        <v>0</v>
      </c>
      <c r="J114" s="4" t="s">
        <v>5531</v>
      </c>
      <c r="K114" s="5">
        <f>SUM(K8,K30,K73)</f>
        <v>0</v>
      </c>
      <c r="L114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114" s="10">
        <f t="shared" si="13"/>
        <v>0</v>
      </c>
      <c r="N114" s="10">
        <f t="shared" si="14"/>
        <v>0</v>
      </c>
      <c r="O114" s="10">
        <f t="shared" si="15"/>
        <v>0</v>
      </c>
      <c r="P114" s="10">
        <f>'C. Trapp SV'!M86+'J. Dorn'!M120+'O. Haag BS-CAD'!M144+'P. Bergner'!M75+'T. Trautmann'!M114</f>
        <v>0</v>
      </c>
      <c r="Q114" s="10">
        <f>IFERROR(INDEX('Projekt-Budget-Übersicht'!$E:$E,MATCH(10,'Projekt-Budget-Übersicht'!$L:$L,0)),0)</f>
        <v>0</v>
      </c>
      <c r="R114" s="10">
        <v>68628.19</v>
      </c>
      <c r="S114" s="4"/>
      <c r="T114" s="4"/>
      <c r="U114" s="4"/>
    </row>
    <row r="115" spans="1:21" x14ac:dyDescent="0.25">
      <c r="A115" s="21" t="s">
        <v>183</v>
      </c>
      <c r="B115" s="4" t="s">
        <v>5686</v>
      </c>
      <c r="C115" s="4" t="str">
        <f>IFERROR(INDEX('Projekt-Budget-Übersicht'!$C:$C,MATCH(98,'Projekt-Budget-Übersicht'!$L:$L,0)),"")</f>
        <v/>
      </c>
      <c r="D115" s="4">
        <v>60</v>
      </c>
      <c r="E115" s="4">
        <v>43.5</v>
      </c>
      <c r="F115" s="5">
        <f>SUM(F9,F31,F74,I9,I31,I74,K9,K31,K74)</f>
        <v>4.25</v>
      </c>
      <c r="G115" s="16">
        <v>72.5</v>
      </c>
      <c r="H115" s="5">
        <f>SUM(H9,H31,H74)</f>
        <v>0</v>
      </c>
      <c r="I115" s="5">
        <f t="shared" si="12"/>
        <v>0</v>
      </c>
      <c r="J115" s="4" t="s">
        <v>5531</v>
      </c>
      <c r="K115" s="5">
        <f>SUM(K9,K31,K74)</f>
        <v>0</v>
      </c>
      <c r="L115" s="10">
        <f>IF($B$2="-",0,IFERROR(INDEX(IF($B$2="SV",'Projekt-Budget-Übersicht'!$H:$H,IF($B$2="CAD",'Projekt-Budget-Übersicht'!$I:$I,IF($B$2="ADM",'Projekt-Budget-Übersicht'!$J:$J,'Projekt-Budget-Übersicht'!$H:$H))),MATCH(98,'Projekt-Budget-Übersicht'!$L:$L,0)),0))</f>
        <v>0</v>
      </c>
      <c r="M115" s="10">
        <f t="shared" si="13"/>
        <v>0</v>
      </c>
      <c r="N115" s="10">
        <f t="shared" si="14"/>
        <v>0</v>
      </c>
      <c r="O115" s="10">
        <f t="shared" si="15"/>
        <v>0</v>
      </c>
      <c r="P115" s="10">
        <f>'T. Trautmann'!M115</f>
        <v>0</v>
      </c>
      <c r="Q115" s="10">
        <f>IFERROR(INDEX('Projekt-Budget-Übersicht'!$E:$E,MATCH(98,'Projekt-Budget-Übersicht'!$L:$L,0)),0)</f>
        <v>0</v>
      </c>
      <c r="R115" s="10">
        <v>3905</v>
      </c>
      <c r="S115" s="4"/>
      <c r="T115" s="4"/>
      <c r="U115" s="4"/>
    </row>
    <row r="116" spans="1:21" x14ac:dyDescent="0.25">
      <c r="A116" s="22"/>
      <c r="B116" s="4" t="s">
        <v>5697</v>
      </c>
      <c r="C116" s="4" t="str">
        <f>IFERROR(INDEX('Projekt-Budget-Übersicht'!$C:$C,MATCH(99,'Projekt-Budget-Übersicht'!$L:$L,0)),"")</f>
        <v/>
      </c>
      <c r="D116" s="4">
        <v>60</v>
      </c>
      <c r="E116" s="4">
        <v>68.25</v>
      </c>
      <c r="F116" s="5">
        <f>SUM(F75,I75,K75)</f>
        <v>0.75</v>
      </c>
      <c r="G116" s="15">
        <v>113.75</v>
      </c>
      <c r="H116" s="5">
        <f>SUM(H75)</f>
        <v>0</v>
      </c>
      <c r="I116" s="5">
        <f t="shared" si="12"/>
        <v>0</v>
      </c>
      <c r="J116" s="4" t="s">
        <v>5531</v>
      </c>
      <c r="K116" s="5">
        <f>SUM(K75)</f>
        <v>0</v>
      </c>
      <c r="L116" s="10">
        <f>IF($B$2="-",0,IFERROR(INDEX(IF($B$2="SV",'Projekt-Budget-Übersicht'!$H:$H,IF($B$2="CAD",'Projekt-Budget-Übersicht'!$I:$I,IF($B$2="ADM",'Projekt-Budget-Übersicht'!$J:$J,'Projekt-Budget-Übersicht'!$H:$H))),MATCH(99,'Projekt-Budget-Übersicht'!$L:$L,0)),0))</f>
        <v>0</v>
      </c>
      <c r="M116" s="10">
        <f t="shared" si="13"/>
        <v>0</v>
      </c>
      <c r="N116" s="10">
        <f t="shared" si="14"/>
        <v>0</v>
      </c>
      <c r="O116" s="10">
        <f t="shared" si="15"/>
        <v>0</v>
      </c>
      <c r="P116" s="10">
        <f>'T. Trautmann'!M116</f>
        <v>0</v>
      </c>
      <c r="Q116" s="10">
        <f>IFERROR(INDEX('Projekt-Budget-Übersicht'!$E:$E,MATCH(99,'Projekt-Budget-Übersicht'!$L:$L,0)),0)</f>
        <v>0</v>
      </c>
      <c r="R116" s="10">
        <v>5512.5</v>
      </c>
      <c r="S116" s="4"/>
      <c r="T116" s="4"/>
      <c r="U116" s="4"/>
    </row>
    <row r="117" spans="1:21" x14ac:dyDescent="0.25">
      <c r="A117" s="4" t="s">
        <v>202</v>
      </c>
      <c r="B117" s="4" t="s">
        <v>5643</v>
      </c>
      <c r="C117" s="4" t="str">
        <f>IFERROR(INDEX('Projekt-Budget-Übersicht'!$C:$C,MATCH(130,'Projekt-Budget-Übersicht'!$L:$L,0)),"")</f>
        <v/>
      </c>
      <c r="D117" s="4">
        <v>80</v>
      </c>
      <c r="E117" s="4">
        <v>68.75</v>
      </c>
      <c r="F117" s="5">
        <f>SUM(F32,F76,I32,I76,K32,K76)</f>
        <v>2.75</v>
      </c>
      <c r="G117" s="16">
        <v>85.94</v>
      </c>
      <c r="H117" s="5">
        <f>SUM(H32,H76)</f>
        <v>0</v>
      </c>
      <c r="I117" s="5">
        <f t="shared" si="12"/>
        <v>0</v>
      </c>
      <c r="J117" s="4" t="s">
        <v>5531</v>
      </c>
      <c r="K117" s="5">
        <f>SUM(K32,K76)</f>
        <v>0</v>
      </c>
      <c r="L117" s="10">
        <f>IF($B$2="-",0,IFERROR(INDEX(IF($B$2="SV",'Projekt-Budget-Übersicht'!$H:$H,IF($B$2="CAD",'Projekt-Budget-Übersicht'!$I:$I,IF($B$2="ADM",'Projekt-Budget-Übersicht'!$J:$J,'Projekt-Budget-Übersicht'!$H:$H))),MATCH(130,'Projekt-Budget-Übersicht'!$L:$L,0)),0))</f>
        <v>0</v>
      </c>
      <c r="M117" s="10">
        <f t="shared" si="13"/>
        <v>0</v>
      </c>
      <c r="N117" s="10">
        <f t="shared" si="14"/>
        <v>0</v>
      </c>
      <c r="O117" s="10">
        <f t="shared" si="15"/>
        <v>0</v>
      </c>
      <c r="P117" s="10">
        <f>'T. Trautmann'!M117</f>
        <v>0</v>
      </c>
      <c r="Q117" s="10">
        <f>IFERROR(INDEX('Projekt-Budget-Übersicht'!$E:$E,MATCH(130,'Projekt-Budget-Übersicht'!$L:$L,0)),0)</f>
        <v>0</v>
      </c>
      <c r="R117" s="10"/>
      <c r="S117" s="4"/>
      <c r="T117" s="4"/>
      <c r="U117" s="4"/>
    </row>
    <row r="118" spans="1:21" x14ac:dyDescent="0.25">
      <c r="A118" s="4" t="s">
        <v>633</v>
      </c>
      <c r="B118" s="4" t="s">
        <v>5459</v>
      </c>
      <c r="C118" s="4" t="str">
        <f>IFERROR(INDEX('Projekt-Budget-Übersicht'!$C:$C,MATCH(639,'Projekt-Budget-Übersicht'!$L:$L,0)),"")</f>
        <v/>
      </c>
      <c r="D118" s="4">
        <v>70</v>
      </c>
      <c r="E118" s="4">
        <v>66</v>
      </c>
      <c r="F118" s="5">
        <f>SUM(F33,F77,I33,I77,K33,K77)</f>
        <v>14.25</v>
      </c>
      <c r="G118" s="14">
        <v>94.29</v>
      </c>
      <c r="H118" s="5">
        <f>SUM(H33,H77)</f>
        <v>0</v>
      </c>
      <c r="I118" s="5">
        <f t="shared" si="12"/>
        <v>0</v>
      </c>
      <c r="J118" s="4" t="s">
        <v>5531</v>
      </c>
      <c r="K118" s="5">
        <f>SUM(K33,K77)</f>
        <v>0</v>
      </c>
      <c r="L118" s="10">
        <f>IF($B$2="-",0,IFERROR(INDEX(IF($B$2="SV",'Projekt-Budget-Übersicht'!$H:$H,IF($B$2="CAD",'Projekt-Budget-Übersicht'!$I:$I,IF($B$2="ADM",'Projekt-Budget-Übersicht'!$J:$J,'Projekt-Budget-Übersicht'!$H:$H))),MATCH(639,'Projekt-Budget-Übersicht'!$L:$L,0)),0))</f>
        <v>0</v>
      </c>
      <c r="M118" s="10">
        <f t="shared" si="13"/>
        <v>0</v>
      </c>
      <c r="N118" s="10">
        <f t="shared" si="14"/>
        <v>0</v>
      </c>
      <c r="O118" s="10">
        <f t="shared" si="15"/>
        <v>0</v>
      </c>
      <c r="P118" s="10">
        <f>'T. Trautmann'!M118</f>
        <v>0</v>
      </c>
      <c r="Q118" s="10">
        <f>IFERROR(INDEX('Projekt-Budget-Übersicht'!$E:$E,MATCH(639,'Projekt-Budget-Übersicht'!$L:$L,0)),0)</f>
        <v>0</v>
      </c>
      <c r="R118" s="10">
        <v>6590</v>
      </c>
      <c r="S118" s="4"/>
      <c r="T118" s="4"/>
      <c r="U118" s="4"/>
    </row>
    <row r="119" spans="1:21" x14ac:dyDescent="0.25">
      <c r="A119" s="4" t="s">
        <v>636</v>
      </c>
      <c r="B119" s="4" t="s">
        <v>5459</v>
      </c>
      <c r="C119" s="4" t="str">
        <f>IFERROR(INDEX('Projekt-Budget-Übersicht'!$C:$C,MATCH(641,'Projekt-Budget-Übersicht'!$L:$L,0)),"")</f>
        <v/>
      </c>
      <c r="D119" s="4">
        <v>20</v>
      </c>
      <c r="E119" s="4">
        <v>25.25</v>
      </c>
      <c r="F119" s="5">
        <f>SUM(F10,F34,F78,I10,I34,I78,K10,K34,K78)</f>
        <v>22.75</v>
      </c>
      <c r="G119" s="15">
        <v>126.25</v>
      </c>
      <c r="H119" s="5">
        <f>SUM(H10,H34,H78)</f>
        <v>0</v>
      </c>
      <c r="I119" s="5">
        <f t="shared" si="12"/>
        <v>0</v>
      </c>
      <c r="J119" s="4" t="s">
        <v>5531</v>
      </c>
      <c r="K119" s="5">
        <f>SUM(K10,K34,K78)</f>
        <v>0</v>
      </c>
      <c r="L119" s="10">
        <f>IF($B$2="-",0,IFERROR(INDEX(IF($B$2="SV",'Projekt-Budget-Übersicht'!$H:$H,IF($B$2="CAD",'Projekt-Budget-Übersicht'!$I:$I,IF($B$2="ADM",'Projekt-Budget-Übersicht'!$J:$J,'Projekt-Budget-Übersicht'!$H:$H))),MATCH(641,'Projekt-Budget-Übersicht'!$L:$L,0)),0))</f>
        <v>0</v>
      </c>
      <c r="M119" s="10">
        <f t="shared" si="13"/>
        <v>0</v>
      </c>
      <c r="N119" s="10">
        <f t="shared" si="14"/>
        <v>0</v>
      </c>
      <c r="O119" s="10">
        <f t="shared" si="15"/>
        <v>0</v>
      </c>
      <c r="P119" s="10">
        <f>'E. Bieler'!M80+'T. Trautmann'!M119</f>
        <v>0</v>
      </c>
      <c r="Q119" s="10">
        <f>IFERROR(INDEX('Projekt-Budget-Übersicht'!$E:$E,MATCH(641,'Projekt-Budget-Übersicht'!$L:$L,0)),0)</f>
        <v>0</v>
      </c>
      <c r="R119" s="10">
        <v>2546.65</v>
      </c>
      <c r="S119" s="4"/>
      <c r="T119" s="4"/>
      <c r="U119" s="4"/>
    </row>
    <row r="120" spans="1:21" x14ac:dyDescent="0.25">
      <c r="A120" s="4" t="s">
        <v>640</v>
      </c>
      <c r="B120" s="4" t="s">
        <v>5698</v>
      </c>
      <c r="C120" s="4" t="str">
        <f>IFERROR(INDEX('Projekt-Budget-Übersicht'!$C:$C,MATCH(644,'Projekt-Budget-Übersicht'!$L:$L,0)),"")</f>
        <v/>
      </c>
      <c r="D120" s="4">
        <v>20</v>
      </c>
      <c r="E120" s="4">
        <v>18.25</v>
      </c>
      <c r="F120" s="5">
        <f>SUM(F79,I79,K79)</f>
        <v>8</v>
      </c>
      <c r="G120" s="14">
        <v>91.25</v>
      </c>
      <c r="H120" s="5">
        <f>SUM(H79)</f>
        <v>0</v>
      </c>
      <c r="I120" s="5">
        <f t="shared" si="12"/>
        <v>0</v>
      </c>
      <c r="J120" s="4" t="s">
        <v>5531</v>
      </c>
      <c r="K120" s="5">
        <f>SUM(K79)</f>
        <v>0</v>
      </c>
      <c r="L120" s="10">
        <f>IF($B$2="-",0,IFERROR(INDEX(IF($B$2="SV",'Projekt-Budget-Übersicht'!$H:$H,IF($B$2="CAD",'Projekt-Budget-Übersicht'!$I:$I,IF($B$2="ADM",'Projekt-Budget-Übersicht'!$J:$J,'Projekt-Budget-Übersicht'!$H:$H))),MATCH(644,'Projekt-Budget-Übersicht'!$L:$L,0)),0))</f>
        <v>0</v>
      </c>
      <c r="M120" s="10">
        <f t="shared" si="13"/>
        <v>0</v>
      </c>
      <c r="N120" s="10">
        <f t="shared" si="14"/>
        <v>0</v>
      </c>
      <c r="O120" s="10">
        <f t="shared" si="15"/>
        <v>0</v>
      </c>
      <c r="P120" s="10">
        <f>'T. Trautmann'!M120</f>
        <v>0</v>
      </c>
      <c r="Q120" s="10">
        <f>IFERROR(INDEX('Projekt-Budget-Übersicht'!$E:$E,MATCH(644,'Projekt-Budget-Übersicht'!$L:$L,0)),0)</f>
        <v>0</v>
      </c>
      <c r="R120" s="10">
        <v>1556.65</v>
      </c>
      <c r="S120" s="4"/>
      <c r="T120" s="4"/>
      <c r="U120" s="4"/>
    </row>
    <row r="121" spans="1:21" x14ac:dyDescent="0.25">
      <c r="A121" s="4" t="s">
        <v>652</v>
      </c>
      <c r="B121" s="4" t="s">
        <v>5487</v>
      </c>
      <c r="C121" s="4" t="str">
        <f>IFERROR(INDEX('Projekt-Budget-Übersicht'!$C:$C,MATCH(659,'Projekt-Budget-Übersicht'!$L:$L,0)),"")</f>
        <v/>
      </c>
      <c r="D121" s="4">
        <v>40</v>
      </c>
      <c r="E121" s="4">
        <v>13.5</v>
      </c>
      <c r="F121" s="5">
        <f>SUM(F11,I11,K11)</f>
        <v>5</v>
      </c>
      <c r="G121" s="16">
        <v>33.75</v>
      </c>
      <c r="H121" s="5">
        <f>SUM(H11)</f>
        <v>0</v>
      </c>
      <c r="I121" s="5">
        <f t="shared" si="12"/>
        <v>0</v>
      </c>
      <c r="J121" s="4" t="s">
        <v>5531</v>
      </c>
      <c r="K121" s="5">
        <f>SUM(K11)</f>
        <v>0</v>
      </c>
      <c r="L121" s="10">
        <f>IF($B$2="-",0,IFERROR(INDEX(IF($B$2="SV",'Projekt-Budget-Übersicht'!$H:$H,IF($B$2="CAD",'Projekt-Budget-Übersicht'!$I:$I,IF($B$2="ADM",'Projekt-Budget-Übersicht'!$J:$J,'Projekt-Budget-Übersicht'!$H:$H))),MATCH(659,'Projekt-Budget-Übersicht'!$L:$L,0)),0))</f>
        <v>0</v>
      </c>
      <c r="M121" s="10">
        <f t="shared" si="13"/>
        <v>0</v>
      </c>
      <c r="N121" s="10">
        <f t="shared" si="14"/>
        <v>0</v>
      </c>
      <c r="O121" s="10">
        <f t="shared" si="15"/>
        <v>0</v>
      </c>
      <c r="P121" s="10">
        <f>'T. Trautmann'!M121</f>
        <v>0</v>
      </c>
      <c r="Q121" s="10">
        <f>IFERROR(INDEX('Projekt-Budget-Übersicht'!$E:$E,MATCH(659,'Projekt-Budget-Übersicht'!$L:$L,0)),0)</f>
        <v>0</v>
      </c>
      <c r="R121" s="10">
        <v>1215</v>
      </c>
      <c r="S121" s="4"/>
      <c r="T121" s="4"/>
      <c r="U121" s="4"/>
    </row>
    <row r="122" spans="1:21" x14ac:dyDescent="0.25">
      <c r="A122" s="4" t="s">
        <v>765</v>
      </c>
      <c r="B122" s="4" t="s">
        <v>5689</v>
      </c>
      <c r="C122" s="4" t="str">
        <f>IFERROR(INDEX('Projekt-Budget-Übersicht'!$C:$C,MATCH(774,'Projekt-Budget-Übersicht'!$L:$L,0)),"")</f>
        <v/>
      </c>
      <c r="D122" s="4">
        <v>70</v>
      </c>
      <c r="E122" s="4">
        <v>38.75</v>
      </c>
      <c r="F122" s="5">
        <f>SUM(F35,I35,K35)</f>
        <v>4.75</v>
      </c>
      <c r="G122" s="16">
        <v>55.36</v>
      </c>
      <c r="H122" s="5">
        <f>SUM(H35)</f>
        <v>0</v>
      </c>
      <c r="I122" s="5">
        <f t="shared" si="12"/>
        <v>0</v>
      </c>
      <c r="J122" s="4" t="s">
        <v>5531</v>
      </c>
      <c r="K122" s="5">
        <f>SUM(K35)</f>
        <v>0</v>
      </c>
      <c r="L122" s="10">
        <f>IF($B$2="-",0,IFERROR(INDEX(IF($B$2="SV",'Projekt-Budget-Übersicht'!$H:$H,IF($B$2="CAD",'Projekt-Budget-Übersicht'!$I:$I,IF($B$2="ADM",'Projekt-Budget-Übersicht'!$J:$J,'Projekt-Budget-Übersicht'!$H:$H))),MATCH(774,'Projekt-Budget-Übersicht'!$L:$L,0)),0))</f>
        <v>0</v>
      </c>
      <c r="M122" s="10">
        <f t="shared" si="13"/>
        <v>0</v>
      </c>
      <c r="N122" s="10">
        <f t="shared" si="14"/>
        <v>0</v>
      </c>
      <c r="O122" s="10">
        <f t="shared" si="15"/>
        <v>0</v>
      </c>
      <c r="P122" s="10">
        <f>'T. Trautmann'!M122</f>
        <v>0</v>
      </c>
      <c r="Q122" s="10">
        <f>IFERROR(INDEX('Projekt-Budget-Übersicht'!$E:$E,MATCH(774,'Projekt-Budget-Übersicht'!$L:$L,0)),0)</f>
        <v>0</v>
      </c>
      <c r="R122" s="10">
        <v>3487.5</v>
      </c>
      <c r="S122" s="4"/>
      <c r="T122" s="4"/>
      <c r="U122" s="4"/>
    </row>
    <row r="123" spans="1:21" x14ac:dyDescent="0.25">
      <c r="A123" s="4" t="s">
        <v>767</v>
      </c>
      <c r="B123" s="4" t="s">
        <v>5690</v>
      </c>
      <c r="C123" s="4" t="str">
        <f>IFERROR(INDEX('Projekt-Budget-Übersicht'!$C:$C,MATCH(775,'Projekt-Budget-Übersicht'!$L:$L,0)),"")</f>
        <v/>
      </c>
      <c r="D123" s="4">
        <v>8</v>
      </c>
      <c r="E123" s="4">
        <v>5.75</v>
      </c>
      <c r="F123" s="5">
        <f>SUM(F36,I36,K36)</f>
        <v>1</v>
      </c>
      <c r="G123" s="16">
        <v>71.88</v>
      </c>
      <c r="H123" s="5">
        <f>SUM(H36)</f>
        <v>0</v>
      </c>
      <c r="I123" s="5">
        <f t="shared" si="12"/>
        <v>0</v>
      </c>
      <c r="J123" s="4" t="s">
        <v>5531</v>
      </c>
      <c r="K123" s="5">
        <f>SUM(K36)</f>
        <v>0</v>
      </c>
      <c r="L123" s="10">
        <f>IF($B$2="-",0,IFERROR(INDEX(IF($B$2="SV",'Projekt-Budget-Übersicht'!$H:$H,IF($B$2="CAD",'Projekt-Budget-Übersicht'!$I:$I,IF($B$2="ADM",'Projekt-Budget-Übersicht'!$J:$J,'Projekt-Budget-Übersicht'!$H:$H))),MATCH(775,'Projekt-Budget-Übersicht'!$L:$L,0)),0))</f>
        <v>0</v>
      </c>
      <c r="M123" s="10">
        <f t="shared" si="13"/>
        <v>0</v>
      </c>
      <c r="N123" s="10">
        <f t="shared" si="14"/>
        <v>0</v>
      </c>
      <c r="O123" s="10">
        <f t="shared" si="15"/>
        <v>0</v>
      </c>
      <c r="P123" s="10">
        <f>'T. Trautmann'!M123</f>
        <v>0</v>
      </c>
      <c r="Q123" s="10">
        <f>IFERROR(INDEX('Projekt-Budget-Übersicht'!$E:$E,MATCH(775,'Projekt-Budget-Übersicht'!$L:$L,0)),0)</f>
        <v>0</v>
      </c>
      <c r="R123" s="10">
        <v>517.5</v>
      </c>
      <c r="S123" s="4"/>
      <c r="T123" s="4"/>
      <c r="U123" s="4"/>
    </row>
    <row r="124" spans="1:21" x14ac:dyDescent="0.25">
      <c r="A124" s="4" t="s">
        <v>770</v>
      </c>
      <c r="B124" s="4" t="s">
        <v>5459</v>
      </c>
      <c r="C124" s="4" t="str">
        <f>IFERROR(INDEX('Projekt-Budget-Übersicht'!$C:$C,MATCH(777,'Projekt-Budget-Übersicht'!$L:$L,0)),"")</f>
        <v/>
      </c>
      <c r="D124" s="4">
        <v>20</v>
      </c>
      <c r="E124" s="4">
        <v>26</v>
      </c>
      <c r="F124" s="5">
        <f>SUM(F80,I80,K80)</f>
        <v>1</v>
      </c>
      <c r="G124" s="15">
        <v>130</v>
      </c>
      <c r="H124" s="5">
        <f>SUM(H80)</f>
        <v>0</v>
      </c>
      <c r="I124" s="5">
        <f t="shared" si="12"/>
        <v>0</v>
      </c>
      <c r="J124" s="4" t="s">
        <v>5531</v>
      </c>
      <c r="K124" s="5">
        <f>SUM(K80)</f>
        <v>0</v>
      </c>
      <c r="L124" s="10">
        <f>IF($B$2="-",0,IFERROR(INDEX(IF($B$2="SV",'Projekt-Budget-Übersicht'!$H:$H,IF($B$2="CAD",'Projekt-Budget-Übersicht'!$I:$I,IF($B$2="ADM",'Projekt-Budget-Übersicht'!$J:$J,'Projekt-Budget-Übersicht'!$H:$H))),MATCH(777,'Projekt-Budget-Übersicht'!$L:$L,0)),0))</f>
        <v>0</v>
      </c>
      <c r="M124" s="10">
        <f t="shared" si="13"/>
        <v>0</v>
      </c>
      <c r="N124" s="10">
        <f t="shared" si="14"/>
        <v>0</v>
      </c>
      <c r="O124" s="10">
        <f t="shared" si="15"/>
        <v>0</v>
      </c>
      <c r="P124" s="10">
        <f>'M. Bandlofsky'!M86+'T. Trautmann'!M124</f>
        <v>0</v>
      </c>
      <c r="Q124" s="10">
        <f>IFERROR(INDEX('Projekt-Budget-Übersicht'!$E:$E,MATCH(777,'Projekt-Budget-Übersicht'!$L:$L,0)),0)</f>
        <v>0</v>
      </c>
      <c r="R124" s="10">
        <v>219.15</v>
      </c>
      <c r="S124" s="4"/>
      <c r="T124" s="4"/>
      <c r="U124" s="4"/>
    </row>
    <row r="125" spans="1:21" x14ac:dyDescent="0.25">
      <c r="A125" s="4" t="s">
        <v>835</v>
      </c>
      <c r="B125" s="4" t="s">
        <v>5687</v>
      </c>
      <c r="C125" s="4" t="str">
        <f>IFERROR(INDEX('Projekt-Budget-Übersicht'!$C:$C,MATCH(863,'Projekt-Budget-Übersicht'!$L:$L,0)),"")</f>
        <v/>
      </c>
      <c r="D125" s="4">
        <v>141</v>
      </c>
      <c r="E125" s="4">
        <v>30.25</v>
      </c>
      <c r="F125" s="5">
        <f>SUM(F12,F37,F81,I12,I37,I81,K12,K37,K81)</f>
        <v>6</v>
      </c>
      <c r="G125" s="16">
        <v>21.45</v>
      </c>
      <c r="H125" s="5">
        <f>SUM(H12,H37,H81)</f>
        <v>0</v>
      </c>
      <c r="I125" s="5">
        <f t="shared" si="12"/>
        <v>0</v>
      </c>
      <c r="J125" s="4" t="s">
        <v>5531</v>
      </c>
      <c r="K125" s="5">
        <f>SUM(K12,K37,K81)</f>
        <v>0</v>
      </c>
      <c r="L125" s="10">
        <f>IF($B$2="-",0,IFERROR(INDEX(IF($B$2="SV",'Projekt-Budget-Übersicht'!$H:$H,IF($B$2="CAD",'Projekt-Budget-Übersicht'!$I:$I,IF($B$2="ADM",'Projekt-Budget-Übersicht'!$J:$J,'Projekt-Budget-Übersicht'!$H:$H))),MATCH(863,'Projekt-Budget-Übersicht'!$L:$L,0)),0))</f>
        <v>0</v>
      </c>
      <c r="M125" s="10">
        <f t="shared" si="13"/>
        <v>0</v>
      </c>
      <c r="N125" s="10">
        <f t="shared" si="14"/>
        <v>0</v>
      </c>
      <c r="O125" s="10">
        <f t="shared" si="15"/>
        <v>0</v>
      </c>
      <c r="P125" s="10">
        <f>'T. Trautmann'!M125</f>
        <v>0</v>
      </c>
      <c r="Q125" s="10">
        <f>IFERROR(INDEX('Projekt-Budget-Übersicht'!$E:$E,MATCH(863,'Projekt-Budget-Übersicht'!$L:$L,0)),0)</f>
        <v>0</v>
      </c>
      <c r="R125" s="10">
        <v>9188.2900000000009</v>
      </c>
      <c r="S125" s="4"/>
      <c r="T125" s="4"/>
      <c r="U125" s="4"/>
    </row>
    <row r="126" spans="1:21" x14ac:dyDescent="0.25">
      <c r="A126" s="4" t="s">
        <v>1367</v>
      </c>
      <c r="B126" s="4" t="s">
        <v>5599</v>
      </c>
      <c r="C126" s="4" t="str">
        <f>IFERROR(INDEX('Projekt-Budget-Übersicht'!$C:$C,MATCH(1479,'Projekt-Budget-Übersicht'!$L:$L,0)),"")</f>
        <v/>
      </c>
      <c r="D126" s="4">
        <v>28</v>
      </c>
      <c r="E126" s="4">
        <v>41.5</v>
      </c>
      <c r="F126" s="5">
        <f>SUM(F82,I82,K82)</f>
        <v>4.25</v>
      </c>
      <c r="G126" s="15">
        <v>148.21</v>
      </c>
      <c r="H126" s="5">
        <f>SUM(H82)</f>
        <v>0</v>
      </c>
      <c r="I126" s="5">
        <f t="shared" si="12"/>
        <v>0</v>
      </c>
      <c r="J126" s="4" t="s">
        <v>5531</v>
      </c>
      <c r="K126" s="5">
        <f>SUM(K82)</f>
        <v>0</v>
      </c>
      <c r="L126" s="10">
        <f>IF($B$2="-",0,IFERROR(INDEX(IF($B$2="SV",'Projekt-Budget-Übersicht'!$H:$H,IF($B$2="CAD",'Projekt-Budget-Übersicht'!$I:$I,IF($B$2="ADM",'Projekt-Budget-Übersicht'!$J:$J,'Projekt-Budget-Übersicht'!$H:$H))),MATCH(1479,'Projekt-Budget-Übersicht'!$L:$L,0)),0))</f>
        <v>0</v>
      </c>
      <c r="M126" s="10">
        <f t="shared" si="13"/>
        <v>0</v>
      </c>
      <c r="N126" s="10">
        <f t="shared" si="14"/>
        <v>0</v>
      </c>
      <c r="O126" s="10">
        <f t="shared" si="15"/>
        <v>0</v>
      </c>
      <c r="P126" s="10">
        <f>'M. Bandlofsky'!M88+'T. Trautmann'!M126</f>
        <v>0</v>
      </c>
      <c r="Q126" s="10">
        <f>IFERROR(INDEX('Projekt-Budget-Übersicht'!$E:$E,MATCH(1479,'Projekt-Budget-Übersicht'!$L:$L,0)),0)</f>
        <v>0</v>
      </c>
      <c r="R126" s="10">
        <v>1355.79</v>
      </c>
      <c r="S126" s="4"/>
      <c r="T126" s="4"/>
      <c r="U126" s="4"/>
    </row>
    <row r="127" spans="1:21" x14ac:dyDescent="0.25">
      <c r="A127" s="4" t="s">
        <v>1427</v>
      </c>
      <c r="B127" s="4" t="s">
        <v>5540</v>
      </c>
      <c r="C127" s="4" t="str">
        <f>IFERROR(INDEX('Projekt-Budget-Übersicht'!$C:$C,MATCH(1572,'Projekt-Budget-Übersicht'!$L:$L,0)),"")</f>
        <v/>
      </c>
      <c r="D127" s="4">
        <v>180</v>
      </c>
      <c r="E127" s="4">
        <v>162</v>
      </c>
      <c r="F127" s="5">
        <f>SUM(F13,F38,F83,I13,I38,I83,K13,K38,K83)</f>
        <v>19.75</v>
      </c>
      <c r="G127" s="14">
        <v>90</v>
      </c>
      <c r="H127" s="5">
        <f>SUM(H13,H38,H83)</f>
        <v>0</v>
      </c>
      <c r="I127" s="5">
        <f t="shared" si="12"/>
        <v>0</v>
      </c>
      <c r="J127" s="4" t="s">
        <v>5531</v>
      </c>
      <c r="K127" s="5">
        <f>SUM(K13,K38,K83)</f>
        <v>0</v>
      </c>
      <c r="L127" s="10">
        <f>IF($B$2="-",0,IFERROR(INDEX(IF($B$2="SV",'Projekt-Budget-Übersicht'!$H:$H,IF($B$2="CAD",'Projekt-Budget-Übersicht'!$I:$I,IF($B$2="ADM",'Projekt-Budget-Übersicht'!$J:$J,'Projekt-Budget-Übersicht'!$H:$H))),MATCH(1572,'Projekt-Budget-Übersicht'!$L:$L,0)),0))</f>
        <v>0</v>
      </c>
      <c r="M127" s="10">
        <f t="shared" si="13"/>
        <v>0</v>
      </c>
      <c r="N127" s="10">
        <f t="shared" si="14"/>
        <v>0</v>
      </c>
      <c r="O127" s="10">
        <f t="shared" si="15"/>
        <v>0</v>
      </c>
      <c r="P127" s="10">
        <f>'T. Trautmann'!M127</f>
        <v>0</v>
      </c>
      <c r="Q127" s="10">
        <f>IFERROR(INDEX('Projekt-Budget-Übersicht'!$E:$E,MATCH(1572,'Projekt-Budget-Übersicht'!$L:$L,0)),0)</f>
        <v>0</v>
      </c>
      <c r="R127" s="10">
        <v>14566.25</v>
      </c>
      <c r="S127" s="4"/>
      <c r="T127" s="4"/>
      <c r="U127" s="4"/>
    </row>
    <row r="128" spans="1:21" x14ac:dyDescent="0.25">
      <c r="A128" s="21" t="s">
        <v>1429</v>
      </c>
      <c r="B128" s="4" t="s">
        <v>5516</v>
      </c>
      <c r="C128" s="4" t="str">
        <f>IFERROR(INDEX('Projekt-Budget-Übersicht'!$C:$C,MATCH(1573,'Projekt-Budget-Übersicht'!$L:$L,0)),"")</f>
        <v/>
      </c>
      <c r="D128" s="4">
        <v>71</v>
      </c>
      <c r="E128" s="4">
        <v>116.25</v>
      </c>
      <c r="F128" s="5">
        <f>SUM(F39,F84,I39,I84,K39,K84)</f>
        <v>3.75</v>
      </c>
      <c r="G128" s="15">
        <v>163.72999999999999</v>
      </c>
      <c r="H128" s="5">
        <f>SUM(H39,H84)</f>
        <v>0</v>
      </c>
      <c r="I128" s="5">
        <f t="shared" si="12"/>
        <v>0</v>
      </c>
      <c r="J128" s="4" t="s">
        <v>5531</v>
      </c>
      <c r="K128" s="5">
        <f>SUM(K39,K84)</f>
        <v>0</v>
      </c>
      <c r="L128" s="10">
        <f>IF($B$2="-",0,IFERROR(INDEX(IF($B$2="SV",'Projekt-Budget-Übersicht'!$H:$H,IF($B$2="CAD",'Projekt-Budget-Übersicht'!$I:$I,IF($B$2="ADM",'Projekt-Budget-Übersicht'!$J:$J,'Projekt-Budget-Übersicht'!$H:$H))),MATCH(1573,'Projekt-Budget-Übersicht'!$L:$L,0)),0))</f>
        <v>0</v>
      </c>
      <c r="M128" s="10">
        <f t="shared" si="13"/>
        <v>0</v>
      </c>
      <c r="N128" s="10">
        <f t="shared" si="14"/>
        <v>0</v>
      </c>
      <c r="O128" s="10">
        <f t="shared" si="15"/>
        <v>0</v>
      </c>
      <c r="P128" s="10">
        <f>'T. Trautmann'!M128</f>
        <v>0</v>
      </c>
      <c r="Q128" s="10">
        <f>IFERROR(INDEX('Projekt-Budget-Übersicht'!$E:$E,MATCH(1573,'Projekt-Budget-Übersicht'!$L:$L,0)),0)</f>
        <v>0</v>
      </c>
      <c r="R128" s="10">
        <v>26345</v>
      </c>
      <c r="S128" s="4"/>
      <c r="T128" s="4"/>
      <c r="U128" s="4"/>
    </row>
    <row r="129" spans="1:21" x14ac:dyDescent="0.25">
      <c r="A129" s="22"/>
      <c r="B129" s="4" t="s">
        <v>5504</v>
      </c>
      <c r="C129" s="4" t="str">
        <f>IFERROR(INDEX('Projekt-Budget-Übersicht'!$C:$C,MATCH(1573,'Projekt-Budget-Übersicht'!$L:$L,0)),"")</f>
        <v/>
      </c>
      <c r="D129" s="4">
        <v>85</v>
      </c>
      <c r="E129" s="4">
        <v>58</v>
      </c>
      <c r="F129" s="5">
        <f>SUM(F14,F40,F85,I14,I40,I85,K14,K40,K85)</f>
        <v>19.5</v>
      </c>
      <c r="G129" s="16">
        <v>68.239999999999995</v>
      </c>
      <c r="H129" s="5">
        <f>SUM(H14,H40,H85)</f>
        <v>0</v>
      </c>
      <c r="I129" s="5">
        <f t="shared" si="12"/>
        <v>0</v>
      </c>
      <c r="J129" s="4" t="s">
        <v>5531</v>
      </c>
      <c r="K129" s="5">
        <f>SUM(K14,K40,K85)</f>
        <v>0</v>
      </c>
      <c r="L129" s="10">
        <f>IF($B$2="-",0,IFERROR(INDEX(IF($B$2="SV",'Projekt-Budget-Übersicht'!$H:$H,IF($B$2="CAD",'Projekt-Budget-Übersicht'!$I:$I,IF($B$2="ADM",'Projekt-Budget-Übersicht'!$J:$J,'Projekt-Budget-Übersicht'!$H:$H))),MATCH(1573,'Projekt-Budget-Übersicht'!$L:$L,0)),0))</f>
        <v>0</v>
      </c>
      <c r="M129" s="10">
        <f t="shared" si="13"/>
        <v>0</v>
      </c>
      <c r="N129" s="10">
        <f t="shared" si="14"/>
        <v>0</v>
      </c>
      <c r="O129" s="10">
        <f t="shared" si="15"/>
        <v>0</v>
      </c>
      <c r="P129" s="10">
        <f>'O. Haag BS-CAD'!M156+'T. Trautmann'!M129</f>
        <v>0</v>
      </c>
      <c r="Q129" s="10">
        <f>IFERROR(INDEX('Projekt-Budget-Übersicht'!$E:$E,MATCH(1573,'Projekt-Budget-Übersicht'!$L:$L,0)),0)</f>
        <v>0</v>
      </c>
      <c r="R129" s="10">
        <v>26345</v>
      </c>
      <c r="S129" s="4"/>
      <c r="T129" s="4"/>
      <c r="U129" s="4"/>
    </row>
    <row r="130" spans="1:21" x14ac:dyDescent="0.25">
      <c r="A130" s="4" t="s">
        <v>1562</v>
      </c>
      <c r="B130" s="4" t="s">
        <v>5501</v>
      </c>
      <c r="C130" s="4" t="str">
        <f>IFERROR(INDEX('Projekt-Budget-Übersicht'!$C:$C,MATCH(1764,'Projekt-Budget-Übersicht'!$L:$L,0)),"")</f>
        <v/>
      </c>
      <c r="D130" s="4">
        <v>16</v>
      </c>
      <c r="E130" s="4">
        <v>18</v>
      </c>
      <c r="F130" s="5">
        <f>SUM(F41,I41,K41)</f>
        <v>0.5</v>
      </c>
      <c r="G130" s="15">
        <v>112.5</v>
      </c>
      <c r="H130" s="5">
        <f>SUM(H41)</f>
        <v>0</v>
      </c>
      <c r="I130" s="5">
        <f t="shared" si="12"/>
        <v>0</v>
      </c>
      <c r="J130" s="4" t="s">
        <v>5531</v>
      </c>
      <c r="K130" s="5">
        <f>SUM(K41)</f>
        <v>0</v>
      </c>
      <c r="L130" s="10">
        <f>IF($B$2="-",0,IFERROR(INDEX(IF($B$2="SV",'Projekt-Budget-Übersicht'!$H:$H,IF($B$2="CAD",'Projekt-Budget-Übersicht'!$I:$I,IF($B$2="ADM",'Projekt-Budget-Übersicht'!$J:$J,'Projekt-Budget-Übersicht'!$H:$H))),MATCH(1764,'Projekt-Budget-Übersicht'!$L:$L,0)),0))</f>
        <v>0</v>
      </c>
      <c r="M130" s="10">
        <f t="shared" si="13"/>
        <v>0</v>
      </c>
      <c r="N130" s="10">
        <f t="shared" si="14"/>
        <v>0</v>
      </c>
      <c r="O130" s="10">
        <f t="shared" si="15"/>
        <v>0</v>
      </c>
      <c r="P130" s="10">
        <f>'A. Kokott'!M154+'J. Dorn'!M127+'T. Trautmann'!M130</f>
        <v>0</v>
      </c>
      <c r="Q130" s="10">
        <f>IFERROR(INDEX('Projekt-Budget-Übersicht'!$E:$E,MATCH(1764,'Projekt-Budget-Übersicht'!$L:$L,0)),0)</f>
        <v>0</v>
      </c>
      <c r="R130" s="10">
        <v>1574.15</v>
      </c>
      <c r="S130" s="4"/>
      <c r="T130" s="4"/>
      <c r="U130" s="4"/>
    </row>
    <row r="131" spans="1:21" x14ac:dyDescent="0.25">
      <c r="A131" s="4" t="s">
        <v>1564</v>
      </c>
      <c r="B131" s="4" t="s">
        <v>5515</v>
      </c>
      <c r="C131" s="4" t="str">
        <f>IFERROR(INDEX('Projekt-Budget-Übersicht'!$C:$C,MATCH(1765,'Projekt-Budget-Übersicht'!$L:$L,0)),"")</f>
        <v/>
      </c>
      <c r="D131" s="4">
        <v>30</v>
      </c>
      <c r="E131" s="4">
        <v>12.75</v>
      </c>
      <c r="F131" s="5">
        <f>SUM(F42,I42,K42)</f>
        <v>0.75</v>
      </c>
      <c r="G131" s="16">
        <v>42.5</v>
      </c>
      <c r="H131" s="5">
        <f>SUM(H42)</f>
        <v>0</v>
      </c>
      <c r="I131" s="5">
        <f t="shared" si="12"/>
        <v>0</v>
      </c>
      <c r="J131" s="4" t="s">
        <v>5531</v>
      </c>
      <c r="K131" s="5">
        <f>SUM(K42)</f>
        <v>0</v>
      </c>
      <c r="L131" s="10">
        <f>IF($B$2="-",0,IFERROR(INDEX(IF($B$2="SV",'Projekt-Budget-Übersicht'!$H:$H,IF($B$2="CAD",'Projekt-Budget-Übersicht'!$I:$I,IF($B$2="ADM",'Projekt-Budget-Übersicht'!$J:$J,'Projekt-Budget-Übersicht'!$H:$H))),MATCH(1765,'Projekt-Budget-Übersicht'!$L:$L,0)),0))</f>
        <v>0</v>
      </c>
      <c r="M131" s="10">
        <f t="shared" si="13"/>
        <v>0</v>
      </c>
      <c r="N131" s="10">
        <f t="shared" si="14"/>
        <v>0</v>
      </c>
      <c r="O131" s="10">
        <f t="shared" si="15"/>
        <v>0</v>
      </c>
      <c r="P131" s="10">
        <f>'A. Kokott'!M155+'J. Dorn'!M128+'T. Trautmann'!M131</f>
        <v>0</v>
      </c>
      <c r="Q131" s="10">
        <f>IFERROR(INDEX('Projekt-Budget-Übersicht'!$E:$E,MATCH(1765,'Projekt-Budget-Übersicht'!$L:$L,0)),0)</f>
        <v>0</v>
      </c>
      <c r="R131" s="10">
        <v>1133.75</v>
      </c>
      <c r="S131" s="4"/>
      <c r="T131" s="4"/>
      <c r="U131" s="4"/>
    </row>
    <row r="132" spans="1:21" x14ac:dyDescent="0.25">
      <c r="A132" s="4" t="s">
        <v>1638</v>
      </c>
      <c r="B132" s="4" t="s">
        <v>5544</v>
      </c>
      <c r="C132" s="4" t="str">
        <f>IFERROR(INDEX('Projekt-Budget-Übersicht'!$C:$C,MATCH(1847,'Projekt-Budget-Übersicht'!$L:$L,0)),"")</f>
        <v/>
      </c>
      <c r="D132" s="4">
        <v>283</v>
      </c>
      <c r="E132" s="4">
        <v>249.5</v>
      </c>
      <c r="F132" s="5">
        <f>SUM(F15,F43,F86,I15,I43,I86,K15,K43,K86)</f>
        <v>24.25</v>
      </c>
      <c r="G132" s="16">
        <v>88.16</v>
      </c>
      <c r="H132" s="5">
        <f>SUM(H15,H43,H86)</f>
        <v>0</v>
      </c>
      <c r="I132" s="5">
        <f t="shared" si="12"/>
        <v>0</v>
      </c>
      <c r="J132" s="4" t="s">
        <v>5531</v>
      </c>
      <c r="K132" s="5">
        <f>SUM(K15,K43,K86)</f>
        <v>0</v>
      </c>
      <c r="L132" s="10">
        <f>IF($B$2="-",0,IFERROR(INDEX(IF($B$2="SV",'Projekt-Budget-Übersicht'!$H:$H,IF($B$2="CAD",'Projekt-Budget-Übersicht'!$I:$I,IF($B$2="ADM",'Projekt-Budget-Übersicht'!$J:$J,'Projekt-Budget-Übersicht'!$H:$H))),MATCH(1847,'Projekt-Budget-Übersicht'!$L:$L,0)),0))</f>
        <v>0</v>
      </c>
      <c r="M132" s="10">
        <f t="shared" si="13"/>
        <v>0</v>
      </c>
      <c r="N132" s="10">
        <f t="shared" si="14"/>
        <v>0</v>
      </c>
      <c r="O132" s="10">
        <f t="shared" si="15"/>
        <v>0</v>
      </c>
      <c r="P132" s="10">
        <f>'M. Bandlofsky CAD'!M33+'T. Trautmann'!M132</f>
        <v>0</v>
      </c>
      <c r="Q132" s="10">
        <f>IFERROR(INDEX('Projekt-Budget-Übersicht'!$E:$E,MATCH(1847,'Projekt-Budget-Übersicht'!$L:$L,0)),0)</f>
        <v>0</v>
      </c>
      <c r="R132" s="10">
        <v>10673.29</v>
      </c>
      <c r="S132" s="4"/>
      <c r="T132" s="4"/>
      <c r="U132" s="4"/>
    </row>
    <row r="133" spans="1:21" x14ac:dyDescent="0.25">
      <c r="A133" s="4" t="s">
        <v>1642</v>
      </c>
      <c r="B133" s="4" t="s">
        <v>5691</v>
      </c>
      <c r="C133" s="4" t="str">
        <f>IFERROR(INDEX('Projekt-Budget-Übersicht'!$C:$C,MATCH(1850,'Projekt-Budget-Übersicht'!$L:$L,0)),"")</f>
        <v/>
      </c>
      <c r="D133" s="4">
        <v>8</v>
      </c>
      <c r="E133" s="4">
        <v>8.5</v>
      </c>
      <c r="F133" s="5">
        <f>SUM(F44,I44,K44)</f>
        <v>7.25</v>
      </c>
      <c r="G133" s="15">
        <v>106.25</v>
      </c>
      <c r="H133" s="5">
        <f>SUM(H44)</f>
        <v>0</v>
      </c>
      <c r="I133" s="5">
        <f t="shared" si="12"/>
        <v>0</v>
      </c>
      <c r="J133" s="4" t="s">
        <v>5531</v>
      </c>
      <c r="K133" s="5">
        <f>SUM(K44)</f>
        <v>0</v>
      </c>
      <c r="L133" s="10">
        <f>IF($B$2="-",0,IFERROR(INDEX(IF($B$2="SV",'Projekt-Budget-Übersicht'!$H:$H,IF($B$2="CAD",'Projekt-Budget-Übersicht'!$I:$I,IF($B$2="ADM",'Projekt-Budget-Übersicht'!$J:$J,'Projekt-Budget-Übersicht'!$H:$H))),MATCH(1850,'Projekt-Budget-Übersicht'!$L:$L,0)),0))</f>
        <v>0</v>
      </c>
      <c r="M133" s="10">
        <f t="shared" si="13"/>
        <v>0</v>
      </c>
      <c r="N133" s="10">
        <f t="shared" si="14"/>
        <v>0</v>
      </c>
      <c r="O133" s="10">
        <f t="shared" si="15"/>
        <v>0</v>
      </c>
      <c r="P133" s="10">
        <f>'T. Trautmann'!M133</f>
        <v>0</v>
      </c>
      <c r="Q133" s="10">
        <f>IFERROR(INDEX('Projekt-Budget-Übersicht'!$E:$E,MATCH(1850,'Projekt-Budget-Übersicht'!$L:$L,0)),0)</f>
        <v>0</v>
      </c>
      <c r="R133" s="10">
        <v>990</v>
      </c>
      <c r="S133" s="4"/>
      <c r="T133" s="4"/>
      <c r="U133" s="4"/>
    </row>
    <row r="134" spans="1:21" x14ac:dyDescent="0.25">
      <c r="A134" s="4" t="s">
        <v>1692</v>
      </c>
      <c r="B134" s="4" t="s">
        <v>5692</v>
      </c>
      <c r="C134" s="4" t="str">
        <f>IFERROR(INDEX('Projekt-Budget-Übersicht'!$C:$C,MATCH(1909,'Projekt-Budget-Übersicht'!$L:$L,0)),"")</f>
        <v/>
      </c>
      <c r="D134" s="4">
        <v>94</v>
      </c>
      <c r="E134" s="4">
        <v>28.5</v>
      </c>
      <c r="F134" s="5">
        <f>SUM(F45,I45,K45)</f>
        <v>0.5</v>
      </c>
      <c r="G134" s="16">
        <v>30.32</v>
      </c>
      <c r="H134" s="5">
        <f>SUM(H45)</f>
        <v>0</v>
      </c>
      <c r="I134" s="5">
        <f t="shared" si="12"/>
        <v>0</v>
      </c>
      <c r="J134" s="4" t="s">
        <v>5531</v>
      </c>
      <c r="K134" s="5">
        <f>SUM(K45)</f>
        <v>0</v>
      </c>
      <c r="L134" s="10">
        <f>IF($B$2="-",0,IFERROR(INDEX(IF($B$2="SV",'Projekt-Budget-Übersicht'!$H:$H,IF($B$2="CAD",'Projekt-Budget-Übersicht'!$I:$I,IF($B$2="ADM",'Projekt-Budget-Übersicht'!$J:$J,'Projekt-Budget-Übersicht'!$H:$H))),MATCH(1909,'Projekt-Budget-Übersicht'!$L:$L,0)),0))</f>
        <v>0</v>
      </c>
      <c r="M134" s="10">
        <f t="shared" si="13"/>
        <v>0</v>
      </c>
      <c r="N134" s="10">
        <f t="shared" si="14"/>
        <v>0</v>
      </c>
      <c r="O134" s="10">
        <f t="shared" si="15"/>
        <v>0</v>
      </c>
      <c r="P134" s="10">
        <f>'T. Trautmann'!M134</f>
        <v>0</v>
      </c>
      <c r="Q134" s="10">
        <f>IFERROR(INDEX('Projekt-Budget-Übersicht'!$E:$E,MATCH(1909,'Projekt-Budget-Übersicht'!$L:$L,0)),0)</f>
        <v>0</v>
      </c>
      <c r="R134" s="10">
        <v>2475</v>
      </c>
      <c r="S134" s="4"/>
      <c r="T134" s="4"/>
      <c r="U134" s="4"/>
    </row>
    <row r="135" spans="1:21" x14ac:dyDescent="0.25">
      <c r="A135" s="4" t="s">
        <v>1762</v>
      </c>
      <c r="B135" s="4" t="s">
        <v>5485</v>
      </c>
      <c r="C135" s="4" t="str">
        <f>IFERROR(INDEX('Projekt-Budget-Übersicht'!$C:$C,MATCH(1988,'Projekt-Budget-Übersicht'!$L:$L,0)),"")</f>
        <v/>
      </c>
      <c r="D135" s="4">
        <v>20</v>
      </c>
      <c r="E135" s="4">
        <v>19.5</v>
      </c>
      <c r="F135" s="5">
        <f>SUM(F16,F46,I16,I46,K16,K46)</f>
        <v>17.25</v>
      </c>
      <c r="G135" s="14">
        <v>97.5</v>
      </c>
      <c r="H135" s="5">
        <f>SUM(H16,H46)</f>
        <v>0</v>
      </c>
      <c r="I135" s="5">
        <f t="shared" si="12"/>
        <v>0</v>
      </c>
      <c r="J135" s="4" t="s">
        <v>5531</v>
      </c>
      <c r="K135" s="5">
        <f>SUM(K16,K46)</f>
        <v>0</v>
      </c>
      <c r="L135" s="10">
        <f>IF($B$2="-",0,IFERROR(INDEX(IF($B$2="SV",'Projekt-Budget-Übersicht'!$H:$H,IF($B$2="CAD",'Projekt-Budget-Übersicht'!$I:$I,IF($B$2="ADM",'Projekt-Budget-Übersicht'!$J:$J,'Projekt-Budget-Übersicht'!$H:$H))),MATCH(1988,'Projekt-Budget-Übersicht'!$L:$L,0)),0))</f>
        <v>0</v>
      </c>
      <c r="M135" s="10">
        <f t="shared" si="13"/>
        <v>0</v>
      </c>
      <c r="N135" s="10">
        <f t="shared" si="14"/>
        <v>0</v>
      </c>
      <c r="O135" s="10">
        <f t="shared" si="15"/>
        <v>0</v>
      </c>
      <c r="P135" s="10">
        <f>'T. Trautmann'!M135</f>
        <v>0</v>
      </c>
      <c r="Q135" s="10">
        <f>IFERROR(INDEX('Projekt-Budget-Übersicht'!$E:$E,MATCH(1988,'Projekt-Budget-Übersicht'!$L:$L,0)),0)</f>
        <v>0</v>
      </c>
      <c r="R135" s="10">
        <v>1892.5</v>
      </c>
      <c r="S135" s="4"/>
      <c r="T135" s="4"/>
      <c r="U135" s="4"/>
    </row>
    <row r="136" spans="1:21" x14ac:dyDescent="0.25">
      <c r="A136" s="4" t="s">
        <v>1958</v>
      </c>
      <c r="B136" s="4" t="s">
        <v>5693</v>
      </c>
      <c r="C136" s="4" t="str">
        <f>IFERROR(INDEX('Projekt-Budget-Übersicht'!$C:$C,MATCH(2332,'Projekt-Budget-Übersicht'!$L:$L,0)),"")</f>
        <v/>
      </c>
      <c r="D136" s="4">
        <v>40</v>
      </c>
      <c r="E136" s="4">
        <v>13.75</v>
      </c>
      <c r="F136" s="5">
        <f>SUM(F47,I47,K47)</f>
        <v>0.25</v>
      </c>
      <c r="G136" s="16">
        <v>34.380000000000003</v>
      </c>
      <c r="H136" s="5">
        <f>SUM(H47)</f>
        <v>0</v>
      </c>
      <c r="I136" s="5">
        <f t="shared" si="12"/>
        <v>0</v>
      </c>
      <c r="J136" s="4" t="s">
        <v>5531</v>
      </c>
      <c r="K136" s="5">
        <f>SUM(K47)</f>
        <v>0</v>
      </c>
      <c r="L136" s="10">
        <f>IF($B$2="-",0,IFERROR(INDEX(IF($B$2="SV",'Projekt-Budget-Übersicht'!$H:$H,IF($B$2="CAD",'Projekt-Budget-Übersicht'!$I:$I,IF($B$2="ADM",'Projekt-Budget-Übersicht'!$J:$J,'Projekt-Budget-Übersicht'!$H:$H))),MATCH(2332,'Projekt-Budget-Übersicht'!$L:$L,0)),0))</f>
        <v>0</v>
      </c>
      <c r="M136" s="10">
        <f t="shared" si="13"/>
        <v>0</v>
      </c>
      <c r="N136" s="10">
        <f t="shared" si="14"/>
        <v>0</v>
      </c>
      <c r="O136" s="10">
        <f t="shared" si="15"/>
        <v>0</v>
      </c>
      <c r="P136" s="10">
        <f>'T. Trautmann'!M136</f>
        <v>0</v>
      </c>
      <c r="Q136" s="10">
        <f>IFERROR(INDEX('Projekt-Budget-Übersicht'!$E:$E,MATCH(2332,'Projekt-Budget-Übersicht'!$L:$L,0)),0)</f>
        <v>0</v>
      </c>
      <c r="R136" s="10">
        <v>1192.5</v>
      </c>
      <c r="S136" s="4"/>
      <c r="T136" s="4"/>
      <c r="U136" s="4"/>
    </row>
    <row r="137" spans="1:21" x14ac:dyDescent="0.25">
      <c r="A137" s="4" t="s">
        <v>2207</v>
      </c>
      <c r="B137" s="4" t="s">
        <v>5586</v>
      </c>
      <c r="C137" s="4" t="str">
        <f>IFERROR(INDEX('Projekt-Budget-Übersicht'!$C:$C,MATCH(2561,'Projekt-Budget-Übersicht'!$L:$L,0)),"")</f>
        <v/>
      </c>
      <c r="D137" s="4">
        <v>160</v>
      </c>
      <c r="E137" s="4">
        <v>134.25</v>
      </c>
      <c r="F137" s="5">
        <f>SUM(F87,I87,K87)</f>
        <v>3.75</v>
      </c>
      <c r="G137" s="16">
        <v>83.91</v>
      </c>
      <c r="H137" s="5">
        <f>SUM(H87)</f>
        <v>0</v>
      </c>
      <c r="I137" s="5">
        <f t="shared" si="12"/>
        <v>0</v>
      </c>
      <c r="J137" s="4" t="s">
        <v>5531</v>
      </c>
      <c r="K137" s="5">
        <f>SUM(K87)</f>
        <v>0</v>
      </c>
      <c r="L137" s="10">
        <f>IF($B$2="-",0,IFERROR(INDEX(IF($B$2="SV",'Projekt-Budget-Übersicht'!$H:$H,IF($B$2="CAD",'Projekt-Budget-Übersicht'!$I:$I,IF($B$2="ADM",'Projekt-Budget-Übersicht'!$J:$J,'Projekt-Budget-Übersicht'!$H:$H))),MATCH(2561,'Projekt-Budget-Übersicht'!$L:$L,0)),0))</f>
        <v>0</v>
      </c>
      <c r="M137" s="10">
        <f t="shared" si="13"/>
        <v>0</v>
      </c>
      <c r="N137" s="10">
        <f t="shared" si="14"/>
        <v>0</v>
      </c>
      <c r="O137" s="10">
        <f t="shared" si="15"/>
        <v>0</v>
      </c>
      <c r="P137" s="10">
        <f>'J. Dorn'!M133+'T. Trautmann'!M137</f>
        <v>0</v>
      </c>
      <c r="Q137" s="10">
        <f>IFERROR(INDEX('Projekt-Budget-Übersicht'!$E:$E,MATCH(2561,'Projekt-Budget-Übersicht'!$L:$L,0)),0)</f>
        <v>0</v>
      </c>
      <c r="R137" s="10"/>
      <c r="S137" s="4"/>
      <c r="T137" s="4"/>
      <c r="U137" s="4"/>
    </row>
    <row r="138" spans="1:21" x14ac:dyDescent="0.25">
      <c r="A138" s="4" t="s">
        <v>2352</v>
      </c>
      <c r="B138" s="4" t="s">
        <v>5544</v>
      </c>
      <c r="C138" s="4" t="str">
        <f>IFERROR(INDEX('Projekt-Budget-Übersicht'!$C:$C,MATCH(2694,'Projekt-Budget-Übersicht'!$L:$L,0)),"")</f>
        <v/>
      </c>
      <c r="D138" s="4">
        <v>50.5</v>
      </c>
      <c r="E138" s="4">
        <v>18.5</v>
      </c>
      <c r="F138" s="5">
        <f>SUM(F17,F48,I17,I48,K17,K48)</f>
        <v>5.75</v>
      </c>
      <c r="G138" s="16">
        <v>36.630000000000003</v>
      </c>
      <c r="H138" s="5">
        <f>SUM(H17,H48)</f>
        <v>0</v>
      </c>
      <c r="I138" s="5">
        <f t="shared" si="12"/>
        <v>0</v>
      </c>
      <c r="J138" s="4" t="s">
        <v>5531</v>
      </c>
      <c r="K138" s="5">
        <f>SUM(K17,K48)</f>
        <v>0</v>
      </c>
      <c r="L138" s="10">
        <f>IF($B$2="-",0,IFERROR(INDEX(IF($B$2="SV",'Projekt-Budget-Übersicht'!$H:$H,IF($B$2="CAD",'Projekt-Budget-Übersicht'!$I:$I,IF($B$2="ADM",'Projekt-Budget-Übersicht'!$J:$J,'Projekt-Budget-Übersicht'!$H:$H))),MATCH(2694,'Projekt-Budget-Übersicht'!$L:$L,0)),0))</f>
        <v>0</v>
      </c>
      <c r="M138" s="10">
        <f t="shared" si="13"/>
        <v>0</v>
      </c>
      <c r="N138" s="10">
        <f t="shared" si="14"/>
        <v>0</v>
      </c>
      <c r="O138" s="10">
        <f t="shared" si="15"/>
        <v>0</v>
      </c>
      <c r="P138" s="10">
        <f>'T. Trautmann'!M138</f>
        <v>0</v>
      </c>
      <c r="Q138" s="10">
        <f>IFERROR(INDEX('Projekt-Budget-Übersicht'!$E:$E,MATCH(2694,'Projekt-Budget-Übersicht'!$L:$L,0)),0)</f>
        <v>0</v>
      </c>
      <c r="R138" s="10">
        <v>1665</v>
      </c>
      <c r="S138" s="4"/>
      <c r="T138" s="4"/>
      <c r="U138" s="4"/>
    </row>
    <row r="139" spans="1:21" x14ac:dyDescent="0.25">
      <c r="A139" s="4" t="s">
        <v>2578</v>
      </c>
      <c r="B139" s="4" t="s">
        <v>5516</v>
      </c>
      <c r="C139" s="4" t="str">
        <f>IFERROR(INDEX('Projekt-Budget-Übersicht'!$C:$C,MATCH(2893,'Projekt-Budget-Übersicht'!$L:$L,0)),"")</f>
        <v/>
      </c>
      <c r="D139" s="4">
        <v>37</v>
      </c>
      <c r="E139" s="4">
        <v>27.75</v>
      </c>
      <c r="F139" s="5">
        <f>SUM(F88,I88,K88)</f>
        <v>0.5</v>
      </c>
      <c r="G139" s="16">
        <v>75</v>
      </c>
      <c r="H139" s="5">
        <f>SUM(H88)</f>
        <v>0</v>
      </c>
      <c r="I139" s="5">
        <f t="shared" si="12"/>
        <v>0</v>
      </c>
      <c r="J139" s="4" t="s">
        <v>5531</v>
      </c>
      <c r="K139" s="5">
        <f>SUM(K88)</f>
        <v>0</v>
      </c>
      <c r="L139" s="10">
        <f>IF($B$2="-",0,IFERROR(INDEX(IF($B$2="SV",'Projekt-Budget-Übersicht'!$H:$H,IF($B$2="CAD",'Projekt-Budget-Übersicht'!$I:$I,IF($B$2="ADM",'Projekt-Budget-Übersicht'!$J:$J,'Projekt-Budget-Übersicht'!$H:$H))),MATCH(2893,'Projekt-Budget-Übersicht'!$L:$L,0)),0))</f>
        <v>0</v>
      </c>
      <c r="M139" s="10">
        <f t="shared" si="13"/>
        <v>0</v>
      </c>
      <c r="N139" s="10">
        <f t="shared" si="14"/>
        <v>0</v>
      </c>
      <c r="O139" s="10">
        <f t="shared" si="15"/>
        <v>0</v>
      </c>
      <c r="P139" s="10">
        <f>'A. Kokott'!M162+'J. Dorn'!M141+'M. Bandlofsky'!M101+'O. Haag BS-CAD'!M175+'T. Trautmann'!M139</f>
        <v>0</v>
      </c>
      <c r="Q139" s="10">
        <f>IFERROR(INDEX('Projekt-Budget-Übersicht'!$E:$E,MATCH(2893,'Projekt-Budget-Übersicht'!$L:$L,0)),0)</f>
        <v>0</v>
      </c>
      <c r="R139" s="10">
        <v>1736.25</v>
      </c>
      <c r="S139" s="4"/>
      <c r="T139" s="4"/>
      <c r="U139" s="4"/>
    </row>
    <row r="140" spans="1:21" x14ac:dyDescent="0.25">
      <c r="A140" s="4" t="s">
        <v>2611</v>
      </c>
      <c r="B140" s="4" t="s">
        <v>5544</v>
      </c>
      <c r="C140" s="4" t="str">
        <f>IFERROR(INDEX('Projekt-Budget-Übersicht'!$C:$C,MATCH(2928,'Projekt-Budget-Übersicht'!$L:$L,0)),"")</f>
        <v/>
      </c>
      <c r="D140" s="4">
        <v>191.25</v>
      </c>
      <c r="E140" s="4">
        <v>142.25</v>
      </c>
      <c r="F140" s="5">
        <f>SUM(F18,F49,F89,I18,I49,I89,K18,K49,K89)</f>
        <v>69.5</v>
      </c>
      <c r="G140" s="16">
        <v>74.38</v>
      </c>
      <c r="H140" s="5">
        <f>SUM(H18,H49,H89)</f>
        <v>0</v>
      </c>
      <c r="I140" s="5">
        <f t="shared" si="12"/>
        <v>0</v>
      </c>
      <c r="J140" s="4" t="s">
        <v>5531</v>
      </c>
      <c r="K140" s="5">
        <f>SUM(K18,K49,K89)</f>
        <v>0</v>
      </c>
      <c r="L140" s="10">
        <f>IF($B$2="-",0,IFERROR(INDEX(IF($B$2="SV",'Projekt-Budget-Übersicht'!$H:$H,IF($B$2="CAD",'Projekt-Budget-Übersicht'!$I:$I,IF($B$2="ADM",'Projekt-Budget-Übersicht'!$J:$J,'Projekt-Budget-Übersicht'!$H:$H))),MATCH(2928,'Projekt-Budget-Übersicht'!$L:$L,0)),0))</f>
        <v>0</v>
      </c>
      <c r="M140" s="10">
        <f t="shared" si="13"/>
        <v>0</v>
      </c>
      <c r="N140" s="10">
        <f t="shared" si="14"/>
        <v>0</v>
      </c>
      <c r="O140" s="10">
        <f t="shared" si="15"/>
        <v>0</v>
      </c>
      <c r="P140" s="10">
        <f>'T. Trautmann'!M140</f>
        <v>0</v>
      </c>
      <c r="Q140" s="10">
        <f>IFERROR(INDEX('Projekt-Budget-Übersicht'!$E:$E,MATCH(2928,'Projekt-Budget-Übersicht'!$L:$L,0)),0)</f>
        <v>0</v>
      </c>
      <c r="R140" s="10">
        <v>12802.5</v>
      </c>
      <c r="S140" s="4"/>
      <c r="T140" s="4"/>
      <c r="U140" s="4"/>
    </row>
    <row r="141" spans="1:21" x14ac:dyDescent="0.25">
      <c r="A141" s="4" t="s">
        <v>2619</v>
      </c>
      <c r="B141" s="4" t="s">
        <v>5459</v>
      </c>
      <c r="C141" s="4" t="str">
        <f>IFERROR(INDEX('Projekt-Budget-Übersicht'!$C:$C,MATCH(2931,'Projekt-Budget-Übersicht'!$L:$L,0)),"")</f>
        <v/>
      </c>
      <c r="D141" s="4">
        <v>22</v>
      </c>
      <c r="E141" s="4">
        <v>23.25</v>
      </c>
      <c r="F141" s="5">
        <f>SUM(F90,I90,K90)</f>
        <v>3</v>
      </c>
      <c r="G141" s="15">
        <v>105.68</v>
      </c>
      <c r="H141" s="5">
        <f>SUM(H90)</f>
        <v>0</v>
      </c>
      <c r="I141" s="5">
        <f t="shared" si="12"/>
        <v>0</v>
      </c>
      <c r="J141" s="4" t="s">
        <v>5531</v>
      </c>
      <c r="K141" s="5">
        <f>SUM(K90)</f>
        <v>0</v>
      </c>
      <c r="L141" s="10">
        <f>IF($B$2="-",0,IFERROR(INDEX(IF($B$2="SV",'Projekt-Budget-Übersicht'!$H:$H,IF($B$2="CAD",'Projekt-Budget-Übersicht'!$I:$I,IF($B$2="ADM",'Projekt-Budget-Übersicht'!$J:$J,'Projekt-Budget-Übersicht'!$H:$H))),MATCH(2931,'Projekt-Budget-Übersicht'!$L:$L,0)),0))</f>
        <v>0</v>
      </c>
      <c r="M141" s="10">
        <f t="shared" si="13"/>
        <v>0</v>
      </c>
      <c r="N141" s="10">
        <f t="shared" si="14"/>
        <v>0</v>
      </c>
      <c r="O141" s="10">
        <f t="shared" si="15"/>
        <v>0</v>
      </c>
      <c r="P141" s="10">
        <f>'S. Schüler'!M162+'T. Trautmann'!M141</f>
        <v>0</v>
      </c>
      <c r="Q141" s="10">
        <f>IFERROR(INDEX('Projekt-Budget-Übersicht'!$E:$E,MATCH(2931,'Projekt-Budget-Übersicht'!$L:$L,0)),0)</f>
        <v>0</v>
      </c>
      <c r="R141" s="10">
        <v>2519.94</v>
      </c>
      <c r="S141" s="4"/>
      <c r="T141" s="4"/>
      <c r="U141" s="4"/>
    </row>
    <row r="142" spans="1:21" x14ac:dyDescent="0.25">
      <c r="A142" s="21" t="s">
        <v>3146</v>
      </c>
      <c r="B142" s="4" t="s">
        <v>5459</v>
      </c>
      <c r="C142" s="4" t="str">
        <f>IFERROR(INDEX('Projekt-Budget-Übersicht'!$C:$C,MATCH(3387,'Projekt-Budget-Übersicht'!$L:$L,0)),"")</f>
        <v/>
      </c>
      <c r="D142" s="4">
        <v>40</v>
      </c>
      <c r="E142" s="4">
        <v>167</v>
      </c>
      <c r="F142" s="5">
        <f>SUM(F51,I51,K51)</f>
        <v>1.25</v>
      </c>
      <c r="G142" s="15">
        <v>417.5</v>
      </c>
      <c r="H142" s="5">
        <f>SUM(H51)</f>
        <v>0</v>
      </c>
      <c r="I142" s="5">
        <f t="shared" si="12"/>
        <v>0</v>
      </c>
      <c r="J142" s="4" t="s">
        <v>5531</v>
      </c>
      <c r="K142" s="5">
        <f>SUM(K51)</f>
        <v>0</v>
      </c>
      <c r="L142" s="10">
        <f>IF($B$2="-",0,IFERROR(INDEX(IF($B$2="SV",'Projekt-Budget-Übersicht'!$H:$H,IF($B$2="CAD",'Projekt-Budget-Übersicht'!$I:$I,IF($B$2="ADM",'Projekt-Budget-Übersicht'!$J:$J,'Projekt-Budget-Übersicht'!$H:$H))),MATCH(3387,'Projekt-Budget-Übersicht'!$L:$L,0)),0))</f>
        <v>0</v>
      </c>
      <c r="M142" s="10">
        <f t="shared" si="13"/>
        <v>0</v>
      </c>
      <c r="N142" s="10">
        <f t="shared" si="14"/>
        <v>0</v>
      </c>
      <c r="O142" s="10">
        <f t="shared" si="15"/>
        <v>0</v>
      </c>
      <c r="P142" s="10">
        <f>'S. Schüler'!M163+'T. Trautmann'!M142</f>
        <v>0</v>
      </c>
      <c r="Q142" s="10">
        <f>IFERROR(INDEX('Projekt-Budget-Übersicht'!$E:$E,MATCH(3387,'Projekt-Budget-Übersicht'!$L:$L,0)),0)</f>
        <v>0</v>
      </c>
      <c r="R142" s="10">
        <v>23081.52</v>
      </c>
      <c r="S142" s="4"/>
      <c r="T142" s="4"/>
      <c r="U142" s="4"/>
    </row>
    <row r="143" spans="1:21" x14ac:dyDescent="0.25">
      <c r="A143" s="22"/>
      <c r="B143" s="4" t="s">
        <v>5670</v>
      </c>
      <c r="C143" s="4" t="str">
        <f>IFERROR(INDEX('Projekt-Budget-Übersicht'!$C:$C,MATCH(3387,'Projekt-Budget-Übersicht'!$L:$L,0)),"")</f>
        <v/>
      </c>
      <c r="D143" s="4" t="s">
        <v>5531</v>
      </c>
      <c r="E143" s="4">
        <v>139.75</v>
      </c>
      <c r="F143" s="5">
        <f>SUM(F52,F92,I52,I92,K52,K92)</f>
        <v>5</v>
      </c>
      <c r="G143" s="4" t="s">
        <v>5531</v>
      </c>
      <c r="H143" s="5">
        <f>SUM(H52,H92)</f>
        <v>0</v>
      </c>
      <c r="I143" s="5">
        <f t="shared" si="12"/>
        <v>0</v>
      </c>
      <c r="J143" s="4" t="s">
        <v>5531</v>
      </c>
      <c r="K143" s="5">
        <f>SUM(K52,K92)</f>
        <v>0</v>
      </c>
      <c r="L143" s="10">
        <f>IF($B$2="-",0,IFERROR(INDEX(IF($B$2="SV",'Projekt-Budget-Übersicht'!$H:$H,IF($B$2="CAD",'Projekt-Budget-Übersicht'!$I:$I,IF($B$2="ADM",'Projekt-Budget-Übersicht'!$J:$J,'Projekt-Budget-Übersicht'!$H:$H))),MATCH(3387,'Projekt-Budget-Übersicht'!$L:$L,0)),0))</f>
        <v>0</v>
      </c>
      <c r="M143" s="10">
        <f t="shared" si="13"/>
        <v>0</v>
      </c>
      <c r="N143" s="10">
        <f t="shared" si="14"/>
        <v>0</v>
      </c>
      <c r="O143" s="10">
        <f t="shared" si="15"/>
        <v>0</v>
      </c>
      <c r="P143" s="10">
        <f>'S. Schüler'!M164+'T. Trautmann'!M143</f>
        <v>0</v>
      </c>
      <c r="Q143" s="10">
        <f>IFERROR(INDEX('Projekt-Budget-Übersicht'!$E:$E,MATCH(3387,'Projekt-Budget-Übersicht'!$L:$L,0)),0)</f>
        <v>0</v>
      </c>
      <c r="R143" s="10">
        <v>23081.52</v>
      </c>
      <c r="S143" s="4"/>
      <c r="T143" s="4"/>
      <c r="U143" s="4"/>
    </row>
    <row r="144" spans="1:21" x14ac:dyDescent="0.25">
      <c r="A144" s="21" t="s">
        <v>3158</v>
      </c>
      <c r="B144" s="4" t="s">
        <v>5694</v>
      </c>
      <c r="C144" s="4" t="str">
        <f>IFERROR(INDEX('Projekt-Budget-Übersicht'!$C:$C,MATCH(3396,'Projekt-Budget-Übersicht'!$L:$L,0)),"")</f>
        <v/>
      </c>
      <c r="D144" s="4">
        <v>4</v>
      </c>
      <c r="E144" s="4">
        <v>3.25</v>
      </c>
      <c r="F144" s="5">
        <f>SUM(F53,I53,K53)</f>
        <v>3.25</v>
      </c>
      <c r="G144" s="16">
        <v>81.25</v>
      </c>
      <c r="H144" s="5">
        <f>SUM(H53)</f>
        <v>0</v>
      </c>
      <c r="I144" s="5">
        <f t="shared" si="12"/>
        <v>0</v>
      </c>
      <c r="J144" s="4" t="s">
        <v>5531</v>
      </c>
      <c r="K144" s="5">
        <f>SUM(K53)</f>
        <v>0</v>
      </c>
      <c r="L144" s="10">
        <f>IF($B$2="-",0,IFERROR(INDEX(IF($B$2="SV",'Projekt-Budget-Übersicht'!$H:$H,IF($B$2="CAD",'Projekt-Budget-Übersicht'!$I:$I,IF($B$2="ADM",'Projekt-Budget-Übersicht'!$J:$J,'Projekt-Budget-Übersicht'!$H:$H))),MATCH(3396,'Projekt-Budget-Übersicht'!$L:$L,0)),0))</f>
        <v>0</v>
      </c>
      <c r="M144" s="10">
        <f t="shared" si="13"/>
        <v>0</v>
      </c>
      <c r="N144" s="10">
        <f t="shared" si="14"/>
        <v>0</v>
      </c>
      <c r="O144" s="10">
        <f t="shared" si="15"/>
        <v>0</v>
      </c>
      <c r="P144" s="10">
        <f>'T. Trautmann'!M144</f>
        <v>0</v>
      </c>
      <c r="Q144" s="10">
        <f>IFERROR(INDEX('Projekt-Budget-Übersicht'!$E:$E,MATCH(3396,'Projekt-Budget-Übersicht'!$L:$L,0)),0)</f>
        <v>0</v>
      </c>
      <c r="R144" s="10">
        <v>292.5</v>
      </c>
      <c r="S144" s="4"/>
      <c r="T144" s="4"/>
      <c r="U144" s="4"/>
    </row>
    <row r="145" spans="1:21" x14ac:dyDescent="0.25">
      <c r="A145" s="22"/>
      <c r="B145" s="4" t="s">
        <v>5498</v>
      </c>
      <c r="C145" s="4" t="str">
        <f>IFERROR(INDEX('Projekt-Budget-Übersicht'!$C:$C,MATCH(3395,'Projekt-Budget-Übersicht'!$L:$L,0)),"")</f>
        <v/>
      </c>
      <c r="D145" s="4">
        <v>10</v>
      </c>
      <c r="E145" s="4">
        <v>10.5</v>
      </c>
      <c r="F145" s="5">
        <f>SUM(F54,I54,K54)</f>
        <v>0.5</v>
      </c>
      <c r="G145" s="15">
        <v>105</v>
      </c>
      <c r="H145" s="5">
        <f>SUM(H54)</f>
        <v>0</v>
      </c>
      <c r="I145" s="5">
        <f t="shared" si="12"/>
        <v>0</v>
      </c>
      <c r="J145" s="4" t="s">
        <v>5531</v>
      </c>
      <c r="K145" s="5">
        <f>SUM(K54)</f>
        <v>0</v>
      </c>
      <c r="L145" s="10">
        <f>IF($B$2="-",0,IFERROR(INDEX(IF($B$2="SV",'Projekt-Budget-Übersicht'!$H:$H,IF($B$2="CAD",'Projekt-Budget-Übersicht'!$I:$I,IF($B$2="ADM",'Projekt-Budget-Übersicht'!$J:$J,'Projekt-Budget-Übersicht'!$H:$H))),MATCH(3395,'Projekt-Budget-Übersicht'!$L:$L,0)),0))</f>
        <v>0</v>
      </c>
      <c r="M145" s="10">
        <f t="shared" si="13"/>
        <v>0</v>
      </c>
      <c r="N145" s="10">
        <f t="shared" si="14"/>
        <v>0</v>
      </c>
      <c r="O145" s="10">
        <f t="shared" si="15"/>
        <v>0</v>
      </c>
      <c r="P145" s="10">
        <f>'M. Warner'!M49+'T. Trautmann'!M145</f>
        <v>0</v>
      </c>
      <c r="Q145" s="10">
        <f>IFERROR(INDEX('Projekt-Budget-Übersicht'!$E:$E,MATCH(3395,'Projekt-Budget-Übersicht'!$L:$L,0)),0)</f>
        <v>0</v>
      </c>
      <c r="R145" s="10">
        <v>100</v>
      </c>
      <c r="S145" s="4"/>
      <c r="T145" s="4"/>
      <c r="U145" s="4"/>
    </row>
    <row r="146" spans="1:21" x14ac:dyDescent="0.25">
      <c r="A146" s="4" t="s">
        <v>3461</v>
      </c>
      <c r="B146" s="4" t="s">
        <v>5695</v>
      </c>
      <c r="C146" s="4" t="str">
        <f>IFERROR(INDEX('Projekt-Budget-Übersicht'!$C:$C,MATCH(3669,'Projekt-Budget-Übersicht'!$L:$L,0)),"")</f>
        <v/>
      </c>
      <c r="D146" s="4" t="s">
        <v>5531</v>
      </c>
      <c r="E146" s="4">
        <v>9</v>
      </c>
      <c r="F146" s="5">
        <f>SUM(F55,I55,K55)</f>
        <v>3</v>
      </c>
      <c r="G146" s="4" t="s">
        <v>5531</v>
      </c>
      <c r="H146" s="5">
        <f>SUM(H55)</f>
        <v>0</v>
      </c>
      <c r="I146" s="5">
        <f t="shared" si="12"/>
        <v>0</v>
      </c>
      <c r="J146" s="4" t="s">
        <v>5531</v>
      </c>
      <c r="K146" s="5">
        <f>SUM(K55)</f>
        <v>0</v>
      </c>
      <c r="L146" s="10">
        <f>IF($B$2="-",0,IFERROR(INDEX(IF($B$2="SV",'Projekt-Budget-Übersicht'!$H:$H,IF($B$2="CAD",'Projekt-Budget-Übersicht'!$I:$I,IF($B$2="ADM",'Projekt-Budget-Übersicht'!$J:$J,'Projekt-Budget-Übersicht'!$H:$H))),MATCH(3669,'Projekt-Budget-Übersicht'!$L:$L,0)),0))</f>
        <v>0</v>
      </c>
      <c r="M146" s="10">
        <f t="shared" si="13"/>
        <v>0</v>
      </c>
      <c r="N146" s="10">
        <f t="shared" si="14"/>
        <v>0</v>
      </c>
      <c r="O146" s="10">
        <f t="shared" si="15"/>
        <v>0</v>
      </c>
      <c r="P146" s="10">
        <f>'T. Trautmann'!M146</f>
        <v>0</v>
      </c>
      <c r="Q146" s="10">
        <f>IFERROR(INDEX('Projekt-Budget-Übersicht'!$E:$E,MATCH(3669,'Projekt-Budget-Übersicht'!$L:$L,0)),0)</f>
        <v>0</v>
      </c>
      <c r="R146" s="10">
        <v>791.65</v>
      </c>
      <c r="S146" s="4"/>
      <c r="T146" s="4"/>
      <c r="U146" s="4"/>
    </row>
    <row r="147" spans="1:21" x14ac:dyDescent="0.25">
      <c r="A147" s="4" t="s">
        <v>3970</v>
      </c>
      <c r="B147" s="4" t="s">
        <v>5688</v>
      </c>
      <c r="C147" s="4" t="str">
        <f>IFERROR(INDEX('Projekt-Budget-Übersicht'!$C:$C,MATCH(4104,'Projekt-Budget-Übersicht'!$L:$L,0)),"")</f>
        <v/>
      </c>
      <c r="D147" s="4">
        <v>20</v>
      </c>
      <c r="E147" s="4">
        <v>64.75</v>
      </c>
      <c r="F147" s="5">
        <f>SUM(F19,F56,F93,I19,I56,I93,K19,K56,K93)</f>
        <v>22</v>
      </c>
      <c r="G147" s="15">
        <v>323.75</v>
      </c>
      <c r="H147" s="5">
        <f>SUM(H19,H56,H93)</f>
        <v>0</v>
      </c>
      <c r="I147" s="5">
        <f t="shared" si="12"/>
        <v>0</v>
      </c>
      <c r="J147" s="4" t="s">
        <v>5531</v>
      </c>
      <c r="K147" s="5">
        <f>SUM(K19,K56,K93)</f>
        <v>0</v>
      </c>
      <c r="L147" s="10">
        <f>IF($B$2="-",0,IFERROR(INDEX(IF($B$2="SV",'Projekt-Budget-Übersicht'!$H:$H,IF($B$2="CAD",'Projekt-Budget-Übersicht'!$I:$I,IF($B$2="ADM",'Projekt-Budget-Übersicht'!$J:$J,'Projekt-Budget-Übersicht'!$H:$H))),MATCH(4104,'Projekt-Budget-Übersicht'!$L:$L,0)),0))</f>
        <v>0</v>
      </c>
      <c r="M147" s="10">
        <f t="shared" si="13"/>
        <v>0</v>
      </c>
      <c r="N147" s="10">
        <f t="shared" si="14"/>
        <v>0</v>
      </c>
      <c r="O147" s="10">
        <f t="shared" si="15"/>
        <v>0</v>
      </c>
      <c r="P147" s="10">
        <f>'T. Trautmann'!M147</f>
        <v>0</v>
      </c>
      <c r="Q147" s="10">
        <f>IFERROR(INDEX('Projekt-Budget-Übersicht'!$E:$E,MATCH(4104,'Projekt-Budget-Übersicht'!$L:$L,0)),0)</f>
        <v>0</v>
      </c>
      <c r="R147" s="10">
        <v>5782.5</v>
      </c>
      <c r="S147" s="4"/>
      <c r="T147" s="4"/>
      <c r="U147" s="4"/>
    </row>
    <row r="148" spans="1:21" x14ac:dyDescent="0.25">
      <c r="A148" s="4" t="s">
        <v>4373</v>
      </c>
      <c r="B148" s="4" t="s">
        <v>5459</v>
      </c>
      <c r="C148" s="4" t="str">
        <f>IFERROR(INDEX('Projekt-Budget-Übersicht'!$C:$C,MATCH(4448,'Projekt-Budget-Übersicht'!$L:$L,0)),"")</f>
        <v/>
      </c>
      <c r="D148" s="4">
        <v>19</v>
      </c>
      <c r="E148" s="4">
        <v>22</v>
      </c>
      <c r="F148" s="5">
        <f>SUM(F94,I94,K94)</f>
        <v>0.25</v>
      </c>
      <c r="G148" s="15">
        <v>115.79</v>
      </c>
      <c r="H148" s="5">
        <f>SUM(H94)</f>
        <v>0</v>
      </c>
      <c r="I148" s="5">
        <f t="shared" si="12"/>
        <v>0</v>
      </c>
      <c r="J148" s="4" t="s">
        <v>5531</v>
      </c>
      <c r="K148" s="5">
        <f>SUM(K94)</f>
        <v>0</v>
      </c>
      <c r="L148" s="10">
        <f>IF($B$2="-",0,IFERROR(INDEX(IF($B$2="SV",'Projekt-Budget-Übersicht'!$H:$H,IF($B$2="CAD",'Projekt-Budget-Übersicht'!$I:$I,IF($B$2="ADM",'Projekt-Budget-Übersicht'!$J:$J,'Projekt-Budget-Übersicht'!$H:$H))),MATCH(4448,'Projekt-Budget-Übersicht'!$L:$L,0)),0))</f>
        <v>0</v>
      </c>
      <c r="M148" s="10">
        <f t="shared" si="13"/>
        <v>0</v>
      </c>
      <c r="N148" s="10">
        <f t="shared" si="14"/>
        <v>0</v>
      </c>
      <c r="O148" s="10">
        <f t="shared" si="15"/>
        <v>0</v>
      </c>
      <c r="P148" s="10">
        <f>'J. Dorn'!M154+'R. Böttiger'!M98+'T. Trautmann'!M148</f>
        <v>0</v>
      </c>
      <c r="Q148" s="10">
        <f>IFERROR(INDEX('Projekt-Budget-Übersicht'!$E:$E,MATCH(4448,'Projekt-Budget-Übersicht'!$L:$L,0)),0)</f>
        <v>0</v>
      </c>
      <c r="R148" s="10">
        <v>2173.75</v>
      </c>
      <c r="S148" s="4"/>
      <c r="T148" s="4"/>
      <c r="U148" s="4"/>
    </row>
    <row r="149" spans="1:21" x14ac:dyDescent="0.25">
      <c r="A149" s="4" t="s">
        <v>4798</v>
      </c>
      <c r="B149" s="4" t="s">
        <v>5650</v>
      </c>
      <c r="C149" s="4" t="str">
        <f>IFERROR(INDEX('Projekt-Budget-Übersicht'!$C:$C,MATCH(4804,'Projekt-Budget-Übersicht'!$L:$L,0)),"")</f>
        <v/>
      </c>
      <c r="D149" s="4">
        <v>100</v>
      </c>
      <c r="E149" s="4">
        <v>88.75</v>
      </c>
      <c r="F149" s="5">
        <f>SUM(F57,I57,K57)</f>
        <v>0.75</v>
      </c>
      <c r="G149" s="16">
        <v>88.75</v>
      </c>
      <c r="H149" s="5">
        <f>SUM(H57)</f>
        <v>0</v>
      </c>
      <c r="I149" s="5">
        <f t="shared" si="12"/>
        <v>0</v>
      </c>
      <c r="J149" s="4" t="s">
        <v>5531</v>
      </c>
      <c r="K149" s="5">
        <f>SUM(K57)</f>
        <v>0</v>
      </c>
      <c r="L149" s="10">
        <f>IF($B$2="-",0,IFERROR(INDEX(IF($B$2="SV",'Projekt-Budget-Übersicht'!$H:$H,IF($B$2="CAD",'Projekt-Budget-Übersicht'!$I:$I,IF($B$2="ADM",'Projekt-Budget-Übersicht'!$J:$J,'Projekt-Budget-Übersicht'!$H:$H))),MATCH(4804,'Projekt-Budget-Übersicht'!$L:$L,0)),0))</f>
        <v>0</v>
      </c>
      <c r="M149" s="10">
        <f t="shared" si="13"/>
        <v>0</v>
      </c>
      <c r="N149" s="10">
        <f t="shared" si="14"/>
        <v>0</v>
      </c>
      <c r="O149" s="10">
        <f t="shared" si="15"/>
        <v>0</v>
      </c>
      <c r="P149" s="10">
        <f>'R. Böttiger'!M102+'T. Trautmann'!M149</f>
        <v>0</v>
      </c>
      <c r="Q149" s="10">
        <f>IFERROR(INDEX('Projekt-Budget-Übersicht'!$E:$E,MATCH(4804,'Projekt-Budget-Übersicht'!$L:$L,0)),0)</f>
        <v>0</v>
      </c>
      <c r="R149" s="10">
        <v>1130.82</v>
      </c>
      <c r="S149" s="4"/>
      <c r="T149" s="4"/>
      <c r="U149" s="4"/>
    </row>
    <row r="150" spans="1:21" x14ac:dyDescent="0.25">
      <c r="A150" s="4" t="s">
        <v>4929</v>
      </c>
      <c r="B150" s="4" t="s">
        <v>5459</v>
      </c>
      <c r="C150" s="4" t="str">
        <f>IFERROR(INDEX('Projekt-Budget-Übersicht'!$C:$C,MATCH(4909,'Projekt-Budget-Übersicht'!$L:$L,0)),"")</f>
        <v/>
      </c>
      <c r="D150" s="4">
        <v>40</v>
      </c>
      <c r="E150" s="4">
        <v>34.25</v>
      </c>
      <c r="F150" s="5">
        <f>SUM(F58,F95,I58,I95,K58,K95)</f>
        <v>8.25</v>
      </c>
      <c r="G150" s="16">
        <v>85.62</v>
      </c>
      <c r="H150" s="5">
        <f>SUM(H58,H95)</f>
        <v>0</v>
      </c>
      <c r="I150" s="5">
        <f t="shared" si="12"/>
        <v>0</v>
      </c>
      <c r="J150" s="4" t="s">
        <v>5531</v>
      </c>
      <c r="K150" s="5">
        <f>SUM(K58,K95)</f>
        <v>0</v>
      </c>
      <c r="L150" s="10">
        <f>IF($B$2="-",0,IFERROR(INDEX(IF($B$2="SV",'Projekt-Budget-Übersicht'!$H:$H,IF($B$2="CAD",'Projekt-Budget-Übersicht'!$I:$I,IF($B$2="ADM",'Projekt-Budget-Übersicht'!$J:$J,'Projekt-Budget-Übersicht'!$H:$H))),MATCH(4909,'Projekt-Budget-Übersicht'!$L:$L,0)),0))</f>
        <v>0</v>
      </c>
      <c r="M150" s="10">
        <f t="shared" si="13"/>
        <v>0</v>
      </c>
      <c r="N150" s="10">
        <f t="shared" si="14"/>
        <v>0</v>
      </c>
      <c r="O150" s="10">
        <f t="shared" si="15"/>
        <v>0</v>
      </c>
      <c r="P150" s="10">
        <f>'D. Brucker'!M65+'E. Bieler'!M106+'T. Trautmann'!M150</f>
        <v>0</v>
      </c>
      <c r="Q150" s="10">
        <f>IFERROR(INDEX('Projekt-Budget-Übersicht'!$E:$E,MATCH(4909,'Projekt-Budget-Übersicht'!$L:$L,0)),0)</f>
        <v>0</v>
      </c>
      <c r="R150" s="10">
        <v>866.58</v>
      </c>
      <c r="S150" s="4"/>
      <c r="T150" s="4"/>
      <c r="U150" s="4"/>
    </row>
    <row r="151" spans="1:21" x14ac:dyDescent="0.25">
      <c r="A151" s="4" t="s">
        <v>4954</v>
      </c>
      <c r="B151" s="4" t="s">
        <v>5459</v>
      </c>
      <c r="C151" s="4" t="str">
        <f>IFERROR(INDEX('Projekt-Budget-Übersicht'!$C:$C,MATCH(4930,'Projekt-Budget-Übersicht'!$L:$L,0)),"")</f>
        <v/>
      </c>
      <c r="D151" s="4">
        <v>8</v>
      </c>
      <c r="E151" s="4">
        <v>7.75</v>
      </c>
      <c r="F151" s="5">
        <f>SUM(F59,I59,K59)</f>
        <v>0.75</v>
      </c>
      <c r="G151" s="14">
        <v>96.88</v>
      </c>
      <c r="H151" s="5">
        <f>SUM(H59)</f>
        <v>0</v>
      </c>
      <c r="I151" s="5">
        <f t="shared" si="12"/>
        <v>0</v>
      </c>
      <c r="J151" s="4" t="s">
        <v>5531</v>
      </c>
      <c r="K151" s="5">
        <f>SUM(K59)</f>
        <v>0</v>
      </c>
      <c r="L151" s="10">
        <f>IF($B$2="-",0,IFERROR(INDEX(IF($B$2="SV",'Projekt-Budget-Übersicht'!$H:$H,IF($B$2="CAD",'Projekt-Budget-Übersicht'!$I:$I,IF($B$2="ADM",'Projekt-Budget-Übersicht'!$J:$J,'Projekt-Budget-Übersicht'!$H:$H))),MATCH(4930,'Projekt-Budget-Übersicht'!$L:$L,0)),0))</f>
        <v>0</v>
      </c>
      <c r="M151" s="10">
        <f t="shared" si="13"/>
        <v>0</v>
      </c>
      <c r="N151" s="10">
        <f t="shared" si="14"/>
        <v>0</v>
      </c>
      <c r="O151" s="10">
        <f t="shared" si="15"/>
        <v>0</v>
      </c>
      <c r="P151" s="10">
        <f>'H. Bektas'!M88+'R. Böttiger'!M105+'T. Trautmann'!M151</f>
        <v>0</v>
      </c>
      <c r="Q151" s="10">
        <f>IFERROR(INDEX('Projekt-Budget-Übersicht'!$E:$E,MATCH(4930,'Projekt-Budget-Übersicht'!$L:$L,0)),0)</f>
        <v>0</v>
      </c>
      <c r="R151" s="10">
        <v>85</v>
      </c>
      <c r="S151" s="4"/>
      <c r="T151" s="4"/>
      <c r="U151" s="4"/>
    </row>
    <row r="152" spans="1:21" x14ac:dyDescent="0.25">
      <c r="A152" s="4" t="s">
        <v>4977</v>
      </c>
      <c r="B152" s="4" t="s">
        <v>5696</v>
      </c>
      <c r="C152" s="4" t="str">
        <f>IFERROR(INDEX('Projekt-Budget-Übersicht'!$C:$C,MATCH(4960,'Projekt-Budget-Übersicht'!$L:$L,0)),"")</f>
        <v/>
      </c>
      <c r="D152" s="4">
        <v>2</v>
      </c>
      <c r="E152" s="4">
        <v>4.75</v>
      </c>
      <c r="F152" s="5">
        <f>SUM(F60,I60,K60)</f>
        <v>2.75</v>
      </c>
      <c r="G152" s="15">
        <v>237.5</v>
      </c>
      <c r="H152" s="5">
        <f>SUM(H60)</f>
        <v>0</v>
      </c>
      <c r="I152" s="5">
        <f t="shared" si="12"/>
        <v>0</v>
      </c>
      <c r="J152" s="4" t="s">
        <v>5531</v>
      </c>
      <c r="K152" s="5">
        <f>SUM(K60)</f>
        <v>0</v>
      </c>
      <c r="L152" s="10">
        <f>IF($B$2="-",0,IFERROR(INDEX(IF($B$2="SV",'Projekt-Budget-Übersicht'!$H:$H,IF($B$2="CAD",'Projekt-Budget-Übersicht'!$I:$I,IF($B$2="ADM",'Projekt-Budget-Übersicht'!$J:$J,'Projekt-Budget-Übersicht'!$H:$H))),MATCH(4960,'Projekt-Budget-Übersicht'!$L:$L,0)),0))</f>
        <v>0</v>
      </c>
      <c r="M152" s="10">
        <f t="shared" si="13"/>
        <v>0</v>
      </c>
      <c r="N152" s="10">
        <f t="shared" si="14"/>
        <v>0</v>
      </c>
      <c r="O152" s="10">
        <f t="shared" si="15"/>
        <v>0</v>
      </c>
      <c r="P152" s="10">
        <f>'T. Trautmann'!M152</f>
        <v>0</v>
      </c>
      <c r="Q152" s="10">
        <f>IFERROR(INDEX('Projekt-Budget-Übersicht'!$E:$E,MATCH(4960,'Projekt-Budget-Übersicht'!$L:$L,0)),0)</f>
        <v>0</v>
      </c>
      <c r="R152" s="10">
        <v>427.5</v>
      </c>
      <c r="S152" s="4"/>
      <c r="T152" s="4"/>
      <c r="U152" s="4"/>
    </row>
    <row r="153" spans="1:21" x14ac:dyDescent="0.25">
      <c r="A153" s="4" t="s">
        <v>4980</v>
      </c>
      <c r="B153" s="4" t="s">
        <v>5487</v>
      </c>
      <c r="C153" s="4" t="str">
        <f>IFERROR(INDEX('Projekt-Budget-Übersicht'!$C:$C,MATCH(4962,'Projekt-Budget-Übersicht'!$L:$L,0)),"")</f>
        <v/>
      </c>
      <c r="D153" s="4">
        <v>26</v>
      </c>
      <c r="E153" s="4">
        <v>42.75</v>
      </c>
      <c r="F153" s="5">
        <f>SUM(F61,I61,K61)</f>
        <v>2.75</v>
      </c>
      <c r="G153" s="15">
        <v>164.42</v>
      </c>
      <c r="H153" s="5">
        <f>SUM(H61)</f>
        <v>0</v>
      </c>
      <c r="I153" s="5">
        <f t="shared" si="12"/>
        <v>0</v>
      </c>
      <c r="J153" s="4" t="s">
        <v>5531</v>
      </c>
      <c r="K153" s="5">
        <f>SUM(K61)</f>
        <v>0</v>
      </c>
      <c r="L153" s="10">
        <f>IF($B$2="-",0,IFERROR(INDEX(IF($B$2="SV",'Projekt-Budget-Übersicht'!$H:$H,IF($B$2="CAD",'Projekt-Budget-Übersicht'!$I:$I,IF($B$2="ADM",'Projekt-Budget-Übersicht'!$J:$J,'Projekt-Budget-Übersicht'!$H:$H))),MATCH(4962,'Projekt-Budget-Übersicht'!$L:$L,0)),0))</f>
        <v>0</v>
      </c>
      <c r="M153" s="10">
        <f t="shared" si="13"/>
        <v>0</v>
      </c>
      <c r="N153" s="10">
        <f t="shared" si="14"/>
        <v>0</v>
      </c>
      <c r="O153" s="10">
        <f t="shared" si="15"/>
        <v>0</v>
      </c>
      <c r="P153" s="10">
        <f>'A. Kokott'!M198+'E. Bieler'!M109+'J. Dorchies'!M46+'M. Bandlofsky'!M103+'T. Trautmann'!M153</f>
        <v>0</v>
      </c>
      <c r="Q153" s="10">
        <f>IFERROR(INDEX('Projekt-Budget-Übersicht'!$E:$E,MATCH(4962,'Projekt-Budget-Übersicht'!$L:$L,0)),0)</f>
        <v>0</v>
      </c>
      <c r="R153" s="10">
        <v>606.65</v>
      </c>
      <c r="S153" s="4"/>
      <c r="T153" s="4"/>
      <c r="U153" s="4"/>
    </row>
    <row r="154" spans="1:21" x14ac:dyDescent="0.25">
      <c r="A154" s="4" t="s">
        <v>5159</v>
      </c>
      <c r="B154" s="4" t="s">
        <v>5681</v>
      </c>
      <c r="C154" s="4" t="str">
        <f>IFERROR(INDEX('Projekt-Budget-Übersicht'!$C:$C,MATCH(5121,'Projekt-Budget-Übersicht'!$L:$L,0)),"")</f>
        <v/>
      </c>
      <c r="D154" s="4">
        <v>15.5</v>
      </c>
      <c r="E154" s="4">
        <v>15.5</v>
      </c>
      <c r="F154" s="5">
        <f>SUM(F62,I62,K62)</f>
        <v>1.25</v>
      </c>
      <c r="G154" s="14">
        <v>100</v>
      </c>
      <c r="H154" s="5">
        <f>SUM(H62)</f>
        <v>0</v>
      </c>
      <c r="I154" s="5">
        <f t="shared" si="12"/>
        <v>0</v>
      </c>
      <c r="J154" s="4" t="s">
        <v>5531</v>
      </c>
      <c r="K154" s="5">
        <f>SUM(K62)</f>
        <v>0</v>
      </c>
      <c r="L154" s="10">
        <f>IF($B$2="-",0,IFERROR(INDEX(IF($B$2="SV",'Projekt-Budget-Übersicht'!$H:$H,IF($B$2="CAD",'Projekt-Budget-Übersicht'!$I:$I,IF($B$2="ADM",'Projekt-Budget-Übersicht'!$J:$J,'Projekt-Budget-Übersicht'!$H:$H))),MATCH(5121,'Projekt-Budget-Übersicht'!$L:$L,0)),0))</f>
        <v>0</v>
      </c>
      <c r="M154" s="10">
        <f t="shared" si="13"/>
        <v>0</v>
      </c>
      <c r="N154" s="10">
        <f t="shared" si="14"/>
        <v>0</v>
      </c>
      <c r="O154" s="10">
        <f t="shared" si="15"/>
        <v>0</v>
      </c>
      <c r="P154" s="10">
        <f>'S. Schüler'!M184+'T. Trautmann'!M154</f>
        <v>0</v>
      </c>
      <c r="Q154" s="10">
        <f>IFERROR(INDEX('Projekt-Budget-Übersicht'!$E:$E,MATCH(5121,'Projekt-Budget-Übersicht'!$L:$L,0)),0)</f>
        <v>0</v>
      </c>
      <c r="R154" s="10">
        <v>1395</v>
      </c>
      <c r="S154" s="4"/>
      <c r="T154" s="4"/>
      <c r="U154" s="4"/>
    </row>
    <row r="155" spans="1:21" x14ac:dyDescent="0.25">
      <c r="A155" s="4" t="s">
        <v>5202</v>
      </c>
      <c r="B155" s="4" t="s">
        <v>5596</v>
      </c>
      <c r="C155" s="4" t="str">
        <f>IFERROR(INDEX('Projekt-Budget-Übersicht'!$C:$C,MATCH(5157,'Projekt-Budget-Übersicht'!$L:$L,0)),"")</f>
        <v/>
      </c>
      <c r="D155" s="4">
        <v>47</v>
      </c>
      <c r="E155" s="4">
        <v>46.5</v>
      </c>
      <c r="F155" s="5">
        <f>SUM(F63,F96,I63,I96,K63,K96)</f>
        <v>40.25</v>
      </c>
      <c r="G155" s="14">
        <v>98.94</v>
      </c>
      <c r="H155" s="5">
        <f>SUM(H63,H96)</f>
        <v>0</v>
      </c>
      <c r="I155" s="5">
        <f t="shared" si="12"/>
        <v>0</v>
      </c>
      <c r="J155" s="4" t="s">
        <v>5531</v>
      </c>
      <c r="K155" s="5">
        <f>SUM(K63,K96)</f>
        <v>0</v>
      </c>
      <c r="L155" s="10">
        <f>IF($B$2="-",0,IFERROR(INDEX(IF($B$2="SV",'Projekt-Budget-Übersicht'!$H:$H,IF($B$2="CAD",'Projekt-Budget-Übersicht'!$I:$I,IF($B$2="ADM",'Projekt-Budget-Übersicht'!$J:$J,'Projekt-Budget-Übersicht'!$H:$H))),MATCH(5157,'Projekt-Budget-Übersicht'!$L:$L,0)),0))</f>
        <v>0</v>
      </c>
      <c r="M155" s="10">
        <f t="shared" si="13"/>
        <v>0</v>
      </c>
      <c r="N155" s="10">
        <f t="shared" si="14"/>
        <v>0</v>
      </c>
      <c r="O155" s="10">
        <f t="shared" si="15"/>
        <v>0</v>
      </c>
      <c r="P155" s="10">
        <f>'T. Trautmann'!M155</f>
        <v>0</v>
      </c>
      <c r="Q155" s="10">
        <f>IFERROR(INDEX('Projekt-Budget-Übersicht'!$E:$E,MATCH(5157,'Projekt-Budget-Übersicht'!$L:$L,0)),0)</f>
        <v>0</v>
      </c>
      <c r="R155" s="10">
        <v>4148.29</v>
      </c>
      <c r="S155" s="4"/>
      <c r="T155" s="4"/>
      <c r="U155" s="4"/>
    </row>
    <row r="157" spans="1:21" x14ac:dyDescent="0.25">
      <c r="A157" s="3"/>
      <c r="B157" s="3" t="s">
        <v>5492</v>
      </c>
      <c r="C157" s="3"/>
      <c r="D157" s="3"/>
      <c r="E157" s="3"/>
      <c r="F157" s="6">
        <f>SUM(F20,F64,F97)</f>
        <v>381</v>
      </c>
      <c r="G157" s="3"/>
      <c r="H157" s="3"/>
      <c r="I157" s="3"/>
      <c r="J157" s="3"/>
      <c r="K157" s="3"/>
      <c r="L157" s="3"/>
      <c r="M157" s="17">
        <f>SUM(M112:M155)</f>
        <v>0</v>
      </c>
      <c r="N157" s="17">
        <f>SUM(N112:N155)</f>
        <v>0</v>
      </c>
      <c r="O157" s="17">
        <f>SUM(O112:O155)</f>
        <v>0</v>
      </c>
      <c r="P157" s="17">
        <f>SUM(P112:P155)</f>
        <v>0</v>
      </c>
      <c r="Q157" s="3"/>
      <c r="R157" s="3"/>
      <c r="S157" s="3"/>
      <c r="T157" s="3"/>
      <c r="U157" s="3"/>
    </row>
    <row r="158" spans="1:21" x14ac:dyDescent="0.25">
      <c r="A158" s="3"/>
      <c r="B158" s="3" t="s">
        <v>4</v>
      </c>
      <c r="C158" s="3"/>
      <c r="D158" s="3"/>
      <c r="E158" s="3"/>
      <c r="F158" s="6">
        <f>G158+H158</f>
        <v>291.5</v>
      </c>
      <c r="G158" s="6">
        <f>SUM(G21,G65,G98)</f>
        <v>291.5</v>
      </c>
      <c r="H158" s="6">
        <v>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1:21" x14ac:dyDescent="0.25">
      <c r="A159" s="3"/>
      <c r="B159" s="3" t="s">
        <v>5</v>
      </c>
      <c r="C159" s="3"/>
      <c r="D159" s="3"/>
      <c r="E159" s="3"/>
      <c r="F159" s="6">
        <f>G159+H159</f>
        <v>33.5</v>
      </c>
      <c r="G159" s="6">
        <f>SUM(G22,G66,G99)</f>
        <v>33.5</v>
      </c>
      <c r="H159" s="6">
        <v>0</v>
      </c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1:21" x14ac:dyDescent="0.25">
      <c r="A160" s="3"/>
      <c r="B160" s="3" t="s">
        <v>5493</v>
      </c>
      <c r="C160" s="3"/>
      <c r="D160" s="3"/>
      <c r="E160" s="3"/>
      <c r="F160" s="6">
        <f>SUM(F23,F67,F100)</f>
        <v>0</v>
      </c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1:21" x14ac:dyDescent="0.25">
      <c r="A161" s="18"/>
      <c r="B161" s="18" t="s">
        <v>5494</v>
      </c>
      <c r="C161" s="18"/>
      <c r="D161" s="18"/>
      <c r="E161" s="18"/>
      <c r="F161" s="19">
        <f>F158+F159+F160</f>
        <v>325</v>
      </c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3" spans="1:21" ht="15.75" x14ac:dyDescent="0.25">
      <c r="A163" s="2" t="s">
        <v>5532</v>
      </c>
    </row>
    <row r="164" spans="1:21" x14ac:dyDescent="0.25">
      <c r="A164" s="13" t="s">
        <v>10</v>
      </c>
      <c r="B164" s="13">
        <v>381</v>
      </c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</row>
    <row r="165" spans="1:21" x14ac:dyDescent="0.25">
      <c r="A165" s="13" t="s">
        <v>11</v>
      </c>
      <c r="B165" s="20">
        <f>SUM(F21,F65,F98)</f>
        <v>291.5</v>
      </c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</row>
    <row r="166" spans="1:21" x14ac:dyDescent="0.25">
      <c r="A166" s="13" t="s">
        <v>12</v>
      </c>
      <c r="B166" s="20">
        <f>SUM(F22,F66,F99)</f>
        <v>33.5</v>
      </c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</row>
  </sheetData>
  <mergeCells count="13">
    <mergeCell ref="A144:A145"/>
    <mergeCell ref="A115:A116"/>
    <mergeCell ref="A6:A8"/>
    <mergeCell ref="A112:A114"/>
    <mergeCell ref="A53:A54"/>
    <mergeCell ref="A128:A129"/>
    <mergeCell ref="A142:A143"/>
    <mergeCell ref="A74:A75"/>
    <mergeCell ref="A84:A85"/>
    <mergeCell ref="A28:A30"/>
    <mergeCell ref="A39:A40"/>
    <mergeCell ref="A51:A52"/>
    <mergeCell ref="A72:A73"/>
  </mergeCells>
  <conditionalFormatting sqref="I6:I19">
    <cfRule type="cellIs" dxfId="7" priority="1" stopIfTrue="1" operator="lessThan">
      <formula>0</formula>
    </cfRule>
  </conditionalFormatting>
  <conditionalFormatting sqref="I28:I63">
    <cfRule type="cellIs" dxfId="6" priority="15" stopIfTrue="1" operator="lessThan">
      <formula>0</formula>
    </cfRule>
  </conditionalFormatting>
  <conditionalFormatting sqref="I72:I96">
    <cfRule type="cellIs" dxfId="5" priority="51" stopIfTrue="1" operator="lessThan">
      <formula>0</formula>
    </cfRule>
  </conditionalFormatting>
  <conditionalFormatting sqref="I112:I155">
    <cfRule type="cellIs" dxfId="4" priority="76" stopIfTrue="1" operator="lessThan">
      <formula>0</formula>
    </cfRule>
  </conditionalFormatting>
  <dataValidations count="22">
    <dataValidation type="list" sqref="B2" xr:uid="{00000000-0002-0000-1300-000000000000}">
      <formula1>"SV,CAD,ADM,Pauschale,-"</formula1>
    </dataValidation>
    <dataValidation type="list" allowBlank="1" sqref="J6" xr:uid="{00000000-0002-0000-1300-000001000000}">
      <formula1>"A. Kokott,D. Brucker,E. Bieler,J. Dorchies,O. Haag BS-CAD,S. Schüler,U. Sutter ADM"</formula1>
    </dataValidation>
    <dataValidation type="list" allowBlank="1" sqref="T72:T96 T28:T63 T6:T19" xr:uid="{00000000-0002-0000-1300-000002000000}">
      <formula1>"SR,AZ"</formula1>
    </dataValidation>
    <dataValidation type="list" allowBlank="1" sqref="J7" xr:uid="{00000000-0002-0000-1300-000003000000}">
      <formula1>"A. Kokott,C. Trapp SV,D. Brucker,E. Bieler,J. Dorchies,J. Dorn,M. Bandlofsky,U. Sutter ADM"</formula1>
    </dataValidation>
    <dataValidation type="list" allowBlank="1" sqref="J8 J87 J42" xr:uid="{00000000-0002-0000-1300-000005000000}">
      <formula1>"J. Dorn"</formula1>
    </dataValidation>
    <dataValidation type="list" allowBlank="1" sqref="J10" xr:uid="{00000000-0002-0000-1300-000008000000}">
      <formula1>"E. Bieler"</formula1>
    </dataValidation>
    <dataValidation type="list" allowBlank="1" sqref="J14" xr:uid="{00000000-0002-0000-1300-00000D000000}">
      <formula1>"O. Haag BS-CAD"</formula1>
    </dataValidation>
    <dataValidation type="list" allowBlank="1" sqref="J15" xr:uid="{00000000-0002-0000-1300-00000F000000}">
      <formula1>"M. Bandlofsky CAD"</formula1>
    </dataValidation>
    <dataValidation type="list" allowBlank="1" sqref="J28" xr:uid="{00000000-0002-0000-1300-000015000000}">
      <formula1>"A. Kokott,J. Dorn,O. Haag BS-CAD,P. Bergner,R. Böttiger,U. Sutter ADM"</formula1>
    </dataValidation>
    <dataValidation type="list" allowBlank="1" sqref="J29" xr:uid="{00000000-0002-0000-1300-000017000000}">
      <formula1>"A. Kokott,M. Bandlofsky,O. Haag BS-CAD,P. Bergner,R. Wagen CAD,U. Sutter ADM"</formula1>
    </dataValidation>
    <dataValidation type="list" allowBlank="1" sqref="J30" xr:uid="{00000000-0002-0000-1300-000019000000}">
      <formula1>"C. Trapp SV,J. Dorn"</formula1>
    </dataValidation>
    <dataValidation type="list" allowBlank="1" sqref="J41 J91 J50" xr:uid="{00000000-0002-0000-1300-000025000000}">
      <formula1>"A. Kokott,J. Dorn"</formula1>
    </dataValidation>
    <dataValidation type="list" allowBlank="1" sqref="J92 J90 J62 J51:J52" xr:uid="{00000000-0002-0000-1300-000032000000}">
      <formula1>"S. Schüler"</formula1>
    </dataValidation>
    <dataValidation type="list" allowBlank="1" sqref="J54" xr:uid="{00000000-0002-0000-1300-000037000000}">
      <formula1>"M. Warner"</formula1>
    </dataValidation>
    <dataValidation type="list" allowBlank="1" sqref="J57" xr:uid="{00000000-0002-0000-1300-00003B000000}">
      <formula1>"R. Böttiger"</formula1>
    </dataValidation>
    <dataValidation type="list" allowBlank="1" sqref="J59" xr:uid="{00000000-0002-0000-1300-00003E000000}">
      <formula1>"H. Bektas,R. Böttiger"</formula1>
    </dataValidation>
    <dataValidation type="list" allowBlank="1" sqref="J61" xr:uid="{00000000-0002-0000-1300-000041000000}">
      <formula1>"J. Dorchies,M. Bandlofsky"</formula1>
    </dataValidation>
    <dataValidation type="list" allowBlank="1" sqref="J72" xr:uid="{00000000-0002-0000-1300-000046000000}">
      <formula1>"A. Kokott,C. Trapp SV,J. Dorn,M. Bandlofsky,O. Haag BS-CAD,R. Wagen CAD,U. Sutter ADM"</formula1>
    </dataValidation>
    <dataValidation type="list" allowBlank="1" sqref="J73" xr:uid="{00000000-0002-0000-1300-000048000000}">
      <formula1>"C. Trapp SV,J. Dorn,O. Haag BS-CAD,P. Bergner"</formula1>
    </dataValidation>
    <dataValidation type="list" allowBlank="1" sqref="J80 J82" xr:uid="{00000000-0002-0000-1300-000050000000}">
      <formula1>"M. Bandlofsky"</formula1>
    </dataValidation>
    <dataValidation type="list" allowBlank="1" sqref="J88" xr:uid="{00000000-0002-0000-1300-00005B000000}">
      <formula1>"A. Kokott,J. Dorn,M. Bandlofsky,O. Haag BS-CAD"</formula1>
    </dataValidation>
    <dataValidation type="list" allowBlank="1" sqref="J94" xr:uid="{00000000-0002-0000-1300-000065000000}">
      <formula1>"J. Dorn,R. Böttiger"</formula1>
    </dataValidation>
  </dataValidation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21"/>
  <dimension ref="A1:U106"/>
  <sheetViews>
    <sheetView workbookViewId="0"/>
  </sheetViews>
  <sheetFormatPr baseColWidth="10" defaultColWidth="9.140625" defaultRowHeight="15" x14ac:dyDescent="0.25"/>
  <cols>
    <col min="1" max="1" width="40" customWidth="1"/>
    <col min="2" max="2" width="50" customWidth="1"/>
    <col min="3" max="3" width="18" customWidth="1"/>
    <col min="4" max="6" width="12" customWidth="1"/>
    <col min="7" max="7" width="8" customWidth="1"/>
    <col min="8" max="8" width="16" customWidth="1"/>
    <col min="9" max="9" width="12" customWidth="1"/>
    <col min="10" max="10" width="25" customWidth="1"/>
    <col min="11" max="11" width="15" customWidth="1"/>
    <col min="12" max="12" width="18" customWidth="1"/>
    <col min="13" max="13" width="15" customWidth="1"/>
    <col min="14" max="15" width="18" customWidth="1"/>
    <col min="16" max="17" width="22" customWidth="1"/>
    <col min="18" max="18" width="18" customWidth="1"/>
    <col min="19" max="19" width="15" customWidth="1"/>
    <col min="20" max="20" width="12" customWidth="1"/>
    <col min="21" max="21" width="30" customWidth="1"/>
  </cols>
  <sheetData>
    <row r="1" spans="1:21" x14ac:dyDescent="0.25">
      <c r="A1" t="s">
        <v>5699</v>
      </c>
    </row>
    <row r="2" spans="1:21" x14ac:dyDescent="0.25">
      <c r="A2" s="13" t="s">
        <v>5458</v>
      </c>
      <c r="B2" t="s">
        <v>5459</v>
      </c>
    </row>
    <row r="4" spans="1:21" ht="15.75" x14ac:dyDescent="0.25">
      <c r="A4" s="2" t="s">
        <v>5460</v>
      </c>
    </row>
    <row r="5" spans="1:21" x14ac:dyDescent="0.25">
      <c r="A5" s="3" t="s">
        <v>35</v>
      </c>
      <c r="B5" s="3" t="s">
        <v>5461</v>
      </c>
      <c r="C5" s="3" t="s">
        <v>37</v>
      </c>
      <c r="D5" s="3" t="s">
        <v>5462</v>
      </c>
      <c r="E5" s="3" t="s">
        <v>5463</v>
      </c>
      <c r="F5" s="3" t="s">
        <v>5464</v>
      </c>
      <c r="G5" s="3" t="s">
        <v>5465</v>
      </c>
      <c r="H5" s="3" t="s">
        <v>5466</v>
      </c>
      <c r="I5" s="3" t="s">
        <v>5467</v>
      </c>
      <c r="J5" s="3" t="s">
        <v>5468</v>
      </c>
      <c r="K5" s="3" t="s">
        <v>5469</v>
      </c>
      <c r="L5" s="3" t="s">
        <v>5470</v>
      </c>
      <c r="M5" s="3" t="s">
        <v>5471</v>
      </c>
      <c r="N5" s="3" t="s">
        <v>5472</v>
      </c>
      <c r="O5" s="3" t="s">
        <v>5473</v>
      </c>
      <c r="P5" s="3" t="s">
        <v>5474</v>
      </c>
      <c r="Q5" s="3" t="s">
        <v>5475</v>
      </c>
      <c r="R5" s="3" t="s">
        <v>5476</v>
      </c>
      <c r="S5" s="3" t="s">
        <v>5477</v>
      </c>
      <c r="T5" s="3" t="s">
        <v>5478</v>
      </c>
      <c r="U5" s="3" t="s">
        <v>5479</v>
      </c>
    </row>
    <row r="6" spans="1:21" x14ac:dyDescent="0.25">
      <c r="A6" s="21" t="s">
        <v>61</v>
      </c>
      <c r="B6" s="4" t="s">
        <v>5480</v>
      </c>
      <c r="C6" s="4" t="str">
        <f>IFERROR(INDEX('Projekt-Budget-Übersicht'!$C:$C,MATCH(10,'Projekt-Budget-Übersicht'!$L:$L,0)),"")</f>
        <v/>
      </c>
      <c r="D6" s="4">
        <v>8</v>
      </c>
      <c r="E6" s="4">
        <v>8</v>
      </c>
      <c r="F6" s="4">
        <v>8</v>
      </c>
      <c r="G6" s="14">
        <v>100</v>
      </c>
      <c r="H6" s="5"/>
      <c r="I6" s="5">
        <f t="shared" ref="I6:I19" si="0">IF(H6=0,0,F6-H6)</f>
        <v>0</v>
      </c>
      <c r="J6" s="4"/>
      <c r="K6" s="5">
        <f>IF('A. Kokott'!J6="U. Sutter ADM",'A. Kokott'!I6,0)+IF('D. Brucker'!J6="U. Sutter ADM",'D. Brucker'!I6,0)+IF('E. Bieler'!J6="U. Sutter ADM",'E. Bieler'!I6,0)+IF('J. Dorchies'!J6="U. Sutter ADM",'J. Dorchies'!I6,0)+IF('O. Haag BS-CAD'!J6="U. Sutter ADM",'O. Haag BS-CAD'!I6,0)+IF('S. Schüler'!J6="U. Sutter ADM",'S. Schüler'!I6,0)+IF('T. Trautmann'!J6="U. Sutter ADM",'T. Trautmann'!I6,0)</f>
        <v>0</v>
      </c>
      <c r="L6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6" s="10">
        <f t="shared" ref="M6:M19" si="1">IF($B$2="-",0,IF(C6="Pauschale",IF(OR(R6=0,N(D6)=0),0,MAX(0,MIN(R6*((N(F6)+N(K6))/N(D6)),R6-R6*(N(E6)/N(D6))))),L6*(N(F6)+N(K6))))</f>
        <v>0</v>
      </c>
      <c r="N6" s="10">
        <f t="shared" ref="N6:N19" si="2">IF($B$2="-",0,IF(C6="Pauschale",IF(OR(R6=0,N(D6)=0),0,R6*((N(F6)+N(K6))/N(D6))),L6*(N(F6)+N(K6))))</f>
        <v>0</v>
      </c>
      <c r="O6" s="10">
        <f t="shared" ref="O6:O19" si="3">N6-M6</f>
        <v>0</v>
      </c>
      <c r="P6" s="10">
        <f>'A. Kokott'!M6+'D. Brucker'!M6+'E. Bieler'!M6+'J. Dorchies'!M6+'O. Haag BS-CAD'!M6+'S. Schüler'!M6+'T. Trautmann'!M6+'U. Sutter ADM'!M6</f>
        <v>0</v>
      </c>
      <c r="Q6" s="10">
        <v>132</v>
      </c>
      <c r="R6" s="10">
        <f>IFERROR(INDEX('Projekt-Budget-Übersicht'!$F:$F,MATCH(10,'Projekt-Budget-Übersicht'!$L:$L,0)),0)</f>
        <v>0</v>
      </c>
      <c r="S6" s="10">
        <v>68628.19</v>
      </c>
      <c r="T6" s="4"/>
      <c r="U6" s="4"/>
    </row>
    <row r="7" spans="1:21" x14ac:dyDescent="0.25">
      <c r="A7" s="22"/>
      <c r="B7" s="4" t="s">
        <v>5481</v>
      </c>
      <c r="C7" s="4" t="str">
        <f>IFERROR(INDEX('Projekt-Budget-Übersicht'!$C:$C,MATCH(10,'Projekt-Budget-Übersicht'!$L:$L,0)),"")</f>
        <v/>
      </c>
      <c r="D7" s="4">
        <v>8</v>
      </c>
      <c r="E7" s="4">
        <v>0.5</v>
      </c>
      <c r="F7" s="4">
        <v>0.5</v>
      </c>
      <c r="G7" s="16">
        <v>6.25</v>
      </c>
      <c r="H7" s="5"/>
      <c r="I7" s="5">
        <f t="shared" si="0"/>
        <v>0</v>
      </c>
      <c r="J7" s="4"/>
      <c r="K7" s="5">
        <f>IF('A. Kokott'!J7="U. Sutter ADM",'A. Kokott'!I7,0)+IF('C. Trapp SV'!J6="U. Sutter ADM",'C. Trapp SV'!I6,0)+IF('D. Brucker'!J7="U. Sutter ADM",'D. Brucker'!I7,0)+IF('E. Bieler'!J7="U. Sutter ADM",'E. Bieler'!I7,0)+IF('J. Dorchies'!J7="U. Sutter ADM",'J. Dorchies'!I7,0)+IF('J. Dorn'!J6="U. Sutter ADM",'J. Dorn'!I6,0)+IF('M. Bandlofsky'!J6="U. Sutter ADM",'M. Bandlofsky'!I6,0)+IF('T. Trautmann'!J7="U. Sutter ADM",'T. Trautmann'!I7,0)</f>
        <v>0</v>
      </c>
      <c r="L7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7" s="10">
        <f t="shared" si="1"/>
        <v>0</v>
      </c>
      <c r="N7" s="10">
        <f t="shared" si="2"/>
        <v>0</v>
      </c>
      <c r="O7" s="10">
        <f t="shared" si="3"/>
        <v>0</v>
      </c>
      <c r="P7" s="10">
        <f>'A. Kokott'!M7+'C. Trapp SV'!M6+'D. Brucker'!M7+'E. Bieler'!M7+'J. Dorchies'!M7+'J. Dorn'!M6+'M. Bandlofsky'!M6+'T. Trautmann'!M7+'U. Sutter ADM'!M7</f>
        <v>0</v>
      </c>
      <c r="Q7" s="10">
        <v>132</v>
      </c>
      <c r="R7" s="10">
        <f>IFERROR(INDEX('Projekt-Budget-Übersicht'!$F:$F,MATCH(10,'Projekt-Budget-Übersicht'!$L:$L,0)),0)</f>
        <v>0</v>
      </c>
      <c r="S7" s="10">
        <v>68628.19</v>
      </c>
      <c r="T7" s="4"/>
      <c r="U7" s="4"/>
    </row>
    <row r="8" spans="1:21" x14ac:dyDescent="0.25">
      <c r="A8" s="4" t="s">
        <v>148</v>
      </c>
      <c r="B8" s="4" t="s">
        <v>5544</v>
      </c>
      <c r="C8" s="4" t="str">
        <f>IFERROR(INDEX('Projekt-Budget-Übersicht'!$C:$C,MATCH(68,'Projekt-Budget-Übersicht'!$L:$L,0)),"")</f>
        <v/>
      </c>
      <c r="D8" s="4">
        <v>0</v>
      </c>
      <c r="E8" s="4">
        <v>42.75</v>
      </c>
      <c r="F8" s="4">
        <v>0.75</v>
      </c>
      <c r="G8" s="4">
        <v>0</v>
      </c>
      <c r="H8" s="5"/>
      <c r="I8" s="5">
        <f t="shared" si="0"/>
        <v>0</v>
      </c>
      <c r="J8" s="4"/>
      <c r="K8" s="5">
        <v>0</v>
      </c>
      <c r="L8" s="10">
        <f>IF($B$2="-",0,IFERROR(INDEX(IF($B$2="SV",'Projekt-Budget-Übersicht'!$I:$I,IF($B$2="CAD",'Projekt-Budget-Übersicht'!$J:$J,IF($B$2="ADM",'Projekt-Budget-Übersicht'!$K:$K,'Projekt-Budget-Übersicht'!$I:$I))),MATCH(68,'Projekt-Budget-Übersicht'!$M:$M,0)),0))</f>
        <v>0</v>
      </c>
      <c r="M8" s="10">
        <f t="shared" si="1"/>
        <v>0</v>
      </c>
      <c r="N8" s="10">
        <f t="shared" si="2"/>
        <v>0</v>
      </c>
      <c r="O8" s="10">
        <f t="shared" si="3"/>
        <v>0</v>
      </c>
      <c r="P8" s="10">
        <f>'U. Sutter ADM'!M8</f>
        <v>0</v>
      </c>
      <c r="Q8" s="10">
        <v>10</v>
      </c>
      <c r="R8" s="10">
        <f>IFERROR(INDEX('Projekt-Budget-Übersicht'!$F:$F,MATCH(68,'Projekt-Budget-Übersicht'!$L:$L,0)),0)</f>
        <v>0</v>
      </c>
      <c r="S8" s="10">
        <v>1338.4</v>
      </c>
      <c r="T8" s="4"/>
      <c r="U8" s="4"/>
    </row>
    <row r="9" spans="1:21" x14ac:dyDescent="0.25">
      <c r="A9" s="4" t="s">
        <v>672</v>
      </c>
      <c r="B9" s="4" t="s">
        <v>5534</v>
      </c>
      <c r="C9" s="4" t="str">
        <f>IFERROR(INDEX('Projekt-Budget-Übersicht'!$C:$C,MATCH(690,'Projekt-Budget-Übersicht'!$L:$L,0)),"")</f>
        <v/>
      </c>
      <c r="D9" s="4">
        <v>40</v>
      </c>
      <c r="E9" s="4">
        <v>468.75</v>
      </c>
      <c r="F9" s="4">
        <v>0.5</v>
      </c>
      <c r="G9" s="15">
        <v>1171.8800000000001</v>
      </c>
      <c r="H9" s="5"/>
      <c r="I9" s="5">
        <f t="shared" si="0"/>
        <v>0</v>
      </c>
      <c r="J9" s="4"/>
      <c r="K9" s="5">
        <f>IF('C. Trapp SV'!J7="U. Sutter ADM",'C. Trapp SV'!I7,0)</f>
        <v>0</v>
      </c>
      <c r="L9" s="10">
        <f>IF($B$2="-",0,IFERROR(INDEX(IF($B$2="SV",'Projekt-Budget-Übersicht'!$I:$I,IF($B$2="CAD",'Projekt-Budget-Übersicht'!$J:$J,IF($B$2="ADM",'Projekt-Budget-Übersicht'!$K:$K,'Projekt-Budget-Übersicht'!$I:$I))),MATCH(690,'Projekt-Budget-Übersicht'!$M:$M,0)),0))</f>
        <v>115</v>
      </c>
      <c r="M9" s="10">
        <f t="shared" si="1"/>
        <v>57.5</v>
      </c>
      <c r="N9" s="10">
        <f t="shared" si="2"/>
        <v>57.5</v>
      </c>
      <c r="O9" s="10">
        <f t="shared" si="3"/>
        <v>0</v>
      </c>
      <c r="P9" s="10">
        <f>'C. Trapp SV'!M7+'U. Sutter ADM'!M9</f>
        <v>977.5</v>
      </c>
      <c r="Q9" s="10">
        <v>40</v>
      </c>
      <c r="R9" s="10">
        <f>IFERROR(INDEX('Projekt-Budget-Übersicht'!$F:$F,MATCH(690,'Projekt-Budget-Übersicht'!$L:$L,0)),0)</f>
        <v>0</v>
      </c>
      <c r="S9" s="10">
        <v>17.5</v>
      </c>
      <c r="T9" s="4"/>
      <c r="U9" s="4"/>
    </row>
    <row r="10" spans="1:21" x14ac:dyDescent="0.25">
      <c r="A10" s="21" t="s">
        <v>865</v>
      </c>
      <c r="B10" s="4" t="s">
        <v>5535</v>
      </c>
      <c r="C10" s="4" t="str">
        <f>IFERROR(INDEX('Projekt-Budget-Übersicht'!$C:$C,MATCH(890,'Projekt-Budget-Übersicht'!$L:$L,0)),"")</f>
        <v/>
      </c>
      <c r="D10" s="4">
        <v>6</v>
      </c>
      <c r="E10" s="4">
        <v>16.75</v>
      </c>
      <c r="F10" s="4">
        <v>4</v>
      </c>
      <c r="G10" s="15">
        <v>279.17</v>
      </c>
      <c r="H10" s="5"/>
      <c r="I10" s="5">
        <f t="shared" si="0"/>
        <v>0</v>
      </c>
      <c r="J10" s="4"/>
      <c r="K10" s="5">
        <f>IF('C. Trapp SV'!J8="U. Sutter ADM",'C. Trapp SV'!I8,0)</f>
        <v>0</v>
      </c>
      <c r="L10" s="10">
        <f>IF($B$2="-",0,IFERROR(INDEX(IF($B$2="SV",'Projekt-Budget-Übersicht'!$I:$I,IF($B$2="CAD",'Projekt-Budget-Übersicht'!$J:$J,IF($B$2="ADM",'Projekt-Budget-Übersicht'!$K:$K,'Projekt-Budget-Übersicht'!$I:$I))),MATCH(890,'Projekt-Budget-Übersicht'!$M:$M,0)),0))</f>
        <v>0</v>
      </c>
      <c r="M10" s="10">
        <f t="shared" si="1"/>
        <v>0</v>
      </c>
      <c r="N10" s="10">
        <f t="shared" si="2"/>
        <v>0</v>
      </c>
      <c r="O10" s="10">
        <f t="shared" si="3"/>
        <v>0</v>
      </c>
      <c r="P10" s="10">
        <f>'C. Trapp SV'!M8+'U. Sutter ADM'!M10</f>
        <v>0</v>
      </c>
      <c r="Q10" s="10">
        <v>63</v>
      </c>
      <c r="R10" s="10">
        <f>IFERROR(INDEX('Projekt-Budget-Übersicht'!$F:$F,MATCH(890,'Projekt-Budget-Übersicht'!$L:$L,0)),0)</f>
        <v>0</v>
      </c>
      <c r="S10" s="10">
        <v>7717.86</v>
      </c>
      <c r="T10" s="4"/>
      <c r="U10" s="4"/>
    </row>
    <row r="11" spans="1:21" x14ac:dyDescent="0.25">
      <c r="A11" s="22"/>
      <c r="B11" s="4" t="s">
        <v>5604</v>
      </c>
      <c r="C11" s="4" t="str">
        <f>IFERROR(INDEX('Projekt-Budget-Übersicht'!$C:$C,MATCH(892,'Projekt-Budget-Übersicht'!$L:$L,0)),"")</f>
        <v/>
      </c>
      <c r="D11" s="4">
        <v>6.5</v>
      </c>
      <c r="E11" s="4">
        <v>10.5</v>
      </c>
      <c r="F11" s="4">
        <v>0.75</v>
      </c>
      <c r="G11" s="15">
        <v>161.54</v>
      </c>
      <c r="H11" s="5"/>
      <c r="I11" s="5">
        <f t="shared" si="0"/>
        <v>0</v>
      </c>
      <c r="J11" s="4"/>
      <c r="K11" s="5">
        <f>IF('S. Schüler'!J14="U. Sutter ADM",'S. Schüler'!I14,0)</f>
        <v>0</v>
      </c>
      <c r="L11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11" s="10">
        <f t="shared" si="1"/>
        <v>0</v>
      </c>
      <c r="N11" s="10">
        <f t="shared" si="2"/>
        <v>0</v>
      </c>
      <c r="O11" s="10">
        <f t="shared" si="3"/>
        <v>0</v>
      </c>
      <c r="P11" s="10">
        <f>'S. Schüler'!M14+'U. Sutter ADM'!M11</f>
        <v>0</v>
      </c>
      <c r="Q11" s="10">
        <v>107</v>
      </c>
      <c r="R11" s="10">
        <f>IFERROR(INDEX('Projekt-Budget-Übersicht'!$F:$F,MATCH(892,'Projekt-Budget-Übersicht'!$L:$L,0)),0)</f>
        <v>0</v>
      </c>
      <c r="S11" s="10">
        <v>12383.75</v>
      </c>
      <c r="T11" s="4"/>
      <c r="U11" s="4"/>
    </row>
    <row r="12" spans="1:21" x14ac:dyDescent="0.25">
      <c r="A12" s="4" t="s">
        <v>1377</v>
      </c>
      <c r="B12" s="4" t="s">
        <v>5602</v>
      </c>
      <c r="C12" s="4" t="str">
        <f>IFERROR(INDEX('Projekt-Budget-Übersicht'!$C:$C,MATCH(1491,'Projekt-Budget-Übersicht'!$L:$L,0)),"")</f>
        <v/>
      </c>
      <c r="D12" s="4">
        <v>40</v>
      </c>
      <c r="E12" s="4">
        <v>59</v>
      </c>
      <c r="F12" s="4">
        <v>0.25</v>
      </c>
      <c r="G12" s="15">
        <v>147.5</v>
      </c>
      <c r="H12" s="5"/>
      <c r="I12" s="5">
        <f t="shared" si="0"/>
        <v>0</v>
      </c>
      <c r="J12" s="4"/>
      <c r="K12" s="5">
        <v>0</v>
      </c>
      <c r="L12" s="10">
        <f>IF($B$2="-",0,IFERROR(INDEX(IF($B$2="SV",'Projekt-Budget-Übersicht'!$I:$I,IF($B$2="CAD",'Projekt-Budget-Übersicht'!$J:$J,IF($B$2="ADM",'Projekt-Budget-Übersicht'!$K:$K,'Projekt-Budget-Übersicht'!$I:$I))),MATCH(1491,'Projekt-Budget-Übersicht'!$M:$M,0)),0))</f>
        <v>0</v>
      </c>
      <c r="M12" s="10">
        <f t="shared" si="1"/>
        <v>0</v>
      </c>
      <c r="N12" s="10">
        <f t="shared" si="2"/>
        <v>0</v>
      </c>
      <c r="O12" s="10">
        <f t="shared" si="3"/>
        <v>0</v>
      </c>
      <c r="P12" s="10">
        <f>'U. Sutter ADM'!M12</f>
        <v>0</v>
      </c>
      <c r="Q12" s="10">
        <v>652.5</v>
      </c>
      <c r="R12" s="10">
        <f>IFERROR(INDEX('Projekt-Budget-Übersicht'!$F:$F,MATCH(1491,'Projekt-Budget-Übersicht'!$L:$L,0)),0)</f>
        <v>0</v>
      </c>
      <c r="S12" s="10">
        <v>21224.71</v>
      </c>
      <c r="T12" s="4"/>
      <c r="U12" s="4"/>
    </row>
    <row r="13" spans="1:21" x14ac:dyDescent="0.25">
      <c r="A13" s="21" t="s">
        <v>1383</v>
      </c>
      <c r="B13" s="4" t="s">
        <v>5485</v>
      </c>
      <c r="C13" s="4" t="str">
        <f>IFERROR(INDEX('Projekt-Budget-Übersicht'!$C:$C,MATCH(1499,'Projekt-Budget-Übersicht'!$L:$L,0)),"")</f>
        <v/>
      </c>
      <c r="D13" s="4">
        <v>40</v>
      </c>
      <c r="E13" s="4">
        <v>4.75</v>
      </c>
      <c r="F13" s="4">
        <v>4.5</v>
      </c>
      <c r="G13" s="16">
        <v>11.88</v>
      </c>
      <c r="H13" s="5"/>
      <c r="I13" s="5">
        <f t="shared" si="0"/>
        <v>0</v>
      </c>
      <c r="J13" s="4"/>
      <c r="K13" s="5">
        <v>0</v>
      </c>
      <c r="L13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3" s="10">
        <f t="shared" si="1"/>
        <v>0</v>
      </c>
      <c r="N13" s="10">
        <f t="shared" si="2"/>
        <v>0</v>
      </c>
      <c r="O13" s="10">
        <f t="shared" si="3"/>
        <v>0</v>
      </c>
      <c r="P13" s="10">
        <f>'U. Sutter ADM'!M13</f>
        <v>0</v>
      </c>
      <c r="Q13" s="10">
        <v>451</v>
      </c>
      <c r="R13" s="10">
        <f>IFERROR(INDEX('Projekt-Budget-Übersicht'!$F:$F,MATCH(1499,'Projekt-Budget-Übersicht'!$L:$L,0)),0)</f>
        <v>0</v>
      </c>
      <c r="S13" s="10">
        <v>15665.4</v>
      </c>
      <c r="T13" s="4"/>
      <c r="U13" s="4"/>
    </row>
    <row r="14" spans="1:21" x14ac:dyDescent="0.25">
      <c r="A14" s="22"/>
      <c r="B14" s="4" t="s">
        <v>5536</v>
      </c>
      <c r="C14" s="4" t="str">
        <f>IFERROR(INDEX('Projekt-Budget-Übersicht'!$C:$C,MATCH(1499,'Projekt-Budget-Übersicht'!$L:$L,0)),"")</f>
        <v/>
      </c>
      <c r="D14" s="4">
        <v>20</v>
      </c>
      <c r="E14" s="4">
        <v>2.75</v>
      </c>
      <c r="F14" s="4">
        <v>0.5</v>
      </c>
      <c r="G14" s="16">
        <v>13.75</v>
      </c>
      <c r="H14" s="5"/>
      <c r="I14" s="5">
        <f t="shared" si="0"/>
        <v>0</v>
      </c>
      <c r="J14" s="4"/>
      <c r="K14" s="5">
        <f>IF('J. Dorn'!J10="U. Sutter ADM",'J. Dorn'!I10,0)</f>
        <v>0</v>
      </c>
      <c r="L14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14" s="10">
        <f t="shared" si="1"/>
        <v>0</v>
      </c>
      <c r="N14" s="10">
        <f t="shared" si="2"/>
        <v>0</v>
      </c>
      <c r="O14" s="10">
        <f t="shared" si="3"/>
        <v>0</v>
      </c>
      <c r="P14" s="10">
        <f>'J. Dorn'!M10+'U. Sutter ADM'!M14</f>
        <v>0</v>
      </c>
      <c r="Q14" s="10">
        <v>451</v>
      </c>
      <c r="R14" s="10">
        <f>IFERROR(INDEX('Projekt-Budget-Übersicht'!$F:$F,MATCH(1499,'Projekt-Budget-Übersicht'!$L:$L,0)),0)</f>
        <v>0</v>
      </c>
      <c r="S14" s="10">
        <v>15665.4</v>
      </c>
      <c r="T14" s="4"/>
      <c r="U14" s="4"/>
    </row>
    <row r="15" spans="1:21" x14ac:dyDescent="0.25">
      <c r="A15" s="4" t="s">
        <v>1490</v>
      </c>
      <c r="B15" s="4" t="s">
        <v>5543</v>
      </c>
      <c r="C15" s="4" t="str">
        <f>IFERROR(INDEX('Projekt-Budget-Übersicht'!$C:$C,MATCH(1678,'Projekt-Budget-Übersicht'!$L:$L,0)),"")</f>
        <v/>
      </c>
      <c r="D15" s="4">
        <v>240</v>
      </c>
      <c r="E15" s="4">
        <v>168.5</v>
      </c>
      <c r="F15" s="4">
        <v>2.75</v>
      </c>
      <c r="G15" s="16">
        <v>70.209999999999994</v>
      </c>
      <c r="H15" s="5"/>
      <c r="I15" s="5">
        <f t="shared" si="0"/>
        <v>0</v>
      </c>
      <c r="J15" s="4"/>
      <c r="K15" s="5">
        <f>IF('C. Trapp SV'!J17="U. Sutter ADM",'C. Trapp SV'!I17,0)</f>
        <v>0</v>
      </c>
      <c r="L15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15" s="10">
        <f t="shared" si="1"/>
        <v>0</v>
      </c>
      <c r="N15" s="10">
        <f t="shared" si="2"/>
        <v>0</v>
      </c>
      <c r="O15" s="10">
        <f t="shared" si="3"/>
        <v>0</v>
      </c>
      <c r="P15" s="10">
        <f>'C. Trapp SV'!M17+'U. Sutter ADM'!M15</f>
        <v>0</v>
      </c>
      <c r="Q15" s="10">
        <v>272</v>
      </c>
      <c r="R15" s="10">
        <f>IFERROR(INDEX('Projekt-Budget-Übersicht'!$F:$F,MATCH(1678,'Projekt-Budget-Übersicht'!$L:$L,0)),0)</f>
        <v>0</v>
      </c>
      <c r="S15" s="10">
        <v>4718.17</v>
      </c>
      <c r="T15" s="4"/>
      <c r="U15" s="4"/>
    </row>
    <row r="16" spans="1:21" x14ac:dyDescent="0.25">
      <c r="A16" s="4" t="s">
        <v>1497</v>
      </c>
      <c r="B16" s="4" t="s">
        <v>5700</v>
      </c>
      <c r="C16" s="4" t="str">
        <f>IFERROR(INDEX('Projekt-Budget-Übersicht'!$C:$C,MATCH(1684,'Projekt-Budget-Übersicht'!$L:$L,0)),"")</f>
        <v/>
      </c>
      <c r="D16" s="4">
        <v>60</v>
      </c>
      <c r="E16" s="4">
        <v>45.5</v>
      </c>
      <c r="F16" s="4">
        <v>0.5</v>
      </c>
      <c r="G16" s="16">
        <v>75.83</v>
      </c>
      <c r="H16" s="5"/>
      <c r="I16" s="5">
        <f t="shared" si="0"/>
        <v>0</v>
      </c>
      <c r="J16" s="4"/>
      <c r="K16" s="5">
        <v>0</v>
      </c>
      <c r="L16" s="10">
        <f>IF($B$2="-",0,IFERROR(INDEX(IF($B$2="SV",'Projekt-Budget-Übersicht'!$I:$I,IF($B$2="CAD",'Projekt-Budget-Übersicht'!$J:$J,IF($B$2="ADM",'Projekt-Budget-Übersicht'!$K:$K,'Projekt-Budget-Übersicht'!$I:$I))),MATCH(1684,'Projekt-Budget-Übersicht'!$M:$M,0)),0))</f>
        <v>0</v>
      </c>
      <c r="M16" s="10">
        <f t="shared" si="1"/>
        <v>0</v>
      </c>
      <c r="N16" s="10">
        <f t="shared" si="2"/>
        <v>0</v>
      </c>
      <c r="O16" s="10">
        <f t="shared" si="3"/>
        <v>0</v>
      </c>
      <c r="P16" s="10">
        <f>'U. Sutter ADM'!M16</f>
        <v>0</v>
      </c>
      <c r="Q16" s="10">
        <v>60</v>
      </c>
      <c r="R16" s="10">
        <f>IFERROR(INDEX('Projekt-Budget-Übersicht'!$F:$F,MATCH(1684,'Projekt-Budget-Übersicht'!$L:$L,0)),0)</f>
        <v>0</v>
      </c>
      <c r="S16" s="10">
        <v>1597.72</v>
      </c>
      <c r="T16" s="4"/>
      <c r="U16" s="4"/>
    </row>
    <row r="17" spans="1:21" x14ac:dyDescent="0.25">
      <c r="A17" s="4" t="s">
        <v>3146</v>
      </c>
      <c r="B17" s="4" t="s">
        <v>5484</v>
      </c>
      <c r="C17" s="4" t="str">
        <f>IFERROR(INDEX('Projekt-Budget-Übersicht'!$C:$C,MATCH(3387,'Projekt-Budget-Übersicht'!$L:$L,0)),"")</f>
        <v/>
      </c>
      <c r="D17" s="4">
        <v>2</v>
      </c>
      <c r="E17" s="4">
        <v>8.25</v>
      </c>
      <c r="F17" s="4">
        <v>1.75</v>
      </c>
      <c r="G17" s="15">
        <v>412.5</v>
      </c>
      <c r="H17" s="5"/>
      <c r="I17" s="5">
        <f t="shared" si="0"/>
        <v>0</v>
      </c>
      <c r="J17" s="4"/>
      <c r="K17" s="5">
        <v>0</v>
      </c>
      <c r="L17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17" s="10">
        <f t="shared" si="1"/>
        <v>0</v>
      </c>
      <c r="N17" s="10">
        <f t="shared" si="2"/>
        <v>0</v>
      </c>
      <c r="O17" s="10">
        <f t="shared" si="3"/>
        <v>0</v>
      </c>
      <c r="P17" s="10">
        <f>'U. Sutter ADM'!M17</f>
        <v>0</v>
      </c>
      <c r="Q17" s="10">
        <v>74</v>
      </c>
      <c r="R17" s="10">
        <f>IFERROR(INDEX('Projekt-Budget-Übersicht'!$F:$F,MATCH(3387,'Projekt-Budget-Übersicht'!$L:$L,0)),0)</f>
        <v>0</v>
      </c>
      <c r="S17" s="10">
        <v>23081.52</v>
      </c>
      <c r="T17" s="4"/>
      <c r="U17" s="4"/>
    </row>
    <row r="18" spans="1:21" x14ac:dyDescent="0.25">
      <c r="A18" s="21" t="s">
        <v>3214</v>
      </c>
      <c r="B18" s="4" t="s">
        <v>5541</v>
      </c>
      <c r="C18" s="4" t="str">
        <f>IFERROR(INDEX('Projekt-Budget-Übersicht'!$C:$C,MATCH(3445,'Projekt-Budget-Übersicht'!$L:$L,0)),"")</f>
        <v/>
      </c>
      <c r="D18" s="4">
        <v>20</v>
      </c>
      <c r="E18" s="4">
        <v>33.75</v>
      </c>
      <c r="F18" s="4">
        <v>0.75</v>
      </c>
      <c r="G18" s="15">
        <v>168.75</v>
      </c>
      <c r="H18" s="5"/>
      <c r="I18" s="5">
        <f t="shared" si="0"/>
        <v>0</v>
      </c>
      <c r="J18" s="4"/>
      <c r="K18" s="5">
        <f>IF('C. Trapp SV'!J21="U. Sutter ADM",'C. Trapp SV'!I21,0)</f>
        <v>0</v>
      </c>
      <c r="L18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8" s="10">
        <f t="shared" si="1"/>
        <v>0</v>
      </c>
      <c r="N18" s="10">
        <f t="shared" si="2"/>
        <v>0</v>
      </c>
      <c r="O18" s="10">
        <f t="shared" si="3"/>
        <v>0</v>
      </c>
      <c r="P18" s="10">
        <f>'C. Trapp SV'!M21+'U. Sutter ADM'!M18</f>
        <v>0</v>
      </c>
      <c r="Q18" s="10">
        <v>144</v>
      </c>
      <c r="R18" s="10">
        <f>IFERROR(INDEX('Projekt-Budget-Übersicht'!$F:$F,MATCH(3445,'Projekt-Budget-Übersicht'!$L:$L,0)),0)</f>
        <v>0</v>
      </c>
      <c r="S18" s="10">
        <v>332.5</v>
      </c>
      <c r="T18" s="4"/>
      <c r="U18" s="4"/>
    </row>
    <row r="19" spans="1:21" x14ac:dyDescent="0.25">
      <c r="A19" s="22"/>
      <c r="B19" s="4" t="s">
        <v>5542</v>
      </c>
      <c r="C19" s="4" t="str">
        <f>IFERROR(INDEX('Projekt-Budget-Übersicht'!$C:$C,MATCH(3445,'Projekt-Budget-Übersicht'!$L:$L,0)),"")</f>
        <v/>
      </c>
      <c r="D19" s="4">
        <v>80</v>
      </c>
      <c r="E19" s="4">
        <v>158.75</v>
      </c>
      <c r="F19" s="4">
        <v>1.75</v>
      </c>
      <c r="G19" s="15">
        <v>198.44</v>
      </c>
      <c r="H19" s="5"/>
      <c r="I19" s="5">
        <f t="shared" si="0"/>
        <v>0</v>
      </c>
      <c r="J19" s="4"/>
      <c r="K19" s="5">
        <v>0</v>
      </c>
      <c r="L19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19" s="10">
        <f t="shared" si="1"/>
        <v>0</v>
      </c>
      <c r="N19" s="10">
        <f t="shared" si="2"/>
        <v>0</v>
      </c>
      <c r="O19" s="10">
        <f t="shared" si="3"/>
        <v>0</v>
      </c>
      <c r="P19" s="10">
        <f>'U. Sutter ADM'!M19</f>
        <v>0</v>
      </c>
      <c r="Q19" s="10">
        <v>144</v>
      </c>
      <c r="R19" s="10">
        <f>IFERROR(INDEX('Projekt-Budget-Übersicht'!$F:$F,MATCH(3445,'Projekt-Budget-Übersicht'!$L:$L,0)),0)</f>
        <v>0</v>
      </c>
      <c r="S19" s="10">
        <v>332.5</v>
      </c>
      <c r="T19" s="4"/>
      <c r="U19" s="4"/>
    </row>
    <row r="20" spans="1:21" x14ac:dyDescent="0.25">
      <c r="A20" s="3"/>
      <c r="B20" s="3" t="s">
        <v>5492</v>
      </c>
      <c r="C20" s="3"/>
      <c r="D20" s="3"/>
      <c r="E20" s="3"/>
      <c r="F20" s="6">
        <v>27.25</v>
      </c>
      <c r="G20" s="3"/>
      <c r="H20" s="3"/>
      <c r="I20" s="3"/>
      <c r="J20" s="3"/>
      <c r="K20" s="3"/>
      <c r="L20" s="3"/>
      <c r="M20" s="17">
        <f>SUM(M6:M19)</f>
        <v>57.5</v>
      </c>
      <c r="N20" s="17">
        <f>SUM(N6:N19)</f>
        <v>57.5</v>
      </c>
      <c r="O20" s="17">
        <f>SUM(O6:O19)</f>
        <v>0</v>
      </c>
      <c r="P20" s="17">
        <f>SUM(P6:P19)</f>
        <v>977.5</v>
      </c>
      <c r="Q20" s="3"/>
      <c r="R20" s="3"/>
      <c r="S20" s="3"/>
      <c r="T20" s="3"/>
      <c r="U20" s="3"/>
    </row>
    <row r="21" spans="1:21" x14ac:dyDescent="0.25">
      <c r="A21" s="3"/>
      <c r="B21" s="3" t="s">
        <v>4</v>
      </c>
      <c r="C21" s="3"/>
      <c r="D21" s="3"/>
      <c r="E21" s="3"/>
      <c r="F21" s="6">
        <f>G21+H21</f>
        <v>9</v>
      </c>
      <c r="G21" s="6">
        <v>9</v>
      </c>
      <c r="H21" s="6">
        <f>SUM(H8,H9,H10,H11,H12,H13,H14,H15,H16,H17,H18,H19)</f>
        <v>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x14ac:dyDescent="0.25">
      <c r="A22" s="3"/>
      <c r="B22" s="3" t="s">
        <v>5</v>
      </c>
      <c r="C22" s="3"/>
      <c r="D22" s="3"/>
      <c r="E22" s="3"/>
      <c r="F22" s="6">
        <f>G22+H22</f>
        <v>8.5</v>
      </c>
      <c r="G22" s="6">
        <v>8.5</v>
      </c>
      <c r="H22" s="6">
        <f>SUM(H6,H7)</f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x14ac:dyDescent="0.25">
      <c r="A23" s="3"/>
      <c r="B23" s="3" t="s">
        <v>5493</v>
      </c>
      <c r="C23" s="3"/>
      <c r="D23" s="3"/>
      <c r="E23" s="3"/>
      <c r="F23" s="6">
        <f>SUM(K6:K19)</f>
        <v>0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x14ac:dyDescent="0.25">
      <c r="A24" s="18"/>
      <c r="B24" s="18" t="s">
        <v>5494</v>
      </c>
      <c r="C24" s="18"/>
      <c r="D24" s="18"/>
      <c r="E24" s="18"/>
      <c r="F24" s="19">
        <f>F21+F22+F23</f>
        <v>17.5</v>
      </c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</row>
    <row r="26" spans="1:21" ht="15.75" x14ac:dyDescent="0.25">
      <c r="A26" s="2" t="s">
        <v>5495</v>
      </c>
    </row>
    <row r="27" spans="1:21" x14ac:dyDescent="0.25">
      <c r="A27" s="3" t="s">
        <v>35</v>
      </c>
      <c r="B27" s="3" t="s">
        <v>5461</v>
      </c>
      <c r="C27" s="3" t="s">
        <v>37</v>
      </c>
      <c r="D27" s="3" t="s">
        <v>5462</v>
      </c>
      <c r="E27" s="3" t="s">
        <v>5463</v>
      </c>
      <c r="F27" s="3" t="s">
        <v>5496</v>
      </c>
      <c r="G27" s="3" t="s">
        <v>5465</v>
      </c>
      <c r="H27" s="3" t="s">
        <v>5466</v>
      </c>
      <c r="I27" s="3" t="s">
        <v>5467</v>
      </c>
      <c r="J27" s="3" t="s">
        <v>5468</v>
      </c>
      <c r="K27" s="3" t="s">
        <v>5469</v>
      </c>
      <c r="L27" s="3" t="s">
        <v>5470</v>
      </c>
      <c r="M27" s="3" t="s">
        <v>5471</v>
      </c>
      <c r="N27" s="3" t="s">
        <v>5472</v>
      </c>
      <c r="O27" s="3" t="s">
        <v>5473</v>
      </c>
      <c r="P27" s="3" t="s">
        <v>5474</v>
      </c>
      <c r="Q27" s="3" t="s">
        <v>5475</v>
      </c>
      <c r="R27" s="3" t="s">
        <v>5476</v>
      </c>
      <c r="S27" s="3" t="s">
        <v>5477</v>
      </c>
      <c r="T27" s="3" t="s">
        <v>5478</v>
      </c>
      <c r="U27" s="3" t="s">
        <v>5479</v>
      </c>
    </row>
    <row r="28" spans="1:21" x14ac:dyDescent="0.25">
      <c r="A28" s="21" t="s">
        <v>61</v>
      </c>
      <c r="B28" s="4" t="s">
        <v>5480</v>
      </c>
      <c r="C28" s="4" t="str">
        <f>IFERROR(INDEX('Projekt-Budget-Übersicht'!$C:$C,MATCH(10,'Projekt-Budget-Übersicht'!$L:$L,0)),"")</f>
        <v/>
      </c>
      <c r="D28" s="4">
        <v>8</v>
      </c>
      <c r="E28" s="4">
        <v>8</v>
      </c>
      <c r="F28" s="4">
        <v>8</v>
      </c>
      <c r="G28" s="14">
        <v>100</v>
      </c>
      <c r="H28" s="5"/>
      <c r="I28" s="5">
        <f t="shared" ref="I28:I42" si="4">IF(H28=0,0,F28-H28)</f>
        <v>0</v>
      </c>
      <c r="J28" s="4"/>
      <c r="K28" s="5">
        <f>IF('A. Kokott'!J39="U. Sutter ADM",'A. Kokott'!I39,0)+IF('J. Dorn'!J45="U. Sutter ADM",'J. Dorn'!I45,0)+IF('O. Haag BS-CAD'!J51="U. Sutter ADM",'O. Haag BS-CAD'!I51,0)+IF('P. Bergner'!J21="U. Sutter ADM",'P. Bergner'!I21,0)+IF('R. Böttiger'!J31="U. Sutter ADM",'R. Böttiger'!I31,0)+IF('T. Trautmann'!J28="U. Sutter ADM",'T. Trautmann'!I28,0)</f>
        <v>0</v>
      </c>
      <c r="L28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8" s="10">
        <f t="shared" ref="M28:M42" si="5">IF($B$2="-",0,IF(C28="Pauschale",IF(OR(R28=0,N(D28)=0),0,MAX(0,MIN(R28*((N(F28)+N(K28))/N(D28)),R28-R28*(N(E28)/N(D28))))),L28*(N(F28)+N(K28))))</f>
        <v>0</v>
      </c>
      <c r="N28" s="10">
        <f t="shared" ref="N28:N42" si="6">IF($B$2="-",0,IF(C28="Pauschale",IF(OR(R28=0,N(D28)=0),0,R28*((N(F28)+N(K28))/N(D28))),L28*(N(F28)+N(K28))))</f>
        <v>0</v>
      </c>
      <c r="O28" s="10">
        <f t="shared" ref="O28:O42" si="7">N28-M28</f>
        <v>0</v>
      </c>
      <c r="P28" s="10">
        <f>'A. Kokott'!M39+'J. Dorn'!M45+'O. Haag BS-CAD'!M51+'P. Bergner'!M21+'R. Böttiger'!M31+'T. Trautmann'!M28+'U. Sutter ADM'!M28</f>
        <v>0</v>
      </c>
      <c r="Q28" s="10">
        <v>132</v>
      </c>
      <c r="R28" s="10">
        <f>IFERROR(INDEX('Projekt-Budget-Übersicht'!$F:$F,MATCH(10,'Projekt-Budget-Übersicht'!$L:$L,0)),0)</f>
        <v>0</v>
      </c>
      <c r="S28" s="10">
        <v>68628.19</v>
      </c>
      <c r="T28" s="4"/>
      <c r="U28" s="4"/>
    </row>
    <row r="29" spans="1:21" x14ac:dyDescent="0.25">
      <c r="A29" s="22"/>
      <c r="B29" s="4" t="s">
        <v>5481</v>
      </c>
      <c r="C29" s="4" t="str">
        <f>IFERROR(INDEX('Projekt-Budget-Übersicht'!$C:$C,MATCH(10,'Projekt-Budget-Übersicht'!$L:$L,0)),"")</f>
        <v/>
      </c>
      <c r="D29" s="4">
        <v>8</v>
      </c>
      <c r="E29" s="4">
        <v>3</v>
      </c>
      <c r="F29" s="4">
        <v>3</v>
      </c>
      <c r="G29" s="16">
        <v>37.5</v>
      </c>
      <c r="H29" s="5"/>
      <c r="I29" s="5">
        <f t="shared" si="4"/>
        <v>0</v>
      </c>
      <c r="J29" s="4"/>
      <c r="K29" s="5">
        <f>IF('A. Kokott'!J40="U. Sutter ADM",'A. Kokott'!I40,0)+IF('M. Bandlofsky'!J26="U. Sutter ADM",'M. Bandlofsky'!I26,0)+IF('O. Haag BS-CAD'!J52="U. Sutter ADM",'O. Haag BS-CAD'!I52,0)+IF('P. Bergner'!J22="U. Sutter ADM",'P. Bergner'!I22,0)+IF('R. Wagen CAD'!J31="U. Sutter ADM",'R. Wagen CAD'!I31,0)+IF('T. Trautmann'!J29="U. Sutter ADM",'T. Trautmann'!I29,0)</f>
        <v>0</v>
      </c>
      <c r="L29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29" s="10">
        <f t="shared" si="5"/>
        <v>0</v>
      </c>
      <c r="N29" s="10">
        <f t="shared" si="6"/>
        <v>0</v>
      </c>
      <c r="O29" s="10">
        <f t="shared" si="7"/>
        <v>0</v>
      </c>
      <c r="P29" s="10">
        <f>'A. Kokott'!M40+'M. Bandlofsky'!M26+'O. Haag BS-CAD'!M52+'P. Bergner'!M22+'R. Wagen CAD'!M31+'T. Trautmann'!M29+'U. Sutter ADM'!M29</f>
        <v>0</v>
      </c>
      <c r="Q29" s="10">
        <v>132</v>
      </c>
      <c r="R29" s="10">
        <f>IFERROR(INDEX('Projekt-Budget-Übersicht'!$F:$F,MATCH(10,'Projekt-Budget-Übersicht'!$L:$L,0)),0)</f>
        <v>0</v>
      </c>
      <c r="S29" s="10">
        <v>68628.19</v>
      </c>
      <c r="T29" s="4"/>
      <c r="U29" s="4"/>
    </row>
    <row r="30" spans="1:21" x14ac:dyDescent="0.25">
      <c r="A30" s="4" t="s">
        <v>148</v>
      </c>
      <c r="B30" s="4" t="s">
        <v>5544</v>
      </c>
      <c r="C30" s="4" t="str">
        <f>IFERROR(INDEX('Projekt-Budget-Übersicht'!$C:$C,MATCH(68,'Projekt-Budget-Übersicht'!$L:$L,0)),"")</f>
        <v/>
      </c>
      <c r="D30" s="4">
        <v>0</v>
      </c>
      <c r="E30" s="4">
        <v>43.25</v>
      </c>
      <c r="F30" s="4">
        <v>0.5</v>
      </c>
      <c r="G30" s="4">
        <v>0</v>
      </c>
      <c r="H30" s="5"/>
      <c r="I30" s="5">
        <f t="shared" si="4"/>
        <v>0</v>
      </c>
      <c r="J30" s="4"/>
      <c r="K30" s="5">
        <v>0</v>
      </c>
      <c r="L30" s="10">
        <f>IF($B$2="-",0,IFERROR(INDEX(IF($B$2="SV",'Projekt-Budget-Übersicht'!$I:$I,IF($B$2="CAD",'Projekt-Budget-Übersicht'!$J:$J,IF($B$2="ADM",'Projekt-Budget-Übersicht'!$K:$K,'Projekt-Budget-Übersicht'!$I:$I))),MATCH(68,'Projekt-Budget-Übersicht'!$M:$M,0)),0))</f>
        <v>0</v>
      </c>
      <c r="M30" s="10">
        <f t="shared" si="5"/>
        <v>0</v>
      </c>
      <c r="N30" s="10">
        <f t="shared" si="6"/>
        <v>0</v>
      </c>
      <c r="O30" s="10">
        <f t="shared" si="7"/>
        <v>0</v>
      </c>
      <c r="P30" s="10">
        <f>'U. Sutter ADM'!M30</f>
        <v>0</v>
      </c>
      <c r="Q30" s="10">
        <v>10</v>
      </c>
      <c r="R30" s="10">
        <f>IFERROR(INDEX('Projekt-Budget-Übersicht'!$F:$F,MATCH(68,'Projekt-Budget-Übersicht'!$L:$L,0)),0)</f>
        <v>0</v>
      </c>
      <c r="S30" s="10">
        <v>1338.4</v>
      </c>
      <c r="T30" s="4"/>
      <c r="U30" s="4"/>
    </row>
    <row r="31" spans="1:21" x14ac:dyDescent="0.25">
      <c r="A31" s="21" t="s">
        <v>865</v>
      </c>
      <c r="B31" s="4" t="s">
        <v>5604</v>
      </c>
      <c r="C31" s="4" t="str">
        <f>IFERROR(INDEX('Projekt-Budget-Übersicht'!$C:$C,MATCH(892,'Projekt-Budget-Übersicht'!$L:$L,0)),"")</f>
        <v/>
      </c>
      <c r="D31" s="4">
        <v>6.5</v>
      </c>
      <c r="E31" s="4">
        <v>13.25</v>
      </c>
      <c r="F31" s="4">
        <v>1.75</v>
      </c>
      <c r="G31" s="15">
        <v>203.85</v>
      </c>
      <c r="H31" s="5"/>
      <c r="I31" s="5">
        <f t="shared" si="4"/>
        <v>0</v>
      </c>
      <c r="J31" s="4"/>
      <c r="K31" s="5">
        <f>IF('S. Schüler'!J56="U. Sutter ADM",'S. Schüler'!I56,0)</f>
        <v>0</v>
      </c>
      <c r="L31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31" s="10">
        <f t="shared" si="5"/>
        <v>0</v>
      </c>
      <c r="N31" s="10">
        <f t="shared" si="6"/>
        <v>0</v>
      </c>
      <c r="O31" s="10">
        <f t="shared" si="7"/>
        <v>0</v>
      </c>
      <c r="P31" s="10">
        <f>'S. Schüler'!M56+'U. Sutter ADM'!M31</f>
        <v>0</v>
      </c>
      <c r="Q31" s="10">
        <v>107</v>
      </c>
      <c r="R31" s="10">
        <f>IFERROR(INDEX('Projekt-Budget-Übersicht'!$F:$F,MATCH(892,'Projekt-Budget-Übersicht'!$L:$L,0)),0)</f>
        <v>0</v>
      </c>
      <c r="S31" s="10">
        <v>12383.75</v>
      </c>
      <c r="T31" s="4"/>
      <c r="U31" s="4"/>
    </row>
    <row r="32" spans="1:21" x14ac:dyDescent="0.25">
      <c r="A32" s="23"/>
      <c r="B32" s="4" t="s">
        <v>5605</v>
      </c>
      <c r="C32" s="4" t="str">
        <f>IFERROR(INDEX('Projekt-Budget-Übersicht'!$C:$C,MATCH(892,'Projekt-Budget-Übersicht'!$L:$L,0)),"")</f>
        <v/>
      </c>
      <c r="D32" s="4">
        <v>9.5</v>
      </c>
      <c r="E32" s="4">
        <v>3</v>
      </c>
      <c r="F32" s="4">
        <v>1.5</v>
      </c>
      <c r="G32" s="16">
        <v>31.58</v>
      </c>
      <c r="H32" s="5"/>
      <c r="I32" s="5">
        <f t="shared" si="4"/>
        <v>0</v>
      </c>
      <c r="J32" s="4"/>
      <c r="K32" s="5">
        <f>IF('S. Schüler'!J57="U. Sutter ADM",'S. Schüler'!I57,0)</f>
        <v>0</v>
      </c>
      <c r="L32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32" s="10">
        <f t="shared" si="5"/>
        <v>0</v>
      </c>
      <c r="N32" s="10">
        <f t="shared" si="6"/>
        <v>0</v>
      </c>
      <c r="O32" s="10">
        <f t="shared" si="7"/>
        <v>0</v>
      </c>
      <c r="P32" s="10">
        <f>'S. Schüler'!M57+'U. Sutter ADM'!M32</f>
        <v>0</v>
      </c>
      <c r="Q32" s="10">
        <v>107</v>
      </c>
      <c r="R32" s="10">
        <f>IFERROR(INDEX('Projekt-Budget-Übersicht'!$F:$F,MATCH(892,'Projekt-Budget-Übersicht'!$L:$L,0)),0)</f>
        <v>0</v>
      </c>
      <c r="S32" s="10">
        <v>12383.75</v>
      </c>
      <c r="T32" s="4"/>
      <c r="U32" s="4"/>
    </row>
    <row r="33" spans="1:21" x14ac:dyDescent="0.25">
      <c r="A33" s="23"/>
      <c r="B33" s="4" t="s">
        <v>5539</v>
      </c>
      <c r="C33" s="4" t="str">
        <f>IFERROR(INDEX('Projekt-Budget-Übersicht'!$C:$C,MATCH(893,'Projekt-Budget-Übersicht'!$L:$L,0)),"")</f>
        <v/>
      </c>
      <c r="D33" s="4">
        <v>19</v>
      </c>
      <c r="E33" s="4">
        <v>1.75</v>
      </c>
      <c r="F33" s="4">
        <v>0.25</v>
      </c>
      <c r="G33" s="16">
        <v>9.2100000000000009</v>
      </c>
      <c r="H33" s="5"/>
      <c r="I33" s="5">
        <f t="shared" si="4"/>
        <v>0</v>
      </c>
      <c r="J33" s="4"/>
      <c r="K33" s="5">
        <v>0</v>
      </c>
      <c r="L33" s="10">
        <f>IF($B$2="-",0,IFERROR(INDEX(IF($B$2="SV",'Projekt-Budget-Übersicht'!$I:$I,IF($B$2="CAD",'Projekt-Budget-Übersicht'!$J:$J,IF($B$2="ADM",'Projekt-Budget-Übersicht'!$K:$K,'Projekt-Budget-Übersicht'!$I:$I))),MATCH(893,'Projekt-Budget-Übersicht'!$M:$M,0)),0))</f>
        <v>0</v>
      </c>
      <c r="M33" s="10">
        <f t="shared" si="5"/>
        <v>0</v>
      </c>
      <c r="N33" s="10">
        <f t="shared" si="6"/>
        <v>0</v>
      </c>
      <c r="O33" s="10">
        <f t="shared" si="7"/>
        <v>0</v>
      </c>
      <c r="P33" s="10">
        <f>'U. Sutter ADM'!M33</f>
        <v>0</v>
      </c>
      <c r="Q33" s="10">
        <v>81.5</v>
      </c>
      <c r="R33" s="10">
        <f>IFERROR(INDEX('Projekt-Budget-Übersicht'!$F:$F,MATCH(893,'Projekt-Budget-Übersicht'!$L:$L,0)),0)</f>
        <v>0</v>
      </c>
      <c r="S33" s="10">
        <v>988.75</v>
      </c>
      <c r="T33" s="4"/>
      <c r="U33" s="4"/>
    </row>
    <row r="34" spans="1:21" x14ac:dyDescent="0.25">
      <c r="A34" s="22"/>
      <c r="B34" s="4" t="s">
        <v>5540</v>
      </c>
      <c r="C34" s="4" t="str">
        <f>IFERROR(INDEX('Projekt-Budget-Übersicht'!$C:$C,MATCH(894,'Projekt-Budget-Übersicht'!$L:$L,0)),"")</f>
        <v/>
      </c>
      <c r="D34" s="4">
        <v>115</v>
      </c>
      <c r="E34" s="4">
        <v>0.5</v>
      </c>
      <c r="F34" s="4">
        <v>0.25</v>
      </c>
      <c r="G34" s="16">
        <v>0.43</v>
      </c>
      <c r="H34" s="5"/>
      <c r="I34" s="5">
        <f t="shared" si="4"/>
        <v>0</v>
      </c>
      <c r="J34" s="4"/>
      <c r="K34" s="5">
        <v>0</v>
      </c>
      <c r="L34" s="10">
        <f>IF($B$2="-",0,IFERROR(INDEX(IF($B$2="SV",'Projekt-Budget-Übersicht'!$I:$I,IF($B$2="CAD",'Projekt-Budget-Übersicht'!$J:$J,IF($B$2="ADM",'Projekt-Budget-Übersicht'!$K:$K,'Projekt-Budget-Übersicht'!$I:$I))),MATCH(894,'Projekt-Budget-Übersicht'!$M:$M,0)),0))</f>
        <v>0</v>
      </c>
      <c r="M34" s="10">
        <f t="shared" si="5"/>
        <v>0</v>
      </c>
      <c r="N34" s="10">
        <f t="shared" si="6"/>
        <v>0</v>
      </c>
      <c r="O34" s="10">
        <f t="shared" si="7"/>
        <v>0</v>
      </c>
      <c r="P34" s="10">
        <f>'U. Sutter ADM'!M34</f>
        <v>0</v>
      </c>
      <c r="Q34" s="10">
        <v>320.5</v>
      </c>
      <c r="R34" s="10">
        <f>IFERROR(INDEX('Projekt-Budget-Übersicht'!$F:$F,MATCH(894,'Projekt-Budget-Übersicht'!$L:$L,0)),0)</f>
        <v>0</v>
      </c>
      <c r="S34" s="10">
        <v>30</v>
      </c>
      <c r="T34" s="4"/>
      <c r="U34" s="4"/>
    </row>
    <row r="35" spans="1:21" x14ac:dyDescent="0.25">
      <c r="A35" s="21" t="s">
        <v>1377</v>
      </c>
      <c r="B35" s="4" t="s">
        <v>5537</v>
      </c>
      <c r="C35" s="4" t="str">
        <f>IFERROR(INDEX('Projekt-Budget-Übersicht'!$C:$C,MATCH(1490,'Projekt-Budget-Übersicht'!$L:$L,0)),"")</f>
        <v/>
      </c>
      <c r="D35" s="4">
        <v>16</v>
      </c>
      <c r="E35" s="4">
        <v>74.25</v>
      </c>
      <c r="F35" s="4">
        <v>0.75</v>
      </c>
      <c r="G35" s="15">
        <v>464.06</v>
      </c>
      <c r="H35" s="5"/>
      <c r="I35" s="5">
        <f t="shared" si="4"/>
        <v>0</v>
      </c>
      <c r="J35" s="4"/>
      <c r="K35" s="5">
        <f>IF('M. Bandlofsky'!J32="U. Sutter ADM",'M. Bandlofsky'!I32,0)</f>
        <v>0</v>
      </c>
      <c r="L35" s="10">
        <f>IF($B$2="-",0,IFERROR(INDEX(IF($B$2="SV",'Projekt-Budget-Übersicht'!$I:$I,IF($B$2="CAD",'Projekt-Budget-Übersicht'!$J:$J,IF($B$2="ADM",'Projekt-Budget-Übersicht'!$K:$K,'Projekt-Budget-Übersicht'!$I:$I))),MATCH(1490,'Projekt-Budget-Übersicht'!$M:$M,0)),0))</f>
        <v>85</v>
      </c>
      <c r="M35" s="10">
        <f t="shared" si="5"/>
        <v>63.75</v>
      </c>
      <c r="N35" s="10">
        <f t="shared" si="6"/>
        <v>63.75</v>
      </c>
      <c r="O35" s="10">
        <f t="shared" si="7"/>
        <v>0</v>
      </c>
      <c r="P35" s="10">
        <f>'M. Bandlofsky'!M32+'U. Sutter ADM'!M35</f>
        <v>467.5</v>
      </c>
      <c r="Q35" s="10">
        <v>16</v>
      </c>
      <c r="R35" s="10">
        <f>IFERROR(INDEX('Projekt-Budget-Übersicht'!$F:$F,MATCH(1490,'Projekt-Budget-Übersicht'!$L:$L,0)),0)</f>
        <v>0</v>
      </c>
      <c r="S35" s="10">
        <v>453.82</v>
      </c>
      <c r="T35" s="4"/>
      <c r="U35" s="4"/>
    </row>
    <row r="36" spans="1:21" x14ac:dyDescent="0.25">
      <c r="A36" s="22"/>
      <c r="B36" s="4" t="s">
        <v>5545</v>
      </c>
      <c r="C36" s="4" t="str">
        <f>IFERROR(INDEX('Projekt-Budget-Übersicht'!$C:$C,MATCH(1494,'Projekt-Budget-Übersicht'!$L:$L,0)),"")</f>
        <v/>
      </c>
      <c r="D36" s="4">
        <v>40</v>
      </c>
      <c r="E36" s="4">
        <v>0.25</v>
      </c>
      <c r="F36" s="4">
        <v>0.25</v>
      </c>
      <c r="G36" s="16">
        <v>0.62</v>
      </c>
      <c r="H36" s="5"/>
      <c r="I36" s="5">
        <f t="shared" si="4"/>
        <v>0</v>
      </c>
      <c r="J36" s="4"/>
      <c r="K36" s="5">
        <v>0</v>
      </c>
      <c r="L36" s="10">
        <f>IF($B$2="-",0,IFERROR(INDEX(IF($B$2="SV",'Projekt-Budget-Übersicht'!$I:$I,IF($B$2="CAD",'Projekt-Budget-Übersicht'!$J:$J,IF($B$2="ADM",'Projekt-Budget-Übersicht'!$K:$K,'Projekt-Budget-Übersicht'!$I:$I))),MATCH(1494,'Projekt-Budget-Übersicht'!$M:$M,0)),0))</f>
        <v>0</v>
      </c>
      <c r="M36" s="10">
        <f t="shared" si="5"/>
        <v>0</v>
      </c>
      <c r="N36" s="10">
        <f t="shared" si="6"/>
        <v>0</v>
      </c>
      <c r="O36" s="10">
        <f t="shared" si="7"/>
        <v>0</v>
      </c>
      <c r="P36" s="10">
        <f>'U. Sutter ADM'!M36</f>
        <v>0</v>
      </c>
      <c r="Q36" s="10">
        <v>1516</v>
      </c>
      <c r="R36" s="10">
        <f>IFERROR(INDEX('Projekt-Budget-Übersicht'!$F:$F,MATCH(1494,'Projekt-Budget-Übersicht'!$L:$L,0)),0)</f>
        <v>0</v>
      </c>
      <c r="S36" s="10">
        <v>573.22</v>
      </c>
      <c r="T36" s="4"/>
      <c r="U36" s="4"/>
    </row>
    <row r="37" spans="1:21" x14ac:dyDescent="0.25">
      <c r="A37" s="4" t="s">
        <v>1383</v>
      </c>
      <c r="B37" s="4" t="s">
        <v>5536</v>
      </c>
      <c r="C37" s="4" t="str">
        <f>IFERROR(INDEX('Projekt-Budget-Übersicht'!$C:$C,MATCH(1499,'Projekt-Budget-Übersicht'!$L:$L,0)),"")</f>
        <v/>
      </c>
      <c r="D37" s="4">
        <v>20</v>
      </c>
      <c r="E37" s="4">
        <v>6</v>
      </c>
      <c r="F37" s="4">
        <v>3.25</v>
      </c>
      <c r="G37" s="16">
        <v>30</v>
      </c>
      <c r="H37" s="5"/>
      <c r="I37" s="5">
        <f t="shared" si="4"/>
        <v>0</v>
      </c>
      <c r="J37" s="4"/>
      <c r="K37" s="5">
        <v>0</v>
      </c>
      <c r="L37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37" s="10">
        <f t="shared" si="5"/>
        <v>0</v>
      </c>
      <c r="N37" s="10">
        <f t="shared" si="6"/>
        <v>0</v>
      </c>
      <c r="O37" s="10">
        <f t="shared" si="7"/>
        <v>0</v>
      </c>
      <c r="P37" s="10">
        <f>'U. Sutter ADM'!M37</f>
        <v>0</v>
      </c>
      <c r="Q37" s="10">
        <v>451</v>
      </c>
      <c r="R37" s="10">
        <f>IFERROR(INDEX('Projekt-Budget-Übersicht'!$F:$F,MATCH(1499,'Projekt-Budget-Übersicht'!$L:$L,0)),0)</f>
        <v>0</v>
      </c>
      <c r="S37" s="10">
        <v>15665.4</v>
      </c>
      <c r="T37" s="4"/>
      <c r="U37" s="4"/>
    </row>
    <row r="38" spans="1:21" x14ac:dyDescent="0.25">
      <c r="A38" s="4" t="s">
        <v>1490</v>
      </c>
      <c r="B38" s="4" t="s">
        <v>5543</v>
      </c>
      <c r="C38" s="4" t="str">
        <f>IFERROR(INDEX('Projekt-Budget-Übersicht'!$C:$C,MATCH(1678,'Projekt-Budget-Übersicht'!$L:$L,0)),"")</f>
        <v/>
      </c>
      <c r="D38" s="4">
        <v>240</v>
      </c>
      <c r="E38" s="4">
        <v>172</v>
      </c>
      <c r="F38" s="4">
        <v>3.5</v>
      </c>
      <c r="G38" s="16">
        <v>71.67</v>
      </c>
      <c r="H38" s="5"/>
      <c r="I38" s="5">
        <f t="shared" si="4"/>
        <v>0</v>
      </c>
      <c r="J38" s="4"/>
      <c r="K38" s="5">
        <v>0</v>
      </c>
      <c r="L38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38" s="10">
        <f t="shared" si="5"/>
        <v>0</v>
      </c>
      <c r="N38" s="10">
        <f t="shared" si="6"/>
        <v>0</v>
      </c>
      <c r="O38" s="10">
        <f t="shared" si="7"/>
        <v>0</v>
      </c>
      <c r="P38" s="10">
        <f>'U. Sutter ADM'!M38</f>
        <v>0</v>
      </c>
      <c r="Q38" s="10">
        <v>272</v>
      </c>
      <c r="R38" s="10">
        <f>IFERROR(INDEX('Projekt-Budget-Übersicht'!$F:$F,MATCH(1678,'Projekt-Budget-Übersicht'!$L:$L,0)),0)</f>
        <v>0</v>
      </c>
      <c r="S38" s="10">
        <v>4718.17</v>
      </c>
      <c r="T38" s="4"/>
      <c r="U38" s="4"/>
    </row>
    <row r="39" spans="1:21" x14ac:dyDescent="0.25">
      <c r="A39" s="21" t="s">
        <v>3070</v>
      </c>
      <c r="B39" s="4" t="s">
        <v>5541</v>
      </c>
      <c r="C39" s="4" t="str">
        <f>IFERROR(INDEX('Projekt-Budget-Übersicht'!$C:$C,MATCH(3322,'Projekt-Budget-Übersicht'!$L:$L,0)),"")</f>
        <v/>
      </c>
      <c r="D39" s="4">
        <v>80</v>
      </c>
      <c r="E39" s="4">
        <v>19.75</v>
      </c>
      <c r="F39" s="4">
        <v>2.25</v>
      </c>
      <c r="G39" s="16">
        <v>24.69</v>
      </c>
      <c r="H39" s="5"/>
      <c r="I39" s="5">
        <f t="shared" si="4"/>
        <v>0</v>
      </c>
      <c r="J39" s="4"/>
      <c r="K39" s="5">
        <f>IF('C. Trapp SV'!J45="U. Sutter ADM",'C. Trapp SV'!I45,0)</f>
        <v>0</v>
      </c>
      <c r="L39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39" s="10">
        <f t="shared" si="5"/>
        <v>0</v>
      </c>
      <c r="N39" s="10">
        <f t="shared" si="6"/>
        <v>0</v>
      </c>
      <c r="O39" s="10">
        <f t="shared" si="7"/>
        <v>0</v>
      </c>
      <c r="P39" s="10">
        <f>'C. Trapp SV'!M45+'U. Sutter ADM'!M39</f>
        <v>0</v>
      </c>
      <c r="Q39" s="10">
        <v>768</v>
      </c>
      <c r="R39" s="10">
        <f>IFERROR(INDEX('Projekt-Budget-Übersicht'!$F:$F,MATCH(3322,'Projekt-Budget-Übersicht'!$L:$L,0)),0)</f>
        <v>0</v>
      </c>
      <c r="S39" s="10">
        <v>1887.87</v>
      </c>
      <c r="T39" s="4"/>
      <c r="U39" s="4"/>
    </row>
    <row r="40" spans="1:21" x14ac:dyDescent="0.25">
      <c r="A40" s="22"/>
      <c r="B40" s="4" t="s">
        <v>5542</v>
      </c>
      <c r="C40" s="4" t="str">
        <f>IFERROR(INDEX('Projekt-Budget-Übersicht'!$C:$C,MATCH(3322,'Projekt-Budget-Übersicht'!$L:$L,0)),"")</f>
        <v/>
      </c>
      <c r="D40" s="4">
        <v>540</v>
      </c>
      <c r="E40" s="4">
        <v>448</v>
      </c>
      <c r="F40" s="4">
        <v>0.25</v>
      </c>
      <c r="G40" s="16">
        <v>82.96</v>
      </c>
      <c r="H40" s="5"/>
      <c r="I40" s="5">
        <f t="shared" si="4"/>
        <v>0</v>
      </c>
      <c r="J40" s="4"/>
      <c r="K40" s="5">
        <f>IF('C. Trapp SV'!J46="U. Sutter ADM",'C. Trapp SV'!I46,0)+IF('S. Roßkopf'!J9="U. Sutter ADM",'S. Roßkopf'!I9,0)</f>
        <v>0</v>
      </c>
      <c r="L40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40" s="10">
        <f t="shared" si="5"/>
        <v>0</v>
      </c>
      <c r="N40" s="10">
        <f t="shared" si="6"/>
        <v>0</v>
      </c>
      <c r="O40" s="10">
        <f t="shared" si="7"/>
        <v>0</v>
      </c>
      <c r="P40" s="10">
        <f>'C. Trapp SV'!M46+'S. Roßkopf'!M9+'U. Sutter ADM'!M40</f>
        <v>0</v>
      </c>
      <c r="Q40" s="10">
        <v>768</v>
      </c>
      <c r="R40" s="10">
        <f>IFERROR(INDEX('Projekt-Budget-Übersicht'!$F:$F,MATCH(3322,'Projekt-Budget-Übersicht'!$L:$L,0)),0)</f>
        <v>0</v>
      </c>
      <c r="S40" s="10">
        <v>1887.87</v>
      </c>
      <c r="T40" s="4"/>
      <c r="U40" s="4"/>
    </row>
    <row r="41" spans="1:21" x14ac:dyDescent="0.25">
      <c r="A41" s="4" t="s">
        <v>3146</v>
      </c>
      <c r="B41" s="4" t="s">
        <v>5484</v>
      </c>
      <c r="C41" s="4" t="str">
        <f>IFERROR(INDEX('Projekt-Budget-Übersicht'!$C:$C,MATCH(3387,'Projekt-Budget-Übersicht'!$L:$L,0)),"")</f>
        <v/>
      </c>
      <c r="D41" s="4">
        <v>2</v>
      </c>
      <c r="E41" s="4">
        <v>10.25</v>
      </c>
      <c r="F41" s="4">
        <v>2</v>
      </c>
      <c r="G41" s="15">
        <v>512.5</v>
      </c>
      <c r="H41" s="5"/>
      <c r="I41" s="5">
        <f t="shared" si="4"/>
        <v>0</v>
      </c>
      <c r="J41" s="4"/>
      <c r="K41" s="5">
        <v>0</v>
      </c>
      <c r="L41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41" s="10">
        <f t="shared" si="5"/>
        <v>0</v>
      </c>
      <c r="N41" s="10">
        <f t="shared" si="6"/>
        <v>0</v>
      </c>
      <c r="O41" s="10">
        <f t="shared" si="7"/>
        <v>0</v>
      </c>
      <c r="P41" s="10">
        <f>'U. Sutter ADM'!M41</f>
        <v>0</v>
      </c>
      <c r="Q41" s="10">
        <v>74</v>
      </c>
      <c r="R41" s="10">
        <f>IFERROR(INDEX('Projekt-Budget-Übersicht'!$F:$F,MATCH(3387,'Projekt-Budget-Übersicht'!$L:$L,0)),0)</f>
        <v>0</v>
      </c>
      <c r="S41" s="10">
        <v>23081.52</v>
      </c>
      <c r="T41" s="4"/>
      <c r="U41" s="4"/>
    </row>
    <row r="42" spans="1:21" x14ac:dyDescent="0.25">
      <c r="A42" s="4" t="s">
        <v>3214</v>
      </c>
      <c r="B42" s="4" t="s">
        <v>5541</v>
      </c>
      <c r="C42" s="4" t="str">
        <f>IFERROR(INDEX('Projekt-Budget-Übersicht'!$C:$C,MATCH(3445,'Projekt-Budget-Übersicht'!$L:$L,0)),"")</f>
        <v/>
      </c>
      <c r="D42" s="4">
        <v>20</v>
      </c>
      <c r="E42" s="4">
        <v>34.75</v>
      </c>
      <c r="F42" s="4">
        <v>1</v>
      </c>
      <c r="G42" s="15">
        <v>173.75</v>
      </c>
      <c r="H42" s="5"/>
      <c r="I42" s="5">
        <f t="shared" si="4"/>
        <v>0</v>
      </c>
      <c r="J42" s="4"/>
      <c r="K42" s="5">
        <v>0</v>
      </c>
      <c r="L42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42" s="10">
        <f t="shared" si="5"/>
        <v>0</v>
      </c>
      <c r="N42" s="10">
        <f t="shared" si="6"/>
        <v>0</v>
      </c>
      <c r="O42" s="10">
        <f t="shared" si="7"/>
        <v>0</v>
      </c>
      <c r="P42" s="10">
        <f>'U. Sutter ADM'!M42</f>
        <v>0</v>
      </c>
      <c r="Q42" s="10">
        <v>144</v>
      </c>
      <c r="R42" s="10">
        <f>IFERROR(INDEX('Projekt-Budget-Übersicht'!$F:$F,MATCH(3445,'Projekt-Budget-Übersicht'!$L:$L,0)),0)</f>
        <v>0</v>
      </c>
      <c r="S42" s="10">
        <v>332.5</v>
      </c>
      <c r="T42" s="4"/>
      <c r="U42" s="4"/>
    </row>
    <row r="43" spans="1:21" x14ac:dyDescent="0.25">
      <c r="A43" s="3"/>
      <c r="B43" s="3" t="s">
        <v>5492</v>
      </c>
      <c r="C43" s="3"/>
      <c r="D43" s="3"/>
      <c r="E43" s="3"/>
      <c r="F43" s="6">
        <v>28.5</v>
      </c>
      <c r="G43" s="3"/>
      <c r="H43" s="3"/>
      <c r="I43" s="3"/>
      <c r="J43" s="3"/>
      <c r="K43" s="3"/>
      <c r="L43" s="3"/>
      <c r="M43" s="17">
        <f>SUM(M28:M42)</f>
        <v>63.75</v>
      </c>
      <c r="N43" s="17">
        <f>SUM(N28:N42)</f>
        <v>63.75</v>
      </c>
      <c r="O43" s="17">
        <f>SUM(O28:O42)</f>
        <v>0</v>
      </c>
      <c r="P43" s="17">
        <f>SUM(P28:P42)</f>
        <v>467.5</v>
      </c>
      <c r="Q43" s="3"/>
      <c r="R43" s="3"/>
      <c r="S43" s="3"/>
      <c r="T43" s="3"/>
      <c r="U43" s="3"/>
    </row>
    <row r="44" spans="1:21" x14ac:dyDescent="0.25">
      <c r="A44" s="3"/>
      <c r="B44" s="3" t="s">
        <v>4</v>
      </c>
      <c r="C44" s="3"/>
      <c r="D44" s="3"/>
      <c r="E44" s="3"/>
      <c r="F44" s="6">
        <f>G44+H44</f>
        <v>12</v>
      </c>
      <c r="G44" s="6">
        <v>12</v>
      </c>
      <c r="H44" s="6">
        <f>SUM(H30,H31,H32,H33,H34,H35,H36,H37,H38,H39,H40,H41,H42)</f>
        <v>0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x14ac:dyDescent="0.25">
      <c r="A45" s="3"/>
      <c r="B45" s="3" t="s">
        <v>5</v>
      </c>
      <c r="C45" s="3"/>
      <c r="D45" s="3"/>
      <c r="E45" s="3"/>
      <c r="F45" s="6">
        <f>G45+H45</f>
        <v>11</v>
      </c>
      <c r="G45" s="6">
        <v>11</v>
      </c>
      <c r="H45" s="6">
        <f>SUM(H28,H29)</f>
        <v>0</v>
      </c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1:21" x14ac:dyDescent="0.25">
      <c r="A46" s="3"/>
      <c r="B46" s="3" t="s">
        <v>5493</v>
      </c>
      <c r="C46" s="3"/>
      <c r="D46" s="3"/>
      <c r="E46" s="3"/>
      <c r="F46" s="6">
        <f>SUM(K28:K42)</f>
        <v>0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1:21" x14ac:dyDescent="0.25">
      <c r="A47" s="18"/>
      <c r="B47" s="18" t="s">
        <v>5494</v>
      </c>
      <c r="C47" s="18"/>
      <c r="D47" s="18"/>
      <c r="E47" s="18"/>
      <c r="F47" s="19">
        <f>F44+F45+F46</f>
        <v>23</v>
      </c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9" spans="1:21" ht="15.75" x14ac:dyDescent="0.25">
      <c r="A49" s="2" t="s">
        <v>5512</v>
      </c>
    </row>
    <row r="50" spans="1:21" x14ac:dyDescent="0.25">
      <c r="A50" s="3" t="s">
        <v>35</v>
      </c>
      <c r="B50" s="3" t="s">
        <v>5461</v>
      </c>
      <c r="C50" s="3" t="s">
        <v>37</v>
      </c>
      <c r="D50" s="3" t="s">
        <v>5462</v>
      </c>
      <c r="E50" s="3" t="s">
        <v>5463</v>
      </c>
      <c r="F50" s="3" t="s">
        <v>5513</v>
      </c>
      <c r="G50" s="3" t="s">
        <v>5465</v>
      </c>
      <c r="H50" s="3" t="s">
        <v>5466</v>
      </c>
      <c r="I50" s="3" t="s">
        <v>5467</v>
      </c>
      <c r="J50" s="3" t="s">
        <v>5468</v>
      </c>
      <c r="K50" s="3" t="s">
        <v>5469</v>
      </c>
      <c r="L50" s="3" t="s">
        <v>5470</v>
      </c>
      <c r="M50" s="3" t="s">
        <v>5471</v>
      </c>
      <c r="N50" s="3" t="s">
        <v>5472</v>
      </c>
      <c r="O50" s="3" t="s">
        <v>5473</v>
      </c>
      <c r="P50" s="3" t="s">
        <v>5474</v>
      </c>
      <c r="Q50" s="3" t="s">
        <v>5475</v>
      </c>
      <c r="R50" s="3" t="s">
        <v>5476</v>
      </c>
      <c r="S50" s="3" t="s">
        <v>5477</v>
      </c>
      <c r="T50" s="3" t="s">
        <v>5478</v>
      </c>
      <c r="U50" s="3" t="s">
        <v>5479</v>
      </c>
    </row>
    <row r="51" spans="1:21" x14ac:dyDescent="0.25">
      <c r="A51" s="21" t="s">
        <v>61</v>
      </c>
      <c r="B51" s="4" t="s">
        <v>5480</v>
      </c>
      <c r="C51" s="4" t="str">
        <f>IFERROR(INDEX('Projekt-Budget-Übersicht'!$C:$C,MATCH(10,'Projekt-Budget-Übersicht'!$L:$L,0)),"")</f>
        <v/>
      </c>
      <c r="D51" s="4">
        <v>8</v>
      </c>
      <c r="E51" s="4">
        <v>8</v>
      </c>
      <c r="F51" s="4">
        <v>8</v>
      </c>
      <c r="G51" s="14">
        <v>100</v>
      </c>
      <c r="H51" s="5"/>
      <c r="I51" s="5">
        <f t="shared" ref="I51:I59" si="8">IF(H51=0,0,F51-H51)</f>
        <v>0</v>
      </c>
      <c r="J51" s="4"/>
      <c r="K51" s="5">
        <f>IF('A. Kokott'!J85="U. Sutter ADM",'A. Kokott'!I85,0)+IF('C. Trapp SV'!J56="U. Sutter ADM",'C. Trapp SV'!I56,0)+IF('D. Brucker'!J33="U. Sutter ADM",'D. Brucker'!I33,0)+IF('J. Dorn'!J83="U. Sutter ADM",'J. Dorn'!I83,0)+IF('O. Haag BS-CAD'!J92="U. Sutter ADM",'O. Haag BS-CAD'!I92,0)+IF('S. Schüler'!J93="U. Sutter ADM",'S. Schüler'!I93,0)</f>
        <v>0</v>
      </c>
      <c r="L51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1" s="10">
        <f t="shared" ref="M51:M59" si="9">IF($B$2="-",0,IF(C51="Pauschale",IF(OR(R51=0,N(D51)=0),0,MAX(0,MIN(R51*((N(F51)+N(K51))/N(D51)),R51-R51*(N(E51)/N(D51))))),L51*(N(F51)+N(K51))))</f>
        <v>0</v>
      </c>
      <c r="N51" s="10">
        <f t="shared" ref="N51:N59" si="10">IF($B$2="-",0,IF(C51="Pauschale",IF(OR(R51=0,N(D51)=0),0,R51*((N(F51)+N(K51))/N(D51))),L51*(N(F51)+N(K51))))</f>
        <v>0</v>
      </c>
      <c r="O51" s="10">
        <f t="shared" ref="O51:O59" si="11">N51-M51</f>
        <v>0</v>
      </c>
      <c r="P51" s="10">
        <f>'A. Kokott'!M85+'C. Trapp SV'!M56+'D. Brucker'!M33+'J. Dorn'!M83+'O. Haag BS-CAD'!M92+'S. Schüler'!M93+'U. Sutter ADM'!M51</f>
        <v>0</v>
      </c>
      <c r="Q51" s="10">
        <v>132</v>
      </c>
      <c r="R51" s="10">
        <f>IFERROR(INDEX('Projekt-Budget-Übersicht'!$F:$F,MATCH(10,'Projekt-Budget-Übersicht'!$L:$L,0)),0)</f>
        <v>0</v>
      </c>
      <c r="S51" s="10">
        <v>68628.19</v>
      </c>
      <c r="T51" s="4"/>
      <c r="U51" s="4"/>
    </row>
    <row r="52" spans="1:21" x14ac:dyDescent="0.25">
      <c r="A52" s="22"/>
      <c r="B52" s="4" t="s">
        <v>5481</v>
      </c>
      <c r="C52" s="4" t="str">
        <f>IFERROR(INDEX('Projekt-Budget-Übersicht'!$C:$C,MATCH(10,'Projekt-Budget-Übersicht'!$L:$L,0)),"")</f>
        <v/>
      </c>
      <c r="D52" s="4">
        <v>8</v>
      </c>
      <c r="E52" s="4">
        <v>2.5</v>
      </c>
      <c r="F52" s="4">
        <v>2.5</v>
      </c>
      <c r="G52" s="16">
        <v>31.25</v>
      </c>
      <c r="H52" s="5"/>
      <c r="I52" s="5">
        <f t="shared" si="8"/>
        <v>0</v>
      </c>
      <c r="J52" s="4"/>
      <c r="K52" s="5">
        <f>IF('A. Kokott'!J86="U. Sutter ADM",'A. Kokott'!I86,0)+IF('C. Trapp SV'!J57="U. Sutter ADM",'C. Trapp SV'!I57,0)+IF('J. Dorn'!J84="U. Sutter ADM",'J. Dorn'!I84,0)+IF('M. Bandlofsky'!J45="U. Sutter ADM",'M. Bandlofsky'!I45,0)+IF('O. Haag BS-CAD'!J93="U. Sutter ADM",'O. Haag BS-CAD'!I93,0)+IF('R. Wagen CAD'!J57="U. Sutter ADM",'R. Wagen CAD'!I57,0)+IF('T. Trautmann'!J72="U. Sutter ADM",'T. Trautmann'!I72,0)</f>
        <v>0</v>
      </c>
      <c r="L52" s="10">
        <f>IF($B$2="-",0,IFERROR(INDEX(IF($B$2="SV",'Projekt-Budget-Übersicht'!$I:$I,IF($B$2="CAD",'Projekt-Budget-Übersicht'!$J:$J,IF($B$2="ADM",'Projekt-Budget-Übersicht'!$K:$K,'Projekt-Budget-Übersicht'!$I:$I))),MATCH(10,'Projekt-Budget-Übersicht'!$M:$M,0)),0))</f>
        <v>0</v>
      </c>
      <c r="M52" s="10">
        <f t="shared" si="9"/>
        <v>0</v>
      </c>
      <c r="N52" s="10">
        <f t="shared" si="10"/>
        <v>0</v>
      </c>
      <c r="O52" s="10">
        <f t="shared" si="11"/>
        <v>0</v>
      </c>
      <c r="P52" s="10">
        <f>'A. Kokott'!M86+'C. Trapp SV'!M57+'J. Dorn'!M84+'M. Bandlofsky'!M45+'O. Haag BS-CAD'!M93+'R. Wagen CAD'!M57+'T. Trautmann'!M72+'U. Sutter ADM'!M52</f>
        <v>0</v>
      </c>
      <c r="Q52" s="10">
        <v>132</v>
      </c>
      <c r="R52" s="10">
        <f>IFERROR(INDEX('Projekt-Budget-Übersicht'!$F:$F,MATCH(10,'Projekt-Budget-Übersicht'!$L:$L,0)),0)</f>
        <v>0</v>
      </c>
      <c r="S52" s="10">
        <v>68628.19</v>
      </c>
      <c r="T52" s="4"/>
      <c r="U52" s="4"/>
    </row>
    <row r="53" spans="1:21" x14ac:dyDescent="0.25">
      <c r="A53" s="4" t="s">
        <v>148</v>
      </c>
      <c r="B53" s="4" t="s">
        <v>5544</v>
      </c>
      <c r="C53" s="4" t="str">
        <f>IFERROR(INDEX('Projekt-Budget-Übersicht'!$C:$C,MATCH(68,'Projekt-Budget-Übersicht'!$L:$L,0)),"")</f>
        <v/>
      </c>
      <c r="D53" s="4">
        <v>0</v>
      </c>
      <c r="E53" s="4">
        <v>44</v>
      </c>
      <c r="F53" s="4">
        <v>0.75</v>
      </c>
      <c r="G53" s="4">
        <v>0</v>
      </c>
      <c r="H53" s="5"/>
      <c r="I53" s="5">
        <f t="shared" si="8"/>
        <v>0</v>
      </c>
      <c r="J53" s="4"/>
      <c r="K53" s="5">
        <v>0</v>
      </c>
      <c r="L53" s="10">
        <f>IF($B$2="-",0,IFERROR(INDEX(IF($B$2="SV",'Projekt-Budget-Übersicht'!$I:$I,IF($B$2="CAD",'Projekt-Budget-Übersicht'!$J:$J,IF($B$2="ADM",'Projekt-Budget-Übersicht'!$K:$K,'Projekt-Budget-Übersicht'!$I:$I))),MATCH(68,'Projekt-Budget-Übersicht'!$M:$M,0)),0))</f>
        <v>0</v>
      </c>
      <c r="M53" s="10">
        <f t="shared" si="9"/>
        <v>0</v>
      </c>
      <c r="N53" s="10">
        <f t="shared" si="10"/>
        <v>0</v>
      </c>
      <c r="O53" s="10">
        <f t="shared" si="11"/>
        <v>0</v>
      </c>
      <c r="P53" s="10">
        <f>'U. Sutter ADM'!M53</f>
        <v>0</v>
      </c>
      <c r="Q53" s="10">
        <v>10</v>
      </c>
      <c r="R53" s="10">
        <f>IFERROR(INDEX('Projekt-Budget-Übersicht'!$F:$F,MATCH(68,'Projekt-Budget-Übersicht'!$L:$L,0)),0)</f>
        <v>0</v>
      </c>
      <c r="S53" s="10">
        <v>1338.4</v>
      </c>
      <c r="T53" s="4"/>
      <c r="U53" s="4"/>
    </row>
    <row r="54" spans="1:21" x14ac:dyDescent="0.25">
      <c r="A54" s="4" t="s">
        <v>865</v>
      </c>
      <c r="B54" s="4" t="s">
        <v>5604</v>
      </c>
      <c r="C54" s="4" t="str">
        <f>IFERROR(INDEX('Projekt-Budget-Übersicht'!$C:$C,MATCH(892,'Projekt-Budget-Übersicht'!$L:$L,0)),"")</f>
        <v/>
      </c>
      <c r="D54" s="4">
        <v>6.5</v>
      </c>
      <c r="E54" s="4">
        <v>14.75</v>
      </c>
      <c r="F54" s="4">
        <v>1.5</v>
      </c>
      <c r="G54" s="15">
        <v>226.92</v>
      </c>
      <c r="H54" s="5"/>
      <c r="I54" s="5">
        <f t="shared" si="8"/>
        <v>0</v>
      </c>
      <c r="J54" s="4"/>
      <c r="K54" s="5">
        <v>0</v>
      </c>
      <c r="L54" s="10">
        <f>IF($B$2="-",0,IFERROR(INDEX(IF($B$2="SV",'Projekt-Budget-Übersicht'!$I:$I,IF($B$2="CAD",'Projekt-Budget-Übersicht'!$J:$J,IF($B$2="ADM",'Projekt-Budget-Übersicht'!$K:$K,'Projekt-Budget-Übersicht'!$I:$I))),MATCH(892,'Projekt-Budget-Übersicht'!$M:$M,0)),0))</f>
        <v>0</v>
      </c>
      <c r="M54" s="10">
        <f t="shared" si="9"/>
        <v>0</v>
      </c>
      <c r="N54" s="10">
        <f t="shared" si="10"/>
        <v>0</v>
      </c>
      <c r="O54" s="10">
        <f t="shared" si="11"/>
        <v>0</v>
      </c>
      <c r="P54" s="10">
        <f>'U. Sutter ADM'!M54</f>
        <v>0</v>
      </c>
      <c r="Q54" s="10">
        <v>107</v>
      </c>
      <c r="R54" s="10">
        <f>IFERROR(INDEX('Projekt-Budget-Übersicht'!$F:$F,MATCH(892,'Projekt-Budget-Übersicht'!$L:$L,0)),0)</f>
        <v>0</v>
      </c>
      <c r="S54" s="10">
        <v>12383.75</v>
      </c>
      <c r="T54" s="4"/>
      <c r="U54" s="4"/>
    </row>
    <row r="55" spans="1:21" x14ac:dyDescent="0.25">
      <c r="A55" s="4" t="s">
        <v>1383</v>
      </c>
      <c r="B55" s="4" t="s">
        <v>5536</v>
      </c>
      <c r="C55" s="4" t="str">
        <f>IFERROR(INDEX('Projekt-Budget-Übersicht'!$C:$C,MATCH(1499,'Projekt-Budget-Übersicht'!$L:$L,0)),"")</f>
        <v/>
      </c>
      <c r="D55" s="4">
        <v>20</v>
      </c>
      <c r="E55" s="4">
        <v>8.75</v>
      </c>
      <c r="F55" s="4">
        <v>1.5</v>
      </c>
      <c r="G55" s="16">
        <v>43.75</v>
      </c>
      <c r="H55" s="5"/>
      <c r="I55" s="5">
        <f t="shared" si="8"/>
        <v>0</v>
      </c>
      <c r="J55" s="4"/>
      <c r="K55" s="5">
        <f>IF('M. Bandlofsky'!J58="U. Sutter ADM",'M. Bandlofsky'!I58,0)</f>
        <v>0</v>
      </c>
      <c r="L55" s="10">
        <f>IF($B$2="-",0,IFERROR(INDEX(IF($B$2="SV",'Projekt-Budget-Übersicht'!$I:$I,IF($B$2="CAD",'Projekt-Budget-Übersicht'!$J:$J,IF($B$2="ADM",'Projekt-Budget-Übersicht'!$K:$K,'Projekt-Budget-Übersicht'!$I:$I))),MATCH(1499,'Projekt-Budget-Übersicht'!$M:$M,0)),0))</f>
        <v>0</v>
      </c>
      <c r="M55" s="10">
        <f t="shared" si="9"/>
        <v>0</v>
      </c>
      <c r="N55" s="10">
        <f t="shared" si="10"/>
        <v>0</v>
      </c>
      <c r="O55" s="10">
        <f t="shared" si="11"/>
        <v>0</v>
      </c>
      <c r="P55" s="10">
        <f>'M. Bandlofsky'!M58+'U. Sutter ADM'!M55</f>
        <v>0</v>
      </c>
      <c r="Q55" s="10">
        <v>451</v>
      </c>
      <c r="R55" s="10">
        <f>IFERROR(INDEX('Projekt-Budget-Übersicht'!$F:$F,MATCH(1499,'Projekt-Budget-Übersicht'!$L:$L,0)),0)</f>
        <v>0</v>
      </c>
      <c r="S55" s="10">
        <v>15665.4</v>
      </c>
      <c r="T55" s="4"/>
      <c r="U55" s="4"/>
    </row>
    <row r="56" spans="1:21" x14ac:dyDescent="0.25">
      <c r="A56" s="4" t="s">
        <v>1490</v>
      </c>
      <c r="B56" s="4" t="s">
        <v>5543</v>
      </c>
      <c r="C56" s="4" t="str">
        <f>IFERROR(INDEX('Projekt-Budget-Übersicht'!$C:$C,MATCH(1678,'Projekt-Budget-Übersicht'!$L:$L,0)),"")</f>
        <v/>
      </c>
      <c r="D56" s="4">
        <v>240</v>
      </c>
      <c r="E56" s="4">
        <v>188.5</v>
      </c>
      <c r="F56" s="4">
        <v>1</v>
      </c>
      <c r="G56" s="16">
        <v>78.540000000000006</v>
      </c>
      <c r="H56" s="5"/>
      <c r="I56" s="5">
        <f t="shared" si="8"/>
        <v>0</v>
      </c>
      <c r="J56" s="4"/>
      <c r="K56" s="5">
        <f>IF('C. Trapp SV'!J62="U. Sutter ADM",'C. Trapp SV'!I62,0)+IF('S. Roßkopf'!J19="U. Sutter ADM",'S. Roßkopf'!I19,0)</f>
        <v>0</v>
      </c>
      <c r="L56" s="10">
        <f>IF($B$2="-",0,IFERROR(INDEX(IF($B$2="SV",'Projekt-Budget-Übersicht'!$I:$I,IF($B$2="CAD",'Projekt-Budget-Übersicht'!$J:$J,IF($B$2="ADM",'Projekt-Budget-Übersicht'!$K:$K,'Projekt-Budget-Übersicht'!$I:$I))),MATCH(1678,'Projekt-Budget-Übersicht'!$M:$M,0)),0))</f>
        <v>0</v>
      </c>
      <c r="M56" s="10">
        <f t="shared" si="9"/>
        <v>0</v>
      </c>
      <c r="N56" s="10">
        <f t="shared" si="10"/>
        <v>0</v>
      </c>
      <c r="O56" s="10">
        <f t="shared" si="11"/>
        <v>0</v>
      </c>
      <c r="P56" s="10">
        <f>'C. Trapp SV'!M62+'S. Roßkopf'!M19+'U. Sutter ADM'!M56</f>
        <v>0</v>
      </c>
      <c r="Q56" s="10">
        <v>272</v>
      </c>
      <c r="R56" s="10">
        <f>IFERROR(INDEX('Projekt-Budget-Übersicht'!$F:$F,MATCH(1678,'Projekt-Budget-Übersicht'!$L:$L,0)),0)</f>
        <v>0</v>
      </c>
      <c r="S56" s="10">
        <v>4718.17</v>
      </c>
      <c r="T56" s="4"/>
      <c r="U56" s="4"/>
    </row>
    <row r="57" spans="1:21" x14ac:dyDescent="0.25">
      <c r="A57" s="4" t="s">
        <v>3070</v>
      </c>
      <c r="B57" s="4" t="s">
        <v>5541</v>
      </c>
      <c r="C57" s="4" t="str">
        <f>IFERROR(INDEX('Projekt-Budget-Übersicht'!$C:$C,MATCH(3322,'Projekt-Budget-Übersicht'!$L:$L,0)),"")</f>
        <v/>
      </c>
      <c r="D57" s="4">
        <v>80</v>
      </c>
      <c r="E57" s="4">
        <v>20.75</v>
      </c>
      <c r="F57" s="4">
        <v>1</v>
      </c>
      <c r="G57" s="16">
        <v>25.94</v>
      </c>
      <c r="H57" s="5"/>
      <c r="I57" s="5">
        <f t="shared" si="8"/>
        <v>0</v>
      </c>
      <c r="J57" s="4"/>
      <c r="K57" s="5">
        <v>0</v>
      </c>
      <c r="L57" s="10">
        <f>IF($B$2="-",0,IFERROR(INDEX(IF($B$2="SV",'Projekt-Budget-Übersicht'!$I:$I,IF($B$2="CAD",'Projekt-Budget-Übersicht'!$J:$J,IF($B$2="ADM",'Projekt-Budget-Übersicht'!$K:$K,'Projekt-Budget-Übersicht'!$I:$I))),MATCH(3322,'Projekt-Budget-Übersicht'!$M:$M,0)),0))</f>
        <v>0</v>
      </c>
      <c r="M57" s="10">
        <f t="shared" si="9"/>
        <v>0</v>
      </c>
      <c r="N57" s="10">
        <f t="shared" si="10"/>
        <v>0</v>
      </c>
      <c r="O57" s="10">
        <f t="shared" si="11"/>
        <v>0</v>
      </c>
      <c r="P57" s="10">
        <f>'U. Sutter ADM'!M57</f>
        <v>0</v>
      </c>
      <c r="Q57" s="10">
        <v>768</v>
      </c>
      <c r="R57" s="10">
        <f>IFERROR(INDEX('Projekt-Budget-Übersicht'!$F:$F,MATCH(3322,'Projekt-Budget-Übersicht'!$L:$L,0)),0)</f>
        <v>0</v>
      </c>
      <c r="S57" s="10">
        <v>1887.87</v>
      </c>
      <c r="T57" s="4"/>
      <c r="U57" s="4"/>
    </row>
    <row r="58" spans="1:21" x14ac:dyDescent="0.25">
      <c r="A58" s="4" t="s">
        <v>3146</v>
      </c>
      <c r="B58" s="4" t="s">
        <v>5484</v>
      </c>
      <c r="C58" s="4" t="str">
        <f>IFERROR(INDEX('Projekt-Budget-Übersicht'!$C:$C,MATCH(3387,'Projekt-Budget-Übersicht'!$L:$L,0)),"")</f>
        <v/>
      </c>
      <c r="D58" s="4">
        <v>2</v>
      </c>
      <c r="E58" s="4">
        <v>11</v>
      </c>
      <c r="F58" s="4">
        <v>0.75</v>
      </c>
      <c r="G58" s="15">
        <v>550</v>
      </c>
      <c r="H58" s="5"/>
      <c r="I58" s="5">
        <f t="shared" si="8"/>
        <v>0</v>
      </c>
      <c r="J58" s="4"/>
      <c r="K58" s="5">
        <v>0</v>
      </c>
      <c r="L58" s="10">
        <f>IF($B$2="-",0,IFERROR(INDEX(IF($B$2="SV",'Projekt-Budget-Übersicht'!$I:$I,IF($B$2="CAD",'Projekt-Budget-Übersicht'!$J:$J,IF($B$2="ADM",'Projekt-Budget-Übersicht'!$K:$K,'Projekt-Budget-Übersicht'!$I:$I))),MATCH(3387,'Projekt-Budget-Übersicht'!$M:$M,0)),0))</f>
        <v>0</v>
      </c>
      <c r="M58" s="10">
        <f t="shared" si="9"/>
        <v>0</v>
      </c>
      <c r="N58" s="10">
        <f t="shared" si="10"/>
        <v>0</v>
      </c>
      <c r="O58" s="10">
        <f t="shared" si="11"/>
        <v>0</v>
      </c>
      <c r="P58" s="10">
        <f>'U. Sutter ADM'!M58</f>
        <v>0</v>
      </c>
      <c r="Q58" s="10">
        <v>74</v>
      </c>
      <c r="R58" s="10">
        <f>IFERROR(INDEX('Projekt-Budget-Übersicht'!$F:$F,MATCH(3387,'Projekt-Budget-Übersicht'!$L:$L,0)),0)</f>
        <v>0</v>
      </c>
      <c r="S58" s="10">
        <v>23081.52</v>
      </c>
      <c r="T58" s="4"/>
      <c r="U58" s="4"/>
    </row>
    <row r="59" spans="1:21" x14ac:dyDescent="0.25">
      <c r="A59" s="4" t="s">
        <v>3214</v>
      </c>
      <c r="B59" s="4" t="s">
        <v>5541</v>
      </c>
      <c r="C59" s="4" t="str">
        <f>IFERROR(INDEX('Projekt-Budget-Übersicht'!$C:$C,MATCH(3445,'Projekt-Budget-Übersicht'!$L:$L,0)),"")</f>
        <v/>
      </c>
      <c r="D59" s="4">
        <v>20</v>
      </c>
      <c r="E59" s="4">
        <v>35.75</v>
      </c>
      <c r="F59" s="4">
        <v>1</v>
      </c>
      <c r="G59" s="15">
        <v>178.75</v>
      </c>
      <c r="H59" s="5"/>
      <c r="I59" s="5">
        <f t="shared" si="8"/>
        <v>0</v>
      </c>
      <c r="J59" s="4"/>
      <c r="K59" s="5">
        <v>0</v>
      </c>
      <c r="L59" s="10">
        <f>IF($B$2="-",0,IFERROR(INDEX(IF($B$2="SV",'Projekt-Budget-Übersicht'!$I:$I,IF($B$2="CAD",'Projekt-Budget-Übersicht'!$J:$J,IF($B$2="ADM",'Projekt-Budget-Übersicht'!$K:$K,'Projekt-Budget-Übersicht'!$I:$I))),MATCH(3445,'Projekt-Budget-Übersicht'!$M:$M,0)),0))</f>
        <v>0</v>
      </c>
      <c r="M59" s="10">
        <f t="shared" si="9"/>
        <v>0</v>
      </c>
      <c r="N59" s="10">
        <f t="shared" si="10"/>
        <v>0</v>
      </c>
      <c r="O59" s="10">
        <f t="shared" si="11"/>
        <v>0</v>
      </c>
      <c r="P59" s="10">
        <f>'U. Sutter ADM'!M59</f>
        <v>0</v>
      </c>
      <c r="Q59" s="10">
        <v>144</v>
      </c>
      <c r="R59" s="10">
        <f>IFERROR(INDEX('Projekt-Budget-Übersicht'!$F:$F,MATCH(3445,'Projekt-Budget-Übersicht'!$L:$L,0)),0)</f>
        <v>0</v>
      </c>
      <c r="S59" s="10">
        <v>332.5</v>
      </c>
      <c r="T59" s="4"/>
      <c r="U59" s="4"/>
    </row>
    <row r="60" spans="1:21" x14ac:dyDescent="0.25">
      <c r="A60" s="3"/>
      <c r="B60" s="3" t="s">
        <v>5492</v>
      </c>
      <c r="C60" s="3"/>
      <c r="D60" s="3"/>
      <c r="E60" s="3"/>
      <c r="F60" s="6">
        <v>18</v>
      </c>
      <c r="G60" s="3"/>
      <c r="H60" s="3"/>
      <c r="I60" s="3"/>
      <c r="J60" s="3"/>
      <c r="K60" s="3"/>
      <c r="L60" s="3"/>
      <c r="M60" s="17">
        <f>SUM(M51:M59)</f>
        <v>0</v>
      </c>
      <c r="N60" s="17">
        <f>SUM(N51:N59)</f>
        <v>0</v>
      </c>
      <c r="O60" s="17">
        <f>SUM(O51:O59)</f>
        <v>0</v>
      </c>
      <c r="P60" s="17">
        <f>SUM(P51:P59)</f>
        <v>0</v>
      </c>
      <c r="Q60" s="3"/>
      <c r="R60" s="3"/>
      <c r="S60" s="3"/>
      <c r="T60" s="3"/>
      <c r="U60" s="3"/>
    </row>
    <row r="61" spans="1:21" x14ac:dyDescent="0.25">
      <c r="A61" s="3"/>
      <c r="B61" s="3" t="s">
        <v>4</v>
      </c>
      <c r="C61" s="3"/>
      <c r="D61" s="3"/>
      <c r="E61" s="3"/>
      <c r="F61" s="6">
        <f>G61+H61</f>
        <v>4.25</v>
      </c>
      <c r="G61" s="6">
        <v>4.25</v>
      </c>
      <c r="H61" s="6">
        <f>SUM(H53,H54,H55,H56,H57,H58,H59)</f>
        <v>0</v>
      </c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1:21" x14ac:dyDescent="0.25">
      <c r="A62" s="3"/>
      <c r="B62" s="3" t="s">
        <v>5</v>
      </c>
      <c r="C62" s="3"/>
      <c r="D62" s="3"/>
      <c r="E62" s="3"/>
      <c r="F62" s="6">
        <f>G62+H62</f>
        <v>10.5</v>
      </c>
      <c r="G62" s="6">
        <v>10.5</v>
      </c>
      <c r="H62" s="6">
        <f>SUM(H51,H52)</f>
        <v>0</v>
      </c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1:21" x14ac:dyDescent="0.25">
      <c r="A63" s="3"/>
      <c r="B63" s="3" t="s">
        <v>5493</v>
      </c>
      <c r="C63" s="3"/>
      <c r="D63" s="3"/>
      <c r="E63" s="3"/>
      <c r="F63" s="6">
        <f>SUM(K51:K59)</f>
        <v>0</v>
      </c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1:21" x14ac:dyDescent="0.25">
      <c r="A64" s="18"/>
      <c r="B64" s="18" t="s">
        <v>5494</v>
      </c>
      <c r="C64" s="18"/>
      <c r="D64" s="18"/>
      <c r="E64" s="18"/>
      <c r="F64" s="19">
        <f>F61+F62+F63</f>
        <v>14.75</v>
      </c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6" spans="1:21" ht="15.75" x14ac:dyDescent="0.25">
      <c r="A66" s="2" t="s">
        <v>5524</v>
      </c>
    </row>
    <row r="67" spans="1:21" x14ac:dyDescent="0.25">
      <c r="A67" s="3" t="s">
        <v>2</v>
      </c>
      <c r="B67" s="3" t="s">
        <v>5525</v>
      </c>
      <c r="C67" s="3" t="s">
        <v>5526</v>
      </c>
      <c r="D67" s="3" t="s">
        <v>4</v>
      </c>
      <c r="E67" s="3" t="s">
        <v>5</v>
      </c>
      <c r="F67" s="3" t="s">
        <v>5527</v>
      </c>
      <c r="G67" s="3" t="s">
        <v>5528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1:21" x14ac:dyDescent="0.25">
      <c r="A68" s="4" t="s">
        <v>6</v>
      </c>
      <c r="B68" s="4" t="s">
        <v>32</v>
      </c>
      <c r="C68" s="4">
        <f>F20</f>
        <v>27.25</v>
      </c>
      <c r="D68" s="4">
        <f>F21</f>
        <v>9</v>
      </c>
      <c r="E68" s="4">
        <f>F22</f>
        <v>8.5</v>
      </c>
      <c r="F68" s="4">
        <f>F23</f>
        <v>0</v>
      </c>
      <c r="G68" s="4">
        <f>F24</f>
        <v>17.5</v>
      </c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</row>
    <row r="69" spans="1:21" x14ac:dyDescent="0.25">
      <c r="A69" s="4" t="s">
        <v>7</v>
      </c>
      <c r="B69" s="4" t="s">
        <v>32</v>
      </c>
      <c r="C69" s="4">
        <f>F43</f>
        <v>28.5</v>
      </c>
      <c r="D69" s="4">
        <f>F44</f>
        <v>12</v>
      </c>
      <c r="E69" s="4">
        <f>F45</f>
        <v>11</v>
      </c>
      <c r="F69" s="4">
        <f>F46</f>
        <v>0</v>
      </c>
      <c r="G69" s="4">
        <f>F47</f>
        <v>23</v>
      </c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</row>
    <row r="70" spans="1:21" x14ac:dyDescent="0.25">
      <c r="A70" s="4" t="s">
        <v>8</v>
      </c>
      <c r="B70" s="4" t="s">
        <v>32</v>
      </c>
      <c r="C70" s="4">
        <f>F60</f>
        <v>18</v>
      </c>
      <c r="D70" s="4">
        <f>F61</f>
        <v>4.25</v>
      </c>
      <c r="E70" s="4">
        <f>F62</f>
        <v>10.5</v>
      </c>
      <c r="F70" s="4">
        <f>F63</f>
        <v>0</v>
      </c>
      <c r="G70" s="4">
        <f>F64</f>
        <v>14.75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</row>
    <row r="73" spans="1:21" ht="18.75" x14ac:dyDescent="0.3">
      <c r="A73" s="1" t="s">
        <v>5529</v>
      </c>
    </row>
    <row r="74" spans="1:21" x14ac:dyDescent="0.25">
      <c r="A74" s="3" t="s">
        <v>35</v>
      </c>
      <c r="B74" s="3" t="s">
        <v>5461</v>
      </c>
      <c r="C74" s="3" t="s">
        <v>37</v>
      </c>
      <c r="D74" s="3" t="s">
        <v>5462</v>
      </c>
      <c r="E74" s="3" t="s">
        <v>5463</v>
      </c>
      <c r="F74" s="3" t="s">
        <v>5530</v>
      </c>
      <c r="G74" s="3" t="s">
        <v>5465</v>
      </c>
      <c r="H74" s="3" t="s">
        <v>5466</v>
      </c>
      <c r="I74" s="3" t="s">
        <v>5467</v>
      </c>
      <c r="J74" s="3" t="s">
        <v>5468</v>
      </c>
      <c r="K74" s="3" t="s">
        <v>5469</v>
      </c>
      <c r="L74" s="3" t="s">
        <v>5470</v>
      </c>
      <c r="M74" s="3" t="s">
        <v>5471</v>
      </c>
      <c r="N74" s="3" t="s">
        <v>5472</v>
      </c>
      <c r="O74" s="3" t="s">
        <v>5473</v>
      </c>
      <c r="P74" s="3" t="s">
        <v>5474</v>
      </c>
      <c r="Q74" s="3" t="s">
        <v>5476</v>
      </c>
      <c r="R74" s="3" t="s">
        <v>5477</v>
      </c>
      <c r="S74" s="3"/>
      <c r="T74" s="3"/>
      <c r="U74" s="3"/>
    </row>
    <row r="75" spans="1:21" x14ac:dyDescent="0.25">
      <c r="A75" s="21" t="s">
        <v>61</v>
      </c>
      <c r="B75" s="4" t="s">
        <v>5480</v>
      </c>
      <c r="C75" s="4" t="str">
        <f>IFERROR(INDEX('Projekt-Budget-Übersicht'!$C:$C,MATCH(10,'Projekt-Budget-Übersicht'!$L:$L,0)),"")</f>
        <v/>
      </c>
      <c r="D75" s="4">
        <v>24</v>
      </c>
      <c r="E75" s="4">
        <v>24</v>
      </c>
      <c r="F75" s="5">
        <f>SUM(F6,F28,F51,I6,I28,I51,K6,K28,K51)</f>
        <v>24</v>
      </c>
      <c r="G75" s="14">
        <v>100</v>
      </c>
      <c r="H75" s="5">
        <f>SUM(H6,H28,H51)</f>
        <v>0</v>
      </c>
      <c r="I75" s="5">
        <f t="shared" ref="I75:I95" si="12">IF(H75=0,0,F75-H75)</f>
        <v>0</v>
      </c>
      <c r="J75" s="4" t="s">
        <v>5531</v>
      </c>
      <c r="K75" s="5">
        <f>SUM(K6,K28,K51)</f>
        <v>0</v>
      </c>
      <c r="L75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75" s="10">
        <f t="shared" ref="M75:M95" si="13">IF($B$2="-",0,IF(C75="Pauschale",IF(OR(Q75=0,N(D75)=0),0,MAX(0,MIN(Q75*((N(F75)+N(K75))/N(D75)),Q75-Q75*(N(E75)/N(D75))))),L75*(N(F75)+N(K75))))</f>
        <v>0</v>
      </c>
      <c r="N75" s="10">
        <f t="shared" ref="N75:N95" si="14">IF($B$2="-",0,IF(C75="Pauschale",IF(OR(Q75=0,N(D75)=0),0,Q75*((N(F75)+N(K75))/N(D75))),L75*(N(F75)+N(K75))))</f>
        <v>0</v>
      </c>
      <c r="O75" s="10">
        <f t="shared" ref="O75:O95" si="15">N75-M75</f>
        <v>0</v>
      </c>
      <c r="P75" s="10">
        <f>'A. Kokott'!M138+'C. Trapp SV'!M84+'D. Brucker'!M54+'E. Bieler'!M78+'J. Dorchies'!M38+'J. Dorn'!M118+'O. Haag BS-CAD'!M142+'P. Bergner'!M73+'R. Böttiger'!M85+'S. Schüler'!M133+'T. Trautmann'!M112+'U. Sutter ADM'!M75</f>
        <v>0</v>
      </c>
      <c r="Q75" s="10">
        <f>IFERROR(INDEX('Projekt-Budget-Übersicht'!$E:$E,MATCH(10,'Projekt-Budget-Übersicht'!$L:$L,0)),0)</f>
        <v>0</v>
      </c>
      <c r="R75" s="10">
        <v>68628.19</v>
      </c>
      <c r="S75" s="4"/>
      <c r="T75" s="4"/>
      <c r="U75" s="4"/>
    </row>
    <row r="76" spans="1:21" x14ac:dyDescent="0.25">
      <c r="A76" s="22"/>
      <c r="B76" s="4" t="s">
        <v>5481</v>
      </c>
      <c r="C76" s="4" t="str">
        <f>IFERROR(INDEX('Projekt-Budget-Übersicht'!$C:$C,MATCH(10,'Projekt-Budget-Übersicht'!$L:$L,0)),"")</f>
        <v/>
      </c>
      <c r="D76" s="4">
        <v>24</v>
      </c>
      <c r="E76" s="4">
        <v>6</v>
      </c>
      <c r="F76" s="5">
        <f>SUM(F7,F29,F52,I7,I29,I52,K7,K29,K52)</f>
        <v>6</v>
      </c>
      <c r="G76" s="16">
        <v>25</v>
      </c>
      <c r="H76" s="5">
        <f>SUM(H7,H29,H52)</f>
        <v>0</v>
      </c>
      <c r="I76" s="5">
        <f t="shared" si="12"/>
        <v>0</v>
      </c>
      <c r="J76" s="4" t="s">
        <v>5531</v>
      </c>
      <c r="K76" s="5">
        <f>SUM(K7,K29,K52)</f>
        <v>0</v>
      </c>
      <c r="L76" s="10">
        <f>IF($B$2="-",0,IFERROR(INDEX(IF($B$2="SV",'Projekt-Budget-Übersicht'!$H:$H,IF($B$2="CAD",'Projekt-Budget-Übersicht'!$I:$I,IF($B$2="ADM",'Projekt-Budget-Übersicht'!$J:$J,'Projekt-Budget-Übersicht'!$H:$H))),MATCH(10,'Projekt-Budget-Übersicht'!$L:$L,0)),0))</f>
        <v>0</v>
      </c>
      <c r="M76" s="10">
        <f t="shared" si="13"/>
        <v>0</v>
      </c>
      <c r="N76" s="10">
        <f t="shared" si="14"/>
        <v>0</v>
      </c>
      <c r="O76" s="10">
        <f t="shared" si="15"/>
        <v>0</v>
      </c>
      <c r="P76" s="10">
        <f>'A. Kokott'!M139+'C. Trapp SV'!M85+'D. Brucker'!M55+'E. Bieler'!M79+'J. Dorchies'!M39+'J. Dorn'!M119+'M. Bandlofsky'!M82+'O. Haag BS-CAD'!M143+'P. Bergner'!M74+'R. Wagen CAD'!M78+'T. Trautmann'!M113+'U. Sutter ADM'!M76</f>
        <v>0</v>
      </c>
      <c r="Q76" s="10">
        <f>IFERROR(INDEX('Projekt-Budget-Übersicht'!$E:$E,MATCH(10,'Projekt-Budget-Übersicht'!$L:$L,0)),0)</f>
        <v>0</v>
      </c>
      <c r="R76" s="10">
        <v>68628.19</v>
      </c>
      <c r="S76" s="4"/>
      <c r="T76" s="4"/>
      <c r="U76" s="4"/>
    </row>
    <row r="77" spans="1:21" x14ac:dyDescent="0.25">
      <c r="A77" s="4" t="s">
        <v>148</v>
      </c>
      <c r="B77" s="4" t="s">
        <v>5544</v>
      </c>
      <c r="C77" s="4" t="str">
        <f>IFERROR(INDEX('Projekt-Budget-Übersicht'!$C:$C,MATCH(68,'Projekt-Budget-Übersicht'!$L:$L,0)),"")</f>
        <v/>
      </c>
      <c r="D77" s="4" t="s">
        <v>5531</v>
      </c>
      <c r="E77" s="4">
        <v>44</v>
      </c>
      <c r="F77" s="5">
        <f>SUM(F8,F30,F53,I8,I30,I53,K8,K30,K53)</f>
        <v>2</v>
      </c>
      <c r="G77" s="4" t="s">
        <v>5531</v>
      </c>
      <c r="H77" s="5">
        <f>SUM(H8,H30,H53)</f>
        <v>0</v>
      </c>
      <c r="I77" s="5">
        <f t="shared" si="12"/>
        <v>0</v>
      </c>
      <c r="J77" s="4" t="s">
        <v>5531</v>
      </c>
      <c r="K77" s="5">
        <f>SUM(K8,K30,K53)</f>
        <v>0</v>
      </c>
      <c r="L77" s="10">
        <f>IF($B$2="-",0,IFERROR(INDEX(IF($B$2="SV",'Projekt-Budget-Übersicht'!$H:$H,IF($B$2="CAD",'Projekt-Budget-Übersicht'!$I:$I,IF($B$2="ADM",'Projekt-Budget-Übersicht'!$J:$J,'Projekt-Budget-Übersicht'!$H:$H))),MATCH(68,'Projekt-Budget-Übersicht'!$L:$L,0)),0))</f>
        <v>0</v>
      </c>
      <c r="M77" s="10">
        <f t="shared" si="13"/>
        <v>0</v>
      </c>
      <c r="N77" s="10">
        <f t="shared" si="14"/>
        <v>0</v>
      </c>
      <c r="O77" s="10">
        <f t="shared" si="15"/>
        <v>0</v>
      </c>
      <c r="P77" s="10">
        <f>'U. Sutter ADM'!M77</f>
        <v>0</v>
      </c>
      <c r="Q77" s="10">
        <f>IFERROR(INDEX('Projekt-Budget-Übersicht'!$E:$E,MATCH(68,'Projekt-Budget-Übersicht'!$L:$L,0)),0)</f>
        <v>0</v>
      </c>
      <c r="R77" s="10">
        <v>1338.4</v>
      </c>
      <c r="S77" s="4"/>
      <c r="T77" s="4"/>
      <c r="U77" s="4"/>
    </row>
    <row r="78" spans="1:21" x14ac:dyDescent="0.25">
      <c r="A78" s="4" t="s">
        <v>672</v>
      </c>
      <c r="B78" s="4" t="s">
        <v>5534</v>
      </c>
      <c r="C78" s="4" t="str">
        <f>IFERROR(INDEX('Projekt-Budget-Übersicht'!$C:$C,MATCH(690,'Projekt-Budget-Übersicht'!$L:$L,0)),"")</f>
        <v/>
      </c>
      <c r="D78" s="4">
        <v>40</v>
      </c>
      <c r="E78" s="4">
        <v>472.75</v>
      </c>
      <c r="F78" s="5">
        <f>SUM(F9,I9,K9)</f>
        <v>0.5</v>
      </c>
      <c r="G78" s="15">
        <v>1181.8800000000001</v>
      </c>
      <c r="H78" s="5">
        <f>SUM(H9)</f>
        <v>0</v>
      </c>
      <c r="I78" s="5">
        <f t="shared" si="12"/>
        <v>0</v>
      </c>
      <c r="J78" s="4" t="s">
        <v>5531</v>
      </c>
      <c r="K78" s="5">
        <f>SUM(K9)</f>
        <v>0</v>
      </c>
      <c r="L78" s="10">
        <f>IF($B$2="-",0,IFERROR(INDEX(IF($B$2="SV",'Projekt-Budget-Übersicht'!$H:$H,IF($B$2="CAD",'Projekt-Budget-Übersicht'!$I:$I,IF($B$2="ADM",'Projekt-Budget-Übersicht'!$J:$J,'Projekt-Budget-Übersicht'!$H:$H))),MATCH(690,'Projekt-Budget-Übersicht'!$L:$L,0)),0))</f>
        <v>0</v>
      </c>
      <c r="M78" s="10">
        <f t="shared" si="13"/>
        <v>0</v>
      </c>
      <c r="N78" s="10">
        <f t="shared" si="14"/>
        <v>0</v>
      </c>
      <c r="O78" s="10">
        <f t="shared" si="15"/>
        <v>0</v>
      </c>
      <c r="P78" s="10">
        <f>'C. Trapp SV'!M88+'U. Sutter ADM'!M78</f>
        <v>0</v>
      </c>
      <c r="Q78" s="10">
        <f>IFERROR(INDEX('Projekt-Budget-Übersicht'!$E:$E,MATCH(690,'Projekt-Budget-Übersicht'!$L:$L,0)),0)</f>
        <v>0</v>
      </c>
      <c r="R78" s="10">
        <v>17.5</v>
      </c>
      <c r="S78" s="4"/>
      <c r="T78" s="4"/>
      <c r="U78" s="4"/>
    </row>
    <row r="79" spans="1:21" x14ac:dyDescent="0.25">
      <c r="A79" s="21" t="s">
        <v>865</v>
      </c>
      <c r="B79" s="4" t="s">
        <v>5535</v>
      </c>
      <c r="C79" s="4" t="str">
        <f>IFERROR(INDEX('Projekt-Budget-Übersicht'!$C:$C,MATCH(890,'Projekt-Budget-Übersicht'!$L:$L,0)),"")</f>
        <v/>
      </c>
      <c r="D79" s="4">
        <v>6</v>
      </c>
      <c r="E79" s="4">
        <v>16.75</v>
      </c>
      <c r="F79" s="5">
        <f>SUM(F10,I10,K10)</f>
        <v>4</v>
      </c>
      <c r="G79" s="15">
        <v>279.17</v>
      </c>
      <c r="H79" s="5">
        <f>SUM(H10)</f>
        <v>0</v>
      </c>
      <c r="I79" s="5">
        <f t="shared" si="12"/>
        <v>0</v>
      </c>
      <c r="J79" s="4" t="s">
        <v>5531</v>
      </c>
      <c r="K79" s="5">
        <f>SUM(K10)</f>
        <v>0</v>
      </c>
      <c r="L79" s="10">
        <f>IF($B$2="-",0,IFERROR(INDEX(IF($B$2="SV",'Projekt-Budget-Übersicht'!$H:$H,IF($B$2="CAD",'Projekt-Budget-Übersicht'!$I:$I,IF($B$2="ADM",'Projekt-Budget-Übersicht'!$J:$J,'Projekt-Budget-Übersicht'!$H:$H))),MATCH(890,'Projekt-Budget-Übersicht'!$L:$L,0)),0))</f>
        <v>0</v>
      </c>
      <c r="M79" s="10">
        <f t="shared" si="13"/>
        <v>0</v>
      </c>
      <c r="N79" s="10">
        <f t="shared" si="14"/>
        <v>0</v>
      </c>
      <c r="O79" s="10">
        <f t="shared" si="15"/>
        <v>0</v>
      </c>
      <c r="P79" s="10">
        <f>'C. Trapp SV'!M89+'U. Sutter ADM'!M79</f>
        <v>0</v>
      </c>
      <c r="Q79" s="10">
        <f>IFERROR(INDEX('Projekt-Budget-Übersicht'!$E:$E,MATCH(890,'Projekt-Budget-Übersicht'!$L:$L,0)),0)</f>
        <v>0</v>
      </c>
      <c r="R79" s="10">
        <v>7717.86</v>
      </c>
      <c r="S79" s="4"/>
      <c r="T79" s="4"/>
      <c r="U79" s="4"/>
    </row>
    <row r="80" spans="1:21" x14ac:dyDescent="0.25">
      <c r="A80" s="23"/>
      <c r="B80" s="4" t="s">
        <v>5604</v>
      </c>
      <c r="C80" s="4" t="str">
        <f>IFERROR(INDEX('Projekt-Budget-Übersicht'!$C:$C,MATCH(892,'Projekt-Budget-Übersicht'!$L:$L,0)),"")</f>
        <v/>
      </c>
      <c r="D80" s="4">
        <v>6.5</v>
      </c>
      <c r="E80" s="4">
        <v>14.75</v>
      </c>
      <c r="F80" s="5">
        <f>SUM(F11,F31,F54,I11,I31,I54,K11,K31,K54)</f>
        <v>4</v>
      </c>
      <c r="G80" s="15">
        <v>226.92</v>
      </c>
      <c r="H80" s="5">
        <f>SUM(H11,H31,H54)</f>
        <v>0</v>
      </c>
      <c r="I80" s="5">
        <f t="shared" si="12"/>
        <v>0</v>
      </c>
      <c r="J80" s="4" t="s">
        <v>5531</v>
      </c>
      <c r="K80" s="5">
        <f>SUM(K11,K31,K54)</f>
        <v>0</v>
      </c>
      <c r="L80" s="10">
        <f>IF($B$2="-",0,IFERROR(INDEX(IF($B$2="SV",'Projekt-Budget-Übersicht'!$H:$H,IF($B$2="CAD",'Projekt-Budget-Übersicht'!$I:$I,IF($B$2="ADM",'Projekt-Budget-Übersicht'!$J:$J,'Projekt-Budget-Übersicht'!$H:$H))),MATCH(892,'Projekt-Budget-Übersicht'!$L:$L,0)),0))</f>
        <v>0</v>
      </c>
      <c r="M80" s="10">
        <f t="shared" si="13"/>
        <v>0</v>
      </c>
      <c r="N80" s="10">
        <f t="shared" si="14"/>
        <v>0</v>
      </c>
      <c r="O80" s="10">
        <f t="shared" si="15"/>
        <v>0</v>
      </c>
      <c r="P80" s="10">
        <f>'S. Schüler'!M142+'U. Sutter ADM'!M80</f>
        <v>0</v>
      </c>
      <c r="Q80" s="10">
        <f>IFERROR(INDEX('Projekt-Budget-Übersicht'!$E:$E,MATCH(892,'Projekt-Budget-Übersicht'!$L:$L,0)),0)</f>
        <v>0</v>
      </c>
      <c r="R80" s="10">
        <v>12383.75</v>
      </c>
      <c r="S80" s="4"/>
      <c r="T80" s="4"/>
      <c r="U80" s="4"/>
    </row>
    <row r="81" spans="1:21" x14ac:dyDescent="0.25">
      <c r="A81" s="23"/>
      <c r="B81" s="4" t="s">
        <v>5605</v>
      </c>
      <c r="C81" s="4" t="str">
        <f>IFERROR(INDEX('Projekt-Budget-Übersicht'!$C:$C,MATCH(892,'Projekt-Budget-Übersicht'!$L:$L,0)),"")</f>
        <v/>
      </c>
      <c r="D81" s="4">
        <v>9.5</v>
      </c>
      <c r="E81" s="4">
        <v>5.5</v>
      </c>
      <c r="F81" s="5">
        <f>SUM(F32,I32,K32)</f>
        <v>1.5</v>
      </c>
      <c r="G81" s="16">
        <v>57.89</v>
      </c>
      <c r="H81" s="5">
        <f>SUM(H32)</f>
        <v>0</v>
      </c>
      <c r="I81" s="5">
        <f t="shared" si="12"/>
        <v>0</v>
      </c>
      <c r="J81" s="4" t="s">
        <v>5531</v>
      </c>
      <c r="K81" s="5">
        <f>SUM(K32)</f>
        <v>0</v>
      </c>
      <c r="L81" s="10">
        <f>IF($B$2="-",0,IFERROR(INDEX(IF($B$2="SV",'Projekt-Budget-Übersicht'!$H:$H,IF($B$2="CAD",'Projekt-Budget-Übersicht'!$I:$I,IF($B$2="ADM",'Projekt-Budget-Übersicht'!$J:$J,'Projekt-Budget-Übersicht'!$H:$H))),MATCH(892,'Projekt-Budget-Übersicht'!$L:$L,0)),0))</f>
        <v>0</v>
      </c>
      <c r="M81" s="10">
        <f t="shared" si="13"/>
        <v>0</v>
      </c>
      <c r="N81" s="10">
        <f t="shared" si="14"/>
        <v>0</v>
      </c>
      <c r="O81" s="10">
        <f t="shared" si="15"/>
        <v>0</v>
      </c>
      <c r="P81" s="10">
        <f>'S. Schüler'!M143+'U. Sutter ADM'!M81</f>
        <v>0</v>
      </c>
      <c r="Q81" s="10">
        <f>IFERROR(INDEX('Projekt-Budget-Übersicht'!$E:$E,MATCH(892,'Projekt-Budget-Übersicht'!$L:$L,0)),0)</f>
        <v>0</v>
      </c>
      <c r="R81" s="10">
        <v>12383.75</v>
      </c>
      <c r="S81" s="4"/>
      <c r="T81" s="4"/>
      <c r="U81" s="4"/>
    </row>
    <row r="82" spans="1:21" x14ac:dyDescent="0.25">
      <c r="A82" s="23"/>
      <c r="B82" s="4" t="s">
        <v>5539</v>
      </c>
      <c r="C82" s="4" t="str">
        <f>IFERROR(INDEX('Projekt-Budget-Übersicht'!$C:$C,MATCH(893,'Projekt-Budget-Übersicht'!$L:$L,0)),"")</f>
        <v/>
      </c>
      <c r="D82" s="4">
        <v>19</v>
      </c>
      <c r="E82" s="4">
        <v>1.75</v>
      </c>
      <c r="F82" s="5">
        <f>SUM(F33,I33,K33)</f>
        <v>0.25</v>
      </c>
      <c r="G82" s="16">
        <v>9.2100000000000009</v>
      </c>
      <c r="H82" s="5">
        <f>SUM(H33)</f>
        <v>0</v>
      </c>
      <c r="I82" s="5">
        <f t="shared" si="12"/>
        <v>0</v>
      </c>
      <c r="J82" s="4" t="s">
        <v>5531</v>
      </c>
      <c r="K82" s="5">
        <f>SUM(K33)</f>
        <v>0</v>
      </c>
      <c r="L82" s="10">
        <f>IF($B$2="-",0,IFERROR(INDEX(IF($B$2="SV",'Projekt-Budget-Übersicht'!$H:$H,IF($B$2="CAD",'Projekt-Budget-Übersicht'!$I:$I,IF($B$2="ADM",'Projekt-Budget-Übersicht'!$J:$J,'Projekt-Budget-Übersicht'!$H:$H))),MATCH(893,'Projekt-Budget-Übersicht'!$L:$L,0)),0))</f>
        <v>0</v>
      </c>
      <c r="M82" s="10">
        <f t="shared" si="13"/>
        <v>0</v>
      </c>
      <c r="N82" s="10">
        <f t="shared" si="14"/>
        <v>0</v>
      </c>
      <c r="O82" s="10">
        <f t="shared" si="15"/>
        <v>0</v>
      </c>
      <c r="P82" s="10">
        <f>'C. Trapp SV'!M93+'U. Sutter ADM'!M82</f>
        <v>0</v>
      </c>
      <c r="Q82" s="10">
        <f>IFERROR(INDEX('Projekt-Budget-Übersicht'!$E:$E,MATCH(893,'Projekt-Budget-Übersicht'!$L:$L,0)),0)</f>
        <v>0</v>
      </c>
      <c r="R82" s="10">
        <v>988.75</v>
      </c>
      <c r="S82" s="4"/>
      <c r="T82" s="4"/>
      <c r="U82" s="4"/>
    </row>
    <row r="83" spans="1:21" x14ac:dyDescent="0.25">
      <c r="A83" s="22"/>
      <c r="B83" s="4" t="s">
        <v>5540</v>
      </c>
      <c r="C83" s="4" t="str">
        <f>IFERROR(INDEX('Projekt-Budget-Übersicht'!$C:$C,MATCH(894,'Projekt-Budget-Übersicht'!$L:$L,0)),"")</f>
        <v/>
      </c>
      <c r="D83" s="4">
        <v>115</v>
      </c>
      <c r="E83" s="4">
        <v>0.5</v>
      </c>
      <c r="F83" s="5">
        <f>SUM(F34,I34,K34)</f>
        <v>0.25</v>
      </c>
      <c r="G83" s="16">
        <v>0.43</v>
      </c>
      <c r="H83" s="5">
        <f>SUM(H34)</f>
        <v>0</v>
      </c>
      <c r="I83" s="5">
        <f t="shared" si="12"/>
        <v>0</v>
      </c>
      <c r="J83" s="4" t="s">
        <v>5531</v>
      </c>
      <c r="K83" s="5">
        <f>SUM(K34)</f>
        <v>0</v>
      </c>
      <c r="L83" s="10">
        <f>IF($B$2="-",0,IFERROR(INDEX(IF($B$2="SV",'Projekt-Budget-Übersicht'!$H:$H,IF($B$2="CAD",'Projekt-Budget-Übersicht'!$I:$I,IF($B$2="ADM",'Projekt-Budget-Übersicht'!$J:$J,'Projekt-Budget-Übersicht'!$H:$H))),MATCH(894,'Projekt-Budget-Übersicht'!$L:$L,0)),0))</f>
        <v>0</v>
      </c>
      <c r="M83" s="10">
        <f t="shared" si="13"/>
        <v>0</v>
      </c>
      <c r="N83" s="10">
        <f t="shared" si="14"/>
        <v>0</v>
      </c>
      <c r="O83" s="10">
        <f t="shared" si="15"/>
        <v>0</v>
      </c>
      <c r="P83" s="10">
        <f>'U. Sutter ADM'!M83</f>
        <v>0</v>
      </c>
      <c r="Q83" s="10">
        <f>IFERROR(INDEX('Projekt-Budget-Übersicht'!$E:$E,MATCH(894,'Projekt-Budget-Übersicht'!$L:$L,0)),0)</f>
        <v>0</v>
      </c>
      <c r="R83" s="10">
        <v>30</v>
      </c>
      <c r="S83" s="4"/>
      <c r="T83" s="4"/>
      <c r="U83" s="4"/>
    </row>
    <row r="84" spans="1:21" x14ac:dyDescent="0.25">
      <c r="A84" s="21" t="s">
        <v>1377</v>
      </c>
      <c r="B84" s="4" t="s">
        <v>5537</v>
      </c>
      <c r="C84" s="4" t="str">
        <f>IFERROR(INDEX('Projekt-Budget-Übersicht'!$C:$C,MATCH(1490,'Projekt-Budget-Übersicht'!$L:$L,0)),"")</f>
        <v/>
      </c>
      <c r="D84" s="4">
        <v>16</v>
      </c>
      <c r="E84" s="4">
        <v>78</v>
      </c>
      <c r="F84" s="5">
        <f>SUM(F35,I35,K35)</f>
        <v>0.75</v>
      </c>
      <c r="G84" s="15">
        <v>487.5</v>
      </c>
      <c r="H84" s="5">
        <f>SUM(H35)</f>
        <v>0</v>
      </c>
      <c r="I84" s="5">
        <f t="shared" si="12"/>
        <v>0</v>
      </c>
      <c r="J84" s="4" t="s">
        <v>5531</v>
      </c>
      <c r="K84" s="5">
        <f>SUM(K35)</f>
        <v>0</v>
      </c>
      <c r="L84" s="10">
        <f>IF($B$2="-",0,IFERROR(INDEX(IF($B$2="SV",'Projekt-Budget-Übersicht'!$H:$H,IF($B$2="CAD",'Projekt-Budget-Übersicht'!$I:$I,IF($B$2="ADM",'Projekt-Budget-Übersicht'!$J:$J,'Projekt-Budget-Übersicht'!$H:$H))),MATCH(1490,'Projekt-Budget-Übersicht'!$L:$L,0)),0))</f>
        <v>0</v>
      </c>
      <c r="M84" s="10">
        <f t="shared" si="13"/>
        <v>0</v>
      </c>
      <c r="N84" s="10">
        <f t="shared" si="14"/>
        <v>0</v>
      </c>
      <c r="O84" s="10">
        <f t="shared" si="15"/>
        <v>0</v>
      </c>
      <c r="P84" s="10">
        <f>'C. Trapp SV'!M95+'M. Bandlofsky'!M91+'U. Sutter ADM'!M84</f>
        <v>0</v>
      </c>
      <c r="Q84" s="10">
        <f>IFERROR(INDEX('Projekt-Budget-Übersicht'!$E:$E,MATCH(1490,'Projekt-Budget-Übersicht'!$L:$L,0)),0)</f>
        <v>0</v>
      </c>
      <c r="R84" s="10">
        <v>453.82</v>
      </c>
      <c r="S84" s="4"/>
      <c r="T84" s="4"/>
      <c r="U84" s="4"/>
    </row>
    <row r="85" spans="1:21" x14ac:dyDescent="0.25">
      <c r="A85" s="23"/>
      <c r="B85" s="4" t="s">
        <v>5602</v>
      </c>
      <c r="C85" s="4" t="str">
        <f>IFERROR(INDEX('Projekt-Budget-Übersicht'!$C:$C,MATCH(1491,'Projekt-Budget-Übersicht'!$L:$L,0)),"")</f>
        <v/>
      </c>
      <c r="D85" s="4">
        <v>40</v>
      </c>
      <c r="E85" s="4">
        <v>69.25</v>
      </c>
      <c r="F85" s="5">
        <f>SUM(F12,I12,K12)</f>
        <v>0.25</v>
      </c>
      <c r="G85" s="15">
        <v>173.12</v>
      </c>
      <c r="H85" s="5">
        <f>SUM(H12)</f>
        <v>0</v>
      </c>
      <c r="I85" s="5">
        <f t="shared" si="12"/>
        <v>0</v>
      </c>
      <c r="J85" s="4" t="s">
        <v>5531</v>
      </c>
      <c r="K85" s="5">
        <f>SUM(K12)</f>
        <v>0</v>
      </c>
      <c r="L85" s="10">
        <f>IF($B$2="-",0,IFERROR(INDEX(IF($B$2="SV",'Projekt-Budget-Übersicht'!$H:$H,IF($B$2="CAD",'Projekt-Budget-Übersicht'!$I:$I,IF($B$2="ADM",'Projekt-Budget-Übersicht'!$J:$J,'Projekt-Budget-Übersicht'!$H:$H))),MATCH(1491,'Projekt-Budget-Übersicht'!$L:$L,0)),0))</f>
        <v>0</v>
      </c>
      <c r="M85" s="10">
        <f t="shared" si="13"/>
        <v>0</v>
      </c>
      <c r="N85" s="10">
        <f t="shared" si="14"/>
        <v>0</v>
      </c>
      <c r="O85" s="10">
        <f t="shared" si="15"/>
        <v>0</v>
      </c>
      <c r="P85" s="10">
        <f>'M. Bandlofsky'!M96+'U. Sutter ADM'!M85</f>
        <v>0</v>
      </c>
      <c r="Q85" s="10">
        <f>IFERROR(INDEX('Projekt-Budget-Übersicht'!$E:$E,MATCH(1491,'Projekt-Budget-Übersicht'!$L:$L,0)),0)</f>
        <v>0</v>
      </c>
      <c r="R85" s="10">
        <v>21224.71</v>
      </c>
      <c r="S85" s="4"/>
      <c r="T85" s="4"/>
      <c r="U85" s="4"/>
    </row>
    <row r="86" spans="1:21" x14ac:dyDescent="0.25">
      <c r="A86" s="22"/>
      <c r="B86" s="4" t="s">
        <v>5545</v>
      </c>
      <c r="C86" s="4" t="str">
        <f>IFERROR(INDEX('Projekt-Budget-Übersicht'!$C:$C,MATCH(1494,'Projekt-Budget-Übersicht'!$L:$L,0)),"")</f>
        <v/>
      </c>
      <c r="D86" s="4">
        <v>40</v>
      </c>
      <c r="E86" s="4">
        <v>0.25</v>
      </c>
      <c r="F86" s="5">
        <f>SUM(F36,I36,K36)</f>
        <v>0.25</v>
      </c>
      <c r="G86" s="16">
        <v>0.62</v>
      </c>
      <c r="H86" s="5">
        <f>SUM(H36)</f>
        <v>0</v>
      </c>
      <c r="I86" s="5">
        <f t="shared" si="12"/>
        <v>0</v>
      </c>
      <c r="J86" s="4" t="s">
        <v>5531</v>
      </c>
      <c r="K86" s="5">
        <f>SUM(K36)</f>
        <v>0</v>
      </c>
      <c r="L86" s="10">
        <f>IF($B$2="-",0,IFERROR(INDEX(IF($B$2="SV",'Projekt-Budget-Übersicht'!$H:$H,IF($B$2="CAD",'Projekt-Budget-Übersicht'!$I:$I,IF($B$2="ADM",'Projekt-Budget-Übersicht'!$J:$J,'Projekt-Budget-Übersicht'!$H:$H))),MATCH(1494,'Projekt-Budget-Übersicht'!$L:$L,0)),0))</f>
        <v>0</v>
      </c>
      <c r="M86" s="10">
        <f t="shared" si="13"/>
        <v>0</v>
      </c>
      <c r="N86" s="10">
        <f t="shared" si="14"/>
        <v>0</v>
      </c>
      <c r="O86" s="10">
        <f t="shared" si="15"/>
        <v>0</v>
      </c>
      <c r="P86" s="10">
        <f>'U. Sutter ADM'!M86</f>
        <v>0</v>
      </c>
      <c r="Q86" s="10">
        <f>IFERROR(INDEX('Projekt-Budget-Übersicht'!$E:$E,MATCH(1494,'Projekt-Budget-Übersicht'!$L:$L,0)),0)</f>
        <v>0</v>
      </c>
      <c r="R86" s="10">
        <v>573.22</v>
      </c>
      <c r="S86" s="4"/>
      <c r="T86" s="4"/>
      <c r="U86" s="4"/>
    </row>
    <row r="87" spans="1:21" x14ac:dyDescent="0.25">
      <c r="A87" s="21" t="s">
        <v>1383</v>
      </c>
      <c r="B87" s="4" t="s">
        <v>5485</v>
      </c>
      <c r="C87" s="4" t="str">
        <f>IFERROR(INDEX('Projekt-Budget-Übersicht'!$C:$C,MATCH(1499,'Projekt-Budget-Übersicht'!$L:$L,0)),"")</f>
        <v/>
      </c>
      <c r="D87" s="4">
        <v>40</v>
      </c>
      <c r="E87" s="4">
        <v>4.75</v>
      </c>
      <c r="F87" s="5">
        <f>SUM(F13,I13,K13)</f>
        <v>4.5</v>
      </c>
      <c r="G87" s="16">
        <v>11.88</v>
      </c>
      <c r="H87" s="5">
        <f>SUM(H13)</f>
        <v>0</v>
      </c>
      <c r="I87" s="5">
        <f t="shared" si="12"/>
        <v>0</v>
      </c>
      <c r="J87" s="4" t="s">
        <v>5531</v>
      </c>
      <c r="K87" s="5">
        <f>SUM(K13)</f>
        <v>0</v>
      </c>
      <c r="L87" s="10">
        <f>IF($B$2="-",0,IFERROR(INDEX(IF($B$2="SV",'Projekt-Budget-Übersicht'!$H:$H,IF($B$2="CAD",'Projekt-Budget-Übersicht'!$I:$I,IF($B$2="ADM",'Projekt-Budget-Übersicht'!$J:$J,'Projekt-Budget-Übersicht'!$H:$H))),MATCH(1499,'Projekt-Budget-Übersicht'!$L:$L,0)),0))</f>
        <v>0</v>
      </c>
      <c r="M87" s="10">
        <f t="shared" si="13"/>
        <v>0</v>
      </c>
      <c r="N87" s="10">
        <f t="shared" si="14"/>
        <v>0</v>
      </c>
      <c r="O87" s="10">
        <f t="shared" si="15"/>
        <v>0</v>
      </c>
      <c r="P87" s="10">
        <f>'U. Sutter ADM'!M87</f>
        <v>0</v>
      </c>
      <c r="Q87" s="10">
        <f>IFERROR(INDEX('Projekt-Budget-Übersicht'!$E:$E,MATCH(1499,'Projekt-Budget-Übersicht'!$L:$L,0)),0)</f>
        <v>0</v>
      </c>
      <c r="R87" s="10">
        <v>15665.4</v>
      </c>
      <c r="S87" s="4"/>
      <c r="T87" s="4"/>
      <c r="U87" s="4"/>
    </row>
    <row r="88" spans="1:21" x14ac:dyDescent="0.25">
      <c r="A88" s="22"/>
      <c r="B88" s="4" t="s">
        <v>5536</v>
      </c>
      <c r="C88" s="4" t="str">
        <f>IFERROR(INDEX('Projekt-Budget-Übersicht'!$C:$C,MATCH(1499,'Projekt-Budget-Übersicht'!$L:$L,0)),"")</f>
        <v/>
      </c>
      <c r="D88" s="4">
        <v>20</v>
      </c>
      <c r="E88" s="4">
        <v>8.75</v>
      </c>
      <c r="F88" s="5">
        <f>SUM(F14,F37,F55,I14,I37,I55,K14,K37,K55)</f>
        <v>5.25</v>
      </c>
      <c r="G88" s="16">
        <v>43.75</v>
      </c>
      <c r="H88" s="5">
        <f>SUM(H14,H37,H55)</f>
        <v>0</v>
      </c>
      <c r="I88" s="5">
        <f t="shared" si="12"/>
        <v>0</v>
      </c>
      <c r="J88" s="4" t="s">
        <v>5531</v>
      </c>
      <c r="K88" s="5">
        <f>SUM(K14,K37,K55)</f>
        <v>0</v>
      </c>
      <c r="L88" s="10">
        <f>IF($B$2="-",0,IFERROR(INDEX(IF($B$2="SV",'Projekt-Budget-Übersicht'!$H:$H,IF($B$2="CAD",'Projekt-Budget-Übersicht'!$I:$I,IF($B$2="ADM",'Projekt-Budget-Übersicht'!$J:$J,'Projekt-Budget-Übersicht'!$H:$H))),MATCH(1499,'Projekt-Budget-Übersicht'!$L:$L,0)),0))</f>
        <v>0</v>
      </c>
      <c r="M88" s="10">
        <f t="shared" si="13"/>
        <v>0</v>
      </c>
      <c r="N88" s="10">
        <f t="shared" si="14"/>
        <v>0</v>
      </c>
      <c r="O88" s="10">
        <f t="shared" si="15"/>
        <v>0</v>
      </c>
      <c r="P88" s="10">
        <f>'J. Dorn'!M123+'M. Bandlofsky'!M97+'U. Sutter ADM'!M88</f>
        <v>0</v>
      </c>
      <c r="Q88" s="10">
        <f>IFERROR(INDEX('Projekt-Budget-Übersicht'!$E:$E,MATCH(1499,'Projekt-Budget-Übersicht'!$L:$L,0)),0)</f>
        <v>0</v>
      </c>
      <c r="R88" s="10">
        <v>15665.4</v>
      </c>
      <c r="S88" s="4"/>
      <c r="T88" s="4"/>
      <c r="U88" s="4"/>
    </row>
    <row r="89" spans="1:21" x14ac:dyDescent="0.25">
      <c r="A89" s="4" t="s">
        <v>1490</v>
      </c>
      <c r="B89" s="4" t="s">
        <v>5543</v>
      </c>
      <c r="C89" s="4" t="str">
        <f>IFERROR(INDEX('Projekt-Budget-Übersicht'!$C:$C,MATCH(1678,'Projekt-Budget-Übersicht'!$L:$L,0)),"")</f>
        <v/>
      </c>
      <c r="D89" s="4">
        <v>240</v>
      </c>
      <c r="E89" s="4">
        <v>188.5</v>
      </c>
      <c r="F89" s="5">
        <f>SUM(F15,F38,F56,I15,I38,I56,K15,K38,K56)</f>
        <v>7.25</v>
      </c>
      <c r="G89" s="16">
        <v>78.540000000000006</v>
      </c>
      <c r="H89" s="5">
        <f>SUM(H15,H38,H56)</f>
        <v>0</v>
      </c>
      <c r="I89" s="5">
        <f t="shared" si="12"/>
        <v>0</v>
      </c>
      <c r="J89" s="4" t="s">
        <v>5531</v>
      </c>
      <c r="K89" s="5">
        <f>SUM(K15,K38,K56)</f>
        <v>0</v>
      </c>
      <c r="L89" s="10">
        <f>IF($B$2="-",0,IFERROR(INDEX(IF($B$2="SV",'Projekt-Budget-Übersicht'!$H:$H,IF($B$2="CAD",'Projekt-Budget-Übersicht'!$I:$I,IF($B$2="ADM",'Projekt-Budget-Übersicht'!$J:$J,'Projekt-Budget-Übersicht'!$H:$H))),MATCH(1678,'Projekt-Budget-Übersicht'!$L:$L,0)),0))</f>
        <v>0</v>
      </c>
      <c r="M89" s="10">
        <f t="shared" si="13"/>
        <v>0</v>
      </c>
      <c r="N89" s="10">
        <f t="shared" si="14"/>
        <v>0</v>
      </c>
      <c r="O89" s="10">
        <f t="shared" si="15"/>
        <v>0</v>
      </c>
      <c r="P89" s="10">
        <f>'C. Trapp SV'!M99+'S. Roßkopf'!M37+'U. Sutter ADM'!M89</f>
        <v>0</v>
      </c>
      <c r="Q89" s="10">
        <f>IFERROR(INDEX('Projekt-Budget-Übersicht'!$E:$E,MATCH(1678,'Projekt-Budget-Übersicht'!$L:$L,0)),0)</f>
        <v>0</v>
      </c>
      <c r="R89" s="10">
        <v>4718.17</v>
      </c>
      <c r="S89" s="4"/>
      <c r="T89" s="4"/>
      <c r="U89" s="4"/>
    </row>
    <row r="90" spans="1:21" x14ac:dyDescent="0.25">
      <c r="A90" s="4" t="s">
        <v>1497</v>
      </c>
      <c r="B90" s="4" t="s">
        <v>5700</v>
      </c>
      <c r="C90" s="4" t="str">
        <f>IFERROR(INDEX('Projekt-Budget-Übersicht'!$C:$C,MATCH(1684,'Projekt-Budget-Übersicht'!$L:$L,0)),"")</f>
        <v/>
      </c>
      <c r="D90" s="4">
        <v>60</v>
      </c>
      <c r="E90" s="4">
        <v>45.5</v>
      </c>
      <c r="F90" s="5">
        <f>SUM(F16,I16,K16)</f>
        <v>0.5</v>
      </c>
      <c r="G90" s="16">
        <v>75.83</v>
      </c>
      <c r="H90" s="5">
        <f>SUM(H16)</f>
        <v>0</v>
      </c>
      <c r="I90" s="5">
        <f t="shared" si="12"/>
        <v>0</v>
      </c>
      <c r="J90" s="4" t="s">
        <v>5531</v>
      </c>
      <c r="K90" s="5">
        <f>SUM(K16)</f>
        <v>0</v>
      </c>
      <c r="L90" s="10">
        <f>IF($B$2="-",0,IFERROR(INDEX(IF($B$2="SV",'Projekt-Budget-Übersicht'!$H:$H,IF($B$2="CAD",'Projekt-Budget-Übersicht'!$I:$I,IF($B$2="ADM",'Projekt-Budget-Übersicht'!$J:$J,'Projekt-Budget-Übersicht'!$H:$H))),MATCH(1684,'Projekt-Budget-Übersicht'!$L:$L,0)),0))</f>
        <v>0</v>
      </c>
      <c r="M90" s="10">
        <f t="shared" si="13"/>
        <v>0</v>
      </c>
      <c r="N90" s="10">
        <f t="shared" si="14"/>
        <v>0</v>
      </c>
      <c r="O90" s="10">
        <f t="shared" si="15"/>
        <v>0</v>
      </c>
      <c r="P90" s="10">
        <f>'U. Sutter ADM'!M90</f>
        <v>0</v>
      </c>
      <c r="Q90" s="10">
        <f>IFERROR(INDEX('Projekt-Budget-Übersicht'!$E:$E,MATCH(1684,'Projekt-Budget-Übersicht'!$L:$L,0)),0)</f>
        <v>0</v>
      </c>
      <c r="R90" s="10">
        <v>1597.72</v>
      </c>
      <c r="S90" s="4"/>
      <c r="T90" s="4"/>
      <c r="U90" s="4"/>
    </row>
    <row r="91" spans="1:21" x14ac:dyDescent="0.25">
      <c r="A91" s="21" t="s">
        <v>3070</v>
      </c>
      <c r="B91" s="4" t="s">
        <v>5541</v>
      </c>
      <c r="C91" s="4" t="str">
        <f>IFERROR(INDEX('Projekt-Budget-Übersicht'!$C:$C,MATCH(3322,'Projekt-Budget-Übersicht'!$L:$L,0)),"")</f>
        <v/>
      </c>
      <c r="D91" s="4">
        <v>80</v>
      </c>
      <c r="E91" s="4">
        <v>20.75</v>
      </c>
      <c r="F91" s="5">
        <f>SUM(F39,F57,I39,I57,K39,K57)</f>
        <v>3.25</v>
      </c>
      <c r="G91" s="16">
        <v>25.94</v>
      </c>
      <c r="H91" s="5">
        <f>SUM(H39,H57)</f>
        <v>0</v>
      </c>
      <c r="I91" s="5">
        <f t="shared" si="12"/>
        <v>0</v>
      </c>
      <c r="J91" s="4" t="s">
        <v>5531</v>
      </c>
      <c r="K91" s="5">
        <f>SUM(K39,K57)</f>
        <v>0</v>
      </c>
      <c r="L91" s="10">
        <f>IF($B$2="-",0,IFERROR(INDEX(IF($B$2="SV",'Projekt-Budget-Übersicht'!$H:$H,IF($B$2="CAD",'Projekt-Budget-Übersicht'!$I:$I,IF($B$2="ADM",'Projekt-Budget-Übersicht'!$J:$J,'Projekt-Budget-Übersicht'!$H:$H))),MATCH(3322,'Projekt-Budget-Übersicht'!$L:$L,0)),0))</f>
        <v>0</v>
      </c>
      <c r="M91" s="10">
        <f t="shared" si="13"/>
        <v>0</v>
      </c>
      <c r="N91" s="10">
        <f t="shared" si="14"/>
        <v>0</v>
      </c>
      <c r="O91" s="10">
        <f t="shared" si="15"/>
        <v>0</v>
      </c>
      <c r="P91" s="10">
        <f>'C. Trapp SV'!M106+'U. Sutter ADM'!M91</f>
        <v>0</v>
      </c>
      <c r="Q91" s="10">
        <f>IFERROR(INDEX('Projekt-Budget-Übersicht'!$E:$E,MATCH(3322,'Projekt-Budget-Übersicht'!$L:$L,0)),0)</f>
        <v>0</v>
      </c>
      <c r="R91" s="10">
        <v>1887.87</v>
      </c>
      <c r="S91" s="4"/>
      <c r="T91" s="4"/>
      <c r="U91" s="4"/>
    </row>
    <row r="92" spans="1:21" x14ac:dyDescent="0.25">
      <c r="A92" s="22"/>
      <c r="B92" s="4" t="s">
        <v>5542</v>
      </c>
      <c r="C92" s="4" t="str">
        <f>IFERROR(INDEX('Projekt-Budget-Übersicht'!$C:$C,MATCH(3322,'Projekt-Budget-Übersicht'!$L:$L,0)),"")</f>
        <v/>
      </c>
      <c r="D92" s="4">
        <v>540</v>
      </c>
      <c r="E92" s="4">
        <v>536.5</v>
      </c>
      <c r="F92" s="5">
        <f>SUM(F40,I40,K40)</f>
        <v>0.25</v>
      </c>
      <c r="G92" s="14">
        <v>99.35</v>
      </c>
      <c r="H92" s="5">
        <f>SUM(H40)</f>
        <v>0</v>
      </c>
      <c r="I92" s="5">
        <f t="shared" si="12"/>
        <v>0</v>
      </c>
      <c r="J92" s="4" t="s">
        <v>5531</v>
      </c>
      <c r="K92" s="5">
        <f>SUM(K40)</f>
        <v>0</v>
      </c>
      <c r="L92" s="10">
        <f>IF($B$2="-",0,IFERROR(INDEX(IF($B$2="SV",'Projekt-Budget-Übersicht'!$H:$H,IF($B$2="CAD",'Projekt-Budget-Übersicht'!$I:$I,IF($B$2="ADM",'Projekt-Budget-Übersicht'!$J:$J,'Projekt-Budget-Übersicht'!$H:$H))),MATCH(3322,'Projekt-Budget-Übersicht'!$L:$L,0)),0))</f>
        <v>0</v>
      </c>
      <c r="M92" s="10">
        <f t="shared" si="13"/>
        <v>0</v>
      </c>
      <c r="N92" s="10">
        <f t="shared" si="14"/>
        <v>0</v>
      </c>
      <c r="O92" s="10">
        <f t="shared" si="15"/>
        <v>0</v>
      </c>
      <c r="P92" s="10">
        <f>'C. Trapp SV'!M107+'S. Roßkopf'!M40+'U. Sutter ADM'!M92</f>
        <v>0</v>
      </c>
      <c r="Q92" s="10">
        <f>IFERROR(INDEX('Projekt-Budget-Übersicht'!$E:$E,MATCH(3322,'Projekt-Budget-Übersicht'!$L:$L,0)),0)</f>
        <v>0</v>
      </c>
      <c r="R92" s="10">
        <v>1887.87</v>
      </c>
      <c r="S92" s="4"/>
      <c r="T92" s="4"/>
      <c r="U92" s="4"/>
    </row>
    <row r="93" spans="1:21" x14ac:dyDescent="0.25">
      <c r="A93" s="4" t="s">
        <v>3146</v>
      </c>
      <c r="B93" s="4" t="s">
        <v>5484</v>
      </c>
      <c r="C93" s="4" t="str">
        <f>IFERROR(INDEX('Projekt-Budget-Übersicht'!$C:$C,MATCH(3387,'Projekt-Budget-Übersicht'!$L:$L,0)),"")</f>
        <v/>
      </c>
      <c r="D93" s="4">
        <v>2</v>
      </c>
      <c r="E93" s="4">
        <v>11</v>
      </c>
      <c r="F93" s="5">
        <f>SUM(F17,F41,F58,I17,I41,I58,K17,K41,K58)</f>
        <v>4.5</v>
      </c>
      <c r="G93" s="15">
        <v>550</v>
      </c>
      <c r="H93" s="5">
        <f>SUM(H17,H41,H58)</f>
        <v>0</v>
      </c>
      <c r="I93" s="5">
        <f t="shared" si="12"/>
        <v>0</v>
      </c>
      <c r="J93" s="4" t="s">
        <v>5531</v>
      </c>
      <c r="K93" s="5">
        <f>SUM(K17,K41,K58)</f>
        <v>0</v>
      </c>
      <c r="L93" s="10">
        <f>IF($B$2="-",0,IFERROR(INDEX(IF($B$2="SV",'Projekt-Budget-Übersicht'!$H:$H,IF($B$2="CAD",'Projekt-Budget-Übersicht'!$I:$I,IF($B$2="ADM",'Projekt-Budget-Übersicht'!$J:$J,'Projekt-Budget-Übersicht'!$H:$H))),MATCH(3387,'Projekt-Budget-Übersicht'!$L:$L,0)),0))</f>
        <v>0</v>
      </c>
      <c r="M93" s="10">
        <f t="shared" si="13"/>
        <v>0</v>
      </c>
      <c r="N93" s="10">
        <f t="shared" si="14"/>
        <v>0</v>
      </c>
      <c r="O93" s="10">
        <f t="shared" si="15"/>
        <v>0</v>
      </c>
      <c r="P93" s="10">
        <f>'U. Sutter ADM'!M93</f>
        <v>0</v>
      </c>
      <c r="Q93" s="10">
        <f>IFERROR(INDEX('Projekt-Budget-Übersicht'!$E:$E,MATCH(3387,'Projekt-Budget-Übersicht'!$L:$L,0)),0)</f>
        <v>0</v>
      </c>
      <c r="R93" s="10">
        <v>23081.52</v>
      </c>
      <c r="S93" s="4"/>
      <c r="T93" s="4"/>
      <c r="U93" s="4"/>
    </row>
    <row r="94" spans="1:21" x14ac:dyDescent="0.25">
      <c r="A94" s="21" t="s">
        <v>3214</v>
      </c>
      <c r="B94" s="4" t="s">
        <v>5541</v>
      </c>
      <c r="C94" s="4" t="str">
        <f>IFERROR(INDEX('Projekt-Budget-Übersicht'!$C:$C,MATCH(3445,'Projekt-Budget-Übersicht'!$L:$L,0)),"")</f>
        <v/>
      </c>
      <c r="D94" s="4">
        <v>20</v>
      </c>
      <c r="E94" s="4">
        <v>35.75</v>
      </c>
      <c r="F94" s="5">
        <f>SUM(F18,F42,F59,I18,I42,I59,K18,K42,K59)</f>
        <v>2.75</v>
      </c>
      <c r="G94" s="15">
        <v>178.75</v>
      </c>
      <c r="H94" s="5">
        <f>SUM(H18,H42,H59)</f>
        <v>0</v>
      </c>
      <c r="I94" s="5">
        <f t="shared" si="12"/>
        <v>0</v>
      </c>
      <c r="J94" s="4" t="s">
        <v>5531</v>
      </c>
      <c r="K94" s="5">
        <f>SUM(K18,K42,K59)</f>
        <v>0</v>
      </c>
      <c r="L94" s="10">
        <f>IF($B$2="-",0,IFERROR(INDEX(IF($B$2="SV",'Projekt-Budget-Übersicht'!$H:$H,IF($B$2="CAD",'Projekt-Budget-Übersicht'!$I:$I,IF($B$2="ADM",'Projekt-Budget-Übersicht'!$J:$J,'Projekt-Budget-Übersicht'!$H:$H))),MATCH(3445,'Projekt-Budget-Übersicht'!$L:$L,0)),0))</f>
        <v>0</v>
      </c>
      <c r="M94" s="10">
        <f t="shared" si="13"/>
        <v>0</v>
      </c>
      <c r="N94" s="10">
        <f t="shared" si="14"/>
        <v>0</v>
      </c>
      <c r="O94" s="10">
        <f t="shared" si="15"/>
        <v>0</v>
      </c>
      <c r="P94" s="10">
        <f>'C. Trapp SV'!M108+'U. Sutter ADM'!M94</f>
        <v>0</v>
      </c>
      <c r="Q94" s="10">
        <f>IFERROR(INDEX('Projekt-Budget-Übersicht'!$E:$E,MATCH(3445,'Projekt-Budget-Übersicht'!$L:$L,0)),0)</f>
        <v>0</v>
      </c>
      <c r="R94" s="10">
        <v>332.5</v>
      </c>
      <c r="S94" s="4"/>
      <c r="T94" s="4"/>
      <c r="U94" s="4"/>
    </row>
    <row r="95" spans="1:21" x14ac:dyDescent="0.25">
      <c r="A95" s="22"/>
      <c r="B95" s="4" t="s">
        <v>5542</v>
      </c>
      <c r="C95" s="4" t="str">
        <f>IFERROR(INDEX('Projekt-Budget-Übersicht'!$C:$C,MATCH(3445,'Projekt-Budget-Übersicht'!$L:$L,0)),"")</f>
        <v/>
      </c>
      <c r="D95" s="4">
        <v>80</v>
      </c>
      <c r="E95" s="4">
        <v>168.25</v>
      </c>
      <c r="F95" s="5">
        <f>SUM(F19,I19,K19)</f>
        <v>1.75</v>
      </c>
      <c r="G95" s="15">
        <v>210.31</v>
      </c>
      <c r="H95" s="5">
        <f>SUM(H19)</f>
        <v>0</v>
      </c>
      <c r="I95" s="5">
        <f t="shared" si="12"/>
        <v>0</v>
      </c>
      <c r="J95" s="4" t="s">
        <v>5531</v>
      </c>
      <c r="K95" s="5">
        <f>SUM(K19)</f>
        <v>0</v>
      </c>
      <c r="L95" s="10">
        <f>IF($B$2="-",0,IFERROR(INDEX(IF($B$2="SV",'Projekt-Budget-Übersicht'!$H:$H,IF($B$2="CAD",'Projekt-Budget-Übersicht'!$I:$I,IF($B$2="ADM",'Projekt-Budget-Übersicht'!$J:$J,'Projekt-Budget-Übersicht'!$H:$H))),MATCH(3445,'Projekt-Budget-Übersicht'!$L:$L,0)),0))</f>
        <v>0</v>
      </c>
      <c r="M95" s="10">
        <f t="shared" si="13"/>
        <v>0</v>
      </c>
      <c r="N95" s="10">
        <f t="shared" si="14"/>
        <v>0</v>
      </c>
      <c r="O95" s="10">
        <f t="shared" si="15"/>
        <v>0</v>
      </c>
      <c r="P95" s="10">
        <f>'C. Trapp SV'!M110+'U. Sutter ADM'!M95</f>
        <v>0</v>
      </c>
      <c r="Q95" s="10">
        <f>IFERROR(INDEX('Projekt-Budget-Übersicht'!$E:$E,MATCH(3445,'Projekt-Budget-Übersicht'!$L:$L,0)),0)</f>
        <v>0</v>
      </c>
      <c r="R95" s="10">
        <v>332.5</v>
      </c>
      <c r="S95" s="4"/>
      <c r="T95" s="4"/>
      <c r="U95" s="4"/>
    </row>
    <row r="97" spans="1:21" x14ac:dyDescent="0.25">
      <c r="A97" s="3"/>
      <c r="B97" s="3" t="s">
        <v>5492</v>
      </c>
      <c r="C97" s="3"/>
      <c r="D97" s="3"/>
      <c r="E97" s="3"/>
      <c r="F97" s="6">
        <f>SUM(F20,F43,F60)</f>
        <v>73.75</v>
      </c>
      <c r="G97" s="3"/>
      <c r="H97" s="3"/>
      <c r="I97" s="3"/>
      <c r="J97" s="3"/>
      <c r="K97" s="3"/>
      <c r="L97" s="3"/>
      <c r="M97" s="17">
        <f>SUM(M75:M95)</f>
        <v>0</v>
      </c>
      <c r="N97" s="17">
        <f>SUM(N75:N95)</f>
        <v>0</v>
      </c>
      <c r="O97" s="17">
        <f>SUM(O75:O95)</f>
        <v>0</v>
      </c>
      <c r="P97" s="17">
        <f>SUM(P75:P95)</f>
        <v>0</v>
      </c>
      <c r="Q97" s="3"/>
      <c r="R97" s="3"/>
      <c r="S97" s="3"/>
      <c r="T97" s="3"/>
      <c r="U97" s="3"/>
    </row>
    <row r="98" spans="1:21" x14ac:dyDescent="0.25">
      <c r="A98" s="3"/>
      <c r="B98" s="3" t="s">
        <v>4</v>
      </c>
      <c r="C98" s="3"/>
      <c r="D98" s="3"/>
      <c r="E98" s="3"/>
      <c r="F98" s="6">
        <f>G98+H98</f>
        <v>25.25</v>
      </c>
      <c r="G98" s="6">
        <f>SUM(G21,G44,G61)</f>
        <v>25.25</v>
      </c>
      <c r="H98" s="6">
        <v>0</v>
      </c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1:21" x14ac:dyDescent="0.25">
      <c r="A99" s="3"/>
      <c r="B99" s="3" t="s">
        <v>5</v>
      </c>
      <c r="C99" s="3"/>
      <c r="D99" s="3"/>
      <c r="E99" s="3"/>
      <c r="F99" s="6">
        <f>G99+H99</f>
        <v>30</v>
      </c>
      <c r="G99" s="6">
        <f>SUM(G22,G45,G62)</f>
        <v>30</v>
      </c>
      <c r="H99" s="6">
        <v>0</v>
      </c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1:21" x14ac:dyDescent="0.25">
      <c r="A100" s="3"/>
      <c r="B100" s="3" t="s">
        <v>5493</v>
      </c>
      <c r="C100" s="3"/>
      <c r="D100" s="3"/>
      <c r="E100" s="3"/>
      <c r="F100" s="6">
        <f>SUM(F23,F46,F63)</f>
        <v>0</v>
      </c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1:21" x14ac:dyDescent="0.25">
      <c r="A101" s="18"/>
      <c r="B101" s="18" t="s">
        <v>5494</v>
      </c>
      <c r="C101" s="18"/>
      <c r="D101" s="18"/>
      <c r="E101" s="18"/>
      <c r="F101" s="19">
        <f>F98+F99+F100</f>
        <v>55.25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</row>
    <row r="103" spans="1:21" ht="15.75" x14ac:dyDescent="0.25">
      <c r="A103" s="2" t="s">
        <v>5532</v>
      </c>
    </row>
    <row r="104" spans="1:21" x14ac:dyDescent="0.25">
      <c r="A104" s="13" t="s">
        <v>10</v>
      </c>
      <c r="B104" s="13">
        <v>73.75</v>
      </c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</row>
    <row r="105" spans="1:21" x14ac:dyDescent="0.25">
      <c r="A105" s="13" t="s">
        <v>11</v>
      </c>
      <c r="B105" s="20">
        <f>SUM(F21,F44,F61)</f>
        <v>25.25</v>
      </c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</row>
    <row r="106" spans="1:21" x14ac:dyDescent="0.25">
      <c r="A106" s="13" t="s">
        <v>12</v>
      </c>
      <c r="B106" s="20">
        <f>SUM(F22,F45,F62)</f>
        <v>30</v>
      </c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</row>
  </sheetData>
  <mergeCells count="15">
    <mergeCell ref="A6:A7"/>
    <mergeCell ref="A10:A11"/>
    <mergeCell ref="A18:A19"/>
    <mergeCell ref="A13:A14"/>
    <mergeCell ref="A28:A29"/>
    <mergeCell ref="A79:A83"/>
    <mergeCell ref="A84:A86"/>
    <mergeCell ref="A39:A40"/>
    <mergeCell ref="A51:A52"/>
    <mergeCell ref="A94:A95"/>
    <mergeCell ref="A35:A36"/>
    <mergeCell ref="A75:A76"/>
    <mergeCell ref="A87:A88"/>
    <mergeCell ref="A31:A34"/>
    <mergeCell ref="A91:A92"/>
  </mergeCells>
  <conditionalFormatting sqref="I6:I19">
    <cfRule type="cellIs" dxfId="3" priority="1" stopIfTrue="1" operator="lessThan">
      <formula>0</formula>
    </cfRule>
  </conditionalFormatting>
  <conditionalFormatting sqref="I28:I42">
    <cfRule type="cellIs" dxfId="2" priority="15" stopIfTrue="1" operator="lessThan">
      <formula>0</formula>
    </cfRule>
  </conditionalFormatting>
  <conditionalFormatting sqref="I51:I59">
    <cfRule type="cellIs" dxfId="1" priority="30" stopIfTrue="1" operator="lessThan">
      <formula>0</formula>
    </cfRule>
  </conditionalFormatting>
  <conditionalFormatting sqref="I75:I95">
    <cfRule type="cellIs" dxfId="0" priority="39" stopIfTrue="1" operator="lessThan">
      <formula>0</formula>
    </cfRule>
  </conditionalFormatting>
  <dataValidations count="13">
    <dataValidation type="list" sqref="B2" xr:uid="{00000000-0002-0000-1400-000000000000}">
      <formula1>"SV,CAD,ADM,Pauschale,-"</formula1>
    </dataValidation>
    <dataValidation type="list" allowBlank="1" sqref="J6" xr:uid="{00000000-0002-0000-1400-000001000000}">
      <formula1>"A. Kokott,D. Brucker,E. Bieler,J. Dorchies,O. Haag BS-CAD,S. Schüler,T. Trautmann"</formula1>
    </dataValidation>
    <dataValidation type="list" allowBlank="1" sqref="T51:T59 T28:T42 T6:T19" xr:uid="{00000000-0002-0000-1400-000002000000}">
      <formula1>"SR,AZ"</formula1>
    </dataValidation>
    <dataValidation type="list" allowBlank="1" sqref="J7" xr:uid="{00000000-0002-0000-1400-000003000000}">
      <formula1>"A. Kokott,C. Trapp SV,D. Brucker,E. Bieler,J. Dorchies,J. Dorn,M. Bandlofsky,T. Trautmann"</formula1>
    </dataValidation>
    <dataValidation type="list" allowBlank="1" sqref="J39 J18 J15 J9:J10" xr:uid="{00000000-0002-0000-1400-000006000000}">
      <formula1>"C. Trapp SV"</formula1>
    </dataValidation>
    <dataValidation type="list" allowBlank="1" sqref="J11 J31:J32" xr:uid="{00000000-0002-0000-1400-00000A000000}">
      <formula1>"S. Schüler"</formula1>
    </dataValidation>
    <dataValidation type="list" allowBlank="1" sqref="J14" xr:uid="{00000000-0002-0000-1400-00000E000000}">
      <formula1>"J. Dorn"</formula1>
    </dataValidation>
    <dataValidation type="list" allowBlank="1" sqref="J28" xr:uid="{00000000-0002-0000-1400-000017000000}">
      <formula1>"A. Kokott,J. Dorn,O. Haag BS-CAD,P. Bergner,R. Böttiger,T. Trautmann"</formula1>
    </dataValidation>
    <dataValidation type="list" allowBlank="1" sqref="J29" xr:uid="{00000000-0002-0000-1400-000019000000}">
      <formula1>"A. Kokott,M. Bandlofsky,O. Haag BS-CAD,P. Bergner,R. Wagen CAD,T. Trautmann"</formula1>
    </dataValidation>
    <dataValidation type="list" allowBlank="1" sqref="J35 J55" xr:uid="{00000000-0002-0000-1400-000022000000}">
      <formula1>"M. Bandlofsky"</formula1>
    </dataValidation>
    <dataValidation type="list" allowBlank="1" sqref="J40 J56" xr:uid="{00000000-0002-0000-1400-000029000000}">
      <formula1>"C. Trapp SV,S. Roßkopf"</formula1>
    </dataValidation>
    <dataValidation type="list" allowBlank="1" sqref="J51" xr:uid="{00000000-0002-0000-1400-00002D000000}">
      <formula1>"A. Kokott,C. Trapp SV,D. Brucker,J. Dorn,O. Haag BS-CAD,S. Schüler"</formula1>
    </dataValidation>
    <dataValidation type="list" allowBlank="1" sqref="J52" xr:uid="{00000000-0002-0000-1400-00002F000000}">
      <formula1>"A. Kokott,C. Trapp SV,J. Dorn,M. Bandlofsky,O. Haag BS-CAD,R. Wagen CAD,T. Trautmann"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Übersicht</vt:lpstr>
      <vt:lpstr>Projekt-Budget-Übersicht</vt:lpstr>
      <vt:lpstr>A. Kokott</vt:lpstr>
      <vt:lpstr>C. Trapp SV</vt:lpstr>
      <vt:lpstr>D. Brucker</vt:lpstr>
      <vt:lpstr>E. Bieler</vt:lpstr>
      <vt:lpstr>E. Iago Barros de Oliveira</vt:lpstr>
      <vt:lpstr>H. Bektas</vt:lpstr>
      <vt:lpstr>J. Dorchies</vt:lpstr>
      <vt:lpstr>J. Dorn</vt:lpstr>
      <vt:lpstr>M. Bandlofsky</vt:lpstr>
      <vt:lpstr>M. Bandlofsky CAD</vt:lpstr>
      <vt:lpstr>M. Warner</vt:lpstr>
      <vt:lpstr>O. Haag BS-CAD</vt:lpstr>
      <vt:lpstr>P. Bergner</vt:lpstr>
      <vt:lpstr>R. Böttiger</vt:lpstr>
      <vt:lpstr>R. Wagen CAD</vt:lpstr>
      <vt:lpstr>S. Roßkopf</vt:lpstr>
      <vt:lpstr>S. Schüler</vt:lpstr>
      <vt:lpstr>T. Trautmann</vt:lpstr>
      <vt:lpstr>U. Sutter ADM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Trapp, Constantin</cp:lastModifiedBy>
  <dcterms:created xsi:type="dcterms:W3CDTF">2025-11-17T23:00:25Z</dcterms:created>
  <dcterms:modified xsi:type="dcterms:W3CDTF">2025-11-17T23:00:37Z</dcterms:modified>
</cp:coreProperties>
</file>